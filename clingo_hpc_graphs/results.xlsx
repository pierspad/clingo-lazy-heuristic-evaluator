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<sst xmlns="http://schemas.openxmlformats.org/spreadsheetml/2006/main" count="1745" uniqueCount="67">
  <si>
    <t>./bsp-0003</t>
  </si>
  <si>
    <t>./bsp-0004</t>
  </si>
  <si>
    <t>./bsp-0005</t>
  </si>
  <si>
    <t>./house-2</t>
  </si>
  <si>
    <t>./house-4</t>
  </si>
  <si>
    <t>./double-20</t>
  </si>
  <si>
    <t>./double-40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</si>
  <si>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</si>
  <si>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</si>
  <si>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</si>
  <si>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</si>
  <si>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</si>
  <si>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</si>
  <si>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</si>
  <si>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</si>
  <si>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clingo-native-1.0/ga</t>
  </si>
  <si>
    <t>atoms</t>
  </si>
  <si>
    <t>choices</t>
  </si>
  <si>
    <t>clingo_total</t>
  </si>
  <si>
    <t>conflicts</t>
  </si>
  <si>
    <t>constraints</t>
  </si>
  <si>
    <t>error</t>
  </si>
  <si>
    <t>grounding</t>
  </si>
  <si>
    <t>mem</t>
  </si>
  <si>
    <t>memout</t>
  </si>
  <si>
    <t>models</t>
  </si>
  <si>
    <t>par2</t>
  </si>
  <si>
    <t>restarts</t>
  </si>
  <si>
    <t>rules</t>
  </si>
  <si>
    <t>solving</t>
  </si>
  <si>
    <t>status</t>
  </si>
  <si>
    <t>SATISFIABLE</t>
  </si>
  <si>
    <t>time</t>
  </si>
  <si>
    <t>timeout</t>
  </si>
  <si>
    <t>variables</t>
  </si>
  <si>
    <t>clingo-native-1.0/ga_weak</t>
  </si>
  <si>
    <t>clingo-native-1.0/gc</t>
  </si>
  <si>
    <t>clingo-native-1.0/gc_noheur</t>
  </si>
  <si>
    <t>clingo-native-1.0/la</t>
  </si>
  <si>
    <t>clingo-native-1.0/la_aux</t>
  </si>
  <si>
    <t>clingo-native-1.0/la_co</t>
  </si>
  <si>
    <t>clingo-native-1.0/lc</t>
  </si>
  <si>
    <t>clingo-prolog-1.0/ga</t>
  </si>
  <si>
    <t>clingo-prolog-1.0/ga_weak</t>
  </si>
  <si>
    <t>clingo-prolog-1.0/gc</t>
  </si>
  <si>
    <t>clingo-prolog-1.0/gc_noheur</t>
  </si>
  <si>
    <t>clingo-prolog-1.0/la</t>
  </si>
  <si>
    <t>clingo-prolog-1.0/la_aux</t>
  </si>
  <si>
    <t>clingo-prolog-1.0/la_co</t>
  </si>
  <si>
    <t>clingo-prolog-1.0/lc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</si>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</sst>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Helper!EG3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(Helper!EJ5:EJ19)</c:f>
            </c:numRef>
          </c:xVal>
          <c:yVal>
            <c:numRef>
              <c:f>(Helper!EI5:EI19)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Helper!EK3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(Helper!EN5:EN19)</c:f>
            </c:numRef>
          </c:xVal>
          <c:yVal>
            <c:numRef>
              <c:f>(Helper!EM5:EM19)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Helper!EO3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(Helper!ER5:ER19)</c:f>
            </c:numRef>
          </c:xVal>
          <c:yVal>
            <c:numRef>
              <c:f>(Helper!EQ5:EQ19)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Helper!ES3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(Helper!EV5:EV19)</c:f>
            </c:numRef>
          </c:xVal>
          <c:yVal>
            <c:numRef>
              <c:f>(Helper!EU5:EU19)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Helper!EW3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(Helper!EZ5:EZ19)</c:f>
            </c:numRef>
          </c:xVal>
          <c:yVal>
            <c:numRef>
              <c:f>(Helper!EY5:EY19)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Helper!FA3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(Helper!FD5:FD19)</c:f>
            </c:numRef>
          </c:xVal>
          <c:yVal>
            <c:numRef>
              <c:f>(Helper!FC5:FC19)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Helper!FE3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(Helper!FH5:FH19)</c:f>
            </c:numRef>
          </c:xVal>
          <c:yVal>
            <c:numRef>
              <c:f>(Helper!FG5:FG19)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Helper!FI3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(Helper!FL5:FL19)</c:f>
            </c:numRef>
          </c:xVal>
          <c:yVal>
            <c:numRef>
              <c:f>(Helper!FK5:FK19)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Helper!FM3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(Helper!FP5:FP19)</c:f>
            </c:numRef>
          </c:xVal>
          <c:yVal>
            <c:numRef>
              <c:f>(Helper!FO5:FO19)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Helper!FQ3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(Helper!FT5:FT19)</c:f>
            </c:numRef>
          </c:xVal>
          <c:yVal>
            <c:numRef>
              <c:f>(Helper!FS5:FS19)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Helper!FU3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(Helper!FX5:FX19)</c:f>
            </c:numRef>
          </c:xVal>
          <c:yVal>
            <c:numRef>
              <c:f>(Helper!FW5:FW19)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Helper!FY3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(Helper!GB5:GB19)</c:f>
            </c:numRef>
          </c:xVal>
          <c:yVal>
            <c:numRef>
              <c:f>(Helper!GA5:GA19)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Helper!GC3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(Helper!GF5:GF19)</c:f>
            </c:numRef>
          </c:xVal>
          <c:yVal>
            <c:numRef>
              <c:f>(Helper!GE5:GE19)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Helper!GG3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(Helper!GJ5:GJ19)</c:f>
            </c:numRef>
          </c:xVal>
          <c:yVal>
            <c:numRef>
              <c:f>(Helper!GI5:GI19)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Helper!GK3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(Helper!GN5:GN19)</c:f>
            </c:numRef>
          </c:xVal>
          <c:yVal>
            <c:numRef>
              <c:f>(Helper!GM5:GM19)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Helper!GO3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(Helper!GR5:GR19)</c:f>
            </c:numRef>
          </c:xVal>
          <c:yVal>
            <c:numRef>
              <c:f>(Helper!GQ5:GQ19)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Helper!EG3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(Helper!EG5:EG19)</c:f>
            </c:numRef>
          </c:xVal>
          <c:yVal>
            <c:numRef>
              <c:f>(Helper!EH5:EH19)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Helper!EK3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(Helper!EK5:EK19)</c:f>
            </c:numRef>
          </c:xVal>
          <c:yVal>
            <c:numRef>
              <c:f>(Helper!EL5:EL19)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Helper!EO3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(Helper!EO5:EO19)</c:f>
            </c:numRef>
          </c:xVal>
          <c:yVal>
            <c:numRef>
              <c:f>(Helper!EP5:EP19)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Helper!ES3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(Helper!ES5:ES19)</c:f>
            </c:numRef>
          </c:xVal>
          <c:yVal>
            <c:numRef>
              <c:f>(Helper!ET5:ET19)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Helper!EW3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(Helper!EW5:EW19)</c:f>
            </c:numRef>
          </c:xVal>
          <c:yVal>
            <c:numRef>
              <c:f>(Helper!EX5:EX19)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Helper!FA3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(Helper!FA5:FA19)</c:f>
            </c:numRef>
          </c:xVal>
          <c:yVal>
            <c:numRef>
              <c:f>(Helper!FB5:FB19)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Helper!FE3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(Helper!FE5:FE19)</c:f>
            </c:numRef>
          </c:xVal>
          <c:yVal>
            <c:numRef>
              <c:f>(Helper!FF5:FF19)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Helper!FI3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(Helper!FI5:FI19)</c:f>
            </c:numRef>
          </c:xVal>
          <c:yVal>
            <c:numRef>
              <c:f>(Helper!FJ5:FJ19)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Helper!FM3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(Helper!FM5:FM19)</c:f>
            </c:numRef>
          </c:xVal>
          <c:yVal>
            <c:numRef>
              <c:f>(Helper!FN5:FN19)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Helper!FQ3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(Helper!FQ5:FQ19)</c:f>
            </c:numRef>
          </c:xVal>
          <c:yVal>
            <c:numRef>
              <c:f>(Helper!FR5:FR19)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Helper!FU3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(Helper!FU5:FU19)</c:f>
            </c:numRef>
          </c:xVal>
          <c:yVal>
            <c:numRef>
              <c:f>(Helper!FV5:FV19)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Helper!FY3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(Helper!FY5:FY19)</c:f>
            </c:numRef>
          </c:xVal>
          <c:yVal>
            <c:numRef>
              <c:f>(Helper!FZ5:FZ19)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Helper!GC3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(Helper!GC5:GC19)</c:f>
            </c:numRef>
          </c:xVal>
          <c:yVal>
            <c:numRef>
              <c:f>(Helper!GD5:GD19)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Helper!GG3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(Helper!GG5:GG19)</c:f>
            </c:numRef>
          </c:xVal>
          <c:yVal>
            <c:numRef>
              <c:f>(Helper!GH5:GH19)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Helper!GK3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(Helper!GK5:GK19)</c:f>
            </c:numRef>
          </c:xVal>
          <c:yVal>
            <c:numRef>
              <c:f>(Helper!GL5:GL19)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Helper!GO3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(Helper!GO5:GO19)</c:f>
            </c:numRef>
          </c:xVal>
          <c:yVal>
            <c:numRef>
              <c:f>(Helper!GP5:GP19)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Helper!EG3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(Helper!EH5:EH19)</c:f>
            </c:numRef>
          </c:xVal>
          <c:yVal>
            <c:numRef>
              <c:f>(Helper!EG5:EG19)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Helper!EK3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(Helper!EL5:EL19)</c:f>
            </c:numRef>
          </c:xVal>
          <c:yVal>
            <c:numRef>
              <c:f>(Helper!EK5:EK19)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Helper!EO3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(Helper!EP5:EP19)</c:f>
            </c:numRef>
          </c:xVal>
          <c:yVal>
            <c:numRef>
              <c:f>(Helper!EO5:EO19)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Helper!ES3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(Helper!ET5:ET19)</c:f>
            </c:numRef>
          </c:xVal>
          <c:yVal>
            <c:numRef>
              <c:f>(Helper!ES5:ES19)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Helper!EW3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(Helper!EX5:EX19)</c:f>
            </c:numRef>
          </c:xVal>
          <c:yVal>
            <c:numRef>
              <c:f>(Helper!EW5:EW19)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Helper!FA3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(Helper!FB5:FB19)</c:f>
            </c:numRef>
          </c:xVal>
          <c:yVal>
            <c:numRef>
              <c:f>(Helper!FA5:FA19)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Helper!FE3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(Helper!FF5:FF19)</c:f>
            </c:numRef>
          </c:xVal>
          <c:yVal>
            <c:numRef>
              <c:f>(Helper!FE5:FE19)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Helper!FI3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(Helper!FJ5:FJ19)</c:f>
            </c:numRef>
          </c:xVal>
          <c:yVal>
            <c:numRef>
              <c:f>(Helper!FI5:FI19)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Helper!FM3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(Helper!FN5:FN19)</c:f>
            </c:numRef>
          </c:xVal>
          <c:yVal>
            <c:numRef>
              <c:f>(Helper!FM5:FM19)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Helper!FQ3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(Helper!FR5:FR19)</c:f>
            </c:numRef>
          </c:xVal>
          <c:yVal>
            <c:numRef>
              <c:f>(Helper!FQ5:FQ19)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Helper!FU3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(Helper!FV5:FV19)</c:f>
            </c:numRef>
          </c:xVal>
          <c:yVal>
            <c:numRef>
              <c:f>(Helper!FU5:FU19)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Helper!FY3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(Helper!FZ5:FZ19)</c:f>
            </c:numRef>
          </c:xVal>
          <c:yVal>
            <c:numRef>
              <c:f>(Helper!FY5:FY19)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Helper!GC3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(Helper!GD5:GD19)</c:f>
            </c:numRef>
          </c:xVal>
          <c:yVal>
            <c:numRef>
              <c:f>(Helper!GC5:GC19)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Helper!GG3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(Helper!GH5:GH19)</c:f>
            </c:numRef>
          </c:xVal>
          <c:yVal>
            <c:numRef>
              <c:f>(Helper!GG5:GG19)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Helper!GK3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(Helper!GL5:GL19)</c:f>
            </c:numRef>
          </c:xVal>
          <c:yVal>
            <c:numRef>
              <c:f>(Helper!GK5:GK19)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Helper!GO3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(Helper!GP5:GP19)</c:f>
            </c:numRef>
          </c:xVal>
          <c:yVal>
            <c:numRef>
              <c:f>(Helper!GO5:GO19)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B1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5" width="11.42578125" customWidth="1"/>
    <col min="16" max="16" width="11.7109375" customWidth="1"/>
    <col min="17" max="33" width="11.42578125" customWidth="1"/>
    <col min="34" max="34" width="11.7109375" customWidth="1"/>
    <col min="35" max="51" width="11.42578125" customWidth="1"/>
    <col min="52" max="52" width="11.7109375" customWidth="1"/>
    <col min="53" max="69" width="11.42578125" customWidth="1"/>
    <col min="70" max="70" width="11.7109375" customWidth="1"/>
    <col min="71" max="87" width="11.42578125" customWidth="1"/>
    <col min="88" max="88" width="11.7109375" customWidth="1"/>
    <col min="89" max="105" width="11.42578125" customWidth="1"/>
    <col min="106" max="106" width="11.7109375" customWidth="1"/>
    <col min="107" max="123" width="11.42578125" customWidth="1"/>
    <col min="124" max="124" width="11.7109375" customWidth="1"/>
    <col min="125" max="141" width="11.42578125" customWidth="1"/>
    <col min="142" max="142" width="11.7109375" customWidth="1"/>
    <col min="143" max="159" width="11.42578125" customWidth="1"/>
    <col min="160" max="160" width="11.7109375" customWidth="1"/>
    <col min="161" max="177" width="11.42578125" customWidth="1"/>
    <col min="178" max="178" width="11.7109375" customWidth="1"/>
    <col min="179" max="195" width="11.42578125" customWidth="1"/>
    <col min="196" max="196" width="11.7109375" customWidth="1"/>
    <col min="197" max="213" width="11.42578125" customWidth="1"/>
    <col min="214" max="214" width="11.7109375" customWidth="1"/>
    <col min="215" max="231" width="11.42578125" customWidth="1"/>
    <col min="232" max="232" width="11.7109375" customWidth="1"/>
    <col min="233" max="249" width="11.42578125" customWidth="1"/>
    <col min="250" max="250" width="11.7109375" customWidth="1"/>
    <col min="251" max="267" width="11.42578125" customWidth="1"/>
    <col min="268" max="268" width="11.7109375" customWidth="1"/>
    <col min="269" max="285" width="11.42578125" customWidth="1"/>
    <col min="286" max="286" width="11.7109375" customWidth="1"/>
    <col min="287" max="340" width="11.42578125" customWidth="1"/>
  </cols>
  <sheetData>
    <row r="1" spans="1:340">
      <c r="A1" s="1"/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35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36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37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38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39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40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41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42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43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44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45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46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47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48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49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50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 t="s">
        <v>51</v>
      </c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52</v>
      </c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</row>
    <row r="2" spans="1:340">
      <c r="A2" s="1"/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32</v>
      </c>
      <c r="R2" s="1" t="s">
        <v>33</v>
      </c>
      <c r="S2" s="1" t="s">
        <v>34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32</v>
      </c>
      <c r="AJ2" s="1" t="s">
        <v>33</v>
      </c>
      <c r="AK2" s="1" t="s">
        <v>34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28</v>
      </c>
      <c r="AY2" s="1" t="s">
        <v>29</v>
      </c>
      <c r="AZ2" s="1" t="s">
        <v>30</v>
      </c>
      <c r="BA2" s="1" t="s">
        <v>32</v>
      </c>
      <c r="BB2" s="1" t="s">
        <v>33</v>
      </c>
      <c r="BC2" s="1" t="s">
        <v>34</v>
      </c>
      <c r="BD2" s="1" t="s">
        <v>16</v>
      </c>
      <c r="BE2" s="1" t="s">
        <v>17</v>
      </c>
      <c r="BF2" s="1" t="s">
        <v>18</v>
      </c>
      <c r="BG2" s="1" t="s">
        <v>19</v>
      </c>
      <c r="BH2" s="1" t="s">
        <v>20</v>
      </c>
      <c r="BI2" s="1" t="s">
        <v>21</v>
      </c>
      <c r="BJ2" s="1" t="s">
        <v>22</v>
      </c>
      <c r="BK2" s="1" t="s">
        <v>23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29</v>
      </c>
      <c r="BR2" s="1" t="s">
        <v>30</v>
      </c>
      <c r="BS2" s="1" t="s">
        <v>32</v>
      </c>
      <c r="BT2" s="1" t="s">
        <v>33</v>
      </c>
      <c r="BU2" s="1" t="s">
        <v>34</v>
      </c>
      <c r="BV2" s="1" t="s">
        <v>16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21</v>
      </c>
      <c r="CB2" s="1" t="s">
        <v>22</v>
      </c>
      <c r="CC2" s="1" t="s">
        <v>23</v>
      </c>
      <c r="CD2" s="1" t="s">
        <v>24</v>
      </c>
      <c r="CE2" s="1" t="s">
        <v>25</v>
      </c>
      <c r="CF2" s="1" t="s">
        <v>26</v>
      </c>
      <c r="CG2" s="1" t="s">
        <v>27</v>
      </c>
      <c r="CH2" s="1" t="s">
        <v>28</v>
      </c>
      <c r="CI2" s="1" t="s">
        <v>29</v>
      </c>
      <c r="CJ2" s="1" t="s">
        <v>30</v>
      </c>
      <c r="CK2" s="1" t="s">
        <v>32</v>
      </c>
      <c r="CL2" s="1" t="s">
        <v>33</v>
      </c>
      <c r="CM2" s="1" t="s">
        <v>34</v>
      </c>
      <c r="CN2" s="1" t="s">
        <v>16</v>
      </c>
      <c r="CO2" s="1" t="s">
        <v>17</v>
      </c>
      <c r="CP2" s="1" t="s">
        <v>18</v>
      </c>
      <c r="CQ2" s="1" t="s">
        <v>19</v>
      </c>
      <c r="CR2" s="1" t="s">
        <v>20</v>
      </c>
      <c r="CS2" s="1" t="s">
        <v>21</v>
      </c>
      <c r="CT2" s="1" t="s">
        <v>22</v>
      </c>
      <c r="CU2" s="1" t="s">
        <v>23</v>
      </c>
      <c r="CV2" s="1" t="s">
        <v>24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29</v>
      </c>
      <c r="DB2" s="1" t="s">
        <v>30</v>
      </c>
      <c r="DC2" s="1" t="s">
        <v>32</v>
      </c>
      <c r="DD2" s="1" t="s">
        <v>33</v>
      </c>
      <c r="DE2" s="1" t="s">
        <v>34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20</v>
      </c>
      <c r="DK2" s="1" t="s">
        <v>21</v>
      </c>
      <c r="DL2" s="1" t="s">
        <v>22</v>
      </c>
      <c r="DM2" s="1" t="s">
        <v>23</v>
      </c>
      <c r="DN2" s="1" t="s">
        <v>24</v>
      </c>
      <c r="DO2" s="1" t="s">
        <v>25</v>
      </c>
      <c r="DP2" s="1" t="s">
        <v>26</v>
      </c>
      <c r="DQ2" s="1" t="s">
        <v>27</v>
      </c>
      <c r="DR2" s="1" t="s">
        <v>28</v>
      </c>
      <c r="DS2" s="1" t="s">
        <v>29</v>
      </c>
      <c r="DT2" s="1" t="s">
        <v>30</v>
      </c>
      <c r="DU2" s="1" t="s">
        <v>32</v>
      </c>
      <c r="DV2" s="1" t="s">
        <v>33</v>
      </c>
      <c r="DW2" s="1" t="s">
        <v>34</v>
      </c>
      <c r="DX2" s="1" t="s">
        <v>16</v>
      </c>
      <c r="DY2" s="1" t="s">
        <v>17</v>
      </c>
      <c r="DZ2" s="1" t="s">
        <v>18</v>
      </c>
      <c r="EA2" s="1" t="s">
        <v>19</v>
      </c>
      <c r="EB2" s="1" t="s">
        <v>20</v>
      </c>
      <c r="EC2" s="1" t="s">
        <v>21</v>
      </c>
      <c r="ED2" s="1" t="s">
        <v>22</v>
      </c>
      <c r="EE2" s="1" t="s">
        <v>23</v>
      </c>
      <c r="EF2" s="1" t="s">
        <v>24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29</v>
      </c>
      <c r="EL2" s="1" t="s">
        <v>30</v>
      </c>
      <c r="EM2" s="1" t="s">
        <v>32</v>
      </c>
      <c r="EN2" s="1" t="s">
        <v>33</v>
      </c>
      <c r="EO2" s="1" t="s">
        <v>34</v>
      </c>
      <c r="EP2" s="1" t="s">
        <v>16</v>
      </c>
      <c r="EQ2" s="1" t="s">
        <v>17</v>
      </c>
      <c r="ER2" s="1" t="s">
        <v>18</v>
      </c>
      <c r="ES2" s="1" t="s">
        <v>19</v>
      </c>
      <c r="ET2" s="1" t="s">
        <v>20</v>
      </c>
      <c r="EU2" s="1" t="s">
        <v>21</v>
      </c>
      <c r="EV2" s="1" t="s">
        <v>22</v>
      </c>
      <c r="EW2" s="1" t="s">
        <v>23</v>
      </c>
      <c r="EX2" s="1" t="s">
        <v>24</v>
      </c>
      <c r="EY2" s="1" t="s">
        <v>25</v>
      </c>
      <c r="EZ2" s="1" t="s">
        <v>26</v>
      </c>
      <c r="FA2" s="1" t="s">
        <v>27</v>
      </c>
      <c r="FB2" s="1" t="s">
        <v>28</v>
      </c>
      <c r="FC2" s="1" t="s">
        <v>29</v>
      </c>
      <c r="FD2" s="1" t="s">
        <v>30</v>
      </c>
      <c r="FE2" s="1" t="s">
        <v>32</v>
      </c>
      <c r="FF2" s="1" t="s">
        <v>33</v>
      </c>
      <c r="FG2" s="1" t="s">
        <v>34</v>
      </c>
      <c r="FH2" s="1" t="s">
        <v>16</v>
      </c>
      <c r="FI2" s="1" t="s">
        <v>17</v>
      </c>
      <c r="FJ2" s="1" t="s">
        <v>18</v>
      </c>
      <c r="FK2" s="1" t="s">
        <v>19</v>
      </c>
      <c r="FL2" s="1" t="s">
        <v>20</v>
      </c>
      <c r="FM2" s="1" t="s">
        <v>21</v>
      </c>
      <c r="FN2" s="1" t="s">
        <v>22</v>
      </c>
      <c r="FO2" s="1" t="s">
        <v>23</v>
      </c>
      <c r="FP2" s="1" t="s">
        <v>24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29</v>
      </c>
      <c r="FV2" s="1" t="s">
        <v>30</v>
      </c>
      <c r="FW2" s="1" t="s">
        <v>32</v>
      </c>
      <c r="FX2" s="1" t="s">
        <v>33</v>
      </c>
      <c r="FY2" s="1" t="s">
        <v>34</v>
      </c>
      <c r="FZ2" s="1" t="s">
        <v>16</v>
      </c>
      <c r="GA2" s="1" t="s">
        <v>17</v>
      </c>
      <c r="GB2" s="1" t="s">
        <v>18</v>
      </c>
      <c r="GC2" s="1" t="s">
        <v>19</v>
      </c>
      <c r="GD2" s="1" t="s">
        <v>20</v>
      </c>
      <c r="GE2" s="1" t="s">
        <v>21</v>
      </c>
      <c r="GF2" s="1" t="s">
        <v>22</v>
      </c>
      <c r="GG2" s="1" t="s">
        <v>23</v>
      </c>
      <c r="GH2" s="1" t="s">
        <v>24</v>
      </c>
      <c r="GI2" s="1" t="s">
        <v>25</v>
      </c>
      <c r="GJ2" s="1" t="s">
        <v>26</v>
      </c>
      <c r="GK2" s="1" t="s">
        <v>27</v>
      </c>
      <c r="GL2" s="1" t="s">
        <v>28</v>
      </c>
      <c r="GM2" s="1" t="s">
        <v>29</v>
      </c>
      <c r="GN2" s="1" t="s">
        <v>30</v>
      </c>
      <c r="GO2" s="1" t="s">
        <v>32</v>
      </c>
      <c r="GP2" s="1" t="s">
        <v>33</v>
      </c>
      <c r="GQ2" s="1" t="s">
        <v>34</v>
      </c>
      <c r="GR2" s="1" t="s">
        <v>16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21</v>
      </c>
      <c r="GX2" s="1" t="s">
        <v>22</v>
      </c>
      <c r="GY2" s="1" t="s">
        <v>23</v>
      </c>
      <c r="GZ2" s="1" t="s">
        <v>24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29</v>
      </c>
      <c r="HF2" s="1" t="s">
        <v>30</v>
      </c>
      <c r="HG2" s="1" t="s">
        <v>32</v>
      </c>
      <c r="HH2" s="1" t="s">
        <v>33</v>
      </c>
      <c r="HI2" s="1" t="s">
        <v>34</v>
      </c>
      <c r="HJ2" s="1" t="s">
        <v>16</v>
      </c>
      <c r="HK2" s="1" t="s">
        <v>17</v>
      </c>
      <c r="HL2" s="1" t="s">
        <v>18</v>
      </c>
      <c r="HM2" s="1" t="s">
        <v>19</v>
      </c>
      <c r="HN2" s="1" t="s">
        <v>20</v>
      </c>
      <c r="HO2" s="1" t="s">
        <v>21</v>
      </c>
      <c r="HP2" s="1" t="s">
        <v>22</v>
      </c>
      <c r="HQ2" s="1" t="s">
        <v>23</v>
      </c>
      <c r="HR2" s="1" t="s">
        <v>24</v>
      </c>
      <c r="HS2" s="1" t="s">
        <v>25</v>
      </c>
      <c r="HT2" s="1" t="s">
        <v>26</v>
      </c>
      <c r="HU2" s="1" t="s">
        <v>27</v>
      </c>
      <c r="HV2" s="1" t="s">
        <v>28</v>
      </c>
      <c r="HW2" s="1" t="s">
        <v>29</v>
      </c>
      <c r="HX2" s="1" t="s">
        <v>30</v>
      </c>
      <c r="HY2" s="1" t="s">
        <v>32</v>
      </c>
      <c r="HZ2" s="1" t="s">
        <v>33</v>
      </c>
      <c r="IA2" s="1" t="s">
        <v>34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20</v>
      </c>
      <c r="IG2" s="1" t="s">
        <v>21</v>
      </c>
      <c r="IH2" s="1" t="s">
        <v>22</v>
      </c>
      <c r="II2" s="1" t="s">
        <v>23</v>
      </c>
      <c r="IJ2" s="1" t="s">
        <v>24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29</v>
      </c>
      <c r="IP2" s="1" t="s">
        <v>30</v>
      </c>
      <c r="IQ2" s="1" t="s">
        <v>32</v>
      </c>
      <c r="IR2" s="1" t="s">
        <v>33</v>
      </c>
      <c r="IS2" s="1" t="s">
        <v>34</v>
      </c>
      <c r="IT2" s="1" t="s">
        <v>16</v>
      </c>
      <c r="IU2" s="1" t="s">
        <v>17</v>
      </c>
      <c r="IV2" s="1" t="s">
        <v>18</v>
      </c>
      <c r="IW2" s="1" t="s">
        <v>19</v>
      </c>
      <c r="IX2" s="1" t="s">
        <v>20</v>
      </c>
      <c r="IY2" s="1" t="s">
        <v>21</v>
      </c>
      <c r="IZ2" s="1" t="s">
        <v>22</v>
      </c>
      <c r="JA2" s="1" t="s">
        <v>23</v>
      </c>
      <c r="JB2" s="1" t="s">
        <v>24</v>
      </c>
      <c r="JC2" s="1" t="s">
        <v>25</v>
      </c>
      <c r="JD2" s="1" t="s">
        <v>26</v>
      </c>
      <c r="JE2" s="1" t="s">
        <v>27</v>
      </c>
      <c r="JF2" s="1" t="s">
        <v>28</v>
      </c>
      <c r="JG2" s="1" t="s">
        <v>29</v>
      </c>
      <c r="JH2" s="1" t="s">
        <v>30</v>
      </c>
      <c r="JI2" s="1" t="s">
        <v>32</v>
      </c>
      <c r="JJ2" s="1" t="s">
        <v>33</v>
      </c>
      <c r="JK2" s="1" t="s">
        <v>34</v>
      </c>
      <c r="JL2" s="1" t="s">
        <v>16</v>
      </c>
      <c r="JM2" s="1" t="s">
        <v>17</v>
      </c>
      <c r="JN2" s="1" t="s">
        <v>18</v>
      </c>
      <c r="JO2" s="1" t="s">
        <v>19</v>
      </c>
      <c r="JP2" s="1" t="s">
        <v>20</v>
      </c>
      <c r="JQ2" s="1" t="s">
        <v>21</v>
      </c>
      <c r="JR2" s="1" t="s">
        <v>22</v>
      </c>
      <c r="JS2" s="1" t="s">
        <v>23</v>
      </c>
      <c r="JT2" s="1" t="s">
        <v>24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29</v>
      </c>
      <c r="JZ2" s="1" t="s">
        <v>30</v>
      </c>
      <c r="KA2" s="1" t="s">
        <v>32</v>
      </c>
      <c r="KB2" s="1" t="s">
        <v>33</v>
      </c>
      <c r="KC2" s="1" t="s">
        <v>34</v>
      </c>
      <c r="KD2" s="1" t="s">
        <v>16</v>
      </c>
      <c r="KE2" s="1" t="s">
        <v>17</v>
      </c>
      <c r="KF2" s="1" t="s">
        <v>18</v>
      </c>
      <c r="KG2" s="1" t="s">
        <v>19</v>
      </c>
      <c r="KH2" s="1" t="s">
        <v>20</v>
      </c>
      <c r="KI2" s="1" t="s">
        <v>21</v>
      </c>
      <c r="KJ2" s="1" t="s">
        <v>22</v>
      </c>
      <c r="KK2" s="1" t="s">
        <v>23</v>
      </c>
      <c r="KL2" s="1" t="s">
        <v>24</v>
      </c>
      <c r="KM2" s="1" t="s">
        <v>25</v>
      </c>
      <c r="KN2" s="1" t="s">
        <v>26</v>
      </c>
      <c r="KO2" s="1" t="s">
        <v>27</v>
      </c>
      <c r="KP2" s="1" t="s">
        <v>28</v>
      </c>
      <c r="KQ2" s="1" t="s">
        <v>29</v>
      </c>
      <c r="KR2" s="1" t="s">
        <v>32</v>
      </c>
      <c r="KS2" s="1" t="s">
        <v>33</v>
      </c>
      <c r="KT2" s="1" t="s">
        <v>34</v>
      </c>
      <c r="KU2" s="1" t="s">
        <v>16</v>
      </c>
      <c r="KV2" s="1" t="s">
        <v>17</v>
      </c>
      <c r="KW2" s="1" t="s">
        <v>18</v>
      </c>
      <c r="KX2" s="1" t="s">
        <v>19</v>
      </c>
      <c r="KY2" s="1" t="s">
        <v>20</v>
      </c>
      <c r="KZ2" s="1" t="s">
        <v>21</v>
      </c>
      <c r="LA2" s="1" t="s">
        <v>22</v>
      </c>
      <c r="LB2" s="1" t="s">
        <v>23</v>
      </c>
      <c r="LC2" s="1" t="s">
        <v>24</v>
      </c>
      <c r="LD2" s="1" t="s">
        <v>25</v>
      </c>
      <c r="LE2" s="1" t="s">
        <v>26</v>
      </c>
      <c r="LF2" s="1" t="s">
        <v>27</v>
      </c>
      <c r="LG2" s="1" t="s">
        <v>28</v>
      </c>
      <c r="LH2" s="1" t="s">
        <v>29</v>
      </c>
      <c r="LI2" s="1" t="s">
        <v>32</v>
      </c>
      <c r="LJ2" s="1" t="s">
        <v>33</v>
      </c>
      <c r="LK2" s="1" t="s">
        <v>34</v>
      </c>
      <c r="LL2" s="1" t="s">
        <v>16</v>
      </c>
      <c r="LM2" s="1" t="s">
        <v>17</v>
      </c>
      <c r="LN2" s="1" t="s">
        <v>18</v>
      </c>
      <c r="LO2" s="1" t="s">
        <v>19</v>
      </c>
      <c r="LP2" s="1" t="s">
        <v>20</v>
      </c>
      <c r="LQ2" s="1" t="s">
        <v>21</v>
      </c>
      <c r="LR2" s="1" t="s">
        <v>22</v>
      </c>
      <c r="LS2" s="1" t="s">
        <v>23</v>
      </c>
      <c r="LT2" s="1" t="s">
        <v>24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29</v>
      </c>
      <c r="LZ2" s="1" t="s">
        <v>32</v>
      </c>
      <c r="MA2" s="1" t="s">
        <v>33</v>
      </c>
      <c r="MB2" s="1" t="s">
        <v>34</v>
      </c>
    </row>
    <row r="3" spans="1:340">
      <c r="A3" s="1" t="s">
        <v>0</v>
      </c>
      <c r="B3" s="1">
        <v>76</v>
      </c>
      <c r="C3" s="1">
        <v>3</v>
      </c>
      <c r="D3" s="1">
        <v>0.001</v>
      </c>
      <c r="E3" s="1">
        <v>0</v>
      </c>
      <c r="F3" s="1">
        <v>170</v>
      </c>
      <c r="G3" s="1">
        <v>0</v>
      </c>
      <c r="H3" s="1">
        <v>0.001</v>
      </c>
      <c r="I3" s="1">
        <v>0</v>
      </c>
      <c r="J3" s="1">
        <v>0</v>
      </c>
      <c r="K3" s="1">
        <v>1</v>
      </c>
      <c r="L3" s="1">
        <v>0.03</v>
      </c>
      <c r="M3" s="1">
        <v>0</v>
      </c>
      <c r="N3" s="1">
        <v>178</v>
      </c>
      <c r="O3" s="1">
        <v>0</v>
      </c>
      <c r="P3" s="1" t="s">
        <v>31</v>
      </c>
      <c r="Q3" s="1">
        <v>0.03</v>
      </c>
      <c r="R3" s="1">
        <v>0</v>
      </c>
      <c r="S3" s="1">
        <v>48</v>
      </c>
      <c r="T3" s="1">
        <v>91</v>
      </c>
      <c r="U3" s="1">
        <v>4</v>
      </c>
      <c r="V3" s="1">
        <v>0.001</v>
      </c>
      <c r="W3" s="1">
        <v>2</v>
      </c>
      <c r="X3" s="1">
        <v>220</v>
      </c>
      <c r="Y3" s="1">
        <v>0</v>
      </c>
      <c r="Z3" s="1">
        <v>0.001</v>
      </c>
      <c r="AA3" s="1">
        <v>0</v>
      </c>
      <c r="AB3" s="1">
        <v>0</v>
      </c>
      <c r="AC3" s="1">
        <v>1</v>
      </c>
      <c r="AD3" s="1">
        <v>0.03</v>
      </c>
      <c r="AE3" s="1">
        <v>0</v>
      </c>
      <c r="AF3" s="1">
        <v>203</v>
      </c>
      <c r="AG3" s="1">
        <v>0</v>
      </c>
      <c r="AH3" s="1" t="s">
        <v>31</v>
      </c>
      <c r="AI3" s="1">
        <v>0.03</v>
      </c>
      <c r="AJ3" s="1">
        <v>0</v>
      </c>
      <c r="AK3" s="1">
        <v>64</v>
      </c>
      <c r="AL3" s="1">
        <v>91</v>
      </c>
      <c r="AM3" s="1">
        <v>4</v>
      </c>
      <c r="AN3" s="1">
        <v>0.001</v>
      </c>
      <c r="AO3" s="1">
        <v>2</v>
      </c>
      <c r="AP3" s="1">
        <v>346</v>
      </c>
      <c r="AQ3" s="1">
        <v>0</v>
      </c>
      <c r="AR3" s="1">
        <v>0.001</v>
      </c>
      <c r="AS3" s="1">
        <v>0</v>
      </c>
      <c r="AT3" s="1">
        <v>0</v>
      </c>
      <c r="AU3" s="1">
        <v>1</v>
      </c>
      <c r="AV3" s="1">
        <v>0.03</v>
      </c>
      <c r="AW3" s="1">
        <v>0</v>
      </c>
      <c r="AX3" s="1">
        <v>203</v>
      </c>
      <c r="AY3" s="1">
        <v>0</v>
      </c>
      <c r="AZ3" s="1" t="s">
        <v>31</v>
      </c>
      <c r="BA3" s="1">
        <v>0.03</v>
      </c>
      <c r="BB3" s="1">
        <v>0</v>
      </c>
      <c r="BC3" s="1">
        <v>106</v>
      </c>
      <c r="BD3" s="1">
        <v>57</v>
      </c>
      <c r="BE3" s="1">
        <v>4</v>
      </c>
      <c r="BF3" s="1">
        <v>0.001</v>
      </c>
      <c r="BG3" s="1">
        <v>2</v>
      </c>
      <c r="BH3" s="1">
        <v>138</v>
      </c>
      <c r="BI3" s="1">
        <v>0</v>
      </c>
      <c r="BJ3" s="1">
        <v>0.001</v>
      </c>
      <c r="BK3" s="1">
        <v>0</v>
      </c>
      <c r="BL3" s="1">
        <v>0</v>
      </c>
      <c r="BM3" s="1">
        <v>1</v>
      </c>
      <c r="BN3" s="1">
        <v>0.03</v>
      </c>
      <c r="BO3" s="1">
        <v>0</v>
      </c>
      <c r="BP3" s="1">
        <v>107</v>
      </c>
      <c r="BQ3" s="1">
        <v>0</v>
      </c>
      <c r="BR3" s="1" t="s">
        <v>31</v>
      </c>
      <c r="BS3" s="1">
        <v>0.03</v>
      </c>
      <c r="BT3" s="1">
        <v>0</v>
      </c>
      <c r="BU3" s="1">
        <v>37</v>
      </c>
      <c r="BV3" s="1">
        <v>59</v>
      </c>
      <c r="BW3" s="1">
        <v>3</v>
      </c>
      <c r="BX3" s="1">
        <v>0.001</v>
      </c>
      <c r="BY3" s="1">
        <v>0</v>
      </c>
      <c r="BZ3" s="1">
        <v>138</v>
      </c>
      <c r="CA3" s="1">
        <v>0</v>
      </c>
      <c r="CB3" s="1">
        <v>0.001</v>
      </c>
      <c r="CC3" s="1">
        <v>0</v>
      </c>
      <c r="CD3" s="1">
        <v>0</v>
      </c>
      <c r="CE3" s="1">
        <v>1</v>
      </c>
      <c r="CF3" s="1">
        <v>0.03</v>
      </c>
      <c r="CG3" s="1">
        <v>0</v>
      </c>
      <c r="CH3" s="1">
        <v>109</v>
      </c>
      <c r="CI3" s="1">
        <v>0</v>
      </c>
      <c r="CJ3" s="1" t="s">
        <v>31</v>
      </c>
      <c r="CK3" s="1">
        <v>0.03</v>
      </c>
      <c r="CL3" s="1">
        <v>0</v>
      </c>
      <c r="CM3" s="1">
        <v>37</v>
      </c>
      <c r="CN3" s="1">
        <v>135</v>
      </c>
      <c r="CO3" s="1">
        <v>4</v>
      </c>
      <c r="CP3" s="1">
        <v>0.002</v>
      </c>
      <c r="CQ3" s="1">
        <v>2</v>
      </c>
      <c r="CR3" s="1">
        <v>340</v>
      </c>
      <c r="CS3" s="1">
        <v>0</v>
      </c>
      <c r="CT3" s="1">
        <v>0.002</v>
      </c>
      <c r="CU3" s="1">
        <v>0</v>
      </c>
      <c r="CV3" s="1">
        <v>0</v>
      </c>
      <c r="CW3" s="1">
        <v>1</v>
      </c>
      <c r="CX3" s="1">
        <v>0.03</v>
      </c>
      <c r="CY3" s="1">
        <v>0</v>
      </c>
      <c r="CZ3" s="1">
        <v>205</v>
      </c>
      <c r="DA3" s="1">
        <v>0</v>
      </c>
      <c r="DB3" s="1" t="s">
        <v>31</v>
      </c>
      <c r="DC3" s="1">
        <v>0.03</v>
      </c>
      <c r="DD3" s="1">
        <v>0</v>
      </c>
      <c r="DE3" s="1">
        <v>103</v>
      </c>
      <c r="DF3" s="1">
        <v>14</v>
      </c>
      <c r="DG3" s="1">
        <v>1</v>
      </c>
      <c r="DH3" s="1">
        <v>0.001</v>
      </c>
      <c r="DI3" s="1">
        <v>0</v>
      </c>
      <c r="DJ3" s="1">
        <v>6</v>
      </c>
      <c r="DK3" s="1">
        <v>0</v>
      </c>
      <c r="DL3" s="1">
        <v>0.001</v>
      </c>
      <c r="DM3" s="1">
        <v>0</v>
      </c>
      <c r="DN3" s="1">
        <v>0</v>
      </c>
      <c r="DO3" s="1">
        <v>1</v>
      </c>
      <c r="DP3" s="1">
        <v>0.03</v>
      </c>
      <c r="DQ3" s="1">
        <v>0</v>
      </c>
      <c r="DR3" s="1">
        <v>17</v>
      </c>
      <c r="DS3" s="1">
        <v>0</v>
      </c>
      <c r="DT3" s="1" t="s">
        <v>31</v>
      </c>
      <c r="DU3" s="1">
        <v>0.03</v>
      </c>
      <c r="DV3" s="1">
        <v>0</v>
      </c>
      <c r="DW3" s="1">
        <v>5</v>
      </c>
      <c r="DX3" s="1">
        <v>59</v>
      </c>
      <c r="DY3" s="1">
        <v>4</v>
      </c>
      <c r="DZ3" s="1">
        <v>0.001</v>
      </c>
      <c r="EA3" s="1">
        <v>2</v>
      </c>
      <c r="EB3" s="1">
        <v>138</v>
      </c>
      <c r="EC3" s="1">
        <v>0</v>
      </c>
      <c r="ED3" s="1">
        <v>0.001</v>
      </c>
      <c r="EE3" s="1">
        <v>0</v>
      </c>
      <c r="EF3" s="1">
        <v>0</v>
      </c>
      <c r="EG3" s="1">
        <v>1</v>
      </c>
      <c r="EH3" s="1">
        <v>0.03</v>
      </c>
      <c r="EI3" s="1">
        <v>0</v>
      </c>
      <c r="EJ3" s="1">
        <v>109</v>
      </c>
      <c r="EK3" s="1">
        <v>0</v>
      </c>
      <c r="EL3" s="1" t="s">
        <v>31</v>
      </c>
      <c r="EM3" s="1">
        <v>0.03</v>
      </c>
      <c r="EN3" s="1">
        <v>0</v>
      </c>
      <c r="EO3" s="1">
        <v>37</v>
      </c>
      <c r="EP3" s="1">
        <v>76</v>
      </c>
      <c r="EQ3" s="1">
        <v>3</v>
      </c>
      <c r="ER3" s="1">
        <v>0.001</v>
      </c>
      <c r="ES3" s="1">
        <v>0</v>
      </c>
      <c r="ET3" s="1">
        <v>170</v>
      </c>
      <c r="EU3" s="1">
        <v>0</v>
      </c>
      <c r="EV3" s="1">
        <v>0.001</v>
      </c>
      <c r="EW3" s="1">
        <v>0</v>
      </c>
      <c r="EX3" s="1">
        <v>0</v>
      </c>
      <c r="EY3" s="1">
        <v>1</v>
      </c>
      <c r="EZ3" s="1">
        <v>0.03</v>
      </c>
      <c r="FA3" s="1">
        <v>0</v>
      </c>
      <c r="FB3" s="1">
        <v>178</v>
      </c>
      <c r="FC3" s="1">
        <v>0</v>
      </c>
      <c r="FD3" s="1" t="s">
        <v>31</v>
      </c>
      <c r="FE3" s="1">
        <v>0.03</v>
      </c>
      <c r="FF3" s="1">
        <v>0</v>
      </c>
      <c r="FG3" s="1">
        <v>48</v>
      </c>
      <c r="FH3" s="1">
        <v>91</v>
      </c>
      <c r="FI3" s="1">
        <v>4</v>
      </c>
      <c r="FJ3" s="1">
        <v>0.001</v>
      </c>
      <c r="FK3" s="1">
        <v>2</v>
      </c>
      <c r="FL3" s="1">
        <v>220</v>
      </c>
      <c r="FM3" s="1">
        <v>0</v>
      </c>
      <c r="FN3" s="1">
        <v>0.001</v>
      </c>
      <c r="FO3" s="1">
        <v>0</v>
      </c>
      <c r="FP3" s="1">
        <v>0</v>
      </c>
      <c r="FQ3" s="1">
        <v>1</v>
      </c>
      <c r="FR3" s="1">
        <v>0.03</v>
      </c>
      <c r="FS3" s="1">
        <v>0</v>
      </c>
      <c r="FT3" s="1">
        <v>203</v>
      </c>
      <c r="FU3" s="1">
        <v>0</v>
      </c>
      <c r="FV3" s="1" t="s">
        <v>31</v>
      </c>
      <c r="FW3" s="1">
        <v>0.03</v>
      </c>
      <c r="FX3" s="1">
        <v>0</v>
      </c>
      <c r="FY3" s="1">
        <v>64</v>
      </c>
      <c r="FZ3" s="1">
        <v>91</v>
      </c>
      <c r="GA3" s="1">
        <v>4</v>
      </c>
      <c r="GB3" s="1">
        <v>0.001</v>
      </c>
      <c r="GC3" s="1">
        <v>2</v>
      </c>
      <c r="GD3" s="1">
        <v>346</v>
      </c>
      <c r="GE3" s="1">
        <v>0</v>
      </c>
      <c r="GF3" s="1">
        <v>0.001</v>
      </c>
      <c r="GG3" s="1">
        <v>0</v>
      </c>
      <c r="GH3" s="1">
        <v>0</v>
      </c>
      <c r="GI3" s="1">
        <v>1</v>
      </c>
      <c r="GJ3" s="1">
        <v>0.03</v>
      </c>
      <c r="GK3" s="1">
        <v>0</v>
      </c>
      <c r="GL3" s="1">
        <v>203</v>
      </c>
      <c r="GM3" s="1">
        <v>0</v>
      </c>
      <c r="GN3" s="1" t="s">
        <v>31</v>
      </c>
      <c r="GO3" s="1">
        <v>0.03</v>
      </c>
      <c r="GP3" s="1">
        <v>0</v>
      </c>
      <c r="GQ3" s="1">
        <v>106</v>
      </c>
      <c r="GR3" s="1">
        <v>57</v>
      </c>
      <c r="GS3" s="1">
        <v>4</v>
      </c>
      <c r="GT3" s="1">
        <v>0.001</v>
      </c>
      <c r="GU3" s="1">
        <v>2</v>
      </c>
      <c r="GV3" s="1">
        <v>138</v>
      </c>
      <c r="GW3" s="1">
        <v>0</v>
      </c>
      <c r="GX3" s="1">
        <v>0.001</v>
      </c>
      <c r="GY3" s="1">
        <v>0</v>
      </c>
      <c r="GZ3" s="1">
        <v>0</v>
      </c>
      <c r="HA3" s="1">
        <v>1</v>
      </c>
      <c r="HB3" s="1">
        <v>0.04</v>
      </c>
      <c r="HC3" s="1">
        <v>0</v>
      </c>
      <c r="HD3" s="1">
        <v>107</v>
      </c>
      <c r="HE3" s="1">
        <v>0</v>
      </c>
      <c r="HF3" s="1" t="s">
        <v>31</v>
      </c>
      <c r="HG3" s="1">
        <v>0.04</v>
      </c>
      <c r="HH3" s="1">
        <v>0</v>
      </c>
      <c r="HI3" s="1">
        <v>37</v>
      </c>
      <c r="HJ3" s="1">
        <v>60</v>
      </c>
      <c r="HK3" s="1">
        <v>3</v>
      </c>
      <c r="HL3" s="1">
        <v>0.028</v>
      </c>
      <c r="HM3" s="1">
        <v>0</v>
      </c>
      <c r="HN3" s="1">
        <v>138</v>
      </c>
      <c r="HO3" s="1">
        <v>0</v>
      </c>
      <c r="HP3" s="1">
        <v>0.028</v>
      </c>
      <c r="HQ3" s="1">
        <v>0</v>
      </c>
      <c r="HR3" s="1">
        <v>0</v>
      </c>
      <c r="HS3" s="1">
        <v>1</v>
      </c>
      <c r="HT3" s="1">
        <v>0.05</v>
      </c>
      <c r="HU3" s="1">
        <v>0</v>
      </c>
      <c r="HV3" s="1">
        <v>110</v>
      </c>
      <c r="HW3" s="1">
        <v>0</v>
      </c>
      <c r="HX3" s="1" t="s">
        <v>31</v>
      </c>
      <c r="HY3" s="1">
        <v>0.05</v>
      </c>
      <c r="HZ3" s="1">
        <v>0</v>
      </c>
      <c r="IA3" s="1">
        <v>37</v>
      </c>
      <c r="IB3" s="1">
        <v>136</v>
      </c>
      <c r="IC3" s="1">
        <v>4</v>
      </c>
      <c r="ID3" s="1">
        <v>0.029</v>
      </c>
      <c r="IE3" s="1">
        <v>2</v>
      </c>
      <c r="IF3" s="1">
        <v>340</v>
      </c>
      <c r="IG3" s="1">
        <v>0</v>
      </c>
      <c r="IH3" s="1">
        <v>0.029</v>
      </c>
      <c r="II3" s="1">
        <v>0</v>
      </c>
      <c r="IJ3" s="1">
        <v>0</v>
      </c>
      <c r="IK3" s="1">
        <v>1</v>
      </c>
      <c r="IL3" s="1">
        <v>0.06</v>
      </c>
      <c r="IM3" s="1">
        <v>0</v>
      </c>
      <c r="IN3" s="1">
        <v>206</v>
      </c>
      <c r="IO3" s="1">
        <v>0</v>
      </c>
      <c r="IP3" s="1" t="s">
        <v>31</v>
      </c>
      <c r="IQ3" s="1">
        <v>0.06</v>
      </c>
      <c r="IR3" s="1">
        <v>0</v>
      </c>
      <c r="IS3" s="1">
        <v>103</v>
      </c>
      <c r="IT3" s="1">
        <v>15</v>
      </c>
      <c r="IU3" s="1">
        <v>1</v>
      </c>
      <c r="IV3" s="1">
        <v>0.027</v>
      </c>
      <c r="IW3" s="1">
        <v>0</v>
      </c>
      <c r="IX3" s="1">
        <v>6</v>
      </c>
      <c r="IY3" s="1">
        <v>0</v>
      </c>
      <c r="IZ3" s="1">
        <v>0.027</v>
      </c>
      <c r="JA3" s="1">
        <v>0</v>
      </c>
      <c r="JB3" s="1">
        <v>0</v>
      </c>
      <c r="JC3" s="1">
        <v>1</v>
      </c>
      <c r="JD3" s="1">
        <v>0.05</v>
      </c>
      <c r="JE3" s="1">
        <v>0</v>
      </c>
      <c r="JF3" s="1">
        <v>18</v>
      </c>
      <c r="JG3" s="1">
        <v>0</v>
      </c>
      <c r="JH3" s="1" t="s">
        <v>31</v>
      </c>
      <c r="JI3" s="1">
        <v>0.05</v>
      </c>
      <c r="JJ3" s="1">
        <v>0</v>
      </c>
      <c r="JK3" s="1">
        <v>5</v>
      </c>
      <c r="JL3" s="1">
        <v>60</v>
      </c>
      <c r="JM3" s="1">
        <v>4</v>
      </c>
      <c r="JN3" s="1">
        <v>0.027</v>
      </c>
      <c r="JO3" s="1">
        <v>2</v>
      </c>
      <c r="JP3" s="1">
        <v>138</v>
      </c>
      <c r="JQ3" s="1">
        <v>0</v>
      </c>
      <c r="JR3" s="1">
        <v>0.027</v>
      </c>
      <c r="JS3" s="1">
        <v>0</v>
      </c>
      <c r="JT3" s="1">
        <v>0</v>
      </c>
      <c r="JU3" s="1">
        <v>1</v>
      </c>
      <c r="JV3" s="1">
        <v>0.05</v>
      </c>
      <c r="JW3" s="1">
        <v>0</v>
      </c>
      <c r="JX3" s="1">
        <v>110</v>
      </c>
      <c r="JY3" s="1">
        <v>0</v>
      </c>
      <c r="JZ3" s="1" t="s">
        <v>31</v>
      </c>
      <c r="KA3" s="1">
        <v>0.05</v>
      </c>
      <c r="KB3" s="1">
        <v>0</v>
      </c>
      <c r="KC3" s="1">
        <v>37</v>
      </c>
      <c r="KD3" s="1">
        <f>MIN($B3,$T3,$AL3,$BD3,$BV3,$CN3,$DF3,$DX3,$EP3,$FH3,$FZ3,$GR3,$HJ3,$IB3,$IT3,$JL3)</f>
        <v>0</v>
      </c>
      <c r="KE3" s="1">
        <f>MIN($C3,$U3,$AM3,$BE3,$BW3,$CO3,$DG3,$DY3,$EQ3,$FI3,$GA3,$GS3,$HK3,$IC3,$IU3,$JM3)</f>
        <v>0</v>
      </c>
      <c r="KF3" s="1">
        <f>MIN($D3,$V3,$AN3,$BF3,$BX3,$CP3,$DH3,$DZ3,$ER3,$FJ3,$GB3,$GT3,$HL3,$ID3,$IV3,$JN3)</f>
        <v>0</v>
      </c>
      <c r="KG3" s="1">
        <f>MIN($E3,$W3,$AO3,$BG3,$BY3,$CQ3,$DI3,$EA3,$ES3,$FK3,$GC3,$GU3,$HM3,$IE3,$IW3,$JO3)</f>
        <v>0</v>
      </c>
      <c r="KH3" s="1">
        <f>MIN($F3,$X3,$AP3,$BH3,$BZ3,$CR3,$DJ3,$EB3,$ET3,$FL3,$GD3,$GV3,$HN3,$IF3,$IX3,$JP3)</f>
        <v>0</v>
      </c>
      <c r="KI3" s="1">
        <f>MIN($G3,$Y3,$AQ3,$BI3,$CA3,$CS3,$DK3,$EC3,$EU3,$FM3,$GE3,$GW3,$HO3,$IG3,$IY3,$JQ3)</f>
        <v>0</v>
      </c>
      <c r="KJ3" s="1">
        <f>MIN($H3,$Z3,$AR3,$BJ3,$CB3,$CT3,$DL3,$ED3,$EV3,$FN3,$GF3,$GX3,$HP3,$IH3,$IZ3,$JR3)</f>
        <v>0</v>
      </c>
      <c r="KK3" s="1">
        <f>MIN($I3,$AA3,$AS3,$BK3,$CC3,$CU3,$DM3,$EE3,$EW3,$FO3,$GG3,$GY3,$HQ3,$II3,$JA3,$JS3)</f>
        <v>0</v>
      </c>
      <c r="KL3" s="1">
        <f>MIN($J3,$AB3,$AT3,$BL3,$CD3,$CV3,$DN3,$EF3,$EX3,$FP3,$GH3,$GZ3,$HR3,$IJ3,$JB3,$JT3)</f>
        <v>0</v>
      </c>
      <c r="KM3" s="1">
        <f>MIN($K3,$AC3,$AU3,$BM3,$CE3,$CW3,$DO3,$EG3,$EY3,$FQ3,$GI3,$HA3,$HS3,$IK3,$JC3,$JU3)</f>
        <v>0</v>
      </c>
      <c r="KN3" s="1">
        <f>MIN($L3,$AD3,$AV3,$BN3,$CF3,$CX3,$DP3,$EH3,$EZ3,$FR3,$GJ3,$HB3,$HT3,$IL3,$JD3,$JV3)</f>
        <v>0</v>
      </c>
      <c r="KO3" s="1">
        <f>MIN($M3,$AE3,$AW3,$BO3,$CG3,$CY3,$DQ3,$EI3,$FA3,$FS3,$GK3,$HC3,$HU3,$IM3,$JE3,$JW3)</f>
        <v>0</v>
      </c>
      <c r="KP3" s="1">
        <f>MIN($N3,$AF3,$AX3,$BP3,$CH3,$CZ3,$DR3,$EJ3,$FB3,$FT3,$GL3,$HD3,$HV3,$IN3,$JF3,$JX3)</f>
        <v>0</v>
      </c>
      <c r="KQ3" s="1">
        <f>MIN($O3,$AG3,$AY3,$BQ3,$CI3,$DA3,$DS3,$EK3,$FC3,$FU3,$GM3,$HE3,$HW3,$IO3,$JG3,$JY3)</f>
        <v>0</v>
      </c>
      <c r="KR3" s="1">
        <f>MIN($Q3,$AI3,$BA3,$BS3,$CK3,$DC3,$DU3,$EM3,$FE3,$FW3,$GO3,$HG3,$HY3,$IQ3,$JI3,$KA3)</f>
        <v>0</v>
      </c>
      <c r="KS3" s="1">
        <f>MIN($R3,$AJ3,$BB3,$BT3,$CL3,$DD3,$DV3,$EN3,$FF3,$FX3,$GP3,$HH3,$HZ3,$IR3,$JJ3,$KB3)</f>
        <v>0</v>
      </c>
      <c r="KT3" s="1">
        <f>MIN($S3,$AK3,$BC3,$BU3,$CM3,$DE3,$DW3,$EO3,$FG3,$FY3,$GQ3,$HI3,$IA3,$IS3,$JK3,$KC3)</f>
        <v>0</v>
      </c>
      <c r="KU3" s="1">
        <f>MEDIAN($B3,$T3,$AL3,$BD3,$BV3,$CN3,$DF3,$DX3,$EP3,$FH3,$FZ3,$GR3,$HJ3,$IB3,$IT3,$JL3)</f>
        <v>0</v>
      </c>
      <c r="KV3" s="1">
        <f>MEDIAN($C3,$U3,$AM3,$BE3,$BW3,$CO3,$DG3,$DY3,$EQ3,$FI3,$GA3,$GS3,$HK3,$IC3,$IU3,$JM3)</f>
        <v>0</v>
      </c>
      <c r="KW3" s="1">
        <f>MEDIAN($D3,$V3,$AN3,$BF3,$BX3,$CP3,$DH3,$DZ3,$ER3,$FJ3,$GB3,$GT3,$HL3,$ID3,$IV3,$JN3)</f>
        <v>0</v>
      </c>
      <c r="KX3" s="1">
        <f>MEDIAN($E3,$W3,$AO3,$BG3,$BY3,$CQ3,$DI3,$EA3,$ES3,$FK3,$GC3,$GU3,$HM3,$IE3,$IW3,$JO3)</f>
        <v>0</v>
      </c>
      <c r="KY3" s="1">
        <f>MEDIAN($F3,$X3,$AP3,$BH3,$BZ3,$CR3,$DJ3,$EB3,$ET3,$FL3,$GD3,$GV3,$HN3,$IF3,$IX3,$JP3)</f>
        <v>0</v>
      </c>
      <c r="KZ3" s="1">
        <f>MEDIAN($G3,$Y3,$AQ3,$BI3,$CA3,$CS3,$DK3,$EC3,$EU3,$FM3,$GE3,$GW3,$HO3,$IG3,$IY3,$JQ3)</f>
        <v>0</v>
      </c>
      <c r="LA3" s="1">
        <f>MEDIAN($H3,$Z3,$AR3,$BJ3,$CB3,$CT3,$DL3,$ED3,$EV3,$FN3,$GF3,$GX3,$HP3,$IH3,$IZ3,$JR3)</f>
        <v>0</v>
      </c>
      <c r="LB3" s="1">
        <f>MEDIAN($I3,$AA3,$AS3,$BK3,$CC3,$CU3,$DM3,$EE3,$EW3,$FO3,$GG3,$GY3,$HQ3,$II3,$JA3,$JS3)</f>
        <v>0</v>
      </c>
      <c r="LC3" s="1">
        <f>MEDIAN($J3,$AB3,$AT3,$BL3,$CD3,$CV3,$DN3,$EF3,$EX3,$FP3,$GH3,$GZ3,$HR3,$IJ3,$JB3,$JT3)</f>
        <v>0</v>
      </c>
      <c r="LD3" s="1">
        <f>MEDIAN($K3,$AC3,$AU3,$BM3,$CE3,$CW3,$DO3,$EG3,$EY3,$FQ3,$GI3,$HA3,$HS3,$IK3,$JC3,$JU3)</f>
        <v>0</v>
      </c>
      <c r="LE3" s="1">
        <f>MEDIAN($L3,$AD3,$AV3,$BN3,$CF3,$CX3,$DP3,$EH3,$EZ3,$FR3,$GJ3,$HB3,$HT3,$IL3,$JD3,$JV3)</f>
        <v>0</v>
      </c>
      <c r="LF3" s="1">
        <f>MEDIAN($M3,$AE3,$AW3,$BO3,$CG3,$CY3,$DQ3,$EI3,$FA3,$FS3,$GK3,$HC3,$HU3,$IM3,$JE3,$JW3)</f>
        <v>0</v>
      </c>
      <c r="LG3" s="1">
        <f>MEDIAN($N3,$AF3,$AX3,$BP3,$CH3,$CZ3,$DR3,$EJ3,$FB3,$FT3,$GL3,$HD3,$HV3,$IN3,$JF3,$JX3)</f>
        <v>0</v>
      </c>
      <c r="LH3" s="1">
        <f>MEDIAN($O3,$AG3,$AY3,$BQ3,$CI3,$DA3,$DS3,$EK3,$FC3,$FU3,$GM3,$HE3,$HW3,$IO3,$JG3,$JY3)</f>
        <v>0</v>
      </c>
      <c r="LI3" s="1">
        <f>MEDIAN($Q3,$AI3,$BA3,$BS3,$CK3,$DC3,$DU3,$EM3,$FE3,$FW3,$GO3,$HG3,$HY3,$IQ3,$JI3,$KA3)</f>
        <v>0</v>
      </c>
      <c r="LJ3" s="1">
        <f>MEDIAN($R3,$AJ3,$BB3,$BT3,$CL3,$DD3,$DV3,$EN3,$FF3,$FX3,$GP3,$HH3,$HZ3,$IR3,$JJ3,$KB3)</f>
        <v>0</v>
      </c>
      <c r="LK3" s="1">
        <f>MEDIAN($S3,$AK3,$BC3,$BU3,$CM3,$DE3,$DW3,$EO3,$FG3,$FY3,$GQ3,$HI3,$IA3,$IS3,$JK3,$KC3)</f>
        <v>0</v>
      </c>
      <c r="LL3" s="1">
        <f>MAX($B3,$T3,$AL3,$BD3,$BV3,$CN3,$DF3,$DX3,$EP3,$FH3,$FZ3,$GR3,$HJ3,$IB3,$IT3,$JL3)</f>
        <v>0</v>
      </c>
      <c r="LM3" s="1">
        <f>MAX($C3,$U3,$AM3,$BE3,$BW3,$CO3,$DG3,$DY3,$EQ3,$FI3,$GA3,$GS3,$HK3,$IC3,$IU3,$JM3)</f>
        <v>0</v>
      </c>
      <c r="LN3" s="1">
        <f>MAX($D3,$V3,$AN3,$BF3,$BX3,$CP3,$DH3,$DZ3,$ER3,$FJ3,$GB3,$GT3,$HL3,$ID3,$IV3,$JN3)</f>
        <v>0</v>
      </c>
      <c r="LO3" s="1">
        <f>MAX($E3,$W3,$AO3,$BG3,$BY3,$CQ3,$DI3,$EA3,$ES3,$FK3,$GC3,$GU3,$HM3,$IE3,$IW3,$JO3)</f>
        <v>0</v>
      </c>
      <c r="LP3" s="1">
        <f>MAX($F3,$X3,$AP3,$BH3,$BZ3,$CR3,$DJ3,$EB3,$ET3,$FL3,$GD3,$GV3,$HN3,$IF3,$IX3,$JP3)</f>
        <v>0</v>
      </c>
      <c r="LQ3" s="1">
        <f>MAX($G3,$Y3,$AQ3,$BI3,$CA3,$CS3,$DK3,$EC3,$EU3,$FM3,$GE3,$GW3,$HO3,$IG3,$IY3,$JQ3)</f>
        <v>0</v>
      </c>
      <c r="LR3" s="1">
        <f>MAX($H3,$Z3,$AR3,$BJ3,$CB3,$CT3,$DL3,$ED3,$EV3,$FN3,$GF3,$GX3,$HP3,$IH3,$IZ3,$JR3)</f>
        <v>0</v>
      </c>
      <c r="LS3" s="1">
        <f>MAX($I3,$AA3,$AS3,$BK3,$CC3,$CU3,$DM3,$EE3,$EW3,$FO3,$GG3,$GY3,$HQ3,$II3,$JA3,$JS3)</f>
        <v>0</v>
      </c>
      <c r="LT3" s="1">
        <f>MAX($J3,$AB3,$AT3,$BL3,$CD3,$CV3,$DN3,$EF3,$EX3,$FP3,$GH3,$GZ3,$HR3,$IJ3,$JB3,$JT3)</f>
        <v>0</v>
      </c>
      <c r="LU3" s="1">
        <f>MAX($K3,$AC3,$AU3,$BM3,$CE3,$CW3,$DO3,$EG3,$EY3,$FQ3,$GI3,$HA3,$HS3,$IK3,$JC3,$JU3)</f>
        <v>0</v>
      </c>
      <c r="LV3" s="1">
        <f>MAX($L3,$AD3,$AV3,$BN3,$CF3,$CX3,$DP3,$EH3,$EZ3,$FR3,$GJ3,$HB3,$HT3,$IL3,$JD3,$JV3)</f>
        <v>0</v>
      </c>
      <c r="LW3" s="1">
        <f>MAX($M3,$AE3,$AW3,$BO3,$CG3,$CY3,$DQ3,$EI3,$FA3,$FS3,$GK3,$HC3,$HU3,$IM3,$JE3,$JW3)</f>
        <v>0</v>
      </c>
      <c r="LX3" s="1">
        <f>MAX($N3,$AF3,$AX3,$BP3,$CH3,$CZ3,$DR3,$EJ3,$FB3,$FT3,$GL3,$HD3,$HV3,$IN3,$JF3,$JX3)</f>
        <v>0</v>
      </c>
      <c r="LY3" s="1">
        <f>MAX($O3,$AG3,$AY3,$BQ3,$CI3,$DA3,$DS3,$EK3,$FC3,$FU3,$GM3,$HE3,$HW3,$IO3,$JG3,$JY3)</f>
        <v>0</v>
      </c>
      <c r="LZ3" s="1">
        <f>MAX($Q3,$AI3,$BA3,$BS3,$CK3,$DC3,$DU3,$EM3,$FE3,$FW3,$GO3,$HG3,$HY3,$IQ3,$JI3,$KA3)</f>
        <v>0</v>
      </c>
      <c r="MA3" s="1">
        <f>MAX($R3,$AJ3,$BB3,$BT3,$CL3,$DD3,$DV3,$EN3,$FF3,$FX3,$GP3,$HH3,$HZ3,$IR3,$JJ3,$KB3)</f>
        <v>0</v>
      </c>
      <c r="MB3" s="1">
        <f>MAX($S3,$AK3,$BC3,$BU3,$CM3,$DE3,$DW3,$EO3,$FG3,$FY3,$GQ3,$HI3,$IA3,$IS3,$JK3,$KC3)</f>
        <v>0</v>
      </c>
    </row>
    <row r="4" spans="1:340">
      <c r="A4" s="1" t="s">
        <v>1</v>
      </c>
      <c r="B4" s="1">
        <v>123</v>
      </c>
      <c r="C4" s="1">
        <v>4</v>
      </c>
      <c r="D4" s="1">
        <v>0.002</v>
      </c>
      <c r="E4" s="1">
        <v>0</v>
      </c>
      <c r="F4" s="1">
        <v>422</v>
      </c>
      <c r="G4" s="1">
        <v>0</v>
      </c>
      <c r="H4" s="1">
        <v>0.002</v>
      </c>
      <c r="I4" s="1">
        <v>0</v>
      </c>
      <c r="J4" s="1">
        <v>0</v>
      </c>
      <c r="K4" s="1">
        <v>1</v>
      </c>
      <c r="L4" s="1">
        <v>0.03</v>
      </c>
      <c r="M4" s="1">
        <v>0</v>
      </c>
      <c r="N4" s="1">
        <v>397</v>
      </c>
      <c r="O4" s="1">
        <v>0</v>
      </c>
      <c r="P4" s="1" t="s">
        <v>31</v>
      </c>
      <c r="Q4" s="1">
        <v>0.03</v>
      </c>
      <c r="R4" s="1">
        <v>0</v>
      </c>
      <c r="S4" s="1">
        <v>96</v>
      </c>
      <c r="T4" s="1">
        <v>150</v>
      </c>
      <c r="U4" s="1">
        <v>7</v>
      </c>
      <c r="V4" s="1">
        <v>0.002</v>
      </c>
      <c r="W4" s="1">
        <v>4</v>
      </c>
      <c r="X4" s="1">
        <v>534</v>
      </c>
      <c r="Y4" s="1">
        <v>0</v>
      </c>
      <c r="Z4" s="1">
        <v>0.002</v>
      </c>
      <c r="AA4" s="1">
        <v>0</v>
      </c>
      <c r="AB4" s="1">
        <v>0</v>
      </c>
      <c r="AC4" s="1">
        <v>1</v>
      </c>
      <c r="AD4" s="1">
        <v>0.03</v>
      </c>
      <c r="AE4" s="1">
        <v>0</v>
      </c>
      <c r="AF4" s="1">
        <v>456</v>
      </c>
      <c r="AG4" s="1">
        <v>0</v>
      </c>
      <c r="AH4" s="1" t="s">
        <v>31</v>
      </c>
      <c r="AI4" s="1">
        <v>0.03</v>
      </c>
      <c r="AJ4" s="1">
        <v>0</v>
      </c>
      <c r="AK4" s="1">
        <v>128</v>
      </c>
      <c r="AL4" s="1">
        <v>150</v>
      </c>
      <c r="AM4" s="1">
        <v>7</v>
      </c>
      <c r="AN4" s="1">
        <v>0.002</v>
      </c>
      <c r="AO4" s="1">
        <v>4</v>
      </c>
      <c r="AP4" s="1">
        <v>798</v>
      </c>
      <c r="AQ4" s="1">
        <v>0</v>
      </c>
      <c r="AR4" s="1">
        <v>0.002</v>
      </c>
      <c r="AS4" s="1">
        <v>0</v>
      </c>
      <c r="AT4" s="1">
        <v>0</v>
      </c>
      <c r="AU4" s="1">
        <v>1</v>
      </c>
      <c r="AV4" s="1">
        <v>0.03</v>
      </c>
      <c r="AW4" s="1">
        <v>0</v>
      </c>
      <c r="AX4" s="1">
        <v>456</v>
      </c>
      <c r="AY4" s="1">
        <v>0</v>
      </c>
      <c r="AZ4" s="1" t="s">
        <v>31</v>
      </c>
      <c r="BA4" s="1">
        <v>0.03</v>
      </c>
      <c r="BB4" s="1">
        <v>0</v>
      </c>
      <c r="BC4" s="1">
        <v>216</v>
      </c>
      <c r="BD4" s="1">
        <v>92</v>
      </c>
      <c r="BE4" s="1">
        <v>7</v>
      </c>
      <c r="BF4" s="1">
        <v>0.017</v>
      </c>
      <c r="BG4" s="1">
        <v>4</v>
      </c>
      <c r="BH4" s="1">
        <v>350</v>
      </c>
      <c r="BI4" s="1">
        <v>0</v>
      </c>
      <c r="BJ4" s="1">
        <v>0.017</v>
      </c>
      <c r="BK4" s="1">
        <v>5</v>
      </c>
      <c r="BL4" s="1">
        <v>0</v>
      </c>
      <c r="BM4" s="1">
        <v>1</v>
      </c>
      <c r="BN4" s="1">
        <v>0.14</v>
      </c>
      <c r="BO4" s="1">
        <v>0</v>
      </c>
      <c r="BP4" s="1">
        <v>246</v>
      </c>
      <c r="BQ4" s="1">
        <v>0</v>
      </c>
      <c r="BR4" s="1" t="s">
        <v>31</v>
      </c>
      <c r="BS4" s="1">
        <v>0.14</v>
      </c>
      <c r="BT4" s="1">
        <v>0</v>
      </c>
      <c r="BU4" s="1">
        <v>76</v>
      </c>
      <c r="BV4" s="1">
        <v>94</v>
      </c>
      <c r="BW4" s="1">
        <v>4</v>
      </c>
      <c r="BX4" s="1">
        <v>0.001</v>
      </c>
      <c r="BY4" s="1">
        <v>0</v>
      </c>
      <c r="BZ4" s="1">
        <v>350</v>
      </c>
      <c r="CA4" s="1">
        <v>0</v>
      </c>
      <c r="CB4" s="1">
        <v>0.001</v>
      </c>
      <c r="CC4" s="1">
        <v>0</v>
      </c>
      <c r="CD4" s="1">
        <v>0</v>
      </c>
      <c r="CE4" s="1">
        <v>1</v>
      </c>
      <c r="CF4" s="1">
        <v>0.03</v>
      </c>
      <c r="CG4" s="1">
        <v>0</v>
      </c>
      <c r="CH4" s="1">
        <v>248</v>
      </c>
      <c r="CI4" s="1">
        <v>0</v>
      </c>
      <c r="CJ4" s="1" t="s">
        <v>31</v>
      </c>
      <c r="CK4" s="1">
        <v>0.03</v>
      </c>
      <c r="CL4" s="1">
        <v>0</v>
      </c>
      <c r="CM4" s="1">
        <v>76</v>
      </c>
      <c r="CN4" s="1">
        <v>240</v>
      </c>
      <c r="CO4" s="1">
        <v>7</v>
      </c>
      <c r="CP4" s="1">
        <v>0.002</v>
      </c>
      <c r="CQ4" s="1">
        <v>4</v>
      </c>
      <c r="CR4" s="1">
        <v>790</v>
      </c>
      <c r="CS4" s="1">
        <v>0</v>
      </c>
      <c r="CT4" s="1">
        <v>0.002</v>
      </c>
      <c r="CU4" s="1">
        <v>0</v>
      </c>
      <c r="CV4" s="1">
        <v>0</v>
      </c>
      <c r="CW4" s="1">
        <v>1</v>
      </c>
      <c r="CX4" s="1">
        <v>0.03</v>
      </c>
      <c r="CY4" s="1">
        <v>0</v>
      </c>
      <c r="CZ4" s="1">
        <v>458</v>
      </c>
      <c r="DA4" s="1">
        <v>0</v>
      </c>
      <c r="DB4" s="1" t="s">
        <v>31</v>
      </c>
      <c r="DC4" s="1">
        <v>0.03</v>
      </c>
      <c r="DD4" s="1">
        <v>0</v>
      </c>
      <c r="DE4" s="1">
        <v>212</v>
      </c>
      <c r="DF4" s="1">
        <v>17</v>
      </c>
      <c r="DG4" s="1">
        <v>1</v>
      </c>
      <c r="DH4" s="1">
        <v>0.001</v>
      </c>
      <c r="DI4" s="1">
        <v>0</v>
      </c>
      <c r="DJ4" s="1">
        <v>10</v>
      </c>
      <c r="DK4" s="1">
        <v>0</v>
      </c>
      <c r="DL4" s="1">
        <v>0.001</v>
      </c>
      <c r="DM4" s="1">
        <v>0</v>
      </c>
      <c r="DN4" s="1">
        <v>0</v>
      </c>
      <c r="DO4" s="1">
        <v>1</v>
      </c>
      <c r="DP4" s="1">
        <v>0.03</v>
      </c>
      <c r="DQ4" s="1">
        <v>0</v>
      </c>
      <c r="DR4" s="1">
        <v>23</v>
      </c>
      <c r="DS4" s="1">
        <v>0</v>
      </c>
      <c r="DT4" s="1" t="s">
        <v>31</v>
      </c>
      <c r="DU4" s="1">
        <v>0.03</v>
      </c>
      <c r="DV4" s="1">
        <v>0</v>
      </c>
      <c r="DW4" s="1">
        <v>7</v>
      </c>
      <c r="DX4" s="1">
        <v>94</v>
      </c>
      <c r="DY4" s="1">
        <v>7</v>
      </c>
      <c r="DZ4" s="1">
        <v>0.001</v>
      </c>
      <c r="EA4" s="1">
        <v>4</v>
      </c>
      <c r="EB4" s="1">
        <v>350</v>
      </c>
      <c r="EC4" s="1">
        <v>0</v>
      </c>
      <c r="ED4" s="1">
        <v>0.001</v>
      </c>
      <c r="EE4" s="1">
        <v>0</v>
      </c>
      <c r="EF4" s="1">
        <v>0</v>
      </c>
      <c r="EG4" s="1">
        <v>1</v>
      </c>
      <c r="EH4" s="1">
        <v>0.03</v>
      </c>
      <c r="EI4" s="1">
        <v>0</v>
      </c>
      <c r="EJ4" s="1">
        <v>248</v>
      </c>
      <c r="EK4" s="1">
        <v>0</v>
      </c>
      <c r="EL4" s="1" t="s">
        <v>31</v>
      </c>
      <c r="EM4" s="1">
        <v>0.03</v>
      </c>
      <c r="EN4" s="1">
        <v>0</v>
      </c>
      <c r="EO4" s="1">
        <v>76</v>
      </c>
      <c r="EP4" s="1">
        <v>123</v>
      </c>
      <c r="EQ4" s="1">
        <v>4</v>
      </c>
      <c r="ER4" s="1">
        <v>0.002</v>
      </c>
      <c r="ES4" s="1">
        <v>0</v>
      </c>
      <c r="ET4" s="1">
        <v>422</v>
      </c>
      <c r="EU4" s="1">
        <v>0</v>
      </c>
      <c r="EV4" s="1">
        <v>0.002</v>
      </c>
      <c r="EW4" s="1">
        <v>0</v>
      </c>
      <c r="EX4" s="1">
        <v>0</v>
      </c>
      <c r="EY4" s="1">
        <v>1</v>
      </c>
      <c r="EZ4" s="1">
        <v>0.03</v>
      </c>
      <c r="FA4" s="1">
        <v>0</v>
      </c>
      <c r="FB4" s="1">
        <v>397</v>
      </c>
      <c r="FC4" s="1">
        <v>0</v>
      </c>
      <c r="FD4" s="1" t="s">
        <v>31</v>
      </c>
      <c r="FE4" s="1">
        <v>0.03</v>
      </c>
      <c r="FF4" s="1">
        <v>0</v>
      </c>
      <c r="FG4" s="1">
        <v>96</v>
      </c>
      <c r="FH4" s="1">
        <v>150</v>
      </c>
      <c r="FI4" s="1">
        <v>7</v>
      </c>
      <c r="FJ4" s="1">
        <v>0.002</v>
      </c>
      <c r="FK4" s="1">
        <v>4</v>
      </c>
      <c r="FL4" s="1">
        <v>534</v>
      </c>
      <c r="FM4" s="1">
        <v>0</v>
      </c>
      <c r="FN4" s="1">
        <v>0.002</v>
      </c>
      <c r="FO4" s="1">
        <v>0</v>
      </c>
      <c r="FP4" s="1">
        <v>0</v>
      </c>
      <c r="FQ4" s="1">
        <v>1</v>
      </c>
      <c r="FR4" s="1">
        <v>0.03</v>
      </c>
      <c r="FS4" s="1">
        <v>0</v>
      </c>
      <c r="FT4" s="1">
        <v>456</v>
      </c>
      <c r="FU4" s="1">
        <v>0</v>
      </c>
      <c r="FV4" s="1" t="s">
        <v>31</v>
      </c>
      <c r="FW4" s="1">
        <v>0.03</v>
      </c>
      <c r="FX4" s="1">
        <v>0</v>
      </c>
      <c r="FY4" s="1">
        <v>128</v>
      </c>
      <c r="FZ4" s="1">
        <v>150</v>
      </c>
      <c r="GA4" s="1">
        <v>7</v>
      </c>
      <c r="GB4" s="1">
        <v>0.003</v>
      </c>
      <c r="GC4" s="1">
        <v>4</v>
      </c>
      <c r="GD4" s="1">
        <v>798</v>
      </c>
      <c r="GE4" s="1">
        <v>0</v>
      </c>
      <c r="GF4" s="1">
        <v>0.003</v>
      </c>
      <c r="GG4" s="1">
        <v>0</v>
      </c>
      <c r="GH4" s="1">
        <v>0</v>
      </c>
      <c r="GI4" s="1">
        <v>1</v>
      </c>
      <c r="GJ4" s="1">
        <v>0.03</v>
      </c>
      <c r="GK4" s="1">
        <v>0</v>
      </c>
      <c r="GL4" s="1">
        <v>456</v>
      </c>
      <c r="GM4" s="1">
        <v>0</v>
      </c>
      <c r="GN4" s="1" t="s">
        <v>31</v>
      </c>
      <c r="GO4" s="1">
        <v>0.03</v>
      </c>
      <c r="GP4" s="1">
        <v>0</v>
      </c>
      <c r="GQ4" s="1">
        <v>216</v>
      </c>
      <c r="GR4" s="1">
        <v>92</v>
      </c>
      <c r="GS4" s="1">
        <v>7</v>
      </c>
      <c r="GT4" s="1">
        <v>0.016</v>
      </c>
      <c r="GU4" s="1">
        <v>4</v>
      </c>
      <c r="GV4" s="1">
        <v>350</v>
      </c>
      <c r="GW4" s="1">
        <v>0</v>
      </c>
      <c r="GX4" s="1">
        <v>0.016</v>
      </c>
      <c r="GY4" s="1">
        <v>0</v>
      </c>
      <c r="GZ4" s="1">
        <v>0</v>
      </c>
      <c r="HA4" s="1">
        <v>1</v>
      </c>
      <c r="HB4" s="1">
        <v>0.09</v>
      </c>
      <c r="HC4" s="1">
        <v>0</v>
      </c>
      <c r="HD4" s="1">
        <v>246</v>
      </c>
      <c r="HE4" s="1">
        <v>0</v>
      </c>
      <c r="HF4" s="1" t="s">
        <v>31</v>
      </c>
      <c r="HG4" s="1">
        <v>0.09</v>
      </c>
      <c r="HH4" s="1">
        <v>0</v>
      </c>
      <c r="HI4" s="1">
        <v>76</v>
      </c>
      <c r="HJ4" s="1">
        <v>95</v>
      </c>
      <c r="HK4" s="1">
        <v>4</v>
      </c>
      <c r="HL4" s="1">
        <v>0.08400000000000001</v>
      </c>
      <c r="HM4" s="1">
        <v>0</v>
      </c>
      <c r="HN4" s="1">
        <v>350</v>
      </c>
      <c r="HO4" s="1">
        <v>0</v>
      </c>
      <c r="HP4" s="1">
        <v>0.08400000000000001</v>
      </c>
      <c r="HQ4" s="1">
        <v>0</v>
      </c>
      <c r="HR4" s="1">
        <v>0</v>
      </c>
      <c r="HS4" s="1">
        <v>1</v>
      </c>
      <c r="HT4" s="1">
        <v>0.11</v>
      </c>
      <c r="HU4" s="1">
        <v>0</v>
      </c>
      <c r="HV4" s="1">
        <v>249</v>
      </c>
      <c r="HW4" s="1">
        <v>0</v>
      </c>
      <c r="HX4" s="1" t="s">
        <v>31</v>
      </c>
      <c r="HY4" s="1">
        <v>0.11</v>
      </c>
      <c r="HZ4" s="1">
        <v>0</v>
      </c>
      <c r="IA4" s="1">
        <v>76</v>
      </c>
      <c r="IB4" s="1">
        <v>241</v>
      </c>
      <c r="IC4" s="1">
        <v>7</v>
      </c>
      <c r="ID4" s="1">
        <v>0.031</v>
      </c>
      <c r="IE4" s="1">
        <v>4</v>
      </c>
      <c r="IF4" s="1">
        <v>790</v>
      </c>
      <c r="IG4" s="1">
        <v>0</v>
      </c>
      <c r="IH4" s="1">
        <v>0.031</v>
      </c>
      <c r="II4" s="1">
        <v>0</v>
      </c>
      <c r="IJ4" s="1">
        <v>0</v>
      </c>
      <c r="IK4" s="1">
        <v>1</v>
      </c>
      <c r="IL4" s="1">
        <v>0.06</v>
      </c>
      <c r="IM4" s="1">
        <v>0</v>
      </c>
      <c r="IN4" s="1">
        <v>459</v>
      </c>
      <c r="IO4" s="1">
        <v>0</v>
      </c>
      <c r="IP4" s="1" t="s">
        <v>31</v>
      </c>
      <c r="IQ4" s="1">
        <v>0.06</v>
      </c>
      <c r="IR4" s="1">
        <v>0</v>
      </c>
      <c r="IS4" s="1">
        <v>212</v>
      </c>
      <c r="IT4" s="1">
        <v>18</v>
      </c>
      <c r="IU4" s="1">
        <v>1</v>
      </c>
      <c r="IV4" s="1">
        <v>0.027</v>
      </c>
      <c r="IW4" s="1">
        <v>0</v>
      </c>
      <c r="IX4" s="1">
        <v>10</v>
      </c>
      <c r="IY4" s="1">
        <v>0</v>
      </c>
      <c r="IZ4" s="1">
        <v>0.027</v>
      </c>
      <c r="JA4" s="1">
        <v>0</v>
      </c>
      <c r="JB4" s="1">
        <v>0</v>
      </c>
      <c r="JC4" s="1">
        <v>1</v>
      </c>
      <c r="JD4" s="1">
        <v>0.05</v>
      </c>
      <c r="JE4" s="1">
        <v>0</v>
      </c>
      <c r="JF4" s="1">
        <v>24</v>
      </c>
      <c r="JG4" s="1">
        <v>0</v>
      </c>
      <c r="JH4" s="1" t="s">
        <v>31</v>
      </c>
      <c r="JI4" s="1">
        <v>0.05</v>
      </c>
      <c r="JJ4" s="1">
        <v>0</v>
      </c>
      <c r="JK4" s="1">
        <v>7</v>
      </c>
      <c r="JL4" s="1">
        <v>95</v>
      </c>
      <c r="JM4" s="1">
        <v>7</v>
      </c>
      <c r="JN4" s="1">
        <v>0.028</v>
      </c>
      <c r="JO4" s="1">
        <v>4</v>
      </c>
      <c r="JP4" s="1">
        <v>350</v>
      </c>
      <c r="JQ4" s="1">
        <v>0</v>
      </c>
      <c r="JR4" s="1">
        <v>0.028</v>
      </c>
      <c r="JS4" s="1">
        <v>0</v>
      </c>
      <c r="JT4" s="1">
        <v>0</v>
      </c>
      <c r="JU4" s="1">
        <v>1</v>
      </c>
      <c r="JV4" s="1">
        <v>0.05</v>
      </c>
      <c r="JW4" s="1">
        <v>0</v>
      </c>
      <c r="JX4" s="1">
        <v>249</v>
      </c>
      <c r="JY4" s="1">
        <v>0</v>
      </c>
      <c r="JZ4" s="1" t="s">
        <v>31</v>
      </c>
      <c r="KA4" s="1">
        <v>0.05</v>
      </c>
      <c r="KB4" s="1">
        <v>0</v>
      </c>
      <c r="KC4" s="1">
        <v>76</v>
      </c>
      <c r="KD4" s="1">
        <f>MIN($B4,$T4,$AL4,$BD4,$BV4,$CN4,$DF4,$DX4,$EP4,$FH4,$FZ4,$GR4,$HJ4,$IB4,$IT4,$JL4)</f>
        <v>0</v>
      </c>
      <c r="KE4" s="1">
        <f>MIN($C4,$U4,$AM4,$BE4,$BW4,$CO4,$DG4,$DY4,$EQ4,$FI4,$GA4,$GS4,$HK4,$IC4,$IU4,$JM4)</f>
        <v>0</v>
      </c>
      <c r="KF4" s="1">
        <f>MIN($D4,$V4,$AN4,$BF4,$BX4,$CP4,$DH4,$DZ4,$ER4,$FJ4,$GB4,$GT4,$HL4,$ID4,$IV4,$JN4)</f>
        <v>0</v>
      </c>
      <c r="KG4" s="1">
        <f>MIN($E4,$W4,$AO4,$BG4,$BY4,$CQ4,$DI4,$EA4,$ES4,$FK4,$GC4,$GU4,$HM4,$IE4,$IW4,$JO4)</f>
        <v>0</v>
      </c>
      <c r="KH4" s="1">
        <f>MIN($F4,$X4,$AP4,$BH4,$BZ4,$CR4,$DJ4,$EB4,$ET4,$FL4,$GD4,$GV4,$HN4,$IF4,$IX4,$JP4)</f>
        <v>0</v>
      </c>
      <c r="KI4" s="1">
        <f>MIN($G4,$Y4,$AQ4,$BI4,$CA4,$CS4,$DK4,$EC4,$EU4,$FM4,$GE4,$GW4,$HO4,$IG4,$IY4,$JQ4)</f>
        <v>0</v>
      </c>
      <c r="KJ4" s="1">
        <f>MIN($H4,$Z4,$AR4,$BJ4,$CB4,$CT4,$DL4,$ED4,$EV4,$FN4,$GF4,$GX4,$HP4,$IH4,$IZ4,$JR4)</f>
        <v>0</v>
      </c>
      <c r="KK4" s="1">
        <f>MIN($I4,$AA4,$AS4,$BK4,$CC4,$CU4,$DM4,$EE4,$EW4,$FO4,$GG4,$GY4,$HQ4,$II4,$JA4,$JS4)</f>
        <v>0</v>
      </c>
      <c r="KL4" s="1">
        <f>MIN($J4,$AB4,$AT4,$BL4,$CD4,$CV4,$DN4,$EF4,$EX4,$FP4,$GH4,$GZ4,$HR4,$IJ4,$JB4,$JT4)</f>
        <v>0</v>
      </c>
      <c r="KM4" s="1">
        <f>MIN($K4,$AC4,$AU4,$BM4,$CE4,$CW4,$DO4,$EG4,$EY4,$FQ4,$GI4,$HA4,$HS4,$IK4,$JC4,$JU4)</f>
        <v>0</v>
      </c>
      <c r="KN4" s="1">
        <f>MIN($L4,$AD4,$AV4,$BN4,$CF4,$CX4,$DP4,$EH4,$EZ4,$FR4,$GJ4,$HB4,$HT4,$IL4,$JD4,$JV4)</f>
        <v>0</v>
      </c>
      <c r="KO4" s="1">
        <f>MIN($M4,$AE4,$AW4,$BO4,$CG4,$CY4,$DQ4,$EI4,$FA4,$FS4,$GK4,$HC4,$HU4,$IM4,$JE4,$JW4)</f>
        <v>0</v>
      </c>
      <c r="KP4" s="1">
        <f>MIN($N4,$AF4,$AX4,$BP4,$CH4,$CZ4,$DR4,$EJ4,$FB4,$FT4,$GL4,$HD4,$HV4,$IN4,$JF4,$JX4)</f>
        <v>0</v>
      </c>
      <c r="KQ4" s="1">
        <f>MIN($O4,$AG4,$AY4,$BQ4,$CI4,$DA4,$DS4,$EK4,$FC4,$FU4,$GM4,$HE4,$HW4,$IO4,$JG4,$JY4)</f>
        <v>0</v>
      </c>
      <c r="KR4" s="1">
        <f>MIN($Q4,$AI4,$BA4,$BS4,$CK4,$DC4,$DU4,$EM4,$FE4,$FW4,$GO4,$HG4,$HY4,$IQ4,$JI4,$KA4)</f>
        <v>0</v>
      </c>
      <c r="KS4" s="1">
        <f>MIN($R4,$AJ4,$BB4,$BT4,$CL4,$DD4,$DV4,$EN4,$FF4,$FX4,$GP4,$HH4,$HZ4,$IR4,$JJ4,$KB4)</f>
        <v>0</v>
      </c>
      <c r="KT4" s="1">
        <f>MIN($S4,$AK4,$BC4,$BU4,$CM4,$DE4,$DW4,$EO4,$FG4,$FY4,$GQ4,$HI4,$IA4,$IS4,$JK4,$KC4)</f>
        <v>0</v>
      </c>
      <c r="KU4" s="1">
        <f>MEDIAN($B4,$T4,$AL4,$BD4,$BV4,$CN4,$DF4,$DX4,$EP4,$FH4,$FZ4,$GR4,$HJ4,$IB4,$IT4,$JL4)</f>
        <v>0</v>
      </c>
      <c r="KV4" s="1">
        <f>MEDIAN($C4,$U4,$AM4,$BE4,$BW4,$CO4,$DG4,$DY4,$EQ4,$FI4,$GA4,$GS4,$HK4,$IC4,$IU4,$JM4)</f>
        <v>0</v>
      </c>
      <c r="KW4" s="1">
        <f>MEDIAN($D4,$V4,$AN4,$BF4,$BX4,$CP4,$DH4,$DZ4,$ER4,$FJ4,$GB4,$GT4,$HL4,$ID4,$IV4,$JN4)</f>
        <v>0</v>
      </c>
      <c r="KX4" s="1">
        <f>MEDIAN($E4,$W4,$AO4,$BG4,$BY4,$CQ4,$DI4,$EA4,$ES4,$FK4,$GC4,$GU4,$HM4,$IE4,$IW4,$JO4)</f>
        <v>0</v>
      </c>
      <c r="KY4" s="1">
        <f>MEDIAN($F4,$X4,$AP4,$BH4,$BZ4,$CR4,$DJ4,$EB4,$ET4,$FL4,$GD4,$GV4,$HN4,$IF4,$IX4,$JP4)</f>
        <v>0</v>
      </c>
      <c r="KZ4" s="1">
        <f>MEDIAN($G4,$Y4,$AQ4,$BI4,$CA4,$CS4,$DK4,$EC4,$EU4,$FM4,$GE4,$GW4,$HO4,$IG4,$IY4,$JQ4)</f>
        <v>0</v>
      </c>
      <c r="LA4" s="1">
        <f>MEDIAN($H4,$Z4,$AR4,$BJ4,$CB4,$CT4,$DL4,$ED4,$EV4,$FN4,$GF4,$GX4,$HP4,$IH4,$IZ4,$JR4)</f>
        <v>0</v>
      </c>
      <c r="LB4" s="1">
        <f>MEDIAN($I4,$AA4,$AS4,$BK4,$CC4,$CU4,$DM4,$EE4,$EW4,$FO4,$GG4,$GY4,$HQ4,$II4,$JA4,$JS4)</f>
        <v>0</v>
      </c>
      <c r="LC4" s="1">
        <f>MEDIAN($J4,$AB4,$AT4,$BL4,$CD4,$CV4,$DN4,$EF4,$EX4,$FP4,$GH4,$GZ4,$HR4,$IJ4,$JB4,$JT4)</f>
        <v>0</v>
      </c>
      <c r="LD4" s="1">
        <f>MEDIAN($K4,$AC4,$AU4,$BM4,$CE4,$CW4,$DO4,$EG4,$EY4,$FQ4,$GI4,$HA4,$HS4,$IK4,$JC4,$JU4)</f>
        <v>0</v>
      </c>
      <c r="LE4" s="1">
        <f>MEDIAN($L4,$AD4,$AV4,$BN4,$CF4,$CX4,$DP4,$EH4,$EZ4,$FR4,$GJ4,$HB4,$HT4,$IL4,$JD4,$JV4)</f>
        <v>0</v>
      </c>
      <c r="LF4" s="1">
        <f>MEDIAN($M4,$AE4,$AW4,$BO4,$CG4,$CY4,$DQ4,$EI4,$FA4,$FS4,$GK4,$HC4,$HU4,$IM4,$JE4,$JW4)</f>
        <v>0</v>
      </c>
      <c r="LG4" s="1">
        <f>MEDIAN($N4,$AF4,$AX4,$BP4,$CH4,$CZ4,$DR4,$EJ4,$FB4,$FT4,$GL4,$HD4,$HV4,$IN4,$JF4,$JX4)</f>
        <v>0</v>
      </c>
      <c r="LH4" s="1">
        <f>MEDIAN($O4,$AG4,$AY4,$BQ4,$CI4,$DA4,$DS4,$EK4,$FC4,$FU4,$GM4,$HE4,$HW4,$IO4,$JG4,$JY4)</f>
        <v>0</v>
      </c>
      <c r="LI4" s="1">
        <f>MEDIAN($Q4,$AI4,$BA4,$BS4,$CK4,$DC4,$DU4,$EM4,$FE4,$FW4,$GO4,$HG4,$HY4,$IQ4,$JI4,$KA4)</f>
        <v>0</v>
      </c>
      <c r="LJ4" s="1">
        <f>MEDIAN($R4,$AJ4,$BB4,$BT4,$CL4,$DD4,$DV4,$EN4,$FF4,$FX4,$GP4,$HH4,$HZ4,$IR4,$JJ4,$KB4)</f>
        <v>0</v>
      </c>
      <c r="LK4" s="1">
        <f>MEDIAN($S4,$AK4,$BC4,$BU4,$CM4,$DE4,$DW4,$EO4,$FG4,$FY4,$GQ4,$HI4,$IA4,$IS4,$JK4,$KC4)</f>
        <v>0</v>
      </c>
      <c r="LL4" s="1">
        <f>MAX($B4,$T4,$AL4,$BD4,$BV4,$CN4,$DF4,$DX4,$EP4,$FH4,$FZ4,$GR4,$HJ4,$IB4,$IT4,$JL4)</f>
        <v>0</v>
      </c>
      <c r="LM4" s="1">
        <f>MAX($C4,$U4,$AM4,$BE4,$BW4,$CO4,$DG4,$DY4,$EQ4,$FI4,$GA4,$GS4,$HK4,$IC4,$IU4,$JM4)</f>
        <v>0</v>
      </c>
      <c r="LN4" s="1">
        <f>MAX($D4,$V4,$AN4,$BF4,$BX4,$CP4,$DH4,$DZ4,$ER4,$FJ4,$GB4,$GT4,$HL4,$ID4,$IV4,$JN4)</f>
        <v>0</v>
      </c>
      <c r="LO4" s="1">
        <f>MAX($E4,$W4,$AO4,$BG4,$BY4,$CQ4,$DI4,$EA4,$ES4,$FK4,$GC4,$GU4,$HM4,$IE4,$IW4,$JO4)</f>
        <v>0</v>
      </c>
      <c r="LP4" s="1">
        <f>MAX($F4,$X4,$AP4,$BH4,$BZ4,$CR4,$DJ4,$EB4,$ET4,$FL4,$GD4,$GV4,$HN4,$IF4,$IX4,$JP4)</f>
        <v>0</v>
      </c>
      <c r="LQ4" s="1">
        <f>MAX($G4,$Y4,$AQ4,$BI4,$CA4,$CS4,$DK4,$EC4,$EU4,$FM4,$GE4,$GW4,$HO4,$IG4,$IY4,$JQ4)</f>
        <v>0</v>
      </c>
      <c r="LR4" s="1">
        <f>MAX($H4,$Z4,$AR4,$BJ4,$CB4,$CT4,$DL4,$ED4,$EV4,$FN4,$GF4,$GX4,$HP4,$IH4,$IZ4,$JR4)</f>
        <v>0</v>
      </c>
      <c r="LS4" s="1">
        <f>MAX($I4,$AA4,$AS4,$BK4,$CC4,$CU4,$DM4,$EE4,$EW4,$FO4,$GG4,$GY4,$HQ4,$II4,$JA4,$JS4)</f>
        <v>0</v>
      </c>
      <c r="LT4" s="1">
        <f>MAX($J4,$AB4,$AT4,$BL4,$CD4,$CV4,$DN4,$EF4,$EX4,$FP4,$GH4,$GZ4,$HR4,$IJ4,$JB4,$JT4)</f>
        <v>0</v>
      </c>
      <c r="LU4" s="1">
        <f>MAX($K4,$AC4,$AU4,$BM4,$CE4,$CW4,$DO4,$EG4,$EY4,$FQ4,$GI4,$HA4,$HS4,$IK4,$JC4,$JU4)</f>
        <v>0</v>
      </c>
      <c r="LV4" s="1">
        <f>MAX($L4,$AD4,$AV4,$BN4,$CF4,$CX4,$DP4,$EH4,$EZ4,$FR4,$GJ4,$HB4,$HT4,$IL4,$JD4,$JV4)</f>
        <v>0</v>
      </c>
      <c r="LW4" s="1">
        <f>MAX($M4,$AE4,$AW4,$BO4,$CG4,$CY4,$DQ4,$EI4,$FA4,$FS4,$GK4,$HC4,$HU4,$IM4,$JE4,$JW4)</f>
        <v>0</v>
      </c>
      <c r="LX4" s="1">
        <f>MAX($N4,$AF4,$AX4,$BP4,$CH4,$CZ4,$DR4,$EJ4,$FB4,$FT4,$GL4,$HD4,$HV4,$IN4,$JF4,$JX4)</f>
        <v>0</v>
      </c>
      <c r="LY4" s="1">
        <f>MAX($O4,$AG4,$AY4,$BQ4,$CI4,$DA4,$DS4,$EK4,$FC4,$FU4,$GM4,$HE4,$HW4,$IO4,$JG4,$JY4)</f>
        <v>0</v>
      </c>
      <c r="LZ4" s="1">
        <f>MAX($Q4,$AI4,$BA4,$BS4,$CK4,$DC4,$DU4,$EM4,$FE4,$FW4,$GO4,$HG4,$HY4,$IQ4,$JI4,$KA4)</f>
        <v>0</v>
      </c>
      <c r="MA4" s="1">
        <f>MAX($R4,$AJ4,$BB4,$BT4,$CL4,$DD4,$DV4,$EN4,$FF4,$FX4,$GP4,$HH4,$HZ4,$IR4,$JJ4,$KB4)</f>
        <v>0</v>
      </c>
      <c r="MB4" s="1">
        <f>MAX($S4,$AK4,$BC4,$BU4,$CM4,$DE4,$DW4,$EO4,$FG4,$FY4,$GQ4,$HI4,$IA4,$IS4,$JK4,$KC4)</f>
        <v>0</v>
      </c>
    </row>
    <row r="5" spans="1:340">
      <c r="A5" s="1" t="s">
        <v>2</v>
      </c>
      <c r="B5" s="1">
        <v>181</v>
      </c>
      <c r="C5" s="1">
        <v>5</v>
      </c>
      <c r="D5" s="1">
        <v>0.002</v>
      </c>
      <c r="E5" s="1">
        <v>0</v>
      </c>
      <c r="F5" s="1">
        <v>914</v>
      </c>
      <c r="G5" s="1">
        <v>0</v>
      </c>
      <c r="H5" s="1">
        <v>0.002</v>
      </c>
      <c r="I5" s="1">
        <v>0</v>
      </c>
      <c r="J5" s="1">
        <v>0</v>
      </c>
      <c r="K5" s="1">
        <v>1</v>
      </c>
      <c r="L5" s="1">
        <v>0.03</v>
      </c>
      <c r="M5" s="1">
        <v>0</v>
      </c>
      <c r="N5" s="1">
        <v>803</v>
      </c>
      <c r="O5" s="1">
        <v>0</v>
      </c>
      <c r="P5" s="1" t="s">
        <v>31</v>
      </c>
      <c r="Q5" s="1">
        <v>0.03</v>
      </c>
      <c r="R5" s="1">
        <v>0</v>
      </c>
      <c r="S5" s="1">
        <v>168</v>
      </c>
      <c r="T5" s="1">
        <v>223</v>
      </c>
      <c r="U5" s="1">
        <v>12</v>
      </c>
      <c r="V5" s="1">
        <v>0.002</v>
      </c>
      <c r="W5" s="1">
        <v>8</v>
      </c>
      <c r="X5" s="1">
        <v>1128</v>
      </c>
      <c r="Y5" s="1">
        <v>0</v>
      </c>
      <c r="Z5" s="1">
        <v>0.002</v>
      </c>
      <c r="AA5" s="1">
        <v>0</v>
      </c>
      <c r="AB5" s="1">
        <v>0</v>
      </c>
      <c r="AC5" s="1">
        <v>1</v>
      </c>
      <c r="AD5" s="1">
        <v>0.03</v>
      </c>
      <c r="AE5" s="1">
        <v>0</v>
      </c>
      <c r="AF5" s="1">
        <v>929</v>
      </c>
      <c r="AG5" s="1">
        <v>0</v>
      </c>
      <c r="AH5" s="1" t="s">
        <v>31</v>
      </c>
      <c r="AI5" s="1">
        <v>0.03</v>
      </c>
      <c r="AJ5" s="1">
        <v>0</v>
      </c>
      <c r="AK5" s="1">
        <v>220</v>
      </c>
      <c r="AL5" s="1">
        <v>223</v>
      </c>
      <c r="AM5" s="1">
        <v>12</v>
      </c>
      <c r="AN5" s="1">
        <v>0.002</v>
      </c>
      <c r="AO5" s="1">
        <v>8</v>
      </c>
      <c r="AP5" s="1">
        <v>1608</v>
      </c>
      <c r="AQ5" s="1">
        <v>0</v>
      </c>
      <c r="AR5" s="1">
        <v>0.002</v>
      </c>
      <c r="AS5" s="1">
        <v>0</v>
      </c>
      <c r="AT5" s="1">
        <v>0</v>
      </c>
      <c r="AU5" s="1">
        <v>1</v>
      </c>
      <c r="AV5" s="1">
        <v>0.03</v>
      </c>
      <c r="AW5" s="1">
        <v>0</v>
      </c>
      <c r="AX5" s="1">
        <v>929</v>
      </c>
      <c r="AY5" s="1">
        <v>0</v>
      </c>
      <c r="AZ5" s="1" t="s">
        <v>31</v>
      </c>
      <c r="BA5" s="1">
        <v>0.03</v>
      </c>
      <c r="BB5" s="1">
        <v>0</v>
      </c>
      <c r="BC5" s="1">
        <v>380</v>
      </c>
      <c r="BD5" s="1">
        <v>135</v>
      </c>
      <c r="BE5" s="1">
        <v>12</v>
      </c>
      <c r="BF5" s="1">
        <v>0.002</v>
      </c>
      <c r="BG5" s="1">
        <v>8</v>
      </c>
      <c r="BH5" s="1">
        <v>768</v>
      </c>
      <c r="BI5" s="1">
        <v>0</v>
      </c>
      <c r="BJ5" s="1">
        <v>0.002</v>
      </c>
      <c r="BK5" s="1">
        <v>0</v>
      </c>
      <c r="BL5" s="1">
        <v>0</v>
      </c>
      <c r="BM5" s="1">
        <v>1</v>
      </c>
      <c r="BN5" s="1">
        <v>0.05</v>
      </c>
      <c r="BO5" s="1">
        <v>0</v>
      </c>
      <c r="BP5" s="1">
        <v>513</v>
      </c>
      <c r="BQ5" s="1">
        <v>0</v>
      </c>
      <c r="BR5" s="1" t="s">
        <v>31</v>
      </c>
      <c r="BS5" s="1">
        <v>0.05</v>
      </c>
      <c r="BT5" s="1">
        <v>0</v>
      </c>
      <c r="BU5" s="1">
        <v>137</v>
      </c>
      <c r="BV5" s="1">
        <v>137</v>
      </c>
      <c r="BW5" s="1">
        <v>5</v>
      </c>
      <c r="BX5" s="1">
        <v>0.002</v>
      </c>
      <c r="BY5" s="1">
        <v>0</v>
      </c>
      <c r="BZ5" s="1">
        <v>768</v>
      </c>
      <c r="CA5" s="1">
        <v>0</v>
      </c>
      <c r="CB5" s="1">
        <v>0.002</v>
      </c>
      <c r="CC5" s="1">
        <v>0</v>
      </c>
      <c r="CD5" s="1">
        <v>0</v>
      </c>
      <c r="CE5" s="1">
        <v>1</v>
      </c>
      <c r="CF5" s="1">
        <v>0.03</v>
      </c>
      <c r="CG5" s="1">
        <v>0</v>
      </c>
      <c r="CH5" s="1">
        <v>515</v>
      </c>
      <c r="CI5" s="1">
        <v>0</v>
      </c>
      <c r="CJ5" s="1" t="s">
        <v>31</v>
      </c>
      <c r="CK5" s="1">
        <v>0.03</v>
      </c>
      <c r="CL5" s="1">
        <v>0</v>
      </c>
      <c r="CM5" s="1">
        <v>137</v>
      </c>
      <c r="CN5" s="1">
        <v>385</v>
      </c>
      <c r="CO5" s="1">
        <v>12</v>
      </c>
      <c r="CP5" s="1">
        <v>0.003</v>
      </c>
      <c r="CQ5" s="1">
        <v>8</v>
      </c>
      <c r="CR5" s="1">
        <v>1598</v>
      </c>
      <c r="CS5" s="1">
        <v>0</v>
      </c>
      <c r="CT5" s="1">
        <v>0.003</v>
      </c>
      <c r="CU5" s="1">
        <v>0</v>
      </c>
      <c r="CV5" s="1">
        <v>0</v>
      </c>
      <c r="CW5" s="1">
        <v>1</v>
      </c>
      <c r="CX5" s="1">
        <v>0.03</v>
      </c>
      <c r="CY5" s="1">
        <v>0</v>
      </c>
      <c r="CZ5" s="1">
        <v>931</v>
      </c>
      <c r="DA5" s="1">
        <v>0</v>
      </c>
      <c r="DB5" s="1" t="s">
        <v>31</v>
      </c>
      <c r="DC5" s="1">
        <v>0.03</v>
      </c>
      <c r="DD5" s="1">
        <v>0</v>
      </c>
      <c r="DE5" s="1">
        <v>375</v>
      </c>
      <c r="DF5" s="1">
        <v>20</v>
      </c>
      <c r="DG5" s="1">
        <v>4</v>
      </c>
      <c r="DH5" s="1">
        <v>0.001</v>
      </c>
      <c r="DI5" s="1">
        <v>0</v>
      </c>
      <c r="DJ5" s="1">
        <v>18</v>
      </c>
      <c r="DK5" s="1">
        <v>0</v>
      </c>
      <c r="DL5" s="1">
        <v>0.001</v>
      </c>
      <c r="DM5" s="1">
        <v>0</v>
      </c>
      <c r="DN5" s="1">
        <v>0</v>
      </c>
      <c r="DO5" s="1">
        <v>1</v>
      </c>
      <c r="DP5" s="1">
        <v>0.03</v>
      </c>
      <c r="DQ5" s="1">
        <v>0</v>
      </c>
      <c r="DR5" s="1">
        <v>28</v>
      </c>
      <c r="DS5" s="1">
        <v>0</v>
      </c>
      <c r="DT5" s="1" t="s">
        <v>31</v>
      </c>
      <c r="DU5" s="1">
        <v>0.03</v>
      </c>
      <c r="DV5" s="1">
        <v>0</v>
      </c>
      <c r="DW5" s="1">
        <v>10</v>
      </c>
      <c r="DX5" s="1">
        <v>137</v>
      </c>
      <c r="DY5" s="1">
        <v>12</v>
      </c>
      <c r="DZ5" s="1">
        <v>0.002</v>
      </c>
      <c r="EA5" s="1">
        <v>8</v>
      </c>
      <c r="EB5" s="1">
        <v>768</v>
      </c>
      <c r="EC5" s="1">
        <v>0</v>
      </c>
      <c r="ED5" s="1">
        <v>0.002</v>
      </c>
      <c r="EE5" s="1">
        <v>0</v>
      </c>
      <c r="EF5" s="1">
        <v>0</v>
      </c>
      <c r="EG5" s="1">
        <v>1</v>
      </c>
      <c r="EH5" s="1">
        <v>0.03</v>
      </c>
      <c r="EI5" s="1">
        <v>0</v>
      </c>
      <c r="EJ5" s="1">
        <v>515</v>
      </c>
      <c r="EK5" s="1">
        <v>0</v>
      </c>
      <c r="EL5" s="1" t="s">
        <v>31</v>
      </c>
      <c r="EM5" s="1">
        <v>0.03</v>
      </c>
      <c r="EN5" s="1">
        <v>0</v>
      </c>
      <c r="EO5" s="1">
        <v>137</v>
      </c>
      <c r="EP5" s="1">
        <v>181</v>
      </c>
      <c r="EQ5" s="1">
        <v>5</v>
      </c>
      <c r="ER5" s="1">
        <v>0.002</v>
      </c>
      <c r="ES5" s="1">
        <v>0</v>
      </c>
      <c r="ET5" s="1">
        <v>914</v>
      </c>
      <c r="EU5" s="1">
        <v>0</v>
      </c>
      <c r="EV5" s="1">
        <v>0.002</v>
      </c>
      <c r="EW5" s="1">
        <v>0</v>
      </c>
      <c r="EX5" s="1">
        <v>0</v>
      </c>
      <c r="EY5" s="1">
        <v>1</v>
      </c>
      <c r="EZ5" s="1">
        <v>0.03</v>
      </c>
      <c r="FA5" s="1">
        <v>0</v>
      </c>
      <c r="FB5" s="1">
        <v>803</v>
      </c>
      <c r="FC5" s="1">
        <v>0</v>
      </c>
      <c r="FD5" s="1" t="s">
        <v>31</v>
      </c>
      <c r="FE5" s="1">
        <v>0.03</v>
      </c>
      <c r="FF5" s="1">
        <v>0</v>
      </c>
      <c r="FG5" s="1">
        <v>168</v>
      </c>
      <c r="FH5" s="1">
        <v>223</v>
      </c>
      <c r="FI5" s="1">
        <v>12</v>
      </c>
      <c r="FJ5" s="1">
        <v>0.002</v>
      </c>
      <c r="FK5" s="1">
        <v>8</v>
      </c>
      <c r="FL5" s="1">
        <v>1128</v>
      </c>
      <c r="FM5" s="1">
        <v>0</v>
      </c>
      <c r="FN5" s="1">
        <v>0.002</v>
      </c>
      <c r="FO5" s="1">
        <v>0</v>
      </c>
      <c r="FP5" s="1">
        <v>0</v>
      </c>
      <c r="FQ5" s="1">
        <v>1</v>
      </c>
      <c r="FR5" s="1">
        <v>0.03</v>
      </c>
      <c r="FS5" s="1">
        <v>0</v>
      </c>
      <c r="FT5" s="1">
        <v>929</v>
      </c>
      <c r="FU5" s="1">
        <v>0</v>
      </c>
      <c r="FV5" s="1" t="s">
        <v>31</v>
      </c>
      <c r="FW5" s="1">
        <v>0.03</v>
      </c>
      <c r="FX5" s="1">
        <v>0</v>
      </c>
      <c r="FY5" s="1">
        <v>220</v>
      </c>
      <c r="FZ5" s="1">
        <v>223</v>
      </c>
      <c r="GA5" s="1">
        <v>12</v>
      </c>
      <c r="GB5" s="1">
        <v>0.002</v>
      </c>
      <c r="GC5" s="1">
        <v>8</v>
      </c>
      <c r="GD5" s="1">
        <v>1608</v>
      </c>
      <c r="GE5" s="1">
        <v>0</v>
      </c>
      <c r="GF5" s="1">
        <v>0.002</v>
      </c>
      <c r="GG5" s="1">
        <v>0</v>
      </c>
      <c r="GH5" s="1">
        <v>0</v>
      </c>
      <c r="GI5" s="1">
        <v>1</v>
      </c>
      <c r="GJ5" s="1">
        <v>0.03</v>
      </c>
      <c r="GK5" s="1">
        <v>0</v>
      </c>
      <c r="GL5" s="1">
        <v>929</v>
      </c>
      <c r="GM5" s="1">
        <v>0</v>
      </c>
      <c r="GN5" s="1" t="s">
        <v>31</v>
      </c>
      <c r="GO5" s="1">
        <v>0.03</v>
      </c>
      <c r="GP5" s="1">
        <v>0</v>
      </c>
      <c r="GQ5" s="1">
        <v>380</v>
      </c>
      <c r="GR5" s="1">
        <v>135</v>
      </c>
      <c r="GS5" s="1">
        <v>12</v>
      </c>
      <c r="GT5" s="1">
        <v>0.001</v>
      </c>
      <c r="GU5" s="1">
        <v>8</v>
      </c>
      <c r="GV5" s="1">
        <v>768</v>
      </c>
      <c r="GW5" s="1">
        <v>0</v>
      </c>
      <c r="GX5" s="1">
        <v>0.001</v>
      </c>
      <c r="GY5" s="1">
        <v>0</v>
      </c>
      <c r="GZ5" s="1">
        <v>0</v>
      </c>
      <c r="HA5" s="1">
        <v>1</v>
      </c>
      <c r="HB5" s="1">
        <v>0.03</v>
      </c>
      <c r="HC5" s="1">
        <v>0</v>
      </c>
      <c r="HD5" s="1">
        <v>513</v>
      </c>
      <c r="HE5" s="1">
        <v>0</v>
      </c>
      <c r="HF5" s="1" t="s">
        <v>31</v>
      </c>
      <c r="HG5" s="1">
        <v>0.03</v>
      </c>
      <c r="HH5" s="1">
        <v>0</v>
      </c>
      <c r="HI5" s="1">
        <v>137</v>
      </c>
      <c r="HJ5" s="1">
        <v>138</v>
      </c>
      <c r="HK5" s="1">
        <v>5</v>
      </c>
      <c r="HL5" s="1">
        <v>0.028</v>
      </c>
      <c r="HM5" s="1">
        <v>0</v>
      </c>
      <c r="HN5" s="1">
        <v>768</v>
      </c>
      <c r="HO5" s="1">
        <v>0</v>
      </c>
      <c r="HP5" s="1">
        <v>0.028</v>
      </c>
      <c r="HQ5" s="1">
        <v>0</v>
      </c>
      <c r="HR5" s="1">
        <v>0</v>
      </c>
      <c r="HS5" s="1">
        <v>1</v>
      </c>
      <c r="HT5" s="1">
        <v>0.05</v>
      </c>
      <c r="HU5" s="1">
        <v>0</v>
      </c>
      <c r="HV5" s="1">
        <v>516</v>
      </c>
      <c r="HW5" s="1">
        <v>0</v>
      </c>
      <c r="HX5" s="1" t="s">
        <v>31</v>
      </c>
      <c r="HY5" s="1">
        <v>0.05</v>
      </c>
      <c r="HZ5" s="1">
        <v>0</v>
      </c>
      <c r="IA5" s="1">
        <v>137</v>
      </c>
      <c r="IB5" s="1">
        <v>386</v>
      </c>
      <c r="IC5" s="1">
        <v>12</v>
      </c>
      <c r="ID5" s="1">
        <v>0.035</v>
      </c>
      <c r="IE5" s="1">
        <v>8</v>
      </c>
      <c r="IF5" s="1">
        <v>1598</v>
      </c>
      <c r="IG5" s="1">
        <v>0</v>
      </c>
      <c r="IH5" s="1">
        <v>0.035</v>
      </c>
      <c r="II5" s="1">
        <v>0</v>
      </c>
      <c r="IJ5" s="1">
        <v>0</v>
      </c>
      <c r="IK5" s="1">
        <v>1</v>
      </c>
      <c r="IL5" s="1">
        <v>0.06</v>
      </c>
      <c r="IM5" s="1">
        <v>0</v>
      </c>
      <c r="IN5" s="1">
        <v>932</v>
      </c>
      <c r="IO5" s="1">
        <v>0</v>
      </c>
      <c r="IP5" s="1" t="s">
        <v>31</v>
      </c>
      <c r="IQ5" s="1">
        <v>0.06</v>
      </c>
      <c r="IR5" s="1">
        <v>0</v>
      </c>
      <c r="IS5" s="1">
        <v>375</v>
      </c>
      <c r="IT5" s="1">
        <v>21</v>
      </c>
      <c r="IU5" s="1">
        <v>3</v>
      </c>
      <c r="IV5" s="1">
        <v>0.027</v>
      </c>
      <c r="IW5" s="1">
        <v>0</v>
      </c>
      <c r="IX5" s="1">
        <v>18</v>
      </c>
      <c r="IY5" s="1">
        <v>0</v>
      </c>
      <c r="IZ5" s="1">
        <v>0.027</v>
      </c>
      <c r="JA5" s="1">
        <v>0</v>
      </c>
      <c r="JB5" s="1">
        <v>0</v>
      </c>
      <c r="JC5" s="1">
        <v>1</v>
      </c>
      <c r="JD5" s="1">
        <v>0.05</v>
      </c>
      <c r="JE5" s="1">
        <v>0</v>
      </c>
      <c r="JF5" s="1">
        <v>29</v>
      </c>
      <c r="JG5" s="1">
        <v>0</v>
      </c>
      <c r="JH5" s="1" t="s">
        <v>31</v>
      </c>
      <c r="JI5" s="1">
        <v>0.05</v>
      </c>
      <c r="JJ5" s="1">
        <v>0</v>
      </c>
      <c r="JK5" s="1">
        <v>10</v>
      </c>
      <c r="JL5" s="1">
        <v>138</v>
      </c>
      <c r="JM5" s="1">
        <v>12</v>
      </c>
      <c r="JN5" s="1">
        <v>0.028</v>
      </c>
      <c r="JO5" s="1">
        <v>8</v>
      </c>
      <c r="JP5" s="1">
        <v>768</v>
      </c>
      <c r="JQ5" s="1">
        <v>0</v>
      </c>
      <c r="JR5" s="1">
        <v>0.028</v>
      </c>
      <c r="JS5" s="1">
        <v>0</v>
      </c>
      <c r="JT5" s="1">
        <v>0</v>
      </c>
      <c r="JU5" s="1">
        <v>1</v>
      </c>
      <c r="JV5" s="1">
        <v>0.05</v>
      </c>
      <c r="JW5" s="1">
        <v>0</v>
      </c>
      <c r="JX5" s="1">
        <v>516</v>
      </c>
      <c r="JY5" s="1">
        <v>0</v>
      </c>
      <c r="JZ5" s="1" t="s">
        <v>31</v>
      </c>
      <c r="KA5" s="1">
        <v>0.05</v>
      </c>
      <c r="KB5" s="1">
        <v>0</v>
      </c>
      <c r="KC5" s="1">
        <v>137</v>
      </c>
      <c r="KD5" s="1">
        <f>MIN($B5,$T5,$AL5,$BD5,$BV5,$CN5,$DF5,$DX5,$EP5,$FH5,$FZ5,$GR5,$HJ5,$IB5,$IT5,$JL5)</f>
        <v>0</v>
      </c>
      <c r="KE5" s="1">
        <f>MIN($C5,$U5,$AM5,$BE5,$BW5,$CO5,$DG5,$DY5,$EQ5,$FI5,$GA5,$GS5,$HK5,$IC5,$IU5,$JM5)</f>
        <v>0</v>
      </c>
      <c r="KF5" s="1">
        <f>MIN($D5,$V5,$AN5,$BF5,$BX5,$CP5,$DH5,$DZ5,$ER5,$FJ5,$GB5,$GT5,$HL5,$ID5,$IV5,$JN5)</f>
        <v>0</v>
      </c>
      <c r="KG5" s="1">
        <f>MIN($E5,$W5,$AO5,$BG5,$BY5,$CQ5,$DI5,$EA5,$ES5,$FK5,$GC5,$GU5,$HM5,$IE5,$IW5,$JO5)</f>
        <v>0</v>
      </c>
      <c r="KH5" s="1">
        <f>MIN($F5,$X5,$AP5,$BH5,$BZ5,$CR5,$DJ5,$EB5,$ET5,$FL5,$GD5,$GV5,$HN5,$IF5,$IX5,$JP5)</f>
        <v>0</v>
      </c>
      <c r="KI5" s="1">
        <f>MIN($G5,$Y5,$AQ5,$BI5,$CA5,$CS5,$DK5,$EC5,$EU5,$FM5,$GE5,$GW5,$HO5,$IG5,$IY5,$JQ5)</f>
        <v>0</v>
      </c>
      <c r="KJ5" s="1">
        <f>MIN($H5,$Z5,$AR5,$BJ5,$CB5,$CT5,$DL5,$ED5,$EV5,$FN5,$GF5,$GX5,$HP5,$IH5,$IZ5,$JR5)</f>
        <v>0</v>
      </c>
      <c r="KK5" s="1">
        <f>MIN($I5,$AA5,$AS5,$BK5,$CC5,$CU5,$DM5,$EE5,$EW5,$FO5,$GG5,$GY5,$HQ5,$II5,$JA5,$JS5)</f>
        <v>0</v>
      </c>
      <c r="KL5" s="1">
        <f>MIN($J5,$AB5,$AT5,$BL5,$CD5,$CV5,$DN5,$EF5,$EX5,$FP5,$GH5,$GZ5,$HR5,$IJ5,$JB5,$JT5)</f>
        <v>0</v>
      </c>
      <c r="KM5" s="1">
        <f>MIN($K5,$AC5,$AU5,$BM5,$CE5,$CW5,$DO5,$EG5,$EY5,$FQ5,$GI5,$HA5,$HS5,$IK5,$JC5,$JU5)</f>
        <v>0</v>
      </c>
      <c r="KN5" s="1">
        <f>MIN($L5,$AD5,$AV5,$BN5,$CF5,$CX5,$DP5,$EH5,$EZ5,$FR5,$GJ5,$HB5,$HT5,$IL5,$JD5,$JV5)</f>
        <v>0</v>
      </c>
      <c r="KO5" s="1">
        <f>MIN($M5,$AE5,$AW5,$BO5,$CG5,$CY5,$DQ5,$EI5,$FA5,$FS5,$GK5,$HC5,$HU5,$IM5,$JE5,$JW5)</f>
        <v>0</v>
      </c>
      <c r="KP5" s="1">
        <f>MIN($N5,$AF5,$AX5,$BP5,$CH5,$CZ5,$DR5,$EJ5,$FB5,$FT5,$GL5,$HD5,$HV5,$IN5,$JF5,$JX5)</f>
        <v>0</v>
      </c>
      <c r="KQ5" s="1">
        <f>MIN($O5,$AG5,$AY5,$BQ5,$CI5,$DA5,$DS5,$EK5,$FC5,$FU5,$GM5,$HE5,$HW5,$IO5,$JG5,$JY5)</f>
        <v>0</v>
      </c>
      <c r="KR5" s="1">
        <f>MIN($Q5,$AI5,$BA5,$BS5,$CK5,$DC5,$DU5,$EM5,$FE5,$FW5,$GO5,$HG5,$HY5,$IQ5,$JI5,$KA5)</f>
        <v>0</v>
      </c>
      <c r="KS5" s="1">
        <f>MIN($R5,$AJ5,$BB5,$BT5,$CL5,$DD5,$DV5,$EN5,$FF5,$FX5,$GP5,$HH5,$HZ5,$IR5,$JJ5,$KB5)</f>
        <v>0</v>
      </c>
      <c r="KT5" s="1">
        <f>MIN($S5,$AK5,$BC5,$BU5,$CM5,$DE5,$DW5,$EO5,$FG5,$FY5,$GQ5,$HI5,$IA5,$IS5,$JK5,$KC5)</f>
        <v>0</v>
      </c>
      <c r="KU5" s="1">
        <f>MEDIAN($B5,$T5,$AL5,$BD5,$BV5,$CN5,$DF5,$DX5,$EP5,$FH5,$FZ5,$GR5,$HJ5,$IB5,$IT5,$JL5)</f>
        <v>0</v>
      </c>
      <c r="KV5" s="1">
        <f>MEDIAN($C5,$U5,$AM5,$BE5,$BW5,$CO5,$DG5,$DY5,$EQ5,$FI5,$GA5,$GS5,$HK5,$IC5,$IU5,$JM5)</f>
        <v>0</v>
      </c>
      <c r="KW5" s="1">
        <f>MEDIAN($D5,$V5,$AN5,$BF5,$BX5,$CP5,$DH5,$DZ5,$ER5,$FJ5,$GB5,$GT5,$HL5,$ID5,$IV5,$JN5)</f>
        <v>0</v>
      </c>
      <c r="KX5" s="1">
        <f>MEDIAN($E5,$W5,$AO5,$BG5,$BY5,$CQ5,$DI5,$EA5,$ES5,$FK5,$GC5,$GU5,$HM5,$IE5,$IW5,$JO5)</f>
        <v>0</v>
      </c>
      <c r="KY5" s="1">
        <f>MEDIAN($F5,$X5,$AP5,$BH5,$BZ5,$CR5,$DJ5,$EB5,$ET5,$FL5,$GD5,$GV5,$HN5,$IF5,$IX5,$JP5)</f>
        <v>0</v>
      </c>
      <c r="KZ5" s="1">
        <f>MEDIAN($G5,$Y5,$AQ5,$BI5,$CA5,$CS5,$DK5,$EC5,$EU5,$FM5,$GE5,$GW5,$HO5,$IG5,$IY5,$JQ5)</f>
        <v>0</v>
      </c>
      <c r="LA5" s="1">
        <f>MEDIAN($H5,$Z5,$AR5,$BJ5,$CB5,$CT5,$DL5,$ED5,$EV5,$FN5,$GF5,$GX5,$HP5,$IH5,$IZ5,$JR5)</f>
        <v>0</v>
      </c>
      <c r="LB5" s="1">
        <f>MEDIAN($I5,$AA5,$AS5,$BK5,$CC5,$CU5,$DM5,$EE5,$EW5,$FO5,$GG5,$GY5,$HQ5,$II5,$JA5,$JS5)</f>
        <v>0</v>
      </c>
      <c r="LC5" s="1">
        <f>MEDIAN($J5,$AB5,$AT5,$BL5,$CD5,$CV5,$DN5,$EF5,$EX5,$FP5,$GH5,$GZ5,$HR5,$IJ5,$JB5,$JT5)</f>
        <v>0</v>
      </c>
      <c r="LD5" s="1">
        <f>MEDIAN($K5,$AC5,$AU5,$BM5,$CE5,$CW5,$DO5,$EG5,$EY5,$FQ5,$GI5,$HA5,$HS5,$IK5,$JC5,$JU5)</f>
        <v>0</v>
      </c>
      <c r="LE5" s="1">
        <f>MEDIAN($L5,$AD5,$AV5,$BN5,$CF5,$CX5,$DP5,$EH5,$EZ5,$FR5,$GJ5,$HB5,$HT5,$IL5,$JD5,$JV5)</f>
        <v>0</v>
      </c>
      <c r="LF5" s="1">
        <f>MEDIAN($M5,$AE5,$AW5,$BO5,$CG5,$CY5,$DQ5,$EI5,$FA5,$FS5,$GK5,$HC5,$HU5,$IM5,$JE5,$JW5)</f>
        <v>0</v>
      </c>
      <c r="LG5" s="1">
        <f>MEDIAN($N5,$AF5,$AX5,$BP5,$CH5,$CZ5,$DR5,$EJ5,$FB5,$FT5,$GL5,$HD5,$HV5,$IN5,$JF5,$JX5)</f>
        <v>0</v>
      </c>
      <c r="LH5" s="1">
        <f>MEDIAN($O5,$AG5,$AY5,$BQ5,$CI5,$DA5,$DS5,$EK5,$FC5,$FU5,$GM5,$HE5,$HW5,$IO5,$JG5,$JY5)</f>
        <v>0</v>
      </c>
      <c r="LI5" s="1">
        <f>MEDIAN($Q5,$AI5,$BA5,$BS5,$CK5,$DC5,$DU5,$EM5,$FE5,$FW5,$GO5,$HG5,$HY5,$IQ5,$JI5,$KA5)</f>
        <v>0</v>
      </c>
      <c r="LJ5" s="1">
        <f>MEDIAN($R5,$AJ5,$BB5,$BT5,$CL5,$DD5,$DV5,$EN5,$FF5,$FX5,$GP5,$HH5,$HZ5,$IR5,$JJ5,$KB5)</f>
        <v>0</v>
      </c>
      <c r="LK5" s="1">
        <f>MEDIAN($S5,$AK5,$BC5,$BU5,$CM5,$DE5,$DW5,$EO5,$FG5,$FY5,$GQ5,$HI5,$IA5,$IS5,$JK5,$KC5)</f>
        <v>0</v>
      </c>
      <c r="LL5" s="1">
        <f>MAX($B5,$T5,$AL5,$BD5,$BV5,$CN5,$DF5,$DX5,$EP5,$FH5,$FZ5,$GR5,$HJ5,$IB5,$IT5,$JL5)</f>
        <v>0</v>
      </c>
      <c r="LM5" s="1">
        <f>MAX($C5,$U5,$AM5,$BE5,$BW5,$CO5,$DG5,$DY5,$EQ5,$FI5,$GA5,$GS5,$HK5,$IC5,$IU5,$JM5)</f>
        <v>0</v>
      </c>
      <c r="LN5" s="1">
        <f>MAX($D5,$V5,$AN5,$BF5,$BX5,$CP5,$DH5,$DZ5,$ER5,$FJ5,$GB5,$GT5,$HL5,$ID5,$IV5,$JN5)</f>
        <v>0</v>
      </c>
      <c r="LO5" s="1">
        <f>MAX($E5,$W5,$AO5,$BG5,$BY5,$CQ5,$DI5,$EA5,$ES5,$FK5,$GC5,$GU5,$HM5,$IE5,$IW5,$JO5)</f>
        <v>0</v>
      </c>
      <c r="LP5" s="1">
        <f>MAX($F5,$X5,$AP5,$BH5,$BZ5,$CR5,$DJ5,$EB5,$ET5,$FL5,$GD5,$GV5,$HN5,$IF5,$IX5,$JP5)</f>
        <v>0</v>
      </c>
      <c r="LQ5" s="1">
        <f>MAX($G5,$Y5,$AQ5,$BI5,$CA5,$CS5,$DK5,$EC5,$EU5,$FM5,$GE5,$GW5,$HO5,$IG5,$IY5,$JQ5)</f>
        <v>0</v>
      </c>
      <c r="LR5" s="1">
        <f>MAX($H5,$Z5,$AR5,$BJ5,$CB5,$CT5,$DL5,$ED5,$EV5,$FN5,$GF5,$GX5,$HP5,$IH5,$IZ5,$JR5)</f>
        <v>0</v>
      </c>
      <c r="LS5" s="1">
        <f>MAX($I5,$AA5,$AS5,$BK5,$CC5,$CU5,$DM5,$EE5,$EW5,$FO5,$GG5,$GY5,$HQ5,$II5,$JA5,$JS5)</f>
        <v>0</v>
      </c>
      <c r="LT5" s="1">
        <f>MAX($J5,$AB5,$AT5,$BL5,$CD5,$CV5,$DN5,$EF5,$EX5,$FP5,$GH5,$GZ5,$HR5,$IJ5,$JB5,$JT5)</f>
        <v>0</v>
      </c>
      <c r="LU5" s="1">
        <f>MAX($K5,$AC5,$AU5,$BM5,$CE5,$CW5,$DO5,$EG5,$EY5,$FQ5,$GI5,$HA5,$HS5,$IK5,$JC5,$JU5)</f>
        <v>0</v>
      </c>
      <c r="LV5" s="1">
        <f>MAX($L5,$AD5,$AV5,$BN5,$CF5,$CX5,$DP5,$EH5,$EZ5,$FR5,$GJ5,$HB5,$HT5,$IL5,$JD5,$JV5)</f>
        <v>0</v>
      </c>
      <c r="LW5" s="1">
        <f>MAX($M5,$AE5,$AW5,$BO5,$CG5,$CY5,$DQ5,$EI5,$FA5,$FS5,$GK5,$HC5,$HU5,$IM5,$JE5,$JW5)</f>
        <v>0</v>
      </c>
      <c r="LX5" s="1">
        <f>MAX($N5,$AF5,$AX5,$BP5,$CH5,$CZ5,$DR5,$EJ5,$FB5,$FT5,$GL5,$HD5,$HV5,$IN5,$JF5,$JX5)</f>
        <v>0</v>
      </c>
      <c r="LY5" s="1">
        <f>MAX($O5,$AG5,$AY5,$BQ5,$CI5,$DA5,$DS5,$EK5,$FC5,$FU5,$GM5,$HE5,$HW5,$IO5,$JG5,$JY5)</f>
        <v>0</v>
      </c>
      <c r="LZ5" s="1">
        <f>MAX($Q5,$AI5,$BA5,$BS5,$CK5,$DC5,$DU5,$EM5,$FE5,$FW5,$GO5,$HG5,$HY5,$IQ5,$JI5,$KA5)</f>
        <v>0</v>
      </c>
      <c r="MA5" s="1">
        <f>MAX($R5,$AJ5,$BB5,$BT5,$CL5,$DD5,$DV5,$EN5,$FF5,$FX5,$GP5,$HH5,$HZ5,$IR5,$JJ5,$KB5)</f>
        <v>0</v>
      </c>
      <c r="MB5" s="1">
        <f>MAX($S5,$AK5,$BC5,$BU5,$CM5,$DE5,$DW5,$EO5,$FG5,$FY5,$GQ5,$HI5,$IA5,$IS5,$JK5,$KC5)</f>
        <v>0</v>
      </c>
    </row>
    <row r="6" spans="1:340">
      <c r="A6" s="1" t="s">
        <v>3</v>
      </c>
      <c r="B6" s="1"/>
      <c r="C6" s="1"/>
      <c r="D6" s="1"/>
      <c r="E6" s="1"/>
      <c r="F6" s="1"/>
      <c r="G6" s="1">
        <v>0</v>
      </c>
      <c r="H6" s="1"/>
      <c r="I6" s="1"/>
      <c r="J6" s="1">
        <v>0</v>
      </c>
      <c r="K6" s="1"/>
      <c r="L6" s="1">
        <v>30</v>
      </c>
      <c r="M6" s="1"/>
      <c r="N6" s="1"/>
      <c r="O6" s="1"/>
      <c r="P6" s="1"/>
      <c r="Q6" s="1">
        <v>15</v>
      </c>
      <c r="R6" s="1">
        <v>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0</v>
      </c>
      <c r="AR6" s="1"/>
      <c r="AS6" s="1"/>
      <c r="AT6" s="1">
        <v>0</v>
      </c>
      <c r="AU6" s="1"/>
      <c r="AV6" s="1">
        <v>30</v>
      </c>
      <c r="AW6" s="1"/>
      <c r="AX6" s="1"/>
      <c r="AY6" s="1"/>
      <c r="AZ6" s="1"/>
      <c r="BA6" s="1">
        <v>15</v>
      </c>
      <c r="BB6" s="1">
        <v>1</v>
      </c>
      <c r="BC6" s="1"/>
      <c r="BD6" s="1"/>
      <c r="BE6" s="1"/>
      <c r="BF6" s="1"/>
      <c r="BG6" s="1"/>
      <c r="BH6" s="1"/>
      <c r="BI6" s="1">
        <v>0</v>
      </c>
      <c r="BJ6" s="1"/>
      <c r="BK6" s="1"/>
      <c r="BL6" s="1">
        <v>0</v>
      </c>
      <c r="BM6" s="1"/>
      <c r="BN6" s="1">
        <v>30</v>
      </c>
      <c r="BO6" s="1"/>
      <c r="BP6" s="1"/>
      <c r="BQ6" s="1"/>
      <c r="BR6" s="1"/>
      <c r="BS6" s="1">
        <v>15</v>
      </c>
      <c r="BT6" s="1">
        <v>1</v>
      </c>
      <c r="BU6" s="1"/>
      <c r="BV6" s="1"/>
      <c r="BW6" s="1"/>
      <c r="BX6" s="1"/>
      <c r="BY6" s="1"/>
      <c r="BZ6" s="1"/>
      <c r="CA6" s="1">
        <v>0</v>
      </c>
      <c r="CB6" s="1"/>
      <c r="CC6" s="1"/>
      <c r="CD6" s="1">
        <v>0</v>
      </c>
      <c r="CE6" s="1"/>
      <c r="CF6" s="1">
        <v>30</v>
      </c>
      <c r="CG6" s="1"/>
      <c r="CH6" s="1"/>
      <c r="CI6" s="1"/>
      <c r="CJ6" s="1"/>
      <c r="CK6" s="1">
        <v>15</v>
      </c>
      <c r="CL6" s="1">
        <v>1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>
        <v>0</v>
      </c>
      <c r="ED6" s="1"/>
      <c r="EE6" s="1"/>
      <c r="EF6" s="1">
        <v>0</v>
      </c>
      <c r="EG6" s="1"/>
      <c r="EH6" s="1">
        <v>30</v>
      </c>
      <c r="EI6" s="1"/>
      <c r="EJ6" s="1"/>
      <c r="EK6" s="1"/>
      <c r="EL6" s="1"/>
      <c r="EM6" s="1">
        <v>15</v>
      </c>
      <c r="EN6" s="1">
        <v>1</v>
      </c>
      <c r="EO6" s="1"/>
      <c r="EP6" s="1"/>
      <c r="EQ6" s="1"/>
      <c r="ER6" s="1"/>
      <c r="ES6" s="1"/>
      <c r="ET6" s="1"/>
      <c r="EU6" s="1">
        <v>0</v>
      </c>
      <c r="EV6" s="1"/>
      <c r="EW6" s="1"/>
      <c r="EX6" s="1">
        <v>0</v>
      </c>
      <c r="EY6" s="1"/>
      <c r="EZ6" s="1">
        <v>30</v>
      </c>
      <c r="FA6" s="1"/>
      <c r="FB6" s="1"/>
      <c r="FC6" s="1"/>
      <c r="FD6" s="1"/>
      <c r="FE6" s="1">
        <v>15</v>
      </c>
      <c r="FF6" s="1">
        <v>1</v>
      </c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>
        <v>0</v>
      </c>
      <c r="GF6" s="1"/>
      <c r="GG6" s="1"/>
      <c r="GH6" s="1">
        <v>0</v>
      </c>
      <c r="GI6" s="1"/>
      <c r="GJ6" s="1">
        <v>30</v>
      </c>
      <c r="GK6" s="1"/>
      <c r="GL6" s="1"/>
      <c r="GM6" s="1"/>
      <c r="GN6" s="1"/>
      <c r="GO6" s="1">
        <v>15</v>
      </c>
      <c r="GP6" s="1">
        <v>1</v>
      </c>
      <c r="GQ6" s="1"/>
      <c r="GR6" s="1"/>
      <c r="GS6" s="1"/>
      <c r="GT6" s="1"/>
      <c r="GU6" s="1"/>
      <c r="GV6" s="1"/>
      <c r="GW6" s="1">
        <v>0</v>
      </c>
      <c r="GX6" s="1"/>
      <c r="GY6" s="1"/>
      <c r="GZ6" s="1">
        <v>0</v>
      </c>
      <c r="HA6" s="1"/>
      <c r="HB6" s="1">
        <v>30</v>
      </c>
      <c r="HC6" s="1"/>
      <c r="HD6" s="1"/>
      <c r="HE6" s="1"/>
      <c r="HF6" s="1"/>
      <c r="HG6" s="1">
        <v>15</v>
      </c>
      <c r="HH6" s="1">
        <v>1</v>
      </c>
      <c r="HI6" s="1"/>
      <c r="HJ6" s="1"/>
      <c r="HK6" s="1"/>
      <c r="HL6" s="1"/>
      <c r="HM6" s="1"/>
      <c r="HN6" s="1"/>
      <c r="HO6" s="1">
        <v>0</v>
      </c>
      <c r="HP6" s="1"/>
      <c r="HQ6" s="1"/>
      <c r="HR6" s="1">
        <v>0</v>
      </c>
      <c r="HS6" s="1"/>
      <c r="HT6" s="1">
        <v>30</v>
      </c>
      <c r="HU6" s="1"/>
      <c r="HV6" s="1"/>
      <c r="HW6" s="1"/>
      <c r="HX6" s="1"/>
      <c r="HY6" s="1">
        <v>15</v>
      </c>
      <c r="HZ6" s="1">
        <v>1</v>
      </c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>
        <v>0</v>
      </c>
      <c r="JR6" s="1"/>
      <c r="JS6" s="1"/>
      <c r="JT6" s="1">
        <v>0</v>
      </c>
      <c r="JU6" s="1"/>
      <c r="JV6" s="1">
        <v>30</v>
      </c>
      <c r="JW6" s="1"/>
      <c r="JX6" s="1"/>
      <c r="JY6" s="1"/>
      <c r="JZ6" s="1"/>
      <c r="KA6" s="1">
        <v>15</v>
      </c>
      <c r="KB6" s="1">
        <v>1</v>
      </c>
      <c r="KC6" s="1"/>
      <c r="KD6" s="1"/>
      <c r="KE6" s="1"/>
      <c r="KF6" s="1"/>
      <c r="KG6" s="1"/>
      <c r="KH6" s="1"/>
      <c r="KI6" s="1">
        <f>MIN($G6,$Y6,$AQ6,$BI6,$CA6,$CS6,$DK6,$EC6,$EU6,$FM6,$GE6,$GW6,$HO6,$IG6,$IY6,$JQ6)</f>
        <v>0</v>
      </c>
      <c r="KJ6" s="1"/>
      <c r="KK6" s="1"/>
      <c r="KL6" s="1">
        <f>MIN($J6,$AB6,$AT6,$BL6,$CD6,$CV6,$DN6,$EF6,$EX6,$FP6,$GH6,$GZ6,$HR6,$IJ6,$JB6,$JT6)</f>
        <v>0</v>
      </c>
      <c r="KM6" s="1"/>
      <c r="KN6" s="1">
        <f>MIN($L6,$AD6,$AV6,$BN6,$CF6,$CX6,$DP6,$EH6,$EZ6,$FR6,$GJ6,$HB6,$HT6,$IL6,$JD6,$JV6)</f>
        <v>0</v>
      </c>
      <c r="KO6" s="1"/>
      <c r="KP6" s="1"/>
      <c r="KQ6" s="1"/>
      <c r="KR6" s="1">
        <f>MIN($Q6,$AI6,$BA6,$BS6,$CK6,$DC6,$DU6,$EM6,$FE6,$FW6,$GO6,$HG6,$HY6,$IQ6,$JI6,$KA6)</f>
        <v>0</v>
      </c>
      <c r="KS6" s="1">
        <f>MIN($R6,$AJ6,$BB6,$BT6,$CL6,$DD6,$DV6,$EN6,$FF6,$FX6,$GP6,$HH6,$HZ6,$IR6,$JJ6,$KB6)</f>
        <v>0</v>
      </c>
      <c r="KT6" s="1"/>
      <c r="KU6" s="1"/>
      <c r="KV6" s="1"/>
      <c r="KW6" s="1"/>
      <c r="KX6" s="1"/>
      <c r="KY6" s="1"/>
      <c r="KZ6" s="1">
        <f>MEDIAN($G6,$Y6,$AQ6,$BI6,$CA6,$CS6,$DK6,$EC6,$EU6,$FM6,$GE6,$GW6,$HO6,$IG6,$IY6,$JQ6)</f>
        <v>0</v>
      </c>
      <c r="LA6" s="1"/>
      <c r="LB6" s="1"/>
      <c r="LC6" s="1">
        <f>MEDIAN($J6,$AB6,$AT6,$BL6,$CD6,$CV6,$DN6,$EF6,$EX6,$FP6,$GH6,$GZ6,$HR6,$IJ6,$JB6,$JT6)</f>
        <v>0</v>
      </c>
      <c r="LD6" s="1"/>
      <c r="LE6" s="1">
        <f>MEDIAN($L6,$AD6,$AV6,$BN6,$CF6,$CX6,$DP6,$EH6,$EZ6,$FR6,$GJ6,$HB6,$HT6,$IL6,$JD6,$JV6)</f>
        <v>0</v>
      </c>
      <c r="LF6" s="1"/>
      <c r="LG6" s="1"/>
      <c r="LH6" s="1"/>
      <c r="LI6" s="1">
        <f>MEDIAN($Q6,$AI6,$BA6,$BS6,$CK6,$DC6,$DU6,$EM6,$FE6,$FW6,$GO6,$HG6,$HY6,$IQ6,$JI6,$KA6)</f>
        <v>0</v>
      </c>
      <c r="LJ6" s="1">
        <f>MEDIAN($R6,$AJ6,$BB6,$BT6,$CL6,$DD6,$DV6,$EN6,$FF6,$FX6,$GP6,$HH6,$HZ6,$IR6,$JJ6,$KB6)</f>
        <v>0</v>
      </c>
      <c r="LK6" s="1"/>
      <c r="LL6" s="1"/>
      <c r="LM6" s="1"/>
      <c r="LN6" s="1"/>
      <c r="LO6" s="1"/>
      <c r="LP6" s="1"/>
      <c r="LQ6" s="1">
        <f>MAX($G6,$Y6,$AQ6,$BI6,$CA6,$CS6,$DK6,$EC6,$EU6,$FM6,$GE6,$GW6,$HO6,$IG6,$IY6,$JQ6)</f>
        <v>0</v>
      </c>
      <c r="LR6" s="1"/>
      <c r="LS6" s="1"/>
      <c r="LT6" s="1">
        <f>MAX($J6,$AB6,$AT6,$BL6,$CD6,$CV6,$DN6,$EF6,$EX6,$FP6,$GH6,$GZ6,$HR6,$IJ6,$JB6,$JT6)</f>
        <v>0</v>
      </c>
      <c r="LU6" s="1"/>
      <c r="LV6" s="1">
        <f>MAX($L6,$AD6,$AV6,$BN6,$CF6,$CX6,$DP6,$EH6,$EZ6,$FR6,$GJ6,$HB6,$HT6,$IL6,$JD6,$JV6)</f>
        <v>0</v>
      </c>
      <c r="LW6" s="1"/>
      <c r="LX6" s="1"/>
      <c r="LY6" s="1"/>
      <c r="LZ6" s="1">
        <f>MAX($Q6,$AI6,$BA6,$BS6,$CK6,$DC6,$DU6,$EM6,$FE6,$FW6,$GO6,$HG6,$HY6,$IQ6,$JI6,$KA6)</f>
        <v>0</v>
      </c>
      <c r="MA6" s="1">
        <f>MAX($R6,$AJ6,$BB6,$BT6,$CL6,$DD6,$DV6,$EN6,$FF6,$FX6,$GP6,$HH6,$HZ6,$IR6,$JJ6,$KB6)</f>
        <v>0</v>
      </c>
      <c r="MB6" s="1"/>
    </row>
    <row r="7" spans="1:340">
      <c r="A7" s="1" t="s">
        <v>4</v>
      </c>
      <c r="B7" s="1"/>
      <c r="C7" s="1"/>
      <c r="D7" s="1"/>
      <c r="E7" s="1"/>
      <c r="F7" s="1"/>
      <c r="G7" s="1">
        <v>0</v>
      </c>
      <c r="H7" s="1"/>
      <c r="I7" s="1"/>
      <c r="J7" s="1">
        <v>0</v>
      </c>
      <c r="K7" s="1"/>
      <c r="L7" s="1">
        <v>30</v>
      </c>
      <c r="M7" s="1"/>
      <c r="N7" s="1"/>
      <c r="O7" s="1"/>
      <c r="P7" s="1"/>
      <c r="Q7" s="1">
        <v>15</v>
      </c>
      <c r="R7" s="1">
        <v>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>
        <v>0</v>
      </c>
      <c r="AR7" s="1"/>
      <c r="AS7" s="1"/>
      <c r="AT7" s="1">
        <v>0</v>
      </c>
      <c r="AU7" s="1"/>
      <c r="AV7" s="1">
        <v>30</v>
      </c>
      <c r="AW7" s="1"/>
      <c r="AX7" s="1"/>
      <c r="AY7" s="1"/>
      <c r="AZ7" s="1"/>
      <c r="BA7" s="1">
        <v>15</v>
      </c>
      <c r="BB7" s="1">
        <v>1</v>
      </c>
      <c r="BC7" s="1"/>
      <c r="BD7" s="1"/>
      <c r="BE7" s="1"/>
      <c r="BF7" s="1"/>
      <c r="BG7" s="1"/>
      <c r="BH7" s="1"/>
      <c r="BI7" s="1">
        <v>0</v>
      </c>
      <c r="BJ7" s="1"/>
      <c r="BK7" s="1"/>
      <c r="BL7" s="1">
        <v>0</v>
      </c>
      <c r="BM7" s="1"/>
      <c r="BN7" s="1">
        <v>30</v>
      </c>
      <c r="BO7" s="1"/>
      <c r="BP7" s="1"/>
      <c r="BQ7" s="1"/>
      <c r="BR7" s="1"/>
      <c r="BS7" s="1">
        <v>15</v>
      </c>
      <c r="BT7" s="1">
        <v>1</v>
      </c>
      <c r="BU7" s="1"/>
      <c r="BV7" s="1"/>
      <c r="BW7" s="1"/>
      <c r="BX7" s="1"/>
      <c r="BY7" s="1"/>
      <c r="BZ7" s="1"/>
      <c r="CA7" s="1">
        <v>0</v>
      </c>
      <c r="CB7" s="1"/>
      <c r="CC7" s="1"/>
      <c r="CD7" s="1">
        <v>0</v>
      </c>
      <c r="CE7" s="1"/>
      <c r="CF7" s="1">
        <v>30</v>
      </c>
      <c r="CG7" s="1"/>
      <c r="CH7" s="1"/>
      <c r="CI7" s="1"/>
      <c r="CJ7" s="1"/>
      <c r="CK7" s="1">
        <v>15</v>
      </c>
      <c r="CL7" s="1">
        <v>1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>
        <v>0</v>
      </c>
      <c r="ED7" s="1"/>
      <c r="EE7" s="1"/>
      <c r="EF7" s="1">
        <v>0</v>
      </c>
      <c r="EG7" s="1"/>
      <c r="EH7" s="1">
        <v>30</v>
      </c>
      <c r="EI7" s="1"/>
      <c r="EJ7" s="1"/>
      <c r="EK7" s="1"/>
      <c r="EL7" s="1"/>
      <c r="EM7" s="1">
        <v>15</v>
      </c>
      <c r="EN7" s="1">
        <v>1</v>
      </c>
      <c r="EO7" s="1"/>
      <c r="EP7" s="1"/>
      <c r="EQ7" s="1"/>
      <c r="ER7" s="1"/>
      <c r="ES7" s="1"/>
      <c r="ET7" s="1"/>
      <c r="EU7" s="1">
        <v>0</v>
      </c>
      <c r="EV7" s="1"/>
      <c r="EW7" s="1"/>
      <c r="EX7" s="1">
        <v>0</v>
      </c>
      <c r="EY7" s="1"/>
      <c r="EZ7" s="1">
        <v>30</v>
      </c>
      <c r="FA7" s="1"/>
      <c r="FB7" s="1"/>
      <c r="FC7" s="1"/>
      <c r="FD7" s="1"/>
      <c r="FE7" s="1">
        <v>15</v>
      </c>
      <c r="FF7" s="1">
        <v>1</v>
      </c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>
        <v>0</v>
      </c>
      <c r="GF7" s="1"/>
      <c r="GG7" s="1"/>
      <c r="GH7" s="1">
        <v>0</v>
      </c>
      <c r="GI7" s="1"/>
      <c r="GJ7" s="1">
        <v>30</v>
      </c>
      <c r="GK7" s="1"/>
      <c r="GL7" s="1"/>
      <c r="GM7" s="1"/>
      <c r="GN7" s="1"/>
      <c r="GO7" s="1">
        <v>15</v>
      </c>
      <c r="GP7" s="1">
        <v>1</v>
      </c>
      <c r="GQ7" s="1"/>
      <c r="GR7" s="1"/>
      <c r="GS7" s="1"/>
      <c r="GT7" s="1"/>
      <c r="GU7" s="1"/>
      <c r="GV7" s="1"/>
      <c r="GW7" s="1">
        <v>0</v>
      </c>
      <c r="GX7" s="1"/>
      <c r="GY7" s="1"/>
      <c r="GZ7" s="1">
        <v>0</v>
      </c>
      <c r="HA7" s="1"/>
      <c r="HB7" s="1">
        <v>30</v>
      </c>
      <c r="HC7" s="1"/>
      <c r="HD7" s="1"/>
      <c r="HE7" s="1"/>
      <c r="HF7" s="1"/>
      <c r="HG7" s="1">
        <v>15</v>
      </c>
      <c r="HH7" s="1">
        <v>1</v>
      </c>
      <c r="HI7" s="1"/>
      <c r="HJ7" s="1"/>
      <c r="HK7" s="1"/>
      <c r="HL7" s="1"/>
      <c r="HM7" s="1"/>
      <c r="HN7" s="1"/>
      <c r="HO7" s="1">
        <v>0</v>
      </c>
      <c r="HP7" s="1"/>
      <c r="HQ7" s="1"/>
      <c r="HR7" s="1">
        <v>0</v>
      </c>
      <c r="HS7" s="1"/>
      <c r="HT7" s="1">
        <v>30</v>
      </c>
      <c r="HU7" s="1"/>
      <c r="HV7" s="1"/>
      <c r="HW7" s="1"/>
      <c r="HX7" s="1"/>
      <c r="HY7" s="1">
        <v>15</v>
      </c>
      <c r="HZ7" s="1">
        <v>1</v>
      </c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>
        <v>0</v>
      </c>
      <c r="JR7" s="1"/>
      <c r="JS7" s="1"/>
      <c r="JT7" s="1">
        <v>0</v>
      </c>
      <c r="JU7" s="1"/>
      <c r="JV7" s="1">
        <v>30</v>
      </c>
      <c r="JW7" s="1"/>
      <c r="JX7" s="1"/>
      <c r="JY7" s="1"/>
      <c r="JZ7" s="1"/>
      <c r="KA7" s="1">
        <v>15</v>
      </c>
      <c r="KB7" s="1">
        <v>1</v>
      </c>
      <c r="KC7" s="1"/>
      <c r="KD7" s="1"/>
      <c r="KE7" s="1"/>
      <c r="KF7" s="1"/>
      <c r="KG7" s="1"/>
      <c r="KH7" s="1"/>
      <c r="KI7" s="1">
        <f>MIN($G7,$Y7,$AQ7,$BI7,$CA7,$CS7,$DK7,$EC7,$EU7,$FM7,$GE7,$GW7,$HO7,$IG7,$IY7,$JQ7)</f>
        <v>0</v>
      </c>
      <c r="KJ7" s="1"/>
      <c r="KK7" s="1"/>
      <c r="KL7" s="1">
        <f>MIN($J7,$AB7,$AT7,$BL7,$CD7,$CV7,$DN7,$EF7,$EX7,$FP7,$GH7,$GZ7,$HR7,$IJ7,$JB7,$JT7)</f>
        <v>0</v>
      </c>
      <c r="KM7" s="1"/>
      <c r="KN7" s="1">
        <f>MIN($L7,$AD7,$AV7,$BN7,$CF7,$CX7,$DP7,$EH7,$EZ7,$FR7,$GJ7,$HB7,$HT7,$IL7,$JD7,$JV7)</f>
        <v>0</v>
      </c>
      <c r="KO7" s="1"/>
      <c r="KP7" s="1"/>
      <c r="KQ7" s="1"/>
      <c r="KR7" s="1">
        <f>MIN($Q7,$AI7,$BA7,$BS7,$CK7,$DC7,$DU7,$EM7,$FE7,$FW7,$GO7,$HG7,$HY7,$IQ7,$JI7,$KA7)</f>
        <v>0</v>
      </c>
      <c r="KS7" s="1">
        <f>MIN($R7,$AJ7,$BB7,$BT7,$CL7,$DD7,$DV7,$EN7,$FF7,$FX7,$GP7,$HH7,$HZ7,$IR7,$JJ7,$KB7)</f>
        <v>0</v>
      </c>
      <c r="KT7" s="1"/>
      <c r="KU7" s="1"/>
      <c r="KV7" s="1"/>
      <c r="KW7" s="1"/>
      <c r="KX7" s="1"/>
      <c r="KY7" s="1"/>
      <c r="KZ7" s="1">
        <f>MEDIAN($G7,$Y7,$AQ7,$BI7,$CA7,$CS7,$DK7,$EC7,$EU7,$FM7,$GE7,$GW7,$HO7,$IG7,$IY7,$JQ7)</f>
        <v>0</v>
      </c>
      <c r="LA7" s="1"/>
      <c r="LB7" s="1"/>
      <c r="LC7" s="1">
        <f>MEDIAN($J7,$AB7,$AT7,$BL7,$CD7,$CV7,$DN7,$EF7,$EX7,$FP7,$GH7,$GZ7,$HR7,$IJ7,$JB7,$JT7)</f>
        <v>0</v>
      </c>
      <c r="LD7" s="1"/>
      <c r="LE7" s="1">
        <f>MEDIAN($L7,$AD7,$AV7,$BN7,$CF7,$CX7,$DP7,$EH7,$EZ7,$FR7,$GJ7,$HB7,$HT7,$IL7,$JD7,$JV7)</f>
        <v>0</v>
      </c>
      <c r="LF7" s="1"/>
      <c r="LG7" s="1"/>
      <c r="LH7" s="1"/>
      <c r="LI7" s="1">
        <f>MEDIAN($Q7,$AI7,$BA7,$BS7,$CK7,$DC7,$DU7,$EM7,$FE7,$FW7,$GO7,$HG7,$HY7,$IQ7,$JI7,$KA7)</f>
        <v>0</v>
      </c>
      <c r="LJ7" s="1">
        <f>MEDIAN($R7,$AJ7,$BB7,$BT7,$CL7,$DD7,$DV7,$EN7,$FF7,$FX7,$GP7,$HH7,$HZ7,$IR7,$JJ7,$KB7)</f>
        <v>0</v>
      </c>
      <c r="LK7" s="1"/>
      <c r="LL7" s="1"/>
      <c r="LM7" s="1"/>
      <c r="LN7" s="1"/>
      <c r="LO7" s="1"/>
      <c r="LP7" s="1"/>
      <c r="LQ7" s="1">
        <f>MAX($G7,$Y7,$AQ7,$BI7,$CA7,$CS7,$DK7,$EC7,$EU7,$FM7,$GE7,$GW7,$HO7,$IG7,$IY7,$JQ7)</f>
        <v>0</v>
      </c>
      <c r="LR7" s="1"/>
      <c r="LS7" s="1"/>
      <c r="LT7" s="1">
        <f>MAX($J7,$AB7,$AT7,$BL7,$CD7,$CV7,$DN7,$EF7,$EX7,$FP7,$GH7,$GZ7,$HR7,$IJ7,$JB7,$JT7)</f>
        <v>0</v>
      </c>
      <c r="LU7" s="1"/>
      <c r="LV7" s="1">
        <f>MAX($L7,$AD7,$AV7,$BN7,$CF7,$CX7,$DP7,$EH7,$EZ7,$FR7,$GJ7,$HB7,$HT7,$IL7,$JD7,$JV7)</f>
        <v>0</v>
      </c>
      <c r="LW7" s="1"/>
      <c r="LX7" s="1"/>
      <c r="LY7" s="1"/>
      <c r="LZ7" s="1">
        <f>MAX($Q7,$AI7,$BA7,$BS7,$CK7,$DC7,$DU7,$EM7,$FE7,$FW7,$GO7,$HG7,$HY7,$IQ7,$JI7,$KA7)</f>
        <v>0</v>
      </c>
      <c r="MA7" s="1">
        <f>MAX($R7,$AJ7,$BB7,$BT7,$CL7,$DD7,$DV7,$EN7,$FF7,$FX7,$GP7,$HH7,$HZ7,$IR7,$JJ7,$KB7)</f>
        <v>0</v>
      </c>
      <c r="MB7" s="1"/>
    </row>
    <row r="8" spans="1:340">
      <c r="A8" s="1" t="s">
        <v>5</v>
      </c>
      <c r="B8" s="1"/>
      <c r="C8" s="1"/>
      <c r="D8" s="1"/>
      <c r="E8" s="1"/>
      <c r="F8" s="1"/>
      <c r="G8" s="1">
        <v>0</v>
      </c>
      <c r="H8" s="1"/>
      <c r="I8" s="1"/>
      <c r="J8" s="1">
        <v>0</v>
      </c>
      <c r="K8" s="1"/>
      <c r="L8" s="1">
        <v>30</v>
      </c>
      <c r="M8" s="1"/>
      <c r="N8" s="1"/>
      <c r="O8" s="1"/>
      <c r="P8" s="1"/>
      <c r="Q8" s="1">
        <v>15</v>
      </c>
      <c r="R8" s="1">
        <v>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>
        <v>8618</v>
      </c>
      <c r="AM8" s="1">
        <v>1115</v>
      </c>
      <c r="AN8" s="1">
        <v>2.185</v>
      </c>
      <c r="AO8" s="1">
        <v>774</v>
      </c>
      <c r="AP8" s="1">
        <v>1268207</v>
      </c>
      <c r="AQ8" s="1">
        <v>0</v>
      </c>
      <c r="AR8" s="1">
        <v>0.9550000000000001</v>
      </c>
      <c r="AS8" s="1">
        <v>118</v>
      </c>
      <c r="AT8" s="1">
        <v>0</v>
      </c>
      <c r="AU8" s="1">
        <v>1</v>
      </c>
      <c r="AV8" s="1">
        <v>2.25</v>
      </c>
      <c r="AW8" s="1">
        <v>6</v>
      </c>
      <c r="AX8" s="1">
        <v>343253</v>
      </c>
      <c r="AY8" s="1">
        <v>1.23</v>
      </c>
      <c r="AZ8" s="1" t="s">
        <v>31</v>
      </c>
      <c r="BA8" s="1">
        <v>2.25</v>
      </c>
      <c r="BB8" s="1">
        <v>0</v>
      </c>
      <c r="BC8" s="1">
        <v>175566</v>
      </c>
      <c r="BD8" s="1">
        <v>4886</v>
      </c>
      <c r="BE8" s="1">
        <v>266</v>
      </c>
      <c r="BF8" s="1">
        <v>0.145</v>
      </c>
      <c r="BG8" s="1">
        <v>177</v>
      </c>
      <c r="BH8" s="1">
        <v>128657</v>
      </c>
      <c r="BI8" s="1">
        <v>0</v>
      </c>
      <c r="BJ8" s="1">
        <v>0.125</v>
      </c>
      <c r="BK8" s="1">
        <v>15</v>
      </c>
      <c r="BL8" s="1">
        <v>0</v>
      </c>
      <c r="BM8" s="1">
        <v>1</v>
      </c>
      <c r="BN8" s="1">
        <v>0.17</v>
      </c>
      <c r="BO8" s="1">
        <v>1</v>
      </c>
      <c r="BP8" s="1">
        <v>161018</v>
      </c>
      <c r="BQ8" s="1">
        <v>0.02</v>
      </c>
      <c r="BR8" s="1" t="s">
        <v>31</v>
      </c>
      <c r="BS8" s="1">
        <v>0.17</v>
      </c>
      <c r="BT8" s="1">
        <v>0</v>
      </c>
      <c r="BU8" s="1">
        <v>5298</v>
      </c>
      <c r="BV8" s="1"/>
      <c r="BW8" s="1"/>
      <c r="BX8" s="1"/>
      <c r="BY8" s="1"/>
      <c r="BZ8" s="1"/>
      <c r="CA8" s="1">
        <v>0</v>
      </c>
      <c r="CB8" s="1"/>
      <c r="CC8" s="1"/>
      <c r="CD8" s="1">
        <v>0</v>
      </c>
      <c r="CE8" s="1"/>
      <c r="CF8" s="1">
        <v>30</v>
      </c>
      <c r="CG8" s="1"/>
      <c r="CH8" s="1"/>
      <c r="CI8" s="1"/>
      <c r="CJ8" s="1"/>
      <c r="CK8" s="1">
        <v>15</v>
      </c>
      <c r="CL8" s="1">
        <v>1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>
        <v>0</v>
      </c>
      <c r="ED8" s="1"/>
      <c r="EE8" s="1"/>
      <c r="EF8" s="1">
        <v>0</v>
      </c>
      <c r="EG8" s="1"/>
      <c r="EH8" s="1">
        <v>30</v>
      </c>
      <c r="EI8" s="1"/>
      <c r="EJ8" s="1"/>
      <c r="EK8" s="1"/>
      <c r="EL8" s="1"/>
      <c r="EM8" s="1">
        <v>15</v>
      </c>
      <c r="EN8" s="1">
        <v>1</v>
      </c>
      <c r="EO8" s="1"/>
      <c r="EP8" s="1"/>
      <c r="EQ8" s="1"/>
      <c r="ER8" s="1"/>
      <c r="ES8" s="1"/>
      <c r="ET8" s="1"/>
      <c r="EU8" s="1">
        <v>0</v>
      </c>
      <c r="EV8" s="1"/>
      <c r="EW8" s="1"/>
      <c r="EX8" s="1">
        <v>0</v>
      </c>
      <c r="EY8" s="1"/>
      <c r="EZ8" s="1">
        <v>30</v>
      </c>
      <c r="FA8" s="1"/>
      <c r="FB8" s="1"/>
      <c r="FC8" s="1"/>
      <c r="FD8" s="1"/>
      <c r="FE8" s="1">
        <v>15</v>
      </c>
      <c r="FF8" s="1">
        <v>1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>
        <v>0</v>
      </c>
      <c r="GF8" s="1"/>
      <c r="GG8" s="1"/>
      <c r="GH8" s="1">
        <v>0</v>
      </c>
      <c r="GI8" s="1"/>
      <c r="GJ8" s="1">
        <v>30</v>
      </c>
      <c r="GK8" s="1"/>
      <c r="GL8" s="1"/>
      <c r="GM8" s="1"/>
      <c r="GN8" s="1"/>
      <c r="GO8" s="1">
        <v>15</v>
      </c>
      <c r="GP8" s="1">
        <v>1</v>
      </c>
      <c r="GQ8" s="1"/>
      <c r="GR8" s="1"/>
      <c r="GS8" s="1"/>
      <c r="GT8" s="1"/>
      <c r="GU8" s="1"/>
      <c r="GV8" s="1"/>
      <c r="GW8" s="1">
        <v>0</v>
      </c>
      <c r="GX8" s="1"/>
      <c r="GY8" s="1"/>
      <c r="GZ8" s="1">
        <v>0</v>
      </c>
      <c r="HA8" s="1"/>
      <c r="HB8" s="1">
        <v>30</v>
      </c>
      <c r="HC8" s="1"/>
      <c r="HD8" s="1"/>
      <c r="HE8" s="1"/>
      <c r="HF8" s="1"/>
      <c r="HG8" s="1">
        <v>15</v>
      </c>
      <c r="HH8" s="1">
        <v>1</v>
      </c>
      <c r="HI8" s="1"/>
      <c r="HJ8" s="1"/>
      <c r="HK8" s="1"/>
      <c r="HL8" s="1"/>
      <c r="HM8" s="1"/>
      <c r="HN8" s="1"/>
      <c r="HO8" s="1">
        <v>0</v>
      </c>
      <c r="HP8" s="1"/>
      <c r="HQ8" s="1"/>
      <c r="HR8" s="1">
        <v>0</v>
      </c>
      <c r="HS8" s="1"/>
      <c r="HT8" s="1">
        <v>30</v>
      </c>
      <c r="HU8" s="1"/>
      <c r="HV8" s="1"/>
      <c r="HW8" s="1"/>
      <c r="HX8" s="1"/>
      <c r="HY8" s="1">
        <v>15</v>
      </c>
      <c r="HZ8" s="1">
        <v>1</v>
      </c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>
        <v>0</v>
      </c>
      <c r="JR8" s="1"/>
      <c r="JS8" s="1"/>
      <c r="JT8" s="1">
        <v>0</v>
      </c>
      <c r="JU8" s="1"/>
      <c r="JV8" s="1">
        <v>30</v>
      </c>
      <c r="JW8" s="1"/>
      <c r="JX8" s="1"/>
      <c r="JY8" s="1"/>
      <c r="JZ8" s="1"/>
      <c r="KA8" s="1">
        <v>15</v>
      </c>
      <c r="KB8" s="1">
        <v>1</v>
      </c>
      <c r="KC8" s="1"/>
      <c r="KD8" s="1">
        <f>MIN($B8,$T8,$AL8,$BD8,$BV8,$CN8,$DF8,$DX8,$EP8,$FH8,$FZ8,$GR8,$HJ8,$IB8,$IT8,$JL8)</f>
        <v>0</v>
      </c>
      <c r="KE8" s="1">
        <f>MIN($C8,$U8,$AM8,$BE8,$BW8,$CO8,$DG8,$DY8,$EQ8,$FI8,$GA8,$GS8,$HK8,$IC8,$IU8,$JM8)</f>
        <v>0</v>
      </c>
      <c r="KF8" s="1">
        <f>MIN($D8,$V8,$AN8,$BF8,$BX8,$CP8,$DH8,$DZ8,$ER8,$FJ8,$GB8,$GT8,$HL8,$ID8,$IV8,$JN8)</f>
        <v>0</v>
      </c>
      <c r="KG8" s="1">
        <f>MIN($E8,$W8,$AO8,$BG8,$BY8,$CQ8,$DI8,$EA8,$ES8,$FK8,$GC8,$GU8,$HM8,$IE8,$IW8,$JO8)</f>
        <v>0</v>
      </c>
      <c r="KH8" s="1">
        <f>MIN($F8,$X8,$AP8,$BH8,$BZ8,$CR8,$DJ8,$EB8,$ET8,$FL8,$GD8,$GV8,$HN8,$IF8,$IX8,$JP8)</f>
        <v>0</v>
      </c>
      <c r="KI8" s="1">
        <f>MIN($G8,$Y8,$AQ8,$BI8,$CA8,$CS8,$DK8,$EC8,$EU8,$FM8,$GE8,$GW8,$HO8,$IG8,$IY8,$JQ8)</f>
        <v>0</v>
      </c>
      <c r="KJ8" s="1">
        <f>MIN($H8,$Z8,$AR8,$BJ8,$CB8,$CT8,$DL8,$ED8,$EV8,$FN8,$GF8,$GX8,$HP8,$IH8,$IZ8,$JR8)</f>
        <v>0</v>
      </c>
      <c r="KK8" s="1">
        <f>MIN($I8,$AA8,$AS8,$BK8,$CC8,$CU8,$DM8,$EE8,$EW8,$FO8,$GG8,$GY8,$HQ8,$II8,$JA8,$JS8)</f>
        <v>0</v>
      </c>
      <c r="KL8" s="1">
        <f>MIN($J8,$AB8,$AT8,$BL8,$CD8,$CV8,$DN8,$EF8,$EX8,$FP8,$GH8,$GZ8,$HR8,$IJ8,$JB8,$JT8)</f>
        <v>0</v>
      </c>
      <c r="KM8" s="1">
        <f>MIN($K8,$AC8,$AU8,$BM8,$CE8,$CW8,$DO8,$EG8,$EY8,$FQ8,$GI8,$HA8,$HS8,$IK8,$JC8,$JU8)</f>
        <v>0</v>
      </c>
      <c r="KN8" s="1">
        <f>MIN($L8,$AD8,$AV8,$BN8,$CF8,$CX8,$DP8,$EH8,$EZ8,$FR8,$GJ8,$HB8,$HT8,$IL8,$JD8,$JV8)</f>
        <v>0</v>
      </c>
      <c r="KO8" s="1">
        <f>MIN($M8,$AE8,$AW8,$BO8,$CG8,$CY8,$DQ8,$EI8,$FA8,$FS8,$GK8,$HC8,$HU8,$IM8,$JE8,$JW8)</f>
        <v>0</v>
      </c>
      <c r="KP8" s="1">
        <f>MIN($N8,$AF8,$AX8,$BP8,$CH8,$CZ8,$DR8,$EJ8,$FB8,$FT8,$GL8,$HD8,$HV8,$IN8,$JF8,$JX8)</f>
        <v>0</v>
      </c>
      <c r="KQ8" s="1">
        <f>MIN($O8,$AG8,$AY8,$BQ8,$CI8,$DA8,$DS8,$EK8,$FC8,$FU8,$GM8,$HE8,$HW8,$IO8,$JG8,$JY8)</f>
        <v>0</v>
      </c>
      <c r="KR8" s="1">
        <f>MIN($Q8,$AI8,$BA8,$BS8,$CK8,$DC8,$DU8,$EM8,$FE8,$FW8,$GO8,$HG8,$HY8,$IQ8,$JI8,$KA8)</f>
        <v>0</v>
      </c>
      <c r="KS8" s="1">
        <f>MIN($R8,$AJ8,$BB8,$BT8,$CL8,$DD8,$DV8,$EN8,$FF8,$FX8,$GP8,$HH8,$HZ8,$IR8,$JJ8,$KB8)</f>
        <v>0</v>
      </c>
      <c r="KT8" s="1">
        <f>MIN($S8,$AK8,$BC8,$BU8,$CM8,$DE8,$DW8,$EO8,$FG8,$FY8,$GQ8,$HI8,$IA8,$IS8,$JK8,$KC8)</f>
        <v>0</v>
      </c>
      <c r="KU8" s="1">
        <f>MEDIAN($B8,$T8,$AL8,$BD8,$BV8,$CN8,$DF8,$DX8,$EP8,$FH8,$FZ8,$GR8,$HJ8,$IB8,$IT8,$JL8)</f>
        <v>0</v>
      </c>
      <c r="KV8" s="1">
        <f>MEDIAN($C8,$U8,$AM8,$BE8,$BW8,$CO8,$DG8,$DY8,$EQ8,$FI8,$GA8,$GS8,$HK8,$IC8,$IU8,$JM8)</f>
        <v>0</v>
      </c>
      <c r="KW8" s="1">
        <f>MEDIAN($D8,$V8,$AN8,$BF8,$BX8,$CP8,$DH8,$DZ8,$ER8,$FJ8,$GB8,$GT8,$HL8,$ID8,$IV8,$JN8)</f>
        <v>0</v>
      </c>
      <c r="KX8" s="1">
        <f>MEDIAN($E8,$W8,$AO8,$BG8,$BY8,$CQ8,$DI8,$EA8,$ES8,$FK8,$GC8,$GU8,$HM8,$IE8,$IW8,$JO8)</f>
        <v>0</v>
      </c>
      <c r="KY8" s="1">
        <f>MEDIAN($F8,$X8,$AP8,$BH8,$BZ8,$CR8,$DJ8,$EB8,$ET8,$FL8,$GD8,$GV8,$HN8,$IF8,$IX8,$JP8)</f>
        <v>0</v>
      </c>
      <c r="KZ8" s="1">
        <f>MEDIAN($G8,$Y8,$AQ8,$BI8,$CA8,$CS8,$DK8,$EC8,$EU8,$FM8,$GE8,$GW8,$HO8,$IG8,$IY8,$JQ8)</f>
        <v>0</v>
      </c>
      <c r="LA8" s="1">
        <f>MEDIAN($H8,$Z8,$AR8,$BJ8,$CB8,$CT8,$DL8,$ED8,$EV8,$FN8,$GF8,$GX8,$HP8,$IH8,$IZ8,$JR8)</f>
        <v>0</v>
      </c>
      <c r="LB8" s="1">
        <f>MEDIAN($I8,$AA8,$AS8,$BK8,$CC8,$CU8,$DM8,$EE8,$EW8,$FO8,$GG8,$GY8,$HQ8,$II8,$JA8,$JS8)</f>
        <v>0</v>
      </c>
      <c r="LC8" s="1">
        <f>MEDIAN($J8,$AB8,$AT8,$BL8,$CD8,$CV8,$DN8,$EF8,$EX8,$FP8,$GH8,$GZ8,$HR8,$IJ8,$JB8,$JT8)</f>
        <v>0</v>
      </c>
      <c r="LD8" s="1">
        <f>MEDIAN($K8,$AC8,$AU8,$BM8,$CE8,$CW8,$DO8,$EG8,$EY8,$FQ8,$GI8,$HA8,$HS8,$IK8,$JC8,$JU8)</f>
        <v>0</v>
      </c>
      <c r="LE8" s="1">
        <f>MEDIAN($L8,$AD8,$AV8,$BN8,$CF8,$CX8,$DP8,$EH8,$EZ8,$FR8,$GJ8,$HB8,$HT8,$IL8,$JD8,$JV8)</f>
        <v>0</v>
      </c>
      <c r="LF8" s="1">
        <f>MEDIAN($M8,$AE8,$AW8,$BO8,$CG8,$CY8,$DQ8,$EI8,$FA8,$FS8,$GK8,$HC8,$HU8,$IM8,$JE8,$JW8)</f>
        <v>0</v>
      </c>
      <c r="LG8" s="1">
        <f>MEDIAN($N8,$AF8,$AX8,$BP8,$CH8,$CZ8,$DR8,$EJ8,$FB8,$FT8,$GL8,$HD8,$HV8,$IN8,$JF8,$JX8)</f>
        <v>0</v>
      </c>
      <c r="LH8" s="1">
        <f>MEDIAN($O8,$AG8,$AY8,$BQ8,$CI8,$DA8,$DS8,$EK8,$FC8,$FU8,$GM8,$HE8,$HW8,$IO8,$JG8,$JY8)</f>
        <v>0</v>
      </c>
      <c r="LI8" s="1">
        <f>MEDIAN($Q8,$AI8,$BA8,$BS8,$CK8,$DC8,$DU8,$EM8,$FE8,$FW8,$GO8,$HG8,$HY8,$IQ8,$JI8,$KA8)</f>
        <v>0</v>
      </c>
      <c r="LJ8" s="1">
        <f>MEDIAN($R8,$AJ8,$BB8,$BT8,$CL8,$DD8,$DV8,$EN8,$FF8,$FX8,$GP8,$HH8,$HZ8,$IR8,$JJ8,$KB8)</f>
        <v>0</v>
      </c>
      <c r="LK8" s="1">
        <f>MEDIAN($S8,$AK8,$BC8,$BU8,$CM8,$DE8,$DW8,$EO8,$FG8,$FY8,$GQ8,$HI8,$IA8,$IS8,$JK8,$KC8)</f>
        <v>0</v>
      </c>
      <c r="LL8" s="1">
        <f>MAX($B8,$T8,$AL8,$BD8,$BV8,$CN8,$DF8,$DX8,$EP8,$FH8,$FZ8,$GR8,$HJ8,$IB8,$IT8,$JL8)</f>
        <v>0</v>
      </c>
      <c r="LM8" s="1">
        <f>MAX($C8,$U8,$AM8,$BE8,$BW8,$CO8,$DG8,$DY8,$EQ8,$FI8,$GA8,$GS8,$HK8,$IC8,$IU8,$JM8)</f>
        <v>0</v>
      </c>
      <c r="LN8" s="1">
        <f>MAX($D8,$V8,$AN8,$BF8,$BX8,$CP8,$DH8,$DZ8,$ER8,$FJ8,$GB8,$GT8,$HL8,$ID8,$IV8,$JN8)</f>
        <v>0</v>
      </c>
      <c r="LO8" s="1">
        <f>MAX($E8,$W8,$AO8,$BG8,$BY8,$CQ8,$DI8,$EA8,$ES8,$FK8,$GC8,$GU8,$HM8,$IE8,$IW8,$JO8)</f>
        <v>0</v>
      </c>
      <c r="LP8" s="1">
        <f>MAX($F8,$X8,$AP8,$BH8,$BZ8,$CR8,$DJ8,$EB8,$ET8,$FL8,$GD8,$GV8,$HN8,$IF8,$IX8,$JP8)</f>
        <v>0</v>
      </c>
      <c r="LQ8" s="1">
        <f>MAX($G8,$Y8,$AQ8,$BI8,$CA8,$CS8,$DK8,$EC8,$EU8,$FM8,$GE8,$GW8,$HO8,$IG8,$IY8,$JQ8)</f>
        <v>0</v>
      </c>
      <c r="LR8" s="1">
        <f>MAX($H8,$Z8,$AR8,$BJ8,$CB8,$CT8,$DL8,$ED8,$EV8,$FN8,$GF8,$GX8,$HP8,$IH8,$IZ8,$JR8)</f>
        <v>0</v>
      </c>
      <c r="LS8" s="1">
        <f>MAX($I8,$AA8,$AS8,$BK8,$CC8,$CU8,$DM8,$EE8,$EW8,$FO8,$GG8,$GY8,$HQ8,$II8,$JA8,$JS8)</f>
        <v>0</v>
      </c>
      <c r="LT8" s="1">
        <f>MAX($J8,$AB8,$AT8,$BL8,$CD8,$CV8,$DN8,$EF8,$EX8,$FP8,$GH8,$GZ8,$HR8,$IJ8,$JB8,$JT8)</f>
        <v>0</v>
      </c>
      <c r="LU8" s="1">
        <f>MAX($K8,$AC8,$AU8,$BM8,$CE8,$CW8,$DO8,$EG8,$EY8,$FQ8,$GI8,$HA8,$HS8,$IK8,$JC8,$JU8)</f>
        <v>0</v>
      </c>
      <c r="LV8" s="1">
        <f>MAX($L8,$AD8,$AV8,$BN8,$CF8,$CX8,$DP8,$EH8,$EZ8,$FR8,$GJ8,$HB8,$HT8,$IL8,$JD8,$JV8)</f>
        <v>0</v>
      </c>
      <c r="LW8" s="1">
        <f>MAX($M8,$AE8,$AW8,$BO8,$CG8,$CY8,$DQ8,$EI8,$FA8,$FS8,$GK8,$HC8,$HU8,$IM8,$JE8,$JW8)</f>
        <v>0</v>
      </c>
      <c r="LX8" s="1">
        <f>MAX($N8,$AF8,$AX8,$BP8,$CH8,$CZ8,$DR8,$EJ8,$FB8,$FT8,$GL8,$HD8,$HV8,$IN8,$JF8,$JX8)</f>
        <v>0</v>
      </c>
      <c r="LY8" s="1">
        <f>MAX($O8,$AG8,$AY8,$BQ8,$CI8,$DA8,$DS8,$EK8,$FC8,$FU8,$GM8,$HE8,$HW8,$IO8,$JG8,$JY8)</f>
        <v>0</v>
      </c>
      <c r="LZ8" s="1">
        <f>MAX($Q8,$AI8,$BA8,$BS8,$CK8,$DC8,$DU8,$EM8,$FE8,$FW8,$GO8,$HG8,$HY8,$IQ8,$JI8,$KA8)</f>
        <v>0</v>
      </c>
      <c r="MA8" s="1">
        <f>MAX($R8,$AJ8,$BB8,$BT8,$CL8,$DD8,$DV8,$EN8,$FF8,$FX8,$GP8,$HH8,$HZ8,$IR8,$JJ8,$KB8)</f>
        <v>0</v>
      </c>
      <c r="MB8" s="1">
        <f>MAX($S8,$AK8,$BC8,$BU8,$CM8,$DE8,$DW8,$EO8,$FG8,$FY8,$GQ8,$HI8,$IA8,$IS8,$JK8,$KC8)</f>
        <v>0</v>
      </c>
    </row>
    <row r="9" spans="1:340">
      <c r="A9" s="1" t="s">
        <v>6</v>
      </c>
      <c r="B9" s="1"/>
      <c r="C9" s="1"/>
      <c r="D9" s="1"/>
      <c r="E9" s="1"/>
      <c r="F9" s="1"/>
      <c r="G9" s="1">
        <v>0</v>
      </c>
      <c r="H9" s="1"/>
      <c r="I9" s="1"/>
      <c r="J9" s="1">
        <v>0</v>
      </c>
      <c r="K9" s="1"/>
      <c r="L9" s="1">
        <v>30</v>
      </c>
      <c r="M9" s="1"/>
      <c r="N9" s="1"/>
      <c r="O9" s="1"/>
      <c r="P9" s="1"/>
      <c r="Q9" s="1">
        <v>15</v>
      </c>
      <c r="R9" s="1">
        <v>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>
        <v>33278</v>
      </c>
      <c r="AM9" s="1">
        <v>1346</v>
      </c>
      <c r="AN9" s="1">
        <v>8.255000000000001</v>
      </c>
      <c r="AO9" s="1">
        <v>643</v>
      </c>
      <c r="AP9" s="1">
        <v>6227547</v>
      </c>
      <c r="AQ9" s="1">
        <v>0</v>
      </c>
      <c r="AR9" s="1">
        <v>6.115</v>
      </c>
      <c r="AS9" s="1">
        <v>526</v>
      </c>
      <c r="AT9" s="1">
        <v>0</v>
      </c>
      <c r="AU9" s="1">
        <v>1</v>
      </c>
      <c r="AV9" s="1">
        <v>8.470000000000001</v>
      </c>
      <c r="AW9" s="1">
        <v>5</v>
      </c>
      <c r="AX9" s="1">
        <v>2267383</v>
      </c>
      <c r="AY9" s="1">
        <v>2.14</v>
      </c>
      <c r="AZ9" s="1" t="s">
        <v>31</v>
      </c>
      <c r="BA9" s="1">
        <v>8.470000000000001</v>
      </c>
      <c r="BB9" s="1">
        <v>0</v>
      </c>
      <c r="BC9" s="1">
        <v>778946</v>
      </c>
      <c r="BD9" s="1">
        <v>19766</v>
      </c>
      <c r="BE9" s="1">
        <v>11659</v>
      </c>
      <c r="BF9" s="1">
        <v>4.599</v>
      </c>
      <c r="BG9" s="1">
        <v>7035</v>
      </c>
      <c r="BH9" s="1">
        <v>1160787</v>
      </c>
      <c r="BI9" s="1">
        <v>0</v>
      </c>
      <c r="BJ9" s="1">
        <v>1.169</v>
      </c>
      <c r="BK9" s="1">
        <v>92</v>
      </c>
      <c r="BL9" s="1">
        <v>0</v>
      </c>
      <c r="BM9" s="1">
        <v>1</v>
      </c>
      <c r="BN9" s="1">
        <v>4.63</v>
      </c>
      <c r="BO9" s="1">
        <v>30</v>
      </c>
      <c r="BP9" s="1">
        <v>1475058</v>
      </c>
      <c r="BQ9" s="1">
        <v>3.43</v>
      </c>
      <c r="BR9" s="1" t="s">
        <v>31</v>
      </c>
      <c r="BS9" s="1">
        <v>4.63</v>
      </c>
      <c r="BT9" s="1">
        <v>0</v>
      </c>
      <c r="BU9" s="1">
        <v>22548</v>
      </c>
      <c r="BV9" s="1"/>
      <c r="BW9" s="1"/>
      <c r="BX9" s="1"/>
      <c r="BY9" s="1"/>
      <c r="BZ9" s="1"/>
      <c r="CA9" s="1">
        <v>0</v>
      </c>
      <c r="CB9" s="1"/>
      <c r="CC9" s="1"/>
      <c r="CD9" s="1">
        <v>0</v>
      </c>
      <c r="CE9" s="1"/>
      <c r="CF9" s="1">
        <v>30</v>
      </c>
      <c r="CG9" s="1"/>
      <c r="CH9" s="1"/>
      <c r="CI9" s="1"/>
      <c r="CJ9" s="1"/>
      <c r="CK9" s="1">
        <v>15</v>
      </c>
      <c r="CL9" s="1">
        <v>1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>
        <v>0</v>
      </c>
      <c r="ED9" s="1"/>
      <c r="EE9" s="1"/>
      <c r="EF9" s="1">
        <v>0</v>
      </c>
      <c r="EG9" s="1"/>
      <c r="EH9" s="1">
        <v>30</v>
      </c>
      <c r="EI9" s="1"/>
      <c r="EJ9" s="1"/>
      <c r="EK9" s="1"/>
      <c r="EL9" s="1"/>
      <c r="EM9" s="1">
        <v>15</v>
      </c>
      <c r="EN9" s="1">
        <v>1</v>
      </c>
      <c r="EO9" s="1"/>
      <c r="EP9" s="1"/>
      <c r="EQ9" s="1"/>
      <c r="ER9" s="1"/>
      <c r="ES9" s="1"/>
      <c r="ET9" s="1"/>
      <c r="EU9" s="1">
        <v>0</v>
      </c>
      <c r="EV9" s="1"/>
      <c r="EW9" s="1"/>
      <c r="EX9" s="1">
        <v>0</v>
      </c>
      <c r="EY9" s="1"/>
      <c r="EZ9" s="1">
        <v>30</v>
      </c>
      <c r="FA9" s="1"/>
      <c r="FB9" s="1"/>
      <c r="FC9" s="1"/>
      <c r="FD9" s="1"/>
      <c r="FE9" s="1">
        <v>15</v>
      </c>
      <c r="FF9" s="1">
        <v>1</v>
      </c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>
        <v>0</v>
      </c>
      <c r="GF9" s="1"/>
      <c r="GG9" s="1"/>
      <c r="GH9" s="1">
        <v>0</v>
      </c>
      <c r="GI9" s="1"/>
      <c r="GJ9" s="1">
        <v>30</v>
      </c>
      <c r="GK9" s="1"/>
      <c r="GL9" s="1"/>
      <c r="GM9" s="1"/>
      <c r="GN9" s="1"/>
      <c r="GO9" s="1">
        <v>15</v>
      </c>
      <c r="GP9" s="1">
        <v>1</v>
      </c>
      <c r="GQ9" s="1"/>
      <c r="GR9" s="1"/>
      <c r="GS9" s="1"/>
      <c r="GT9" s="1"/>
      <c r="GU9" s="1"/>
      <c r="GV9" s="1"/>
      <c r="GW9" s="1">
        <v>0</v>
      </c>
      <c r="GX9" s="1"/>
      <c r="GY9" s="1"/>
      <c r="GZ9" s="1">
        <v>0</v>
      </c>
      <c r="HA9" s="1"/>
      <c r="HB9" s="1">
        <v>30</v>
      </c>
      <c r="HC9" s="1"/>
      <c r="HD9" s="1"/>
      <c r="HE9" s="1"/>
      <c r="HF9" s="1"/>
      <c r="HG9" s="1">
        <v>15</v>
      </c>
      <c r="HH9" s="1">
        <v>1</v>
      </c>
      <c r="HI9" s="1"/>
      <c r="HJ9" s="1"/>
      <c r="HK9" s="1"/>
      <c r="HL9" s="1"/>
      <c r="HM9" s="1"/>
      <c r="HN9" s="1"/>
      <c r="HO9" s="1">
        <v>0</v>
      </c>
      <c r="HP9" s="1"/>
      <c r="HQ9" s="1"/>
      <c r="HR9" s="1">
        <v>0</v>
      </c>
      <c r="HS9" s="1"/>
      <c r="HT9" s="1">
        <v>30</v>
      </c>
      <c r="HU9" s="1"/>
      <c r="HV9" s="1"/>
      <c r="HW9" s="1"/>
      <c r="HX9" s="1"/>
      <c r="HY9" s="1">
        <v>15</v>
      </c>
      <c r="HZ9" s="1">
        <v>1</v>
      </c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>
        <v>0</v>
      </c>
      <c r="JR9" s="1"/>
      <c r="JS9" s="1"/>
      <c r="JT9" s="1">
        <v>0</v>
      </c>
      <c r="JU9" s="1"/>
      <c r="JV9" s="1">
        <v>30</v>
      </c>
      <c r="JW9" s="1"/>
      <c r="JX9" s="1"/>
      <c r="JY9" s="1"/>
      <c r="JZ9" s="1"/>
      <c r="KA9" s="1">
        <v>15</v>
      </c>
      <c r="KB9" s="1">
        <v>1</v>
      </c>
      <c r="KC9" s="1"/>
      <c r="KD9" s="1">
        <f>MIN($B9,$T9,$AL9,$BD9,$BV9,$CN9,$DF9,$DX9,$EP9,$FH9,$FZ9,$GR9,$HJ9,$IB9,$IT9,$JL9)</f>
        <v>0</v>
      </c>
      <c r="KE9" s="1">
        <f>MIN($C9,$U9,$AM9,$BE9,$BW9,$CO9,$DG9,$DY9,$EQ9,$FI9,$GA9,$GS9,$HK9,$IC9,$IU9,$JM9)</f>
        <v>0</v>
      </c>
      <c r="KF9" s="1">
        <f>MIN($D9,$V9,$AN9,$BF9,$BX9,$CP9,$DH9,$DZ9,$ER9,$FJ9,$GB9,$GT9,$HL9,$ID9,$IV9,$JN9)</f>
        <v>0</v>
      </c>
      <c r="KG9" s="1">
        <f>MIN($E9,$W9,$AO9,$BG9,$BY9,$CQ9,$DI9,$EA9,$ES9,$FK9,$GC9,$GU9,$HM9,$IE9,$IW9,$JO9)</f>
        <v>0</v>
      </c>
      <c r="KH9" s="1">
        <f>MIN($F9,$X9,$AP9,$BH9,$BZ9,$CR9,$DJ9,$EB9,$ET9,$FL9,$GD9,$GV9,$HN9,$IF9,$IX9,$JP9)</f>
        <v>0</v>
      </c>
      <c r="KI9" s="1">
        <f>MIN($G9,$Y9,$AQ9,$BI9,$CA9,$CS9,$DK9,$EC9,$EU9,$FM9,$GE9,$GW9,$HO9,$IG9,$IY9,$JQ9)</f>
        <v>0</v>
      </c>
      <c r="KJ9" s="1">
        <f>MIN($H9,$Z9,$AR9,$BJ9,$CB9,$CT9,$DL9,$ED9,$EV9,$FN9,$GF9,$GX9,$HP9,$IH9,$IZ9,$JR9)</f>
        <v>0</v>
      </c>
      <c r="KK9" s="1">
        <f>MIN($I9,$AA9,$AS9,$BK9,$CC9,$CU9,$DM9,$EE9,$EW9,$FO9,$GG9,$GY9,$HQ9,$II9,$JA9,$JS9)</f>
        <v>0</v>
      </c>
      <c r="KL9" s="1">
        <f>MIN($J9,$AB9,$AT9,$BL9,$CD9,$CV9,$DN9,$EF9,$EX9,$FP9,$GH9,$GZ9,$HR9,$IJ9,$JB9,$JT9)</f>
        <v>0</v>
      </c>
      <c r="KM9" s="1">
        <f>MIN($K9,$AC9,$AU9,$BM9,$CE9,$CW9,$DO9,$EG9,$EY9,$FQ9,$GI9,$HA9,$HS9,$IK9,$JC9,$JU9)</f>
        <v>0</v>
      </c>
      <c r="KN9" s="1">
        <f>MIN($L9,$AD9,$AV9,$BN9,$CF9,$CX9,$DP9,$EH9,$EZ9,$FR9,$GJ9,$HB9,$HT9,$IL9,$JD9,$JV9)</f>
        <v>0</v>
      </c>
      <c r="KO9" s="1">
        <f>MIN($M9,$AE9,$AW9,$BO9,$CG9,$CY9,$DQ9,$EI9,$FA9,$FS9,$GK9,$HC9,$HU9,$IM9,$JE9,$JW9)</f>
        <v>0</v>
      </c>
      <c r="KP9" s="1">
        <f>MIN($N9,$AF9,$AX9,$BP9,$CH9,$CZ9,$DR9,$EJ9,$FB9,$FT9,$GL9,$HD9,$HV9,$IN9,$JF9,$JX9)</f>
        <v>0</v>
      </c>
      <c r="KQ9" s="1">
        <f>MIN($O9,$AG9,$AY9,$BQ9,$CI9,$DA9,$DS9,$EK9,$FC9,$FU9,$GM9,$HE9,$HW9,$IO9,$JG9,$JY9)</f>
        <v>0</v>
      </c>
      <c r="KR9" s="1">
        <f>MIN($Q9,$AI9,$BA9,$BS9,$CK9,$DC9,$DU9,$EM9,$FE9,$FW9,$GO9,$HG9,$HY9,$IQ9,$JI9,$KA9)</f>
        <v>0</v>
      </c>
      <c r="KS9" s="1">
        <f>MIN($R9,$AJ9,$BB9,$BT9,$CL9,$DD9,$DV9,$EN9,$FF9,$FX9,$GP9,$HH9,$HZ9,$IR9,$JJ9,$KB9)</f>
        <v>0</v>
      </c>
      <c r="KT9" s="1">
        <f>MIN($S9,$AK9,$BC9,$BU9,$CM9,$DE9,$DW9,$EO9,$FG9,$FY9,$GQ9,$HI9,$IA9,$IS9,$JK9,$KC9)</f>
        <v>0</v>
      </c>
      <c r="KU9" s="1">
        <f>MEDIAN($B9,$T9,$AL9,$BD9,$BV9,$CN9,$DF9,$DX9,$EP9,$FH9,$FZ9,$GR9,$HJ9,$IB9,$IT9,$JL9)</f>
        <v>0</v>
      </c>
      <c r="KV9" s="1">
        <f>MEDIAN($C9,$U9,$AM9,$BE9,$BW9,$CO9,$DG9,$DY9,$EQ9,$FI9,$GA9,$GS9,$HK9,$IC9,$IU9,$JM9)</f>
        <v>0</v>
      </c>
      <c r="KW9" s="1">
        <f>MEDIAN($D9,$V9,$AN9,$BF9,$BX9,$CP9,$DH9,$DZ9,$ER9,$FJ9,$GB9,$GT9,$HL9,$ID9,$IV9,$JN9)</f>
        <v>0</v>
      </c>
      <c r="KX9" s="1">
        <f>MEDIAN($E9,$W9,$AO9,$BG9,$BY9,$CQ9,$DI9,$EA9,$ES9,$FK9,$GC9,$GU9,$HM9,$IE9,$IW9,$JO9)</f>
        <v>0</v>
      </c>
      <c r="KY9" s="1">
        <f>MEDIAN($F9,$X9,$AP9,$BH9,$BZ9,$CR9,$DJ9,$EB9,$ET9,$FL9,$GD9,$GV9,$HN9,$IF9,$IX9,$JP9)</f>
        <v>0</v>
      </c>
      <c r="KZ9" s="1">
        <f>MEDIAN($G9,$Y9,$AQ9,$BI9,$CA9,$CS9,$DK9,$EC9,$EU9,$FM9,$GE9,$GW9,$HO9,$IG9,$IY9,$JQ9)</f>
        <v>0</v>
      </c>
      <c r="LA9" s="1">
        <f>MEDIAN($H9,$Z9,$AR9,$BJ9,$CB9,$CT9,$DL9,$ED9,$EV9,$FN9,$GF9,$GX9,$HP9,$IH9,$IZ9,$JR9)</f>
        <v>0</v>
      </c>
      <c r="LB9" s="1">
        <f>MEDIAN($I9,$AA9,$AS9,$BK9,$CC9,$CU9,$DM9,$EE9,$EW9,$FO9,$GG9,$GY9,$HQ9,$II9,$JA9,$JS9)</f>
        <v>0</v>
      </c>
      <c r="LC9" s="1">
        <f>MEDIAN($J9,$AB9,$AT9,$BL9,$CD9,$CV9,$DN9,$EF9,$EX9,$FP9,$GH9,$GZ9,$HR9,$IJ9,$JB9,$JT9)</f>
        <v>0</v>
      </c>
      <c r="LD9" s="1">
        <f>MEDIAN($K9,$AC9,$AU9,$BM9,$CE9,$CW9,$DO9,$EG9,$EY9,$FQ9,$GI9,$HA9,$HS9,$IK9,$JC9,$JU9)</f>
        <v>0</v>
      </c>
      <c r="LE9" s="1">
        <f>MEDIAN($L9,$AD9,$AV9,$BN9,$CF9,$CX9,$DP9,$EH9,$EZ9,$FR9,$GJ9,$HB9,$HT9,$IL9,$JD9,$JV9)</f>
        <v>0</v>
      </c>
      <c r="LF9" s="1">
        <f>MEDIAN($M9,$AE9,$AW9,$BO9,$CG9,$CY9,$DQ9,$EI9,$FA9,$FS9,$GK9,$HC9,$HU9,$IM9,$JE9,$JW9)</f>
        <v>0</v>
      </c>
      <c r="LG9" s="1">
        <f>MEDIAN($N9,$AF9,$AX9,$BP9,$CH9,$CZ9,$DR9,$EJ9,$FB9,$FT9,$GL9,$HD9,$HV9,$IN9,$JF9,$JX9)</f>
        <v>0</v>
      </c>
      <c r="LH9" s="1">
        <f>MEDIAN($O9,$AG9,$AY9,$BQ9,$CI9,$DA9,$DS9,$EK9,$FC9,$FU9,$GM9,$HE9,$HW9,$IO9,$JG9,$JY9)</f>
        <v>0</v>
      </c>
      <c r="LI9" s="1">
        <f>MEDIAN($Q9,$AI9,$BA9,$BS9,$CK9,$DC9,$DU9,$EM9,$FE9,$FW9,$GO9,$HG9,$HY9,$IQ9,$JI9,$KA9)</f>
        <v>0</v>
      </c>
      <c r="LJ9" s="1">
        <f>MEDIAN($R9,$AJ9,$BB9,$BT9,$CL9,$DD9,$DV9,$EN9,$FF9,$FX9,$GP9,$HH9,$HZ9,$IR9,$JJ9,$KB9)</f>
        <v>0</v>
      </c>
      <c r="LK9" s="1">
        <f>MEDIAN($S9,$AK9,$BC9,$BU9,$CM9,$DE9,$DW9,$EO9,$FG9,$FY9,$GQ9,$HI9,$IA9,$IS9,$JK9,$KC9)</f>
        <v>0</v>
      </c>
      <c r="LL9" s="1">
        <f>MAX($B9,$T9,$AL9,$BD9,$BV9,$CN9,$DF9,$DX9,$EP9,$FH9,$FZ9,$GR9,$HJ9,$IB9,$IT9,$JL9)</f>
        <v>0</v>
      </c>
      <c r="LM9" s="1">
        <f>MAX($C9,$U9,$AM9,$BE9,$BW9,$CO9,$DG9,$DY9,$EQ9,$FI9,$GA9,$GS9,$HK9,$IC9,$IU9,$JM9)</f>
        <v>0</v>
      </c>
      <c r="LN9" s="1">
        <f>MAX($D9,$V9,$AN9,$BF9,$BX9,$CP9,$DH9,$DZ9,$ER9,$FJ9,$GB9,$GT9,$HL9,$ID9,$IV9,$JN9)</f>
        <v>0</v>
      </c>
      <c r="LO9" s="1">
        <f>MAX($E9,$W9,$AO9,$BG9,$BY9,$CQ9,$DI9,$EA9,$ES9,$FK9,$GC9,$GU9,$HM9,$IE9,$IW9,$JO9)</f>
        <v>0</v>
      </c>
      <c r="LP9" s="1">
        <f>MAX($F9,$X9,$AP9,$BH9,$BZ9,$CR9,$DJ9,$EB9,$ET9,$FL9,$GD9,$GV9,$HN9,$IF9,$IX9,$JP9)</f>
        <v>0</v>
      </c>
      <c r="LQ9" s="1">
        <f>MAX($G9,$Y9,$AQ9,$BI9,$CA9,$CS9,$DK9,$EC9,$EU9,$FM9,$GE9,$GW9,$HO9,$IG9,$IY9,$JQ9)</f>
        <v>0</v>
      </c>
      <c r="LR9" s="1">
        <f>MAX($H9,$Z9,$AR9,$BJ9,$CB9,$CT9,$DL9,$ED9,$EV9,$FN9,$GF9,$GX9,$HP9,$IH9,$IZ9,$JR9)</f>
        <v>0</v>
      </c>
      <c r="LS9" s="1">
        <f>MAX($I9,$AA9,$AS9,$BK9,$CC9,$CU9,$DM9,$EE9,$EW9,$FO9,$GG9,$GY9,$HQ9,$II9,$JA9,$JS9)</f>
        <v>0</v>
      </c>
      <c r="LT9" s="1">
        <f>MAX($J9,$AB9,$AT9,$BL9,$CD9,$CV9,$DN9,$EF9,$EX9,$FP9,$GH9,$GZ9,$HR9,$IJ9,$JB9,$JT9)</f>
        <v>0</v>
      </c>
      <c r="LU9" s="1">
        <f>MAX($K9,$AC9,$AU9,$BM9,$CE9,$CW9,$DO9,$EG9,$EY9,$FQ9,$GI9,$HA9,$HS9,$IK9,$JC9,$JU9)</f>
        <v>0</v>
      </c>
      <c r="LV9" s="1">
        <f>MAX($L9,$AD9,$AV9,$BN9,$CF9,$CX9,$DP9,$EH9,$EZ9,$FR9,$GJ9,$HB9,$HT9,$IL9,$JD9,$JV9)</f>
        <v>0</v>
      </c>
      <c r="LW9" s="1">
        <f>MAX($M9,$AE9,$AW9,$BO9,$CG9,$CY9,$DQ9,$EI9,$FA9,$FS9,$GK9,$HC9,$HU9,$IM9,$JE9,$JW9)</f>
        <v>0</v>
      </c>
      <c r="LX9" s="1">
        <f>MAX($N9,$AF9,$AX9,$BP9,$CH9,$CZ9,$DR9,$EJ9,$FB9,$FT9,$GL9,$HD9,$HV9,$IN9,$JF9,$JX9)</f>
        <v>0</v>
      </c>
      <c r="LY9" s="1">
        <f>MAX($O9,$AG9,$AY9,$BQ9,$CI9,$DA9,$DS9,$EK9,$FC9,$FU9,$GM9,$HE9,$HW9,$IO9,$JG9,$JY9)</f>
        <v>0</v>
      </c>
      <c r="LZ9" s="1">
        <f>MAX($Q9,$AI9,$BA9,$BS9,$CK9,$DC9,$DU9,$EM9,$FE9,$FW9,$GO9,$HG9,$HY9,$IQ9,$JI9,$KA9)</f>
        <v>0</v>
      </c>
      <c r="MA9" s="1">
        <f>MAX($R9,$AJ9,$BB9,$BT9,$CL9,$DD9,$DV9,$EN9,$FF9,$FX9,$GP9,$HH9,$HZ9,$IR9,$JJ9,$KB9)</f>
        <v>0</v>
      </c>
      <c r="MB9" s="1">
        <f>MAX($S9,$AK9,$BC9,$BU9,$CM9,$DE9,$DW9,$EO9,$FG9,$FY9,$GQ9,$HI9,$IA9,$IS9,$JK9,$KC9)</f>
        <v>0</v>
      </c>
    </row>
    <row r="10" spans="1:34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</row>
    <row r="11" spans="1:340">
      <c r="A11" s="1" t="s">
        <v>7</v>
      </c>
      <c r="B11" s="1">
        <f>SUM(B$3:B$9)</f>
        <v>0</v>
      </c>
      <c r="C11" s="1">
        <f>SUM(C$3:C$9)</f>
        <v>0</v>
      </c>
      <c r="D11" s="1">
        <f>SUM(D$3:D$9)</f>
        <v>0</v>
      </c>
      <c r="E11" s="1">
        <f>SUM(E$3:E$9)</f>
        <v>0</v>
      </c>
      <c r="F11" s="1">
        <f>SUM(F$3:F$9)</f>
        <v>0</v>
      </c>
      <c r="G11" s="1">
        <f>SUM(G$3:G$9)</f>
        <v>0</v>
      </c>
      <c r="H11" s="1">
        <f>SUM(H$3:H$9)</f>
        <v>0</v>
      </c>
      <c r="I11" s="1">
        <f>SUM(I$3:I$9)</f>
        <v>0</v>
      </c>
      <c r="J11" s="1">
        <f>SUM(J$3:J$9)</f>
        <v>0</v>
      </c>
      <c r="K11" s="1">
        <f>SUM(K$3:K$9)</f>
        <v>0</v>
      </c>
      <c r="L11" s="1">
        <f>SUM(L$3:L$9)</f>
        <v>0</v>
      </c>
      <c r="M11" s="1">
        <f>SUM(M$3:M$9)</f>
        <v>0</v>
      </c>
      <c r="N11" s="1">
        <f>SUM(N$3:N$9)</f>
        <v>0</v>
      </c>
      <c r="O11" s="1">
        <f>SUM(O$3:O$9)</f>
        <v>0</v>
      </c>
      <c r="P11" s="1"/>
      <c r="Q11" s="1">
        <f>SUM(Q$3:Q$9)</f>
        <v>0</v>
      </c>
      <c r="R11" s="1">
        <f>SUM(R$3:R$9)</f>
        <v>0</v>
      </c>
      <c r="S11" s="1">
        <f>SUM(S$3:S$9)</f>
        <v>0</v>
      </c>
      <c r="T11" s="1">
        <f>SUM(T$3:T$9)</f>
        <v>0</v>
      </c>
      <c r="U11" s="1">
        <f>SUM(U$3:U$9)</f>
        <v>0</v>
      </c>
      <c r="V11" s="1">
        <f>SUM(V$3:V$9)</f>
        <v>0</v>
      </c>
      <c r="W11" s="1">
        <f>SUM(W$3:W$9)</f>
        <v>0</v>
      </c>
      <c r="X11" s="1">
        <f>SUM(X$3:X$9)</f>
        <v>0</v>
      </c>
      <c r="Y11" s="1">
        <f>SUM(Y$3:Y$9)</f>
        <v>0</v>
      </c>
      <c r="Z11" s="1">
        <f>SUM(Z$3:Z$9)</f>
        <v>0</v>
      </c>
      <c r="AA11" s="1">
        <f>SUM(AA$3:AA$9)</f>
        <v>0</v>
      </c>
      <c r="AB11" s="1">
        <f>SUM(AB$3:AB$9)</f>
        <v>0</v>
      </c>
      <c r="AC11" s="1">
        <f>SUM(AC$3:AC$9)</f>
        <v>0</v>
      </c>
      <c r="AD11" s="1">
        <f>SUM(AD$3:AD$9)</f>
        <v>0</v>
      </c>
      <c r="AE11" s="1">
        <f>SUM(AE$3:AE$9)</f>
        <v>0</v>
      </c>
      <c r="AF11" s="1">
        <f>SUM(AF$3:AF$9)</f>
        <v>0</v>
      </c>
      <c r="AG11" s="1">
        <f>SUM(AG$3:AG$9)</f>
        <v>0</v>
      </c>
      <c r="AH11" s="1"/>
      <c r="AI11" s="1">
        <f>SUM(AI$3:AI$9)</f>
        <v>0</v>
      </c>
      <c r="AJ11" s="1">
        <f>SUM(AJ$3:AJ$9)</f>
        <v>0</v>
      </c>
      <c r="AK11" s="1">
        <f>SUM(AK$3:AK$9)</f>
        <v>0</v>
      </c>
      <c r="AL11" s="1">
        <f>SUM(AL$3:AL$9)</f>
        <v>0</v>
      </c>
      <c r="AM11" s="1">
        <f>SUM(AM$3:AM$9)</f>
        <v>0</v>
      </c>
      <c r="AN11" s="1">
        <f>SUM(AN$3:AN$9)</f>
        <v>0</v>
      </c>
      <c r="AO11" s="1">
        <f>SUM(AO$3:AO$9)</f>
        <v>0</v>
      </c>
      <c r="AP11" s="1">
        <f>SUM(AP$3:AP$9)</f>
        <v>0</v>
      </c>
      <c r="AQ11" s="1">
        <f>SUM(AQ$3:AQ$9)</f>
        <v>0</v>
      </c>
      <c r="AR11" s="1">
        <f>SUM(AR$3:AR$9)</f>
        <v>0</v>
      </c>
      <c r="AS11" s="1">
        <f>SUM(AS$3:AS$9)</f>
        <v>0</v>
      </c>
      <c r="AT11" s="1">
        <f>SUM(AT$3:AT$9)</f>
        <v>0</v>
      </c>
      <c r="AU11" s="1">
        <f>SUM(AU$3:AU$9)</f>
        <v>0</v>
      </c>
      <c r="AV11" s="1">
        <f>SUM(AV$3:AV$9)</f>
        <v>0</v>
      </c>
      <c r="AW11" s="1">
        <f>SUM(AW$3:AW$9)</f>
        <v>0</v>
      </c>
      <c r="AX11" s="1">
        <f>SUM(AX$3:AX$9)</f>
        <v>0</v>
      </c>
      <c r="AY11" s="1">
        <f>SUM(AY$3:AY$9)</f>
        <v>0</v>
      </c>
      <c r="AZ11" s="1"/>
      <c r="BA11" s="1">
        <f>SUM(BA$3:BA$9)</f>
        <v>0</v>
      </c>
      <c r="BB11" s="1">
        <f>SUM(BB$3:BB$9)</f>
        <v>0</v>
      </c>
      <c r="BC11" s="1">
        <f>SUM(BC$3:BC$9)</f>
        <v>0</v>
      </c>
      <c r="BD11" s="1">
        <f>SUM(BD$3:BD$9)</f>
        <v>0</v>
      </c>
      <c r="BE11" s="1">
        <f>SUM(BE$3:BE$9)</f>
        <v>0</v>
      </c>
      <c r="BF11" s="1">
        <f>SUM(BF$3:BF$9)</f>
        <v>0</v>
      </c>
      <c r="BG11" s="1">
        <f>SUM(BG$3:BG$9)</f>
        <v>0</v>
      </c>
      <c r="BH11" s="1">
        <f>SUM(BH$3:BH$9)</f>
        <v>0</v>
      </c>
      <c r="BI11" s="1">
        <f>SUM(BI$3:BI$9)</f>
        <v>0</v>
      </c>
      <c r="BJ11" s="1">
        <f>SUM(BJ$3:BJ$9)</f>
        <v>0</v>
      </c>
      <c r="BK11" s="1">
        <f>SUM(BK$3:BK$9)</f>
        <v>0</v>
      </c>
      <c r="BL11" s="1">
        <f>SUM(BL$3:BL$9)</f>
        <v>0</v>
      </c>
      <c r="BM11" s="1">
        <f>SUM(BM$3:BM$9)</f>
        <v>0</v>
      </c>
      <c r="BN11" s="1">
        <f>SUM(BN$3:BN$9)</f>
        <v>0</v>
      </c>
      <c r="BO11" s="1">
        <f>SUM(BO$3:BO$9)</f>
        <v>0</v>
      </c>
      <c r="BP11" s="1">
        <f>SUM(BP$3:BP$9)</f>
        <v>0</v>
      </c>
      <c r="BQ11" s="1">
        <f>SUM(BQ$3:BQ$9)</f>
        <v>0</v>
      </c>
      <c r="BR11" s="1"/>
      <c r="BS11" s="1">
        <f>SUM(BS$3:BS$9)</f>
        <v>0</v>
      </c>
      <c r="BT11" s="1">
        <f>SUM(BT$3:BT$9)</f>
        <v>0</v>
      </c>
      <c r="BU11" s="1">
        <f>SUM(BU$3:BU$9)</f>
        <v>0</v>
      </c>
      <c r="BV11" s="1">
        <f>SUM(BV$3:BV$9)</f>
        <v>0</v>
      </c>
      <c r="BW11" s="1">
        <f>SUM(BW$3:BW$9)</f>
        <v>0</v>
      </c>
      <c r="BX11" s="1">
        <f>SUM(BX$3:BX$9)</f>
        <v>0</v>
      </c>
      <c r="BY11" s="1">
        <f>SUM(BY$3:BY$9)</f>
        <v>0</v>
      </c>
      <c r="BZ11" s="1">
        <f>SUM(BZ$3:BZ$9)</f>
        <v>0</v>
      </c>
      <c r="CA11" s="1">
        <f>SUM(CA$3:CA$9)</f>
        <v>0</v>
      </c>
      <c r="CB11" s="1">
        <f>SUM(CB$3:CB$9)</f>
        <v>0</v>
      </c>
      <c r="CC11" s="1">
        <f>SUM(CC$3:CC$9)</f>
        <v>0</v>
      </c>
      <c r="CD11" s="1">
        <f>SUM(CD$3:CD$9)</f>
        <v>0</v>
      </c>
      <c r="CE11" s="1">
        <f>SUM(CE$3:CE$9)</f>
        <v>0</v>
      </c>
      <c r="CF11" s="1">
        <f>SUM(CF$3:CF$9)</f>
        <v>0</v>
      </c>
      <c r="CG11" s="1">
        <f>SUM(CG$3:CG$9)</f>
        <v>0</v>
      </c>
      <c r="CH11" s="1">
        <f>SUM(CH$3:CH$9)</f>
        <v>0</v>
      </c>
      <c r="CI11" s="1">
        <f>SUM(CI$3:CI$9)</f>
        <v>0</v>
      </c>
      <c r="CJ11" s="1"/>
      <c r="CK11" s="1">
        <f>SUM(CK$3:CK$9)</f>
        <v>0</v>
      </c>
      <c r="CL11" s="1">
        <f>SUM(CL$3:CL$9)</f>
        <v>0</v>
      </c>
      <c r="CM11" s="1">
        <f>SUM(CM$3:CM$9)</f>
        <v>0</v>
      </c>
      <c r="CN11" s="1">
        <f>SUM(CN$3:CN$9)</f>
        <v>0</v>
      </c>
      <c r="CO11" s="1">
        <f>SUM(CO$3:CO$9)</f>
        <v>0</v>
      </c>
      <c r="CP11" s="1">
        <f>SUM(CP$3:CP$9)</f>
        <v>0</v>
      </c>
      <c r="CQ11" s="1">
        <f>SUM(CQ$3:CQ$9)</f>
        <v>0</v>
      </c>
      <c r="CR11" s="1">
        <f>SUM(CR$3:CR$9)</f>
        <v>0</v>
      </c>
      <c r="CS11" s="1">
        <f>SUM(CS$3:CS$9)</f>
        <v>0</v>
      </c>
      <c r="CT11" s="1">
        <f>SUM(CT$3:CT$9)</f>
        <v>0</v>
      </c>
      <c r="CU11" s="1">
        <f>SUM(CU$3:CU$9)</f>
        <v>0</v>
      </c>
      <c r="CV11" s="1">
        <f>SUM(CV$3:CV$9)</f>
        <v>0</v>
      </c>
      <c r="CW11" s="1">
        <f>SUM(CW$3:CW$9)</f>
        <v>0</v>
      </c>
      <c r="CX11" s="1">
        <f>SUM(CX$3:CX$9)</f>
        <v>0</v>
      </c>
      <c r="CY11" s="1">
        <f>SUM(CY$3:CY$9)</f>
        <v>0</v>
      </c>
      <c r="CZ11" s="1">
        <f>SUM(CZ$3:CZ$9)</f>
        <v>0</v>
      </c>
      <c r="DA11" s="1">
        <f>SUM(DA$3:DA$9)</f>
        <v>0</v>
      </c>
      <c r="DB11" s="1"/>
      <c r="DC11" s="1">
        <f>SUM(DC$3:DC$9)</f>
        <v>0</v>
      </c>
      <c r="DD11" s="1">
        <f>SUM(DD$3:DD$9)</f>
        <v>0</v>
      </c>
      <c r="DE11" s="1">
        <f>SUM(DE$3:DE$9)</f>
        <v>0</v>
      </c>
      <c r="DF11" s="1">
        <f>SUM(DF$3:DF$9)</f>
        <v>0</v>
      </c>
      <c r="DG11" s="1">
        <f>SUM(DG$3:DG$9)</f>
        <v>0</v>
      </c>
      <c r="DH11" s="1">
        <f>SUM(DH$3:DH$9)</f>
        <v>0</v>
      </c>
      <c r="DI11" s="1">
        <f>SUM(DI$3:DI$9)</f>
        <v>0</v>
      </c>
      <c r="DJ11" s="1">
        <f>SUM(DJ$3:DJ$9)</f>
        <v>0</v>
      </c>
      <c r="DK11" s="1">
        <f>SUM(DK$3:DK$9)</f>
        <v>0</v>
      </c>
      <c r="DL11" s="1">
        <f>SUM(DL$3:DL$9)</f>
        <v>0</v>
      </c>
      <c r="DM11" s="1">
        <f>SUM(DM$3:DM$9)</f>
        <v>0</v>
      </c>
      <c r="DN11" s="1">
        <f>SUM(DN$3:DN$9)</f>
        <v>0</v>
      </c>
      <c r="DO11" s="1">
        <f>SUM(DO$3:DO$9)</f>
        <v>0</v>
      </c>
      <c r="DP11" s="1">
        <f>SUM(DP$3:DP$9)</f>
        <v>0</v>
      </c>
      <c r="DQ11" s="1">
        <f>SUM(DQ$3:DQ$9)</f>
        <v>0</v>
      </c>
      <c r="DR11" s="1">
        <f>SUM(DR$3:DR$9)</f>
        <v>0</v>
      </c>
      <c r="DS11" s="1">
        <f>SUM(DS$3:DS$9)</f>
        <v>0</v>
      </c>
      <c r="DT11" s="1"/>
      <c r="DU11" s="1">
        <f>SUM(DU$3:DU$9)</f>
        <v>0</v>
      </c>
      <c r="DV11" s="1">
        <f>SUM(DV$3:DV$9)</f>
        <v>0</v>
      </c>
      <c r="DW11" s="1">
        <f>SUM(DW$3:DW$9)</f>
        <v>0</v>
      </c>
      <c r="DX11" s="1">
        <f>SUM(DX$3:DX$9)</f>
        <v>0</v>
      </c>
      <c r="DY11" s="1">
        <f>SUM(DY$3:DY$9)</f>
        <v>0</v>
      </c>
      <c r="DZ11" s="1">
        <f>SUM(DZ$3:DZ$9)</f>
        <v>0</v>
      </c>
      <c r="EA11" s="1">
        <f>SUM(EA$3:EA$9)</f>
        <v>0</v>
      </c>
      <c r="EB11" s="1">
        <f>SUM(EB$3:EB$9)</f>
        <v>0</v>
      </c>
      <c r="EC11" s="1">
        <f>SUM(EC$3:EC$9)</f>
        <v>0</v>
      </c>
      <c r="ED11" s="1">
        <f>SUM(ED$3:ED$9)</f>
        <v>0</v>
      </c>
      <c r="EE11" s="1">
        <f>SUM(EE$3:EE$9)</f>
        <v>0</v>
      </c>
      <c r="EF11" s="1">
        <f>SUM(EF$3:EF$9)</f>
        <v>0</v>
      </c>
      <c r="EG11" s="1">
        <f>SUM(EG$3:EG$9)</f>
        <v>0</v>
      </c>
      <c r="EH11" s="1">
        <f>SUM(EH$3:EH$9)</f>
        <v>0</v>
      </c>
      <c r="EI11" s="1">
        <f>SUM(EI$3:EI$9)</f>
        <v>0</v>
      </c>
      <c r="EJ11" s="1">
        <f>SUM(EJ$3:EJ$9)</f>
        <v>0</v>
      </c>
      <c r="EK11" s="1">
        <f>SUM(EK$3:EK$9)</f>
        <v>0</v>
      </c>
      <c r="EL11" s="1"/>
      <c r="EM11" s="1">
        <f>SUM(EM$3:EM$9)</f>
        <v>0</v>
      </c>
      <c r="EN11" s="1">
        <f>SUM(EN$3:EN$9)</f>
        <v>0</v>
      </c>
      <c r="EO11" s="1">
        <f>SUM(EO$3:EO$9)</f>
        <v>0</v>
      </c>
      <c r="EP11" s="1">
        <f>SUM(EP$3:EP$9)</f>
        <v>0</v>
      </c>
      <c r="EQ11" s="1">
        <f>SUM(EQ$3:EQ$9)</f>
        <v>0</v>
      </c>
      <c r="ER11" s="1">
        <f>SUM(ER$3:ER$9)</f>
        <v>0</v>
      </c>
      <c r="ES11" s="1">
        <f>SUM(ES$3:ES$9)</f>
        <v>0</v>
      </c>
      <c r="ET11" s="1">
        <f>SUM(ET$3:ET$9)</f>
        <v>0</v>
      </c>
      <c r="EU11" s="1">
        <f>SUM(EU$3:EU$9)</f>
        <v>0</v>
      </c>
      <c r="EV11" s="1">
        <f>SUM(EV$3:EV$9)</f>
        <v>0</v>
      </c>
      <c r="EW11" s="1">
        <f>SUM(EW$3:EW$9)</f>
        <v>0</v>
      </c>
      <c r="EX11" s="1">
        <f>SUM(EX$3:EX$9)</f>
        <v>0</v>
      </c>
      <c r="EY11" s="1">
        <f>SUM(EY$3:EY$9)</f>
        <v>0</v>
      </c>
      <c r="EZ11" s="1">
        <f>SUM(EZ$3:EZ$9)</f>
        <v>0</v>
      </c>
      <c r="FA11" s="1">
        <f>SUM(FA$3:FA$9)</f>
        <v>0</v>
      </c>
      <c r="FB11" s="1">
        <f>SUM(FB$3:FB$9)</f>
        <v>0</v>
      </c>
      <c r="FC11" s="1">
        <f>SUM(FC$3:FC$9)</f>
        <v>0</v>
      </c>
      <c r="FD11" s="1"/>
      <c r="FE11" s="1">
        <f>SUM(FE$3:FE$9)</f>
        <v>0</v>
      </c>
      <c r="FF11" s="1">
        <f>SUM(FF$3:FF$9)</f>
        <v>0</v>
      </c>
      <c r="FG11" s="1">
        <f>SUM(FG$3:FG$9)</f>
        <v>0</v>
      </c>
      <c r="FH11" s="1">
        <f>SUM(FH$3:FH$9)</f>
        <v>0</v>
      </c>
      <c r="FI11" s="1">
        <f>SUM(FI$3:FI$9)</f>
        <v>0</v>
      </c>
      <c r="FJ11" s="1">
        <f>SUM(FJ$3:FJ$9)</f>
        <v>0</v>
      </c>
      <c r="FK11" s="1">
        <f>SUM(FK$3:FK$9)</f>
        <v>0</v>
      </c>
      <c r="FL11" s="1">
        <f>SUM(FL$3:FL$9)</f>
        <v>0</v>
      </c>
      <c r="FM11" s="1">
        <f>SUM(FM$3:FM$9)</f>
        <v>0</v>
      </c>
      <c r="FN11" s="1">
        <f>SUM(FN$3:FN$9)</f>
        <v>0</v>
      </c>
      <c r="FO11" s="1">
        <f>SUM(FO$3:FO$9)</f>
        <v>0</v>
      </c>
      <c r="FP11" s="1">
        <f>SUM(FP$3:FP$9)</f>
        <v>0</v>
      </c>
      <c r="FQ11" s="1">
        <f>SUM(FQ$3:FQ$9)</f>
        <v>0</v>
      </c>
      <c r="FR11" s="1">
        <f>SUM(FR$3:FR$9)</f>
        <v>0</v>
      </c>
      <c r="FS11" s="1">
        <f>SUM(FS$3:FS$9)</f>
        <v>0</v>
      </c>
      <c r="FT11" s="1">
        <f>SUM(FT$3:FT$9)</f>
        <v>0</v>
      </c>
      <c r="FU11" s="1">
        <f>SUM(FU$3:FU$9)</f>
        <v>0</v>
      </c>
      <c r="FV11" s="1"/>
      <c r="FW11" s="1">
        <f>SUM(FW$3:FW$9)</f>
        <v>0</v>
      </c>
      <c r="FX11" s="1">
        <f>SUM(FX$3:FX$9)</f>
        <v>0</v>
      </c>
      <c r="FY11" s="1">
        <f>SUM(FY$3:FY$9)</f>
        <v>0</v>
      </c>
      <c r="FZ11" s="1">
        <f>SUM(FZ$3:FZ$9)</f>
        <v>0</v>
      </c>
      <c r="GA11" s="1">
        <f>SUM(GA$3:GA$9)</f>
        <v>0</v>
      </c>
      <c r="GB11" s="1">
        <f>SUM(GB$3:GB$9)</f>
        <v>0</v>
      </c>
      <c r="GC11" s="1">
        <f>SUM(GC$3:GC$9)</f>
        <v>0</v>
      </c>
      <c r="GD11" s="1">
        <f>SUM(GD$3:GD$9)</f>
        <v>0</v>
      </c>
      <c r="GE11" s="1">
        <f>SUM(GE$3:GE$9)</f>
        <v>0</v>
      </c>
      <c r="GF11" s="1">
        <f>SUM(GF$3:GF$9)</f>
        <v>0</v>
      </c>
      <c r="GG11" s="1">
        <f>SUM(GG$3:GG$9)</f>
        <v>0</v>
      </c>
      <c r="GH11" s="1">
        <f>SUM(GH$3:GH$9)</f>
        <v>0</v>
      </c>
      <c r="GI11" s="1">
        <f>SUM(GI$3:GI$9)</f>
        <v>0</v>
      </c>
      <c r="GJ11" s="1">
        <f>SUM(GJ$3:GJ$9)</f>
        <v>0</v>
      </c>
      <c r="GK11" s="1">
        <f>SUM(GK$3:GK$9)</f>
        <v>0</v>
      </c>
      <c r="GL11" s="1">
        <f>SUM(GL$3:GL$9)</f>
        <v>0</v>
      </c>
      <c r="GM11" s="1">
        <f>SUM(GM$3:GM$9)</f>
        <v>0</v>
      </c>
      <c r="GN11" s="1"/>
      <c r="GO11" s="1">
        <f>SUM(GO$3:GO$9)</f>
        <v>0</v>
      </c>
      <c r="GP11" s="1">
        <f>SUM(GP$3:GP$9)</f>
        <v>0</v>
      </c>
      <c r="GQ11" s="1">
        <f>SUM(GQ$3:GQ$9)</f>
        <v>0</v>
      </c>
      <c r="GR11" s="1">
        <f>SUM(GR$3:GR$9)</f>
        <v>0</v>
      </c>
      <c r="GS11" s="1">
        <f>SUM(GS$3:GS$9)</f>
        <v>0</v>
      </c>
      <c r="GT11" s="1">
        <f>SUM(GT$3:GT$9)</f>
        <v>0</v>
      </c>
      <c r="GU11" s="1">
        <f>SUM(GU$3:GU$9)</f>
        <v>0</v>
      </c>
      <c r="GV11" s="1">
        <f>SUM(GV$3:GV$9)</f>
        <v>0</v>
      </c>
      <c r="GW11" s="1">
        <f>SUM(GW$3:GW$9)</f>
        <v>0</v>
      </c>
      <c r="GX11" s="1">
        <f>SUM(GX$3:GX$9)</f>
        <v>0</v>
      </c>
      <c r="GY11" s="1">
        <f>SUM(GY$3:GY$9)</f>
        <v>0</v>
      </c>
      <c r="GZ11" s="1">
        <f>SUM(GZ$3:GZ$9)</f>
        <v>0</v>
      </c>
      <c r="HA11" s="1">
        <f>SUM(HA$3:HA$9)</f>
        <v>0</v>
      </c>
      <c r="HB11" s="1">
        <f>SUM(HB$3:HB$9)</f>
        <v>0</v>
      </c>
      <c r="HC11" s="1">
        <f>SUM(HC$3:HC$9)</f>
        <v>0</v>
      </c>
      <c r="HD11" s="1">
        <f>SUM(HD$3:HD$9)</f>
        <v>0</v>
      </c>
      <c r="HE11" s="1">
        <f>SUM(HE$3:HE$9)</f>
        <v>0</v>
      </c>
      <c r="HF11" s="1"/>
      <c r="HG11" s="1">
        <f>SUM(HG$3:HG$9)</f>
        <v>0</v>
      </c>
      <c r="HH11" s="1">
        <f>SUM(HH$3:HH$9)</f>
        <v>0</v>
      </c>
      <c r="HI11" s="1">
        <f>SUM(HI$3:HI$9)</f>
        <v>0</v>
      </c>
      <c r="HJ11" s="1">
        <f>SUM(HJ$3:HJ$9)</f>
        <v>0</v>
      </c>
      <c r="HK11" s="1">
        <f>SUM(HK$3:HK$9)</f>
        <v>0</v>
      </c>
      <c r="HL11" s="1">
        <f>SUM(HL$3:HL$9)</f>
        <v>0</v>
      </c>
      <c r="HM11" s="1">
        <f>SUM(HM$3:HM$9)</f>
        <v>0</v>
      </c>
      <c r="HN11" s="1">
        <f>SUM(HN$3:HN$9)</f>
        <v>0</v>
      </c>
      <c r="HO11" s="1">
        <f>SUM(HO$3:HO$9)</f>
        <v>0</v>
      </c>
      <c r="HP11" s="1">
        <f>SUM(HP$3:HP$9)</f>
        <v>0</v>
      </c>
      <c r="HQ11" s="1">
        <f>SUM(HQ$3:HQ$9)</f>
        <v>0</v>
      </c>
      <c r="HR11" s="1">
        <f>SUM(HR$3:HR$9)</f>
        <v>0</v>
      </c>
      <c r="HS11" s="1">
        <f>SUM(HS$3:HS$9)</f>
        <v>0</v>
      </c>
      <c r="HT11" s="1">
        <f>SUM(HT$3:HT$9)</f>
        <v>0</v>
      </c>
      <c r="HU11" s="1">
        <f>SUM(HU$3:HU$9)</f>
        <v>0</v>
      </c>
      <c r="HV11" s="1">
        <f>SUM(HV$3:HV$9)</f>
        <v>0</v>
      </c>
      <c r="HW11" s="1">
        <f>SUM(HW$3:HW$9)</f>
        <v>0</v>
      </c>
      <c r="HX11" s="1"/>
      <c r="HY11" s="1">
        <f>SUM(HY$3:HY$9)</f>
        <v>0</v>
      </c>
      <c r="HZ11" s="1">
        <f>SUM(HZ$3:HZ$9)</f>
        <v>0</v>
      </c>
      <c r="IA11" s="1">
        <f>SUM(IA$3:IA$9)</f>
        <v>0</v>
      </c>
      <c r="IB11" s="1">
        <f>SUM(IB$3:IB$9)</f>
        <v>0</v>
      </c>
      <c r="IC11" s="1">
        <f>SUM(IC$3:IC$9)</f>
        <v>0</v>
      </c>
      <c r="ID11" s="1">
        <f>SUM(ID$3:ID$9)</f>
        <v>0</v>
      </c>
      <c r="IE11" s="1">
        <f>SUM(IE$3:IE$9)</f>
        <v>0</v>
      </c>
      <c r="IF11" s="1">
        <f>SUM(IF$3:IF$9)</f>
        <v>0</v>
      </c>
      <c r="IG11" s="1">
        <f>SUM(IG$3:IG$9)</f>
        <v>0</v>
      </c>
      <c r="IH11" s="1">
        <f>SUM(IH$3:IH$9)</f>
        <v>0</v>
      </c>
      <c r="II11" s="1">
        <f>SUM(II$3:II$9)</f>
        <v>0</v>
      </c>
      <c r="IJ11" s="1">
        <f>SUM(IJ$3:IJ$9)</f>
        <v>0</v>
      </c>
      <c r="IK11" s="1">
        <f>SUM(IK$3:IK$9)</f>
        <v>0</v>
      </c>
      <c r="IL11" s="1">
        <f>SUM(IL$3:IL$9)</f>
        <v>0</v>
      </c>
      <c r="IM11" s="1">
        <f>SUM(IM$3:IM$9)</f>
        <v>0</v>
      </c>
      <c r="IN11" s="1">
        <f>SUM(IN$3:IN$9)</f>
        <v>0</v>
      </c>
      <c r="IO11" s="1">
        <f>SUM(IO$3:IO$9)</f>
        <v>0</v>
      </c>
      <c r="IP11" s="1"/>
      <c r="IQ11" s="1">
        <f>SUM(IQ$3:IQ$9)</f>
        <v>0</v>
      </c>
      <c r="IR11" s="1">
        <f>SUM(IR$3:IR$9)</f>
        <v>0</v>
      </c>
      <c r="IS11" s="1">
        <f>SUM(IS$3:IS$9)</f>
        <v>0</v>
      </c>
      <c r="IT11" s="1">
        <f>SUM(IT$3:IT$9)</f>
        <v>0</v>
      </c>
      <c r="IU11" s="1">
        <f>SUM(IU$3:IU$9)</f>
        <v>0</v>
      </c>
      <c r="IV11" s="1">
        <f>SUM(IV$3:IV$9)</f>
        <v>0</v>
      </c>
      <c r="IW11" s="1">
        <f>SUM(IW$3:IW$9)</f>
        <v>0</v>
      </c>
      <c r="IX11" s="1">
        <f>SUM(IX$3:IX$9)</f>
        <v>0</v>
      </c>
      <c r="IY11" s="1">
        <f>SUM(IY$3:IY$9)</f>
        <v>0</v>
      </c>
      <c r="IZ11" s="1">
        <f>SUM(IZ$3:IZ$9)</f>
        <v>0</v>
      </c>
      <c r="JA11" s="1">
        <f>SUM(JA$3:JA$9)</f>
        <v>0</v>
      </c>
      <c r="JB11" s="1">
        <f>SUM(JB$3:JB$9)</f>
        <v>0</v>
      </c>
      <c r="JC11" s="1">
        <f>SUM(JC$3:JC$9)</f>
        <v>0</v>
      </c>
      <c r="JD11" s="1">
        <f>SUM(JD$3:JD$9)</f>
        <v>0</v>
      </c>
      <c r="JE11" s="1">
        <f>SUM(JE$3:JE$9)</f>
        <v>0</v>
      </c>
      <c r="JF11" s="1">
        <f>SUM(JF$3:JF$9)</f>
        <v>0</v>
      </c>
      <c r="JG11" s="1">
        <f>SUM(JG$3:JG$9)</f>
        <v>0</v>
      </c>
      <c r="JH11" s="1"/>
      <c r="JI11" s="1">
        <f>SUM(JI$3:JI$9)</f>
        <v>0</v>
      </c>
      <c r="JJ11" s="1">
        <f>SUM(JJ$3:JJ$9)</f>
        <v>0</v>
      </c>
      <c r="JK11" s="1">
        <f>SUM(JK$3:JK$9)</f>
        <v>0</v>
      </c>
      <c r="JL11" s="1">
        <f>SUM(JL$3:JL$9)</f>
        <v>0</v>
      </c>
      <c r="JM11" s="1">
        <f>SUM(JM$3:JM$9)</f>
        <v>0</v>
      </c>
      <c r="JN11" s="1">
        <f>SUM(JN$3:JN$9)</f>
        <v>0</v>
      </c>
      <c r="JO11" s="1">
        <f>SUM(JO$3:JO$9)</f>
        <v>0</v>
      </c>
      <c r="JP11" s="1">
        <f>SUM(JP$3:JP$9)</f>
        <v>0</v>
      </c>
      <c r="JQ11" s="1">
        <f>SUM(JQ$3:JQ$9)</f>
        <v>0</v>
      </c>
      <c r="JR11" s="1">
        <f>SUM(JR$3:JR$9)</f>
        <v>0</v>
      </c>
      <c r="JS11" s="1">
        <f>SUM(JS$3:JS$9)</f>
        <v>0</v>
      </c>
      <c r="JT11" s="1">
        <f>SUM(JT$3:JT$9)</f>
        <v>0</v>
      </c>
      <c r="JU11" s="1">
        <f>SUM(JU$3:JU$9)</f>
        <v>0</v>
      </c>
      <c r="JV11" s="1">
        <f>SUM(JV$3:JV$9)</f>
        <v>0</v>
      </c>
      <c r="JW11" s="1">
        <f>SUM(JW$3:JW$9)</f>
        <v>0</v>
      </c>
      <c r="JX11" s="1">
        <f>SUM(JX$3:JX$9)</f>
        <v>0</v>
      </c>
      <c r="JY11" s="1">
        <f>SUM(JY$3:JY$9)</f>
        <v>0</v>
      </c>
      <c r="JZ11" s="1"/>
      <c r="KA11" s="1">
        <f>SUM(KA$3:KA$9)</f>
        <v>0</v>
      </c>
      <c r="KB11" s="1">
        <f>SUM(KB$3:KB$9)</f>
        <v>0</v>
      </c>
      <c r="KC11" s="1">
        <f>SUM(KC$3:KC$9)</f>
        <v>0</v>
      </c>
      <c r="KD11" s="1">
        <f>SUM(KD$3:KD$9)</f>
        <v>0</v>
      </c>
      <c r="KE11" s="1">
        <f>SUM(KE$3:KE$9)</f>
        <v>0</v>
      </c>
      <c r="KF11" s="1">
        <f>SUM(KF$3:KF$9)</f>
        <v>0</v>
      </c>
      <c r="KG11" s="1">
        <f>SUM(KG$3:KG$9)</f>
        <v>0</v>
      </c>
      <c r="KH11" s="1">
        <f>SUM(KH$3:KH$9)</f>
        <v>0</v>
      </c>
      <c r="KI11" s="1">
        <f>SUM(KI$3:KI$9)</f>
        <v>0</v>
      </c>
      <c r="KJ11" s="1">
        <f>SUM(KJ$3:KJ$9)</f>
        <v>0</v>
      </c>
      <c r="KK11" s="1">
        <f>SUM(KK$3:KK$9)</f>
        <v>0</v>
      </c>
      <c r="KL11" s="1">
        <f>SUM(KL$3:KL$9)</f>
        <v>0</v>
      </c>
      <c r="KM11" s="1">
        <f>SUM(KM$3:KM$9)</f>
        <v>0</v>
      </c>
      <c r="KN11" s="1">
        <f>SUM(KN$3:KN$9)</f>
        <v>0</v>
      </c>
      <c r="KO11" s="1">
        <f>SUM(KO$3:KO$9)</f>
        <v>0</v>
      </c>
      <c r="KP11" s="1">
        <f>SUM(KP$3:KP$9)</f>
        <v>0</v>
      </c>
      <c r="KQ11" s="1">
        <f>SUM(KQ$3:KQ$9)</f>
        <v>0</v>
      </c>
      <c r="KR11" s="1">
        <f>SUM(KR$3:KR$9)</f>
        <v>0</v>
      </c>
      <c r="KS11" s="1">
        <f>SUM(KS$3:KS$9)</f>
        <v>0</v>
      </c>
      <c r="KT11" s="1">
        <f>SUM(KT$3:KT$9)</f>
        <v>0</v>
      </c>
      <c r="KU11" s="1">
        <f>SUM(KU$3:KU$9)</f>
        <v>0</v>
      </c>
      <c r="KV11" s="1">
        <f>SUM(KV$3:KV$9)</f>
        <v>0</v>
      </c>
      <c r="KW11" s="1">
        <f>SUM(KW$3:KW$9)</f>
        <v>0</v>
      </c>
      <c r="KX11" s="1">
        <f>SUM(KX$3:KX$9)</f>
        <v>0</v>
      </c>
      <c r="KY11" s="1">
        <f>SUM(KY$3:KY$9)</f>
        <v>0</v>
      </c>
      <c r="KZ11" s="1">
        <f>SUM(KZ$3:KZ$9)</f>
        <v>0</v>
      </c>
      <c r="LA11" s="1">
        <f>SUM(LA$3:LA$9)</f>
        <v>0</v>
      </c>
      <c r="LB11" s="1">
        <f>SUM(LB$3:LB$9)</f>
        <v>0</v>
      </c>
      <c r="LC11" s="1">
        <f>SUM(LC$3:LC$9)</f>
        <v>0</v>
      </c>
      <c r="LD11" s="1">
        <f>SUM(LD$3:LD$9)</f>
        <v>0</v>
      </c>
      <c r="LE11" s="1">
        <f>SUM(LE$3:LE$9)</f>
        <v>0</v>
      </c>
      <c r="LF11" s="1">
        <f>SUM(LF$3:LF$9)</f>
        <v>0</v>
      </c>
      <c r="LG11" s="1">
        <f>SUM(LG$3:LG$9)</f>
        <v>0</v>
      </c>
      <c r="LH11" s="1">
        <f>SUM(LH$3:LH$9)</f>
        <v>0</v>
      </c>
      <c r="LI11" s="1">
        <f>SUM(LI$3:LI$9)</f>
        <v>0</v>
      </c>
      <c r="LJ11" s="1">
        <f>SUM(LJ$3:LJ$9)</f>
        <v>0</v>
      </c>
      <c r="LK11" s="1">
        <f>SUM(LK$3:LK$9)</f>
        <v>0</v>
      </c>
      <c r="LL11" s="1">
        <f>SUM(LL$3:LL$9)</f>
        <v>0</v>
      </c>
      <c r="LM11" s="1">
        <f>SUM(LM$3:LM$9)</f>
        <v>0</v>
      </c>
      <c r="LN11" s="1">
        <f>SUM(LN$3:LN$9)</f>
        <v>0</v>
      </c>
      <c r="LO11" s="1">
        <f>SUM(LO$3:LO$9)</f>
        <v>0</v>
      </c>
      <c r="LP11" s="1">
        <f>SUM(LP$3:LP$9)</f>
        <v>0</v>
      </c>
      <c r="LQ11" s="1">
        <f>SUM(LQ$3:LQ$9)</f>
        <v>0</v>
      </c>
      <c r="LR11" s="1">
        <f>SUM(LR$3:LR$9)</f>
        <v>0</v>
      </c>
      <c r="LS11" s="1">
        <f>SUM(LS$3:LS$9)</f>
        <v>0</v>
      </c>
      <c r="LT11" s="1">
        <f>SUM(LT$3:LT$9)</f>
        <v>0</v>
      </c>
      <c r="LU11" s="1">
        <f>SUM(LU$3:LU$9)</f>
        <v>0</v>
      </c>
      <c r="LV11" s="1">
        <f>SUM(LV$3:LV$9)</f>
        <v>0</v>
      </c>
      <c r="LW11" s="1">
        <f>SUM(LW$3:LW$9)</f>
        <v>0</v>
      </c>
      <c r="LX11" s="1">
        <f>SUM(LX$3:LX$9)</f>
        <v>0</v>
      </c>
      <c r="LY11" s="1">
        <f>SUM(LY$3:LY$9)</f>
        <v>0</v>
      </c>
      <c r="LZ11" s="1">
        <f>SUM(LZ$3:LZ$9)</f>
        <v>0</v>
      </c>
      <c r="MA11" s="1">
        <f>SUM(MA$3:MA$9)</f>
        <v>0</v>
      </c>
      <c r="MB11" s="1">
        <f>SUM(MB$3:MB$9)</f>
        <v>0</v>
      </c>
    </row>
    <row r="12" spans="1:340">
      <c r="A12" s="1" t="s">
        <v>8</v>
      </c>
      <c r="B12" s="1">
        <f>AVERAGE(B$3:B$9)</f>
        <v>0</v>
      </c>
      <c r="C12" s="1">
        <f>AVERAGE(C$3:C$9)</f>
        <v>0</v>
      </c>
      <c r="D12" s="1">
        <f>AVERAGE(D$3:D$9)</f>
        <v>0</v>
      </c>
      <c r="E12" s="1">
        <f>AVERAGE(E$3:E$9)</f>
        <v>0</v>
      </c>
      <c r="F12" s="1">
        <f>AVERAGE(F$3:F$9)</f>
        <v>0</v>
      </c>
      <c r="G12" s="1">
        <f>AVERAGE(G$3:G$9)</f>
        <v>0</v>
      </c>
      <c r="H12" s="1">
        <f>AVERAGE(H$3:H$9)</f>
        <v>0</v>
      </c>
      <c r="I12" s="1">
        <f>AVERAGE(I$3:I$9)</f>
        <v>0</v>
      </c>
      <c r="J12" s="1">
        <f>AVERAGE(J$3:J$9)</f>
        <v>0</v>
      </c>
      <c r="K12" s="1">
        <f>AVERAGE(K$3:K$9)</f>
        <v>0</v>
      </c>
      <c r="L12" s="1">
        <f>AVERAGE(L$3:L$9)</f>
        <v>0</v>
      </c>
      <c r="M12" s="1">
        <f>AVERAGE(M$3:M$9)</f>
        <v>0</v>
      </c>
      <c r="N12" s="1">
        <f>AVERAGE(N$3:N$9)</f>
        <v>0</v>
      </c>
      <c r="O12" s="1">
        <f>AVERAGE(O$3:O$9)</f>
        <v>0</v>
      </c>
      <c r="P12" s="1"/>
      <c r="Q12" s="1">
        <f>AVERAGE(Q$3:Q$9)</f>
        <v>0</v>
      </c>
      <c r="R12" s="1">
        <f>AVERAGE(R$3:R$9)</f>
        <v>0</v>
      </c>
      <c r="S12" s="1">
        <f>AVERAGE(S$3:S$9)</f>
        <v>0</v>
      </c>
      <c r="T12" s="1">
        <f>AVERAGE(T$3:T$9)</f>
        <v>0</v>
      </c>
      <c r="U12" s="1">
        <f>AVERAGE(U$3:U$9)</f>
        <v>0</v>
      </c>
      <c r="V12" s="1">
        <f>AVERAGE(V$3:V$9)</f>
        <v>0</v>
      </c>
      <c r="W12" s="1">
        <f>AVERAGE(W$3:W$9)</f>
        <v>0</v>
      </c>
      <c r="X12" s="1">
        <f>AVERAGE(X$3:X$9)</f>
        <v>0</v>
      </c>
      <c r="Y12" s="1">
        <f>AVERAGE(Y$3:Y$9)</f>
        <v>0</v>
      </c>
      <c r="Z12" s="1">
        <f>AVERAGE(Z$3:Z$9)</f>
        <v>0</v>
      </c>
      <c r="AA12" s="1">
        <f>AVERAGE(AA$3:AA$9)</f>
        <v>0</v>
      </c>
      <c r="AB12" s="1">
        <f>AVERAGE(AB$3:AB$9)</f>
        <v>0</v>
      </c>
      <c r="AC12" s="1">
        <f>AVERAGE(AC$3:AC$9)</f>
        <v>0</v>
      </c>
      <c r="AD12" s="1">
        <f>AVERAGE(AD$3:AD$9)</f>
        <v>0</v>
      </c>
      <c r="AE12" s="1">
        <f>AVERAGE(AE$3:AE$9)</f>
        <v>0</v>
      </c>
      <c r="AF12" s="1">
        <f>AVERAGE(AF$3:AF$9)</f>
        <v>0</v>
      </c>
      <c r="AG12" s="1">
        <f>AVERAGE(AG$3:AG$9)</f>
        <v>0</v>
      </c>
      <c r="AH12" s="1"/>
      <c r="AI12" s="1">
        <f>AVERAGE(AI$3:AI$9)</f>
        <v>0</v>
      </c>
      <c r="AJ12" s="1">
        <f>AVERAGE(AJ$3:AJ$9)</f>
        <v>0</v>
      </c>
      <c r="AK12" s="1">
        <f>AVERAGE(AK$3:AK$9)</f>
        <v>0</v>
      </c>
      <c r="AL12" s="1">
        <f>AVERAGE(AL$3:AL$9)</f>
        <v>0</v>
      </c>
      <c r="AM12" s="1">
        <f>AVERAGE(AM$3:AM$9)</f>
        <v>0</v>
      </c>
      <c r="AN12" s="1">
        <f>AVERAGE(AN$3:AN$9)</f>
        <v>0</v>
      </c>
      <c r="AO12" s="1">
        <f>AVERAGE(AO$3:AO$9)</f>
        <v>0</v>
      </c>
      <c r="AP12" s="1">
        <f>AVERAGE(AP$3:AP$9)</f>
        <v>0</v>
      </c>
      <c r="AQ12" s="1">
        <f>AVERAGE(AQ$3:AQ$9)</f>
        <v>0</v>
      </c>
      <c r="AR12" s="1">
        <f>AVERAGE(AR$3:AR$9)</f>
        <v>0</v>
      </c>
      <c r="AS12" s="1">
        <f>AVERAGE(AS$3:AS$9)</f>
        <v>0</v>
      </c>
      <c r="AT12" s="1">
        <f>AVERAGE(AT$3:AT$9)</f>
        <v>0</v>
      </c>
      <c r="AU12" s="1">
        <f>AVERAGE(AU$3:AU$9)</f>
        <v>0</v>
      </c>
      <c r="AV12" s="1">
        <f>AVERAGE(AV$3:AV$9)</f>
        <v>0</v>
      </c>
      <c r="AW12" s="1">
        <f>AVERAGE(AW$3:AW$9)</f>
        <v>0</v>
      </c>
      <c r="AX12" s="1">
        <f>AVERAGE(AX$3:AX$9)</f>
        <v>0</v>
      </c>
      <c r="AY12" s="1">
        <f>AVERAGE(AY$3:AY$9)</f>
        <v>0</v>
      </c>
      <c r="AZ12" s="1"/>
      <c r="BA12" s="1">
        <f>AVERAGE(BA$3:BA$9)</f>
        <v>0</v>
      </c>
      <c r="BB12" s="1">
        <f>AVERAGE(BB$3:BB$9)</f>
        <v>0</v>
      </c>
      <c r="BC12" s="1">
        <f>AVERAGE(BC$3:BC$9)</f>
        <v>0</v>
      </c>
      <c r="BD12" s="1">
        <f>AVERAGE(BD$3:BD$9)</f>
        <v>0</v>
      </c>
      <c r="BE12" s="1">
        <f>AVERAGE(BE$3:BE$9)</f>
        <v>0</v>
      </c>
      <c r="BF12" s="1">
        <f>AVERAGE(BF$3:BF$9)</f>
        <v>0</v>
      </c>
      <c r="BG12" s="1">
        <f>AVERAGE(BG$3:BG$9)</f>
        <v>0</v>
      </c>
      <c r="BH12" s="1">
        <f>AVERAGE(BH$3:BH$9)</f>
        <v>0</v>
      </c>
      <c r="BI12" s="1">
        <f>AVERAGE(BI$3:BI$9)</f>
        <v>0</v>
      </c>
      <c r="BJ12" s="1">
        <f>AVERAGE(BJ$3:BJ$9)</f>
        <v>0</v>
      </c>
      <c r="BK12" s="1">
        <f>AVERAGE(BK$3:BK$9)</f>
        <v>0</v>
      </c>
      <c r="BL12" s="1">
        <f>AVERAGE(BL$3:BL$9)</f>
        <v>0</v>
      </c>
      <c r="BM12" s="1">
        <f>AVERAGE(BM$3:BM$9)</f>
        <v>0</v>
      </c>
      <c r="BN12" s="1">
        <f>AVERAGE(BN$3:BN$9)</f>
        <v>0</v>
      </c>
      <c r="BO12" s="1">
        <f>AVERAGE(BO$3:BO$9)</f>
        <v>0</v>
      </c>
      <c r="BP12" s="1">
        <f>AVERAGE(BP$3:BP$9)</f>
        <v>0</v>
      </c>
      <c r="BQ12" s="1">
        <f>AVERAGE(BQ$3:BQ$9)</f>
        <v>0</v>
      </c>
      <c r="BR12" s="1"/>
      <c r="BS12" s="1">
        <f>AVERAGE(BS$3:BS$9)</f>
        <v>0</v>
      </c>
      <c r="BT12" s="1">
        <f>AVERAGE(BT$3:BT$9)</f>
        <v>0</v>
      </c>
      <c r="BU12" s="1">
        <f>AVERAGE(BU$3:BU$9)</f>
        <v>0</v>
      </c>
      <c r="BV12" s="1">
        <f>AVERAGE(BV$3:BV$9)</f>
        <v>0</v>
      </c>
      <c r="BW12" s="1">
        <f>AVERAGE(BW$3:BW$9)</f>
        <v>0</v>
      </c>
      <c r="BX12" s="1">
        <f>AVERAGE(BX$3:BX$9)</f>
        <v>0</v>
      </c>
      <c r="BY12" s="1">
        <f>AVERAGE(BY$3:BY$9)</f>
        <v>0</v>
      </c>
      <c r="BZ12" s="1">
        <f>AVERAGE(BZ$3:BZ$9)</f>
        <v>0</v>
      </c>
      <c r="CA12" s="1">
        <f>AVERAGE(CA$3:CA$9)</f>
        <v>0</v>
      </c>
      <c r="CB12" s="1">
        <f>AVERAGE(CB$3:CB$9)</f>
        <v>0</v>
      </c>
      <c r="CC12" s="1">
        <f>AVERAGE(CC$3:CC$9)</f>
        <v>0</v>
      </c>
      <c r="CD12" s="1">
        <f>AVERAGE(CD$3:CD$9)</f>
        <v>0</v>
      </c>
      <c r="CE12" s="1">
        <f>AVERAGE(CE$3:CE$9)</f>
        <v>0</v>
      </c>
      <c r="CF12" s="1">
        <f>AVERAGE(CF$3:CF$9)</f>
        <v>0</v>
      </c>
      <c r="CG12" s="1">
        <f>AVERAGE(CG$3:CG$9)</f>
        <v>0</v>
      </c>
      <c r="CH12" s="1">
        <f>AVERAGE(CH$3:CH$9)</f>
        <v>0</v>
      </c>
      <c r="CI12" s="1">
        <f>AVERAGE(CI$3:CI$9)</f>
        <v>0</v>
      </c>
      <c r="CJ12" s="1"/>
      <c r="CK12" s="1">
        <f>AVERAGE(CK$3:CK$9)</f>
        <v>0</v>
      </c>
      <c r="CL12" s="1">
        <f>AVERAGE(CL$3:CL$9)</f>
        <v>0</v>
      </c>
      <c r="CM12" s="1">
        <f>AVERAGE(CM$3:CM$9)</f>
        <v>0</v>
      </c>
      <c r="CN12" s="1">
        <f>AVERAGE(CN$3:CN$9)</f>
        <v>0</v>
      </c>
      <c r="CO12" s="1">
        <f>AVERAGE(CO$3:CO$9)</f>
        <v>0</v>
      </c>
      <c r="CP12" s="1">
        <f>AVERAGE(CP$3:CP$9)</f>
        <v>0</v>
      </c>
      <c r="CQ12" s="1">
        <f>AVERAGE(CQ$3:CQ$9)</f>
        <v>0</v>
      </c>
      <c r="CR12" s="1">
        <f>AVERAGE(CR$3:CR$9)</f>
        <v>0</v>
      </c>
      <c r="CS12" s="1">
        <f>AVERAGE(CS$3:CS$9)</f>
        <v>0</v>
      </c>
      <c r="CT12" s="1">
        <f>AVERAGE(CT$3:CT$9)</f>
        <v>0</v>
      </c>
      <c r="CU12" s="1">
        <f>AVERAGE(CU$3:CU$9)</f>
        <v>0</v>
      </c>
      <c r="CV12" s="1">
        <f>AVERAGE(CV$3:CV$9)</f>
        <v>0</v>
      </c>
      <c r="CW12" s="1">
        <f>AVERAGE(CW$3:CW$9)</f>
        <v>0</v>
      </c>
      <c r="CX12" s="1">
        <f>AVERAGE(CX$3:CX$9)</f>
        <v>0</v>
      </c>
      <c r="CY12" s="1">
        <f>AVERAGE(CY$3:CY$9)</f>
        <v>0</v>
      </c>
      <c r="CZ12" s="1">
        <f>AVERAGE(CZ$3:CZ$9)</f>
        <v>0</v>
      </c>
      <c r="DA12" s="1">
        <f>AVERAGE(DA$3:DA$9)</f>
        <v>0</v>
      </c>
      <c r="DB12" s="1"/>
      <c r="DC12" s="1">
        <f>AVERAGE(DC$3:DC$9)</f>
        <v>0</v>
      </c>
      <c r="DD12" s="1">
        <f>AVERAGE(DD$3:DD$9)</f>
        <v>0</v>
      </c>
      <c r="DE12" s="1">
        <f>AVERAGE(DE$3:DE$9)</f>
        <v>0</v>
      </c>
      <c r="DF12" s="1">
        <f>AVERAGE(DF$3:DF$9)</f>
        <v>0</v>
      </c>
      <c r="DG12" s="1">
        <f>AVERAGE(DG$3:DG$9)</f>
        <v>0</v>
      </c>
      <c r="DH12" s="1">
        <f>AVERAGE(DH$3:DH$9)</f>
        <v>0</v>
      </c>
      <c r="DI12" s="1">
        <f>AVERAGE(DI$3:DI$9)</f>
        <v>0</v>
      </c>
      <c r="DJ12" s="1">
        <f>AVERAGE(DJ$3:DJ$9)</f>
        <v>0</v>
      </c>
      <c r="DK12" s="1">
        <f>AVERAGE(DK$3:DK$9)</f>
        <v>0</v>
      </c>
      <c r="DL12" s="1">
        <f>AVERAGE(DL$3:DL$9)</f>
        <v>0</v>
      </c>
      <c r="DM12" s="1">
        <f>AVERAGE(DM$3:DM$9)</f>
        <v>0</v>
      </c>
      <c r="DN12" s="1">
        <f>AVERAGE(DN$3:DN$9)</f>
        <v>0</v>
      </c>
      <c r="DO12" s="1">
        <f>AVERAGE(DO$3:DO$9)</f>
        <v>0</v>
      </c>
      <c r="DP12" s="1">
        <f>AVERAGE(DP$3:DP$9)</f>
        <v>0</v>
      </c>
      <c r="DQ12" s="1">
        <f>AVERAGE(DQ$3:DQ$9)</f>
        <v>0</v>
      </c>
      <c r="DR12" s="1">
        <f>AVERAGE(DR$3:DR$9)</f>
        <v>0</v>
      </c>
      <c r="DS12" s="1">
        <f>AVERAGE(DS$3:DS$9)</f>
        <v>0</v>
      </c>
      <c r="DT12" s="1"/>
      <c r="DU12" s="1">
        <f>AVERAGE(DU$3:DU$9)</f>
        <v>0</v>
      </c>
      <c r="DV12" s="1">
        <f>AVERAGE(DV$3:DV$9)</f>
        <v>0</v>
      </c>
      <c r="DW12" s="1">
        <f>AVERAGE(DW$3:DW$9)</f>
        <v>0</v>
      </c>
      <c r="DX12" s="1">
        <f>AVERAGE(DX$3:DX$9)</f>
        <v>0</v>
      </c>
      <c r="DY12" s="1">
        <f>AVERAGE(DY$3:DY$9)</f>
        <v>0</v>
      </c>
      <c r="DZ12" s="1">
        <f>AVERAGE(DZ$3:DZ$9)</f>
        <v>0</v>
      </c>
      <c r="EA12" s="1">
        <f>AVERAGE(EA$3:EA$9)</f>
        <v>0</v>
      </c>
      <c r="EB12" s="1">
        <f>AVERAGE(EB$3:EB$9)</f>
        <v>0</v>
      </c>
      <c r="EC12" s="1">
        <f>AVERAGE(EC$3:EC$9)</f>
        <v>0</v>
      </c>
      <c r="ED12" s="1">
        <f>AVERAGE(ED$3:ED$9)</f>
        <v>0</v>
      </c>
      <c r="EE12" s="1">
        <f>AVERAGE(EE$3:EE$9)</f>
        <v>0</v>
      </c>
      <c r="EF12" s="1">
        <f>AVERAGE(EF$3:EF$9)</f>
        <v>0</v>
      </c>
      <c r="EG12" s="1">
        <f>AVERAGE(EG$3:EG$9)</f>
        <v>0</v>
      </c>
      <c r="EH12" s="1">
        <f>AVERAGE(EH$3:EH$9)</f>
        <v>0</v>
      </c>
      <c r="EI12" s="1">
        <f>AVERAGE(EI$3:EI$9)</f>
        <v>0</v>
      </c>
      <c r="EJ12" s="1">
        <f>AVERAGE(EJ$3:EJ$9)</f>
        <v>0</v>
      </c>
      <c r="EK12" s="1">
        <f>AVERAGE(EK$3:EK$9)</f>
        <v>0</v>
      </c>
      <c r="EL12" s="1"/>
      <c r="EM12" s="1">
        <f>AVERAGE(EM$3:EM$9)</f>
        <v>0</v>
      </c>
      <c r="EN12" s="1">
        <f>AVERAGE(EN$3:EN$9)</f>
        <v>0</v>
      </c>
      <c r="EO12" s="1">
        <f>AVERAGE(EO$3:EO$9)</f>
        <v>0</v>
      </c>
      <c r="EP12" s="1">
        <f>AVERAGE(EP$3:EP$9)</f>
        <v>0</v>
      </c>
      <c r="EQ12" s="1">
        <f>AVERAGE(EQ$3:EQ$9)</f>
        <v>0</v>
      </c>
      <c r="ER12" s="1">
        <f>AVERAGE(ER$3:ER$9)</f>
        <v>0</v>
      </c>
      <c r="ES12" s="1">
        <f>AVERAGE(ES$3:ES$9)</f>
        <v>0</v>
      </c>
      <c r="ET12" s="1">
        <f>AVERAGE(ET$3:ET$9)</f>
        <v>0</v>
      </c>
      <c r="EU12" s="1">
        <f>AVERAGE(EU$3:EU$9)</f>
        <v>0</v>
      </c>
      <c r="EV12" s="1">
        <f>AVERAGE(EV$3:EV$9)</f>
        <v>0</v>
      </c>
      <c r="EW12" s="1">
        <f>AVERAGE(EW$3:EW$9)</f>
        <v>0</v>
      </c>
      <c r="EX12" s="1">
        <f>AVERAGE(EX$3:EX$9)</f>
        <v>0</v>
      </c>
      <c r="EY12" s="1">
        <f>AVERAGE(EY$3:EY$9)</f>
        <v>0</v>
      </c>
      <c r="EZ12" s="1">
        <f>AVERAGE(EZ$3:EZ$9)</f>
        <v>0</v>
      </c>
      <c r="FA12" s="1">
        <f>AVERAGE(FA$3:FA$9)</f>
        <v>0</v>
      </c>
      <c r="FB12" s="1">
        <f>AVERAGE(FB$3:FB$9)</f>
        <v>0</v>
      </c>
      <c r="FC12" s="1">
        <f>AVERAGE(FC$3:FC$9)</f>
        <v>0</v>
      </c>
      <c r="FD12" s="1"/>
      <c r="FE12" s="1">
        <f>AVERAGE(FE$3:FE$9)</f>
        <v>0</v>
      </c>
      <c r="FF12" s="1">
        <f>AVERAGE(FF$3:FF$9)</f>
        <v>0</v>
      </c>
      <c r="FG12" s="1">
        <f>AVERAGE(FG$3:FG$9)</f>
        <v>0</v>
      </c>
      <c r="FH12" s="1">
        <f>AVERAGE(FH$3:FH$9)</f>
        <v>0</v>
      </c>
      <c r="FI12" s="1">
        <f>AVERAGE(FI$3:FI$9)</f>
        <v>0</v>
      </c>
      <c r="FJ12" s="1">
        <f>AVERAGE(FJ$3:FJ$9)</f>
        <v>0</v>
      </c>
      <c r="FK12" s="1">
        <f>AVERAGE(FK$3:FK$9)</f>
        <v>0</v>
      </c>
      <c r="FL12" s="1">
        <f>AVERAGE(FL$3:FL$9)</f>
        <v>0</v>
      </c>
      <c r="FM12" s="1">
        <f>AVERAGE(FM$3:FM$9)</f>
        <v>0</v>
      </c>
      <c r="FN12" s="1">
        <f>AVERAGE(FN$3:FN$9)</f>
        <v>0</v>
      </c>
      <c r="FO12" s="1">
        <f>AVERAGE(FO$3:FO$9)</f>
        <v>0</v>
      </c>
      <c r="FP12" s="1">
        <f>AVERAGE(FP$3:FP$9)</f>
        <v>0</v>
      </c>
      <c r="FQ12" s="1">
        <f>AVERAGE(FQ$3:FQ$9)</f>
        <v>0</v>
      </c>
      <c r="FR12" s="1">
        <f>AVERAGE(FR$3:FR$9)</f>
        <v>0</v>
      </c>
      <c r="FS12" s="1">
        <f>AVERAGE(FS$3:FS$9)</f>
        <v>0</v>
      </c>
      <c r="FT12" s="1">
        <f>AVERAGE(FT$3:FT$9)</f>
        <v>0</v>
      </c>
      <c r="FU12" s="1">
        <f>AVERAGE(FU$3:FU$9)</f>
        <v>0</v>
      </c>
      <c r="FV12" s="1"/>
      <c r="FW12" s="1">
        <f>AVERAGE(FW$3:FW$9)</f>
        <v>0</v>
      </c>
      <c r="FX12" s="1">
        <f>AVERAGE(FX$3:FX$9)</f>
        <v>0</v>
      </c>
      <c r="FY12" s="1">
        <f>AVERAGE(FY$3:FY$9)</f>
        <v>0</v>
      </c>
      <c r="FZ12" s="1">
        <f>AVERAGE(FZ$3:FZ$9)</f>
        <v>0</v>
      </c>
      <c r="GA12" s="1">
        <f>AVERAGE(GA$3:GA$9)</f>
        <v>0</v>
      </c>
      <c r="GB12" s="1">
        <f>AVERAGE(GB$3:GB$9)</f>
        <v>0</v>
      </c>
      <c r="GC12" s="1">
        <f>AVERAGE(GC$3:GC$9)</f>
        <v>0</v>
      </c>
      <c r="GD12" s="1">
        <f>AVERAGE(GD$3:GD$9)</f>
        <v>0</v>
      </c>
      <c r="GE12" s="1">
        <f>AVERAGE(GE$3:GE$9)</f>
        <v>0</v>
      </c>
      <c r="GF12" s="1">
        <f>AVERAGE(GF$3:GF$9)</f>
        <v>0</v>
      </c>
      <c r="GG12" s="1">
        <f>AVERAGE(GG$3:GG$9)</f>
        <v>0</v>
      </c>
      <c r="GH12" s="1">
        <f>AVERAGE(GH$3:GH$9)</f>
        <v>0</v>
      </c>
      <c r="GI12" s="1">
        <f>AVERAGE(GI$3:GI$9)</f>
        <v>0</v>
      </c>
      <c r="GJ12" s="1">
        <f>AVERAGE(GJ$3:GJ$9)</f>
        <v>0</v>
      </c>
      <c r="GK12" s="1">
        <f>AVERAGE(GK$3:GK$9)</f>
        <v>0</v>
      </c>
      <c r="GL12" s="1">
        <f>AVERAGE(GL$3:GL$9)</f>
        <v>0</v>
      </c>
      <c r="GM12" s="1">
        <f>AVERAGE(GM$3:GM$9)</f>
        <v>0</v>
      </c>
      <c r="GN12" s="1"/>
      <c r="GO12" s="1">
        <f>AVERAGE(GO$3:GO$9)</f>
        <v>0</v>
      </c>
      <c r="GP12" s="1">
        <f>AVERAGE(GP$3:GP$9)</f>
        <v>0</v>
      </c>
      <c r="GQ12" s="1">
        <f>AVERAGE(GQ$3:GQ$9)</f>
        <v>0</v>
      </c>
      <c r="GR12" s="1">
        <f>AVERAGE(GR$3:GR$9)</f>
        <v>0</v>
      </c>
      <c r="GS12" s="1">
        <f>AVERAGE(GS$3:GS$9)</f>
        <v>0</v>
      </c>
      <c r="GT12" s="1">
        <f>AVERAGE(GT$3:GT$9)</f>
        <v>0</v>
      </c>
      <c r="GU12" s="1">
        <f>AVERAGE(GU$3:GU$9)</f>
        <v>0</v>
      </c>
      <c r="GV12" s="1">
        <f>AVERAGE(GV$3:GV$9)</f>
        <v>0</v>
      </c>
      <c r="GW12" s="1">
        <f>AVERAGE(GW$3:GW$9)</f>
        <v>0</v>
      </c>
      <c r="GX12" s="1">
        <f>AVERAGE(GX$3:GX$9)</f>
        <v>0</v>
      </c>
      <c r="GY12" s="1">
        <f>AVERAGE(GY$3:GY$9)</f>
        <v>0</v>
      </c>
      <c r="GZ12" s="1">
        <f>AVERAGE(GZ$3:GZ$9)</f>
        <v>0</v>
      </c>
      <c r="HA12" s="1">
        <f>AVERAGE(HA$3:HA$9)</f>
        <v>0</v>
      </c>
      <c r="HB12" s="1">
        <f>AVERAGE(HB$3:HB$9)</f>
        <v>0</v>
      </c>
      <c r="HC12" s="1">
        <f>AVERAGE(HC$3:HC$9)</f>
        <v>0</v>
      </c>
      <c r="HD12" s="1">
        <f>AVERAGE(HD$3:HD$9)</f>
        <v>0</v>
      </c>
      <c r="HE12" s="1">
        <f>AVERAGE(HE$3:HE$9)</f>
        <v>0</v>
      </c>
      <c r="HF12" s="1"/>
      <c r="HG12" s="1">
        <f>AVERAGE(HG$3:HG$9)</f>
        <v>0</v>
      </c>
      <c r="HH12" s="1">
        <f>AVERAGE(HH$3:HH$9)</f>
        <v>0</v>
      </c>
      <c r="HI12" s="1">
        <f>AVERAGE(HI$3:HI$9)</f>
        <v>0</v>
      </c>
      <c r="HJ12" s="1">
        <f>AVERAGE(HJ$3:HJ$9)</f>
        <v>0</v>
      </c>
      <c r="HK12" s="1">
        <f>AVERAGE(HK$3:HK$9)</f>
        <v>0</v>
      </c>
      <c r="HL12" s="1">
        <f>AVERAGE(HL$3:HL$9)</f>
        <v>0</v>
      </c>
      <c r="HM12" s="1">
        <f>AVERAGE(HM$3:HM$9)</f>
        <v>0</v>
      </c>
      <c r="HN12" s="1">
        <f>AVERAGE(HN$3:HN$9)</f>
        <v>0</v>
      </c>
      <c r="HO12" s="1">
        <f>AVERAGE(HO$3:HO$9)</f>
        <v>0</v>
      </c>
      <c r="HP12" s="1">
        <f>AVERAGE(HP$3:HP$9)</f>
        <v>0</v>
      </c>
      <c r="HQ12" s="1">
        <f>AVERAGE(HQ$3:HQ$9)</f>
        <v>0</v>
      </c>
      <c r="HR12" s="1">
        <f>AVERAGE(HR$3:HR$9)</f>
        <v>0</v>
      </c>
      <c r="HS12" s="1">
        <f>AVERAGE(HS$3:HS$9)</f>
        <v>0</v>
      </c>
      <c r="HT12" s="1">
        <f>AVERAGE(HT$3:HT$9)</f>
        <v>0</v>
      </c>
      <c r="HU12" s="1">
        <f>AVERAGE(HU$3:HU$9)</f>
        <v>0</v>
      </c>
      <c r="HV12" s="1">
        <f>AVERAGE(HV$3:HV$9)</f>
        <v>0</v>
      </c>
      <c r="HW12" s="1">
        <f>AVERAGE(HW$3:HW$9)</f>
        <v>0</v>
      </c>
      <c r="HX12" s="1"/>
      <c r="HY12" s="1">
        <f>AVERAGE(HY$3:HY$9)</f>
        <v>0</v>
      </c>
      <c r="HZ12" s="1">
        <f>AVERAGE(HZ$3:HZ$9)</f>
        <v>0</v>
      </c>
      <c r="IA12" s="1">
        <f>AVERAGE(IA$3:IA$9)</f>
        <v>0</v>
      </c>
      <c r="IB12" s="1">
        <f>AVERAGE(IB$3:IB$9)</f>
        <v>0</v>
      </c>
      <c r="IC12" s="1">
        <f>AVERAGE(IC$3:IC$9)</f>
        <v>0</v>
      </c>
      <c r="ID12" s="1">
        <f>AVERAGE(ID$3:ID$9)</f>
        <v>0</v>
      </c>
      <c r="IE12" s="1">
        <f>AVERAGE(IE$3:IE$9)</f>
        <v>0</v>
      </c>
      <c r="IF12" s="1">
        <f>AVERAGE(IF$3:IF$9)</f>
        <v>0</v>
      </c>
      <c r="IG12" s="1">
        <f>AVERAGE(IG$3:IG$9)</f>
        <v>0</v>
      </c>
      <c r="IH12" s="1">
        <f>AVERAGE(IH$3:IH$9)</f>
        <v>0</v>
      </c>
      <c r="II12" s="1">
        <f>AVERAGE(II$3:II$9)</f>
        <v>0</v>
      </c>
      <c r="IJ12" s="1">
        <f>AVERAGE(IJ$3:IJ$9)</f>
        <v>0</v>
      </c>
      <c r="IK12" s="1">
        <f>AVERAGE(IK$3:IK$9)</f>
        <v>0</v>
      </c>
      <c r="IL12" s="1">
        <f>AVERAGE(IL$3:IL$9)</f>
        <v>0</v>
      </c>
      <c r="IM12" s="1">
        <f>AVERAGE(IM$3:IM$9)</f>
        <v>0</v>
      </c>
      <c r="IN12" s="1">
        <f>AVERAGE(IN$3:IN$9)</f>
        <v>0</v>
      </c>
      <c r="IO12" s="1">
        <f>AVERAGE(IO$3:IO$9)</f>
        <v>0</v>
      </c>
      <c r="IP12" s="1"/>
      <c r="IQ12" s="1">
        <f>AVERAGE(IQ$3:IQ$9)</f>
        <v>0</v>
      </c>
      <c r="IR12" s="1">
        <f>AVERAGE(IR$3:IR$9)</f>
        <v>0</v>
      </c>
      <c r="IS12" s="1">
        <f>AVERAGE(IS$3:IS$9)</f>
        <v>0</v>
      </c>
      <c r="IT12" s="1">
        <f>AVERAGE(IT$3:IT$9)</f>
        <v>0</v>
      </c>
      <c r="IU12" s="1">
        <f>AVERAGE(IU$3:IU$9)</f>
        <v>0</v>
      </c>
      <c r="IV12" s="1">
        <f>AVERAGE(IV$3:IV$9)</f>
        <v>0</v>
      </c>
      <c r="IW12" s="1">
        <f>AVERAGE(IW$3:IW$9)</f>
        <v>0</v>
      </c>
      <c r="IX12" s="1">
        <f>AVERAGE(IX$3:IX$9)</f>
        <v>0</v>
      </c>
      <c r="IY12" s="1">
        <f>AVERAGE(IY$3:IY$9)</f>
        <v>0</v>
      </c>
      <c r="IZ12" s="1">
        <f>AVERAGE(IZ$3:IZ$9)</f>
        <v>0</v>
      </c>
      <c r="JA12" s="1">
        <f>AVERAGE(JA$3:JA$9)</f>
        <v>0</v>
      </c>
      <c r="JB12" s="1">
        <f>AVERAGE(JB$3:JB$9)</f>
        <v>0</v>
      </c>
      <c r="JC12" s="1">
        <f>AVERAGE(JC$3:JC$9)</f>
        <v>0</v>
      </c>
      <c r="JD12" s="1">
        <f>AVERAGE(JD$3:JD$9)</f>
        <v>0</v>
      </c>
      <c r="JE12" s="1">
        <f>AVERAGE(JE$3:JE$9)</f>
        <v>0</v>
      </c>
      <c r="JF12" s="1">
        <f>AVERAGE(JF$3:JF$9)</f>
        <v>0</v>
      </c>
      <c r="JG12" s="1">
        <f>AVERAGE(JG$3:JG$9)</f>
        <v>0</v>
      </c>
      <c r="JH12" s="1"/>
      <c r="JI12" s="1">
        <f>AVERAGE(JI$3:JI$9)</f>
        <v>0</v>
      </c>
      <c r="JJ12" s="1">
        <f>AVERAGE(JJ$3:JJ$9)</f>
        <v>0</v>
      </c>
      <c r="JK12" s="1">
        <f>AVERAGE(JK$3:JK$9)</f>
        <v>0</v>
      </c>
      <c r="JL12" s="1">
        <f>AVERAGE(JL$3:JL$9)</f>
        <v>0</v>
      </c>
      <c r="JM12" s="1">
        <f>AVERAGE(JM$3:JM$9)</f>
        <v>0</v>
      </c>
      <c r="JN12" s="1">
        <f>AVERAGE(JN$3:JN$9)</f>
        <v>0</v>
      </c>
      <c r="JO12" s="1">
        <f>AVERAGE(JO$3:JO$9)</f>
        <v>0</v>
      </c>
      <c r="JP12" s="1">
        <f>AVERAGE(JP$3:JP$9)</f>
        <v>0</v>
      </c>
      <c r="JQ12" s="1">
        <f>AVERAGE(JQ$3:JQ$9)</f>
        <v>0</v>
      </c>
      <c r="JR12" s="1">
        <f>AVERAGE(JR$3:JR$9)</f>
        <v>0</v>
      </c>
      <c r="JS12" s="1">
        <f>AVERAGE(JS$3:JS$9)</f>
        <v>0</v>
      </c>
      <c r="JT12" s="1">
        <f>AVERAGE(JT$3:JT$9)</f>
        <v>0</v>
      </c>
      <c r="JU12" s="1">
        <f>AVERAGE(JU$3:JU$9)</f>
        <v>0</v>
      </c>
      <c r="JV12" s="1">
        <f>AVERAGE(JV$3:JV$9)</f>
        <v>0</v>
      </c>
      <c r="JW12" s="1">
        <f>AVERAGE(JW$3:JW$9)</f>
        <v>0</v>
      </c>
      <c r="JX12" s="1">
        <f>AVERAGE(JX$3:JX$9)</f>
        <v>0</v>
      </c>
      <c r="JY12" s="1">
        <f>AVERAGE(JY$3:JY$9)</f>
        <v>0</v>
      </c>
      <c r="JZ12" s="1"/>
      <c r="KA12" s="1">
        <f>AVERAGE(KA$3:KA$9)</f>
        <v>0</v>
      </c>
      <c r="KB12" s="1">
        <f>AVERAGE(KB$3:KB$9)</f>
        <v>0</v>
      </c>
      <c r="KC12" s="1">
        <f>AVERAGE(KC$3:KC$9)</f>
        <v>0</v>
      </c>
      <c r="KD12" s="1">
        <f>AVERAGE(KD$3:KD$9)</f>
        <v>0</v>
      </c>
      <c r="KE12" s="1">
        <f>AVERAGE(KE$3:KE$9)</f>
        <v>0</v>
      </c>
      <c r="KF12" s="1">
        <f>AVERAGE(KF$3:KF$9)</f>
        <v>0</v>
      </c>
      <c r="KG12" s="1">
        <f>AVERAGE(KG$3:KG$9)</f>
        <v>0</v>
      </c>
      <c r="KH12" s="1">
        <f>AVERAGE(KH$3:KH$9)</f>
        <v>0</v>
      </c>
      <c r="KI12" s="1">
        <f>AVERAGE(KI$3:KI$9)</f>
        <v>0</v>
      </c>
      <c r="KJ12" s="1">
        <f>AVERAGE(KJ$3:KJ$9)</f>
        <v>0</v>
      </c>
      <c r="KK12" s="1">
        <f>AVERAGE(KK$3:KK$9)</f>
        <v>0</v>
      </c>
      <c r="KL12" s="1">
        <f>AVERAGE(KL$3:KL$9)</f>
        <v>0</v>
      </c>
      <c r="KM12" s="1">
        <f>AVERAGE(KM$3:KM$9)</f>
        <v>0</v>
      </c>
      <c r="KN12" s="1">
        <f>AVERAGE(KN$3:KN$9)</f>
        <v>0</v>
      </c>
      <c r="KO12" s="1">
        <f>AVERAGE(KO$3:KO$9)</f>
        <v>0</v>
      </c>
      <c r="KP12" s="1">
        <f>AVERAGE(KP$3:KP$9)</f>
        <v>0</v>
      </c>
      <c r="KQ12" s="1">
        <f>AVERAGE(KQ$3:KQ$9)</f>
        <v>0</v>
      </c>
      <c r="KR12" s="1">
        <f>AVERAGE(KR$3:KR$9)</f>
        <v>0</v>
      </c>
      <c r="KS12" s="1">
        <f>AVERAGE(KS$3:KS$9)</f>
        <v>0</v>
      </c>
      <c r="KT12" s="1">
        <f>AVERAGE(KT$3:KT$9)</f>
        <v>0</v>
      </c>
      <c r="KU12" s="1">
        <f>AVERAGE(KU$3:KU$9)</f>
        <v>0</v>
      </c>
      <c r="KV12" s="1">
        <f>AVERAGE(KV$3:KV$9)</f>
        <v>0</v>
      </c>
      <c r="KW12" s="1">
        <f>AVERAGE(KW$3:KW$9)</f>
        <v>0</v>
      </c>
      <c r="KX12" s="1">
        <f>AVERAGE(KX$3:KX$9)</f>
        <v>0</v>
      </c>
      <c r="KY12" s="1">
        <f>AVERAGE(KY$3:KY$9)</f>
        <v>0</v>
      </c>
      <c r="KZ12" s="1">
        <f>AVERAGE(KZ$3:KZ$9)</f>
        <v>0</v>
      </c>
      <c r="LA12" s="1">
        <f>AVERAGE(LA$3:LA$9)</f>
        <v>0</v>
      </c>
      <c r="LB12" s="1">
        <f>AVERAGE(LB$3:LB$9)</f>
        <v>0</v>
      </c>
      <c r="LC12" s="1">
        <f>AVERAGE(LC$3:LC$9)</f>
        <v>0</v>
      </c>
      <c r="LD12" s="1">
        <f>AVERAGE(LD$3:LD$9)</f>
        <v>0</v>
      </c>
      <c r="LE12" s="1">
        <f>AVERAGE(LE$3:LE$9)</f>
        <v>0</v>
      </c>
      <c r="LF12" s="1">
        <f>AVERAGE(LF$3:LF$9)</f>
        <v>0</v>
      </c>
      <c r="LG12" s="1">
        <f>AVERAGE(LG$3:LG$9)</f>
        <v>0</v>
      </c>
      <c r="LH12" s="1">
        <f>AVERAGE(LH$3:LH$9)</f>
        <v>0</v>
      </c>
      <c r="LI12" s="1">
        <f>AVERAGE(LI$3:LI$9)</f>
        <v>0</v>
      </c>
      <c r="LJ12" s="1">
        <f>AVERAGE(LJ$3:LJ$9)</f>
        <v>0</v>
      </c>
      <c r="LK12" s="1">
        <f>AVERAGE(LK$3:LK$9)</f>
        <v>0</v>
      </c>
      <c r="LL12" s="1">
        <f>AVERAGE(LL$3:LL$9)</f>
        <v>0</v>
      </c>
      <c r="LM12" s="1">
        <f>AVERAGE(LM$3:LM$9)</f>
        <v>0</v>
      </c>
      <c r="LN12" s="1">
        <f>AVERAGE(LN$3:LN$9)</f>
        <v>0</v>
      </c>
      <c r="LO12" s="1">
        <f>AVERAGE(LO$3:LO$9)</f>
        <v>0</v>
      </c>
      <c r="LP12" s="1">
        <f>AVERAGE(LP$3:LP$9)</f>
        <v>0</v>
      </c>
      <c r="LQ12" s="1">
        <f>AVERAGE(LQ$3:LQ$9)</f>
        <v>0</v>
      </c>
      <c r="LR12" s="1">
        <f>AVERAGE(LR$3:LR$9)</f>
        <v>0</v>
      </c>
      <c r="LS12" s="1">
        <f>AVERAGE(LS$3:LS$9)</f>
        <v>0</v>
      </c>
      <c r="LT12" s="1">
        <f>AVERAGE(LT$3:LT$9)</f>
        <v>0</v>
      </c>
      <c r="LU12" s="1">
        <f>AVERAGE(LU$3:LU$9)</f>
        <v>0</v>
      </c>
      <c r="LV12" s="1">
        <f>AVERAGE(LV$3:LV$9)</f>
        <v>0</v>
      </c>
      <c r="LW12" s="1">
        <f>AVERAGE(LW$3:LW$9)</f>
        <v>0</v>
      </c>
      <c r="LX12" s="1">
        <f>AVERAGE(LX$3:LX$9)</f>
        <v>0</v>
      </c>
      <c r="LY12" s="1">
        <f>AVERAGE(LY$3:LY$9)</f>
        <v>0</v>
      </c>
      <c r="LZ12" s="1">
        <f>AVERAGE(LZ$3:LZ$9)</f>
        <v>0</v>
      </c>
      <c r="MA12" s="1">
        <f>AVERAGE(MA$3:MA$9)</f>
        <v>0</v>
      </c>
      <c r="MB12" s="1">
        <f>AVERAGE(MB$3:MB$9)</f>
        <v>0</v>
      </c>
    </row>
    <row r="13" spans="1:340">
      <c r="A13" s="1" t="s">
        <v>9</v>
      </c>
      <c r="B13" s="1">
        <f>STDEV(B$3:B$9)</f>
        <v>0</v>
      </c>
      <c r="C13" s="1">
        <f>STDEV(C$3:C$9)</f>
        <v>0</v>
      </c>
      <c r="D13" s="1">
        <f>STDEV(D$3:D$9)</f>
        <v>0</v>
      </c>
      <c r="E13" s="1">
        <f>STDEV(E$3:E$9)</f>
        <v>0</v>
      </c>
      <c r="F13" s="1">
        <f>STDEV(F$3:F$9)</f>
        <v>0</v>
      </c>
      <c r="G13" s="1">
        <f>STDEV(G$3:G$9)</f>
        <v>0</v>
      </c>
      <c r="H13" s="1">
        <f>STDEV(H$3:H$9)</f>
        <v>0</v>
      </c>
      <c r="I13" s="1">
        <f>STDEV(I$3:I$9)</f>
        <v>0</v>
      </c>
      <c r="J13" s="1">
        <f>STDEV(J$3:J$9)</f>
        <v>0</v>
      </c>
      <c r="K13" s="1">
        <f>STDEV(K$3:K$9)</f>
        <v>0</v>
      </c>
      <c r="L13" s="1">
        <f>STDEV(L$3:L$9)</f>
        <v>0</v>
      </c>
      <c r="M13" s="1">
        <f>STDEV(M$3:M$9)</f>
        <v>0</v>
      </c>
      <c r="N13" s="1">
        <f>STDEV(N$3:N$9)</f>
        <v>0</v>
      </c>
      <c r="O13" s="1">
        <f>STDEV(O$3:O$9)</f>
        <v>0</v>
      </c>
      <c r="P13" s="1"/>
      <c r="Q13" s="1">
        <f>STDEV(Q$3:Q$9)</f>
        <v>0</v>
      </c>
      <c r="R13" s="1">
        <f>STDEV(R$3:R$9)</f>
        <v>0</v>
      </c>
      <c r="S13" s="1">
        <f>STDEV(S$3:S$9)</f>
        <v>0</v>
      </c>
      <c r="T13" s="1">
        <f>STDEV(T$3:T$9)</f>
        <v>0</v>
      </c>
      <c r="U13" s="1">
        <f>STDEV(U$3:U$9)</f>
        <v>0</v>
      </c>
      <c r="V13" s="1">
        <f>STDEV(V$3:V$9)</f>
        <v>0</v>
      </c>
      <c r="W13" s="1">
        <f>STDEV(W$3:W$9)</f>
        <v>0</v>
      </c>
      <c r="X13" s="1">
        <f>STDEV(X$3:X$9)</f>
        <v>0</v>
      </c>
      <c r="Y13" s="1">
        <f>STDEV(Y$3:Y$9)</f>
        <v>0</v>
      </c>
      <c r="Z13" s="1">
        <f>STDEV(Z$3:Z$9)</f>
        <v>0</v>
      </c>
      <c r="AA13" s="1">
        <f>STDEV(AA$3:AA$9)</f>
        <v>0</v>
      </c>
      <c r="AB13" s="1">
        <f>STDEV(AB$3:AB$9)</f>
        <v>0</v>
      </c>
      <c r="AC13" s="1">
        <f>STDEV(AC$3:AC$9)</f>
        <v>0</v>
      </c>
      <c r="AD13" s="1">
        <f>STDEV(AD$3:AD$9)</f>
        <v>0</v>
      </c>
      <c r="AE13" s="1">
        <f>STDEV(AE$3:AE$9)</f>
        <v>0</v>
      </c>
      <c r="AF13" s="1">
        <f>STDEV(AF$3:AF$9)</f>
        <v>0</v>
      </c>
      <c r="AG13" s="1">
        <f>STDEV(AG$3:AG$9)</f>
        <v>0</v>
      </c>
      <c r="AH13" s="1"/>
      <c r="AI13" s="1">
        <f>STDEV(AI$3:AI$9)</f>
        <v>0</v>
      </c>
      <c r="AJ13" s="1">
        <f>STDEV(AJ$3:AJ$9)</f>
        <v>0</v>
      </c>
      <c r="AK13" s="1">
        <f>STDEV(AK$3:AK$9)</f>
        <v>0</v>
      </c>
      <c r="AL13" s="1">
        <f>STDEV(AL$3:AL$9)</f>
        <v>0</v>
      </c>
      <c r="AM13" s="1">
        <f>STDEV(AM$3:AM$9)</f>
        <v>0</v>
      </c>
      <c r="AN13" s="1">
        <f>STDEV(AN$3:AN$9)</f>
        <v>0</v>
      </c>
      <c r="AO13" s="1">
        <f>STDEV(AO$3:AO$9)</f>
        <v>0</v>
      </c>
      <c r="AP13" s="1">
        <f>STDEV(AP$3:AP$9)</f>
        <v>0</v>
      </c>
      <c r="AQ13" s="1">
        <f>STDEV(AQ$3:AQ$9)</f>
        <v>0</v>
      </c>
      <c r="AR13" s="1">
        <f>STDEV(AR$3:AR$9)</f>
        <v>0</v>
      </c>
      <c r="AS13" s="1">
        <f>STDEV(AS$3:AS$9)</f>
        <v>0</v>
      </c>
      <c r="AT13" s="1">
        <f>STDEV(AT$3:AT$9)</f>
        <v>0</v>
      </c>
      <c r="AU13" s="1">
        <f>STDEV(AU$3:AU$9)</f>
        <v>0</v>
      </c>
      <c r="AV13" s="1">
        <f>STDEV(AV$3:AV$9)</f>
        <v>0</v>
      </c>
      <c r="AW13" s="1">
        <f>STDEV(AW$3:AW$9)</f>
        <v>0</v>
      </c>
      <c r="AX13" s="1">
        <f>STDEV(AX$3:AX$9)</f>
        <v>0</v>
      </c>
      <c r="AY13" s="1">
        <f>STDEV(AY$3:AY$9)</f>
        <v>0</v>
      </c>
      <c r="AZ13" s="1"/>
      <c r="BA13" s="1">
        <f>STDEV(BA$3:BA$9)</f>
        <v>0</v>
      </c>
      <c r="BB13" s="1">
        <f>STDEV(BB$3:BB$9)</f>
        <v>0</v>
      </c>
      <c r="BC13" s="1">
        <f>STDEV(BC$3:BC$9)</f>
        <v>0</v>
      </c>
      <c r="BD13" s="1">
        <f>STDEV(BD$3:BD$9)</f>
        <v>0</v>
      </c>
      <c r="BE13" s="1">
        <f>STDEV(BE$3:BE$9)</f>
        <v>0</v>
      </c>
      <c r="BF13" s="1">
        <f>STDEV(BF$3:BF$9)</f>
        <v>0</v>
      </c>
      <c r="BG13" s="1">
        <f>STDEV(BG$3:BG$9)</f>
        <v>0</v>
      </c>
      <c r="BH13" s="1">
        <f>STDEV(BH$3:BH$9)</f>
        <v>0</v>
      </c>
      <c r="BI13" s="1">
        <f>STDEV(BI$3:BI$9)</f>
        <v>0</v>
      </c>
      <c r="BJ13" s="1">
        <f>STDEV(BJ$3:BJ$9)</f>
        <v>0</v>
      </c>
      <c r="BK13" s="1">
        <f>STDEV(BK$3:BK$9)</f>
        <v>0</v>
      </c>
      <c r="BL13" s="1">
        <f>STDEV(BL$3:BL$9)</f>
        <v>0</v>
      </c>
      <c r="BM13" s="1">
        <f>STDEV(BM$3:BM$9)</f>
        <v>0</v>
      </c>
      <c r="BN13" s="1">
        <f>STDEV(BN$3:BN$9)</f>
        <v>0</v>
      </c>
      <c r="BO13" s="1">
        <f>STDEV(BO$3:BO$9)</f>
        <v>0</v>
      </c>
      <c r="BP13" s="1">
        <f>STDEV(BP$3:BP$9)</f>
        <v>0</v>
      </c>
      <c r="BQ13" s="1">
        <f>STDEV(BQ$3:BQ$9)</f>
        <v>0</v>
      </c>
      <c r="BR13" s="1"/>
      <c r="BS13" s="1">
        <f>STDEV(BS$3:BS$9)</f>
        <v>0</v>
      </c>
      <c r="BT13" s="1">
        <f>STDEV(BT$3:BT$9)</f>
        <v>0</v>
      </c>
      <c r="BU13" s="1">
        <f>STDEV(BU$3:BU$9)</f>
        <v>0</v>
      </c>
      <c r="BV13" s="1">
        <f>STDEV(BV$3:BV$9)</f>
        <v>0</v>
      </c>
      <c r="BW13" s="1">
        <f>STDEV(BW$3:BW$9)</f>
        <v>0</v>
      </c>
      <c r="BX13" s="1">
        <f>STDEV(BX$3:BX$9)</f>
        <v>0</v>
      </c>
      <c r="BY13" s="1">
        <f>STDEV(BY$3:BY$9)</f>
        <v>0</v>
      </c>
      <c r="BZ13" s="1">
        <f>STDEV(BZ$3:BZ$9)</f>
        <v>0</v>
      </c>
      <c r="CA13" s="1">
        <f>STDEV(CA$3:CA$9)</f>
        <v>0</v>
      </c>
      <c r="CB13" s="1">
        <f>STDEV(CB$3:CB$9)</f>
        <v>0</v>
      </c>
      <c r="CC13" s="1">
        <f>STDEV(CC$3:CC$9)</f>
        <v>0</v>
      </c>
      <c r="CD13" s="1">
        <f>STDEV(CD$3:CD$9)</f>
        <v>0</v>
      </c>
      <c r="CE13" s="1">
        <f>STDEV(CE$3:CE$9)</f>
        <v>0</v>
      </c>
      <c r="CF13" s="1">
        <f>STDEV(CF$3:CF$9)</f>
        <v>0</v>
      </c>
      <c r="CG13" s="1">
        <f>STDEV(CG$3:CG$9)</f>
        <v>0</v>
      </c>
      <c r="CH13" s="1">
        <f>STDEV(CH$3:CH$9)</f>
        <v>0</v>
      </c>
      <c r="CI13" s="1">
        <f>STDEV(CI$3:CI$9)</f>
        <v>0</v>
      </c>
      <c r="CJ13" s="1"/>
      <c r="CK13" s="1">
        <f>STDEV(CK$3:CK$9)</f>
        <v>0</v>
      </c>
      <c r="CL13" s="1">
        <f>STDEV(CL$3:CL$9)</f>
        <v>0</v>
      </c>
      <c r="CM13" s="1">
        <f>STDEV(CM$3:CM$9)</f>
        <v>0</v>
      </c>
      <c r="CN13" s="1">
        <f>STDEV(CN$3:CN$9)</f>
        <v>0</v>
      </c>
      <c r="CO13" s="1">
        <f>STDEV(CO$3:CO$9)</f>
        <v>0</v>
      </c>
      <c r="CP13" s="1">
        <f>STDEV(CP$3:CP$9)</f>
        <v>0</v>
      </c>
      <c r="CQ13" s="1">
        <f>STDEV(CQ$3:CQ$9)</f>
        <v>0</v>
      </c>
      <c r="CR13" s="1">
        <f>STDEV(CR$3:CR$9)</f>
        <v>0</v>
      </c>
      <c r="CS13" s="1">
        <f>STDEV(CS$3:CS$9)</f>
        <v>0</v>
      </c>
      <c r="CT13" s="1">
        <f>STDEV(CT$3:CT$9)</f>
        <v>0</v>
      </c>
      <c r="CU13" s="1">
        <f>STDEV(CU$3:CU$9)</f>
        <v>0</v>
      </c>
      <c r="CV13" s="1">
        <f>STDEV(CV$3:CV$9)</f>
        <v>0</v>
      </c>
      <c r="CW13" s="1">
        <f>STDEV(CW$3:CW$9)</f>
        <v>0</v>
      </c>
      <c r="CX13" s="1">
        <f>STDEV(CX$3:CX$9)</f>
        <v>0</v>
      </c>
      <c r="CY13" s="1">
        <f>STDEV(CY$3:CY$9)</f>
        <v>0</v>
      </c>
      <c r="CZ13" s="1">
        <f>STDEV(CZ$3:CZ$9)</f>
        <v>0</v>
      </c>
      <c r="DA13" s="1">
        <f>STDEV(DA$3:DA$9)</f>
        <v>0</v>
      </c>
      <c r="DB13" s="1"/>
      <c r="DC13" s="1">
        <f>STDEV(DC$3:DC$9)</f>
        <v>0</v>
      </c>
      <c r="DD13" s="1">
        <f>STDEV(DD$3:DD$9)</f>
        <v>0</v>
      </c>
      <c r="DE13" s="1">
        <f>STDEV(DE$3:DE$9)</f>
        <v>0</v>
      </c>
      <c r="DF13" s="1">
        <f>STDEV(DF$3:DF$9)</f>
        <v>0</v>
      </c>
      <c r="DG13" s="1">
        <f>STDEV(DG$3:DG$9)</f>
        <v>0</v>
      </c>
      <c r="DH13" s="1">
        <f>STDEV(DH$3:DH$9)</f>
        <v>0</v>
      </c>
      <c r="DI13" s="1">
        <f>STDEV(DI$3:DI$9)</f>
        <v>0</v>
      </c>
      <c r="DJ13" s="1">
        <f>STDEV(DJ$3:DJ$9)</f>
        <v>0</v>
      </c>
      <c r="DK13" s="1">
        <f>STDEV(DK$3:DK$9)</f>
        <v>0</v>
      </c>
      <c r="DL13" s="1">
        <f>STDEV(DL$3:DL$9)</f>
        <v>0</v>
      </c>
      <c r="DM13" s="1">
        <f>STDEV(DM$3:DM$9)</f>
        <v>0</v>
      </c>
      <c r="DN13" s="1">
        <f>STDEV(DN$3:DN$9)</f>
        <v>0</v>
      </c>
      <c r="DO13" s="1">
        <f>STDEV(DO$3:DO$9)</f>
        <v>0</v>
      </c>
      <c r="DP13" s="1">
        <f>STDEV(DP$3:DP$9)</f>
        <v>0</v>
      </c>
      <c r="DQ13" s="1">
        <f>STDEV(DQ$3:DQ$9)</f>
        <v>0</v>
      </c>
      <c r="DR13" s="1">
        <f>STDEV(DR$3:DR$9)</f>
        <v>0</v>
      </c>
      <c r="DS13" s="1">
        <f>STDEV(DS$3:DS$9)</f>
        <v>0</v>
      </c>
      <c r="DT13" s="1"/>
      <c r="DU13" s="1">
        <f>STDEV(DU$3:DU$9)</f>
        <v>0</v>
      </c>
      <c r="DV13" s="1">
        <f>STDEV(DV$3:DV$9)</f>
        <v>0</v>
      </c>
      <c r="DW13" s="1">
        <f>STDEV(DW$3:DW$9)</f>
        <v>0</v>
      </c>
      <c r="DX13" s="1">
        <f>STDEV(DX$3:DX$9)</f>
        <v>0</v>
      </c>
      <c r="DY13" s="1">
        <f>STDEV(DY$3:DY$9)</f>
        <v>0</v>
      </c>
      <c r="DZ13" s="1">
        <f>STDEV(DZ$3:DZ$9)</f>
        <v>0</v>
      </c>
      <c r="EA13" s="1">
        <f>STDEV(EA$3:EA$9)</f>
        <v>0</v>
      </c>
      <c r="EB13" s="1">
        <f>STDEV(EB$3:EB$9)</f>
        <v>0</v>
      </c>
      <c r="EC13" s="1">
        <f>STDEV(EC$3:EC$9)</f>
        <v>0</v>
      </c>
      <c r="ED13" s="1">
        <f>STDEV(ED$3:ED$9)</f>
        <v>0</v>
      </c>
      <c r="EE13" s="1">
        <f>STDEV(EE$3:EE$9)</f>
        <v>0</v>
      </c>
      <c r="EF13" s="1">
        <f>STDEV(EF$3:EF$9)</f>
        <v>0</v>
      </c>
      <c r="EG13" s="1">
        <f>STDEV(EG$3:EG$9)</f>
        <v>0</v>
      </c>
      <c r="EH13" s="1">
        <f>STDEV(EH$3:EH$9)</f>
        <v>0</v>
      </c>
      <c r="EI13" s="1">
        <f>STDEV(EI$3:EI$9)</f>
        <v>0</v>
      </c>
      <c r="EJ13" s="1">
        <f>STDEV(EJ$3:EJ$9)</f>
        <v>0</v>
      </c>
      <c r="EK13" s="1">
        <f>STDEV(EK$3:EK$9)</f>
        <v>0</v>
      </c>
      <c r="EL13" s="1"/>
      <c r="EM13" s="1">
        <f>STDEV(EM$3:EM$9)</f>
        <v>0</v>
      </c>
      <c r="EN13" s="1">
        <f>STDEV(EN$3:EN$9)</f>
        <v>0</v>
      </c>
      <c r="EO13" s="1">
        <f>STDEV(EO$3:EO$9)</f>
        <v>0</v>
      </c>
      <c r="EP13" s="1">
        <f>STDEV(EP$3:EP$9)</f>
        <v>0</v>
      </c>
      <c r="EQ13" s="1">
        <f>STDEV(EQ$3:EQ$9)</f>
        <v>0</v>
      </c>
      <c r="ER13" s="1">
        <f>STDEV(ER$3:ER$9)</f>
        <v>0</v>
      </c>
      <c r="ES13" s="1">
        <f>STDEV(ES$3:ES$9)</f>
        <v>0</v>
      </c>
      <c r="ET13" s="1">
        <f>STDEV(ET$3:ET$9)</f>
        <v>0</v>
      </c>
      <c r="EU13" s="1">
        <f>STDEV(EU$3:EU$9)</f>
        <v>0</v>
      </c>
      <c r="EV13" s="1">
        <f>STDEV(EV$3:EV$9)</f>
        <v>0</v>
      </c>
      <c r="EW13" s="1">
        <f>STDEV(EW$3:EW$9)</f>
        <v>0</v>
      </c>
      <c r="EX13" s="1">
        <f>STDEV(EX$3:EX$9)</f>
        <v>0</v>
      </c>
      <c r="EY13" s="1">
        <f>STDEV(EY$3:EY$9)</f>
        <v>0</v>
      </c>
      <c r="EZ13" s="1">
        <f>STDEV(EZ$3:EZ$9)</f>
        <v>0</v>
      </c>
      <c r="FA13" s="1">
        <f>STDEV(FA$3:FA$9)</f>
        <v>0</v>
      </c>
      <c r="FB13" s="1">
        <f>STDEV(FB$3:FB$9)</f>
        <v>0</v>
      </c>
      <c r="FC13" s="1">
        <f>STDEV(FC$3:FC$9)</f>
        <v>0</v>
      </c>
      <c r="FD13" s="1"/>
      <c r="FE13" s="1">
        <f>STDEV(FE$3:FE$9)</f>
        <v>0</v>
      </c>
      <c r="FF13" s="1">
        <f>STDEV(FF$3:FF$9)</f>
        <v>0</v>
      </c>
      <c r="FG13" s="1">
        <f>STDEV(FG$3:FG$9)</f>
        <v>0</v>
      </c>
      <c r="FH13" s="1">
        <f>STDEV(FH$3:FH$9)</f>
        <v>0</v>
      </c>
      <c r="FI13" s="1">
        <f>STDEV(FI$3:FI$9)</f>
        <v>0</v>
      </c>
      <c r="FJ13" s="1">
        <f>STDEV(FJ$3:FJ$9)</f>
        <v>0</v>
      </c>
      <c r="FK13" s="1">
        <f>STDEV(FK$3:FK$9)</f>
        <v>0</v>
      </c>
      <c r="FL13" s="1">
        <f>STDEV(FL$3:FL$9)</f>
        <v>0</v>
      </c>
      <c r="FM13" s="1">
        <f>STDEV(FM$3:FM$9)</f>
        <v>0</v>
      </c>
      <c r="FN13" s="1">
        <f>STDEV(FN$3:FN$9)</f>
        <v>0</v>
      </c>
      <c r="FO13" s="1">
        <f>STDEV(FO$3:FO$9)</f>
        <v>0</v>
      </c>
      <c r="FP13" s="1">
        <f>STDEV(FP$3:FP$9)</f>
        <v>0</v>
      </c>
      <c r="FQ13" s="1">
        <f>STDEV(FQ$3:FQ$9)</f>
        <v>0</v>
      </c>
      <c r="FR13" s="1">
        <f>STDEV(FR$3:FR$9)</f>
        <v>0</v>
      </c>
      <c r="FS13" s="1">
        <f>STDEV(FS$3:FS$9)</f>
        <v>0</v>
      </c>
      <c r="FT13" s="1">
        <f>STDEV(FT$3:FT$9)</f>
        <v>0</v>
      </c>
      <c r="FU13" s="1">
        <f>STDEV(FU$3:FU$9)</f>
        <v>0</v>
      </c>
      <c r="FV13" s="1"/>
      <c r="FW13" s="1">
        <f>STDEV(FW$3:FW$9)</f>
        <v>0</v>
      </c>
      <c r="FX13" s="1">
        <f>STDEV(FX$3:FX$9)</f>
        <v>0</v>
      </c>
      <c r="FY13" s="1">
        <f>STDEV(FY$3:FY$9)</f>
        <v>0</v>
      </c>
      <c r="FZ13" s="1">
        <f>STDEV(FZ$3:FZ$9)</f>
        <v>0</v>
      </c>
      <c r="GA13" s="1">
        <f>STDEV(GA$3:GA$9)</f>
        <v>0</v>
      </c>
      <c r="GB13" s="1">
        <f>STDEV(GB$3:GB$9)</f>
        <v>0</v>
      </c>
      <c r="GC13" s="1">
        <f>STDEV(GC$3:GC$9)</f>
        <v>0</v>
      </c>
      <c r="GD13" s="1">
        <f>STDEV(GD$3:GD$9)</f>
        <v>0</v>
      </c>
      <c r="GE13" s="1">
        <f>STDEV(GE$3:GE$9)</f>
        <v>0</v>
      </c>
      <c r="GF13" s="1">
        <f>STDEV(GF$3:GF$9)</f>
        <v>0</v>
      </c>
      <c r="GG13" s="1">
        <f>STDEV(GG$3:GG$9)</f>
        <v>0</v>
      </c>
      <c r="GH13" s="1">
        <f>STDEV(GH$3:GH$9)</f>
        <v>0</v>
      </c>
      <c r="GI13" s="1">
        <f>STDEV(GI$3:GI$9)</f>
        <v>0</v>
      </c>
      <c r="GJ13" s="1">
        <f>STDEV(GJ$3:GJ$9)</f>
        <v>0</v>
      </c>
      <c r="GK13" s="1">
        <f>STDEV(GK$3:GK$9)</f>
        <v>0</v>
      </c>
      <c r="GL13" s="1">
        <f>STDEV(GL$3:GL$9)</f>
        <v>0</v>
      </c>
      <c r="GM13" s="1">
        <f>STDEV(GM$3:GM$9)</f>
        <v>0</v>
      </c>
      <c r="GN13" s="1"/>
      <c r="GO13" s="1">
        <f>STDEV(GO$3:GO$9)</f>
        <v>0</v>
      </c>
      <c r="GP13" s="1">
        <f>STDEV(GP$3:GP$9)</f>
        <v>0</v>
      </c>
      <c r="GQ13" s="1">
        <f>STDEV(GQ$3:GQ$9)</f>
        <v>0</v>
      </c>
      <c r="GR13" s="1">
        <f>STDEV(GR$3:GR$9)</f>
        <v>0</v>
      </c>
      <c r="GS13" s="1">
        <f>STDEV(GS$3:GS$9)</f>
        <v>0</v>
      </c>
      <c r="GT13" s="1">
        <f>STDEV(GT$3:GT$9)</f>
        <v>0</v>
      </c>
      <c r="GU13" s="1">
        <f>STDEV(GU$3:GU$9)</f>
        <v>0</v>
      </c>
      <c r="GV13" s="1">
        <f>STDEV(GV$3:GV$9)</f>
        <v>0</v>
      </c>
      <c r="GW13" s="1">
        <f>STDEV(GW$3:GW$9)</f>
        <v>0</v>
      </c>
      <c r="GX13" s="1">
        <f>STDEV(GX$3:GX$9)</f>
        <v>0</v>
      </c>
      <c r="GY13" s="1">
        <f>STDEV(GY$3:GY$9)</f>
        <v>0</v>
      </c>
      <c r="GZ13" s="1">
        <f>STDEV(GZ$3:GZ$9)</f>
        <v>0</v>
      </c>
      <c r="HA13" s="1">
        <f>STDEV(HA$3:HA$9)</f>
        <v>0</v>
      </c>
      <c r="HB13" s="1">
        <f>STDEV(HB$3:HB$9)</f>
        <v>0</v>
      </c>
      <c r="HC13" s="1">
        <f>STDEV(HC$3:HC$9)</f>
        <v>0</v>
      </c>
      <c r="HD13" s="1">
        <f>STDEV(HD$3:HD$9)</f>
        <v>0</v>
      </c>
      <c r="HE13" s="1">
        <f>STDEV(HE$3:HE$9)</f>
        <v>0</v>
      </c>
      <c r="HF13" s="1"/>
      <c r="HG13" s="1">
        <f>STDEV(HG$3:HG$9)</f>
        <v>0</v>
      </c>
      <c r="HH13" s="1">
        <f>STDEV(HH$3:HH$9)</f>
        <v>0</v>
      </c>
      <c r="HI13" s="1">
        <f>STDEV(HI$3:HI$9)</f>
        <v>0</v>
      </c>
      <c r="HJ13" s="1">
        <f>STDEV(HJ$3:HJ$9)</f>
        <v>0</v>
      </c>
      <c r="HK13" s="1">
        <f>STDEV(HK$3:HK$9)</f>
        <v>0</v>
      </c>
      <c r="HL13" s="1">
        <f>STDEV(HL$3:HL$9)</f>
        <v>0</v>
      </c>
      <c r="HM13" s="1">
        <f>STDEV(HM$3:HM$9)</f>
        <v>0</v>
      </c>
      <c r="HN13" s="1">
        <f>STDEV(HN$3:HN$9)</f>
        <v>0</v>
      </c>
      <c r="HO13" s="1">
        <f>STDEV(HO$3:HO$9)</f>
        <v>0</v>
      </c>
      <c r="HP13" s="1">
        <f>STDEV(HP$3:HP$9)</f>
        <v>0</v>
      </c>
      <c r="HQ13" s="1">
        <f>STDEV(HQ$3:HQ$9)</f>
        <v>0</v>
      </c>
      <c r="HR13" s="1">
        <f>STDEV(HR$3:HR$9)</f>
        <v>0</v>
      </c>
      <c r="HS13" s="1">
        <f>STDEV(HS$3:HS$9)</f>
        <v>0</v>
      </c>
      <c r="HT13" s="1">
        <f>STDEV(HT$3:HT$9)</f>
        <v>0</v>
      </c>
      <c r="HU13" s="1">
        <f>STDEV(HU$3:HU$9)</f>
        <v>0</v>
      </c>
      <c r="HV13" s="1">
        <f>STDEV(HV$3:HV$9)</f>
        <v>0</v>
      </c>
      <c r="HW13" s="1">
        <f>STDEV(HW$3:HW$9)</f>
        <v>0</v>
      </c>
      <c r="HX13" s="1"/>
      <c r="HY13" s="1">
        <f>STDEV(HY$3:HY$9)</f>
        <v>0</v>
      </c>
      <c r="HZ13" s="1">
        <f>STDEV(HZ$3:HZ$9)</f>
        <v>0</v>
      </c>
      <c r="IA13" s="1">
        <f>STDEV(IA$3:IA$9)</f>
        <v>0</v>
      </c>
      <c r="IB13" s="1">
        <f>STDEV(IB$3:IB$9)</f>
        <v>0</v>
      </c>
      <c r="IC13" s="1">
        <f>STDEV(IC$3:IC$9)</f>
        <v>0</v>
      </c>
      <c r="ID13" s="1">
        <f>STDEV(ID$3:ID$9)</f>
        <v>0</v>
      </c>
      <c r="IE13" s="1">
        <f>STDEV(IE$3:IE$9)</f>
        <v>0</v>
      </c>
      <c r="IF13" s="1">
        <f>STDEV(IF$3:IF$9)</f>
        <v>0</v>
      </c>
      <c r="IG13" s="1">
        <f>STDEV(IG$3:IG$9)</f>
        <v>0</v>
      </c>
      <c r="IH13" s="1">
        <f>STDEV(IH$3:IH$9)</f>
        <v>0</v>
      </c>
      <c r="II13" s="1">
        <f>STDEV(II$3:II$9)</f>
        <v>0</v>
      </c>
      <c r="IJ13" s="1">
        <f>STDEV(IJ$3:IJ$9)</f>
        <v>0</v>
      </c>
      <c r="IK13" s="1">
        <f>STDEV(IK$3:IK$9)</f>
        <v>0</v>
      </c>
      <c r="IL13" s="1">
        <f>STDEV(IL$3:IL$9)</f>
        <v>0</v>
      </c>
      <c r="IM13" s="1">
        <f>STDEV(IM$3:IM$9)</f>
        <v>0</v>
      </c>
      <c r="IN13" s="1">
        <f>STDEV(IN$3:IN$9)</f>
        <v>0</v>
      </c>
      <c r="IO13" s="1">
        <f>STDEV(IO$3:IO$9)</f>
        <v>0</v>
      </c>
      <c r="IP13" s="1"/>
      <c r="IQ13" s="1">
        <f>STDEV(IQ$3:IQ$9)</f>
        <v>0</v>
      </c>
      <c r="IR13" s="1">
        <f>STDEV(IR$3:IR$9)</f>
        <v>0</v>
      </c>
      <c r="IS13" s="1">
        <f>STDEV(IS$3:IS$9)</f>
        <v>0</v>
      </c>
      <c r="IT13" s="1">
        <f>STDEV(IT$3:IT$9)</f>
        <v>0</v>
      </c>
      <c r="IU13" s="1">
        <f>STDEV(IU$3:IU$9)</f>
        <v>0</v>
      </c>
      <c r="IV13" s="1">
        <f>STDEV(IV$3:IV$9)</f>
        <v>0</v>
      </c>
      <c r="IW13" s="1">
        <f>STDEV(IW$3:IW$9)</f>
        <v>0</v>
      </c>
      <c r="IX13" s="1">
        <f>STDEV(IX$3:IX$9)</f>
        <v>0</v>
      </c>
      <c r="IY13" s="1">
        <f>STDEV(IY$3:IY$9)</f>
        <v>0</v>
      </c>
      <c r="IZ13" s="1">
        <f>STDEV(IZ$3:IZ$9)</f>
        <v>0</v>
      </c>
      <c r="JA13" s="1">
        <f>STDEV(JA$3:JA$9)</f>
        <v>0</v>
      </c>
      <c r="JB13" s="1">
        <f>STDEV(JB$3:JB$9)</f>
        <v>0</v>
      </c>
      <c r="JC13" s="1">
        <f>STDEV(JC$3:JC$9)</f>
        <v>0</v>
      </c>
      <c r="JD13" s="1">
        <f>STDEV(JD$3:JD$9)</f>
        <v>0</v>
      </c>
      <c r="JE13" s="1">
        <f>STDEV(JE$3:JE$9)</f>
        <v>0</v>
      </c>
      <c r="JF13" s="1">
        <f>STDEV(JF$3:JF$9)</f>
        <v>0</v>
      </c>
      <c r="JG13" s="1">
        <f>STDEV(JG$3:JG$9)</f>
        <v>0</v>
      </c>
      <c r="JH13" s="1"/>
      <c r="JI13" s="1">
        <f>STDEV(JI$3:JI$9)</f>
        <v>0</v>
      </c>
      <c r="JJ13" s="1">
        <f>STDEV(JJ$3:JJ$9)</f>
        <v>0</v>
      </c>
      <c r="JK13" s="1">
        <f>STDEV(JK$3:JK$9)</f>
        <v>0</v>
      </c>
      <c r="JL13" s="1">
        <f>STDEV(JL$3:JL$9)</f>
        <v>0</v>
      </c>
      <c r="JM13" s="1">
        <f>STDEV(JM$3:JM$9)</f>
        <v>0</v>
      </c>
      <c r="JN13" s="1">
        <f>STDEV(JN$3:JN$9)</f>
        <v>0</v>
      </c>
      <c r="JO13" s="1">
        <f>STDEV(JO$3:JO$9)</f>
        <v>0</v>
      </c>
      <c r="JP13" s="1">
        <f>STDEV(JP$3:JP$9)</f>
        <v>0</v>
      </c>
      <c r="JQ13" s="1">
        <f>STDEV(JQ$3:JQ$9)</f>
        <v>0</v>
      </c>
      <c r="JR13" s="1">
        <f>STDEV(JR$3:JR$9)</f>
        <v>0</v>
      </c>
      <c r="JS13" s="1">
        <f>STDEV(JS$3:JS$9)</f>
        <v>0</v>
      </c>
      <c r="JT13" s="1">
        <f>STDEV(JT$3:JT$9)</f>
        <v>0</v>
      </c>
      <c r="JU13" s="1">
        <f>STDEV(JU$3:JU$9)</f>
        <v>0</v>
      </c>
      <c r="JV13" s="1">
        <f>STDEV(JV$3:JV$9)</f>
        <v>0</v>
      </c>
      <c r="JW13" s="1">
        <f>STDEV(JW$3:JW$9)</f>
        <v>0</v>
      </c>
      <c r="JX13" s="1">
        <f>STDEV(JX$3:JX$9)</f>
        <v>0</v>
      </c>
      <c r="JY13" s="1">
        <f>STDEV(JY$3:JY$9)</f>
        <v>0</v>
      </c>
      <c r="JZ13" s="1"/>
      <c r="KA13" s="1">
        <f>STDEV(KA$3:KA$9)</f>
        <v>0</v>
      </c>
      <c r="KB13" s="1">
        <f>STDEV(KB$3:KB$9)</f>
        <v>0</v>
      </c>
      <c r="KC13" s="1">
        <f>STDEV(KC$3:KC$9)</f>
        <v>0</v>
      </c>
      <c r="KD13" s="1">
        <f>STDEV(KD$3:KD$9)</f>
        <v>0</v>
      </c>
      <c r="KE13" s="1">
        <f>STDEV(KE$3:KE$9)</f>
        <v>0</v>
      </c>
      <c r="KF13" s="1">
        <f>STDEV(KF$3:KF$9)</f>
        <v>0</v>
      </c>
      <c r="KG13" s="1">
        <f>STDEV(KG$3:KG$9)</f>
        <v>0</v>
      </c>
      <c r="KH13" s="1">
        <f>STDEV(KH$3:KH$9)</f>
        <v>0</v>
      </c>
      <c r="KI13" s="1">
        <f>STDEV(KI$3:KI$9)</f>
        <v>0</v>
      </c>
      <c r="KJ13" s="1">
        <f>STDEV(KJ$3:KJ$9)</f>
        <v>0</v>
      </c>
      <c r="KK13" s="1">
        <f>STDEV(KK$3:KK$9)</f>
        <v>0</v>
      </c>
      <c r="KL13" s="1">
        <f>STDEV(KL$3:KL$9)</f>
        <v>0</v>
      </c>
      <c r="KM13" s="1">
        <f>STDEV(KM$3:KM$9)</f>
        <v>0</v>
      </c>
      <c r="KN13" s="1">
        <f>STDEV(KN$3:KN$9)</f>
        <v>0</v>
      </c>
      <c r="KO13" s="1">
        <f>STDEV(KO$3:KO$9)</f>
        <v>0</v>
      </c>
      <c r="KP13" s="1">
        <f>STDEV(KP$3:KP$9)</f>
        <v>0</v>
      </c>
      <c r="KQ13" s="1">
        <f>STDEV(KQ$3:KQ$9)</f>
        <v>0</v>
      </c>
      <c r="KR13" s="1">
        <f>STDEV(KR$3:KR$9)</f>
        <v>0</v>
      </c>
      <c r="KS13" s="1">
        <f>STDEV(KS$3:KS$9)</f>
        <v>0</v>
      </c>
      <c r="KT13" s="1">
        <f>STDEV(KT$3:KT$9)</f>
        <v>0</v>
      </c>
      <c r="KU13" s="1">
        <f>STDEV(KU$3:KU$9)</f>
        <v>0</v>
      </c>
      <c r="KV13" s="1">
        <f>STDEV(KV$3:KV$9)</f>
        <v>0</v>
      </c>
      <c r="KW13" s="1">
        <f>STDEV(KW$3:KW$9)</f>
        <v>0</v>
      </c>
      <c r="KX13" s="1">
        <f>STDEV(KX$3:KX$9)</f>
        <v>0</v>
      </c>
      <c r="KY13" s="1">
        <f>STDEV(KY$3:KY$9)</f>
        <v>0</v>
      </c>
      <c r="KZ13" s="1">
        <f>STDEV(KZ$3:KZ$9)</f>
        <v>0</v>
      </c>
      <c r="LA13" s="1">
        <f>STDEV(LA$3:LA$9)</f>
        <v>0</v>
      </c>
      <c r="LB13" s="1">
        <f>STDEV(LB$3:LB$9)</f>
        <v>0</v>
      </c>
      <c r="LC13" s="1">
        <f>STDEV(LC$3:LC$9)</f>
        <v>0</v>
      </c>
      <c r="LD13" s="1">
        <f>STDEV(LD$3:LD$9)</f>
        <v>0</v>
      </c>
      <c r="LE13" s="1">
        <f>STDEV(LE$3:LE$9)</f>
        <v>0</v>
      </c>
      <c r="LF13" s="1">
        <f>STDEV(LF$3:LF$9)</f>
        <v>0</v>
      </c>
      <c r="LG13" s="1">
        <f>STDEV(LG$3:LG$9)</f>
        <v>0</v>
      </c>
      <c r="LH13" s="1">
        <f>STDEV(LH$3:LH$9)</f>
        <v>0</v>
      </c>
      <c r="LI13" s="1">
        <f>STDEV(LI$3:LI$9)</f>
        <v>0</v>
      </c>
      <c r="LJ13" s="1">
        <f>STDEV(LJ$3:LJ$9)</f>
        <v>0</v>
      </c>
      <c r="LK13" s="1">
        <f>STDEV(LK$3:LK$9)</f>
        <v>0</v>
      </c>
      <c r="LL13" s="1">
        <f>STDEV(LL$3:LL$9)</f>
        <v>0</v>
      </c>
      <c r="LM13" s="1">
        <f>STDEV(LM$3:LM$9)</f>
        <v>0</v>
      </c>
      <c r="LN13" s="1">
        <f>STDEV(LN$3:LN$9)</f>
        <v>0</v>
      </c>
      <c r="LO13" s="1">
        <f>STDEV(LO$3:LO$9)</f>
        <v>0</v>
      </c>
      <c r="LP13" s="1">
        <f>STDEV(LP$3:LP$9)</f>
        <v>0</v>
      </c>
      <c r="LQ13" s="1">
        <f>STDEV(LQ$3:LQ$9)</f>
        <v>0</v>
      </c>
      <c r="LR13" s="1">
        <f>STDEV(LR$3:LR$9)</f>
        <v>0</v>
      </c>
      <c r="LS13" s="1">
        <f>STDEV(LS$3:LS$9)</f>
        <v>0</v>
      </c>
      <c r="LT13" s="1">
        <f>STDEV(LT$3:LT$9)</f>
        <v>0</v>
      </c>
      <c r="LU13" s="1">
        <f>STDEV(LU$3:LU$9)</f>
        <v>0</v>
      </c>
      <c r="LV13" s="1">
        <f>STDEV(LV$3:LV$9)</f>
        <v>0</v>
      </c>
      <c r="LW13" s="1">
        <f>STDEV(LW$3:LW$9)</f>
        <v>0</v>
      </c>
      <c r="LX13" s="1">
        <f>STDEV(LX$3:LX$9)</f>
        <v>0</v>
      </c>
      <c r="LY13" s="1">
        <f>STDEV(LY$3:LY$9)</f>
        <v>0</v>
      </c>
      <c r="LZ13" s="1">
        <f>STDEV(LZ$3:LZ$9)</f>
        <v>0</v>
      </c>
      <c r="MA13" s="1">
        <f>STDEV(MA$3:MA$9)</f>
        <v>0</v>
      </c>
      <c r="MB13" s="1">
        <f>STDEV(MB$3:MB$9)</f>
        <v>0</v>
      </c>
    </row>
    <row r="14" spans="1:340">
      <c r="A14" s="1" t="s">
        <v>10</v>
      </c>
      <c r="B14" s="1">
        <f>SUMPRODUCT(--(B$3:B$9-$KD$3:$KD$9)^2)^0.5</f>
        <v>0</v>
      </c>
      <c r="C14" s="1">
        <f>SUMPRODUCT(--(C$3:C$9-$KE$3:$KE$9)^2)^0.5</f>
        <v>0</v>
      </c>
      <c r="D14" s="1">
        <f>SUMPRODUCT(--(D$3:D$9-$KF$3:$KF$9)^2)^0.5</f>
        <v>0</v>
      </c>
      <c r="E14" s="1">
        <f>SUMPRODUCT(--(E$3:E$9-$KG$3:$KG$9)^2)^0.5</f>
        <v>0</v>
      </c>
      <c r="F14" s="1">
        <f>SUMPRODUCT(--(F$3:F$9-$KH$3:$KH$9)^2)^0.5</f>
        <v>0</v>
      </c>
      <c r="G14" s="1">
        <f>SUMPRODUCT(--(G$3:G$9-$KI$3:$KI$9)^2)^0.5</f>
        <v>0</v>
      </c>
      <c r="H14" s="1">
        <f>SUMPRODUCT(--(H$3:H$9-$KJ$3:$KJ$9)^2)^0.5</f>
        <v>0</v>
      </c>
      <c r="I14" s="1">
        <f>SUMPRODUCT(--(I$3:I$9-$KK$3:$KK$9)^2)^0.5</f>
        <v>0</v>
      </c>
      <c r="J14" s="1">
        <f>SUMPRODUCT(--(J$3:J$9-$KL$3:$KL$9)^2)^0.5</f>
        <v>0</v>
      </c>
      <c r="K14" s="1">
        <f>SUMPRODUCT(--(K$3:K$9-$KM$3:$KM$9)^2)^0.5</f>
        <v>0</v>
      </c>
      <c r="L14" s="1">
        <f>SUMPRODUCT(--(L$3:L$9-$KN$3:$KN$9)^2)^0.5</f>
        <v>0</v>
      </c>
      <c r="M14" s="1">
        <f>SUMPRODUCT(--(M$3:M$9-$KO$3:$KO$9)^2)^0.5</f>
        <v>0</v>
      </c>
      <c r="N14" s="1">
        <f>SUMPRODUCT(--(N$3:N$9-$KP$3:$KP$9)^2)^0.5</f>
        <v>0</v>
      </c>
      <c r="O14" s="1">
        <f>SUMPRODUCT(--(O$3:O$9-$KQ$3:$KQ$9)^2)^0.5</f>
        <v>0</v>
      </c>
      <c r="P14" s="1"/>
      <c r="Q14" s="1">
        <f>SUMPRODUCT(--(Q$3:Q$9-$KR$3:$KR$9)^2)^0.5</f>
        <v>0</v>
      </c>
      <c r="R14" s="1">
        <f>SUMPRODUCT(--(R$3:R$9-$KS$3:$KS$9)^2)^0.5</f>
        <v>0</v>
      </c>
      <c r="S14" s="1">
        <f>SUMPRODUCT(--(S$3:S$9-$KT$3:$KT$9)^2)^0.5</f>
        <v>0</v>
      </c>
      <c r="T14" s="1">
        <f>SUMPRODUCT(--(T$3:T$9-$KD$3:$KD$9)^2)^0.5</f>
        <v>0</v>
      </c>
      <c r="U14" s="1">
        <f>SUMPRODUCT(--(U$3:U$9-$KE$3:$KE$9)^2)^0.5</f>
        <v>0</v>
      </c>
      <c r="V14" s="1">
        <f>SUMPRODUCT(--(V$3:V$9-$KF$3:$KF$9)^2)^0.5</f>
        <v>0</v>
      </c>
      <c r="W14" s="1">
        <f>SUMPRODUCT(--(W$3:W$9-$KG$3:$KG$9)^2)^0.5</f>
        <v>0</v>
      </c>
      <c r="X14" s="1">
        <f>SUMPRODUCT(--(X$3:X$9-$KH$3:$KH$9)^2)^0.5</f>
        <v>0</v>
      </c>
      <c r="Y14" s="1">
        <f>SUMPRODUCT(--(Y$3:Y$9-$KI$3:$KI$9)^2)^0.5</f>
        <v>0</v>
      </c>
      <c r="Z14" s="1">
        <f>SUMPRODUCT(--(Z$3:Z$9-$KJ$3:$KJ$9)^2)^0.5</f>
        <v>0</v>
      </c>
      <c r="AA14" s="1">
        <f>SUMPRODUCT(--(AA$3:AA$9-$KK$3:$KK$9)^2)^0.5</f>
        <v>0</v>
      </c>
      <c r="AB14" s="1">
        <f>SUMPRODUCT(--(AB$3:AB$9-$KL$3:$KL$9)^2)^0.5</f>
        <v>0</v>
      </c>
      <c r="AC14" s="1">
        <f>SUMPRODUCT(--(AC$3:AC$9-$KM$3:$KM$9)^2)^0.5</f>
        <v>0</v>
      </c>
      <c r="AD14" s="1">
        <f>SUMPRODUCT(--(AD$3:AD$9-$KN$3:$KN$9)^2)^0.5</f>
        <v>0</v>
      </c>
      <c r="AE14" s="1">
        <f>SUMPRODUCT(--(AE$3:AE$9-$KO$3:$KO$9)^2)^0.5</f>
        <v>0</v>
      </c>
      <c r="AF14" s="1">
        <f>SUMPRODUCT(--(AF$3:AF$9-$KP$3:$KP$9)^2)^0.5</f>
        <v>0</v>
      </c>
      <c r="AG14" s="1">
        <f>SUMPRODUCT(--(AG$3:AG$9-$KQ$3:$KQ$9)^2)^0.5</f>
        <v>0</v>
      </c>
      <c r="AH14" s="1"/>
      <c r="AI14" s="1">
        <f>SUMPRODUCT(--(AI$3:AI$9-$KR$3:$KR$9)^2)^0.5</f>
        <v>0</v>
      </c>
      <c r="AJ14" s="1">
        <f>SUMPRODUCT(--(AJ$3:AJ$9-$KS$3:$KS$9)^2)^0.5</f>
        <v>0</v>
      </c>
      <c r="AK14" s="1">
        <f>SUMPRODUCT(--(AK$3:AK$9-$KT$3:$KT$9)^2)^0.5</f>
        <v>0</v>
      </c>
      <c r="AL14" s="1">
        <f>SUMPRODUCT(--(AL$3:AL$9-$KD$3:$KD$9)^2)^0.5</f>
        <v>0</v>
      </c>
      <c r="AM14" s="1">
        <f>SUMPRODUCT(--(AM$3:AM$9-$KE$3:$KE$9)^2)^0.5</f>
        <v>0</v>
      </c>
      <c r="AN14" s="1">
        <f>SUMPRODUCT(--(AN$3:AN$9-$KF$3:$KF$9)^2)^0.5</f>
        <v>0</v>
      </c>
      <c r="AO14" s="1">
        <f>SUMPRODUCT(--(AO$3:AO$9-$KG$3:$KG$9)^2)^0.5</f>
        <v>0</v>
      </c>
      <c r="AP14" s="1">
        <f>SUMPRODUCT(--(AP$3:AP$9-$KH$3:$KH$9)^2)^0.5</f>
        <v>0</v>
      </c>
      <c r="AQ14" s="1">
        <f>SUMPRODUCT(--(AQ$3:AQ$9-$KI$3:$KI$9)^2)^0.5</f>
        <v>0</v>
      </c>
      <c r="AR14" s="1">
        <f>SUMPRODUCT(--(AR$3:AR$9-$KJ$3:$KJ$9)^2)^0.5</f>
        <v>0</v>
      </c>
      <c r="AS14" s="1">
        <f>SUMPRODUCT(--(AS$3:AS$9-$KK$3:$KK$9)^2)^0.5</f>
        <v>0</v>
      </c>
      <c r="AT14" s="1">
        <f>SUMPRODUCT(--(AT$3:AT$9-$KL$3:$KL$9)^2)^0.5</f>
        <v>0</v>
      </c>
      <c r="AU14" s="1">
        <f>SUMPRODUCT(--(AU$3:AU$9-$KM$3:$KM$9)^2)^0.5</f>
        <v>0</v>
      </c>
      <c r="AV14" s="1">
        <f>SUMPRODUCT(--(AV$3:AV$9-$KN$3:$KN$9)^2)^0.5</f>
        <v>0</v>
      </c>
      <c r="AW14" s="1">
        <f>SUMPRODUCT(--(AW$3:AW$9-$KO$3:$KO$9)^2)^0.5</f>
        <v>0</v>
      </c>
      <c r="AX14" s="1">
        <f>SUMPRODUCT(--(AX$3:AX$9-$KP$3:$KP$9)^2)^0.5</f>
        <v>0</v>
      </c>
      <c r="AY14" s="1">
        <f>SUMPRODUCT(--(AY$3:AY$9-$KQ$3:$KQ$9)^2)^0.5</f>
        <v>0</v>
      </c>
      <c r="AZ14" s="1"/>
      <c r="BA14" s="1">
        <f>SUMPRODUCT(--(BA$3:BA$9-$KR$3:$KR$9)^2)^0.5</f>
        <v>0</v>
      </c>
      <c r="BB14" s="1">
        <f>SUMPRODUCT(--(BB$3:BB$9-$KS$3:$KS$9)^2)^0.5</f>
        <v>0</v>
      </c>
      <c r="BC14" s="1">
        <f>SUMPRODUCT(--(BC$3:BC$9-$KT$3:$KT$9)^2)^0.5</f>
        <v>0</v>
      </c>
      <c r="BD14" s="1">
        <f>SUMPRODUCT(--(BD$3:BD$9-$KD$3:$KD$9)^2)^0.5</f>
        <v>0</v>
      </c>
      <c r="BE14" s="1">
        <f>SUMPRODUCT(--(BE$3:BE$9-$KE$3:$KE$9)^2)^0.5</f>
        <v>0</v>
      </c>
      <c r="BF14" s="1">
        <f>SUMPRODUCT(--(BF$3:BF$9-$KF$3:$KF$9)^2)^0.5</f>
        <v>0</v>
      </c>
      <c r="BG14" s="1">
        <f>SUMPRODUCT(--(BG$3:BG$9-$KG$3:$KG$9)^2)^0.5</f>
        <v>0</v>
      </c>
      <c r="BH14" s="1">
        <f>SUMPRODUCT(--(BH$3:BH$9-$KH$3:$KH$9)^2)^0.5</f>
        <v>0</v>
      </c>
      <c r="BI14" s="1">
        <f>SUMPRODUCT(--(BI$3:BI$9-$KI$3:$KI$9)^2)^0.5</f>
        <v>0</v>
      </c>
      <c r="BJ14" s="1">
        <f>SUMPRODUCT(--(BJ$3:BJ$9-$KJ$3:$KJ$9)^2)^0.5</f>
        <v>0</v>
      </c>
      <c r="BK14" s="1">
        <f>SUMPRODUCT(--(BK$3:BK$9-$KK$3:$KK$9)^2)^0.5</f>
        <v>0</v>
      </c>
      <c r="BL14" s="1">
        <f>SUMPRODUCT(--(BL$3:BL$9-$KL$3:$KL$9)^2)^0.5</f>
        <v>0</v>
      </c>
      <c r="BM14" s="1">
        <f>SUMPRODUCT(--(BM$3:BM$9-$KM$3:$KM$9)^2)^0.5</f>
        <v>0</v>
      </c>
      <c r="BN14" s="1">
        <f>SUMPRODUCT(--(BN$3:BN$9-$KN$3:$KN$9)^2)^0.5</f>
        <v>0</v>
      </c>
      <c r="BO14" s="1">
        <f>SUMPRODUCT(--(BO$3:BO$9-$KO$3:$KO$9)^2)^0.5</f>
        <v>0</v>
      </c>
      <c r="BP14" s="1">
        <f>SUMPRODUCT(--(BP$3:BP$9-$KP$3:$KP$9)^2)^0.5</f>
        <v>0</v>
      </c>
      <c r="BQ14" s="1">
        <f>SUMPRODUCT(--(BQ$3:BQ$9-$KQ$3:$KQ$9)^2)^0.5</f>
        <v>0</v>
      </c>
      <c r="BR14" s="1"/>
      <c r="BS14" s="1">
        <f>SUMPRODUCT(--(BS$3:BS$9-$KR$3:$KR$9)^2)^0.5</f>
        <v>0</v>
      </c>
      <c r="BT14" s="1">
        <f>SUMPRODUCT(--(BT$3:BT$9-$KS$3:$KS$9)^2)^0.5</f>
        <v>0</v>
      </c>
      <c r="BU14" s="1">
        <f>SUMPRODUCT(--(BU$3:BU$9-$KT$3:$KT$9)^2)^0.5</f>
        <v>0</v>
      </c>
      <c r="BV14" s="1">
        <f>SUMPRODUCT(--(BV$3:BV$9-$KD$3:$KD$9)^2)^0.5</f>
        <v>0</v>
      </c>
      <c r="BW14" s="1">
        <f>SUMPRODUCT(--(BW$3:BW$9-$KE$3:$KE$9)^2)^0.5</f>
        <v>0</v>
      </c>
      <c r="BX14" s="1">
        <f>SUMPRODUCT(--(BX$3:BX$9-$KF$3:$KF$9)^2)^0.5</f>
        <v>0</v>
      </c>
      <c r="BY14" s="1">
        <f>SUMPRODUCT(--(BY$3:BY$9-$KG$3:$KG$9)^2)^0.5</f>
        <v>0</v>
      </c>
      <c r="BZ14" s="1">
        <f>SUMPRODUCT(--(BZ$3:BZ$9-$KH$3:$KH$9)^2)^0.5</f>
        <v>0</v>
      </c>
      <c r="CA14" s="1">
        <f>SUMPRODUCT(--(CA$3:CA$9-$KI$3:$KI$9)^2)^0.5</f>
        <v>0</v>
      </c>
      <c r="CB14" s="1">
        <f>SUMPRODUCT(--(CB$3:CB$9-$KJ$3:$KJ$9)^2)^0.5</f>
        <v>0</v>
      </c>
      <c r="CC14" s="1">
        <f>SUMPRODUCT(--(CC$3:CC$9-$KK$3:$KK$9)^2)^0.5</f>
        <v>0</v>
      </c>
      <c r="CD14" s="1">
        <f>SUMPRODUCT(--(CD$3:CD$9-$KL$3:$KL$9)^2)^0.5</f>
        <v>0</v>
      </c>
      <c r="CE14" s="1">
        <f>SUMPRODUCT(--(CE$3:CE$9-$KM$3:$KM$9)^2)^0.5</f>
        <v>0</v>
      </c>
      <c r="CF14" s="1">
        <f>SUMPRODUCT(--(CF$3:CF$9-$KN$3:$KN$9)^2)^0.5</f>
        <v>0</v>
      </c>
      <c r="CG14" s="1">
        <f>SUMPRODUCT(--(CG$3:CG$9-$KO$3:$KO$9)^2)^0.5</f>
        <v>0</v>
      </c>
      <c r="CH14" s="1">
        <f>SUMPRODUCT(--(CH$3:CH$9-$KP$3:$KP$9)^2)^0.5</f>
        <v>0</v>
      </c>
      <c r="CI14" s="1">
        <f>SUMPRODUCT(--(CI$3:CI$9-$KQ$3:$KQ$9)^2)^0.5</f>
        <v>0</v>
      </c>
      <c r="CJ14" s="1"/>
      <c r="CK14" s="1">
        <f>SUMPRODUCT(--(CK$3:CK$9-$KR$3:$KR$9)^2)^0.5</f>
        <v>0</v>
      </c>
      <c r="CL14" s="1">
        <f>SUMPRODUCT(--(CL$3:CL$9-$KS$3:$KS$9)^2)^0.5</f>
        <v>0</v>
      </c>
      <c r="CM14" s="1">
        <f>SUMPRODUCT(--(CM$3:CM$9-$KT$3:$KT$9)^2)^0.5</f>
        <v>0</v>
      </c>
      <c r="CN14" s="1">
        <f>SUMPRODUCT(--(CN$3:CN$9-$KD$3:$KD$9)^2)^0.5</f>
        <v>0</v>
      </c>
      <c r="CO14" s="1">
        <f>SUMPRODUCT(--(CO$3:CO$9-$KE$3:$KE$9)^2)^0.5</f>
        <v>0</v>
      </c>
      <c r="CP14" s="1">
        <f>SUMPRODUCT(--(CP$3:CP$9-$KF$3:$KF$9)^2)^0.5</f>
        <v>0</v>
      </c>
      <c r="CQ14" s="1">
        <f>SUMPRODUCT(--(CQ$3:CQ$9-$KG$3:$KG$9)^2)^0.5</f>
        <v>0</v>
      </c>
      <c r="CR14" s="1">
        <f>SUMPRODUCT(--(CR$3:CR$9-$KH$3:$KH$9)^2)^0.5</f>
        <v>0</v>
      </c>
      <c r="CS14" s="1">
        <f>SUMPRODUCT(--(CS$3:CS$9-$KI$3:$KI$9)^2)^0.5</f>
        <v>0</v>
      </c>
      <c r="CT14" s="1">
        <f>SUMPRODUCT(--(CT$3:CT$9-$KJ$3:$KJ$9)^2)^0.5</f>
        <v>0</v>
      </c>
      <c r="CU14" s="1">
        <f>SUMPRODUCT(--(CU$3:CU$9-$KK$3:$KK$9)^2)^0.5</f>
        <v>0</v>
      </c>
      <c r="CV14" s="1">
        <f>SUMPRODUCT(--(CV$3:CV$9-$KL$3:$KL$9)^2)^0.5</f>
        <v>0</v>
      </c>
      <c r="CW14" s="1">
        <f>SUMPRODUCT(--(CW$3:CW$9-$KM$3:$KM$9)^2)^0.5</f>
        <v>0</v>
      </c>
      <c r="CX14" s="1">
        <f>SUMPRODUCT(--(CX$3:CX$9-$KN$3:$KN$9)^2)^0.5</f>
        <v>0</v>
      </c>
      <c r="CY14" s="1">
        <f>SUMPRODUCT(--(CY$3:CY$9-$KO$3:$KO$9)^2)^0.5</f>
        <v>0</v>
      </c>
      <c r="CZ14" s="1">
        <f>SUMPRODUCT(--(CZ$3:CZ$9-$KP$3:$KP$9)^2)^0.5</f>
        <v>0</v>
      </c>
      <c r="DA14" s="1">
        <f>SUMPRODUCT(--(DA$3:DA$9-$KQ$3:$KQ$9)^2)^0.5</f>
        <v>0</v>
      </c>
      <c r="DB14" s="1"/>
      <c r="DC14" s="1">
        <f>SUMPRODUCT(--(DC$3:DC$9-$KR$3:$KR$9)^2)^0.5</f>
        <v>0</v>
      </c>
      <c r="DD14" s="1">
        <f>SUMPRODUCT(--(DD$3:DD$9-$KS$3:$KS$9)^2)^0.5</f>
        <v>0</v>
      </c>
      <c r="DE14" s="1">
        <f>SUMPRODUCT(--(DE$3:DE$9-$KT$3:$KT$9)^2)^0.5</f>
        <v>0</v>
      </c>
      <c r="DF14" s="1">
        <f>SUMPRODUCT(--(DF$3:DF$9-$KD$3:$KD$9)^2)^0.5</f>
        <v>0</v>
      </c>
      <c r="DG14" s="1">
        <f>SUMPRODUCT(--(DG$3:DG$9-$KE$3:$KE$9)^2)^0.5</f>
        <v>0</v>
      </c>
      <c r="DH14" s="1">
        <f>SUMPRODUCT(--(DH$3:DH$9-$KF$3:$KF$9)^2)^0.5</f>
        <v>0</v>
      </c>
      <c r="DI14" s="1">
        <f>SUMPRODUCT(--(DI$3:DI$9-$KG$3:$KG$9)^2)^0.5</f>
        <v>0</v>
      </c>
      <c r="DJ14" s="1">
        <f>SUMPRODUCT(--(DJ$3:DJ$9-$KH$3:$KH$9)^2)^0.5</f>
        <v>0</v>
      </c>
      <c r="DK14" s="1">
        <f>SUMPRODUCT(--(DK$3:DK$9-$KI$3:$KI$9)^2)^0.5</f>
        <v>0</v>
      </c>
      <c r="DL14" s="1">
        <f>SUMPRODUCT(--(DL$3:DL$9-$KJ$3:$KJ$9)^2)^0.5</f>
        <v>0</v>
      </c>
      <c r="DM14" s="1">
        <f>SUMPRODUCT(--(DM$3:DM$9-$KK$3:$KK$9)^2)^0.5</f>
        <v>0</v>
      </c>
      <c r="DN14" s="1">
        <f>SUMPRODUCT(--(DN$3:DN$9-$KL$3:$KL$9)^2)^0.5</f>
        <v>0</v>
      </c>
      <c r="DO14" s="1">
        <f>SUMPRODUCT(--(DO$3:DO$9-$KM$3:$KM$9)^2)^0.5</f>
        <v>0</v>
      </c>
      <c r="DP14" s="1">
        <f>SUMPRODUCT(--(DP$3:DP$9-$KN$3:$KN$9)^2)^0.5</f>
        <v>0</v>
      </c>
      <c r="DQ14" s="1">
        <f>SUMPRODUCT(--(DQ$3:DQ$9-$KO$3:$KO$9)^2)^0.5</f>
        <v>0</v>
      </c>
      <c r="DR14" s="1">
        <f>SUMPRODUCT(--(DR$3:DR$9-$KP$3:$KP$9)^2)^0.5</f>
        <v>0</v>
      </c>
      <c r="DS14" s="1">
        <f>SUMPRODUCT(--(DS$3:DS$9-$KQ$3:$KQ$9)^2)^0.5</f>
        <v>0</v>
      </c>
      <c r="DT14" s="1"/>
      <c r="DU14" s="1">
        <f>SUMPRODUCT(--(DU$3:DU$9-$KR$3:$KR$9)^2)^0.5</f>
        <v>0</v>
      </c>
      <c r="DV14" s="1">
        <f>SUMPRODUCT(--(DV$3:DV$9-$KS$3:$KS$9)^2)^0.5</f>
        <v>0</v>
      </c>
      <c r="DW14" s="1">
        <f>SUMPRODUCT(--(DW$3:DW$9-$KT$3:$KT$9)^2)^0.5</f>
        <v>0</v>
      </c>
      <c r="DX14" s="1">
        <f>SUMPRODUCT(--(DX$3:DX$9-$KD$3:$KD$9)^2)^0.5</f>
        <v>0</v>
      </c>
      <c r="DY14" s="1">
        <f>SUMPRODUCT(--(DY$3:DY$9-$KE$3:$KE$9)^2)^0.5</f>
        <v>0</v>
      </c>
      <c r="DZ14" s="1">
        <f>SUMPRODUCT(--(DZ$3:DZ$9-$KF$3:$KF$9)^2)^0.5</f>
        <v>0</v>
      </c>
      <c r="EA14" s="1">
        <f>SUMPRODUCT(--(EA$3:EA$9-$KG$3:$KG$9)^2)^0.5</f>
        <v>0</v>
      </c>
      <c r="EB14" s="1">
        <f>SUMPRODUCT(--(EB$3:EB$9-$KH$3:$KH$9)^2)^0.5</f>
        <v>0</v>
      </c>
      <c r="EC14" s="1">
        <f>SUMPRODUCT(--(EC$3:EC$9-$KI$3:$KI$9)^2)^0.5</f>
        <v>0</v>
      </c>
      <c r="ED14" s="1">
        <f>SUMPRODUCT(--(ED$3:ED$9-$KJ$3:$KJ$9)^2)^0.5</f>
        <v>0</v>
      </c>
      <c r="EE14" s="1">
        <f>SUMPRODUCT(--(EE$3:EE$9-$KK$3:$KK$9)^2)^0.5</f>
        <v>0</v>
      </c>
      <c r="EF14" s="1">
        <f>SUMPRODUCT(--(EF$3:EF$9-$KL$3:$KL$9)^2)^0.5</f>
        <v>0</v>
      </c>
      <c r="EG14" s="1">
        <f>SUMPRODUCT(--(EG$3:EG$9-$KM$3:$KM$9)^2)^0.5</f>
        <v>0</v>
      </c>
      <c r="EH14" s="1">
        <f>SUMPRODUCT(--(EH$3:EH$9-$KN$3:$KN$9)^2)^0.5</f>
        <v>0</v>
      </c>
      <c r="EI14" s="1">
        <f>SUMPRODUCT(--(EI$3:EI$9-$KO$3:$KO$9)^2)^0.5</f>
        <v>0</v>
      </c>
      <c r="EJ14" s="1">
        <f>SUMPRODUCT(--(EJ$3:EJ$9-$KP$3:$KP$9)^2)^0.5</f>
        <v>0</v>
      </c>
      <c r="EK14" s="1">
        <f>SUMPRODUCT(--(EK$3:EK$9-$KQ$3:$KQ$9)^2)^0.5</f>
        <v>0</v>
      </c>
      <c r="EL14" s="1"/>
      <c r="EM14" s="1">
        <f>SUMPRODUCT(--(EM$3:EM$9-$KR$3:$KR$9)^2)^0.5</f>
        <v>0</v>
      </c>
      <c r="EN14" s="1">
        <f>SUMPRODUCT(--(EN$3:EN$9-$KS$3:$KS$9)^2)^0.5</f>
        <v>0</v>
      </c>
      <c r="EO14" s="1">
        <f>SUMPRODUCT(--(EO$3:EO$9-$KT$3:$KT$9)^2)^0.5</f>
        <v>0</v>
      </c>
      <c r="EP14" s="1">
        <f>SUMPRODUCT(--(EP$3:EP$9-$KD$3:$KD$9)^2)^0.5</f>
        <v>0</v>
      </c>
      <c r="EQ14" s="1">
        <f>SUMPRODUCT(--(EQ$3:EQ$9-$KE$3:$KE$9)^2)^0.5</f>
        <v>0</v>
      </c>
      <c r="ER14" s="1">
        <f>SUMPRODUCT(--(ER$3:ER$9-$KF$3:$KF$9)^2)^0.5</f>
        <v>0</v>
      </c>
      <c r="ES14" s="1">
        <f>SUMPRODUCT(--(ES$3:ES$9-$KG$3:$KG$9)^2)^0.5</f>
        <v>0</v>
      </c>
      <c r="ET14" s="1">
        <f>SUMPRODUCT(--(ET$3:ET$9-$KH$3:$KH$9)^2)^0.5</f>
        <v>0</v>
      </c>
      <c r="EU14" s="1">
        <f>SUMPRODUCT(--(EU$3:EU$9-$KI$3:$KI$9)^2)^0.5</f>
        <v>0</v>
      </c>
      <c r="EV14" s="1">
        <f>SUMPRODUCT(--(EV$3:EV$9-$KJ$3:$KJ$9)^2)^0.5</f>
        <v>0</v>
      </c>
      <c r="EW14" s="1">
        <f>SUMPRODUCT(--(EW$3:EW$9-$KK$3:$KK$9)^2)^0.5</f>
        <v>0</v>
      </c>
      <c r="EX14" s="1">
        <f>SUMPRODUCT(--(EX$3:EX$9-$KL$3:$KL$9)^2)^0.5</f>
        <v>0</v>
      </c>
      <c r="EY14" s="1">
        <f>SUMPRODUCT(--(EY$3:EY$9-$KM$3:$KM$9)^2)^0.5</f>
        <v>0</v>
      </c>
      <c r="EZ14" s="1">
        <f>SUMPRODUCT(--(EZ$3:EZ$9-$KN$3:$KN$9)^2)^0.5</f>
        <v>0</v>
      </c>
      <c r="FA14" s="1">
        <f>SUMPRODUCT(--(FA$3:FA$9-$KO$3:$KO$9)^2)^0.5</f>
        <v>0</v>
      </c>
      <c r="FB14" s="1">
        <f>SUMPRODUCT(--(FB$3:FB$9-$KP$3:$KP$9)^2)^0.5</f>
        <v>0</v>
      </c>
      <c r="FC14" s="1">
        <f>SUMPRODUCT(--(FC$3:FC$9-$KQ$3:$KQ$9)^2)^0.5</f>
        <v>0</v>
      </c>
      <c r="FD14" s="1"/>
      <c r="FE14" s="1">
        <f>SUMPRODUCT(--(FE$3:FE$9-$KR$3:$KR$9)^2)^0.5</f>
        <v>0</v>
      </c>
      <c r="FF14" s="1">
        <f>SUMPRODUCT(--(FF$3:FF$9-$KS$3:$KS$9)^2)^0.5</f>
        <v>0</v>
      </c>
      <c r="FG14" s="1">
        <f>SUMPRODUCT(--(FG$3:FG$9-$KT$3:$KT$9)^2)^0.5</f>
        <v>0</v>
      </c>
      <c r="FH14" s="1">
        <f>SUMPRODUCT(--(FH$3:FH$9-$KD$3:$KD$9)^2)^0.5</f>
        <v>0</v>
      </c>
      <c r="FI14" s="1">
        <f>SUMPRODUCT(--(FI$3:FI$9-$KE$3:$KE$9)^2)^0.5</f>
        <v>0</v>
      </c>
      <c r="FJ14" s="1">
        <f>SUMPRODUCT(--(FJ$3:FJ$9-$KF$3:$KF$9)^2)^0.5</f>
        <v>0</v>
      </c>
      <c r="FK14" s="1">
        <f>SUMPRODUCT(--(FK$3:FK$9-$KG$3:$KG$9)^2)^0.5</f>
        <v>0</v>
      </c>
      <c r="FL14" s="1">
        <f>SUMPRODUCT(--(FL$3:FL$9-$KH$3:$KH$9)^2)^0.5</f>
        <v>0</v>
      </c>
      <c r="FM14" s="1">
        <f>SUMPRODUCT(--(FM$3:FM$9-$KI$3:$KI$9)^2)^0.5</f>
        <v>0</v>
      </c>
      <c r="FN14" s="1">
        <f>SUMPRODUCT(--(FN$3:FN$9-$KJ$3:$KJ$9)^2)^0.5</f>
        <v>0</v>
      </c>
      <c r="FO14" s="1">
        <f>SUMPRODUCT(--(FO$3:FO$9-$KK$3:$KK$9)^2)^0.5</f>
        <v>0</v>
      </c>
      <c r="FP14" s="1">
        <f>SUMPRODUCT(--(FP$3:FP$9-$KL$3:$KL$9)^2)^0.5</f>
        <v>0</v>
      </c>
      <c r="FQ14" s="1">
        <f>SUMPRODUCT(--(FQ$3:FQ$9-$KM$3:$KM$9)^2)^0.5</f>
        <v>0</v>
      </c>
      <c r="FR14" s="1">
        <f>SUMPRODUCT(--(FR$3:FR$9-$KN$3:$KN$9)^2)^0.5</f>
        <v>0</v>
      </c>
      <c r="FS14" s="1">
        <f>SUMPRODUCT(--(FS$3:FS$9-$KO$3:$KO$9)^2)^0.5</f>
        <v>0</v>
      </c>
      <c r="FT14" s="1">
        <f>SUMPRODUCT(--(FT$3:FT$9-$KP$3:$KP$9)^2)^0.5</f>
        <v>0</v>
      </c>
      <c r="FU14" s="1">
        <f>SUMPRODUCT(--(FU$3:FU$9-$KQ$3:$KQ$9)^2)^0.5</f>
        <v>0</v>
      </c>
      <c r="FV14" s="1"/>
      <c r="FW14" s="1">
        <f>SUMPRODUCT(--(FW$3:FW$9-$KR$3:$KR$9)^2)^0.5</f>
        <v>0</v>
      </c>
      <c r="FX14" s="1">
        <f>SUMPRODUCT(--(FX$3:FX$9-$KS$3:$KS$9)^2)^0.5</f>
        <v>0</v>
      </c>
      <c r="FY14" s="1">
        <f>SUMPRODUCT(--(FY$3:FY$9-$KT$3:$KT$9)^2)^0.5</f>
        <v>0</v>
      </c>
      <c r="FZ14" s="1">
        <f>SUMPRODUCT(--(FZ$3:FZ$9-$KD$3:$KD$9)^2)^0.5</f>
        <v>0</v>
      </c>
      <c r="GA14" s="1">
        <f>SUMPRODUCT(--(GA$3:GA$9-$KE$3:$KE$9)^2)^0.5</f>
        <v>0</v>
      </c>
      <c r="GB14" s="1">
        <f>SUMPRODUCT(--(GB$3:GB$9-$KF$3:$KF$9)^2)^0.5</f>
        <v>0</v>
      </c>
      <c r="GC14" s="1">
        <f>SUMPRODUCT(--(GC$3:GC$9-$KG$3:$KG$9)^2)^0.5</f>
        <v>0</v>
      </c>
      <c r="GD14" s="1">
        <f>SUMPRODUCT(--(GD$3:GD$9-$KH$3:$KH$9)^2)^0.5</f>
        <v>0</v>
      </c>
      <c r="GE14" s="1">
        <f>SUMPRODUCT(--(GE$3:GE$9-$KI$3:$KI$9)^2)^0.5</f>
        <v>0</v>
      </c>
      <c r="GF14" s="1">
        <f>SUMPRODUCT(--(GF$3:GF$9-$KJ$3:$KJ$9)^2)^0.5</f>
        <v>0</v>
      </c>
      <c r="GG14" s="1">
        <f>SUMPRODUCT(--(GG$3:GG$9-$KK$3:$KK$9)^2)^0.5</f>
        <v>0</v>
      </c>
      <c r="GH14" s="1">
        <f>SUMPRODUCT(--(GH$3:GH$9-$KL$3:$KL$9)^2)^0.5</f>
        <v>0</v>
      </c>
      <c r="GI14" s="1">
        <f>SUMPRODUCT(--(GI$3:GI$9-$KM$3:$KM$9)^2)^0.5</f>
        <v>0</v>
      </c>
      <c r="GJ14" s="1">
        <f>SUMPRODUCT(--(GJ$3:GJ$9-$KN$3:$KN$9)^2)^0.5</f>
        <v>0</v>
      </c>
      <c r="GK14" s="1">
        <f>SUMPRODUCT(--(GK$3:GK$9-$KO$3:$KO$9)^2)^0.5</f>
        <v>0</v>
      </c>
      <c r="GL14" s="1">
        <f>SUMPRODUCT(--(GL$3:GL$9-$KP$3:$KP$9)^2)^0.5</f>
        <v>0</v>
      </c>
      <c r="GM14" s="1">
        <f>SUMPRODUCT(--(GM$3:GM$9-$KQ$3:$KQ$9)^2)^0.5</f>
        <v>0</v>
      </c>
      <c r="GN14" s="1"/>
      <c r="GO14" s="1">
        <f>SUMPRODUCT(--(GO$3:GO$9-$KR$3:$KR$9)^2)^0.5</f>
        <v>0</v>
      </c>
      <c r="GP14" s="1">
        <f>SUMPRODUCT(--(GP$3:GP$9-$KS$3:$KS$9)^2)^0.5</f>
        <v>0</v>
      </c>
      <c r="GQ14" s="1">
        <f>SUMPRODUCT(--(GQ$3:GQ$9-$KT$3:$KT$9)^2)^0.5</f>
        <v>0</v>
      </c>
      <c r="GR14" s="1">
        <f>SUMPRODUCT(--(GR$3:GR$9-$KD$3:$KD$9)^2)^0.5</f>
        <v>0</v>
      </c>
      <c r="GS14" s="1">
        <f>SUMPRODUCT(--(GS$3:GS$9-$KE$3:$KE$9)^2)^0.5</f>
        <v>0</v>
      </c>
      <c r="GT14" s="1">
        <f>SUMPRODUCT(--(GT$3:GT$9-$KF$3:$KF$9)^2)^0.5</f>
        <v>0</v>
      </c>
      <c r="GU14" s="1">
        <f>SUMPRODUCT(--(GU$3:GU$9-$KG$3:$KG$9)^2)^0.5</f>
        <v>0</v>
      </c>
      <c r="GV14" s="1">
        <f>SUMPRODUCT(--(GV$3:GV$9-$KH$3:$KH$9)^2)^0.5</f>
        <v>0</v>
      </c>
      <c r="GW14" s="1">
        <f>SUMPRODUCT(--(GW$3:GW$9-$KI$3:$KI$9)^2)^0.5</f>
        <v>0</v>
      </c>
      <c r="GX14" s="1">
        <f>SUMPRODUCT(--(GX$3:GX$9-$KJ$3:$KJ$9)^2)^0.5</f>
        <v>0</v>
      </c>
      <c r="GY14" s="1">
        <f>SUMPRODUCT(--(GY$3:GY$9-$KK$3:$KK$9)^2)^0.5</f>
        <v>0</v>
      </c>
      <c r="GZ14" s="1">
        <f>SUMPRODUCT(--(GZ$3:GZ$9-$KL$3:$KL$9)^2)^0.5</f>
        <v>0</v>
      </c>
      <c r="HA14" s="1">
        <f>SUMPRODUCT(--(HA$3:HA$9-$KM$3:$KM$9)^2)^0.5</f>
        <v>0</v>
      </c>
      <c r="HB14" s="1">
        <f>SUMPRODUCT(--(HB$3:HB$9-$KN$3:$KN$9)^2)^0.5</f>
        <v>0</v>
      </c>
      <c r="HC14" s="1">
        <f>SUMPRODUCT(--(HC$3:HC$9-$KO$3:$KO$9)^2)^0.5</f>
        <v>0</v>
      </c>
      <c r="HD14" s="1">
        <f>SUMPRODUCT(--(HD$3:HD$9-$KP$3:$KP$9)^2)^0.5</f>
        <v>0</v>
      </c>
      <c r="HE14" s="1">
        <f>SUMPRODUCT(--(HE$3:HE$9-$KQ$3:$KQ$9)^2)^0.5</f>
        <v>0</v>
      </c>
      <c r="HF14" s="1"/>
      <c r="HG14" s="1">
        <f>SUMPRODUCT(--(HG$3:HG$9-$KR$3:$KR$9)^2)^0.5</f>
        <v>0</v>
      </c>
      <c r="HH14" s="1">
        <f>SUMPRODUCT(--(HH$3:HH$9-$KS$3:$KS$9)^2)^0.5</f>
        <v>0</v>
      </c>
      <c r="HI14" s="1">
        <f>SUMPRODUCT(--(HI$3:HI$9-$KT$3:$KT$9)^2)^0.5</f>
        <v>0</v>
      </c>
      <c r="HJ14" s="1">
        <f>SUMPRODUCT(--(HJ$3:HJ$9-$KD$3:$KD$9)^2)^0.5</f>
        <v>0</v>
      </c>
      <c r="HK14" s="1">
        <f>SUMPRODUCT(--(HK$3:HK$9-$KE$3:$KE$9)^2)^0.5</f>
        <v>0</v>
      </c>
      <c r="HL14" s="1">
        <f>SUMPRODUCT(--(HL$3:HL$9-$KF$3:$KF$9)^2)^0.5</f>
        <v>0</v>
      </c>
      <c r="HM14" s="1">
        <f>SUMPRODUCT(--(HM$3:HM$9-$KG$3:$KG$9)^2)^0.5</f>
        <v>0</v>
      </c>
      <c r="HN14" s="1">
        <f>SUMPRODUCT(--(HN$3:HN$9-$KH$3:$KH$9)^2)^0.5</f>
        <v>0</v>
      </c>
      <c r="HO14" s="1">
        <f>SUMPRODUCT(--(HO$3:HO$9-$KI$3:$KI$9)^2)^0.5</f>
        <v>0</v>
      </c>
      <c r="HP14" s="1">
        <f>SUMPRODUCT(--(HP$3:HP$9-$KJ$3:$KJ$9)^2)^0.5</f>
        <v>0</v>
      </c>
      <c r="HQ14" s="1">
        <f>SUMPRODUCT(--(HQ$3:HQ$9-$KK$3:$KK$9)^2)^0.5</f>
        <v>0</v>
      </c>
      <c r="HR14" s="1">
        <f>SUMPRODUCT(--(HR$3:HR$9-$KL$3:$KL$9)^2)^0.5</f>
        <v>0</v>
      </c>
      <c r="HS14" s="1">
        <f>SUMPRODUCT(--(HS$3:HS$9-$KM$3:$KM$9)^2)^0.5</f>
        <v>0</v>
      </c>
      <c r="HT14" s="1">
        <f>SUMPRODUCT(--(HT$3:HT$9-$KN$3:$KN$9)^2)^0.5</f>
        <v>0</v>
      </c>
      <c r="HU14" s="1">
        <f>SUMPRODUCT(--(HU$3:HU$9-$KO$3:$KO$9)^2)^0.5</f>
        <v>0</v>
      </c>
      <c r="HV14" s="1">
        <f>SUMPRODUCT(--(HV$3:HV$9-$KP$3:$KP$9)^2)^0.5</f>
        <v>0</v>
      </c>
      <c r="HW14" s="1">
        <f>SUMPRODUCT(--(HW$3:HW$9-$KQ$3:$KQ$9)^2)^0.5</f>
        <v>0</v>
      </c>
      <c r="HX14" s="1"/>
      <c r="HY14" s="1">
        <f>SUMPRODUCT(--(HY$3:HY$9-$KR$3:$KR$9)^2)^0.5</f>
        <v>0</v>
      </c>
      <c r="HZ14" s="1">
        <f>SUMPRODUCT(--(HZ$3:HZ$9-$KS$3:$KS$9)^2)^0.5</f>
        <v>0</v>
      </c>
      <c r="IA14" s="1">
        <f>SUMPRODUCT(--(IA$3:IA$9-$KT$3:$KT$9)^2)^0.5</f>
        <v>0</v>
      </c>
      <c r="IB14" s="1">
        <f>SUMPRODUCT(--(IB$3:IB$9-$KD$3:$KD$9)^2)^0.5</f>
        <v>0</v>
      </c>
      <c r="IC14" s="1">
        <f>SUMPRODUCT(--(IC$3:IC$9-$KE$3:$KE$9)^2)^0.5</f>
        <v>0</v>
      </c>
      <c r="ID14" s="1">
        <f>SUMPRODUCT(--(ID$3:ID$9-$KF$3:$KF$9)^2)^0.5</f>
        <v>0</v>
      </c>
      <c r="IE14" s="1">
        <f>SUMPRODUCT(--(IE$3:IE$9-$KG$3:$KG$9)^2)^0.5</f>
        <v>0</v>
      </c>
      <c r="IF14" s="1">
        <f>SUMPRODUCT(--(IF$3:IF$9-$KH$3:$KH$9)^2)^0.5</f>
        <v>0</v>
      </c>
      <c r="IG14" s="1">
        <f>SUMPRODUCT(--(IG$3:IG$9-$KI$3:$KI$9)^2)^0.5</f>
        <v>0</v>
      </c>
      <c r="IH14" s="1">
        <f>SUMPRODUCT(--(IH$3:IH$9-$KJ$3:$KJ$9)^2)^0.5</f>
        <v>0</v>
      </c>
      <c r="II14" s="1">
        <f>SUMPRODUCT(--(II$3:II$9-$KK$3:$KK$9)^2)^0.5</f>
        <v>0</v>
      </c>
      <c r="IJ14" s="1">
        <f>SUMPRODUCT(--(IJ$3:IJ$9-$KL$3:$KL$9)^2)^0.5</f>
        <v>0</v>
      </c>
      <c r="IK14" s="1">
        <f>SUMPRODUCT(--(IK$3:IK$9-$KM$3:$KM$9)^2)^0.5</f>
        <v>0</v>
      </c>
      <c r="IL14" s="1">
        <f>SUMPRODUCT(--(IL$3:IL$9-$KN$3:$KN$9)^2)^0.5</f>
        <v>0</v>
      </c>
      <c r="IM14" s="1">
        <f>SUMPRODUCT(--(IM$3:IM$9-$KO$3:$KO$9)^2)^0.5</f>
        <v>0</v>
      </c>
      <c r="IN14" s="1">
        <f>SUMPRODUCT(--(IN$3:IN$9-$KP$3:$KP$9)^2)^0.5</f>
        <v>0</v>
      </c>
      <c r="IO14" s="1">
        <f>SUMPRODUCT(--(IO$3:IO$9-$KQ$3:$KQ$9)^2)^0.5</f>
        <v>0</v>
      </c>
      <c r="IP14" s="1"/>
      <c r="IQ14" s="1">
        <f>SUMPRODUCT(--(IQ$3:IQ$9-$KR$3:$KR$9)^2)^0.5</f>
        <v>0</v>
      </c>
      <c r="IR14" s="1">
        <f>SUMPRODUCT(--(IR$3:IR$9-$KS$3:$KS$9)^2)^0.5</f>
        <v>0</v>
      </c>
      <c r="IS14" s="1">
        <f>SUMPRODUCT(--(IS$3:IS$9-$KT$3:$KT$9)^2)^0.5</f>
        <v>0</v>
      </c>
      <c r="IT14" s="1">
        <f>SUMPRODUCT(--(IT$3:IT$9-$KD$3:$KD$9)^2)^0.5</f>
        <v>0</v>
      </c>
      <c r="IU14" s="1">
        <f>SUMPRODUCT(--(IU$3:IU$9-$KE$3:$KE$9)^2)^0.5</f>
        <v>0</v>
      </c>
      <c r="IV14" s="1">
        <f>SUMPRODUCT(--(IV$3:IV$9-$KF$3:$KF$9)^2)^0.5</f>
        <v>0</v>
      </c>
      <c r="IW14" s="1">
        <f>SUMPRODUCT(--(IW$3:IW$9-$KG$3:$KG$9)^2)^0.5</f>
        <v>0</v>
      </c>
      <c r="IX14" s="1">
        <f>SUMPRODUCT(--(IX$3:IX$9-$KH$3:$KH$9)^2)^0.5</f>
        <v>0</v>
      </c>
      <c r="IY14" s="1">
        <f>SUMPRODUCT(--(IY$3:IY$9-$KI$3:$KI$9)^2)^0.5</f>
        <v>0</v>
      </c>
      <c r="IZ14" s="1">
        <f>SUMPRODUCT(--(IZ$3:IZ$9-$KJ$3:$KJ$9)^2)^0.5</f>
        <v>0</v>
      </c>
      <c r="JA14" s="1">
        <f>SUMPRODUCT(--(JA$3:JA$9-$KK$3:$KK$9)^2)^0.5</f>
        <v>0</v>
      </c>
      <c r="JB14" s="1">
        <f>SUMPRODUCT(--(JB$3:JB$9-$KL$3:$KL$9)^2)^0.5</f>
        <v>0</v>
      </c>
      <c r="JC14" s="1">
        <f>SUMPRODUCT(--(JC$3:JC$9-$KM$3:$KM$9)^2)^0.5</f>
        <v>0</v>
      </c>
      <c r="JD14" s="1">
        <f>SUMPRODUCT(--(JD$3:JD$9-$KN$3:$KN$9)^2)^0.5</f>
        <v>0</v>
      </c>
      <c r="JE14" s="1">
        <f>SUMPRODUCT(--(JE$3:JE$9-$KO$3:$KO$9)^2)^0.5</f>
        <v>0</v>
      </c>
      <c r="JF14" s="1">
        <f>SUMPRODUCT(--(JF$3:JF$9-$KP$3:$KP$9)^2)^0.5</f>
        <v>0</v>
      </c>
      <c r="JG14" s="1">
        <f>SUMPRODUCT(--(JG$3:JG$9-$KQ$3:$KQ$9)^2)^0.5</f>
        <v>0</v>
      </c>
      <c r="JH14" s="1"/>
      <c r="JI14" s="1">
        <f>SUMPRODUCT(--(JI$3:JI$9-$KR$3:$KR$9)^2)^0.5</f>
        <v>0</v>
      </c>
      <c r="JJ14" s="1">
        <f>SUMPRODUCT(--(JJ$3:JJ$9-$KS$3:$KS$9)^2)^0.5</f>
        <v>0</v>
      </c>
      <c r="JK14" s="1">
        <f>SUMPRODUCT(--(JK$3:JK$9-$KT$3:$KT$9)^2)^0.5</f>
        <v>0</v>
      </c>
      <c r="JL14" s="1">
        <f>SUMPRODUCT(--(JL$3:JL$9-$KD$3:$KD$9)^2)^0.5</f>
        <v>0</v>
      </c>
      <c r="JM14" s="1">
        <f>SUMPRODUCT(--(JM$3:JM$9-$KE$3:$KE$9)^2)^0.5</f>
        <v>0</v>
      </c>
      <c r="JN14" s="1">
        <f>SUMPRODUCT(--(JN$3:JN$9-$KF$3:$KF$9)^2)^0.5</f>
        <v>0</v>
      </c>
      <c r="JO14" s="1">
        <f>SUMPRODUCT(--(JO$3:JO$9-$KG$3:$KG$9)^2)^0.5</f>
        <v>0</v>
      </c>
      <c r="JP14" s="1">
        <f>SUMPRODUCT(--(JP$3:JP$9-$KH$3:$KH$9)^2)^0.5</f>
        <v>0</v>
      </c>
      <c r="JQ14" s="1">
        <f>SUMPRODUCT(--(JQ$3:JQ$9-$KI$3:$KI$9)^2)^0.5</f>
        <v>0</v>
      </c>
      <c r="JR14" s="1">
        <f>SUMPRODUCT(--(JR$3:JR$9-$KJ$3:$KJ$9)^2)^0.5</f>
        <v>0</v>
      </c>
      <c r="JS14" s="1">
        <f>SUMPRODUCT(--(JS$3:JS$9-$KK$3:$KK$9)^2)^0.5</f>
        <v>0</v>
      </c>
      <c r="JT14" s="1">
        <f>SUMPRODUCT(--(JT$3:JT$9-$KL$3:$KL$9)^2)^0.5</f>
        <v>0</v>
      </c>
      <c r="JU14" s="1">
        <f>SUMPRODUCT(--(JU$3:JU$9-$KM$3:$KM$9)^2)^0.5</f>
        <v>0</v>
      </c>
      <c r="JV14" s="1">
        <f>SUMPRODUCT(--(JV$3:JV$9-$KN$3:$KN$9)^2)^0.5</f>
        <v>0</v>
      </c>
      <c r="JW14" s="1">
        <f>SUMPRODUCT(--(JW$3:JW$9-$KO$3:$KO$9)^2)^0.5</f>
        <v>0</v>
      </c>
      <c r="JX14" s="1">
        <f>SUMPRODUCT(--(JX$3:JX$9-$KP$3:$KP$9)^2)^0.5</f>
        <v>0</v>
      </c>
      <c r="JY14" s="1">
        <f>SUMPRODUCT(--(JY$3:JY$9-$KQ$3:$KQ$9)^2)^0.5</f>
        <v>0</v>
      </c>
      <c r="JZ14" s="1"/>
      <c r="KA14" s="1">
        <f>SUMPRODUCT(--(KA$3:KA$9-$KR$3:$KR$9)^2)^0.5</f>
        <v>0</v>
      </c>
      <c r="KB14" s="1">
        <f>SUMPRODUCT(--(KB$3:KB$9-$KS$3:$KS$9)^2)^0.5</f>
        <v>0</v>
      </c>
      <c r="KC14" s="1">
        <f>SUMPRODUCT(--(KC$3:KC$9-$KT$3:$KT$9)^2)^0.5</f>
        <v>0</v>
      </c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</row>
    <row r="15" spans="1:340">
      <c r="A15" s="1" t="s">
        <v>11</v>
      </c>
      <c r="B15" s="1">
        <f>SUMPRODUCT(NOT(ISBLANK(B$3:B$9))*(B$3:B$9=$KD$3:$KD$9))</f>
        <v>0</v>
      </c>
      <c r="C15" s="1">
        <f>SUMPRODUCT(NOT(ISBLANK(C$3:C$9))*(C$3:C$9=$KE$3:$KE$9))</f>
        <v>0</v>
      </c>
      <c r="D15" s="1">
        <f>SUMPRODUCT(NOT(ISBLANK(D$3:D$9))*(D$3:D$9=$KF$3:$KF$9))</f>
        <v>0</v>
      </c>
      <c r="E15" s="1">
        <f>SUMPRODUCT(NOT(ISBLANK(E$3:E$9))*(E$3:E$9=$KG$3:$KG$9))</f>
        <v>0</v>
      </c>
      <c r="F15" s="1">
        <f>SUMPRODUCT(NOT(ISBLANK(F$3:F$9))*(F$3:F$9=$KH$3:$KH$9))</f>
        <v>0</v>
      </c>
      <c r="G15" s="1">
        <f>SUMPRODUCT(NOT(ISBLANK(G$3:G$9))*(G$3:G$9=$KI$3:$KI$9))</f>
        <v>0</v>
      </c>
      <c r="H15" s="1">
        <f>SUMPRODUCT(NOT(ISBLANK(H$3:H$9))*(H$3:H$9=$KJ$3:$KJ$9))</f>
        <v>0</v>
      </c>
      <c r="I15" s="1">
        <f>SUMPRODUCT(NOT(ISBLANK(I$3:I$9))*(I$3:I$9=$KK$3:$KK$9))</f>
        <v>0</v>
      </c>
      <c r="J15" s="1">
        <f>SUMPRODUCT(NOT(ISBLANK(J$3:J$9))*(J$3:J$9=$KL$3:$KL$9))</f>
        <v>0</v>
      </c>
      <c r="K15" s="1">
        <f>SUMPRODUCT(NOT(ISBLANK(K$3:K$9))*(K$3:K$9=$KM$3:$KM$9))</f>
        <v>0</v>
      </c>
      <c r="L15" s="1">
        <f>SUMPRODUCT(NOT(ISBLANK(L$3:L$9))*(L$3:L$9=$KN$3:$KN$9))</f>
        <v>0</v>
      </c>
      <c r="M15" s="1">
        <f>SUMPRODUCT(NOT(ISBLANK(M$3:M$9))*(M$3:M$9=$KO$3:$KO$9))</f>
        <v>0</v>
      </c>
      <c r="N15" s="1">
        <f>SUMPRODUCT(NOT(ISBLANK(N$3:N$9))*(N$3:N$9=$KP$3:$KP$9))</f>
        <v>0</v>
      </c>
      <c r="O15" s="1">
        <f>SUMPRODUCT(NOT(ISBLANK(O$3:O$9))*(O$3:O$9=$KQ$3:$KQ$9))</f>
        <v>0</v>
      </c>
      <c r="P15" s="1"/>
      <c r="Q15" s="1">
        <f>SUMPRODUCT(NOT(ISBLANK(Q$3:Q$9))*(Q$3:Q$9=$KR$3:$KR$9))</f>
        <v>0</v>
      </c>
      <c r="R15" s="1">
        <f>SUMPRODUCT(NOT(ISBLANK(R$3:R$9))*(R$3:R$9=$KS$3:$KS$9))</f>
        <v>0</v>
      </c>
      <c r="S15" s="1">
        <f>SUMPRODUCT(NOT(ISBLANK(S$3:S$9))*(S$3:S$9=$KT$3:$KT$9))</f>
        <v>0</v>
      </c>
      <c r="T15" s="1">
        <f>SUMPRODUCT(NOT(ISBLANK(T$3:T$9))*(T$3:T$9=$KD$3:$KD$9))</f>
        <v>0</v>
      </c>
      <c r="U15" s="1">
        <f>SUMPRODUCT(NOT(ISBLANK(U$3:U$9))*(U$3:U$9=$KE$3:$KE$9))</f>
        <v>0</v>
      </c>
      <c r="V15" s="1">
        <f>SUMPRODUCT(NOT(ISBLANK(V$3:V$9))*(V$3:V$9=$KF$3:$KF$9))</f>
        <v>0</v>
      </c>
      <c r="W15" s="1">
        <f>SUMPRODUCT(NOT(ISBLANK(W$3:W$9))*(W$3:W$9=$KG$3:$KG$9))</f>
        <v>0</v>
      </c>
      <c r="X15" s="1">
        <f>SUMPRODUCT(NOT(ISBLANK(X$3:X$9))*(X$3:X$9=$KH$3:$KH$9))</f>
        <v>0</v>
      </c>
      <c r="Y15" s="1">
        <f>SUMPRODUCT(NOT(ISBLANK(Y$3:Y$9))*(Y$3:Y$9=$KI$3:$KI$9))</f>
        <v>0</v>
      </c>
      <c r="Z15" s="1">
        <f>SUMPRODUCT(NOT(ISBLANK(Z$3:Z$9))*(Z$3:Z$9=$KJ$3:$KJ$9))</f>
        <v>0</v>
      </c>
      <c r="AA15" s="1">
        <f>SUMPRODUCT(NOT(ISBLANK(AA$3:AA$9))*(AA$3:AA$9=$KK$3:$KK$9))</f>
        <v>0</v>
      </c>
      <c r="AB15" s="1">
        <f>SUMPRODUCT(NOT(ISBLANK(AB$3:AB$9))*(AB$3:AB$9=$KL$3:$KL$9))</f>
        <v>0</v>
      </c>
      <c r="AC15" s="1">
        <f>SUMPRODUCT(NOT(ISBLANK(AC$3:AC$9))*(AC$3:AC$9=$KM$3:$KM$9))</f>
        <v>0</v>
      </c>
      <c r="AD15" s="1">
        <f>SUMPRODUCT(NOT(ISBLANK(AD$3:AD$9))*(AD$3:AD$9=$KN$3:$KN$9))</f>
        <v>0</v>
      </c>
      <c r="AE15" s="1">
        <f>SUMPRODUCT(NOT(ISBLANK(AE$3:AE$9))*(AE$3:AE$9=$KO$3:$KO$9))</f>
        <v>0</v>
      </c>
      <c r="AF15" s="1">
        <f>SUMPRODUCT(NOT(ISBLANK(AF$3:AF$9))*(AF$3:AF$9=$KP$3:$KP$9))</f>
        <v>0</v>
      </c>
      <c r="AG15" s="1">
        <f>SUMPRODUCT(NOT(ISBLANK(AG$3:AG$9))*(AG$3:AG$9=$KQ$3:$KQ$9))</f>
        <v>0</v>
      </c>
      <c r="AH15" s="1"/>
      <c r="AI15" s="1">
        <f>SUMPRODUCT(NOT(ISBLANK(AI$3:AI$9))*(AI$3:AI$9=$KR$3:$KR$9))</f>
        <v>0</v>
      </c>
      <c r="AJ15" s="1">
        <f>SUMPRODUCT(NOT(ISBLANK(AJ$3:AJ$9))*(AJ$3:AJ$9=$KS$3:$KS$9))</f>
        <v>0</v>
      </c>
      <c r="AK15" s="1">
        <f>SUMPRODUCT(NOT(ISBLANK(AK$3:AK$9))*(AK$3:AK$9=$KT$3:$KT$9))</f>
        <v>0</v>
      </c>
      <c r="AL15" s="1">
        <f>SUMPRODUCT(NOT(ISBLANK(AL$3:AL$9))*(AL$3:AL$9=$KD$3:$KD$9))</f>
        <v>0</v>
      </c>
      <c r="AM15" s="1">
        <f>SUMPRODUCT(NOT(ISBLANK(AM$3:AM$9))*(AM$3:AM$9=$KE$3:$KE$9))</f>
        <v>0</v>
      </c>
      <c r="AN15" s="1">
        <f>SUMPRODUCT(NOT(ISBLANK(AN$3:AN$9))*(AN$3:AN$9=$KF$3:$KF$9))</f>
        <v>0</v>
      </c>
      <c r="AO15" s="1">
        <f>SUMPRODUCT(NOT(ISBLANK(AO$3:AO$9))*(AO$3:AO$9=$KG$3:$KG$9))</f>
        <v>0</v>
      </c>
      <c r="AP15" s="1">
        <f>SUMPRODUCT(NOT(ISBLANK(AP$3:AP$9))*(AP$3:AP$9=$KH$3:$KH$9))</f>
        <v>0</v>
      </c>
      <c r="AQ15" s="1">
        <f>SUMPRODUCT(NOT(ISBLANK(AQ$3:AQ$9))*(AQ$3:AQ$9=$KI$3:$KI$9))</f>
        <v>0</v>
      </c>
      <c r="AR15" s="1">
        <f>SUMPRODUCT(NOT(ISBLANK(AR$3:AR$9))*(AR$3:AR$9=$KJ$3:$KJ$9))</f>
        <v>0</v>
      </c>
      <c r="AS15" s="1">
        <f>SUMPRODUCT(NOT(ISBLANK(AS$3:AS$9))*(AS$3:AS$9=$KK$3:$KK$9))</f>
        <v>0</v>
      </c>
      <c r="AT15" s="1">
        <f>SUMPRODUCT(NOT(ISBLANK(AT$3:AT$9))*(AT$3:AT$9=$KL$3:$KL$9))</f>
        <v>0</v>
      </c>
      <c r="AU15" s="1">
        <f>SUMPRODUCT(NOT(ISBLANK(AU$3:AU$9))*(AU$3:AU$9=$KM$3:$KM$9))</f>
        <v>0</v>
      </c>
      <c r="AV15" s="1">
        <f>SUMPRODUCT(NOT(ISBLANK(AV$3:AV$9))*(AV$3:AV$9=$KN$3:$KN$9))</f>
        <v>0</v>
      </c>
      <c r="AW15" s="1">
        <f>SUMPRODUCT(NOT(ISBLANK(AW$3:AW$9))*(AW$3:AW$9=$KO$3:$KO$9))</f>
        <v>0</v>
      </c>
      <c r="AX15" s="1">
        <f>SUMPRODUCT(NOT(ISBLANK(AX$3:AX$9))*(AX$3:AX$9=$KP$3:$KP$9))</f>
        <v>0</v>
      </c>
      <c r="AY15" s="1">
        <f>SUMPRODUCT(NOT(ISBLANK(AY$3:AY$9))*(AY$3:AY$9=$KQ$3:$KQ$9))</f>
        <v>0</v>
      </c>
      <c r="AZ15" s="1"/>
      <c r="BA15" s="1">
        <f>SUMPRODUCT(NOT(ISBLANK(BA$3:BA$9))*(BA$3:BA$9=$KR$3:$KR$9))</f>
        <v>0</v>
      </c>
      <c r="BB15" s="1">
        <f>SUMPRODUCT(NOT(ISBLANK(BB$3:BB$9))*(BB$3:BB$9=$KS$3:$KS$9))</f>
        <v>0</v>
      </c>
      <c r="BC15" s="1">
        <f>SUMPRODUCT(NOT(ISBLANK(BC$3:BC$9))*(BC$3:BC$9=$KT$3:$KT$9))</f>
        <v>0</v>
      </c>
      <c r="BD15" s="1">
        <f>SUMPRODUCT(NOT(ISBLANK(BD$3:BD$9))*(BD$3:BD$9=$KD$3:$KD$9))</f>
        <v>0</v>
      </c>
      <c r="BE15" s="1">
        <f>SUMPRODUCT(NOT(ISBLANK(BE$3:BE$9))*(BE$3:BE$9=$KE$3:$KE$9))</f>
        <v>0</v>
      </c>
      <c r="BF15" s="1">
        <f>SUMPRODUCT(NOT(ISBLANK(BF$3:BF$9))*(BF$3:BF$9=$KF$3:$KF$9))</f>
        <v>0</v>
      </c>
      <c r="BG15" s="1">
        <f>SUMPRODUCT(NOT(ISBLANK(BG$3:BG$9))*(BG$3:BG$9=$KG$3:$KG$9))</f>
        <v>0</v>
      </c>
      <c r="BH15" s="1">
        <f>SUMPRODUCT(NOT(ISBLANK(BH$3:BH$9))*(BH$3:BH$9=$KH$3:$KH$9))</f>
        <v>0</v>
      </c>
      <c r="BI15" s="1">
        <f>SUMPRODUCT(NOT(ISBLANK(BI$3:BI$9))*(BI$3:BI$9=$KI$3:$KI$9))</f>
        <v>0</v>
      </c>
      <c r="BJ15" s="1">
        <f>SUMPRODUCT(NOT(ISBLANK(BJ$3:BJ$9))*(BJ$3:BJ$9=$KJ$3:$KJ$9))</f>
        <v>0</v>
      </c>
      <c r="BK15" s="1">
        <f>SUMPRODUCT(NOT(ISBLANK(BK$3:BK$9))*(BK$3:BK$9=$KK$3:$KK$9))</f>
        <v>0</v>
      </c>
      <c r="BL15" s="1">
        <f>SUMPRODUCT(NOT(ISBLANK(BL$3:BL$9))*(BL$3:BL$9=$KL$3:$KL$9))</f>
        <v>0</v>
      </c>
      <c r="BM15" s="1">
        <f>SUMPRODUCT(NOT(ISBLANK(BM$3:BM$9))*(BM$3:BM$9=$KM$3:$KM$9))</f>
        <v>0</v>
      </c>
      <c r="BN15" s="1">
        <f>SUMPRODUCT(NOT(ISBLANK(BN$3:BN$9))*(BN$3:BN$9=$KN$3:$KN$9))</f>
        <v>0</v>
      </c>
      <c r="BO15" s="1">
        <f>SUMPRODUCT(NOT(ISBLANK(BO$3:BO$9))*(BO$3:BO$9=$KO$3:$KO$9))</f>
        <v>0</v>
      </c>
      <c r="BP15" s="1">
        <f>SUMPRODUCT(NOT(ISBLANK(BP$3:BP$9))*(BP$3:BP$9=$KP$3:$KP$9))</f>
        <v>0</v>
      </c>
      <c r="BQ15" s="1">
        <f>SUMPRODUCT(NOT(ISBLANK(BQ$3:BQ$9))*(BQ$3:BQ$9=$KQ$3:$KQ$9))</f>
        <v>0</v>
      </c>
      <c r="BR15" s="1"/>
      <c r="BS15" s="1">
        <f>SUMPRODUCT(NOT(ISBLANK(BS$3:BS$9))*(BS$3:BS$9=$KR$3:$KR$9))</f>
        <v>0</v>
      </c>
      <c r="BT15" s="1">
        <f>SUMPRODUCT(NOT(ISBLANK(BT$3:BT$9))*(BT$3:BT$9=$KS$3:$KS$9))</f>
        <v>0</v>
      </c>
      <c r="BU15" s="1">
        <f>SUMPRODUCT(NOT(ISBLANK(BU$3:BU$9))*(BU$3:BU$9=$KT$3:$KT$9))</f>
        <v>0</v>
      </c>
      <c r="BV15" s="1">
        <f>SUMPRODUCT(NOT(ISBLANK(BV$3:BV$9))*(BV$3:BV$9=$KD$3:$KD$9))</f>
        <v>0</v>
      </c>
      <c r="BW15" s="1">
        <f>SUMPRODUCT(NOT(ISBLANK(BW$3:BW$9))*(BW$3:BW$9=$KE$3:$KE$9))</f>
        <v>0</v>
      </c>
      <c r="BX15" s="1">
        <f>SUMPRODUCT(NOT(ISBLANK(BX$3:BX$9))*(BX$3:BX$9=$KF$3:$KF$9))</f>
        <v>0</v>
      </c>
      <c r="BY15" s="1">
        <f>SUMPRODUCT(NOT(ISBLANK(BY$3:BY$9))*(BY$3:BY$9=$KG$3:$KG$9))</f>
        <v>0</v>
      </c>
      <c r="BZ15" s="1">
        <f>SUMPRODUCT(NOT(ISBLANK(BZ$3:BZ$9))*(BZ$3:BZ$9=$KH$3:$KH$9))</f>
        <v>0</v>
      </c>
      <c r="CA15" s="1">
        <f>SUMPRODUCT(NOT(ISBLANK(CA$3:CA$9))*(CA$3:CA$9=$KI$3:$KI$9))</f>
        <v>0</v>
      </c>
      <c r="CB15" s="1">
        <f>SUMPRODUCT(NOT(ISBLANK(CB$3:CB$9))*(CB$3:CB$9=$KJ$3:$KJ$9))</f>
        <v>0</v>
      </c>
      <c r="CC15" s="1">
        <f>SUMPRODUCT(NOT(ISBLANK(CC$3:CC$9))*(CC$3:CC$9=$KK$3:$KK$9))</f>
        <v>0</v>
      </c>
      <c r="CD15" s="1">
        <f>SUMPRODUCT(NOT(ISBLANK(CD$3:CD$9))*(CD$3:CD$9=$KL$3:$KL$9))</f>
        <v>0</v>
      </c>
      <c r="CE15" s="1">
        <f>SUMPRODUCT(NOT(ISBLANK(CE$3:CE$9))*(CE$3:CE$9=$KM$3:$KM$9))</f>
        <v>0</v>
      </c>
      <c r="CF15" s="1">
        <f>SUMPRODUCT(NOT(ISBLANK(CF$3:CF$9))*(CF$3:CF$9=$KN$3:$KN$9))</f>
        <v>0</v>
      </c>
      <c r="CG15" s="1">
        <f>SUMPRODUCT(NOT(ISBLANK(CG$3:CG$9))*(CG$3:CG$9=$KO$3:$KO$9))</f>
        <v>0</v>
      </c>
      <c r="CH15" s="1">
        <f>SUMPRODUCT(NOT(ISBLANK(CH$3:CH$9))*(CH$3:CH$9=$KP$3:$KP$9))</f>
        <v>0</v>
      </c>
      <c r="CI15" s="1">
        <f>SUMPRODUCT(NOT(ISBLANK(CI$3:CI$9))*(CI$3:CI$9=$KQ$3:$KQ$9))</f>
        <v>0</v>
      </c>
      <c r="CJ15" s="1"/>
      <c r="CK15" s="1">
        <f>SUMPRODUCT(NOT(ISBLANK(CK$3:CK$9))*(CK$3:CK$9=$KR$3:$KR$9))</f>
        <v>0</v>
      </c>
      <c r="CL15" s="1">
        <f>SUMPRODUCT(NOT(ISBLANK(CL$3:CL$9))*(CL$3:CL$9=$KS$3:$KS$9))</f>
        <v>0</v>
      </c>
      <c r="CM15" s="1">
        <f>SUMPRODUCT(NOT(ISBLANK(CM$3:CM$9))*(CM$3:CM$9=$KT$3:$KT$9))</f>
        <v>0</v>
      </c>
      <c r="CN15" s="1">
        <f>SUMPRODUCT(NOT(ISBLANK(CN$3:CN$9))*(CN$3:CN$9=$KD$3:$KD$9))</f>
        <v>0</v>
      </c>
      <c r="CO15" s="1">
        <f>SUMPRODUCT(NOT(ISBLANK(CO$3:CO$9))*(CO$3:CO$9=$KE$3:$KE$9))</f>
        <v>0</v>
      </c>
      <c r="CP15" s="1">
        <f>SUMPRODUCT(NOT(ISBLANK(CP$3:CP$9))*(CP$3:CP$9=$KF$3:$KF$9))</f>
        <v>0</v>
      </c>
      <c r="CQ15" s="1">
        <f>SUMPRODUCT(NOT(ISBLANK(CQ$3:CQ$9))*(CQ$3:CQ$9=$KG$3:$KG$9))</f>
        <v>0</v>
      </c>
      <c r="CR15" s="1">
        <f>SUMPRODUCT(NOT(ISBLANK(CR$3:CR$9))*(CR$3:CR$9=$KH$3:$KH$9))</f>
        <v>0</v>
      </c>
      <c r="CS15" s="1">
        <f>SUMPRODUCT(NOT(ISBLANK(CS$3:CS$9))*(CS$3:CS$9=$KI$3:$KI$9))</f>
        <v>0</v>
      </c>
      <c r="CT15" s="1">
        <f>SUMPRODUCT(NOT(ISBLANK(CT$3:CT$9))*(CT$3:CT$9=$KJ$3:$KJ$9))</f>
        <v>0</v>
      </c>
      <c r="CU15" s="1">
        <f>SUMPRODUCT(NOT(ISBLANK(CU$3:CU$9))*(CU$3:CU$9=$KK$3:$KK$9))</f>
        <v>0</v>
      </c>
      <c r="CV15" s="1">
        <f>SUMPRODUCT(NOT(ISBLANK(CV$3:CV$9))*(CV$3:CV$9=$KL$3:$KL$9))</f>
        <v>0</v>
      </c>
      <c r="CW15" s="1">
        <f>SUMPRODUCT(NOT(ISBLANK(CW$3:CW$9))*(CW$3:CW$9=$KM$3:$KM$9))</f>
        <v>0</v>
      </c>
      <c r="CX15" s="1">
        <f>SUMPRODUCT(NOT(ISBLANK(CX$3:CX$9))*(CX$3:CX$9=$KN$3:$KN$9))</f>
        <v>0</v>
      </c>
      <c r="CY15" s="1">
        <f>SUMPRODUCT(NOT(ISBLANK(CY$3:CY$9))*(CY$3:CY$9=$KO$3:$KO$9))</f>
        <v>0</v>
      </c>
      <c r="CZ15" s="1">
        <f>SUMPRODUCT(NOT(ISBLANK(CZ$3:CZ$9))*(CZ$3:CZ$9=$KP$3:$KP$9))</f>
        <v>0</v>
      </c>
      <c r="DA15" s="1">
        <f>SUMPRODUCT(NOT(ISBLANK(DA$3:DA$9))*(DA$3:DA$9=$KQ$3:$KQ$9))</f>
        <v>0</v>
      </c>
      <c r="DB15" s="1"/>
      <c r="DC15" s="1">
        <f>SUMPRODUCT(NOT(ISBLANK(DC$3:DC$9))*(DC$3:DC$9=$KR$3:$KR$9))</f>
        <v>0</v>
      </c>
      <c r="DD15" s="1">
        <f>SUMPRODUCT(NOT(ISBLANK(DD$3:DD$9))*(DD$3:DD$9=$KS$3:$KS$9))</f>
        <v>0</v>
      </c>
      <c r="DE15" s="1">
        <f>SUMPRODUCT(NOT(ISBLANK(DE$3:DE$9))*(DE$3:DE$9=$KT$3:$KT$9))</f>
        <v>0</v>
      </c>
      <c r="DF15" s="1">
        <f>SUMPRODUCT(NOT(ISBLANK(DF$3:DF$9))*(DF$3:DF$9=$KD$3:$KD$9))</f>
        <v>0</v>
      </c>
      <c r="DG15" s="1">
        <f>SUMPRODUCT(NOT(ISBLANK(DG$3:DG$9))*(DG$3:DG$9=$KE$3:$KE$9))</f>
        <v>0</v>
      </c>
      <c r="DH15" s="1">
        <f>SUMPRODUCT(NOT(ISBLANK(DH$3:DH$9))*(DH$3:DH$9=$KF$3:$KF$9))</f>
        <v>0</v>
      </c>
      <c r="DI15" s="1">
        <f>SUMPRODUCT(NOT(ISBLANK(DI$3:DI$9))*(DI$3:DI$9=$KG$3:$KG$9))</f>
        <v>0</v>
      </c>
      <c r="DJ15" s="1">
        <f>SUMPRODUCT(NOT(ISBLANK(DJ$3:DJ$9))*(DJ$3:DJ$9=$KH$3:$KH$9))</f>
        <v>0</v>
      </c>
      <c r="DK15" s="1">
        <f>SUMPRODUCT(NOT(ISBLANK(DK$3:DK$9))*(DK$3:DK$9=$KI$3:$KI$9))</f>
        <v>0</v>
      </c>
      <c r="DL15" s="1">
        <f>SUMPRODUCT(NOT(ISBLANK(DL$3:DL$9))*(DL$3:DL$9=$KJ$3:$KJ$9))</f>
        <v>0</v>
      </c>
      <c r="DM15" s="1">
        <f>SUMPRODUCT(NOT(ISBLANK(DM$3:DM$9))*(DM$3:DM$9=$KK$3:$KK$9))</f>
        <v>0</v>
      </c>
      <c r="DN15" s="1">
        <f>SUMPRODUCT(NOT(ISBLANK(DN$3:DN$9))*(DN$3:DN$9=$KL$3:$KL$9))</f>
        <v>0</v>
      </c>
      <c r="DO15" s="1">
        <f>SUMPRODUCT(NOT(ISBLANK(DO$3:DO$9))*(DO$3:DO$9=$KM$3:$KM$9))</f>
        <v>0</v>
      </c>
      <c r="DP15" s="1">
        <f>SUMPRODUCT(NOT(ISBLANK(DP$3:DP$9))*(DP$3:DP$9=$KN$3:$KN$9))</f>
        <v>0</v>
      </c>
      <c r="DQ15" s="1">
        <f>SUMPRODUCT(NOT(ISBLANK(DQ$3:DQ$9))*(DQ$3:DQ$9=$KO$3:$KO$9))</f>
        <v>0</v>
      </c>
      <c r="DR15" s="1">
        <f>SUMPRODUCT(NOT(ISBLANK(DR$3:DR$9))*(DR$3:DR$9=$KP$3:$KP$9))</f>
        <v>0</v>
      </c>
      <c r="DS15" s="1">
        <f>SUMPRODUCT(NOT(ISBLANK(DS$3:DS$9))*(DS$3:DS$9=$KQ$3:$KQ$9))</f>
        <v>0</v>
      </c>
      <c r="DT15" s="1"/>
      <c r="DU15" s="1">
        <f>SUMPRODUCT(NOT(ISBLANK(DU$3:DU$9))*(DU$3:DU$9=$KR$3:$KR$9))</f>
        <v>0</v>
      </c>
      <c r="DV15" s="1">
        <f>SUMPRODUCT(NOT(ISBLANK(DV$3:DV$9))*(DV$3:DV$9=$KS$3:$KS$9))</f>
        <v>0</v>
      </c>
      <c r="DW15" s="1">
        <f>SUMPRODUCT(NOT(ISBLANK(DW$3:DW$9))*(DW$3:DW$9=$KT$3:$KT$9))</f>
        <v>0</v>
      </c>
      <c r="DX15" s="1">
        <f>SUMPRODUCT(NOT(ISBLANK(DX$3:DX$9))*(DX$3:DX$9=$KD$3:$KD$9))</f>
        <v>0</v>
      </c>
      <c r="DY15" s="1">
        <f>SUMPRODUCT(NOT(ISBLANK(DY$3:DY$9))*(DY$3:DY$9=$KE$3:$KE$9))</f>
        <v>0</v>
      </c>
      <c r="DZ15" s="1">
        <f>SUMPRODUCT(NOT(ISBLANK(DZ$3:DZ$9))*(DZ$3:DZ$9=$KF$3:$KF$9))</f>
        <v>0</v>
      </c>
      <c r="EA15" s="1">
        <f>SUMPRODUCT(NOT(ISBLANK(EA$3:EA$9))*(EA$3:EA$9=$KG$3:$KG$9))</f>
        <v>0</v>
      </c>
      <c r="EB15" s="1">
        <f>SUMPRODUCT(NOT(ISBLANK(EB$3:EB$9))*(EB$3:EB$9=$KH$3:$KH$9))</f>
        <v>0</v>
      </c>
      <c r="EC15" s="1">
        <f>SUMPRODUCT(NOT(ISBLANK(EC$3:EC$9))*(EC$3:EC$9=$KI$3:$KI$9))</f>
        <v>0</v>
      </c>
      <c r="ED15" s="1">
        <f>SUMPRODUCT(NOT(ISBLANK(ED$3:ED$9))*(ED$3:ED$9=$KJ$3:$KJ$9))</f>
        <v>0</v>
      </c>
      <c r="EE15" s="1">
        <f>SUMPRODUCT(NOT(ISBLANK(EE$3:EE$9))*(EE$3:EE$9=$KK$3:$KK$9))</f>
        <v>0</v>
      </c>
      <c r="EF15" s="1">
        <f>SUMPRODUCT(NOT(ISBLANK(EF$3:EF$9))*(EF$3:EF$9=$KL$3:$KL$9))</f>
        <v>0</v>
      </c>
      <c r="EG15" s="1">
        <f>SUMPRODUCT(NOT(ISBLANK(EG$3:EG$9))*(EG$3:EG$9=$KM$3:$KM$9))</f>
        <v>0</v>
      </c>
      <c r="EH15" s="1">
        <f>SUMPRODUCT(NOT(ISBLANK(EH$3:EH$9))*(EH$3:EH$9=$KN$3:$KN$9))</f>
        <v>0</v>
      </c>
      <c r="EI15" s="1">
        <f>SUMPRODUCT(NOT(ISBLANK(EI$3:EI$9))*(EI$3:EI$9=$KO$3:$KO$9))</f>
        <v>0</v>
      </c>
      <c r="EJ15" s="1">
        <f>SUMPRODUCT(NOT(ISBLANK(EJ$3:EJ$9))*(EJ$3:EJ$9=$KP$3:$KP$9))</f>
        <v>0</v>
      </c>
      <c r="EK15" s="1">
        <f>SUMPRODUCT(NOT(ISBLANK(EK$3:EK$9))*(EK$3:EK$9=$KQ$3:$KQ$9))</f>
        <v>0</v>
      </c>
      <c r="EL15" s="1"/>
      <c r="EM15" s="1">
        <f>SUMPRODUCT(NOT(ISBLANK(EM$3:EM$9))*(EM$3:EM$9=$KR$3:$KR$9))</f>
        <v>0</v>
      </c>
      <c r="EN15" s="1">
        <f>SUMPRODUCT(NOT(ISBLANK(EN$3:EN$9))*(EN$3:EN$9=$KS$3:$KS$9))</f>
        <v>0</v>
      </c>
      <c r="EO15" s="1">
        <f>SUMPRODUCT(NOT(ISBLANK(EO$3:EO$9))*(EO$3:EO$9=$KT$3:$KT$9))</f>
        <v>0</v>
      </c>
      <c r="EP15" s="1">
        <f>SUMPRODUCT(NOT(ISBLANK(EP$3:EP$9))*(EP$3:EP$9=$KD$3:$KD$9))</f>
        <v>0</v>
      </c>
      <c r="EQ15" s="1">
        <f>SUMPRODUCT(NOT(ISBLANK(EQ$3:EQ$9))*(EQ$3:EQ$9=$KE$3:$KE$9))</f>
        <v>0</v>
      </c>
      <c r="ER15" s="1">
        <f>SUMPRODUCT(NOT(ISBLANK(ER$3:ER$9))*(ER$3:ER$9=$KF$3:$KF$9))</f>
        <v>0</v>
      </c>
      <c r="ES15" s="1">
        <f>SUMPRODUCT(NOT(ISBLANK(ES$3:ES$9))*(ES$3:ES$9=$KG$3:$KG$9))</f>
        <v>0</v>
      </c>
      <c r="ET15" s="1">
        <f>SUMPRODUCT(NOT(ISBLANK(ET$3:ET$9))*(ET$3:ET$9=$KH$3:$KH$9))</f>
        <v>0</v>
      </c>
      <c r="EU15" s="1">
        <f>SUMPRODUCT(NOT(ISBLANK(EU$3:EU$9))*(EU$3:EU$9=$KI$3:$KI$9))</f>
        <v>0</v>
      </c>
      <c r="EV15" s="1">
        <f>SUMPRODUCT(NOT(ISBLANK(EV$3:EV$9))*(EV$3:EV$9=$KJ$3:$KJ$9))</f>
        <v>0</v>
      </c>
      <c r="EW15" s="1">
        <f>SUMPRODUCT(NOT(ISBLANK(EW$3:EW$9))*(EW$3:EW$9=$KK$3:$KK$9))</f>
        <v>0</v>
      </c>
      <c r="EX15" s="1">
        <f>SUMPRODUCT(NOT(ISBLANK(EX$3:EX$9))*(EX$3:EX$9=$KL$3:$KL$9))</f>
        <v>0</v>
      </c>
      <c r="EY15" s="1">
        <f>SUMPRODUCT(NOT(ISBLANK(EY$3:EY$9))*(EY$3:EY$9=$KM$3:$KM$9))</f>
        <v>0</v>
      </c>
      <c r="EZ15" s="1">
        <f>SUMPRODUCT(NOT(ISBLANK(EZ$3:EZ$9))*(EZ$3:EZ$9=$KN$3:$KN$9))</f>
        <v>0</v>
      </c>
      <c r="FA15" s="1">
        <f>SUMPRODUCT(NOT(ISBLANK(FA$3:FA$9))*(FA$3:FA$9=$KO$3:$KO$9))</f>
        <v>0</v>
      </c>
      <c r="FB15" s="1">
        <f>SUMPRODUCT(NOT(ISBLANK(FB$3:FB$9))*(FB$3:FB$9=$KP$3:$KP$9))</f>
        <v>0</v>
      </c>
      <c r="FC15" s="1">
        <f>SUMPRODUCT(NOT(ISBLANK(FC$3:FC$9))*(FC$3:FC$9=$KQ$3:$KQ$9))</f>
        <v>0</v>
      </c>
      <c r="FD15" s="1"/>
      <c r="FE15" s="1">
        <f>SUMPRODUCT(NOT(ISBLANK(FE$3:FE$9))*(FE$3:FE$9=$KR$3:$KR$9))</f>
        <v>0</v>
      </c>
      <c r="FF15" s="1">
        <f>SUMPRODUCT(NOT(ISBLANK(FF$3:FF$9))*(FF$3:FF$9=$KS$3:$KS$9))</f>
        <v>0</v>
      </c>
      <c r="FG15" s="1">
        <f>SUMPRODUCT(NOT(ISBLANK(FG$3:FG$9))*(FG$3:FG$9=$KT$3:$KT$9))</f>
        <v>0</v>
      </c>
      <c r="FH15" s="1">
        <f>SUMPRODUCT(NOT(ISBLANK(FH$3:FH$9))*(FH$3:FH$9=$KD$3:$KD$9))</f>
        <v>0</v>
      </c>
      <c r="FI15" s="1">
        <f>SUMPRODUCT(NOT(ISBLANK(FI$3:FI$9))*(FI$3:FI$9=$KE$3:$KE$9))</f>
        <v>0</v>
      </c>
      <c r="FJ15" s="1">
        <f>SUMPRODUCT(NOT(ISBLANK(FJ$3:FJ$9))*(FJ$3:FJ$9=$KF$3:$KF$9))</f>
        <v>0</v>
      </c>
      <c r="FK15" s="1">
        <f>SUMPRODUCT(NOT(ISBLANK(FK$3:FK$9))*(FK$3:FK$9=$KG$3:$KG$9))</f>
        <v>0</v>
      </c>
      <c r="FL15" s="1">
        <f>SUMPRODUCT(NOT(ISBLANK(FL$3:FL$9))*(FL$3:FL$9=$KH$3:$KH$9))</f>
        <v>0</v>
      </c>
      <c r="FM15" s="1">
        <f>SUMPRODUCT(NOT(ISBLANK(FM$3:FM$9))*(FM$3:FM$9=$KI$3:$KI$9))</f>
        <v>0</v>
      </c>
      <c r="FN15" s="1">
        <f>SUMPRODUCT(NOT(ISBLANK(FN$3:FN$9))*(FN$3:FN$9=$KJ$3:$KJ$9))</f>
        <v>0</v>
      </c>
      <c r="FO15" s="1">
        <f>SUMPRODUCT(NOT(ISBLANK(FO$3:FO$9))*(FO$3:FO$9=$KK$3:$KK$9))</f>
        <v>0</v>
      </c>
      <c r="FP15" s="1">
        <f>SUMPRODUCT(NOT(ISBLANK(FP$3:FP$9))*(FP$3:FP$9=$KL$3:$KL$9))</f>
        <v>0</v>
      </c>
      <c r="FQ15" s="1">
        <f>SUMPRODUCT(NOT(ISBLANK(FQ$3:FQ$9))*(FQ$3:FQ$9=$KM$3:$KM$9))</f>
        <v>0</v>
      </c>
      <c r="FR15" s="1">
        <f>SUMPRODUCT(NOT(ISBLANK(FR$3:FR$9))*(FR$3:FR$9=$KN$3:$KN$9))</f>
        <v>0</v>
      </c>
      <c r="FS15" s="1">
        <f>SUMPRODUCT(NOT(ISBLANK(FS$3:FS$9))*(FS$3:FS$9=$KO$3:$KO$9))</f>
        <v>0</v>
      </c>
      <c r="FT15" s="1">
        <f>SUMPRODUCT(NOT(ISBLANK(FT$3:FT$9))*(FT$3:FT$9=$KP$3:$KP$9))</f>
        <v>0</v>
      </c>
      <c r="FU15" s="1">
        <f>SUMPRODUCT(NOT(ISBLANK(FU$3:FU$9))*(FU$3:FU$9=$KQ$3:$KQ$9))</f>
        <v>0</v>
      </c>
      <c r="FV15" s="1"/>
      <c r="FW15" s="1">
        <f>SUMPRODUCT(NOT(ISBLANK(FW$3:FW$9))*(FW$3:FW$9=$KR$3:$KR$9))</f>
        <v>0</v>
      </c>
      <c r="FX15" s="1">
        <f>SUMPRODUCT(NOT(ISBLANK(FX$3:FX$9))*(FX$3:FX$9=$KS$3:$KS$9))</f>
        <v>0</v>
      </c>
      <c r="FY15" s="1">
        <f>SUMPRODUCT(NOT(ISBLANK(FY$3:FY$9))*(FY$3:FY$9=$KT$3:$KT$9))</f>
        <v>0</v>
      </c>
      <c r="FZ15" s="1">
        <f>SUMPRODUCT(NOT(ISBLANK(FZ$3:FZ$9))*(FZ$3:FZ$9=$KD$3:$KD$9))</f>
        <v>0</v>
      </c>
      <c r="GA15" s="1">
        <f>SUMPRODUCT(NOT(ISBLANK(GA$3:GA$9))*(GA$3:GA$9=$KE$3:$KE$9))</f>
        <v>0</v>
      </c>
      <c r="GB15" s="1">
        <f>SUMPRODUCT(NOT(ISBLANK(GB$3:GB$9))*(GB$3:GB$9=$KF$3:$KF$9))</f>
        <v>0</v>
      </c>
      <c r="GC15" s="1">
        <f>SUMPRODUCT(NOT(ISBLANK(GC$3:GC$9))*(GC$3:GC$9=$KG$3:$KG$9))</f>
        <v>0</v>
      </c>
      <c r="GD15" s="1">
        <f>SUMPRODUCT(NOT(ISBLANK(GD$3:GD$9))*(GD$3:GD$9=$KH$3:$KH$9))</f>
        <v>0</v>
      </c>
      <c r="GE15" s="1">
        <f>SUMPRODUCT(NOT(ISBLANK(GE$3:GE$9))*(GE$3:GE$9=$KI$3:$KI$9))</f>
        <v>0</v>
      </c>
      <c r="GF15" s="1">
        <f>SUMPRODUCT(NOT(ISBLANK(GF$3:GF$9))*(GF$3:GF$9=$KJ$3:$KJ$9))</f>
        <v>0</v>
      </c>
      <c r="GG15" s="1">
        <f>SUMPRODUCT(NOT(ISBLANK(GG$3:GG$9))*(GG$3:GG$9=$KK$3:$KK$9))</f>
        <v>0</v>
      </c>
      <c r="GH15" s="1">
        <f>SUMPRODUCT(NOT(ISBLANK(GH$3:GH$9))*(GH$3:GH$9=$KL$3:$KL$9))</f>
        <v>0</v>
      </c>
      <c r="GI15" s="1">
        <f>SUMPRODUCT(NOT(ISBLANK(GI$3:GI$9))*(GI$3:GI$9=$KM$3:$KM$9))</f>
        <v>0</v>
      </c>
      <c r="GJ15" s="1">
        <f>SUMPRODUCT(NOT(ISBLANK(GJ$3:GJ$9))*(GJ$3:GJ$9=$KN$3:$KN$9))</f>
        <v>0</v>
      </c>
      <c r="GK15" s="1">
        <f>SUMPRODUCT(NOT(ISBLANK(GK$3:GK$9))*(GK$3:GK$9=$KO$3:$KO$9))</f>
        <v>0</v>
      </c>
      <c r="GL15" s="1">
        <f>SUMPRODUCT(NOT(ISBLANK(GL$3:GL$9))*(GL$3:GL$9=$KP$3:$KP$9))</f>
        <v>0</v>
      </c>
      <c r="GM15" s="1">
        <f>SUMPRODUCT(NOT(ISBLANK(GM$3:GM$9))*(GM$3:GM$9=$KQ$3:$KQ$9))</f>
        <v>0</v>
      </c>
      <c r="GN15" s="1"/>
      <c r="GO15" s="1">
        <f>SUMPRODUCT(NOT(ISBLANK(GO$3:GO$9))*(GO$3:GO$9=$KR$3:$KR$9))</f>
        <v>0</v>
      </c>
      <c r="GP15" s="1">
        <f>SUMPRODUCT(NOT(ISBLANK(GP$3:GP$9))*(GP$3:GP$9=$KS$3:$KS$9))</f>
        <v>0</v>
      </c>
      <c r="GQ15" s="1">
        <f>SUMPRODUCT(NOT(ISBLANK(GQ$3:GQ$9))*(GQ$3:GQ$9=$KT$3:$KT$9))</f>
        <v>0</v>
      </c>
      <c r="GR15" s="1">
        <f>SUMPRODUCT(NOT(ISBLANK(GR$3:GR$9))*(GR$3:GR$9=$KD$3:$KD$9))</f>
        <v>0</v>
      </c>
      <c r="GS15" s="1">
        <f>SUMPRODUCT(NOT(ISBLANK(GS$3:GS$9))*(GS$3:GS$9=$KE$3:$KE$9))</f>
        <v>0</v>
      </c>
      <c r="GT15" s="1">
        <f>SUMPRODUCT(NOT(ISBLANK(GT$3:GT$9))*(GT$3:GT$9=$KF$3:$KF$9))</f>
        <v>0</v>
      </c>
      <c r="GU15" s="1">
        <f>SUMPRODUCT(NOT(ISBLANK(GU$3:GU$9))*(GU$3:GU$9=$KG$3:$KG$9))</f>
        <v>0</v>
      </c>
      <c r="GV15" s="1">
        <f>SUMPRODUCT(NOT(ISBLANK(GV$3:GV$9))*(GV$3:GV$9=$KH$3:$KH$9))</f>
        <v>0</v>
      </c>
      <c r="GW15" s="1">
        <f>SUMPRODUCT(NOT(ISBLANK(GW$3:GW$9))*(GW$3:GW$9=$KI$3:$KI$9))</f>
        <v>0</v>
      </c>
      <c r="GX15" s="1">
        <f>SUMPRODUCT(NOT(ISBLANK(GX$3:GX$9))*(GX$3:GX$9=$KJ$3:$KJ$9))</f>
        <v>0</v>
      </c>
      <c r="GY15" s="1">
        <f>SUMPRODUCT(NOT(ISBLANK(GY$3:GY$9))*(GY$3:GY$9=$KK$3:$KK$9))</f>
        <v>0</v>
      </c>
      <c r="GZ15" s="1">
        <f>SUMPRODUCT(NOT(ISBLANK(GZ$3:GZ$9))*(GZ$3:GZ$9=$KL$3:$KL$9))</f>
        <v>0</v>
      </c>
      <c r="HA15" s="1">
        <f>SUMPRODUCT(NOT(ISBLANK(HA$3:HA$9))*(HA$3:HA$9=$KM$3:$KM$9))</f>
        <v>0</v>
      </c>
      <c r="HB15" s="1">
        <f>SUMPRODUCT(NOT(ISBLANK(HB$3:HB$9))*(HB$3:HB$9=$KN$3:$KN$9))</f>
        <v>0</v>
      </c>
      <c r="HC15" s="1">
        <f>SUMPRODUCT(NOT(ISBLANK(HC$3:HC$9))*(HC$3:HC$9=$KO$3:$KO$9))</f>
        <v>0</v>
      </c>
      <c r="HD15" s="1">
        <f>SUMPRODUCT(NOT(ISBLANK(HD$3:HD$9))*(HD$3:HD$9=$KP$3:$KP$9))</f>
        <v>0</v>
      </c>
      <c r="HE15" s="1">
        <f>SUMPRODUCT(NOT(ISBLANK(HE$3:HE$9))*(HE$3:HE$9=$KQ$3:$KQ$9))</f>
        <v>0</v>
      </c>
      <c r="HF15" s="1"/>
      <c r="HG15" s="1">
        <f>SUMPRODUCT(NOT(ISBLANK(HG$3:HG$9))*(HG$3:HG$9=$KR$3:$KR$9))</f>
        <v>0</v>
      </c>
      <c r="HH15" s="1">
        <f>SUMPRODUCT(NOT(ISBLANK(HH$3:HH$9))*(HH$3:HH$9=$KS$3:$KS$9))</f>
        <v>0</v>
      </c>
      <c r="HI15" s="1">
        <f>SUMPRODUCT(NOT(ISBLANK(HI$3:HI$9))*(HI$3:HI$9=$KT$3:$KT$9))</f>
        <v>0</v>
      </c>
      <c r="HJ15" s="1">
        <f>SUMPRODUCT(NOT(ISBLANK(HJ$3:HJ$9))*(HJ$3:HJ$9=$KD$3:$KD$9))</f>
        <v>0</v>
      </c>
      <c r="HK15" s="1">
        <f>SUMPRODUCT(NOT(ISBLANK(HK$3:HK$9))*(HK$3:HK$9=$KE$3:$KE$9))</f>
        <v>0</v>
      </c>
      <c r="HL15" s="1">
        <f>SUMPRODUCT(NOT(ISBLANK(HL$3:HL$9))*(HL$3:HL$9=$KF$3:$KF$9))</f>
        <v>0</v>
      </c>
      <c r="HM15" s="1">
        <f>SUMPRODUCT(NOT(ISBLANK(HM$3:HM$9))*(HM$3:HM$9=$KG$3:$KG$9))</f>
        <v>0</v>
      </c>
      <c r="HN15" s="1">
        <f>SUMPRODUCT(NOT(ISBLANK(HN$3:HN$9))*(HN$3:HN$9=$KH$3:$KH$9))</f>
        <v>0</v>
      </c>
      <c r="HO15" s="1">
        <f>SUMPRODUCT(NOT(ISBLANK(HO$3:HO$9))*(HO$3:HO$9=$KI$3:$KI$9))</f>
        <v>0</v>
      </c>
      <c r="HP15" s="1">
        <f>SUMPRODUCT(NOT(ISBLANK(HP$3:HP$9))*(HP$3:HP$9=$KJ$3:$KJ$9))</f>
        <v>0</v>
      </c>
      <c r="HQ15" s="1">
        <f>SUMPRODUCT(NOT(ISBLANK(HQ$3:HQ$9))*(HQ$3:HQ$9=$KK$3:$KK$9))</f>
        <v>0</v>
      </c>
      <c r="HR15" s="1">
        <f>SUMPRODUCT(NOT(ISBLANK(HR$3:HR$9))*(HR$3:HR$9=$KL$3:$KL$9))</f>
        <v>0</v>
      </c>
      <c r="HS15" s="1">
        <f>SUMPRODUCT(NOT(ISBLANK(HS$3:HS$9))*(HS$3:HS$9=$KM$3:$KM$9))</f>
        <v>0</v>
      </c>
      <c r="HT15" s="1">
        <f>SUMPRODUCT(NOT(ISBLANK(HT$3:HT$9))*(HT$3:HT$9=$KN$3:$KN$9))</f>
        <v>0</v>
      </c>
      <c r="HU15" s="1">
        <f>SUMPRODUCT(NOT(ISBLANK(HU$3:HU$9))*(HU$3:HU$9=$KO$3:$KO$9))</f>
        <v>0</v>
      </c>
      <c r="HV15" s="1">
        <f>SUMPRODUCT(NOT(ISBLANK(HV$3:HV$9))*(HV$3:HV$9=$KP$3:$KP$9))</f>
        <v>0</v>
      </c>
      <c r="HW15" s="1">
        <f>SUMPRODUCT(NOT(ISBLANK(HW$3:HW$9))*(HW$3:HW$9=$KQ$3:$KQ$9))</f>
        <v>0</v>
      </c>
      <c r="HX15" s="1"/>
      <c r="HY15" s="1">
        <f>SUMPRODUCT(NOT(ISBLANK(HY$3:HY$9))*(HY$3:HY$9=$KR$3:$KR$9))</f>
        <v>0</v>
      </c>
      <c r="HZ15" s="1">
        <f>SUMPRODUCT(NOT(ISBLANK(HZ$3:HZ$9))*(HZ$3:HZ$9=$KS$3:$KS$9))</f>
        <v>0</v>
      </c>
      <c r="IA15" s="1">
        <f>SUMPRODUCT(NOT(ISBLANK(IA$3:IA$9))*(IA$3:IA$9=$KT$3:$KT$9))</f>
        <v>0</v>
      </c>
      <c r="IB15" s="1">
        <f>SUMPRODUCT(NOT(ISBLANK(IB$3:IB$9))*(IB$3:IB$9=$KD$3:$KD$9))</f>
        <v>0</v>
      </c>
      <c r="IC15" s="1">
        <f>SUMPRODUCT(NOT(ISBLANK(IC$3:IC$9))*(IC$3:IC$9=$KE$3:$KE$9))</f>
        <v>0</v>
      </c>
      <c r="ID15" s="1">
        <f>SUMPRODUCT(NOT(ISBLANK(ID$3:ID$9))*(ID$3:ID$9=$KF$3:$KF$9))</f>
        <v>0</v>
      </c>
      <c r="IE15" s="1">
        <f>SUMPRODUCT(NOT(ISBLANK(IE$3:IE$9))*(IE$3:IE$9=$KG$3:$KG$9))</f>
        <v>0</v>
      </c>
      <c r="IF15" s="1">
        <f>SUMPRODUCT(NOT(ISBLANK(IF$3:IF$9))*(IF$3:IF$9=$KH$3:$KH$9))</f>
        <v>0</v>
      </c>
      <c r="IG15" s="1">
        <f>SUMPRODUCT(NOT(ISBLANK(IG$3:IG$9))*(IG$3:IG$9=$KI$3:$KI$9))</f>
        <v>0</v>
      </c>
      <c r="IH15" s="1">
        <f>SUMPRODUCT(NOT(ISBLANK(IH$3:IH$9))*(IH$3:IH$9=$KJ$3:$KJ$9))</f>
        <v>0</v>
      </c>
      <c r="II15" s="1">
        <f>SUMPRODUCT(NOT(ISBLANK(II$3:II$9))*(II$3:II$9=$KK$3:$KK$9))</f>
        <v>0</v>
      </c>
      <c r="IJ15" s="1">
        <f>SUMPRODUCT(NOT(ISBLANK(IJ$3:IJ$9))*(IJ$3:IJ$9=$KL$3:$KL$9))</f>
        <v>0</v>
      </c>
      <c r="IK15" s="1">
        <f>SUMPRODUCT(NOT(ISBLANK(IK$3:IK$9))*(IK$3:IK$9=$KM$3:$KM$9))</f>
        <v>0</v>
      </c>
      <c r="IL15" s="1">
        <f>SUMPRODUCT(NOT(ISBLANK(IL$3:IL$9))*(IL$3:IL$9=$KN$3:$KN$9))</f>
        <v>0</v>
      </c>
      <c r="IM15" s="1">
        <f>SUMPRODUCT(NOT(ISBLANK(IM$3:IM$9))*(IM$3:IM$9=$KO$3:$KO$9))</f>
        <v>0</v>
      </c>
      <c r="IN15" s="1">
        <f>SUMPRODUCT(NOT(ISBLANK(IN$3:IN$9))*(IN$3:IN$9=$KP$3:$KP$9))</f>
        <v>0</v>
      </c>
      <c r="IO15" s="1">
        <f>SUMPRODUCT(NOT(ISBLANK(IO$3:IO$9))*(IO$3:IO$9=$KQ$3:$KQ$9))</f>
        <v>0</v>
      </c>
      <c r="IP15" s="1"/>
      <c r="IQ15" s="1">
        <f>SUMPRODUCT(NOT(ISBLANK(IQ$3:IQ$9))*(IQ$3:IQ$9=$KR$3:$KR$9))</f>
        <v>0</v>
      </c>
      <c r="IR15" s="1">
        <f>SUMPRODUCT(NOT(ISBLANK(IR$3:IR$9))*(IR$3:IR$9=$KS$3:$KS$9))</f>
        <v>0</v>
      </c>
      <c r="IS15" s="1">
        <f>SUMPRODUCT(NOT(ISBLANK(IS$3:IS$9))*(IS$3:IS$9=$KT$3:$KT$9))</f>
        <v>0</v>
      </c>
      <c r="IT15" s="1">
        <f>SUMPRODUCT(NOT(ISBLANK(IT$3:IT$9))*(IT$3:IT$9=$KD$3:$KD$9))</f>
        <v>0</v>
      </c>
      <c r="IU15" s="1">
        <f>SUMPRODUCT(NOT(ISBLANK(IU$3:IU$9))*(IU$3:IU$9=$KE$3:$KE$9))</f>
        <v>0</v>
      </c>
      <c r="IV15" s="1">
        <f>SUMPRODUCT(NOT(ISBLANK(IV$3:IV$9))*(IV$3:IV$9=$KF$3:$KF$9))</f>
        <v>0</v>
      </c>
      <c r="IW15" s="1">
        <f>SUMPRODUCT(NOT(ISBLANK(IW$3:IW$9))*(IW$3:IW$9=$KG$3:$KG$9))</f>
        <v>0</v>
      </c>
      <c r="IX15" s="1">
        <f>SUMPRODUCT(NOT(ISBLANK(IX$3:IX$9))*(IX$3:IX$9=$KH$3:$KH$9))</f>
        <v>0</v>
      </c>
      <c r="IY15" s="1">
        <f>SUMPRODUCT(NOT(ISBLANK(IY$3:IY$9))*(IY$3:IY$9=$KI$3:$KI$9))</f>
        <v>0</v>
      </c>
      <c r="IZ15" s="1">
        <f>SUMPRODUCT(NOT(ISBLANK(IZ$3:IZ$9))*(IZ$3:IZ$9=$KJ$3:$KJ$9))</f>
        <v>0</v>
      </c>
      <c r="JA15" s="1">
        <f>SUMPRODUCT(NOT(ISBLANK(JA$3:JA$9))*(JA$3:JA$9=$KK$3:$KK$9))</f>
        <v>0</v>
      </c>
      <c r="JB15" s="1">
        <f>SUMPRODUCT(NOT(ISBLANK(JB$3:JB$9))*(JB$3:JB$9=$KL$3:$KL$9))</f>
        <v>0</v>
      </c>
      <c r="JC15" s="1">
        <f>SUMPRODUCT(NOT(ISBLANK(JC$3:JC$9))*(JC$3:JC$9=$KM$3:$KM$9))</f>
        <v>0</v>
      </c>
      <c r="JD15" s="1">
        <f>SUMPRODUCT(NOT(ISBLANK(JD$3:JD$9))*(JD$3:JD$9=$KN$3:$KN$9))</f>
        <v>0</v>
      </c>
      <c r="JE15" s="1">
        <f>SUMPRODUCT(NOT(ISBLANK(JE$3:JE$9))*(JE$3:JE$9=$KO$3:$KO$9))</f>
        <v>0</v>
      </c>
      <c r="JF15" s="1">
        <f>SUMPRODUCT(NOT(ISBLANK(JF$3:JF$9))*(JF$3:JF$9=$KP$3:$KP$9))</f>
        <v>0</v>
      </c>
      <c r="JG15" s="1">
        <f>SUMPRODUCT(NOT(ISBLANK(JG$3:JG$9))*(JG$3:JG$9=$KQ$3:$KQ$9))</f>
        <v>0</v>
      </c>
      <c r="JH15" s="1"/>
      <c r="JI15" s="1">
        <f>SUMPRODUCT(NOT(ISBLANK(JI$3:JI$9))*(JI$3:JI$9=$KR$3:$KR$9))</f>
        <v>0</v>
      </c>
      <c r="JJ15" s="1">
        <f>SUMPRODUCT(NOT(ISBLANK(JJ$3:JJ$9))*(JJ$3:JJ$9=$KS$3:$KS$9))</f>
        <v>0</v>
      </c>
      <c r="JK15" s="1">
        <f>SUMPRODUCT(NOT(ISBLANK(JK$3:JK$9))*(JK$3:JK$9=$KT$3:$KT$9))</f>
        <v>0</v>
      </c>
      <c r="JL15" s="1">
        <f>SUMPRODUCT(NOT(ISBLANK(JL$3:JL$9))*(JL$3:JL$9=$KD$3:$KD$9))</f>
        <v>0</v>
      </c>
      <c r="JM15" s="1">
        <f>SUMPRODUCT(NOT(ISBLANK(JM$3:JM$9))*(JM$3:JM$9=$KE$3:$KE$9))</f>
        <v>0</v>
      </c>
      <c r="JN15" s="1">
        <f>SUMPRODUCT(NOT(ISBLANK(JN$3:JN$9))*(JN$3:JN$9=$KF$3:$KF$9))</f>
        <v>0</v>
      </c>
      <c r="JO15" s="1">
        <f>SUMPRODUCT(NOT(ISBLANK(JO$3:JO$9))*(JO$3:JO$9=$KG$3:$KG$9))</f>
        <v>0</v>
      </c>
      <c r="JP15" s="1">
        <f>SUMPRODUCT(NOT(ISBLANK(JP$3:JP$9))*(JP$3:JP$9=$KH$3:$KH$9))</f>
        <v>0</v>
      </c>
      <c r="JQ15" s="1">
        <f>SUMPRODUCT(NOT(ISBLANK(JQ$3:JQ$9))*(JQ$3:JQ$9=$KI$3:$KI$9))</f>
        <v>0</v>
      </c>
      <c r="JR15" s="1">
        <f>SUMPRODUCT(NOT(ISBLANK(JR$3:JR$9))*(JR$3:JR$9=$KJ$3:$KJ$9))</f>
        <v>0</v>
      </c>
      <c r="JS15" s="1">
        <f>SUMPRODUCT(NOT(ISBLANK(JS$3:JS$9))*(JS$3:JS$9=$KK$3:$KK$9))</f>
        <v>0</v>
      </c>
      <c r="JT15" s="1">
        <f>SUMPRODUCT(NOT(ISBLANK(JT$3:JT$9))*(JT$3:JT$9=$KL$3:$KL$9))</f>
        <v>0</v>
      </c>
      <c r="JU15" s="1">
        <f>SUMPRODUCT(NOT(ISBLANK(JU$3:JU$9))*(JU$3:JU$9=$KM$3:$KM$9))</f>
        <v>0</v>
      </c>
      <c r="JV15" s="1">
        <f>SUMPRODUCT(NOT(ISBLANK(JV$3:JV$9))*(JV$3:JV$9=$KN$3:$KN$9))</f>
        <v>0</v>
      </c>
      <c r="JW15" s="1">
        <f>SUMPRODUCT(NOT(ISBLANK(JW$3:JW$9))*(JW$3:JW$9=$KO$3:$KO$9))</f>
        <v>0</v>
      </c>
      <c r="JX15" s="1">
        <f>SUMPRODUCT(NOT(ISBLANK(JX$3:JX$9))*(JX$3:JX$9=$KP$3:$KP$9))</f>
        <v>0</v>
      </c>
      <c r="JY15" s="1">
        <f>SUMPRODUCT(NOT(ISBLANK(JY$3:JY$9))*(JY$3:JY$9=$KQ$3:$KQ$9))</f>
        <v>0</v>
      </c>
      <c r="JZ15" s="1"/>
      <c r="KA15" s="1">
        <f>SUMPRODUCT(NOT(ISBLANK(KA$3:KA$9))*(KA$3:KA$9=$KR$3:$KR$9))</f>
        <v>0</v>
      </c>
      <c r="KB15" s="1">
        <f>SUMPRODUCT(NOT(ISBLANK(KB$3:KB$9))*(KB$3:KB$9=$KS$3:$KS$9))</f>
        <v>0</v>
      </c>
      <c r="KC15" s="1">
        <f>SUMPRODUCT(NOT(ISBLANK(KC$3:KC$9))*(KC$3:KC$9=$KT$3:$KT$9))</f>
        <v>0</v>
      </c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</row>
    <row r="16" spans="1:340">
      <c r="A16" s="1" t="s">
        <v>12</v>
      </c>
      <c r="B16" s="1">
        <f>SUMPRODUCT(NOT(ISBLANK(B$3:B$9))*(B$3:B$9&lt;$KU$3:$KU$9))</f>
        <v>0</v>
      </c>
      <c r="C16" s="1">
        <f>SUMPRODUCT(NOT(ISBLANK(C$3:C$9))*(C$3:C$9&lt;$KV$3:$KV$9))</f>
        <v>0</v>
      </c>
      <c r="D16" s="1">
        <f>SUMPRODUCT(NOT(ISBLANK(D$3:D$9))*(D$3:D$9&lt;$KW$3:$KW$9))</f>
        <v>0</v>
      </c>
      <c r="E16" s="1">
        <f>SUMPRODUCT(NOT(ISBLANK(E$3:E$9))*(E$3:E$9&lt;$KX$3:$KX$9))</f>
        <v>0</v>
      </c>
      <c r="F16" s="1">
        <f>SUMPRODUCT(NOT(ISBLANK(F$3:F$9))*(F$3:F$9&lt;$KY$3:$KY$9))</f>
        <v>0</v>
      </c>
      <c r="G16" s="1">
        <f>SUMPRODUCT(NOT(ISBLANK(G$3:G$9))*(G$3:G$9&lt;$KZ$3:$KZ$9))</f>
        <v>0</v>
      </c>
      <c r="H16" s="1">
        <f>SUMPRODUCT(NOT(ISBLANK(H$3:H$9))*(H$3:H$9&lt;$LA$3:$LA$9))</f>
        <v>0</v>
      </c>
      <c r="I16" s="1">
        <f>SUMPRODUCT(NOT(ISBLANK(I$3:I$9))*(I$3:I$9&lt;$LB$3:$LB$9))</f>
        <v>0</v>
      </c>
      <c r="J16" s="1">
        <f>SUMPRODUCT(NOT(ISBLANK(J$3:J$9))*(J$3:J$9&lt;$LC$3:$LC$9))</f>
        <v>0</v>
      </c>
      <c r="K16" s="1">
        <f>SUMPRODUCT(NOT(ISBLANK(K$3:K$9))*(K$3:K$9&lt;$LD$3:$LD$9))</f>
        <v>0</v>
      </c>
      <c r="L16" s="1">
        <f>SUMPRODUCT(NOT(ISBLANK(L$3:L$9))*(L$3:L$9&lt;$LE$3:$LE$9))</f>
        <v>0</v>
      </c>
      <c r="M16" s="1">
        <f>SUMPRODUCT(NOT(ISBLANK(M$3:M$9))*(M$3:M$9&lt;$LF$3:$LF$9))</f>
        <v>0</v>
      </c>
      <c r="N16" s="1">
        <f>SUMPRODUCT(NOT(ISBLANK(N$3:N$9))*(N$3:N$9&lt;$LG$3:$LG$9))</f>
        <v>0</v>
      </c>
      <c r="O16" s="1">
        <f>SUMPRODUCT(NOT(ISBLANK(O$3:O$9))*(O$3:O$9&lt;$LH$3:$LH$9))</f>
        <v>0</v>
      </c>
      <c r="P16" s="1"/>
      <c r="Q16" s="1">
        <f>SUMPRODUCT(NOT(ISBLANK(Q$3:Q$9))*(Q$3:Q$9&lt;$LI$3:$LI$9))</f>
        <v>0</v>
      </c>
      <c r="R16" s="1">
        <f>SUMPRODUCT(NOT(ISBLANK(R$3:R$9))*(R$3:R$9&lt;$LJ$3:$LJ$9))</f>
        <v>0</v>
      </c>
      <c r="S16" s="1">
        <f>SUMPRODUCT(NOT(ISBLANK(S$3:S$9))*(S$3:S$9&lt;$LK$3:$LK$9))</f>
        <v>0</v>
      </c>
      <c r="T16" s="1">
        <f>SUMPRODUCT(NOT(ISBLANK(T$3:T$9))*(T$3:T$9&lt;$KU$3:$KU$9))</f>
        <v>0</v>
      </c>
      <c r="U16" s="1">
        <f>SUMPRODUCT(NOT(ISBLANK(U$3:U$9))*(U$3:U$9&lt;$KV$3:$KV$9))</f>
        <v>0</v>
      </c>
      <c r="V16" s="1">
        <f>SUMPRODUCT(NOT(ISBLANK(V$3:V$9))*(V$3:V$9&lt;$KW$3:$KW$9))</f>
        <v>0</v>
      </c>
      <c r="W16" s="1">
        <f>SUMPRODUCT(NOT(ISBLANK(W$3:W$9))*(W$3:W$9&lt;$KX$3:$KX$9))</f>
        <v>0</v>
      </c>
      <c r="X16" s="1">
        <f>SUMPRODUCT(NOT(ISBLANK(X$3:X$9))*(X$3:X$9&lt;$KY$3:$KY$9))</f>
        <v>0</v>
      </c>
      <c r="Y16" s="1">
        <f>SUMPRODUCT(NOT(ISBLANK(Y$3:Y$9))*(Y$3:Y$9&lt;$KZ$3:$KZ$9))</f>
        <v>0</v>
      </c>
      <c r="Z16" s="1">
        <f>SUMPRODUCT(NOT(ISBLANK(Z$3:Z$9))*(Z$3:Z$9&lt;$LA$3:$LA$9))</f>
        <v>0</v>
      </c>
      <c r="AA16" s="1">
        <f>SUMPRODUCT(NOT(ISBLANK(AA$3:AA$9))*(AA$3:AA$9&lt;$LB$3:$LB$9))</f>
        <v>0</v>
      </c>
      <c r="AB16" s="1">
        <f>SUMPRODUCT(NOT(ISBLANK(AB$3:AB$9))*(AB$3:AB$9&lt;$LC$3:$LC$9))</f>
        <v>0</v>
      </c>
      <c r="AC16" s="1">
        <f>SUMPRODUCT(NOT(ISBLANK(AC$3:AC$9))*(AC$3:AC$9&lt;$LD$3:$LD$9))</f>
        <v>0</v>
      </c>
      <c r="AD16" s="1">
        <f>SUMPRODUCT(NOT(ISBLANK(AD$3:AD$9))*(AD$3:AD$9&lt;$LE$3:$LE$9))</f>
        <v>0</v>
      </c>
      <c r="AE16" s="1">
        <f>SUMPRODUCT(NOT(ISBLANK(AE$3:AE$9))*(AE$3:AE$9&lt;$LF$3:$LF$9))</f>
        <v>0</v>
      </c>
      <c r="AF16" s="1">
        <f>SUMPRODUCT(NOT(ISBLANK(AF$3:AF$9))*(AF$3:AF$9&lt;$LG$3:$LG$9))</f>
        <v>0</v>
      </c>
      <c r="AG16" s="1">
        <f>SUMPRODUCT(NOT(ISBLANK(AG$3:AG$9))*(AG$3:AG$9&lt;$LH$3:$LH$9))</f>
        <v>0</v>
      </c>
      <c r="AH16" s="1"/>
      <c r="AI16" s="1">
        <f>SUMPRODUCT(NOT(ISBLANK(AI$3:AI$9))*(AI$3:AI$9&lt;$LI$3:$LI$9))</f>
        <v>0</v>
      </c>
      <c r="AJ16" s="1">
        <f>SUMPRODUCT(NOT(ISBLANK(AJ$3:AJ$9))*(AJ$3:AJ$9&lt;$LJ$3:$LJ$9))</f>
        <v>0</v>
      </c>
      <c r="AK16" s="1">
        <f>SUMPRODUCT(NOT(ISBLANK(AK$3:AK$9))*(AK$3:AK$9&lt;$LK$3:$LK$9))</f>
        <v>0</v>
      </c>
      <c r="AL16" s="1">
        <f>SUMPRODUCT(NOT(ISBLANK(AL$3:AL$9))*(AL$3:AL$9&lt;$KU$3:$KU$9))</f>
        <v>0</v>
      </c>
      <c r="AM16" s="1">
        <f>SUMPRODUCT(NOT(ISBLANK(AM$3:AM$9))*(AM$3:AM$9&lt;$KV$3:$KV$9))</f>
        <v>0</v>
      </c>
      <c r="AN16" s="1">
        <f>SUMPRODUCT(NOT(ISBLANK(AN$3:AN$9))*(AN$3:AN$9&lt;$KW$3:$KW$9))</f>
        <v>0</v>
      </c>
      <c r="AO16" s="1">
        <f>SUMPRODUCT(NOT(ISBLANK(AO$3:AO$9))*(AO$3:AO$9&lt;$KX$3:$KX$9))</f>
        <v>0</v>
      </c>
      <c r="AP16" s="1">
        <f>SUMPRODUCT(NOT(ISBLANK(AP$3:AP$9))*(AP$3:AP$9&lt;$KY$3:$KY$9))</f>
        <v>0</v>
      </c>
      <c r="AQ16" s="1">
        <f>SUMPRODUCT(NOT(ISBLANK(AQ$3:AQ$9))*(AQ$3:AQ$9&lt;$KZ$3:$KZ$9))</f>
        <v>0</v>
      </c>
      <c r="AR16" s="1">
        <f>SUMPRODUCT(NOT(ISBLANK(AR$3:AR$9))*(AR$3:AR$9&lt;$LA$3:$LA$9))</f>
        <v>0</v>
      </c>
      <c r="AS16" s="1">
        <f>SUMPRODUCT(NOT(ISBLANK(AS$3:AS$9))*(AS$3:AS$9&lt;$LB$3:$LB$9))</f>
        <v>0</v>
      </c>
      <c r="AT16" s="1">
        <f>SUMPRODUCT(NOT(ISBLANK(AT$3:AT$9))*(AT$3:AT$9&lt;$LC$3:$LC$9))</f>
        <v>0</v>
      </c>
      <c r="AU16" s="1">
        <f>SUMPRODUCT(NOT(ISBLANK(AU$3:AU$9))*(AU$3:AU$9&lt;$LD$3:$LD$9))</f>
        <v>0</v>
      </c>
      <c r="AV16" s="1">
        <f>SUMPRODUCT(NOT(ISBLANK(AV$3:AV$9))*(AV$3:AV$9&lt;$LE$3:$LE$9))</f>
        <v>0</v>
      </c>
      <c r="AW16" s="1">
        <f>SUMPRODUCT(NOT(ISBLANK(AW$3:AW$9))*(AW$3:AW$9&lt;$LF$3:$LF$9))</f>
        <v>0</v>
      </c>
      <c r="AX16" s="1">
        <f>SUMPRODUCT(NOT(ISBLANK(AX$3:AX$9))*(AX$3:AX$9&lt;$LG$3:$LG$9))</f>
        <v>0</v>
      </c>
      <c r="AY16" s="1">
        <f>SUMPRODUCT(NOT(ISBLANK(AY$3:AY$9))*(AY$3:AY$9&lt;$LH$3:$LH$9))</f>
        <v>0</v>
      </c>
      <c r="AZ16" s="1"/>
      <c r="BA16" s="1">
        <f>SUMPRODUCT(NOT(ISBLANK(BA$3:BA$9))*(BA$3:BA$9&lt;$LI$3:$LI$9))</f>
        <v>0</v>
      </c>
      <c r="BB16" s="1">
        <f>SUMPRODUCT(NOT(ISBLANK(BB$3:BB$9))*(BB$3:BB$9&lt;$LJ$3:$LJ$9))</f>
        <v>0</v>
      </c>
      <c r="BC16" s="1">
        <f>SUMPRODUCT(NOT(ISBLANK(BC$3:BC$9))*(BC$3:BC$9&lt;$LK$3:$LK$9))</f>
        <v>0</v>
      </c>
      <c r="BD16" s="1">
        <f>SUMPRODUCT(NOT(ISBLANK(BD$3:BD$9))*(BD$3:BD$9&lt;$KU$3:$KU$9))</f>
        <v>0</v>
      </c>
      <c r="BE16" s="1">
        <f>SUMPRODUCT(NOT(ISBLANK(BE$3:BE$9))*(BE$3:BE$9&lt;$KV$3:$KV$9))</f>
        <v>0</v>
      </c>
      <c r="BF16" s="1">
        <f>SUMPRODUCT(NOT(ISBLANK(BF$3:BF$9))*(BF$3:BF$9&lt;$KW$3:$KW$9))</f>
        <v>0</v>
      </c>
      <c r="BG16" s="1">
        <f>SUMPRODUCT(NOT(ISBLANK(BG$3:BG$9))*(BG$3:BG$9&lt;$KX$3:$KX$9))</f>
        <v>0</v>
      </c>
      <c r="BH16" s="1">
        <f>SUMPRODUCT(NOT(ISBLANK(BH$3:BH$9))*(BH$3:BH$9&lt;$KY$3:$KY$9))</f>
        <v>0</v>
      </c>
      <c r="BI16" s="1">
        <f>SUMPRODUCT(NOT(ISBLANK(BI$3:BI$9))*(BI$3:BI$9&lt;$KZ$3:$KZ$9))</f>
        <v>0</v>
      </c>
      <c r="BJ16" s="1">
        <f>SUMPRODUCT(NOT(ISBLANK(BJ$3:BJ$9))*(BJ$3:BJ$9&lt;$LA$3:$LA$9))</f>
        <v>0</v>
      </c>
      <c r="BK16" s="1">
        <f>SUMPRODUCT(NOT(ISBLANK(BK$3:BK$9))*(BK$3:BK$9&lt;$LB$3:$LB$9))</f>
        <v>0</v>
      </c>
      <c r="BL16" s="1">
        <f>SUMPRODUCT(NOT(ISBLANK(BL$3:BL$9))*(BL$3:BL$9&lt;$LC$3:$LC$9))</f>
        <v>0</v>
      </c>
      <c r="BM16" s="1">
        <f>SUMPRODUCT(NOT(ISBLANK(BM$3:BM$9))*(BM$3:BM$9&lt;$LD$3:$LD$9))</f>
        <v>0</v>
      </c>
      <c r="BN16" s="1">
        <f>SUMPRODUCT(NOT(ISBLANK(BN$3:BN$9))*(BN$3:BN$9&lt;$LE$3:$LE$9))</f>
        <v>0</v>
      </c>
      <c r="BO16" s="1">
        <f>SUMPRODUCT(NOT(ISBLANK(BO$3:BO$9))*(BO$3:BO$9&lt;$LF$3:$LF$9))</f>
        <v>0</v>
      </c>
      <c r="BP16" s="1">
        <f>SUMPRODUCT(NOT(ISBLANK(BP$3:BP$9))*(BP$3:BP$9&lt;$LG$3:$LG$9))</f>
        <v>0</v>
      </c>
      <c r="BQ16" s="1">
        <f>SUMPRODUCT(NOT(ISBLANK(BQ$3:BQ$9))*(BQ$3:BQ$9&lt;$LH$3:$LH$9))</f>
        <v>0</v>
      </c>
      <c r="BR16" s="1"/>
      <c r="BS16" s="1">
        <f>SUMPRODUCT(NOT(ISBLANK(BS$3:BS$9))*(BS$3:BS$9&lt;$LI$3:$LI$9))</f>
        <v>0</v>
      </c>
      <c r="BT16" s="1">
        <f>SUMPRODUCT(NOT(ISBLANK(BT$3:BT$9))*(BT$3:BT$9&lt;$LJ$3:$LJ$9))</f>
        <v>0</v>
      </c>
      <c r="BU16" s="1">
        <f>SUMPRODUCT(NOT(ISBLANK(BU$3:BU$9))*(BU$3:BU$9&lt;$LK$3:$LK$9))</f>
        <v>0</v>
      </c>
      <c r="BV16" s="1">
        <f>SUMPRODUCT(NOT(ISBLANK(BV$3:BV$9))*(BV$3:BV$9&lt;$KU$3:$KU$9))</f>
        <v>0</v>
      </c>
      <c r="BW16" s="1">
        <f>SUMPRODUCT(NOT(ISBLANK(BW$3:BW$9))*(BW$3:BW$9&lt;$KV$3:$KV$9))</f>
        <v>0</v>
      </c>
      <c r="BX16" s="1">
        <f>SUMPRODUCT(NOT(ISBLANK(BX$3:BX$9))*(BX$3:BX$9&lt;$KW$3:$KW$9))</f>
        <v>0</v>
      </c>
      <c r="BY16" s="1">
        <f>SUMPRODUCT(NOT(ISBLANK(BY$3:BY$9))*(BY$3:BY$9&lt;$KX$3:$KX$9))</f>
        <v>0</v>
      </c>
      <c r="BZ16" s="1">
        <f>SUMPRODUCT(NOT(ISBLANK(BZ$3:BZ$9))*(BZ$3:BZ$9&lt;$KY$3:$KY$9))</f>
        <v>0</v>
      </c>
      <c r="CA16" s="1">
        <f>SUMPRODUCT(NOT(ISBLANK(CA$3:CA$9))*(CA$3:CA$9&lt;$KZ$3:$KZ$9))</f>
        <v>0</v>
      </c>
      <c r="CB16" s="1">
        <f>SUMPRODUCT(NOT(ISBLANK(CB$3:CB$9))*(CB$3:CB$9&lt;$LA$3:$LA$9))</f>
        <v>0</v>
      </c>
      <c r="CC16" s="1">
        <f>SUMPRODUCT(NOT(ISBLANK(CC$3:CC$9))*(CC$3:CC$9&lt;$LB$3:$LB$9))</f>
        <v>0</v>
      </c>
      <c r="CD16" s="1">
        <f>SUMPRODUCT(NOT(ISBLANK(CD$3:CD$9))*(CD$3:CD$9&lt;$LC$3:$LC$9))</f>
        <v>0</v>
      </c>
      <c r="CE16" s="1">
        <f>SUMPRODUCT(NOT(ISBLANK(CE$3:CE$9))*(CE$3:CE$9&lt;$LD$3:$LD$9))</f>
        <v>0</v>
      </c>
      <c r="CF16" s="1">
        <f>SUMPRODUCT(NOT(ISBLANK(CF$3:CF$9))*(CF$3:CF$9&lt;$LE$3:$LE$9))</f>
        <v>0</v>
      </c>
      <c r="CG16" s="1">
        <f>SUMPRODUCT(NOT(ISBLANK(CG$3:CG$9))*(CG$3:CG$9&lt;$LF$3:$LF$9))</f>
        <v>0</v>
      </c>
      <c r="CH16" s="1">
        <f>SUMPRODUCT(NOT(ISBLANK(CH$3:CH$9))*(CH$3:CH$9&lt;$LG$3:$LG$9))</f>
        <v>0</v>
      </c>
      <c r="CI16" s="1">
        <f>SUMPRODUCT(NOT(ISBLANK(CI$3:CI$9))*(CI$3:CI$9&lt;$LH$3:$LH$9))</f>
        <v>0</v>
      </c>
      <c r="CJ16" s="1"/>
      <c r="CK16" s="1">
        <f>SUMPRODUCT(NOT(ISBLANK(CK$3:CK$9))*(CK$3:CK$9&lt;$LI$3:$LI$9))</f>
        <v>0</v>
      </c>
      <c r="CL16" s="1">
        <f>SUMPRODUCT(NOT(ISBLANK(CL$3:CL$9))*(CL$3:CL$9&lt;$LJ$3:$LJ$9))</f>
        <v>0</v>
      </c>
      <c r="CM16" s="1">
        <f>SUMPRODUCT(NOT(ISBLANK(CM$3:CM$9))*(CM$3:CM$9&lt;$LK$3:$LK$9))</f>
        <v>0</v>
      </c>
      <c r="CN16" s="1">
        <f>SUMPRODUCT(NOT(ISBLANK(CN$3:CN$9))*(CN$3:CN$9&lt;$KU$3:$KU$9))</f>
        <v>0</v>
      </c>
      <c r="CO16" s="1">
        <f>SUMPRODUCT(NOT(ISBLANK(CO$3:CO$9))*(CO$3:CO$9&lt;$KV$3:$KV$9))</f>
        <v>0</v>
      </c>
      <c r="CP16" s="1">
        <f>SUMPRODUCT(NOT(ISBLANK(CP$3:CP$9))*(CP$3:CP$9&lt;$KW$3:$KW$9))</f>
        <v>0</v>
      </c>
      <c r="CQ16" s="1">
        <f>SUMPRODUCT(NOT(ISBLANK(CQ$3:CQ$9))*(CQ$3:CQ$9&lt;$KX$3:$KX$9))</f>
        <v>0</v>
      </c>
      <c r="CR16" s="1">
        <f>SUMPRODUCT(NOT(ISBLANK(CR$3:CR$9))*(CR$3:CR$9&lt;$KY$3:$KY$9))</f>
        <v>0</v>
      </c>
      <c r="CS16" s="1">
        <f>SUMPRODUCT(NOT(ISBLANK(CS$3:CS$9))*(CS$3:CS$9&lt;$KZ$3:$KZ$9))</f>
        <v>0</v>
      </c>
      <c r="CT16" s="1">
        <f>SUMPRODUCT(NOT(ISBLANK(CT$3:CT$9))*(CT$3:CT$9&lt;$LA$3:$LA$9))</f>
        <v>0</v>
      </c>
      <c r="CU16" s="1">
        <f>SUMPRODUCT(NOT(ISBLANK(CU$3:CU$9))*(CU$3:CU$9&lt;$LB$3:$LB$9))</f>
        <v>0</v>
      </c>
      <c r="CV16" s="1">
        <f>SUMPRODUCT(NOT(ISBLANK(CV$3:CV$9))*(CV$3:CV$9&lt;$LC$3:$LC$9))</f>
        <v>0</v>
      </c>
      <c r="CW16" s="1">
        <f>SUMPRODUCT(NOT(ISBLANK(CW$3:CW$9))*(CW$3:CW$9&lt;$LD$3:$LD$9))</f>
        <v>0</v>
      </c>
      <c r="CX16" s="1">
        <f>SUMPRODUCT(NOT(ISBLANK(CX$3:CX$9))*(CX$3:CX$9&lt;$LE$3:$LE$9))</f>
        <v>0</v>
      </c>
      <c r="CY16" s="1">
        <f>SUMPRODUCT(NOT(ISBLANK(CY$3:CY$9))*(CY$3:CY$9&lt;$LF$3:$LF$9))</f>
        <v>0</v>
      </c>
      <c r="CZ16" s="1">
        <f>SUMPRODUCT(NOT(ISBLANK(CZ$3:CZ$9))*(CZ$3:CZ$9&lt;$LG$3:$LG$9))</f>
        <v>0</v>
      </c>
      <c r="DA16" s="1">
        <f>SUMPRODUCT(NOT(ISBLANK(DA$3:DA$9))*(DA$3:DA$9&lt;$LH$3:$LH$9))</f>
        <v>0</v>
      </c>
      <c r="DB16" s="1"/>
      <c r="DC16" s="1">
        <f>SUMPRODUCT(NOT(ISBLANK(DC$3:DC$9))*(DC$3:DC$9&lt;$LI$3:$LI$9))</f>
        <v>0</v>
      </c>
      <c r="DD16" s="1">
        <f>SUMPRODUCT(NOT(ISBLANK(DD$3:DD$9))*(DD$3:DD$9&lt;$LJ$3:$LJ$9))</f>
        <v>0</v>
      </c>
      <c r="DE16" s="1">
        <f>SUMPRODUCT(NOT(ISBLANK(DE$3:DE$9))*(DE$3:DE$9&lt;$LK$3:$LK$9))</f>
        <v>0</v>
      </c>
      <c r="DF16" s="1">
        <f>SUMPRODUCT(NOT(ISBLANK(DF$3:DF$9))*(DF$3:DF$9&lt;$KU$3:$KU$9))</f>
        <v>0</v>
      </c>
      <c r="DG16" s="1">
        <f>SUMPRODUCT(NOT(ISBLANK(DG$3:DG$9))*(DG$3:DG$9&lt;$KV$3:$KV$9))</f>
        <v>0</v>
      </c>
      <c r="DH16" s="1">
        <f>SUMPRODUCT(NOT(ISBLANK(DH$3:DH$9))*(DH$3:DH$9&lt;$KW$3:$KW$9))</f>
        <v>0</v>
      </c>
      <c r="DI16" s="1">
        <f>SUMPRODUCT(NOT(ISBLANK(DI$3:DI$9))*(DI$3:DI$9&lt;$KX$3:$KX$9))</f>
        <v>0</v>
      </c>
      <c r="DJ16" s="1">
        <f>SUMPRODUCT(NOT(ISBLANK(DJ$3:DJ$9))*(DJ$3:DJ$9&lt;$KY$3:$KY$9))</f>
        <v>0</v>
      </c>
      <c r="DK16" s="1">
        <f>SUMPRODUCT(NOT(ISBLANK(DK$3:DK$9))*(DK$3:DK$9&lt;$KZ$3:$KZ$9))</f>
        <v>0</v>
      </c>
      <c r="DL16" s="1">
        <f>SUMPRODUCT(NOT(ISBLANK(DL$3:DL$9))*(DL$3:DL$9&lt;$LA$3:$LA$9))</f>
        <v>0</v>
      </c>
      <c r="DM16" s="1">
        <f>SUMPRODUCT(NOT(ISBLANK(DM$3:DM$9))*(DM$3:DM$9&lt;$LB$3:$LB$9))</f>
        <v>0</v>
      </c>
      <c r="DN16" s="1">
        <f>SUMPRODUCT(NOT(ISBLANK(DN$3:DN$9))*(DN$3:DN$9&lt;$LC$3:$LC$9))</f>
        <v>0</v>
      </c>
      <c r="DO16" s="1">
        <f>SUMPRODUCT(NOT(ISBLANK(DO$3:DO$9))*(DO$3:DO$9&lt;$LD$3:$LD$9))</f>
        <v>0</v>
      </c>
      <c r="DP16" s="1">
        <f>SUMPRODUCT(NOT(ISBLANK(DP$3:DP$9))*(DP$3:DP$9&lt;$LE$3:$LE$9))</f>
        <v>0</v>
      </c>
      <c r="DQ16" s="1">
        <f>SUMPRODUCT(NOT(ISBLANK(DQ$3:DQ$9))*(DQ$3:DQ$9&lt;$LF$3:$LF$9))</f>
        <v>0</v>
      </c>
      <c r="DR16" s="1">
        <f>SUMPRODUCT(NOT(ISBLANK(DR$3:DR$9))*(DR$3:DR$9&lt;$LG$3:$LG$9))</f>
        <v>0</v>
      </c>
      <c r="DS16" s="1">
        <f>SUMPRODUCT(NOT(ISBLANK(DS$3:DS$9))*(DS$3:DS$9&lt;$LH$3:$LH$9))</f>
        <v>0</v>
      </c>
      <c r="DT16" s="1"/>
      <c r="DU16" s="1">
        <f>SUMPRODUCT(NOT(ISBLANK(DU$3:DU$9))*(DU$3:DU$9&lt;$LI$3:$LI$9))</f>
        <v>0</v>
      </c>
      <c r="DV16" s="1">
        <f>SUMPRODUCT(NOT(ISBLANK(DV$3:DV$9))*(DV$3:DV$9&lt;$LJ$3:$LJ$9))</f>
        <v>0</v>
      </c>
      <c r="DW16" s="1">
        <f>SUMPRODUCT(NOT(ISBLANK(DW$3:DW$9))*(DW$3:DW$9&lt;$LK$3:$LK$9))</f>
        <v>0</v>
      </c>
      <c r="DX16" s="1">
        <f>SUMPRODUCT(NOT(ISBLANK(DX$3:DX$9))*(DX$3:DX$9&lt;$KU$3:$KU$9))</f>
        <v>0</v>
      </c>
      <c r="DY16" s="1">
        <f>SUMPRODUCT(NOT(ISBLANK(DY$3:DY$9))*(DY$3:DY$9&lt;$KV$3:$KV$9))</f>
        <v>0</v>
      </c>
      <c r="DZ16" s="1">
        <f>SUMPRODUCT(NOT(ISBLANK(DZ$3:DZ$9))*(DZ$3:DZ$9&lt;$KW$3:$KW$9))</f>
        <v>0</v>
      </c>
      <c r="EA16" s="1">
        <f>SUMPRODUCT(NOT(ISBLANK(EA$3:EA$9))*(EA$3:EA$9&lt;$KX$3:$KX$9))</f>
        <v>0</v>
      </c>
      <c r="EB16" s="1">
        <f>SUMPRODUCT(NOT(ISBLANK(EB$3:EB$9))*(EB$3:EB$9&lt;$KY$3:$KY$9))</f>
        <v>0</v>
      </c>
      <c r="EC16" s="1">
        <f>SUMPRODUCT(NOT(ISBLANK(EC$3:EC$9))*(EC$3:EC$9&lt;$KZ$3:$KZ$9))</f>
        <v>0</v>
      </c>
      <c r="ED16" s="1">
        <f>SUMPRODUCT(NOT(ISBLANK(ED$3:ED$9))*(ED$3:ED$9&lt;$LA$3:$LA$9))</f>
        <v>0</v>
      </c>
      <c r="EE16" s="1">
        <f>SUMPRODUCT(NOT(ISBLANK(EE$3:EE$9))*(EE$3:EE$9&lt;$LB$3:$LB$9))</f>
        <v>0</v>
      </c>
      <c r="EF16" s="1">
        <f>SUMPRODUCT(NOT(ISBLANK(EF$3:EF$9))*(EF$3:EF$9&lt;$LC$3:$LC$9))</f>
        <v>0</v>
      </c>
      <c r="EG16" s="1">
        <f>SUMPRODUCT(NOT(ISBLANK(EG$3:EG$9))*(EG$3:EG$9&lt;$LD$3:$LD$9))</f>
        <v>0</v>
      </c>
      <c r="EH16" s="1">
        <f>SUMPRODUCT(NOT(ISBLANK(EH$3:EH$9))*(EH$3:EH$9&lt;$LE$3:$LE$9))</f>
        <v>0</v>
      </c>
      <c r="EI16" s="1">
        <f>SUMPRODUCT(NOT(ISBLANK(EI$3:EI$9))*(EI$3:EI$9&lt;$LF$3:$LF$9))</f>
        <v>0</v>
      </c>
      <c r="EJ16" s="1">
        <f>SUMPRODUCT(NOT(ISBLANK(EJ$3:EJ$9))*(EJ$3:EJ$9&lt;$LG$3:$LG$9))</f>
        <v>0</v>
      </c>
      <c r="EK16" s="1">
        <f>SUMPRODUCT(NOT(ISBLANK(EK$3:EK$9))*(EK$3:EK$9&lt;$LH$3:$LH$9))</f>
        <v>0</v>
      </c>
      <c r="EL16" s="1"/>
      <c r="EM16" s="1">
        <f>SUMPRODUCT(NOT(ISBLANK(EM$3:EM$9))*(EM$3:EM$9&lt;$LI$3:$LI$9))</f>
        <v>0</v>
      </c>
      <c r="EN16" s="1">
        <f>SUMPRODUCT(NOT(ISBLANK(EN$3:EN$9))*(EN$3:EN$9&lt;$LJ$3:$LJ$9))</f>
        <v>0</v>
      </c>
      <c r="EO16" s="1">
        <f>SUMPRODUCT(NOT(ISBLANK(EO$3:EO$9))*(EO$3:EO$9&lt;$LK$3:$LK$9))</f>
        <v>0</v>
      </c>
      <c r="EP16" s="1">
        <f>SUMPRODUCT(NOT(ISBLANK(EP$3:EP$9))*(EP$3:EP$9&lt;$KU$3:$KU$9))</f>
        <v>0</v>
      </c>
      <c r="EQ16" s="1">
        <f>SUMPRODUCT(NOT(ISBLANK(EQ$3:EQ$9))*(EQ$3:EQ$9&lt;$KV$3:$KV$9))</f>
        <v>0</v>
      </c>
      <c r="ER16" s="1">
        <f>SUMPRODUCT(NOT(ISBLANK(ER$3:ER$9))*(ER$3:ER$9&lt;$KW$3:$KW$9))</f>
        <v>0</v>
      </c>
      <c r="ES16" s="1">
        <f>SUMPRODUCT(NOT(ISBLANK(ES$3:ES$9))*(ES$3:ES$9&lt;$KX$3:$KX$9))</f>
        <v>0</v>
      </c>
      <c r="ET16" s="1">
        <f>SUMPRODUCT(NOT(ISBLANK(ET$3:ET$9))*(ET$3:ET$9&lt;$KY$3:$KY$9))</f>
        <v>0</v>
      </c>
      <c r="EU16" s="1">
        <f>SUMPRODUCT(NOT(ISBLANK(EU$3:EU$9))*(EU$3:EU$9&lt;$KZ$3:$KZ$9))</f>
        <v>0</v>
      </c>
      <c r="EV16" s="1">
        <f>SUMPRODUCT(NOT(ISBLANK(EV$3:EV$9))*(EV$3:EV$9&lt;$LA$3:$LA$9))</f>
        <v>0</v>
      </c>
      <c r="EW16" s="1">
        <f>SUMPRODUCT(NOT(ISBLANK(EW$3:EW$9))*(EW$3:EW$9&lt;$LB$3:$LB$9))</f>
        <v>0</v>
      </c>
      <c r="EX16" s="1">
        <f>SUMPRODUCT(NOT(ISBLANK(EX$3:EX$9))*(EX$3:EX$9&lt;$LC$3:$LC$9))</f>
        <v>0</v>
      </c>
      <c r="EY16" s="1">
        <f>SUMPRODUCT(NOT(ISBLANK(EY$3:EY$9))*(EY$3:EY$9&lt;$LD$3:$LD$9))</f>
        <v>0</v>
      </c>
      <c r="EZ16" s="1">
        <f>SUMPRODUCT(NOT(ISBLANK(EZ$3:EZ$9))*(EZ$3:EZ$9&lt;$LE$3:$LE$9))</f>
        <v>0</v>
      </c>
      <c r="FA16" s="1">
        <f>SUMPRODUCT(NOT(ISBLANK(FA$3:FA$9))*(FA$3:FA$9&lt;$LF$3:$LF$9))</f>
        <v>0</v>
      </c>
      <c r="FB16" s="1">
        <f>SUMPRODUCT(NOT(ISBLANK(FB$3:FB$9))*(FB$3:FB$9&lt;$LG$3:$LG$9))</f>
        <v>0</v>
      </c>
      <c r="FC16" s="1">
        <f>SUMPRODUCT(NOT(ISBLANK(FC$3:FC$9))*(FC$3:FC$9&lt;$LH$3:$LH$9))</f>
        <v>0</v>
      </c>
      <c r="FD16" s="1"/>
      <c r="FE16" s="1">
        <f>SUMPRODUCT(NOT(ISBLANK(FE$3:FE$9))*(FE$3:FE$9&lt;$LI$3:$LI$9))</f>
        <v>0</v>
      </c>
      <c r="FF16" s="1">
        <f>SUMPRODUCT(NOT(ISBLANK(FF$3:FF$9))*(FF$3:FF$9&lt;$LJ$3:$LJ$9))</f>
        <v>0</v>
      </c>
      <c r="FG16" s="1">
        <f>SUMPRODUCT(NOT(ISBLANK(FG$3:FG$9))*(FG$3:FG$9&lt;$LK$3:$LK$9))</f>
        <v>0</v>
      </c>
      <c r="FH16" s="1">
        <f>SUMPRODUCT(NOT(ISBLANK(FH$3:FH$9))*(FH$3:FH$9&lt;$KU$3:$KU$9))</f>
        <v>0</v>
      </c>
      <c r="FI16" s="1">
        <f>SUMPRODUCT(NOT(ISBLANK(FI$3:FI$9))*(FI$3:FI$9&lt;$KV$3:$KV$9))</f>
        <v>0</v>
      </c>
      <c r="FJ16" s="1">
        <f>SUMPRODUCT(NOT(ISBLANK(FJ$3:FJ$9))*(FJ$3:FJ$9&lt;$KW$3:$KW$9))</f>
        <v>0</v>
      </c>
      <c r="FK16" s="1">
        <f>SUMPRODUCT(NOT(ISBLANK(FK$3:FK$9))*(FK$3:FK$9&lt;$KX$3:$KX$9))</f>
        <v>0</v>
      </c>
      <c r="FL16" s="1">
        <f>SUMPRODUCT(NOT(ISBLANK(FL$3:FL$9))*(FL$3:FL$9&lt;$KY$3:$KY$9))</f>
        <v>0</v>
      </c>
      <c r="FM16" s="1">
        <f>SUMPRODUCT(NOT(ISBLANK(FM$3:FM$9))*(FM$3:FM$9&lt;$KZ$3:$KZ$9))</f>
        <v>0</v>
      </c>
      <c r="FN16" s="1">
        <f>SUMPRODUCT(NOT(ISBLANK(FN$3:FN$9))*(FN$3:FN$9&lt;$LA$3:$LA$9))</f>
        <v>0</v>
      </c>
      <c r="FO16" s="1">
        <f>SUMPRODUCT(NOT(ISBLANK(FO$3:FO$9))*(FO$3:FO$9&lt;$LB$3:$LB$9))</f>
        <v>0</v>
      </c>
      <c r="FP16" s="1">
        <f>SUMPRODUCT(NOT(ISBLANK(FP$3:FP$9))*(FP$3:FP$9&lt;$LC$3:$LC$9))</f>
        <v>0</v>
      </c>
      <c r="FQ16" s="1">
        <f>SUMPRODUCT(NOT(ISBLANK(FQ$3:FQ$9))*(FQ$3:FQ$9&lt;$LD$3:$LD$9))</f>
        <v>0</v>
      </c>
      <c r="FR16" s="1">
        <f>SUMPRODUCT(NOT(ISBLANK(FR$3:FR$9))*(FR$3:FR$9&lt;$LE$3:$LE$9))</f>
        <v>0</v>
      </c>
      <c r="FS16" s="1">
        <f>SUMPRODUCT(NOT(ISBLANK(FS$3:FS$9))*(FS$3:FS$9&lt;$LF$3:$LF$9))</f>
        <v>0</v>
      </c>
      <c r="FT16" s="1">
        <f>SUMPRODUCT(NOT(ISBLANK(FT$3:FT$9))*(FT$3:FT$9&lt;$LG$3:$LG$9))</f>
        <v>0</v>
      </c>
      <c r="FU16" s="1">
        <f>SUMPRODUCT(NOT(ISBLANK(FU$3:FU$9))*(FU$3:FU$9&lt;$LH$3:$LH$9))</f>
        <v>0</v>
      </c>
      <c r="FV16" s="1"/>
      <c r="FW16" s="1">
        <f>SUMPRODUCT(NOT(ISBLANK(FW$3:FW$9))*(FW$3:FW$9&lt;$LI$3:$LI$9))</f>
        <v>0</v>
      </c>
      <c r="FX16" s="1">
        <f>SUMPRODUCT(NOT(ISBLANK(FX$3:FX$9))*(FX$3:FX$9&lt;$LJ$3:$LJ$9))</f>
        <v>0</v>
      </c>
      <c r="FY16" s="1">
        <f>SUMPRODUCT(NOT(ISBLANK(FY$3:FY$9))*(FY$3:FY$9&lt;$LK$3:$LK$9))</f>
        <v>0</v>
      </c>
      <c r="FZ16" s="1">
        <f>SUMPRODUCT(NOT(ISBLANK(FZ$3:FZ$9))*(FZ$3:FZ$9&lt;$KU$3:$KU$9))</f>
        <v>0</v>
      </c>
      <c r="GA16" s="1">
        <f>SUMPRODUCT(NOT(ISBLANK(GA$3:GA$9))*(GA$3:GA$9&lt;$KV$3:$KV$9))</f>
        <v>0</v>
      </c>
      <c r="GB16" s="1">
        <f>SUMPRODUCT(NOT(ISBLANK(GB$3:GB$9))*(GB$3:GB$9&lt;$KW$3:$KW$9))</f>
        <v>0</v>
      </c>
      <c r="GC16" s="1">
        <f>SUMPRODUCT(NOT(ISBLANK(GC$3:GC$9))*(GC$3:GC$9&lt;$KX$3:$KX$9))</f>
        <v>0</v>
      </c>
      <c r="GD16" s="1">
        <f>SUMPRODUCT(NOT(ISBLANK(GD$3:GD$9))*(GD$3:GD$9&lt;$KY$3:$KY$9))</f>
        <v>0</v>
      </c>
      <c r="GE16" s="1">
        <f>SUMPRODUCT(NOT(ISBLANK(GE$3:GE$9))*(GE$3:GE$9&lt;$KZ$3:$KZ$9))</f>
        <v>0</v>
      </c>
      <c r="GF16" s="1">
        <f>SUMPRODUCT(NOT(ISBLANK(GF$3:GF$9))*(GF$3:GF$9&lt;$LA$3:$LA$9))</f>
        <v>0</v>
      </c>
      <c r="GG16" s="1">
        <f>SUMPRODUCT(NOT(ISBLANK(GG$3:GG$9))*(GG$3:GG$9&lt;$LB$3:$LB$9))</f>
        <v>0</v>
      </c>
      <c r="GH16" s="1">
        <f>SUMPRODUCT(NOT(ISBLANK(GH$3:GH$9))*(GH$3:GH$9&lt;$LC$3:$LC$9))</f>
        <v>0</v>
      </c>
      <c r="GI16" s="1">
        <f>SUMPRODUCT(NOT(ISBLANK(GI$3:GI$9))*(GI$3:GI$9&lt;$LD$3:$LD$9))</f>
        <v>0</v>
      </c>
      <c r="GJ16" s="1">
        <f>SUMPRODUCT(NOT(ISBLANK(GJ$3:GJ$9))*(GJ$3:GJ$9&lt;$LE$3:$LE$9))</f>
        <v>0</v>
      </c>
      <c r="GK16" s="1">
        <f>SUMPRODUCT(NOT(ISBLANK(GK$3:GK$9))*(GK$3:GK$9&lt;$LF$3:$LF$9))</f>
        <v>0</v>
      </c>
      <c r="GL16" s="1">
        <f>SUMPRODUCT(NOT(ISBLANK(GL$3:GL$9))*(GL$3:GL$9&lt;$LG$3:$LG$9))</f>
        <v>0</v>
      </c>
      <c r="GM16" s="1">
        <f>SUMPRODUCT(NOT(ISBLANK(GM$3:GM$9))*(GM$3:GM$9&lt;$LH$3:$LH$9))</f>
        <v>0</v>
      </c>
      <c r="GN16" s="1"/>
      <c r="GO16" s="1">
        <f>SUMPRODUCT(NOT(ISBLANK(GO$3:GO$9))*(GO$3:GO$9&lt;$LI$3:$LI$9))</f>
        <v>0</v>
      </c>
      <c r="GP16" s="1">
        <f>SUMPRODUCT(NOT(ISBLANK(GP$3:GP$9))*(GP$3:GP$9&lt;$LJ$3:$LJ$9))</f>
        <v>0</v>
      </c>
      <c r="GQ16" s="1">
        <f>SUMPRODUCT(NOT(ISBLANK(GQ$3:GQ$9))*(GQ$3:GQ$9&lt;$LK$3:$LK$9))</f>
        <v>0</v>
      </c>
      <c r="GR16" s="1">
        <f>SUMPRODUCT(NOT(ISBLANK(GR$3:GR$9))*(GR$3:GR$9&lt;$KU$3:$KU$9))</f>
        <v>0</v>
      </c>
      <c r="GS16" s="1">
        <f>SUMPRODUCT(NOT(ISBLANK(GS$3:GS$9))*(GS$3:GS$9&lt;$KV$3:$KV$9))</f>
        <v>0</v>
      </c>
      <c r="GT16" s="1">
        <f>SUMPRODUCT(NOT(ISBLANK(GT$3:GT$9))*(GT$3:GT$9&lt;$KW$3:$KW$9))</f>
        <v>0</v>
      </c>
      <c r="GU16" s="1">
        <f>SUMPRODUCT(NOT(ISBLANK(GU$3:GU$9))*(GU$3:GU$9&lt;$KX$3:$KX$9))</f>
        <v>0</v>
      </c>
      <c r="GV16" s="1">
        <f>SUMPRODUCT(NOT(ISBLANK(GV$3:GV$9))*(GV$3:GV$9&lt;$KY$3:$KY$9))</f>
        <v>0</v>
      </c>
      <c r="GW16" s="1">
        <f>SUMPRODUCT(NOT(ISBLANK(GW$3:GW$9))*(GW$3:GW$9&lt;$KZ$3:$KZ$9))</f>
        <v>0</v>
      </c>
      <c r="GX16" s="1">
        <f>SUMPRODUCT(NOT(ISBLANK(GX$3:GX$9))*(GX$3:GX$9&lt;$LA$3:$LA$9))</f>
        <v>0</v>
      </c>
      <c r="GY16" s="1">
        <f>SUMPRODUCT(NOT(ISBLANK(GY$3:GY$9))*(GY$3:GY$9&lt;$LB$3:$LB$9))</f>
        <v>0</v>
      </c>
      <c r="GZ16" s="1">
        <f>SUMPRODUCT(NOT(ISBLANK(GZ$3:GZ$9))*(GZ$3:GZ$9&lt;$LC$3:$LC$9))</f>
        <v>0</v>
      </c>
      <c r="HA16" s="1">
        <f>SUMPRODUCT(NOT(ISBLANK(HA$3:HA$9))*(HA$3:HA$9&lt;$LD$3:$LD$9))</f>
        <v>0</v>
      </c>
      <c r="HB16" s="1">
        <f>SUMPRODUCT(NOT(ISBLANK(HB$3:HB$9))*(HB$3:HB$9&lt;$LE$3:$LE$9))</f>
        <v>0</v>
      </c>
      <c r="HC16" s="1">
        <f>SUMPRODUCT(NOT(ISBLANK(HC$3:HC$9))*(HC$3:HC$9&lt;$LF$3:$LF$9))</f>
        <v>0</v>
      </c>
      <c r="HD16" s="1">
        <f>SUMPRODUCT(NOT(ISBLANK(HD$3:HD$9))*(HD$3:HD$9&lt;$LG$3:$LG$9))</f>
        <v>0</v>
      </c>
      <c r="HE16" s="1">
        <f>SUMPRODUCT(NOT(ISBLANK(HE$3:HE$9))*(HE$3:HE$9&lt;$LH$3:$LH$9))</f>
        <v>0</v>
      </c>
      <c r="HF16" s="1"/>
      <c r="HG16" s="1">
        <f>SUMPRODUCT(NOT(ISBLANK(HG$3:HG$9))*(HG$3:HG$9&lt;$LI$3:$LI$9))</f>
        <v>0</v>
      </c>
      <c r="HH16" s="1">
        <f>SUMPRODUCT(NOT(ISBLANK(HH$3:HH$9))*(HH$3:HH$9&lt;$LJ$3:$LJ$9))</f>
        <v>0</v>
      </c>
      <c r="HI16" s="1">
        <f>SUMPRODUCT(NOT(ISBLANK(HI$3:HI$9))*(HI$3:HI$9&lt;$LK$3:$LK$9))</f>
        <v>0</v>
      </c>
      <c r="HJ16" s="1">
        <f>SUMPRODUCT(NOT(ISBLANK(HJ$3:HJ$9))*(HJ$3:HJ$9&lt;$KU$3:$KU$9))</f>
        <v>0</v>
      </c>
      <c r="HK16" s="1">
        <f>SUMPRODUCT(NOT(ISBLANK(HK$3:HK$9))*(HK$3:HK$9&lt;$KV$3:$KV$9))</f>
        <v>0</v>
      </c>
      <c r="HL16" s="1">
        <f>SUMPRODUCT(NOT(ISBLANK(HL$3:HL$9))*(HL$3:HL$9&lt;$KW$3:$KW$9))</f>
        <v>0</v>
      </c>
      <c r="HM16" s="1">
        <f>SUMPRODUCT(NOT(ISBLANK(HM$3:HM$9))*(HM$3:HM$9&lt;$KX$3:$KX$9))</f>
        <v>0</v>
      </c>
      <c r="HN16" s="1">
        <f>SUMPRODUCT(NOT(ISBLANK(HN$3:HN$9))*(HN$3:HN$9&lt;$KY$3:$KY$9))</f>
        <v>0</v>
      </c>
      <c r="HO16" s="1">
        <f>SUMPRODUCT(NOT(ISBLANK(HO$3:HO$9))*(HO$3:HO$9&lt;$KZ$3:$KZ$9))</f>
        <v>0</v>
      </c>
      <c r="HP16" s="1">
        <f>SUMPRODUCT(NOT(ISBLANK(HP$3:HP$9))*(HP$3:HP$9&lt;$LA$3:$LA$9))</f>
        <v>0</v>
      </c>
      <c r="HQ16" s="1">
        <f>SUMPRODUCT(NOT(ISBLANK(HQ$3:HQ$9))*(HQ$3:HQ$9&lt;$LB$3:$LB$9))</f>
        <v>0</v>
      </c>
      <c r="HR16" s="1">
        <f>SUMPRODUCT(NOT(ISBLANK(HR$3:HR$9))*(HR$3:HR$9&lt;$LC$3:$LC$9))</f>
        <v>0</v>
      </c>
      <c r="HS16" s="1">
        <f>SUMPRODUCT(NOT(ISBLANK(HS$3:HS$9))*(HS$3:HS$9&lt;$LD$3:$LD$9))</f>
        <v>0</v>
      </c>
      <c r="HT16" s="1">
        <f>SUMPRODUCT(NOT(ISBLANK(HT$3:HT$9))*(HT$3:HT$9&lt;$LE$3:$LE$9))</f>
        <v>0</v>
      </c>
      <c r="HU16" s="1">
        <f>SUMPRODUCT(NOT(ISBLANK(HU$3:HU$9))*(HU$3:HU$9&lt;$LF$3:$LF$9))</f>
        <v>0</v>
      </c>
      <c r="HV16" s="1">
        <f>SUMPRODUCT(NOT(ISBLANK(HV$3:HV$9))*(HV$3:HV$9&lt;$LG$3:$LG$9))</f>
        <v>0</v>
      </c>
      <c r="HW16" s="1">
        <f>SUMPRODUCT(NOT(ISBLANK(HW$3:HW$9))*(HW$3:HW$9&lt;$LH$3:$LH$9))</f>
        <v>0</v>
      </c>
      <c r="HX16" s="1"/>
      <c r="HY16" s="1">
        <f>SUMPRODUCT(NOT(ISBLANK(HY$3:HY$9))*(HY$3:HY$9&lt;$LI$3:$LI$9))</f>
        <v>0</v>
      </c>
      <c r="HZ16" s="1">
        <f>SUMPRODUCT(NOT(ISBLANK(HZ$3:HZ$9))*(HZ$3:HZ$9&lt;$LJ$3:$LJ$9))</f>
        <v>0</v>
      </c>
      <c r="IA16" s="1">
        <f>SUMPRODUCT(NOT(ISBLANK(IA$3:IA$9))*(IA$3:IA$9&lt;$LK$3:$LK$9))</f>
        <v>0</v>
      </c>
      <c r="IB16" s="1">
        <f>SUMPRODUCT(NOT(ISBLANK(IB$3:IB$9))*(IB$3:IB$9&lt;$KU$3:$KU$9))</f>
        <v>0</v>
      </c>
      <c r="IC16" s="1">
        <f>SUMPRODUCT(NOT(ISBLANK(IC$3:IC$9))*(IC$3:IC$9&lt;$KV$3:$KV$9))</f>
        <v>0</v>
      </c>
      <c r="ID16" s="1">
        <f>SUMPRODUCT(NOT(ISBLANK(ID$3:ID$9))*(ID$3:ID$9&lt;$KW$3:$KW$9))</f>
        <v>0</v>
      </c>
      <c r="IE16" s="1">
        <f>SUMPRODUCT(NOT(ISBLANK(IE$3:IE$9))*(IE$3:IE$9&lt;$KX$3:$KX$9))</f>
        <v>0</v>
      </c>
      <c r="IF16" s="1">
        <f>SUMPRODUCT(NOT(ISBLANK(IF$3:IF$9))*(IF$3:IF$9&lt;$KY$3:$KY$9))</f>
        <v>0</v>
      </c>
      <c r="IG16" s="1">
        <f>SUMPRODUCT(NOT(ISBLANK(IG$3:IG$9))*(IG$3:IG$9&lt;$KZ$3:$KZ$9))</f>
        <v>0</v>
      </c>
      <c r="IH16" s="1">
        <f>SUMPRODUCT(NOT(ISBLANK(IH$3:IH$9))*(IH$3:IH$9&lt;$LA$3:$LA$9))</f>
        <v>0</v>
      </c>
      <c r="II16" s="1">
        <f>SUMPRODUCT(NOT(ISBLANK(II$3:II$9))*(II$3:II$9&lt;$LB$3:$LB$9))</f>
        <v>0</v>
      </c>
      <c r="IJ16" s="1">
        <f>SUMPRODUCT(NOT(ISBLANK(IJ$3:IJ$9))*(IJ$3:IJ$9&lt;$LC$3:$LC$9))</f>
        <v>0</v>
      </c>
      <c r="IK16" s="1">
        <f>SUMPRODUCT(NOT(ISBLANK(IK$3:IK$9))*(IK$3:IK$9&lt;$LD$3:$LD$9))</f>
        <v>0</v>
      </c>
      <c r="IL16" s="1">
        <f>SUMPRODUCT(NOT(ISBLANK(IL$3:IL$9))*(IL$3:IL$9&lt;$LE$3:$LE$9))</f>
        <v>0</v>
      </c>
      <c r="IM16" s="1">
        <f>SUMPRODUCT(NOT(ISBLANK(IM$3:IM$9))*(IM$3:IM$9&lt;$LF$3:$LF$9))</f>
        <v>0</v>
      </c>
      <c r="IN16" s="1">
        <f>SUMPRODUCT(NOT(ISBLANK(IN$3:IN$9))*(IN$3:IN$9&lt;$LG$3:$LG$9))</f>
        <v>0</v>
      </c>
      <c r="IO16" s="1">
        <f>SUMPRODUCT(NOT(ISBLANK(IO$3:IO$9))*(IO$3:IO$9&lt;$LH$3:$LH$9))</f>
        <v>0</v>
      </c>
      <c r="IP16" s="1"/>
      <c r="IQ16" s="1">
        <f>SUMPRODUCT(NOT(ISBLANK(IQ$3:IQ$9))*(IQ$3:IQ$9&lt;$LI$3:$LI$9))</f>
        <v>0</v>
      </c>
      <c r="IR16" s="1">
        <f>SUMPRODUCT(NOT(ISBLANK(IR$3:IR$9))*(IR$3:IR$9&lt;$LJ$3:$LJ$9))</f>
        <v>0</v>
      </c>
      <c r="IS16" s="1">
        <f>SUMPRODUCT(NOT(ISBLANK(IS$3:IS$9))*(IS$3:IS$9&lt;$LK$3:$LK$9))</f>
        <v>0</v>
      </c>
      <c r="IT16" s="1">
        <f>SUMPRODUCT(NOT(ISBLANK(IT$3:IT$9))*(IT$3:IT$9&lt;$KU$3:$KU$9))</f>
        <v>0</v>
      </c>
      <c r="IU16" s="1">
        <f>SUMPRODUCT(NOT(ISBLANK(IU$3:IU$9))*(IU$3:IU$9&lt;$KV$3:$KV$9))</f>
        <v>0</v>
      </c>
      <c r="IV16" s="1">
        <f>SUMPRODUCT(NOT(ISBLANK(IV$3:IV$9))*(IV$3:IV$9&lt;$KW$3:$KW$9))</f>
        <v>0</v>
      </c>
      <c r="IW16" s="1">
        <f>SUMPRODUCT(NOT(ISBLANK(IW$3:IW$9))*(IW$3:IW$9&lt;$KX$3:$KX$9))</f>
        <v>0</v>
      </c>
      <c r="IX16" s="1">
        <f>SUMPRODUCT(NOT(ISBLANK(IX$3:IX$9))*(IX$3:IX$9&lt;$KY$3:$KY$9))</f>
        <v>0</v>
      </c>
      <c r="IY16" s="1">
        <f>SUMPRODUCT(NOT(ISBLANK(IY$3:IY$9))*(IY$3:IY$9&lt;$KZ$3:$KZ$9))</f>
        <v>0</v>
      </c>
      <c r="IZ16" s="1">
        <f>SUMPRODUCT(NOT(ISBLANK(IZ$3:IZ$9))*(IZ$3:IZ$9&lt;$LA$3:$LA$9))</f>
        <v>0</v>
      </c>
      <c r="JA16" s="1">
        <f>SUMPRODUCT(NOT(ISBLANK(JA$3:JA$9))*(JA$3:JA$9&lt;$LB$3:$LB$9))</f>
        <v>0</v>
      </c>
      <c r="JB16" s="1">
        <f>SUMPRODUCT(NOT(ISBLANK(JB$3:JB$9))*(JB$3:JB$9&lt;$LC$3:$LC$9))</f>
        <v>0</v>
      </c>
      <c r="JC16" s="1">
        <f>SUMPRODUCT(NOT(ISBLANK(JC$3:JC$9))*(JC$3:JC$9&lt;$LD$3:$LD$9))</f>
        <v>0</v>
      </c>
      <c r="JD16" s="1">
        <f>SUMPRODUCT(NOT(ISBLANK(JD$3:JD$9))*(JD$3:JD$9&lt;$LE$3:$LE$9))</f>
        <v>0</v>
      </c>
      <c r="JE16" s="1">
        <f>SUMPRODUCT(NOT(ISBLANK(JE$3:JE$9))*(JE$3:JE$9&lt;$LF$3:$LF$9))</f>
        <v>0</v>
      </c>
      <c r="JF16" s="1">
        <f>SUMPRODUCT(NOT(ISBLANK(JF$3:JF$9))*(JF$3:JF$9&lt;$LG$3:$LG$9))</f>
        <v>0</v>
      </c>
      <c r="JG16" s="1">
        <f>SUMPRODUCT(NOT(ISBLANK(JG$3:JG$9))*(JG$3:JG$9&lt;$LH$3:$LH$9))</f>
        <v>0</v>
      </c>
      <c r="JH16" s="1"/>
      <c r="JI16" s="1">
        <f>SUMPRODUCT(NOT(ISBLANK(JI$3:JI$9))*(JI$3:JI$9&lt;$LI$3:$LI$9))</f>
        <v>0</v>
      </c>
      <c r="JJ16" s="1">
        <f>SUMPRODUCT(NOT(ISBLANK(JJ$3:JJ$9))*(JJ$3:JJ$9&lt;$LJ$3:$LJ$9))</f>
        <v>0</v>
      </c>
      <c r="JK16" s="1">
        <f>SUMPRODUCT(NOT(ISBLANK(JK$3:JK$9))*(JK$3:JK$9&lt;$LK$3:$LK$9))</f>
        <v>0</v>
      </c>
      <c r="JL16" s="1">
        <f>SUMPRODUCT(NOT(ISBLANK(JL$3:JL$9))*(JL$3:JL$9&lt;$KU$3:$KU$9))</f>
        <v>0</v>
      </c>
      <c r="JM16" s="1">
        <f>SUMPRODUCT(NOT(ISBLANK(JM$3:JM$9))*(JM$3:JM$9&lt;$KV$3:$KV$9))</f>
        <v>0</v>
      </c>
      <c r="JN16" s="1">
        <f>SUMPRODUCT(NOT(ISBLANK(JN$3:JN$9))*(JN$3:JN$9&lt;$KW$3:$KW$9))</f>
        <v>0</v>
      </c>
      <c r="JO16" s="1">
        <f>SUMPRODUCT(NOT(ISBLANK(JO$3:JO$9))*(JO$3:JO$9&lt;$KX$3:$KX$9))</f>
        <v>0</v>
      </c>
      <c r="JP16" s="1">
        <f>SUMPRODUCT(NOT(ISBLANK(JP$3:JP$9))*(JP$3:JP$9&lt;$KY$3:$KY$9))</f>
        <v>0</v>
      </c>
      <c r="JQ16" s="1">
        <f>SUMPRODUCT(NOT(ISBLANK(JQ$3:JQ$9))*(JQ$3:JQ$9&lt;$KZ$3:$KZ$9))</f>
        <v>0</v>
      </c>
      <c r="JR16" s="1">
        <f>SUMPRODUCT(NOT(ISBLANK(JR$3:JR$9))*(JR$3:JR$9&lt;$LA$3:$LA$9))</f>
        <v>0</v>
      </c>
      <c r="JS16" s="1">
        <f>SUMPRODUCT(NOT(ISBLANK(JS$3:JS$9))*(JS$3:JS$9&lt;$LB$3:$LB$9))</f>
        <v>0</v>
      </c>
      <c r="JT16" s="1">
        <f>SUMPRODUCT(NOT(ISBLANK(JT$3:JT$9))*(JT$3:JT$9&lt;$LC$3:$LC$9))</f>
        <v>0</v>
      </c>
      <c r="JU16" s="1">
        <f>SUMPRODUCT(NOT(ISBLANK(JU$3:JU$9))*(JU$3:JU$9&lt;$LD$3:$LD$9))</f>
        <v>0</v>
      </c>
      <c r="JV16" s="1">
        <f>SUMPRODUCT(NOT(ISBLANK(JV$3:JV$9))*(JV$3:JV$9&lt;$LE$3:$LE$9))</f>
        <v>0</v>
      </c>
      <c r="JW16" s="1">
        <f>SUMPRODUCT(NOT(ISBLANK(JW$3:JW$9))*(JW$3:JW$9&lt;$LF$3:$LF$9))</f>
        <v>0</v>
      </c>
      <c r="JX16" s="1">
        <f>SUMPRODUCT(NOT(ISBLANK(JX$3:JX$9))*(JX$3:JX$9&lt;$LG$3:$LG$9))</f>
        <v>0</v>
      </c>
      <c r="JY16" s="1">
        <f>SUMPRODUCT(NOT(ISBLANK(JY$3:JY$9))*(JY$3:JY$9&lt;$LH$3:$LH$9))</f>
        <v>0</v>
      </c>
      <c r="JZ16" s="1"/>
      <c r="KA16" s="1">
        <f>SUMPRODUCT(NOT(ISBLANK(KA$3:KA$9))*(KA$3:KA$9&lt;$LI$3:$LI$9))</f>
        <v>0</v>
      </c>
      <c r="KB16" s="1">
        <f>SUMPRODUCT(NOT(ISBLANK(KB$3:KB$9))*(KB$3:KB$9&lt;$LJ$3:$LJ$9))</f>
        <v>0</v>
      </c>
      <c r="KC16" s="1">
        <f>SUMPRODUCT(NOT(ISBLANK(KC$3:KC$9))*(KC$3:KC$9&lt;$LK$3:$LK$9))</f>
        <v>0</v>
      </c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</row>
    <row r="17" spans="1:340">
      <c r="A17" s="1" t="s">
        <v>13</v>
      </c>
      <c r="B17" s="1">
        <f>SUMPRODUCT((NOT(ISBLANK(B$3:B$9))*(B$3:B$9&gt;$KU$3:$KU$9))+ISBLANK(B$3:B$9))</f>
        <v>0</v>
      </c>
      <c r="C17" s="1">
        <f>SUMPRODUCT((NOT(ISBLANK(C$3:C$9))*(C$3:C$9&gt;$KV$3:$KV$9))+ISBLANK(C$3:C$9))</f>
        <v>0</v>
      </c>
      <c r="D17" s="1">
        <f>SUMPRODUCT((NOT(ISBLANK(D$3:D$9))*(D$3:D$9&gt;$KW$3:$KW$9))+ISBLANK(D$3:D$9))</f>
        <v>0</v>
      </c>
      <c r="E17" s="1">
        <f>SUMPRODUCT((NOT(ISBLANK(E$3:E$9))*(E$3:E$9&gt;$KX$3:$KX$9))+ISBLANK(E$3:E$9))</f>
        <v>0</v>
      </c>
      <c r="F17" s="1">
        <f>SUMPRODUCT((NOT(ISBLANK(F$3:F$9))*(F$3:F$9&gt;$KY$3:$KY$9))+ISBLANK(F$3:F$9))</f>
        <v>0</v>
      </c>
      <c r="G17" s="1">
        <f>SUMPRODUCT((NOT(ISBLANK(G$3:G$9))*(G$3:G$9&gt;$KZ$3:$KZ$9))+ISBLANK(G$3:G$9))</f>
        <v>0</v>
      </c>
      <c r="H17" s="1">
        <f>SUMPRODUCT((NOT(ISBLANK(H$3:H$9))*(H$3:H$9&gt;$LA$3:$LA$9))+ISBLANK(H$3:H$9))</f>
        <v>0</v>
      </c>
      <c r="I17" s="1">
        <f>SUMPRODUCT((NOT(ISBLANK(I$3:I$9))*(I$3:I$9&gt;$LB$3:$LB$9))+ISBLANK(I$3:I$9))</f>
        <v>0</v>
      </c>
      <c r="J17" s="1">
        <f>SUMPRODUCT((NOT(ISBLANK(J$3:J$9))*(J$3:J$9&gt;$LC$3:$LC$9))+ISBLANK(J$3:J$9))</f>
        <v>0</v>
      </c>
      <c r="K17" s="1">
        <f>SUMPRODUCT((NOT(ISBLANK(K$3:K$9))*(K$3:K$9&gt;$LD$3:$LD$9))+ISBLANK(K$3:K$9))</f>
        <v>0</v>
      </c>
      <c r="L17" s="1">
        <f>SUMPRODUCT((NOT(ISBLANK(L$3:L$9))*(L$3:L$9&gt;$LE$3:$LE$9))+ISBLANK(L$3:L$9))</f>
        <v>0</v>
      </c>
      <c r="M17" s="1">
        <f>SUMPRODUCT((NOT(ISBLANK(M$3:M$9))*(M$3:M$9&gt;$LF$3:$LF$9))+ISBLANK(M$3:M$9))</f>
        <v>0</v>
      </c>
      <c r="N17" s="1">
        <f>SUMPRODUCT((NOT(ISBLANK(N$3:N$9))*(N$3:N$9&gt;$LG$3:$LG$9))+ISBLANK(N$3:N$9))</f>
        <v>0</v>
      </c>
      <c r="O17" s="1">
        <f>SUMPRODUCT((NOT(ISBLANK(O$3:O$9))*(O$3:O$9&gt;$LH$3:$LH$9))+ISBLANK(O$3:O$9))</f>
        <v>0</v>
      </c>
      <c r="P17" s="1"/>
      <c r="Q17" s="1">
        <f>SUMPRODUCT((NOT(ISBLANK(Q$3:Q$9))*(Q$3:Q$9&gt;$LI$3:$LI$9))+ISBLANK(Q$3:Q$9))</f>
        <v>0</v>
      </c>
      <c r="R17" s="1">
        <f>SUMPRODUCT((NOT(ISBLANK(R$3:R$9))*(R$3:R$9&gt;$LJ$3:$LJ$9))+ISBLANK(R$3:R$9))</f>
        <v>0</v>
      </c>
      <c r="S17" s="1">
        <f>SUMPRODUCT((NOT(ISBLANK(S$3:S$9))*(S$3:S$9&gt;$LK$3:$LK$9))+ISBLANK(S$3:S$9))</f>
        <v>0</v>
      </c>
      <c r="T17" s="1">
        <f>SUMPRODUCT((NOT(ISBLANK(T$3:T$9))*(T$3:T$9&gt;$KU$3:$KU$9))+ISBLANK(T$3:T$9))</f>
        <v>0</v>
      </c>
      <c r="U17" s="1">
        <f>SUMPRODUCT((NOT(ISBLANK(U$3:U$9))*(U$3:U$9&gt;$KV$3:$KV$9))+ISBLANK(U$3:U$9))</f>
        <v>0</v>
      </c>
      <c r="V17" s="1">
        <f>SUMPRODUCT((NOT(ISBLANK(V$3:V$9))*(V$3:V$9&gt;$KW$3:$KW$9))+ISBLANK(V$3:V$9))</f>
        <v>0</v>
      </c>
      <c r="W17" s="1">
        <f>SUMPRODUCT((NOT(ISBLANK(W$3:W$9))*(W$3:W$9&gt;$KX$3:$KX$9))+ISBLANK(W$3:W$9))</f>
        <v>0</v>
      </c>
      <c r="X17" s="1">
        <f>SUMPRODUCT((NOT(ISBLANK(X$3:X$9))*(X$3:X$9&gt;$KY$3:$KY$9))+ISBLANK(X$3:X$9))</f>
        <v>0</v>
      </c>
      <c r="Y17" s="1">
        <f>SUMPRODUCT((NOT(ISBLANK(Y$3:Y$9))*(Y$3:Y$9&gt;$KZ$3:$KZ$9))+ISBLANK(Y$3:Y$9))</f>
        <v>0</v>
      </c>
      <c r="Z17" s="1">
        <f>SUMPRODUCT((NOT(ISBLANK(Z$3:Z$9))*(Z$3:Z$9&gt;$LA$3:$LA$9))+ISBLANK(Z$3:Z$9))</f>
        <v>0</v>
      </c>
      <c r="AA17" s="1">
        <f>SUMPRODUCT((NOT(ISBLANK(AA$3:AA$9))*(AA$3:AA$9&gt;$LB$3:$LB$9))+ISBLANK(AA$3:AA$9))</f>
        <v>0</v>
      </c>
      <c r="AB17" s="1">
        <f>SUMPRODUCT((NOT(ISBLANK(AB$3:AB$9))*(AB$3:AB$9&gt;$LC$3:$LC$9))+ISBLANK(AB$3:AB$9))</f>
        <v>0</v>
      </c>
      <c r="AC17" s="1">
        <f>SUMPRODUCT((NOT(ISBLANK(AC$3:AC$9))*(AC$3:AC$9&gt;$LD$3:$LD$9))+ISBLANK(AC$3:AC$9))</f>
        <v>0</v>
      </c>
      <c r="AD17" s="1">
        <f>SUMPRODUCT((NOT(ISBLANK(AD$3:AD$9))*(AD$3:AD$9&gt;$LE$3:$LE$9))+ISBLANK(AD$3:AD$9))</f>
        <v>0</v>
      </c>
      <c r="AE17" s="1">
        <f>SUMPRODUCT((NOT(ISBLANK(AE$3:AE$9))*(AE$3:AE$9&gt;$LF$3:$LF$9))+ISBLANK(AE$3:AE$9))</f>
        <v>0</v>
      </c>
      <c r="AF17" s="1">
        <f>SUMPRODUCT((NOT(ISBLANK(AF$3:AF$9))*(AF$3:AF$9&gt;$LG$3:$LG$9))+ISBLANK(AF$3:AF$9))</f>
        <v>0</v>
      </c>
      <c r="AG17" s="1">
        <f>SUMPRODUCT((NOT(ISBLANK(AG$3:AG$9))*(AG$3:AG$9&gt;$LH$3:$LH$9))+ISBLANK(AG$3:AG$9))</f>
        <v>0</v>
      </c>
      <c r="AH17" s="1"/>
      <c r="AI17" s="1">
        <f>SUMPRODUCT((NOT(ISBLANK(AI$3:AI$9))*(AI$3:AI$9&gt;$LI$3:$LI$9))+ISBLANK(AI$3:AI$9))</f>
        <v>0</v>
      </c>
      <c r="AJ17" s="1">
        <f>SUMPRODUCT((NOT(ISBLANK(AJ$3:AJ$9))*(AJ$3:AJ$9&gt;$LJ$3:$LJ$9))+ISBLANK(AJ$3:AJ$9))</f>
        <v>0</v>
      </c>
      <c r="AK17" s="1">
        <f>SUMPRODUCT((NOT(ISBLANK(AK$3:AK$9))*(AK$3:AK$9&gt;$LK$3:$LK$9))+ISBLANK(AK$3:AK$9))</f>
        <v>0</v>
      </c>
      <c r="AL17" s="1">
        <f>SUMPRODUCT((NOT(ISBLANK(AL$3:AL$9))*(AL$3:AL$9&gt;$KU$3:$KU$9))+ISBLANK(AL$3:AL$9))</f>
        <v>0</v>
      </c>
      <c r="AM17" s="1">
        <f>SUMPRODUCT((NOT(ISBLANK(AM$3:AM$9))*(AM$3:AM$9&gt;$KV$3:$KV$9))+ISBLANK(AM$3:AM$9))</f>
        <v>0</v>
      </c>
      <c r="AN17" s="1">
        <f>SUMPRODUCT((NOT(ISBLANK(AN$3:AN$9))*(AN$3:AN$9&gt;$KW$3:$KW$9))+ISBLANK(AN$3:AN$9))</f>
        <v>0</v>
      </c>
      <c r="AO17" s="1">
        <f>SUMPRODUCT((NOT(ISBLANK(AO$3:AO$9))*(AO$3:AO$9&gt;$KX$3:$KX$9))+ISBLANK(AO$3:AO$9))</f>
        <v>0</v>
      </c>
      <c r="AP17" s="1">
        <f>SUMPRODUCT((NOT(ISBLANK(AP$3:AP$9))*(AP$3:AP$9&gt;$KY$3:$KY$9))+ISBLANK(AP$3:AP$9))</f>
        <v>0</v>
      </c>
      <c r="AQ17" s="1">
        <f>SUMPRODUCT((NOT(ISBLANK(AQ$3:AQ$9))*(AQ$3:AQ$9&gt;$KZ$3:$KZ$9))+ISBLANK(AQ$3:AQ$9))</f>
        <v>0</v>
      </c>
      <c r="AR17" s="1">
        <f>SUMPRODUCT((NOT(ISBLANK(AR$3:AR$9))*(AR$3:AR$9&gt;$LA$3:$LA$9))+ISBLANK(AR$3:AR$9))</f>
        <v>0</v>
      </c>
      <c r="AS17" s="1">
        <f>SUMPRODUCT((NOT(ISBLANK(AS$3:AS$9))*(AS$3:AS$9&gt;$LB$3:$LB$9))+ISBLANK(AS$3:AS$9))</f>
        <v>0</v>
      </c>
      <c r="AT17" s="1">
        <f>SUMPRODUCT((NOT(ISBLANK(AT$3:AT$9))*(AT$3:AT$9&gt;$LC$3:$LC$9))+ISBLANK(AT$3:AT$9))</f>
        <v>0</v>
      </c>
      <c r="AU17" s="1">
        <f>SUMPRODUCT((NOT(ISBLANK(AU$3:AU$9))*(AU$3:AU$9&gt;$LD$3:$LD$9))+ISBLANK(AU$3:AU$9))</f>
        <v>0</v>
      </c>
      <c r="AV17" s="1">
        <f>SUMPRODUCT((NOT(ISBLANK(AV$3:AV$9))*(AV$3:AV$9&gt;$LE$3:$LE$9))+ISBLANK(AV$3:AV$9))</f>
        <v>0</v>
      </c>
      <c r="AW17" s="1">
        <f>SUMPRODUCT((NOT(ISBLANK(AW$3:AW$9))*(AW$3:AW$9&gt;$LF$3:$LF$9))+ISBLANK(AW$3:AW$9))</f>
        <v>0</v>
      </c>
      <c r="AX17" s="1">
        <f>SUMPRODUCT((NOT(ISBLANK(AX$3:AX$9))*(AX$3:AX$9&gt;$LG$3:$LG$9))+ISBLANK(AX$3:AX$9))</f>
        <v>0</v>
      </c>
      <c r="AY17" s="1">
        <f>SUMPRODUCT((NOT(ISBLANK(AY$3:AY$9))*(AY$3:AY$9&gt;$LH$3:$LH$9))+ISBLANK(AY$3:AY$9))</f>
        <v>0</v>
      </c>
      <c r="AZ17" s="1"/>
      <c r="BA17" s="1">
        <f>SUMPRODUCT((NOT(ISBLANK(BA$3:BA$9))*(BA$3:BA$9&gt;$LI$3:$LI$9))+ISBLANK(BA$3:BA$9))</f>
        <v>0</v>
      </c>
      <c r="BB17" s="1">
        <f>SUMPRODUCT((NOT(ISBLANK(BB$3:BB$9))*(BB$3:BB$9&gt;$LJ$3:$LJ$9))+ISBLANK(BB$3:BB$9))</f>
        <v>0</v>
      </c>
      <c r="BC17" s="1">
        <f>SUMPRODUCT((NOT(ISBLANK(BC$3:BC$9))*(BC$3:BC$9&gt;$LK$3:$LK$9))+ISBLANK(BC$3:BC$9))</f>
        <v>0</v>
      </c>
      <c r="BD17" s="1">
        <f>SUMPRODUCT((NOT(ISBLANK(BD$3:BD$9))*(BD$3:BD$9&gt;$KU$3:$KU$9))+ISBLANK(BD$3:BD$9))</f>
        <v>0</v>
      </c>
      <c r="BE17" s="1">
        <f>SUMPRODUCT((NOT(ISBLANK(BE$3:BE$9))*(BE$3:BE$9&gt;$KV$3:$KV$9))+ISBLANK(BE$3:BE$9))</f>
        <v>0</v>
      </c>
      <c r="BF17" s="1">
        <f>SUMPRODUCT((NOT(ISBLANK(BF$3:BF$9))*(BF$3:BF$9&gt;$KW$3:$KW$9))+ISBLANK(BF$3:BF$9))</f>
        <v>0</v>
      </c>
      <c r="BG17" s="1">
        <f>SUMPRODUCT((NOT(ISBLANK(BG$3:BG$9))*(BG$3:BG$9&gt;$KX$3:$KX$9))+ISBLANK(BG$3:BG$9))</f>
        <v>0</v>
      </c>
      <c r="BH17" s="1">
        <f>SUMPRODUCT((NOT(ISBLANK(BH$3:BH$9))*(BH$3:BH$9&gt;$KY$3:$KY$9))+ISBLANK(BH$3:BH$9))</f>
        <v>0</v>
      </c>
      <c r="BI17" s="1">
        <f>SUMPRODUCT((NOT(ISBLANK(BI$3:BI$9))*(BI$3:BI$9&gt;$KZ$3:$KZ$9))+ISBLANK(BI$3:BI$9))</f>
        <v>0</v>
      </c>
      <c r="BJ17" s="1">
        <f>SUMPRODUCT((NOT(ISBLANK(BJ$3:BJ$9))*(BJ$3:BJ$9&gt;$LA$3:$LA$9))+ISBLANK(BJ$3:BJ$9))</f>
        <v>0</v>
      </c>
      <c r="BK17" s="1">
        <f>SUMPRODUCT((NOT(ISBLANK(BK$3:BK$9))*(BK$3:BK$9&gt;$LB$3:$LB$9))+ISBLANK(BK$3:BK$9))</f>
        <v>0</v>
      </c>
      <c r="BL17" s="1">
        <f>SUMPRODUCT((NOT(ISBLANK(BL$3:BL$9))*(BL$3:BL$9&gt;$LC$3:$LC$9))+ISBLANK(BL$3:BL$9))</f>
        <v>0</v>
      </c>
      <c r="BM17" s="1">
        <f>SUMPRODUCT((NOT(ISBLANK(BM$3:BM$9))*(BM$3:BM$9&gt;$LD$3:$LD$9))+ISBLANK(BM$3:BM$9))</f>
        <v>0</v>
      </c>
      <c r="BN17" s="1">
        <f>SUMPRODUCT((NOT(ISBLANK(BN$3:BN$9))*(BN$3:BN$9&gt;$LE$3:$LE$9))+ISBLANK(BN$3:BN$9))</f>
        <v>0</v>
      </c>
      <c r="BO17" s="1">
        <f>SUMPRODUCT((NOT(ISBLANK(BO$3:BO$9))*(BO$3:BO$9&gt;$LF$3:$LF$9))+ISBLANK(BO$3:BO$9))</f>
        <v>0</v>
      </c>
      <c r="BP17" s="1">
        <f>SUMPRODUCT((NOT(ISBLANK(BP$3:BP$9))*(BP$3:BP$9&gt;$LG$3:$LG$9))+ISBLANK(BP$3:BP$9))</f>
        <v>0</v>
      </c>
      <c r="BQ17" s="1">
        <f>SUMPRODUCT((NOT(ISBLANK(BQ$3:BQ$9))*(BQ$3:BQ$9&gt;$LH$3:$LH$9))+ISBLANK(BQ$3:BQ$9))</f>
        <v>0</v>
      </c>
      <c r="BR17" s="1"/>
      <c r="BS17" s="1">
        <f>SUMPRODUCT((NOT(ISBLANK(BS$3:BS$9))*(BS$3:BS$9&gt;$LI$3:$LI$9))+ISBLANK(BS$3:BS$9))</f>
        <v>0</v>
      </c>
      <c r="BT17" s="1">
        <f>SUMPRODUCT((NOT(ISBLANK(BT$3:BT$9))*(BT$3:BT$9&gt;$LJ$3:$LJ$9))+ISBLANK(BT$3:BT$9))</f>
        <v>0</v>
      </c>
      <c r="BU17" s="1">
        <f>SUMPRODUCT((NOT(ISBLANK(BU$3:BU$9))*(BU$3:BU$9&gt;$LK$3:$LK$9))+ISBLANK(BU$3:BU$9))</f>
        <v>0</v>
      </c>
      <c r="BV17" s="1">
        <f>SUMPRODUCT((NOT(ISBLANK(BV$3:BV$9))*(BV$3:BV$9&gt;$KU$3:$KU$9))+ISBLANK(BV$3:BV$9))</f>
        <v>0</v>
      </c>
      <c r="BW17" s="1">
        <f>SUMPRODUCT((NOT(ISBLANK(BW$3:BW$9))*(BW$3:BW$9&gt;$KV$3:$KV$9))+ISBLANK(BW$3:BW$9))</f>
        <v>0</v>
      </c>
      <c r="BX17" s="1">
        <f>SUMPRODUCT((NOT(ISBLANK(BX$3:BX$9))*(BX$3:BX$9&gt;$KW$3:$KW$9))+ISBLANK(BX$3:BX$9))</f>
        <v>0</v>
      </c>
      <c r="BY17" s="1">
        <f>SUMPRODUCT((NOT(ISBLANK(BY$3:BY$9))*(BY$3:BY$9&gt;$KX$3:$KX$9))+ISBLANK(BY$3:BY$9))</f>
        <v>0</v>
      </c>
      <c r="BZ17" s="1">
        <f>SUMPRODUCT((NOT(ISBLANK(BZ$3:BZ$9))*(BZ$3:BZ$9&gt;$KY$3:$KY$9))+ISBLANK(BZ$3:BZ$9))</f>
        <v>0</v>
      </c>
      <c r="CA17" s="1">
        <f>SUMPRODUCT((NOT(ISBLANK(CA$3:CA$9))*(CA$3:CA$9&gt;$KZ$3:$KZ$9))+ISBLANK(CA$3:CA$9))</f>
        <v>0</v>
      </c>
      <c r="CB17" s="1">
        <f>SUMPRODUCT((NOT(ISBLANK(CB$3:CB$9))*(CB$3:CB$9&gt;$LA$3:$LA$9))+ISBLANK(CB$3:CB$9))</f>
        <v>0</v>
      </c>
      <c r="CC17" s="1">
        <f>SUMPRODUCT((NOT(ISBLANK(CC$3:CC$9))*(CC$3:CC$9&gt;$LB$3:$LB$9))+ISBLANK(CC$3:CC$9))</f>
        <v>0</v>
      </c>
      <c r="CD17" s="1">
        <f>SUMPRODUCT((NOT(ISBLANK(CD$3:CD$9))*(CD$3:CD$9&gt;$LC$3:$LC$9))+ISBLANK(CD$3:CD$9))</f>
        <v>0</v>
      </c>
      <c r="CE17" s="1">
        <f>SUMPRODUCT((NOT(ISBLANK(CE$3:CE$9))*(CE$3:CE$9&gt;$LD$3:$LD$9))+ISBLANK(CE$3:CE$9))</f>
        <v>0</v>
      </c>
      <c r="CF17" s="1">
        <f>SUMPRODUCT((NOT(ISBLANK(CF$3:CF$9))*(CF$3:CF$9&gt;$LE$3:$LE$9))+ISBLANK(CF$3:CF$9))</f>
        <v>0</v>
      </c>
      <c r="CG17" s="1">
        <f>SUMPRODUCT((NOT(ISBLANK(CG$3:CG$9))*(CG$3:CG$9&gt;$LF$3:$LF$9))+ISBLANK(CG$3:CG$9))</f>
        <v>0</v>
      </c>
      <c r="CH17" s="1">
        <f>SUMPRODUCT((NOT(ISBLANK(CH$3:CH$9))*(CH$3:CH$9&gt;$LG$3:$LG$9))+ISBLANK(CH$3:CH$9))</f>
        <v>0</v>
      </c>
      <c r="CI17" s="1">
        <f>SUMPRODUCT((NOT(ISBLANK(CI$3:CI$9))*(CI$3:CI$9&gt;$LH$3:$LH$9))+ISBLANK(CI$3:CI$9))</f>
        <v>0</v>
      </c>
      <c r="CJ17" s="1"/>
      <c r="CK17" s="1">
        <f>SUMPRODUCT((NOT(ISBLANK(CK$3:CK$9))*(CK$3:CK$9&gt;$LI$3:$LI$9))+ISBLANK(CK$3:CK$9))</f>
        <v>0</v>
      </c>
      <c r="CL17" s="1">
        <f>SUMPRODUCT((NOT(ISBLANK(CL$3:CL$9))*(CL$3:CL$9&gt;$LJ$3:$LJ$9))+ISBLANK(CL$3:CL$9))</f>
        <v>0</v>
      </c>
      <c r="CM17" s="1">
        <f>SUMPRODUCT((NOT(ISBLANK(CM$3:CM$9))*(CM$3:CM$9&gt;$LK$3:$LK$9))+ISBLANK(CM$3:CM$9))</f>
        <v>0</v>
      </c>
      <c r="CN17" s="1">
        <f>SUMPRODUCT((NOT(ISBLANK(CN$3:CN$9))*(CN$3:CN$9&gt;$KU$3:$KU$9))+ISBLANK(CN$3:CN$9))</f>
        <v>0</v>
      </c>
      <c r="CO17" s="1">
        <f>SUMPRODUCT((NOT(ISBLANK(CO$3:CO$9))*(CO$3:CO$9&gt;$KV$3:$KV$9))+ISBLANK(CO$3:CO$9))</f>
        <v>0</v>
      </c>
      <c r="CP17" s="1">
        <f>SUMPRODUCT((NOT(ISBLANK(CP$3:CP$9))*(CP$3:CP$9&gt;$KW$3:$KW$9))+ISBLANK(CP$3:CP$9))</f>
        <v>0</v>
      </c>
      <c r="CQ17" s="1">
        <f>SUMPRODUCT((NOT(ISBLANK(CQ$3:CQ$9))*(CQ$3:CQ$9&gt;$KX$3:$KX$9))+ISBLANK(CQ$3:CQ$9))</f>
        <v>0</v>
      </c>
      <c r="CR17" s="1">
        <f>SUMPRODUCT((NOT(ISBLANK(CR$3:CR$9))*(CR$3:CR$9&gt;$KY$3:$KY$9))+ISBLANK(CR$3:CR$9))</f>
        <v>0</v>
      </c>
      <c r="CS17" s="1">
        <f>SUMPRODUCT((NOT(ISBLANK(CS$3:CS$9))*(CS$3:CS$9&gt;$KZ$3:$KZ$9))+ISBLANK(CS$3:CS$9))</f>
        <v>0</v>
      </c>
      <c r="CT17" s="1">
        <f>SUMPRODUCT((NOT(ISBLANK(CT$3:CT$9))*(CT$3:CT$9&gt;$LA$3:$LA$9))+ISBLANK(CT$3:CT$9))</f>
        <v>0</v>
      </c>
      <c r="CU17" s="1">
        <f>SUMPRODUCT((NOT(ISBLANK(CU$3:CU$9))*(CU$3:CU$9&gt;$LB$3:$LB$9))+ISBLANK(CU$3:CU$9))</f>
        <v>0</v>
      </c>
      <c r="CV17" s="1">
        <f>SUMPRODUCT((NOT(ISBLANK(CV$3:CV$9))*(CV$3:CV$9&gt;$LC$3:$LC$9))+ISBLANK(CV$3:CV$9))</f>
        <v>0</v>
      </c>
      <c r="CW17" s="1">
        <f>SUMPRODUCT((NOT(ISBLANK(CW$3:CW$9))*(CW$3:CW$9&gt;$LD$3:$LD$9))+ISBLANK(CW$3:CW$9))</f>
        <v>0</v>
      </c>
      <c r="CX17" s="1">
        <f>SUMPRODUCT((NOT(ISBLANK(CX$3:CX$9))*(CX$3:CX$9&gt;$LE$3:$LE$9))+ISBLANK(CX$3:CX$9))</f>
        <v>0</v>
      </c>
      <c r="CY17" s="1">
        <f>SUMPRODUCT((NOT(ISBLANK(CY$3:CY$9))*(CY$3:CY$9&gt;$LF$3:$LF$9))+ISBLANK(CY$3:CY$9))</f>
        <v>0</v>
      </c>
      <c r="CZ17" s="1">
        <f>SUMPRODUCT((NOT(ISBLANK(CZ$3:CZ$9))*(CZ$3:CZ$9&gt;$LG$3:$LG$9))+ISBLANK(CZ$3:CZ$9))</f>
        <v>0</v>
      </c>
      <c r="DA17" s="1">
        <f>SUMPRODUCT((NOT(ISBLANK(DA$3:DA$9))*(DA$3:DA$9&gt;$LH$3:$LH$9))+ISBLANK(DA$3:DA$9))</f>
        <v>0</v>
      </c>
      <c r="DB17" s="1"/>
      <c r="DC17" s="1">
        <f>SUMPRODUCT((NOT(ISBLANK(DC$3:DC$9))*(DC$3:DC$9&gt;$LI$3:$LI$9))+ISBLANK(DC$3:DC$9))</f>
        <v>0</v>
      </c>
      <c r="DD17" s="1">
        <f>SUMPRODUCT((NOT(ISBLANK(DD$3:DD$9))*(DD$3:DD$9&gt;$LJ$3:$LJ$9))+ISBLANK(DD$3:DD$9))</f>
        <v>0</v>
      </c>
      <c r="DE17" s="1">
        <f>SUMPRODUCT((NOT(ISBLANK(DE$3:DE$9))*(DE$3:DE$9&gt;$LK$3:$LK$9))+ISBLANK(DE$3:DE$9))</f>
        <v>0</v>
      </c>
      <c r="DF17" s="1">
        <f>SUMPRODUCT((NOT(ISBLANK(DF$3:DF$9))*(DF$3:DF$9&gt;$KU$3:$KU$9))+ISBLANK(DF$3:DF$9))</f>
        <v>0</v>
      </c>
      <c r="DG17" s="1">
        <f>SUMPRODUCT((NOT(ISBLANK(DG$3:DG$9))*(DG$3:DG$9&gt;$KV$3:$KV$9))+ISBLANK(DG$3:DG$9))</f>
        <v>0</v>
      </c>
      <c r="DH17" s="1">
        <f>SUMPRODUCT((NOT(ISBLANK(DH$3:DH$9))*(DH$3:DH$9&gt;$KW$3:$KW$9))+ISBLANK(DH$3:DH$9))</f>
        <v>0</v>
      </c>
      <c r="DI17" s="1">
        <f>SUMPRODUCT((NOT(ISBLANK(DI$3:DI$9))*(DI$3:DI$9&gt;$KX$3:$KX$9))+ISBLANK(DI$3:DI$9))</f>
        <v>0</v>
      </c>
      <c r="DJ17" s="1">
        <f>SUMPRODUCT((NOT(ISBLANK(DJ$3:DJ$9))*(DJ$3:DJ$9&gt;$KY$3:$KY$9))+ISBLANK(DJ$3:DJ$9))</f>
        <v>0</v>
      </c>
      <c r="DK17" s="1">
        <f>SUMPRODUCT((NOT(ISBLANK(DK$3:DK$9))*(DK$3:DK$9&gt;$KZ$3:$KZ$9))+ISBLANK(DK$3:DK$9))</f>
        <v>0</v>
      </c>
      <c r="DL17" s="1">
        <f>SUMPRODUCT((NOT(ISBLANK(DL$3:DL$9))*(DL$3:DL$9&gt;$LA$3:$LA$9))+ISBLANK(DL$3:DL$9))</f>
        <v>0</v>
      </c>
      <c r="DM17" s="1">
        <f>SUMPRODUCT((NOT(ISBLANK(DM$3:DM$9))*(DM$3:DM$9&gt;$LB$3:$LB$9))+ISBLANK(DM$3:DM$9))</f>
        <v>0</v>
      </c>
      <c r="DN17" s="1">
        <f>SUMPRODUCT((NOT(ISBLANK(DN$3:DN$9))*(DN$3:DN$9&gt;$LC$3:$LC$9))+ISBLANK(DN$3:DN$9))</f>
        <v>0</v>
      </c>
      <c r="DO17" s="1">
        <f>SUMPRODUCT((NOT(ISBLANK(DO$3:DO$9))*(DO$3:DO$9&gt;$LD$3:$LD$9))+ISBLANK(DO$3:DO$9))</f>
        <v>0</v>
      </c>
      <c r="DP17" s="1">
        <f>SUMPRODUCT((NOT(ISBLANK(DP$3:DP$9))*(DP$3:DP$9&gt;$LE$3:$LE$9))+ISBLANK(DP$3:DP$9))</f>
        <v>0</v>
      </c>
      <c r="DQ17" s="1">
        <f>SUMPRODUCT((NOT(ISBLANK(DQ$3:DQ$9))*(DQ$3:DQ$9&gt;$LF$3:$LF$9))+ISBLANK(DQ$3:DQ$9))</f>
        <v>0</v>
      </c>
      <c r="DR17" s="1">
        <f>SUMPRODUCT((NOT(ISBLANK(DR$3:DR$9))*(DR$3:DR$9&gt;$LG$3:$LG$9))+ISBLANK(DR$3:DR$9))</f>
        <v>0</v>
      </c>
      <c r="DS17" s="1">
        <f>SUMPRODUCT((NOT(ISBLANK(DS$3:DS$9))*(DS$3:DS$9&gt;$LH$3:$LH$9))+ISBLANK(DS$3:DS$9))</f>
        <v>0</v>
      </c>
      <c r="DT17" s="1"/>
      <c r="DU17" s="1">
        <f>SUMPRODUCT((NOT(ISBLANK(DU$3:DU$9))*(DU$3:DU$9&gt;$LI$3:$LI$9))+ISBLANK(DU$3:DU$9))</f>
        <v>0</v>
      </c>
      <c r="DV17" s="1">
        <f>SUMPRODUCT((NOT(ISBLANK(DV$3:DV$9))*(DV$3:DV$9&gt;$LJ$3:$LJ$9))+ISBLANK(DV$3:DV$9))</f>
        <v>0</v>
      </c>
      <c r="DW17" s="1">
        <f>SUMPRODUCT((NOT(ISBLANK(DW$3:DW$9))*(DW$3:DW$9&gt;$LK$3:$LK$9))+ISBLANK(DW$3:DW$9))</f>
        <v>0</v>
      </c>
      <c r="DX17" s="1">
        <f>SUMPRODUCT((NOT(ISBLANK(DX$3:DX$9))*(DX$3:DX$9&gt;$KU$3:$KU$9))+ISBLANK(DX$3:DX$9))</f>
        <v>0</v>
      </c>
      <c r="DY17" s="1">
        <f>SUMPRODUCT((NOT(ISBLANK(DY$3:DY$9))*(DY$3:DY$9&gt;$KV$3:$KV$9))+ISBLANK(DY$3:DY$9))</f>
        <v>0</v>
      </c>
      <c r="DZ17" s="1">
        <f>SUMPRODUCT((NOT(ISBLANK(DZ$3:DZ$9))*(DZ$3:DZ$9&gt;$KW$3:$KW$9))+ISBLANK(DZ$3:DZ$9))</f>
        <v>0</v>
      </c>
      <c r="EA17" s="1">
        <f>SUMPRODUCT((NOT(ISBLANK(EA$3:EA$9))*(EA$3:EA$9&gt;$KX$3:$KX$9))+ISBLANK(EA$3:EA$9))</f>
        <v>0</v>
      </c>
      <c r="EB17" s="1">
        <f>SUMPRODUCT((NOT(ISBLANK(EB$3:EB$9))*(EB$3:EB$9&gt;$KY$3:$KY$9))+ISBLANK(EB$3:EB$9))</f>
        <v>0</v>
      </c>
      <c r="EC17" s="1">
        <f>SUMPRODUCT((NOT(ISBLANK(EC$3:EC$9))*(EC$3:EC$9&gt;$KZ$3:$KZ$9))+ISBLANK(EC$3:EC$9))</f>
        <v>0</v>
      </c>
      <c r="ED17" s="1">
        <f>SUMPRODUCT((NOT(ISBLANK(ED$3:ED$9))*(ED$3:ED$9&gt;$LA$3:$LA$9))+ISBLANK(ED$3:ED$9))</f>
        <v>0</v>
      </c>
      <c r="EE17" s="1">
        <f>SUMPRODUCT((NOT(ISBLANK(EE$3:EE$9))*(EE$3:EE$9&gt;$LB$3:$LB$9))+ISBLANK(EE$3:EE$9))</f>
        <v>0</v>
      </c>
      <c r="EF17" s="1">
        <f>SUMPRODUCT((NOT(ISBLANK(EF$3:EF$9))*(EF$3:EF$9&gt;$LC$3:$LC$9))+ISBLANK(EF$3:EF$9))</f>
        <v>0</v>
      </c>
      <c r="EG17" s="1">
        <f>SUMPRODUCT((NOT(ISBLANK(EG$3:EG$9))*(EG$3:EG$9&gt;$LD$3:$LD$9))+ISBLANK(EG$3:EG$9))</f>
        <v>0</v>
      </c>
      <c r="EH17" s="1">
        <f>SUMPRODUCT((NOT(ISBLANK(EH$3:EH$9))*(EH$3:EH$9&gt;$LE$3:$LE$9))+ISBLANK(EH$3:EH$9))</f>
        <v>0</v>
      </c>
      <c r="EI17" s="1">
        <f>SUMPRODUCT((NOT(ISBLANK(EI$3:EI$9))*(EI$3:EI$9&gt;$LF$3:$LF$9))+ISBLANK(EI$3:EI$9))</f>
        <v>0</v>
      </c>
      <c r="EJ17" s="1">
        <f>SUMPRODUCT((NOT(ISBLANK(EJ$3:EJ$9))*(EJ$3:EJ$9&gt;$LG$3:$LG$9))+ISBLANK(EJ$3:EJ$9))</f>
        <v>0</v>
      </c>
      <c r="EK17" s="1">
        <f>SUMPRODUCT((NOT(ISBLANK(EK$3:EK$9))*(EK$3:EK$9&gt;$LH$3:$LH$9))+ISBLANK(EK$3:EK$9))</f>
        <v>0</v>
      </c>
      <c r="EL17" s="1"/>
      <c r="EM17" s="1">
        <f>SUMPRODUCT((NOT(ISBLANK(EM$3:EM$9))*(EM$3:EM$9&gt;$LI$3:$LI$9))+ISBLANK(EM$3:EM$9))</f>
        <v>0</v>
      </c>
      <c r="EN17" s="1">
        <f>SUMPRODUCT((NOT(ISBLANK(EN$3:EN$9))*(EN$3:EN$9&gt;$LJ$3:$LJ$9))+ISBLANK(EN$3:EN$9))</f>
        <v>0</v>
      </c>
      <c r="EO17" s="1">
        <f>SUMPRODUCT((NOT(ISBLANK(EO$3:EO$9))*(EO$3:EO$9&gt;$LK$3:$LK$9))+ISBLANK(EO$3:EO$9))</f>
        <v>0</v>
      </c>
      <c r="EP17" s="1">
        <f>SUMPRODUCT((NOT(ISBLANK(EP$3:EP$9))*(EP$3:EP$9&gt;$KU$3:$KU$9))+ISBLANK(EP$3:EP$9))</f>
        <v>0</v>
      </c>
      <c r="EQ17" s="1">
        <f>SUMPRODUCT((NOT(ISBLANK(EQ$3:EQ$9))*(EQ$3:EQ$9&gt;$KV$3:$KV$9))+ISBLANK(EQ$3:EQ$9))</f>
        <v>0</v>
      </c>
      <c r="ER17" s="1">
        <f>SUMPRODUCT((NOT(ISBLANK(ER$3:ER$9))*(ER$3:ER$9&gt;$KW$3:$KW$9))+ISBLANK(ER$3:ER$9))</f>
        <v>0</v>
      </c>
      <c r="ES17" s="1">
        <f>SUMPRODUCT((NOT(ISBLANK(ES$3:ES$9))*(ES$3:ES$9&gt;$KX$3:$KX$9))+ISBLANK(ES$3:ES$9))</f>
        <v>0</v>
      </c>
      <c r="ET17" s="1">
        <f>SUMPRODUCT((NOT(ISBLANK(ET$3:ET$9))*(ET$3:ET$9&gt;$KY$3:$KY$9))+ISBLANK(ET$3:ET$9))</f>
        <v>0</v>
      </c>
      <c r="EU17" s="1">
        <f>SUMPRODUCT((NOT(ISBLANK(EU$3:EU$9))*(EU$3:EU$9&gt;$KZ$3:$KZ$9))+ISBLANK(EU$3:EU$9))</f>
        <v>0</v>
      </c>
      <c r="EV17" s="1">
        <f>SUMPRODUCT((NOT(ISBLANK(EV$3:EV$9))*(EV$3:EV$9&gt;$LA$3:$LA$9))+ISBLANK(EV$3:EV$9))</f>
        <v>0</v>
      </c>
      <c r="EW17" s="1">
        <f>SUMPRODUCT((NOT(ISBLANK(EW$3:EW$9))*(EW$3:EW$9&gt;$LB$3:$LB$9))+ISBLANK(EW$3:EW$9))</f>
        <v>0</v>
      </c>
      <c r="EX17" s="1">
        <f>SUMPRODUCT((NOT(ISBLANK(EX$3:EX$9))*(EX$3:EX$9&gt;$LC$3:$LC$9))+ISBLANK(EX$3:EX$9))</f>
        <v>0</v>
      </c>
      <c r="EY17" s="1">
        <f>SUMPRODUCT((NOT(ISBLANK(EY$3:EY$9))*(EY$3:EY$9&gt;$LD$3:$LD$9))+ISBLANK(EY$3:EY$9))</f>
        <v>0</v>
      </c>
      <c r="EZ17" s="1">
        <f>SUMPRODUCT((NOT(ISBLANK(EZ$3:EZ$9))*(EZ$3:EZ$9&gt;$LE$3:$LE$9))+ISBLANK(EZ$3:EZ$9))</f>
        <v>0</v>
      </c>
      <c r="FA17" s="1">
        <f>SUMPRODUCT((NOT(ISBLANK(FA$3:FA$9))*(FA$3:FA$9&gt;$LF$3:$LF$9))+ISBLANK(FA$3:FA$9))</f>
        <v>0</v>
      </c>
      <c r="FB17" s="1">
        <f>SUMPRODUCT((NOT(ISBLANK(FB$3:FB$9))*(FB$3:FB$9&gt;$LG$3:$LG$9))+ISBLANK(FB$3:FB$9))</f>
        <v>0</v>
      </c>
      <c r="FC17" s="1">
        <f>SUMPRODUCT((NOT(ISBLANK(FC$3:FC$9))*(FC$3:FC$9&gt;$LH$3:$LH$9))+ISBLANK(FC$3:FC$9))</f>
        <v>0</v>
      </c>
      <c r="FD17" s="1"/>
      <c r="FE17" s="1">
        <f>SUMPRODUCT((NOT(ISBLANK(FE$3:FE$9))*(FE$3:FE$9&gt;$LI$3:$LI$9))+ISBLANK(FE$3:FE$9))</f>
        <v>0</v>
      </c>
      <c r="FF17" s="1">
        <f>SUMPRODUCT((NOT(ISBLANK(FF$3:FF$9))*(FF$3:FF$9&gt;$LJ$3:$LJ$9))+ISBLANK(FF$3:FF$9))</f>
        <v>0</v>
      </c>
      <c r="FG17" s="1">
        <f>SUMPRODUCT((NOT(ISBLANK(FG$3:FG$9))*(FG$3:FG$9&gt;$LK$3:$LK$9))+ISBLANK(FG$3:FG$9))</f>
        <v>0</v>
      </c>
      <c r="FH17" s="1">
        <f>SUMPRODUCT((NOT(ISBLANK(FH$3:FH$9))*(FH$3:FH$9&gt;$KU$3:$KU$9))+ISBLANK(FH$3:FH$9))</f>
        <v>0</v>
      </c>
      <c r="FI17" s="1">
        <f>SUMPRODUCT((NOT(ISBLANK(FI$3:FI$9))*(FI$3:FI$9&gt;$KV$3:$KV$9))+ISBLANK(FI$3:FI$9))</f>
        <v>0</v>
      </c>
      <c r="FJ17" s="1">
        <f>SUMPRODUCT((NOT(ISBLANK(FJ$3:FJ$9))*(FJ$3:FJ$9&gt;$KW$3:$KW$9))+ISBLANK(FJ$3:FJ$9))</f>
        <v>0</v>
      </c>
      <c r="FK17" s="1">
        <f>SUMPRODUCT((NOT(ISBLANK(FK$3:FK$9))*(FK$3:FK$9&gt;$KX$3:$KX$9))+ISBLANK(FK$3:FK$9))</f>
        <v>0</v>
      </c>
      <c r="FL17" s="1">
        <f>SUMPRODUCT((NOT(ISBLANK(FL$3:FL$9))*(FL$3:FL$9&gt;$KY$3:$KY$9))+ISBLANK(FL$3:FL$9))</f>
        <v>0</v>
      </c>
      <c r="FM17" s="1">
        <f>SUMPRODUCT((NOT(ISBLANK(FM$3:FM$9))*(FM$3:FM$9&gt;$KZ$3:$KZ$9))+ISBLANK(FM$3:FM$9))</f>
        <v>0</v>
      </c>
      <c r="FN17" s="1">
        <f>SUMPRODUCT((NOT(ISBLANK(FN$3:FN$9))*(FN$3:FN$9&gt;$LA$3:$LA$9))+ISBLANK(FN$3:FN$9))</f>
        <v>0</v>
      </c>
      <c r="FO17" s="1">
        <f>SUMPRODUCT((NOT(ISBLANK(FO$3:FO$9))*(FO$3:FO$9&gt;$LB$3:$LB$9))+ISBLANK(FO$3:FO$9))</f>
        <v>0</v>
      </c>
      <c r="FP17" s="1">
        <f>SUMPRODUCT((NOT(ISBLANK(FP$3:FP$9))*(FP$3:FP$9&gt;$LC$3:$LC$9))+ISBLANK(FP$3:FP$9))</f>
        <v>0</v>
      </c>
      <c r="FQ17" s="1">
        <f>SUMPRODUCT((NOT(ISBLANK(FQ$3:FQ$9))*(FQ$3:FQ$9&gt;$LD$3:$LD$9))+ISBLANK(FQ$3:FQ$9))</f>
        <v>0</v>
      </c>
      <c r="FR17" s="1">
        <f>SUMPRODUCT((NOT(ISBLANK(FR$3:FR$9))*(FR$3:FR$9&gt;$LE$3:$LE$9))+ISBLANK(FR$3:FR$9))</f>
        <v>0</v>
      </c>
      <c r="FS17" s="1">
        <f>SUMPRODUCT((NOT(ISBLANK(FS$3:FS$9))*(FS$3:FS$9&gt;$LF$3:$LF$9))+ISBLANK(FS$3:FS$9))</f>
        <v>0</v>
      </c>
      <c r="FT17" s="1">
        <f>SUMPRODUCT((NOT(ISBLANK(FT$3:FT$9))*(FT$3:FT$9&gt;$LG$3:$LG$9))+ISBLANK(FT$3:FT$9))</f>
        <v>0</v>
      </c>
      <c r="FU17" s="1">
        <f>SUMPRODUCT((NOT(ISBLANK(FU$3:FU$9))*(FU$3:FU$9&gt;$LH$3:$LH$9))+ISBLANK(FU$3:FU$9))</f>
        <v>0</v>
      </c>
      <c r="FV17" s="1"/>
      <c r="FW17" s="1">
        <f>SUMPRODUCT((NOT(ISBLANK(FW$3:FW$9))*(FW$3:FW$9&gt;$LI$3:$LI$9))+ISBLANK(FW$3:FW$9))</f>
        <v>0</v>
      </c>
      <c r="FX17" s="1">
        <f>SUMPRODUCT((NOT(ISBLANK(FX$3:FX$9))*(FX$3:FX$9&gt;$LJ$3:$LJ$9))+ISBLANK(FX$3:FX$9))</f>
        <v>0</v>
      </c>
      <c r="FY17" s="1">
        <f>SUMPRODUCT((NOT(ISBLANK(FY$3:FY$9))*(FY$3:FY$9&gt;$LK$3:$LK$9))+ISBLANK(FY$3:FY$9))</f>
        <v>0</v>
      </c>
      <c r="FZ17" s="1">
        <f>SUMPRODUCT((NOT(ISBLANK(FZ$3:FZ$9))*(FZ$3:FZ$9&gt;$KU$3:$KU$9))+ISBLANK(FZ$3:FZ$9))</f>
        <v>0</v>
      </c>
      <c r="GA17" s="1">
        <f>SUMPRODUCT((NOT(ISBLANK(GA$3:GA$9))*(GA$3:GA$9&gt;$KV$3:$KV$9))+ISBLANK(GA$3:GA$9))</f>
        <v>0</v>
      </c>
      <c r="GB17" s="1">
        <f>SUMPRODUCT((NOT(ISBLANK(GB$3:GB$9))*(GB$3:GB$9&gt;$KW$3:$KW$9))+ISBLANK(GB$3:GB$9))</f>
        <v>0</v>
      </c>
      <c r="GC17" s="1">
        <f>SUMPRODUCT((NOT(ISBLANK(GC$3:GC$9))*(GC$3:GC$9&gt;$KX$3:$KX$9))+ISBLANK(GC$3:GC$9))</f>
        <v>0</v>
      </c>
      <c r="GD17" s="1">
        <f>SUMPRODUCT((NOT(ISBLANK(GD$3:GD$9))*(GD$3:GD$9&gt;$KY$3:$KY$9))+ISBLANK(GD$3:GD$9))</f>
        <v>0</v>
      </c>
      <c r="GE17" s="1">
        <f>SUMPRODUCT((NOT(ISBLANK(GE$3:GE$9))*(GE$3:GE$9&gt;$KZ$3:$KZ$9))+ISBLANK(GE$3:GE$9))</f>
        <v>0</v>
      </c>
      <c r="GF17" s="1">
        <f>SUMPRODUCT((NOT(ISBLANK(GF$3:GF$9))*(GF$3:GF$9&gt;$LA$3:$LA$9))+ISBLANK(GF$3:GF$9))</f>
        <v>0</v>
      </c>
      <c r="GG17" s="1">
        <f>SUMPRODUCT((NOT(ISBLANK(GG$3:GG$9))*(GG$3:GG$9&gt;$LB$3:$LB$9))+ISBLANK(GG$3:GG$9))</f>
        <v>0</v>
      </c>
      <c r="GH17" s="1">
        <f>SUMPRODUCT((NOT(ISBLANK(GH$3:GH$9))*(GH$3:GH$9&gt;$LC$3:$LC$9))+ISBLANK(GH$3:GH$9))</f>
        <v>0</v>
      </c>
      <c r="GI17" s="1">
        <f>SUMPRODUCT((NOT(ISBLANK(GI$3:GI$9))*(GI$3:GI$9&gt;$LD$3:$LD$9))+ISBLANK(GI$3:GI$9))</f>
        <v>0</v>
      </c>
      <c r="GJ17" s="1">
        <f>SUMPRODUCT((NOT(ISBLANK(GJ$3:GJ$9))*(GJ$3:GJ$9&gt;$LE$3:$LE$9))+ISBLANK(GJ$3:GJ$9))</f>
        <v>0</v>
      </c>
      <c r="GK17" s="1">
        <f>SUMPRODUCT((NOT(ISBLANK(GK$3:GK$9))*(GK$3:GK$9&gt;$LF$3:$LF$9))+ISBLANK(GK$3:GK$9))</f>
        <v>0</v>
      </c>
      <c r="GL17" s="1">
        <f>SUMPRODUCT((NOT(ISBLANK(GL$3:GL$9))*(GL$3:GL$9&gt;$LG$3:$LG$9))+ISBLANK(GL$3:GL$9))</f>
        <v>0</v>
      </c>
      <c r="GM17" s="1">
        <f>SUMPRODUCT((NOT(ISBLANK(GM$3:GM$9))*(GM$3:GM$9&gt;$LH$3:$LH$9))+ISBLANK(GM$3:GM$9))</f>
        <v>0</v>
      </c>
      <c r="GN17" s="1"/>
      <c r="GO17" s="1">
        <f>SUMPRODUCT((NOT(ISBLANK(GO$3:GO$9))*(GO$3:GO$9&gt;$LI$3:$LI$9))+ISBLANK(GO$3:GO$9))</f>
        <v>0</v>
      </c>
      <c r="GP17" s="1">
        <f>SUMPRODUCT((NOT(ISBLANK(GP$3:GP$9))*(GP$3:GP$9&gt;$LJ$3:$LJ$9))+ISBLANK(GP$3:GP$9))</f>
        <v>0</v>
      </c>
      <c r="GQ17" s="1">
        <f>SUMPRODUCT((NOT(ISBLANK(GQ$3:GQ$9))*(GQ$3:GQ$9&gt;$LK$3:$LK$9))+ISBLANK(GQ$3:GQ$9))</f>
        <v>0</v>
      </c>
      <c r="GR17" s="1">
        <f>SUMPRODUCT((NOT(ISBLANK(GR$3:GR$9))*(GR$3:GR$9&gt;$KU$3:$KU$9))+ISBLANK(GR$3:GR$9))</f>
        <v>0</v>
      </c>
      <c r="GS17" s="1">
        <f>SUMPRODUCT((NOT(ISBLANK(GS$3:GS$9))*(GS$3:GS$9&gt;$KV$3:$KV$9))+ISBLANK(GS$3:GS$9))</f>
        <v>0</v>
      </c>
      <c r="GT17" s="1">
        <f>SUMPRODUCT((NOT(ISBLANK(GT$3:GT$9))*(GT$3:GT$9&gt;$KW$3:$KW$9))+ISBLANK(GT$3:GT$9))</f>
        <v>0</v>
      </c>
      <c r="GU17" s="1">
        <f>SUMPRODUCT((NOT(ISBLANK(GU$3:GU$9))*(GU$3:GU$9&gt;$KX$3:$KX$9))+ISBLANK(GU$3:GU$9))</f>
        <v>0</v>
      </c>
      <c r="GV17" s="1">
        <f>SUMPRODUCT((NOT(ISBLANK(GV$3:GV$9))*(GV$3:GV$9&gt;$KY$3:$KY$9))+ISBLANK(GV$3:GV$9))</f>
        <v>0</v>
      </c>
      <c r="GW17" s="1">
        <f>SUMPRODUCT((NOT(ISBLANK(GW$3:GW$9))*(GW$3:GW$9&gt;$KZ$3:$KZ$9))+ISBLANK(GW$3:GW$9))</f>
        <v>0</v>
      </c>
      <c r="GX17" s="1">
        <f>SUMPRODUCT((NOT(ISBLANK(GX$3:GX$9))*(GX$3:GX$9&gt;$LA$3:$LA$9))+ISBLANK(GX$3:GX$9))</f>
        <v>0</v>
      </c>
      <c r="GY17" s="1">
        <f>SUMPRODUCT((NOT(ISBLANK(GY$3:GY$9))*(GY$3:GY$9&gt;$LB$3:$LB$9))+ISBLANK(GY$3:GY$9))</f>
        <v>0</v>
      </c>
      <c r="GZ17" s="1">
        <f>SUMPRODUCT((NOT(ISBLANK(GZ$3:GZ$9))*(GZ$3:GZ$9&gt;$LC$3:$LC$9))+ISBLANK(GZ$3:GZ$9))</f>
        <v>0</v>
      </c>
      <c r="HA17" s="1">
        <f>SUMPRODUCT((NOT(ISBLANK(HA$3:HA$9))*(HA$3:HA$9&gt;$LD$3:$LD$9))+ISBLANK(HA$3:HA$9))</f>
        <v>0</v>
      </c>
      <c r="HB17" s="1">
        <f>SUMPRODUCT((NOT(ISBLANK(HB$3:HB$9))*(HB$3:HB$9&gt;$LE$3:$LE$9))+ISBLANK(HB$3:HB$9))</f>
        <v>0</v>
      </c>
      <c r="HC17" s="1">
        <f>SUMPRODUCT((NOT(ISBLANK(HC$3:HC$9))*(HC$3:HC$9&gt;$LF$3:$LF$9))+ISBLANK(HC$3:HC$9))</f>
        <v>0</v>
      </c>
      <c r="HD17" s="1">
        <f>SUMPRODUCT((NOT(ISBLANK(HD$3:HD$9))*(HD$3:HD$9&gt;$LG$3:$LG$9))+ISBLANK(HD$3:HD$9))</f>
        <v>0</v>
      </c>
      <c r="HE17" s="1">
        <f>SUMPRODUCT((NOT(ISBLANK(HE$3:HE$9))*(HE$3:HE$9&gt;$LH$3:$LH$9))+ISBLANK(HE$3:HE$9))</f>
        <v>0</v>
      </c>
      <c r="HF17" s="1"/>
      <c r="HG17" s="1">
        <f>SUMPRODUCT((NOT(ISBLANK(HG$3:HG$9))*(HG$3:HG$9&gt;$LI$3:$LI$9))+ISBLANK(HG$3:HG$9))</f>
        <v>0</v>
      </c>
      <c r="HH17" s="1">
        <f>SUMPRODUCT((NOT(ISBLANK(HH$3:HH$9))*(HH$3:HH$9&gt;$LJ$3:$LJ$9))+ISBLANK(HH$3:HH$9))</f>
        <v>0</v>
      </c>
      <c r="HI17" s="1">
        <f>SUMPRODUCT((NOT(ISBLANK(HI$3:HI$9))*(HI$3:HI$9&gt;$LK$3:$LK$9))+ISBLANK(HI$3:HI$9))</f>
        <v>0</v>
      </c>
      <c r="HJ17" s="1">
        <f>SUMPRODUCT((NOT(ISBLANK(HJ$3:HJ$9))*(HJ$3:HJ$9&gt;$KU$3:$KU$9))+ISBLANK(HJ$3:HJ$9))</f>
        <v>0</v>
      </c>
      <c r="HK17" s="1">
        <f>SUMPRODUCT((NOT(ISBLANK(HK$3:HK$9))*(HK$3:HK$9&gt;$KV$3:$KV$9))+ISBLANK(HK$3:HK$9))</f>
        <v>0</v>
      </c>
      <c r="HL17" s="1">
        <f>SUMPRODUCT((NOT(ISBLANK(HL$3:HL$9))*(HL$3:HL$9&gt;$KW$3:$KW$9))+ISBLANK(HL$3:HL$9))</f>
        <v>0</v>
      </c>
      <c r="HM17" s="1">
        <f>SUMPRODUCT((NOT(ISBLANK(HM$3:HM$9))*(HM$3:HM$9&gt;$KX$3:$KX$9))+ISBLANK(HM$3:HM$9))</f>
        <v>0</v>
      </c>
      <c r="HN17" s="1">
        <f>SUMPRODUCT((NOT(ISBLANK(HN$3:HN$9))*(HN$3:HN$9&gt;$KY$3:$KY$9))+ISBLANK(HN$3:HN$9))</f>
        <v>0</v>
      </c>
      <c r="HO17" s="1">
        <f>SUMPRODUCT((NOT(ISBLANK(HO$3:HO$9))*(HO$3:HO$9&gt;$KZ$3:$KZ$9))+ISBLANK(HO$3:HO$9))</f>
        <v>0</v>
      </c>
      <c r="HP17" s="1">
        <f>SUMPRODUCT((NOT(ISBLANK(HP$3:HP$9))*(HP$3:HP$9&gt;$LA$3:$LA$9))+ISBLANK(HP$3:HP$9))</f>
        <v>0</v>
      </c>
      <c r="HQ17" s="1">
        <f>SUMPRODUCT((NOT(ISBLANK(HQ$3:HQ$9))*(HQ$3:HQ$9&gt;$LB$3:$LB$9))+ISBLANK(HQ$3:HQ$9))</f>
        <v>0</v>
      </c>
      <c r="HR17" s="1">
        <f>SUMPRODUCT((NOT(ISBLANK(HR$3:HR$9))*(HR$3:HR$9&gt;$LC$3:$LC$9))+ISBLANK(HR$3:HR$9))</f>
        <v>0</v>
      </c>
      <c r="HS17" s="1">
        <f>SUMPRODUCT((NOT(ISBLANK(HS$3:HS$9))*(HS$3:HS$9&gt;$LD$3:$LD$9))+ISBLANK(HS$3:HS$9))</f>
        <v>0</v>
      </c>
      <c r="HT17" s="1">
        <f>SUMPRODUCT((NOT(ISBLANK(HT$3:HT$9))*(HT$3:HT$9&gt;$LE$3:$LE$9))+ISBLANK(HT$3:HT$9))</f>
        <v>0</v>
      </c>
      <c r="HU17" s="1">
        <f>SUMPRODUCT((NOT(ISBLANK(HU$3:HU$9))*(HU$3:HU$9&gt;$LF$3:$LF$9))+ISBLANK(HU$3:HU$9))</f>
        <v>0</v>
      </c>
      <c r="HV17" s="1">
        <f>SUMPRODUCT((NOT(ISBLANK(HV$3:HV$9))*(HV$3:HV$9&gt;$LG$3:$LG$9))+ISBLANK(HV$3:HV$9))</f>
        <v>0</v>
      </c>
      <c r="HW17" s="1">
        <f>SUMPRODUCT((NOT(ISBLANK(HW$3:HW$9))*(HW$3:HW$9&gt;$LH$3:$LH$9))+ISBLANK(HW$3:HW$9))</f>
        <v>0</v>
      </c>
      <c r="HX17" s="1"/>
      <c r="HY17" s="1">
        <f>SUMPRODUCT((NOT(ISBLANK(HY$3:HY$9))*(HY$3:HY$9&gt;$LI$3:$LI$9))+ISBLANK(HY$3:HY$9))</f>
        <v>0</v>
      </c>
      <c r="HZ17" s="1">
        <f>SUMPRODUCT((NOT(ISBLANK(HZ$3:HZ$9))*(HZ$3:HZ$9&gt;$LJ$3:$LJ$9))+ISBLANK(HZ$3:HZ$9))</f>
        <v>0</v>
      </c>
      <c r="IA17" s="1">
        <f>SUMPRODUCT((NOT(ISBLANK(IA$3:IA$9))*(IA$3:IA$9&gt;$LK$3:$LK$9))+ISBLANK(IA$3:IA$9))</f>
        <v>0</v>
      </c>
      <c r="IB17" s="1">
        <f>SUMPRODUCT((NOT(ISBLANK(IB$3:IB$9))*(IB$3:IB$9&gt;$KU$3:$KU$9))+ISBLANK(IB$3:IB$9))</f>
        <v>0</v>
      </c>
      <c r="IC17" s="1">
        <f>SUMPRODUCT((NOT(ISBLANK(IC$3:IC$9))*(IC$3:IC$9&gt;$KV$3:$KV$9))+ISBLANK(IC$3:IC$9))</f>
        <v>0</v>
      </c>
      <c r="ID17" s="1">
        <f>SUMPRODUCT((NOT(ISBLANK(ID$3:ID$9))*(ID$3:ID$9&gt;$KW$3:$KW$9))+ISBLANK(ID$3:ID$9))</f>
        <v>0</v>
      </c>
      <c r="IE17" s="1">
        <f>SUMPRODUCT((NOT(ISBLANK(IE$3:IE$9))*(IE$3:IE$9&gt;$KX$3:$KX$9))+ISBLANK(IE$3:IE$9))</f>
        <v>0</v>
      </c>
      <c r="IF17" s="1">
        <f>SUMPRODUCT((NOT(ISBLANK(IF$3:IF$9))*(IF$3:IF$9&gt;$KY$3:$KY$9))+ISBLANK(IF$3:IF$9))</f>
        <v>0</v>
      </c>
      <c r="IG17" s="1">
        <f>SUMPRODUCT((NOT(ISBLANK(IG$3:IG$9))*(IG$3:IG$9&gt;$KZ$3:$KZ$9))+ISBLANK(IG$3:IG$9))</f>
        <v>0</v>
      </c>
      <c r="IH17" s="1">
        <f>SUMPRODUCT((NOT(ISBLANK(IH$3:IH$9))*(IH$3:IH$9&gt;$LA$3:$LA$9))+ISBLANK(IH$3:IH$9))</f>
        <v>0</v>
      </c>
      <c r="II17" s="1">
        <f>SUMPRODUCT((NOT(ISBLANK(II$3:II$9))*(II$3:II$9&gt;$LB$3:$LB$9))+ISBLANK(II$3:II$9))</f>
        <v>0</v>
      </c>
      <c r="IJ17" s="1">
        <f>SUMPRODUCT((NOT(ISBLANK(IJ$3:IJ$9))*(IJ$3:IJ$9&gt;$LC$3:$LC$9))+ISBLANK(IJ$3:IJ$9))</f>
        <v>0</v>
      </c>
      <c r="IK17" s="1">
        <f>SUMPRODUCT((NOT(ISBLANK(IK$3:IK$9))*(IK$3:IK$9&gt;$LD$3:$LD$9))+ISBLANK(IK$3:IK$9))</f>
        <v>0</v>
      </c>
      <c r="IL17" s="1">
        <f>SUMPRODUCT((NOT(ISBLANK(IL$3:IL$9))*(IL$3:IL$9&gt;$LE$3:$LE$9))+ISBLANK(IL$3:IL$9))</f>
        <v>0</v>
      </c>
      <c r="IM17" s="1">
        <f>SUMPRODUCT((NOT(ISBLANK(IM$3:IM$9))*(IM$3:IM$9&gt;$LF$3:$LF$9))+ISBLANK(IM$3:IM$9))</f>
        <v>0</v>
      </c>
      <c r="IN17" s="1">
        <f>SUMPRODUCT((NOT(ISBLANK(IN$3:IN$9))*(IN$3:IN$9&gt;$LG$3:$LG$9))+ISBLANK(IN$3:IN$9))</f>
        <v>0</v>
      </c>
      <c r="IO17" s="1">
        <f>SUMPRODUCT((NOT(ISBLANK(IO$3:IO$9))*(IO$3:IO$9&gt;$LH$3:$LH$9))+ISBLANK(IO$3:IO$9))</f>
        <v>0</v>
      </c>
      <c r="IP17" s="1"/>
      <c r="IQ17" s="1">
        <f>SUMPRODUCT((NOT(ISBLANK(IQ$3:IQ$9))*(IQ$3:IQ$9&gt;$LI$3:$LI$9))+ISBLANK(IQ$3:IQ$9))</f>
        <v>0</v>
      </c>
      <c r="IR17" s="1">
        <f>SUMPRODUCT((NOT(ISBLANK(IR$3:IR$9))*(IR$3:IR$9&gt;$LJ$3:$LJ$9))+ISBLANK(IR$3:IR$9))</f>
        <v>0</v>
      </c>
      <c r="IS17" s="1">
        <f>SUMPRODUCT((NOT(ISBLANK(IS$3:IS$9))*(IS$3:IS$9&gt;$LK$3:$LK$9))+ISBLANK(IS$3:IS$9))</f>
        <v>0</v>
      </c>
      <c r="IT17" s="1">
        <f>SUMPRODUCT((NOT(ISBLANK(IT$3:IT$9))*(IT$3:IT$9&gt;$KU$3:$KU$9))+ISBLANK(IT$3:IT$9))</f>
        <v>0</v>
      </c>
      <c r="IU17" s="1">
        <f>SUMPRODUCT((NOT(ISBLANK(IU$3:IU$9))*(IU$3:IU$9&gt;$KV$3:$KV$9))+ISBLANK(IU$3:IU$9))</f>
        <v>0</v>
      </c>
      <c r="IV17" s="1">
        <f>SUMPRODUCT((NOT(ISBLANK(IV$3:IV$9))*(IV$3:IV$9&gt;$KW$3:$KW$9))+ISBLANK(IV$3:IV$9))</f>
        <v>0</v>
      </c>
      <c r="IW17" s="1">
        <f>SUMPRODUCT((NOT(ISBLANK(IW$3:IW$9))*(IW$3:IW$9&gt;$KX$3:$KX$9))+ISBLANK(IW$3:IW$9))</f>
        <v>0</v>
      </c>
      <c r="IX17" s="1">
        <f>SUMPRODUCT((NOT(ISBLANK(IX$3:IX$9))*(IX$3:IX$9&gt;$KY$3:$KY$9))+ISBLANK(IX$3:IX$9))</f>
        <v>0</v>
      </c>
      <c r="IY17" s="1">
        <f>SUMPRODUCT((NOT(ISBLANK(IY$3:IY$9))*(IY$3:IY$9&gt;$KZ$3:$KZ$9))+ISBLANK(IY$3:IY$9))</f>
        <v>0</v>
      </c>
      <c r="IZ17" s="1">
        <f>SUMPRODUCT((NOT(ISBLANK(IZ$3:IZ$9))*(IZ$3:IZ$9&gt;$LA$3:$LA$9))+ISBLANK(IZ$3:IZ$9))</f>
        <v>0</v>
      </c>
      <c r="JA17" s="1">
        <f>SUMPRODUCT((NOT(ISBLANK(JA$3:JA$9))*(JA$3:JA$9&gt;$LB$3:$LB$9))+ISBLANK(JA$3:JA$9))</f>
        <v>0</v>
      </c>
      <c r="JB17" s="1">
        <f>SUMPRODUCT((NOT(ISBLANK(JB$3:JB$9))*(JB$3:JB$9&gt;$LC$3:$LC$9))+ISBLANK(JB$3:JB$9))</f>
        <v>0</v>
      </c>
      <c r="JC17" s="1">
        <f>SUMPRODUCT((NOT(ISBLANK(JC$3:JC$9))*(JC$3:JC$9&gt;$LD$3:$LD$9))+ISBLANK(JC$3:JC$9))</f>
        <v>0</v>
      </c>
      <c r="JD17" s="1">
        <f>SUMPRODUCT((NOT(ISBLANK(JD$3:JD$9))*(JD$3:JD$9&gt;$LE$3:$LE$9))+ISBLANK(JD$3:JD$9))</f>
        <v>0</v>
      </c>
      <c r="JE17" s="1">
        <f>SUMPRODUCT((NOT(ISBLANK(JE$3:JE$9))*(JE$3:JE$9&gt;$LF$3:$LF$9))+ISBLANK(JE$3:JE$9))</f>
        <v>0</v>
      </c>
      <c r="JF17" s="1">
        <f>SUMPRODUCT((NOT(ISBLANK(JF$3:JF$9))*(JF$3:JF$9&gt;$LG$3:$LG$9))+ISBLANK(JF$3:JF$9))</f>
        <v>0</v>
      </c>
      <c r="JG17" s="1">
        <f>SUMPRODUCT((NOT(ISBLANK(JG$3:JG$9))*(JG$3:JG$9&gt;$LH$3:$LH$9))+ISBLANK(JG$3:JG$9))</f>
        <v>0</v>
      </c>
      <c r="JH17" s="1"/>
      <c r="JI17" s="1">
        <f>SUMPRODUCT((NOT(ISBLANK(JI$3:JI$9))*(JI$3:JI$9&gt;$LI$3:$LI$9))+ISBLANK(JI$3:JI$9))</f>
        <v>0</v>
      </c>
      <c r="JJ17" s="1">
        <f>SUMPRODUCT((NOT(ISBLANK(JJ$3:JJ$9))*(JJ$3:JJ$9&gt;$LJ$3:$LJ$9))+ISBLANK(JJ$3:JJ$9))</f>
        <v>0</v>
      </c>
      <c r="JK17" s="1">
        <f>SUMPRODUCT((NOT(ISBLANK(JK$3:JK$9))*(JK$3:JK$9&gt;$LK$3:$LK$9))+ISBLANK(JK$3:JK$9))</f>
        <v>0</v>
      </c>
      <c r="JL17" s="1">
        <f>SUMPRODUCT((NOT(ISBLANK(JL$3:JL$9))*(JL$3:JL$9&gt;$KU$3:$KU$9))+ISBLANK(JL$3:JL$9))</f>
        <v>0</v>
      </c>
      <c r="JM17" s="1">
        <f>SUMPRODUCT((NOT(ISBLANK(JM$3:JM$9))*(JM$3:JM$9&gt;$KV$3:$KV$9))+ISBLANK(JM$3:JM$9))</f>
        <v>0</v>
      </c>
      <c r="JN17" s="1">
        <f>SUMPRODUCT((NOT(ISBLANK(JN$3:JN$9))*(JN$3:JN$9&gt;$KW$3:$KW$9))+ISBLANK(JN$3:JN$9))</f>
        <v>0</v>
      </c>
      <c r="JO17" s="1">
        <f>SUMPRODUCT((NOT(ISBLANK(JO$3:JO$9))*(JO$3:JO$9&gt;$KX$3:$KX$9))+ISBLANK(JO$3:JO$9))</f>
        <v>0</v>
      </c>
      <c r="JP17" s="1">
        <f>SUMPRODUCT((NOT(ISBLANK(JP$3:JP$9))*(JP$3:JP$9&gt;$KY$3:$KY$9))+ISBLANK(JP$3:JP$9))</f>
        <v>0</v>
      </c>
      <c r="JQ17" s="1">
        <f>SUMPRODUCT((NOT(ISBLANK(JQ$3:JQ$9))*(JQ$3:JQ$9&gt;$KZ$3:$KZ$9))+ISBLANK(JQ$3:JQ$9))</f>
        <v>0</v>
      </c>
      <c r="JR17" s="1">
        <f>SUMPRODUCT((NOT(ISBLANK(JR$3:JR$9))*(JR$3:JR$9&gt;$LA$3:$LA$9))+ISBLANK(JR$3:JR$9))</f>
        <v>0</v>
      </c>
      <c r="JS17" s="1">
        <f>SUMPRODUCT((NOT(ISBLANK(JS$3:JS$9))*(JS$3:JS$9&gt;$LB$3:$LB$9))+ISBLANK(JS$3:JS$9))</f>
        <v>0</v>
      </c>
      <c r="JT17" s="1">
        <f>SUMPRODUCT((NOT(ISBLANK(JT$3:JT$9))*(JT$3:JT$9&gt;$LC$3:$LC$9))+ISBLANK(JT$3:JT$9))</f>
        <v>0</v>
      </c>
      <c r="JU17" s="1">
        <f>SUMPRODUCT((NOT(ISBLANK(JU$3:JU$9))*(JU$3:JU$9&gt;$LD$3:$LD$9))+ISBLANK(JU$3:JU$9))</f>
        <v>0</v>
      </c>
      <c r="JV17" s="1">
        <f>SUMPRODUCT((NOT(ISBLANK(JV$3:JV$9))*(JV$3:JV$9&gt;$LE$3:$LE$9))+ISBLANK(JV$3:JV$9))</f>
        <v>0</v>
      </c>
      <c r="JW17" s="1">
        <f>SUMPRODUCT((NOT(ISBLANK(JW$3:JW$9))*(JW$3:JW$9&gt;$LF$3:$LF$9))+ISBLANK(JW$3:JW$9))</f>
        <v>0</v>
      </c>
      <c r="JX17" s="1">
        <f>SUMPRODUCT((NOT(ISBLANK(JX$3:JX$9))*(JX$3:JX$9&gt;$LG$3:$LG$9))+ISBLANK(JX$3:JX$9))</f>
        <v>0</v>
      </c>
      <c r="JY17" s="1">
        <f>SUMPRODUCT((NOT(ISBLANK(JY$3:JY$9))*(JY$3:JY$9&gt;$LH$3:$LH$9))+ISBLANK(JY$3:JY$9))</f>
        <v>0</v>
      </c>
      <c r="JZ17" s="1"/>
      <c r="KA17" s="1">
        <f>SUMPRODUCT((NOT(ISBLANK(KA$3:KA$9))*(KA$3:KA$9&gt;$LI$3:$LI$9))+ISBLANK(KA$3:KA$9))</f>
        <v>0</v>
      </c>
      <c r="KB17" s="1">
        <f>SUMPRODUCT((NOT(ISBLANK(KB$3:KB$9))*(KB$3:KB$9&gt;$LJ$3:$LJ$9))+ISBLANK(KB$3:KB$9))</f>
        <v>0</v>
      </c>
      <c r="KC17" s="1">
        <f>SUMPRODUCT((NOT(ISBLANK(KC$3:KC$9))*(KC$3:KC$9&gt;$LK$3:$LK$9))+ISBLANK(KC$3:KC$9))</f>
        <v>0</v>
      </c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</row>
    <row r="18" spans="1:340">
      <c r="A18" s="1" t="s">
        <v>14</v>
      </c>
      <c r="B18" s="1">
        <f>SUMPRODUCT((NOT(ISBLANK(B$3:B$9))*(B$3:B$9=$LL$3:$LL$9))+ISBLANK(B$3:B$9))</f>
        <v>0</v>
      </c>
      <c r="C18" s="1">
        <f>SUMPRODUCT((NOT(ISBLANK(C$3:C$9))*(C$3:C$9=$LM$3:$LM$9))+ISBLANK(C$3:C$9))</f>
        <v>0</v>
      </c>
      <c r="D18" s="1">
        <f>SUMPRODUCT((NOT(ISBLANK(D$3:D$9))*(D$3:D$9=$LN$3:$LN$9))+ISBLANK(D$3:D$9))</f>
        <v>0</v>
      </c>
      <c r="E18" s="1">
        <f>SUMPRODUCT((NOT(ISBLANK(E$3:E$9))*(E$3:E$9=$LO$3:$LO$9))+ISBLANK(E$3:E$9))</f>
        <v>0</v>
      </c>
      <c r="F18" s="1">
        <f>SUMPRODUCT((NOT(ISBLANK(F$3:F$9))*(F$3:F$9=$LP$3:$LP$9))+ISBLANK(F$3:F$9))</f>
        <v>0</v>
      </c>
      <c r="G18" s="1">
        <f>SUMPRODUCT((NOT(ISBLANK(G$3:G$9))*(G$3:G$9=$LQ$3:$LQ$9))+ISBLANK(G$3:G$9))</f>
        <v>0</v>
      </c>
      <c r="H18" s="1">
        <f>SUMPRODUCT((NOT(ISBLANK(H$3:H$9))*(H$3:H$9=$LR$3:$LR$9))+ISBLANK(H$3:H$9))</f>
        <v>0</v>
      </c>
      <c r="I18" s="1">
        <f>SUMPRODUCT((NOT(ISBLANK(I$3:I$9))*(I$3:I$9=$LS$3:$LS$9))+ISBLANK(I$3:I$9))</f>
        <v>0</v>
      </c>
      <c r="J18" s="1">
        <f>SUMPRODUCT((NOT(ISBLANK(J$3:J$9))*(J$3:J$9=$LT$3:$LT$9))+ISBLANK(J$3:J$9))</f>
        <v>0</v>
      </c>
      <c r="K18" s="1">
        <f>SUMPRODUCT((NOT(ISBLANK(K$3:K$9))*(K$3:K$9=$LU$3:$LU$9))+ISBLANK(K$3:K$9))</f>
        <v>0</v>
      </c>
      <c r="L18" s="1">
        <f>SUMPRODUCT((NOT(ISBLANK(L$3:L$9))*(L$3:L$9=$LV$3:$LV$9))+ISBLANK(L$3:L$9))</f>
        <v>0</v>
      </c>
      <c r="M18" s="1">
        <f>SUMPRODUCT((NOT(ISBLANK(M$3:M$9))*(M$3:M$9=$LW$3:$LW$9))+ISBLANK(M$3:M$9))</f>
        <v>0</v>
      </c>
      <c r="N18" s="1">
        <f>SUMPRODUCT((NOT(ISBLANK(N$3:N$9))*(N$3:N$9=$LX$3:$LX$9))+ISBLANK(N$3:N$9))</f>
        <v>0</v>
      </c>
      <c r="O18" s="1">
        <f>SUMPRODUCT((NOT(ISBLANK(O$3:O$9))*(O$3:O$9=$LY$3:$LY$9))+ISBLANK(O$3:O$9))</f>
        <v>0</v>
      </c>
      <c r="P18" s="1"/>
      <c r="Q18" s="1">
        <f>SUMPRODUCT((NOT(ISBLANK(Q$3:Q$9))*(Q$3:Q$9=$LZ$3:$LZ$9))+ISBLANK(Q$3:Q$9))</f>
        <v>0</v>
      </c>
      <c r="R18" s="1">
        <f>SUMPRODUCT((NOT(ISBLANK(R$3:R$9))*(R$3:R$9=$MA$3:$MA$9))+ISBLANK(R$3:R$9))</f>
        <v>0</v>
      </c>
      <c r="S18" s="1">
        <f>SUMPRODUCT((NOT(ISBLANK(S$3:S$9))*(S$3:S$9=$MB$3:$MB$9))+ISBLANK(S$3:S$9))</f>
        <v>0</v>
      </c>
      <c r="T18" s="1">
        <f>SUMPRODUCT((NOT(ISBLANK(T$3:T$9))*(T$3:T$9=$LL$3:$LL$9))+ISBLANK(T$3:T$9))</f>
        <v>0</v>
      </c>
      <c r="U18" s="1">
        <f>SUMPRODUCT((NOT(ISBLANK(U$3:U$9))*(U$3:U$9=$LM$3:$LM$9))+ISBLANK(U$3:U$9))</f>
        <v>0</v>
      </c>
      <c r="V18" s="1">
        <f>SUMPRODUCT((NOT(ISBLANK(V$3:V$9))*(V$3:V$9=$LN$3:$LN$9))+ISBLANK(V$3:V$9))</f>
        <v>0</v>
      </c>
      <c r="W18" s="1">
        <f>SUMPRODUCT((NOT(ISBLANK(W$3:W$9))*(W$3:W$9=$LO$3:$LO$9))+ISBLANK(W$3:W$9))</f>
        <v>0</v>
      </c>
      <c r="X18" s="1">
        <f>SUMPRODUCT((NOT(ISBLANK(X$3:X$9))*(X$3:X$9=$LP$3:$LP$9))+ISBLANK(X$3:X$9))</f>
        <v>0</v>
      </c>
      <c r="Y18" s="1">
        <f>SUMPRODUCT((NOT(ISBLANK(Y$3:Y$9))*(Y$3:Y$9=$LQ$3:$LQ$9))+ISBLANK(Y$3:Y$9))</f>
        <v>0</v>
      </c>
      <c r="Z18" s="1">
        <f>SUMPRODUCT((NOT(ISBLANK(Z$3:Z$9))*(Z$3:Z$9=$LR$3:$LR$9))+ISBLANK(Z$3:Z$9))</f>
        <v>0</v>
      </c>
      <c r="AA18" s="1">
        <f>SUMPRODUCT((NOT(ISBLANK(AA$3:AA$9))*(AA$3:AA$9=$LS$3:$LS$9))+ISBLANK(AA$3:AA$9))</f>
        <v>0</v>
      </c>
      <c r="AB18" s="1">
        <f>SUMPRODUCT((NOT(ISBLANK(AB$3:AB$9))*(AB$3:AB$9=$LT$3:$LT$9))+ISBLANK(AB$3:AB$9))</f>
        <v>0</v>
      </c>
      <c r="AC18" s="1">
        <f>SUMPRODUCT((NOT(ISBLANK(AC$3:AC$9))*(AC$3:AC$9=$LU$3:$LU$9))+ISBLANK(AC$3:AC$9))</f>
        <v>0</v>
      </c>
      <c r="AD18" s="1">
        <f>SUMPRODUCT((NOT(ISBLANK(AD$3:AD$9))*(AD$3:AD$9=$LV$3:$LV$9))+ISBLANK(AD$3:AD$9))</f>
        <v>0</v>
      </c>
      <c r="AE18" s="1">
        <f>SUMPRODUCT((NOT(ISBLANK(AE$3:AE$9))*(AE$3:AE$9=$LW$3:$LW$9))+ISBLANK(AE$3:AE$9))</f>
        <v>0</v>
      </c>
      <c r="AF18" s="1">
        <f>SUMPRODUCT((NOT(ISBLANK(AF$3:AF$9))*(AF$3:AF$9=$LX$3:$LX$9))+ISBLANK(AF$3:AF$9))</f>
        <v>0</v>
      </c>
      <c r="AG18" s="1">
        <f>SUMPRODUCT((NOT(ISBLANK(AG$3:AG$9))*(AG$3:AG$9=$LY$3:$LY$9))+ISBLANK(AG$3:AG$9))</f>
        <v>0</v>
      </c>
      <c r="AH18" s="1"/>
      <c r="AI18" s="1">
        <f>SUMPRODUCT((NOT(ISBLANK(AI$3:AI$9))*(AI$3:AI$9=$LZ$3:$LZ$9))+ISBLANK(AI$3:AI$9))</f>
        <v>0</v>
      </c>
      <c r="AJ18" s="1">
        <f>SUMPRODUCT((NOT(ISBLANK(AJ$3:AJ$9))*(AJ$3:AJ$9=$MA$3:$MA$9))+ISBLANK(AJ$3:AJ$9))</f>
        <v>0</v>
      </c>
      <c r="AK18" s="1">
        <f>SUMPRODUCT((NOT(ISBLANK(AK$3:AK$9))*(AK$3:AK$9=$MB$3:$MB$9))+ISBLANK(AK$3:AK$9))</f>
        <v>0</v>
      </c>
      <c r="AL18" s="1">
        <f>SUMPRODUCT((NOT(ISBLANK(AL$3:AL$9))*(AL$3:AL$9=$LL$3:$LL$9))+ISBLANK(AL$3:AL$9))</f>
        <v>0</v>
      </c>
      <c r="AM18" s="1">
        <f>SUMPRODUCT((NOT(ISBLANK(AM$3:AM$9))*(AM$3:AM$9=$LM$3:$LM$9))+ISBLANK(AM$3:AM$9))</f>
        <v>0</v>
      </c>
      <c r="AN18" s="1">
        <f>SUMPRODUCT((NOT(ISBLANK(AN$3:AN$9))*(AN$3:AN$9=$LN$3:$LN$9))+ISBLANK(AN$3:AN$9))</f>
        <v>0</v>
      </c>
      <c r="AO18" s="1">
        <f>SUMPRODUCT((NOT(ISBLANK(AO$3:AO$9))*(AO$3:AO$9=$LO$3:$LO$9))+ISBLANK(AO$3:AO$9))</f>
        <v>0</v>
      </c>
      <c r="AP18" s="1">
        <f>SUMPRODUCT((NOT(ISBLANK(AP$3:AP$9))*(AP$3:AP$9=$LP$3:$LP$9))+ISBLANK(AP$3:AP$9))</f>
        <v>0</v>
      </c>
      <c r="AQ18" s="1">
        <f>SUMPRODUCT((NOT(ISBLANK(AQ$3:AQ$9))*(AQ$3:AQ$9=$LQ$3:$LQ$9))+ISBLANK(AQ$3:AQ$9))</f>
        <v>0</v>
      </c>
      <c r="AR18" s="1">
        <f>SUMPRODUCT((NOT(ISBLANK(AR$3:AR$9))*(AR$3:AR$9=$LR$3:$LR$9))+ISBLANK(AR$3:AR$9))</f>
        <v>0</v>
      </c>
      <c r="AS18" s="1">
        <f>SUMPRODUCT((NOT(ISBLANK(AS$3:AS$9))*(AS$3:AS$9=$LS$3:$LS$9))+ISBLANK(AS$3:AS$9))</f>
        <v>0</v>
      </c>
      <c r="AT18" s="1">
        <f>SUMPRODUCT((NOT(ISBLANK(AT$3:AT$9))*(AT$3:AT$9=$LT$3:$LT$9))+ISBLANK(AT$3:AT$9))</f>
        <v>0</v>
      </c>
      <c r="AU18" s="1">
        <f>SUMPRODUCT((NOT(ISBLANK(AU$3:AU$9))*(AU$3:AU$9=$LU$3:$LU$9))+ISBLANK(AU$3:AU$9))</f>
        <v>0</v>
      </c>
      <c r="AV18" s="1">
        <f>SUMPRODUCT((NOT(ISBLANK(AV$3:AV$9))*(AV$3:AV$9=$LV$3:$LV$9))+ISBLANK(AV$3:AV$9))</f>
        <v>0</v>
      </c>
      <c r="AW18" s="1">
        <f>SUMPRODUCT((NOT(ISBLANK(AW$3:AW$9))*(AW$3:AW$9=$LW$3:$LW$9))+ISBLANK(AW$3:AW$9))</f>
        <v>0</v>
      </c>
      <c r="AX18" s="1">
        <f>SUMPRODUCT((NOT(ISBLANK(AX$3:AX$9))*(AX$3:AX$9=$LX$3:$LX$9))+ISBLANK(AX$3:AX$9))</f>
        <v>0</v>
      </c>
      <c r="AY18" s="1">
        <f>SUMPRODUCT((NOT(ISBLANK(AY$3:AY$9))*(AY$3:AY$9=$LY$3:$LY$9))+ISBLANK(AY$3:AY$9))</f>
        <v>0</v>
      </c>
      <c r="AZ18" s="1"/>
      <c r="BA18" s="1">
        <f>SUMPRODUCT((NOT(ISBLANK(BA$3:BA$9))*(BA$3:BA$9=$LZ$3:$LZ$9))+ISBLANK(BA$3:BA$9))</f>
        <v>0</v>
      </c>
      <c r="BB18" s="1">
        <f>SUMPRODUCT((NOT(ISBLANK(BB$3:BB$9))*(BB$3:BB$9=$MA$3:$MA$9))+ISBLANK(BB$3:BB$9))</f>
        <v>0</v>
      </c>
      <c r="BC18" s="1">
        <f>SUMPRODUCT((NOT(ISBLANK(BC$3:BC$9))*(BC$3:BC$9=$MB$3:$MB$9))+ISBLANK(BC$3:BC$9))</f>
        <v>0</v>
      </c>
      <c r="BD18" s="1">
        <f>SUMPRODUCT((NOT(ISBLANK(BD$3:BD$9))*(BD$3:BD$9=$LL$3:$LL$9))+ISBLANK(BD$3:BD$9))</f>
        <v>0</v>
      </c>
      <c r="BE18" s="1">
        <f>SUMPRODUCT((NOT(ISBLANK(BE$3:BE$9))*(BE$3:BE$9=$LM$3:$LM$9))+ISBLANK(BE$3:BE$9))</f>
        <v>0</v>
      </c>
      <c r="BF18" s="1">
        <f>SUMPRODUCT((NOT(ISBLANK(BF$3:BF$9))*(BF$3:BF$9=$LN$3:$LN$9))+ISBLANK(BF$3:BF$9))</f>
        <v>0</v>
      </c>
      <c r="BG18" s="1">
        <f>SUMPRODUCT((NOT(ISBLANK(BG$3:BG$9))*(BG$3:BG$9=$LO$3:$LO$9))+ISBLANK(BG$3:BG$9))</f>
        <v>0</v>
      </c>
      <c r="BH18" s="1">
        <f>SUMPRODUCT((NOT(ISBLANK(BH$3:BH$9))*(BH$3:BH$9=$LP$3:$LP$9))+ISBLANK(BH$3:BH$9))</f>
        <v>0</v>
      </c>
      <c r="BI18" s="1">
        <f>SUMPRODUCT((NOT(ISBLANK(BI$3:BI$9))*(BI$3:BI$9=$LQ$3:$LQ$9))+ISBLANK(BI$3:BI$9))</f>
        <v>0</v>
      </c>
      <c r="BJ18" s="1">
        <f>SUMPRODUCT((NOT(ISBLANK(BJ$3:BJ$9))*(BJ$3:BJ$9=$LR$3:$LR$9))+ISBLANK(BJ$3:BJ$9))</f>
        <v>0</v>
      </c>
      <c r="BK18" s="1">
        <f>SUMPRODUCT((NOT(ISBLANK(BK$3:BK$9))*(BK$3:BK$9=$LS$3:$LS$9))+ISBLANK(BK$3:BK$9))</f>
        <v>0</v>
      </c>
      <c r="BL18" s="1">
        <f>SUMPRODUCT((NOT(ISBLANK(BL$3:BL$9))*(BL$3:BL$9=$LT$3:$LT$9))+ISBLANK(BL$3:BL$9))</f>
        <v>0</v>
      </c>
      <c r="BM18" s="1">
        <f>SUMPRODUCT((NOT(ISBLANK(BM$3:BM$9))*(BM$3:BM$9=$LU$3:$LU$9))+ISBLANK(BM$3:BM$9))</f>
        <v>0</v>
      </c>
      <c r="BN18" s="1">
        <f>SUMPRODUCT((NOT(ISBLANK(BN$3:BN$9))*(BN$3:BN$9=$LV$3:$LV$9))+ISBLANK(BN$3:BN$9))</f>
        <v>0</v>
      </c>
      <c r="BO18" s="1">
        <f>SUMPRODUCT((NOT(ISBLANK(BO$3:BO$9))*(BO$3:BO$9=$LW$3:$LW$9))+ISBLANK(BO$3:BO$9))</f>
        <v>0</v>
      </c>
      <c r="BP18" s="1">
        <f>SUMPRODUCT((NOT(ISBLANK(BP$3:BP$9))*(BP$3:BP$9=$LX$3:$LX$9))+ISBLANK(BP$3:BP$9))</f>
        <v>0</v>
      </c>
      <c r="BQ18" s="1">
        <f>SUMPRODUCT((NOT(ISBLANK(BQ$3:BQ$9))*(BQ$3:BQ$9=$LY$3:$LY$9))+ISBLANK(BQ$3:BQ$9))</f>
        <v>0</v>
      </c>
      <c r="BR18" s="1"/>
      <c r="BS18" s="1">
        <f>SUMPRODUCT((NOT(ISBLANK(BS$3:BS$9))*(BS$3:BS$9=$LZ$3:$LZ$9))+ISBLANK(BS$3:BS$9))</f>
        <v>0</v>
      </c>
      <c r="BT18" s="1">
        <f>SUMPRODUCT((NOT(ISBLANK(BT$3:BT$9))*(BT$3:BT$9=$MA$3:$MA$9))+ISBLANK(BT$3:BT$9))</f>
        <v>0</v>
      </c>
      <c r="BU18" s="1">
        <f>SUMPRODUCT((NOT(ISBLANK(BU$3:BU$9))*(BU$3:BU$9=$MB$3:$MB$9))+ISBLANK(BU$3:BU$9))</f>
        <v>0</v>
      </c>
      <c r="BV18" s="1">
        <f>SUMPRODUCT((NOT(ISBLANK(BV$3:BV$9))*(BV$3:BV$9=$LL$3:$LL$9))+ISBLANK(BV$3:BV$9))</f>
        <v>0</v>
      </c>
      <c r="BW18" s="1">
        <f>SUMPRODUCT((NOT(ISBLANK(BW$3:BW$9))*(BW$3:BW$9=$LM$3:$LM$9))+ISBLANK(BW$3:BW$9))</f>
        <v>0</v>
      </c>
      <c r="BX18" s="1">
        <f>SUMPRODUCT((NOT(ISBLANK(BX$3:BX$9))*(BX$3:BX$9=$LN$3:$LN$9))+ISBLANK(BX$3:BX$9))</f>
        <v>0</v>
      </c>
      <c r="BY18" s="1">
        <f>SUMPRODUCT((NOT(ISBLANK(BY$3:BY$9))*(BY$3:BY$9=$LO$3:$LO$9))+ISBLANK(BY$3:BY$9))</f>
        <v>0</v>
      </c>
      <c r="BZ18" s="1">
        <f>SUMPRODUCT((NOT(ISBLANK(BZ$3:BZ$9))*(BZ$3:BZ$9=$LP$3:$LP$9))+ISBLANK(BZ$3:BZ$9))</f>
        <v>0</v>
      </c>
      <c r="CA18" s="1">
        <f>SUMPRODUCT((NOT(ISBLANK(CA$3:CA$9))*(CA$3:CA$9=$LQ$3:$LQ$9))+ISBLANK(CA$3:CA$9))</f>
        <v>0</v>
      </c>
      <c r="CB18" s="1">
        <f>SUMPRODUCT((NOT(ISBLANK(CB$3:CB$9))*(CB$3:CB$9=$LR$3:$LR$9))+ISBLANK(CB$3:CB$9))</f>
        <v>0</v>
      </c>
      <c r="CC18" s="1">
        <f>SUMPRODUCT((NOT(ISBLANK(CC$3:CC$9))*(CC$3:CC$9=$LS$3:$LS$9))+ISBLANK(CC$3:CC$9))</f>
        <v>0</v>
      </c>
      <c r="CD18" s="1">
        <f>SUMPRODUCT((NOT(ISBLANK(CD$3:CD$9))*(CD$3:CD$9=$LT$3:$LT$9))+ISBLANK(CD$3:CD$9))</f>
        <v>0</v>
      </c>
      <c r="CE18" s="1">
        <f>SUMPRODUCT((NOT(ISBLANK(CE$3:CE$9))*(CE$3:CE$9=$LU$3:$LU$9))+ISBLANK(CE$3:CE$9))</f>
        <v>0</v>
      </c>
      <c r="CF18" s="1">
        <f>SUMPRODUCT((NOT(ISBLANK(CF$3:CF$9))*(CF$3:CF$9=$LV$3:$LV$9))+ISBLANK(CF$3:CF$9))</f>
        <v>0</v>
      </c>
      <c r="CG18" s="1">
        <f>SUMPRODUCT((NOT(ISBLANK(CG$3:CG$9))*(CG$3:CG$9=$LW$3:$LW$9))+ISBLANK(CG$3:CG$9))</f>
        <v>0</v>
      </c>
      <c r="CH18" s="1">
        <f>SUMPRODUCT((NOT(ISBLANK(CH$3:CH$9))*(CH$3:CH$9=$LX$3:$LX$9))+ISBLANK(CH$3:CH$9))</f>
        <v>0</v>
      </c>
      <c r="CI18" s="1">
        <f>SUMPRODUCT((NOT(ISBLANK(CI$3:CI$9))*(CI$3:CI$9=$LY$3:$LY$9))+ISBLANK(CI$3:CI$9))</f>
        <v>0</v>
      </c>
      <c r="CJ18" s="1"/>
      <c r="CK18" s="1">
        <f>SUMPRODUCT((NOT(ISBLANK(CK$3:CK$9))*(CK$3:CK$9=$LZ$3:$LZ$9))+ISBLANK(CK$3:CK$9))</f>
        <v>0</v>
      </c>
      <c r="CL18" s="1">
        <f>SUMPRODUCT((NOT(ISBLANK(CL$3:CL$9))*(CL$3:CL$9=$MA$3:$MA$9))+ISBLANK(CL$3:CL$9))</f>
        <v>0</v>
      </c>
      <c r="CM18" s="1">
        <f>SUMPRODUCT((NOT(ISBLANK(CM$3:CM$9))*(CM$3:CM$9=$MB$3:$MB$9))+ISBLANK(CM$3:CM$9))</f>
        <v>0</v>
      </c>
      <c r="CN18" s="1">
        <f>SUMPRODUCT((NOT(ISBLANK(CN$3:CN$9))*(CN$3:CN$9=$LL$3:$LL$9))+ISBLANK(CN$3:CN$9))</f>
        <v>0</v>
      </c>
      <c r="CO18" s="1">
        <f>SUMPRODUCT((NOT(ISBLANK(CO$3:CO$9))*(CO$3:CO$9=$LM$3:$LM$9))+ISBLANK(CO$3:CO$9))</f>
        <v>0</v>
      </c>
      <c r="CP18" s="1">
        <f>SUMPRODUCT((NOT(ISBLANK(CP$3:CP$9))*(CP$3:CP$9=$LN$3:$LN$9))+ISBLANK(CP$3:CP$9))</f>
        <v>0</v>
      </c>
      <c r="CQ18" s="1">
        <f>SUMPRODUCT((NOT(ISBLANK(CQ$3:CQ$9))*(CQ$3:CQ$9=$LO$3:$LO$9))+ISBLANK(CQ$3:CQ$9))</f>
        <v>0</v>
      </c>
      <c r="CR18" s="1">
        <f>SUMPRODUCT((NOT(ISBLANK(CR$3:CR$9))*(CR$3:CR$9=$LP$3:$LP$9))+ISBLANK(CR$3:CR$9))</f>
        <v>0</v>
      </c>
      <c r="CS18" s="1">
        <f>SUMPRODUCT((NOT(ISBLANK(CS$3:CS$9))*(CS$3:CS$9=$LQ$3:$LQ$9))+ISBLANK(CS$3:CS$9))</f>
        <v>0</v>
      </c>
      <c r="CT18" s="1">
        <f>SUMPRODUCT((NOT(ISBLANK(CT$3:CT$9))*(CT$3:CT$9=$LR$3:$LR$9))+ISBLANK(CT$3:CT$9))</f>
        <v>0</v>
      </c>
      <c r="CU18" s="1">
        <f>SUMPRODUCT((NOT(ISBLANK(CU$3:CU$9))*(CU$3:CU$9=$LS$3:$LS$9))+ISBLANK(CU$3:CU$9))</f>
        <v>0</v>
      </c>
      <c r="CV18" s="1">
        <f>SUMPRODUCT((NOT(ISBLANK(CV$3:CV$9))*(CV$3:CV$9=$LT$3:$LT$9))+ISBLANK(CV$3:CV$9))</f>
        <v>0</v>
      </c>
      <c r="CW18" s="1">
        <f>SUMPRODUCT((NOT(ISBLANK(CW$3:CW$9))*(CW$3:CW$9=$LU$3:$LU$9))+ISBLANK(CW$3:CW$9))</f>
        <v>0</v>
      </c>
      <c r="CX18" s="1">
        <f>SUMPRODUCT((NOT(ISBLANK(CX$3:CX$9))*(CX$3:CX$9=$LV$3:$LV$9))+ISBLANK(CX$3:CX$9))</f>
        <v>0</v>
      </c>
      <c r="CY18" s="1">
        <f>SUMPRODUCT((NOT(ISBLANK(CY$3:CY$9))*(CY$3:CY$9=$LW$3:$LW$9))+ISBLANK(CY$3:CY$9))</f>
        <v>0</v>
      </c>
      <c r="CZ18" s="1">
        <f>SUMPRODUCT((NOT(ISBLANK(CZ$3:CZ$9))*(CZ$3:CZ$9=$LX$3:$LX$9))+ISBLANK(CZ$3:CZ$9))</f>
        <v>0</v>
      </c>
      <c r="DA18" s="1">
        <f>SUMPRODUCT((NOT(ISBLANK(DA$3:DA$9))*(DA$3:DA$9=$LY$3:$LY$9))+ISBLANK(DA$3:DA$9))</f>
        <v>0</v>
      </c>
      <c r="DB18" s="1"/>
      <c r="DC18" s="1">
        <f>SUMPRODUCT((NOT(ISBLANK(DC$3:DC$9))*(DC$3:DC$9=$LZ$3:$LZ$9))+ISBLANK(DC$3:DC$9))</f>
        <v>0</v>
      </c>
      <c r="DD18" s="1">
        <f>SUMPRODUCT((NOT(ISBLANK(DD$3:DD$9))*(DD$3:DD$9=$MA$3:$MA$9))+ISBLANK(DD$3:DD$9))</f>
        <v>0</v>
      </c>
      <c r="DE18" s="1">
        <f>SUMPRODUCT((NOT(ISBLANK(DE$3:DE$9))*(DE$3:DE$9=$MB$3:$MB$9))+ISBLANK(DE$3:DE$9))</f>
        <v>0</v>
      </c>
      <c r="DF18" s="1">
        <f>SUMPRODUCT((NOT(ISBLANK(DF$3:DF$9))*(DF$3:DF$9=$LL$3:$LL$9))+ISBLANK(DF$3:DF$9))</f>
        <v>0</v>
      </c>
      <c r="DG18" s="1">
        <f>SUMPRODUCT((NOT(ISBLANK(DG$3:DG$9))*(DG$3:DG$9=$LM$3:$LM$9))+ISBLANK(DG$3:DG$9))</f>
        <v>0</v>
      </c>
      <c r="DH18" s="1">
        <f>SUMPRODUCT((NOT(ISBLANK(DH$3:DH$9))*(DH$3:DH$9=$LN$3:$LN$9))+ISBLANK(DH$3:DH$9))</f>
        <v>0</v>
      </c>
      <c r="DI18" s="1">
        <f>SUMPRODUCT((NOT(ISBLANK(DI$3:DI$9))*(DI$3:DI$9=$LO$3:$LO$9))+ISBLANK(DI$3:DI$9))</f>
        <v>0</v>
      </c>
      <c r="DJ18" s="1">
        <f>SUMPRODUCT((NOT(ISBLANK(DJ$3:DJ$9))*(DJ$3:DJ$9=$LP$3:$LP$9))+ISBLANK(DJ$3:DJ$9))</f>
        <v>0</v>
      </c>
      <c r="DK18" s="1">
        <f>SUMPRODUCT((NOT(ISBLANK(DK$3:DK$9))*(DK$3:DK$9=$LQ$3:$LQ$9))+ISBLANK(DK$3:DK$9))</f>
        <v>0</v>
      </c>
      <c r="DL18" s="1">
        <f>SUMPRODUCT((NOT(ISBLANK(DL$3:DL$9))*(DL$3:DL$9=$LR$3:$LR$9))+ISBLANK(DL$3:DL$9))</f>
        <v>0</v>
      </c>
      <c r="DM18" s="1">
        <f>SUMPRODUCT((NOT(ISBLANK(DM$3:DM$9))*(DM$3:DM$9=$LS$3:$LS$9))+ISBLANK(DM$3:DM$9))</f>
        <v>0</v>
      </c>
      <c r="DN18" s="1">
        <f>SUMPRODUCT((NOT(ISBLANK(DN$3:DN$9))*(DN$3:DN$9=$LT$3:$LT$9))+ISBLANK(DN$3:DN$9))</f>
        <v>0</v>
      </c>
      <c r="DO18" s="1">
        <f>SUMPRODUCT((NOT(ISBLANK(DO$3:DO$9))*(DO$3:DO$9=$LU$3:$LU$9))+ISBLANK(DO$3:DO$9))</f>
        <v>0</v>
      </c>
      <c r="DP18" s="1">
        <f>SUMPRODUCT((NOT(ISBLANK(DP$3:DP$9))*(DP$3:DP$9=$LV$3:$LV$9))+ISBLANK(DP$3:DP$9))</f>
        <v>0</v>
      </c>
      <c r="DQ18" s="1">
        <f>SUMPRODUCT((NOT(ISBLANK(DQ$3:DQ$9))*(DQ$3:DQ$9=$LW$3:$LW$9))+ISBLANK(DQ$3:DQ$9))</f>
        <v>0</v>
      </c>
      <c r="DR18" s="1">
        <f>SUMPRODUCT((NOT(ISBLANK(DR$3:DR$9))*(DR$3:DR$9=$LX$3:$LX$9))+ISBLANK(DR$3:DR$9))</f>
        <v>0</v>
      </c>
      <c r="DS18" s="1">
        <f>SUMPRODUCT((NOT(ISBLANK(DS$3:DS$9))*(DS$3:DS$9=$LY$3:$LY$9))+ISBLANK(DS$3:DS$9))</f>
        <v>0</v>
      </c>
      <c r="DT18" s="1"/>
      <c r="DU18" s="1">
        <f>SUMPRODUCT((NOT(ISBLANK(DU$3:DU$9))*(DU$3:DU$9=$LZ$3:$LZ$9))+ISBLANK(DU$3:DU$9))</f>
        <v>0</v>
      </c>
      <c r="DV18" s="1">
        <f>SUMPRODUCT((NOT(ISBLANK(DV$3:DV$9))*(DV$3:DV$9=$MA$3:$MA$9))+ISBLANK(DV$3:DV$9))</f>
        <v>0</v>
      </c>
      <c r="DW18" s="1">
        <f>SUMPRODUCT((NOT(ISBLANK(DW$3:DW$9))*(DW$3:DW$9=$MB$3:$MB$9))+ISBLANK(DW$3:DW$9))</f>
        <v>0</v>
      </c>
      <c r="DX18" s="1">
        <f>SUMPRODUCT((NOT(ISBLANK(DX$3:DX$9))*(DX$3:DX$9=$LL$3:$LL$9))+ISBLANK(DX$3:DX$9))</f>
        <v>0</v>
      </c>
      <c r="DY18" s="1">
        <f>SUMPRODUCT((NOT(ISBLANK(DY$3:DY$9))*(DY$3:DY$9=$LM$3:$LM$9))+ISBLANK(DY$3:DY$9))</f>
        <v>0</v>
      </c>
      <c r="DZ18" s="1">
        <f>SUMPRODUCT((NOT(ISBLANK(DZ$3:DZ$9))*(DZ$3:DZ$9=$LN$3:$LN$9))+ISBLANK(DZ$3:DZ$9))</f>
        <v>0</v>
      </c>
      <c r="EA18" s="1">
        <f>SUMPRODUCT((NOT(ISBLANK(EA$3:EA$9))*(EA$3:EA$9=$LO$3:$LO$9))+ISBLANK(EA$3:EA$9))</f>
        <v>0</v>
      </c>
      <c r="EB18" s="1">
        <f>SUMPRODUCT((NOT(ISBLANK(EB$3:EB$9))*(EB$3:EB$9=$LP$3:$LP$9))+ISBLANK(EB$3:EB$9))</f>
        <v>0</v>
      </c>
      <c r="EC18" s="1">
        <f>SUMPRODUCT((NOT(ISBLANK(EC$3:EC$9))*(EC$3:EC$9=$LQ$3:$LQ$9))+ISBLANK(EC$3:EC$9))</f>
        <v>0</v>
      </c>
      <c r="ED18" s="1">
        <f>SUMPRODUCT((NOT(ISBLANK(ED$3:ED$9))*(ED$3:ED$9=$LR$3:$LR$9))+ISBLANK(ED$3:ED$9))</f>
        <v>0</v>
      </c>
      <c r="EE18" s="1">
        <f>SUMPRODUCT((NOT(ISBLANK(EE$3:EE$9))*(EE$3:EE$9=$LS$3:$LS$9))+ISBLANK(EE$3:EE$9))</f>
        <v>0</v>
      </c>
      <c r="EF18" s="1">
        <f>SUMPRODUCT((NOT(ISBLANK(EF$3:EF$9))*(EF$3:EF$9=$LT$3:$LT$9))+ISBLANK(EF$3:EF$9))</f>
        <v>0</v>
      </c>
      <c r="EG18" s="1">
        <f>SUMPRODUCT((NOT(ISBLANK(EG$3:EG$9))*(EG$3:EG$9=$LU$3:$LU$9))+ISBLANK(EG$3:EG$9))</f>
        <v>0</v>
      </c>
      <c r="EH18" s="1">
        <f>SUMPRODUCT((NOT(ISBLANK(EH$3:EH$9))*(EH$3:EH$9=$LV$3:$LV$9))+ISBLANK(EH$3:EH$9))</f>
        <v>0</v>
      </c>
      <c r="EI18" s="1">
        <f>SUMPRODUCT((NOT(ISBLANK(EI$3:EI$9))*(EI$3:EI$9=$LW$3:$LW$9))+ISBLANK(EI$3:EI$9))</f>
        <v>0</v>
      </c>
      <c r="EJ18" s="1">
        <f>SUMPRODUCT((NOT(ISBLANK(EJ$3:EJ$9))*(EJ$3:EJ$9=$LX$3:$LX$9))+ISBLANK(EJ$3:EJ$9))</f>
        <v>0</v>
      </c>
      <c r="EK18" s="1">
        <f>SUMPRODUCT((NOT(ISBLANK(EK$3:EK$9))*(EK$3:EK$9=$LY$3:$LY$9))+ISBLANK(EK$3:EK$9))</f>
        <v>0</v>
      </c>
      <c r="EL18" s="1"/>
      <c r="EM18" s="1">
        <f>SUMPRODUCT((NOT(ISBLANK(EM$3:EM$9))*(EM$3:EM$9=$LZ$3:$LZ$9))+ISBLANK(EM$3:EM$9))</f>
        <v>0</v>
      </c>
      <c r="EN18" s="1">
        <f>SUMPRODUCT((NOT(ISBLANK(EN$3:EN$9))*(EN$3:EN$9=$MA$3:$MA$9))+ISBLANK(EN$3:EN$9))</f>
        <v>0</v>
      </c>
      <c r="EO18" s="1">
        <f>SUMPRODUCT((NOT(ISBLANK(EO$3:EO$9))*(EO$3:EO$9=$MB$3:$MB$9))+ISBLANK(EO$3:EO$9))</f>
        <v>0</v>
      </c>
      <c r="EP18" s="1">
        <f>SUMPRODUCT((NOT(ISBLANK(EP$3:EP$9))*(EP$3:EP$9=$LL$3:$LL$9))+ISBLANK(EP$3:EP$9))</f>
        <v>0</v>
      </c>
      <c r="EQ18" s="1">
        <f>SUMPRODUCT((NOT(ISBLANK(EQ$3:EQ$9))*(EQ$3:EQ$9=$LM$3:$LM$9))+ISBLANK(EQ$3:EQ$9))</f>
        <v>0</v>
      </c>
      <c r="ER18" s="1">
        <f>SUMPRODUCT((NOT(ISBLANK(ER$3:ER$9))*(ER$3:ER$9=$LN$3:$LN$9))+ISBLANK(ER$3:ER$9))</f>
        <v>0</v>
      </c>
      <c r="ES18" s="1">
        <f>SUMPRODUCT((NOT(ISBLANK(ES$3:ES$9))*(ES$3:ES$9=$LO$3:$LO$9))+ISBLANK(ES$3:ES$9))</f>
        <v>0</v>
      </c>
      <c r="ET18" s="1">
        <f>SUMPRODUCT((NOT(ISBLANK(ET$3:ET$9))*(ET$3:ET$9=$LP$3:$LP$9))+ISBLANK(ET$3:ET$9))</f>
        <v>0</v>
      </c>
      <c r="EU18" s="1">
        <f>SUMPRODUCT((NOT(ISBLANK(EU$3:EU$9))*(EU$3:EU$9=$LQ$3:$LQ$9))+ISBLANK(EU$3:EU$9))</f>
        <v>0</v>
      </c>
      <c r="EV18" s="1">
        <f>SUMPRODUCT((NOT(ISBLANK(EV$3:EV$9))*(EV$3:EV$9=$LR$3:$LR$9))+ISBLANK(EV$3:EV$9))</f>
        <v>0</v>
      </c>
      <c r="EW18" s="1">
        <f>SUMPRODUCT((NOT(ISBLANK(EW$3:EW$9))*(EW$3:EW$9=$LS$3:$LS$9))+ISBLANK(EW$3:EW$9))</f>
        <v>0</v>
      </c>
      <c r="EX18" s="1">
        <f>SUMPRODUCT((NOT(ISBLANK(EX$3:EX$9))*(EX$3:EX$9=$LT$3:$LT$9))+ISBLANK(EX$3:EX$9))</f>
        <v>0</v>
      </c>
      <c r="EY18" s="1">
        <f>SUMPRODUCT((NOT(ISBLANK(EY$3:EY$9))*(EY$3:EY$9=$LU$3:$LU$9))+ISBLANK(EY$3:EY$9))</f>
        <v>0</v>
      </c>
      <c r="EZ18" s="1">
        <f>SUMPRODUCT((NOT(ISBLANK(EZ$3:EZ$9))*(EZ$3:EZ$9=$LV$3:$LV$9))+ISBLANK(EZ$3:EZ$9))</f>
        <v>0</v>
      </c>
      <c r="FA18" s="1">
        <f>SUMPRODUCT((NOT(ISBLANK(FA$3:FA$9))*(FA$3:FA$9=$LW$3:$LW$9))+ISBLANK(FA$3:FA$9))</f>
        <v>0</v>
      </c>
      <c r="FB18" s="1">
        <f>SUMPRODUCT((NOT(ISBLANK(FB$3:FB$9))*(FB$3:FB$9=$LX$3:$LX$9))+ISBLANK(FB$3:FB$9))</f>
        <v>0</v>
      </c>
      <c r="FC18" s="1">
        <f>SUMPRODUCT((NOT(ISBLANK(FC$3:FC$9))*(FC$3:FC$9=$LY$3:$LY$9))+ISBLANK(FC$3:FC$9))</f>
        <v>0</v>
      </c>
      <c r="FD18" s="1"/>
      <c r="FE18" s="1">
        <f>SUMPRODUCT((NOT(ISBLANK(FE$3:FE$9))*(FE$3:FE$9=$LZ$3:$LZ$9))+ISBLANK(FE$3:FE$9))</f>
        <v>0</v>
      </c>
      <c r="FF18" s="1">
        <f>SUMPRODUCT((NOT(ISBLANK(FF$3:FF$9))*(FF$3:FF$9=$MA$3:$MA$9))+ISBLANK(FF$3:FF$9))</f>
        <v>0</v>
      </c>
      <c r="FG18" s="1">
        <f>SUMPRODUCT((NOT(ISBLANK(FG$3:FG$9))*(FG$3:FG$9=$MB$3:$MB$9))+ISBLANK(FG$3:FG$9))</f>
        <v>0</v>
      </c>
      <c r="FH18" s="1">
        <f>SUMPRODUCT((NOT(ISBLANK(FH$3:FH$9))*(FH$3:FH$9=$LL$3:$LL$9))+ISBLANK(FH$3:FH$9))</f>
        <v>0</v>
      </c>
      <c r="FI18" s="1">
        <f>SUMPRODUCT((NOT(ISBLANK(FI$3:FI$9))*(FI$3:FI$9=$LM$3:$LM$9))+ISBLANK(FI$3:FI$9))</f>
        <v>0</v>
      </c>
      <c r="FJ18" s="1">
        <f>SUMPRODUCT((NOT(ISBLANK(FJ$3:FJ$9))*(FJ$3:FJ$9=$LN$3:$LN$9))+ISBLANK(FJ$3:FJ$9))</f>
        <v>0</v>
      </c>
      <c r="FK18" s="1">
        <f>SUMPRODUCT((NOT(ISBLANK(FK$3:FK$9))*(FK$3:FK$9=$LO$3:$LO$9))+ISBLANK(FK$3:FK$9))</f>
        <v>0</v>
      </c>
      <c r="FL18" s="1">
        <f>SUMPRODUCT((NOT(ISBLANK(FL$3:FL$9))*(FL$3:FL$9=$LP$3:$LP$9))+ISBLANK(FL$3:FL$9))</f>
        <v>0</v>
      </c>
      <c r="FM18" s="1">
        <f>SUMPRODUCT((NOT(ISBLANK(FM$3:FM$9))*(FM$3:FM$9=$LQ$3:$LQ$9))+ISBLANK(FM$3:FM$9))</f>
        <v>0</v>
      </c>
      <c r="FN18" s="1">
        <f>SUMPRODUCT((NOT(ISBLANK(FN$3:FN$9))*(FN$3:FN$9=$LR$3:$LR$9))+ISBLANK(FN$3:FN$9))</f>
        <v>0</v>
      </c>
      <c r="FO18" s="1">
        <f>SUMPRODUCT((NOT(ISBLANK(FO$3:FO$9))*(FO$3:FO$9=$LS$3:$LS$9))+ISBLANK(FO$3:FO$9))</f>
        <v>0</v>
      </c>
      <c r="FP18" s="1">
        <f>SUMPRODUCT((NOT(ISBLANK(FP$3:FP$9))*(FP$3:FP$9=$LT$3:$LT$9))+ISBLANK(FP$3:FP$9))</f>
        <v>0</v>
      </c>
      <c r="FQ18" s="1">
        <f>SUMPRODUCT((NOT(ISBLANK(FQ$3:FQ$9))*(FQ$3:FQ$9=$LU$3:$LU$9))+ISBLANK(FQ$3:FQ$9))</f>
        <v>0</v>
      </c>
      <c r="FR18" s="1">
        <f>SUMPRODUCT((NOT(ISBLANK(FR$3:FR$9))*(FR$3:FR$9=$LV$3:$LV$9))+ISBLANK(FR$3:FR$9))</f>
        <v>0</v>
      </c>
      <c r="FS18" s="1">
        <f>SUMPRODUCT((NOT(ISBLANK(FS$3:FS$9))*(FS$3:FS$9=$LW$3:$LW$9))+ISBLANK(FS$3:FS$9))</f>
        <v>0</v>
      </c>
      <c r="FT18" s="1">
        <f>SUMPRODUCT((NOT(ISBLANK(FT$3:FT$9))*(FT$3:FT$9=$LX$3:$LX$9))+ISBLANK(FT$3:FT$9))</f>
        <v>0</v>
      </c>
      <c r="FU18" s="1">
        <f>SUMPRODUCT((NOT(ISBLANK(FU$3:FU$9))*(FU$3:FU$9=$LY$3:$LY$9))+ISBLANK(FU$3:FU$9))</f>
        <v>0</v>
      </c>
      <c r="FV18" s="1"/>
      <c r="FW18" s="1">
        <f>SUMPRODUCT((NOT(ISBLANK(FW$3:FW$9))*(FW$3:FW$9=$LZ$3:$LZ$9))+ISBLANK(FW$3:FW$9))</f>
        <v>0</v>
      </c>
      <c r="FX18" s="1">
        <f>SUMPRODUCT((NOT(ISBLANK(FX$3:FX$9))*(FX$3:FX$9=$MA$3:$MA$9))+ISBLANK(FX$3:FX$9))</f>
        <v>0</v>
      </c>
      <c r="FY18" s="1">
        <f>SUMPRODUCT((NOT(ISBLANK(FY$3:FY$9))*(FY$3:FY$9=$MB$3:$MB$9))+ISBLANK(FY$3:FY$9))</f>
        <v>0</v>
      </c>
      <c r="FZ18" s="1">
        <f>SUMPRODUCT((NOT(ISBLANK(FZ$3:FZ$9))*(FZ$3:FZ$9=$LL$3:$LL$9))+ISBLANK(FZ$3:FZ$9))</f>
        <v>0</v>
      </c>
      <c r="GA18" s="1">
        <f>SUMPRODUCT((NOT(ISBLANK(GA$3:GA$9))*(GA$3:GA$9=$LM$3:$LM$9))+ISBLANK(GA$3:GA$9))</f>
        <v>0</v>
      </c>
      <c r="GB18" s="1">
        <f>SUMPRODUCT((NOT(ISBLANK(GB$3:GB$9))*(GB$3:GB$9=$LN$3:$LN$9))+ISBLANK(GB$3:GB$9))</f>
        <v>0</v>
      </c>
      <c r="GC18" s="1">
        <f>SUMPRODUCT((NOT(ISBLANK(GC$3:GC$9))*(GC$3:GC$9=$LO$3:$LO$9))+ISBLANK(GC$3:GC$9))</f>
        <v>0</v>
      </c>
      <c r="GD18" s="1">
        <f>SUMPRODUCT((NOT(ISBLANK(GD$3:GD$9))*(GD$3:GD$9=$LP$3:$LP$9))+ISBLANK(GD$3:GD$9))</f>
        <v>0</v>
      </c>
      <c r="GE18" s="1">
        <f>SUMPRODUCT((NOT(ISBLANK(GE$3:GE$9))*(GE$3:GE$9=$LQ$3:$LQ$9))+ISBLANK(GE$3:GE$9))</f>
        <v>0</v>
      </c>
      <c r="GF18" s="1">
        <f>SUMPRODUCT((NOT(ISBLANK(GF$3:GF$9))*(GF$3:GF$9=$LR$3:$LR$9))+ISBLANK(GF$3:GF$9))</f>
        <v>0</v>
      </c>
      <c r="GG18" s="1">
        <f>SUMPRODUCT((NOT(ISBLANK(GG$3:GG$9))*(GG$3:GG$9=$LS$3:$LS$9))+ISBLANK(GG$3:GG$9))</f>
        <v>0</v>
      </c>
      <c r="GH18" s="1">
        <f>SUMPRODUCT((NOT(ISBLANK(GH$3:GH$9))*(GH$3:GH$9=$LT$3:$LT$9))+ISBLANK(GH$3:GH$9))</f>
        <v>0</v>
      </c>
      <c r="GI18" s="1">
        <f>SUMPRODUCT((NOT(ISBLANK(GI$3:GI$9))*(GI$3:GI$9=$LU$3:$LU$9))+ISBLANK(GI$3:GI$9))</f>
        <v>0</v>
      </c>
      <c r="GJ18" s="1">
        <f>SUMPRODUCT((NOT(ISBLANK(GJ$3:GJ$9))*(GJ$3:GJ$9=$LV$3:$LV$9))+ISBLANK(GJ$3:GJ$9))</f>
        <v>0</v>
      </c>
      <c r="GK18" s="1">
        <f>SUMPRODUCT((NOT(ISBLANK(GK$3:GK$9))*(GK$3:GK$9=$LW$3:$LW$9))+ISBLANK(GK$3:GK$9))</f>
        <v>0</v>
      </c>
      <c r="GL18" s="1">
        <f>SUMPRODUCT((NOT(ISBLANK(GL$3:GL$9))*(GL$3:GL$9=$LX$3:$LX$9))+ISBLANK(GL$3:GL$9))</f>
        <v>0</v>
      </c>
      <c r="GM18" s="1">
        <f>SUMPRODUCT((NOT(ISBLANK(GM$3:GM$9))*(GM$3:GM$9=$LY$3:$LY$9))+ISBLANK(GM$3:GM$9))</f>
        <v>0</v>
      </c>
      <c r="GN18" s="1"/>
      <c r="GO18" s="1">
        <f>SUMPRODUCT((NOT(ISBLANK(GO$3:GO$9))*(GO$3:GO$9=$LZ$3:$LZ$9))+ISBLANK(GO$3:GO$9))</f>
        <v>0</v>
      </c>
      <c r="GP18" s="1">
        <f>SUMPRODUCT((NOT(ISBLANK(GP$3:GP$9))*(GP$3:GP$9=$MA$3:$MA$9))+ISBLANK(GP$3:GP$9))</f>
        <v>0</v>
      </c>
      <c r="GQ18" s="1">
        <f>SUMPRODUCT((NOT(ISBLANK(GQ$3:GQ$9))*(GQ$3:GQ$9=$MB$3:$MB$9))+ISBLANK(GQ$3:GQ$9))</f>
        <v>0</v>
      </c>
      <c r="GR18" s="1">
        <f>SUMPRODUCT((NOT(ISBLANK(GR$3:GR$9))*(GR$3:GR$9=$LL$3:$LL$9))+ISBLANK(GR$3:GR$9))</f>
        <v>0</v>
      </c>
      <c r="GS18" s="1">
        <f>SUMPRODUCT((NOT(ISBLANK(GS$3:GS$9))*(GS$3:GS$9=$LM$3:$LM$9))+ISBLANK(GS$3:GS$9))</f>
        <v>0</v>
      </c>
      <c r="GT18" s="1">
        <f>SUMPRODUCT((NOT(ISBLANK(GT$3:GT$9))*(GT$3:GT$9=$LN$3:$LN$9))+ISBLANK(GT$3:GT$9))</f>
        <v>0</v>
      </c>
      <c r="GU18" s="1">
        <f>SUMPRODUCT((NOT(ISBLANK(GU$3:GU$9))*(GU$3:GU$9=$LO$3:$LO$9))+ISBLANK(GU$3:GU$9))</f>
        <v>0</v>
      </c>
      <c r="GV18" s="1">
        <f>SUMPRODUCT((NOT(ISBLANK(GV$3:GV$9))*(GV$3:GV$9=$LP$3:$LP$9))+ISBLANK(GV$3:GV$9))</f>
        <v>0</v>
      </c>
      <c r="GW18" s="1">
        <f>SUMPRODUCT((NOT(ISBLANK(GW$3:GW$9))*(GW$3:GW$9=$LQ$3:$LQ$9))+ISBLANK(GW$3:GW$9))</f>
        <v>0</v>
      </c>
      <c r="GX18" s="1">
        <f>SUMPRODUCT((NOT(ISBLANK(GX$3:GX$9))*(GX$3:GX$9=$LR$3:$LR$9))+ISBLANK(GX$3:GX$9))</f>
        <v>0</v>
      </c>
      <c r="GY18" s="1">
        <f>SUMPRODUCT((NOT(ISBLANK(GY$3:GY$9))*(GY$3:GY$9=$LS$3:$LS$9))+ISBLANK(GY$3:GY$9))</f>
        <v>0</v>
      </c>
      <c r="GZ18" s="1">
        <f>SUMPRODUCT((NOT(ISBLANK(GZ$3:GZ$9))*(GZ$3:GZ$9=$LT$3:$LT$9))+ISBLANK(GZ$3:GZ$9))</f>
        <v>0</v>
      </c>
      <c r="HA18" s="1">
        <f>SUMPRODUCT((NOT(ISBLANK(HA$3:HA$9))*(HA$3:HA$9=$LU$3:$LU$9))+ISBLANK(HA$3:HA$9))</f>
        <v>0</v>
      </c>
      <c r="HB18" s="1">
        <f>SUMPRODUCT((NOT(ISBLANK(HB$3:HB$9))*(HB$3:HB$9=$LV$3:$LV$9))+ISBLANK(HB$3:HB$9))</f>
        <v>0</v>
      </c>
      <c r="HC18" s="1">
        <f>SUMPRODUCT((NOT(ISBLANK(HC$3:HC$9))*(HC$3:HC$9=$LW$3:$LW$9))+ISBLANK(HC$3:HC$9))</f>
        <v>0</v>
      </c>
      <c r="HD18" s="1">
        <f>SUMPRODUCT((NOT(ISBLANK(HD$3:HD$9))*(HD$3:HD$9=$LX$3:$LX$9))+ISBLANK(HD$3:HD$9))</f>
        <v>0</v>
      </c>
      <c r="HE18" s="1">
        <f>SUMPRODUCT((NOT(ISBLANK(HE$3:HE$9))*(HE$3:HE$9=$LY$3:$LY$9))+ISBLANK(HE$3:HE$9))</f>
        <v>0</v>
      </c>
      <c r="HF18" s="1"/>
      <c r="HG18" s="1">
        <f>SUMPRODUCT((NOT(ISBLANK(HG$3:HG$9))*(HG$3:HG$9=$LZ$3:$LZ$9))+ISBLANK(HG$3:HG$9))</f>
        <v>0</v>
      </c>
      <c r="HH18" s="1">
        <f>SUMPRODUCT((NOT(ISBLANK(HH$3:HH$9))*(HH$3:HH$9=$MA$3:$MA$9))+ISBLANK(HH$3:HH$9))</f>
        <v>0</v>
      </c>
      <c r="HI18" s="1">
        <f>SUMPRODUCT((NOT(ISBLANK(HI$3:HI$9))*(HI$3:HI$9=$MB$3:$MB$9))+ISBLANK(HI$3:HI$9))</f>
        <v>0</v>
      </c>
      <c r="HJ18" s="1">
        <f>SUMPRODUCT((NOT(ISBLANK(HJ$3:HJ$9))*(HJ$3:HJ$9=$LL$3:$LL$9))+ISBLANK(HJ$3:HJ$9))</f>
        <v>0</v>
      </c>
      <c r="HK18" s="1">
        <f>SUMPRODUCT((NOT(ISBLANK(HK$3:HK$9))*(HK$3:HK$9=$LM$3:$LM$9))+ISBLANK(HK$3:HK$9))</f>
        <v>0</v>
      </c>
      <c r="HL18" s="1">
        <f>SUMPRODUCT((NOT(ISBLANK(HL$3:HL$9))*(HL$3:HL$9=$LN$3:$LN$9))+ISBLANK(HL$3:HL$9))</f>
        <v>0</v>
      </c>
      <c r="HM18" s="1">
        <f>SUMPRODUCT((NOT(ISBLANK(HM$3:HM$9))*(HM$3:HM$9=$LO$3:$LO$9))+ISBLANK(HM$3:HM$9))</f>
        <v>0</v>
      </c>
      <c r="HN18" s="1">
        <f>SUMPRODUCT((NOT(ISBLANK(HN$3:HN$9))*(HN$3:HN$9=$LP$3:$LP$9))+ISBLANK(HN$3:HN$9))</f>
        <v>0</v>
      </c>
      <c r="HO18" s="1">
        <f>SUMPRODUCT((NOT(ISBLANK(HO$3:HO$9))*(HO$3:HO$9=$LQ$3:$LQ$9))+ISBLANK(HO$3:HO$9))</f>
        <v>0</v>
      </c>
      <c r="HP18" s="1">
        <f>SUMPRODUCT((NOT(ISBLANK(HP$3:HP$9))*(HP$3:HP$9=$LR$3:$LR$9))+ISBLANK(HP$3:HP$9))</f>
        <v>0</v>
      </c>
      <c r="HQ18" s="1">
        <f>SUMPRODUCT((NOT(ISBLANK(HQ$3:HQ$9))*(HQ$3:HQ$9=$LS$3:$LS$9))+ISBLANK(HQ$3:HQ$9))</f>
        <v>0</v>
      </c>
      <c r="HR18" s="1">
        <f>SUMPRODUCT((NOT(ISBLANK(HR$3:HR$9))*(HR$3:HR$9=$LT$3:$LT$9))+ISBLANK(HR$3:HR$9))</f>
        <v>0</v>
      </c>
      <c r="HS18" s="1">
        <f>SUMPRODUCT((NOT(ISBLANK(HS$3:HS$9))*(HS$3:HS$9=$LU$3:$LU$9))+ISBLANK(HS$3:HS$9))</f>
        <v>0</v>
      </c>
      <c r="HT18" s="1">
        <f>SUMPRODUCT((NOT(ISBLANK(HT$3:HT$9))*(HT$3:HT$9=$LV$3:$LV$9))+ISBLANK(HT$3:HT$9))</f>
        <v>0</v>
      </c>
      <c r="HU18" s="1">
        <f>SUMPRODUCT((NOT(ISBLANK(HU$3:HU$9))*(HU$3:HU$9=$LW$3:$LW$9))+ISBLANK(HU$3:HU$9))</f>
        <v>0</v>
      </c>
      <c r="HV18" s="1">
        <f>SUMPRODUCT((NOT(ISBLANK(HV$3:HV$9))*(HV$3:HV$9=$LX$3:$LX$9))+ISBLANK(HV$3:HV$9))</f>
        <v>0</v>
      </c>
      <c r="HW18" s="1">
        <f>SUMPRODUCT((NOT(ISBLANK(HW$3:HW$9))*(HW$3:HW$9=$LY$3:$LY$9))+ISBLANK(HW$3:HW$9))</f>
        <v>0</v>
      </c>
      <c r="HX18" s="1"/>
      <c r="HY18" s="1">
        <f>SUMPRODUCT((NOT(ISBLANK(HY$3:HY$9))*(HY$3:HY$9=$LZ$3:$LZ$9))+ISBLANK(HY$3:HY$9))</f>
        <v>0</v>
      </c>
      <c r="HZ18" s="1">
        <f>SUMPRODUCT((NOT(ISBLANK(HZ$3:HZ$9))*(HZ$3:HZ$9=$MA$3:$MA$9))+ISBLANK(HZ$3:HZ$9))</f>
        <v>0</v>
      </c>
      <c r="IA18" s="1">
        <f>SUMPRODUCT((NOT(ISBLANK(IA$3:IA$9))*(IA$3:IA$9=$MB$3:$MB$9))+ISBLANK(IA$3:IA$9))</f>
        <v>0</v>
      </c>
      <c r="IB18" s="1">
        <f>SUMPRODUCT((NOT(ISBLANK(IB$3:IB$9))*(IB$3:IB$9=$LL$3:$LL$9))+ISBLANK(IB$3:IB$9))</f>
        <v>0</v>
      </c>
      <c r="IC18" s="1">
        <f>SUMPRODUCT((NOT(ISBLANK(IC$3:IC$9))*(IC$3:IC$9=$LM$3:$LM$9))+ISBLANK(IC$3:IC$9))</f>
        <v>0</v>
      </c>
      <c r="ID18" s="1">
        <f>SUMPRODUCT((NOT(ISBLANK(ID$3:ID$9))*(ID$3:ID$9=$LN$3:$LN$9))+ISBLANK(ID$3:ID$9))</f>
        <v>0</v>
      </c>
      <c r="IE18" s="1">
        <f>SUMPRODUCT((NOT(ISBLANK(IE$3:IE$9))*(IE$3:IE$9=$LO$3:$LO$9))+ISBLANK(IE$3:IE$9))</f>
        <v>0</v>
      </c>
      <c r="IF18" s="1">
        <f>SUMPRODUCT((NOT(ISBLANK(IF$3:IF$9))*(IF$3:IF$9=$LP$3:$LP$9))+ISBLANK(IF$3:IF$9))</f>
        <v>0</v>
      </c>
      <c r="IG18" s="1">
        <f>SUMPRODUCT((NOT(ISBLANK(IG$3:IG$9))*(IG$3:IG$9=$LQ$3:$LQ$9))+ISBLANK(IG$3:IG$9))</f>
        <v>0</v>
      </c>
      <c r="IH18" s="1">
        <f>SUMPRODUCT((NOT(ISBLANK(IH$3:IH$9))*(IH$3:IH$9=$LR$3:$LR$9))+ISBLANK(IH$3:IH$9))</f>
        <v>0</v>
      </c>
      <c r="II18" s="1">
        <f>SUMPRODUCT((NOT(ISBLANK(II$3:II$9))*(II$3:II$9=$LS$3:$LS$9))+ISBLANK(II$3:II$9))</f>
        <v>0</v>
      </c>
      <c r="IJ18" s="1">
        <f>SUMPRODUCT((NOT(ISBLANK(IJ$3:IJ$9))*(IJ$3:IJ$9=$LT$3:$LT$9))+ISBLANK(IJ$3:IJ$9))</f>
        <v>0</v>
      </c>
      <c r="IK18" s="1">
        <f>SUMPRODUCT((NOT(ISBLANK(IK$3:IK$9))*(IK$3:IK$9=$LU$3:$LU$9))+ISBLANK(IK$3:IK$9))</f>
        <v>0</v>
      </c>
      <c r="IL18" s="1">
        <f>SUMPRODUCT((NOT(ISBLANK(IL$3:IL$9))*(IL$3:IL$9=$LV$3:$LV$9))+ISBLANK(IL$3:IL$9))</f>
        <v>0</v>
      </c>
      <c r="IM18" s="1">
        <f>SUMPRODUCT((NOT(ISBLANK(IM$3:IM$9))*(IM$3:IM$9=$LW$3:$LW$9))+ISBLANK(IM$3:IM$9))</f>
        <v>0</v>
      </c>
      <c r="IN18" s="1">
        <f>SUMPRODUCT((NOT(ISBLANK(IN$3:IN$9))*(IN$3:IN$9=$LX$3:$LX$9))+ISBLANK(IN$3:IN$9))</f>
        <v>0</v>
      </c>
      <c r="IO18" s="1">
        <f>SUMPRODUCT((NOT(ISBLANK(IO$3:IO$9))*(IO$3:IO$9=$LY$3:$LY$9))+ISBLANK(IO$3:IO$9))</f>
        <v>0</v>
      </c>
      <c r="IP18" s="1"/>
      <c r="IQ18" s="1">
        <f>SUMPRODUCT((NOT(ISBLANK(IQ$3:IQ$9))*(IQ$3:IQ$9=$LZ$3:$LZ$9))+ISBLANK(IQ$3:IQ$9))</f>
        <v>0</v>
      </c>
      <c r="IR18" s="1">
        <f>SUMPRODUCT((NOT(ISBLANK(IR$3:IR$9))*(IR$3:IR$9=$MA$3:$MA$9))+ISBLANK(IR$3:IR$9))</f>
        <v>0</v>
      </c>
      <c r="IS18" s="1">
        <f>SUMPRODUCT((NOT(ISBLANK(IS$3:IS$9))*(IS$3:IS$9=$MB$3:$MB$9))+ISBLANK(IS$3:IS$9))</f>
        <v>0</v>
      </c>
      <c r="IT18" s="1">
        <f>SUMPRODUCT((NOT(ISBLANK(IT$3:IT$9))*(IT$3:IT$9=$LL$3:$LL$9))+ISBLANK(IT$3:IT$9))</f>
        <v>0</v>
      </c>
      <c r="IU18" s="1">
        <f>SUMPRODUCT((NOT(ISBLANK(IU$3:IU$9))*(IU$3:IU$9=$LM$3:$LM$9))+ISBLANK(IU$3:IU$9))</f>
        <v>0</v>
      </c>
      <c r="IV18" s="1">
        <f>SUMPRODUCT((NOT(ISBLANK(IV$3:IV$9))*(IV$3:IV$9=$LN$3:$LN$9))+ISBLANK(IV$3:IV$9))</f>
        <v>0</v>
      </c>
      <c r="IW18" s="1">
        <f>SUMPRODUCT((NOT(ISBLANK(IW$3:IW$9))*(IW$3:IW$9=$LO$3:$LO$9))+ISBLANK(IW$3:IW$9))</f>
        <v>0</v>
      </c>
      <c r="IX18" s="1">
        <f>SUMPRODUCT((NOT(ISBLANK(IX$3:IX$9))*(IX$3:IX$9=$LP$3:$LP$9))+ISBLANK(IX$3:IX$9))</f>
        <v>0</v>
      </c>
      <c r="IY18" s="1">
        <f>SUMPRODUCT((NOT(ISBLANK(IY$3:IY$9))*(IY$3:IY$9=$LQ$3:$LQ$9))+ISBLANK(IY$3:IY$9))</f>
        <v>0</v>
      </c>
      <c r="IZ18" s="1">
        <f>SUMPRODUCT((NOT(ISBLANK(IZ$3:IZ$9))*(IZ$3:IZ$9=$LR$3:$LR$9))+ISBLANK(IZ$3:IZ$9))</f>
        <v>0</v>
      </c>
      <c r="JA18" s="1">
        <f>SUMPRODUCT((NOT(ISBLANK(JA$3:JA$9))*(JA$3:JA$9=$LS$3:$LS$9))+ISBLANK(JA$3:JA$9))</f>
        <v>0</v>
      </c>
      <c r="JB18" s="1">
        <f>SUMPRODUCT((NOT(ISBLANK(JB$3:JB$9))*(JB$3:JB$9=$LT$3:$LT$9))+ISBLANK(JB$3:JB$9))</f>
        <v>0</v>
      </c>
      <c r="JC18" s="1">
        <f>SUMPRODUCT((NOT(ISBLANK(JC$3:JC$9))*(JC$3:JC$9=$LU$3:$LU$9))+ISBLANK(JC$3:JC$9))</f>
        <v>0</v>
      </c>
      <c r="JD18" s="1">
        <f>SUMPRODUCT((NOT(ISBLANK(JD$3:JD$9))*(JD$3:JD$9=$LV$3:$LV$9))+ISBLANK(JD$3:JD$9))</f>
        <v>0</v>
      </c>
      <c r="JE18" s="1">
        <f>SUMPRODUCT((NOT(ISBLANK(JE$3:JE$9))*(JE$3:JE$9=$LW$3:$LW$9))+ISBLANK(JE$3:JE$9))</f>
        <v>0</v>
      </c>
      <c r="JF18" s="1">
        <f>SUMPRODUCT((NOT(ISBLANK(JF$3:JF$9))*(JF$3:JF$9=$LX$3:$LX$9))+ISBLANK(JF$3:JF$9))</f>
        <v>0</v>
      </c>
      <c r="JG18" s="1">
        <f>SUMPRODUCT((NOT(ISBLANK(JG$3:JG$9))*(JG$3:JG$9=$LY$3:$LY$9))+ISBLANK(JG$3:JG$9))</f>
        <v>0</v>
      </c>
      <c r="JH18" s="1"/>
      <c r="JI18" s="1">
        <f>SUMPRODUCT((NOT(ISBLANK(JI$3:JI$9))*(JI$3:JI$9=$LZ$3:$LZ$9))+ISBLANK(JI$3:JI$9))</f>
        <v>0</v>
      </c>
      <c r="JJ18" s="1">
        <f>SUMPRODUCT((NOT(ISBLANK(JJ$3:JJ$9))*(JJ$3:JJ$9=$MA$3:$MA$9))+ISBLANK(JJ$3:JJ$9))</f>
        <v>0</v>
      </c>
      <c r="JK18" s="1">
        <f>SUMPRODUCT((NOT(ISBLANK(JK$3:JK$9))*(JK$3:JK$9=$MB$3:$MB$9))+ISBLANK(JK$3:JK$9))</f>
        <v>0</v>
      </c>
      <c r="JL18" s="1">
        <f>SUMPRODUCT((NOT(ISBLANK(JL$3:JL$9))*(JL$3:JL$9=$LL$3:$LL$9))+ISBLANK(JL$3:JL$9))</f>
        <v>0</v>
      </c>
      <c r="JM18" s="1">
        <f>SUMPRODUCT((NOT(ISBLANK(JM$3:JM$9))*(JM$3:JM$9=$LM$3:$LM$9))+ISBLANK(JM$3:JM$9))</f>
        <v>0</v>
      </c>
      <c r="JN18" s="1">
        <f>SUMPRODUCT((NOT(ISBLANK(JN$3:JN$9))*(JN$3:JN$9=$LN$3:$LN$9))+ISBLANK(JN$3:JN$9))</f>
        <v>0</v>
      </c>
      <c r="JO18" s="1">
        <f>SUMPRODUCT((NOT(ISBLANK(JO$3:JO$9))*(JO$3:JO$9=$LO$3:$LO$9))+ISBLANK(JO$3:JO$9))</f>
        <v>0</v>
      </c>
      <c r="JP18" s="1">
        <f>SUMPRODUCT((NOT(ISBLANK(JP$3:JP$9))*(JP$3:JP$9=$LP$3:$LP$9))+ISBLANK(JP$3:JP$9))</f>
        <v>0</v>
      </c>
      <c r="JQ18" s="1">
        <f>SUMPRODUCT((NOT(ISBLANK(JQ$3:JQ$9))*(JQ$3:JQ$9=$LQ$3:$LQ$9))+ISBLANK(JQ$3:JQ$9))</f>
        <v>0</v>
      </c>
      <c r="JR18" s="1">
        <f>SUMPRODUCT((NOT(ISBLANK(JR$3:JR$9))*(JR$3:JR$9=$LR$3:$LR$9))+ISBLANK(JR$3:JR$9))</f>
        <v>0</v>
      </c>
      <c r="JS18" s="1">
        <f>SUMPRODUCT((NOT(ISBLANK(JS$3:JS$9))*(JS$3:JS$9=$LS$3:$LS$9))+ISBLANK(JS$3:JS$9))</f>
        <v>0</v>
      </c>
      <c r="JT18" s="1">
        <f>SUMPRODUCT((NOT(ISBLANK(JT$3:JT$9))*(JT$3:JT$9=$LT$3:$LT$9))+ISBLANK(JT$3:JT$9))</f>
        <v>0</v>
      </c>
      <c r="JU18" s="1">
        <f>SUMPRODUCT((NOT(ISBLANK(JU$3:JU$9))*(JU$3:JU$9=$LU$3:$LU$9))+ISBLANK(JU$3:JU$9))</f>
        <v>0</v>
      </c>
      <c r="JV18" s="1">
        <f>SUMPRODUCT((NOT(ISBLANK(JV$3:JV$9))*(JV$3:JV$9=$LV$3:$LV$9))+ISBLANK(JV$3:JV$9))</f>
        <v>0</v>
      </c>
      <c r="JW18" s="1">
        <f>SUMPRODUCT((NOT(ISBLANK(JW$3:JW$9))*(JW$3:JW$9=$LW$3:$LW$9))+ISBLANK(JW$3:JW$9))</f>
        <v>0</v>
      </c>
      <c r="JX18" s="1">
        <f>SUMPRODUCT((NOT(ISBLANK(JX$3:JX$9))*(JX$3:JX$9=$LX$3:$LX$9))+ISBLANK(JX$3:JX$9))</f>
        <v>0</v>
      </c>
      <c r="JY18" s="1">
        <f>SUMPRODUCT((NOT(ISBLANK(JY$3:JY$9))*(JY$3:JY$9=$LY$3:$LY$9))+ISBLANK(JY$3:JY$9))</f>
        <v>0</v>
      </c>
      <c r="JZ18" s="1"/>
      <c r="KA18" s="1">
        <f>SUMPRODUCT((NOT(ISBLANK(KA$3:KA$9))*(KA$3:KA$9=$LZ$3:$LZ$9))+ISBLANK(KA$3:KA$9))</f>
        <v>0</v>
      </c>
      <c r="KB18" s="1">
        <f>SUMPRODUCT((NOT(ISBLANK(KB$3:KB$9))*(KB$3:KB$9=$MA$3:$MA$9))+ISBLANK(KB$3:KB$9))</f>
        <v>0</v>
      </c>
      <c r="KC18" s="1">
        <f>SUMPRODUCT((NOT(ISBLANK(KC$3:KC$9))*(KC$3:KC$9=$MB$3:$MB$9))+ISBLANK(KC$3:KC$9))</f>
        <v>0</v>
      </c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B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40" width="11.42578125" customWidth="1"/>
  </cols>
  <sheetData>
    <row r="1" spans="1:340">
      <c r="A1" s="1" t="s">
        <v>53</v>
      </c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35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36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37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38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39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40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41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42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43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44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45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46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47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48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49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50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 t="s">
        <v>51</v>
      </c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52</v>
      </c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</row>
    <row r="2" spans="1:340">
      <c r="A2" s="2" t="s">
        <v>51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32</v>
      </c>
      <c r="R2" s="1" t="s">
        <v>33</v>
      </c>
      <c r="S2" s="1" t="s">
        <v>34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32</v>
      </c>
      <c r="AJ2" s="1" t="s">
        <v>33</v>
      </c>
      <c r="AK2" s="1" t="s">
        <v>34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28</v>
      </c>
      <c r="AY2" s="1" t="s">
        <v>29</v>
      </c>
      <c r="AZ2" s="1" t="s">
        <v>30</v>
      </c>
      <c r="BA2" s="1" t="s">
        <v>32</v>
      </c>
      <c r="BB2" s="1" t="s">
        <v>33</v>
      </c>
      <c r="BC2" s="1" t="s">
        <v>34</v>
      </c>
      <c r="BD2" s="1" t="s">
        <v>16</v>
      </c>
      <c r="BE2" s="1" t="s">
        <v>17</v>
      </c>
      <c r="BF2" s="1" t="s">
        <v>18</v>
      </c>
      <c r="BG2" s="1" t="s">
        <v>19</v>
      </c>
      <c r="BH2" s="1" t="s">
        <v>20</v>
      </c>
      <c r="BI2" s="1" t="s">
        <v>21</v>
      </c>
      <c r="BJ2" s="1" t="s">
        <v>22</v>
      </c>
      <c r="BK2" s="1" t="s">
        <v>23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29</v>
      </c>
      <c r="BR2" s="1" t="s">
        <v>30</v>
      </c>
      <c r="BS2" s="1" t="s">
        <v>32</v>
      </c>
      <c r="BT2" s="1" t="s">
        <v>33</v>
      </c>
      <c r="BU2" s="1" t="s">
        <v>34</v>
      </c>
      <c r="BV2" s="1" t="s">
        <v>16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21</v>
      </c>
      <c r="CB2" s="1" t="s">
        <v>22</v>
      </c>
      <c r="CC2" s="1" t="s">
        <v>23</v>
      </c>
      <c r="CD2" s="1" t="s">
        <v>24</v>
      </c>
      <c r="CE2" s="1" t="s">
        <v>25</v>
      </c>
      <c r="CF2" s="1" t="s">
        <v>26</v>
      </c>
      <c r="CG2" s="1" t="s">
        <v>27</v>
      </c>
      <c r="CH2" s="1" t="s">
        <v>28</v>
      </c>
      <c r="CI2" s="1" t="s">
        <v>29</v>
      </c>
      <c r="CJ2" s="1" t="s">
        <v>30</v>
      </c>
      <c r="CK2" s="1" t="s">
        <v>32</v>
      </c>
      <c r="CL2" s="1" t="s">
        <v>33</v>
      </c>
      <c r="CM2" s="1" t="s">
        <v>34</v>
      </c>
      <c r="CN2" s="1" t="s">
        <v>16</v>
      </c>
      <c r="CO2" s="1" t="s">
        <v>17</v>
      </c>
      <c r="CP2" s="1" t="s">
        <v>18</v>
      </c>
      <c r="CQ2" s="1" t="s">
        <v>19</v>
      </c>
      <c r="CR2" s="1" t="s">
        <v>20</v>
      </c>
      <c r="CS2" s="1" t="s">
        <v>21</v>
      </c>
      <c r="CT2" s="1" t="s">
        <v>22</v>
      </c>
      <c r="CU2" s="1" t="s">
        <v>23</v>
      </c>
      <c r="CV2" s="1" t="s">
        <v>24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29</v>
      </c>
      <c r="DB2" s="1" t="s">
        <v>30</v>
      </c>
      <c r="DC2" s="1" t="s">
        <v>32</v>
      </c>
      <c r="DD2" s="1" t="s">
        <v>33</v>
      </c>
      <c r="DE2" s="1" t="s">
        <v>34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20</v>
      </c>
      <c r="DK2" s="1" t="s">
        <v>21</v>
      </c>
      <c r="DL2" s="1" t="s">
        <v>22</v>
      </c>
      <c r="DM2" s="1" t="s">
        <v>23</v>
      </c>
      <c r="DN2" s="1" t="s">
        <v>24</v>
      </c>
      <c r="DO2" s="1" t="s">
        <v>25</v>
      </c>
      <c r="DP2" s="1" t="s">
        <v>26</v>
      </c>
      <c r="DQ2" s="1" t="s">
        <v>27</v>
      </c>
      <c r="DR2" s="1" t="s">
        <v>28</v>
      </c>
      <c r="DS2" s="1" t="s">
        <v>29</v>
      </c>
      <c r="DT2" s="1" t="s">
        <v>30</v>
      </c>
      <c r="DU2" s="1" t="s">
        <v>32</v>
      </c>
      <c r="DV2" s="1" t="s">
        <v>33</v>
      </c>
      <c r="DW2" s="1" t="s">
        <v>34</v>
      </c>
      <c r="DX2" s="1" t="s">
        <v>16</v>
      </c>
      <c r="DY2" s="1" t="s">
        <v>17</v>
      </c>
      <c r="DZ2" s="1" t="s">
        <v>18</v>
      </c>
      <c r="EA2" s="1" t="s">
        <v>19</v>
      </c>
      <c r="EB2" s="1" t="s">
        <v>20</v>
      </c>
      <c r="EC2" s="1" t="s">
        <v>21</v>
      </c>
      <c r="ED2" s="1" t="s">
        <v>22</v>
      </c>
      <c r="EE2" s="1" t="s">
        <v>23</v>
      </c>
      <c r="EF2" s="1" t="s">
        <v>24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29</v>
      </c>
      <c r="EL2" s="1" t="s">
        <v>30</v>
      </c>
      <c r="EM2" s="1" t="s">
        <v>32</v>
      </c>
      <c r="EN2" s="1" t="s">
        <v>33</v>
      </c>
      <c r="EO2" s="1" t="s">
        <v>34</v>
      </c>
      <c r="EP2" s="1" t="s">
        <v>16</v>
      </c>
      <c r="EQ2" s="1" t="s">
        <v>17</v>
      </c>
      <c r="ER2" s="1" t="s">
        <v>18</v>
      </c>
      <c r="ES2" s="1" t="s">
        <v>19</v>
      </c>
      <c r="ET2" s="1" t="s">
        <v>20</v>
      </c>
      <c r="EU2" s="1" t="s">
        <v>21</v>
      </c>
      <c r="EV2" s="1" t="s">
        <v>22</v>
      </c>
      <c r="EW2" s="1" t="s">
        <v>23</v>
      </c>
      <c r="EX2" s="1" t="s">
        <v>24</v>
      </c>
      <c r="EY2" s="1" t="s">
        <v>25</v>
      </c>
      <c r="EZ2" s="1" t="s">
        <v>26</v>
      </c>
      <c r="FA2" s="1" t="s">
        <v>27</v>
      </c>
      <c r="FB2" s="1" t="s">
        <v>28</v>
      </c>
      <c r="FC2" s="1" t="s">
        <v>29</v>
      </c>
      <c r="FD2" s="1" t="s">
        <v>30</v>
      </c>
      <c r="FE2" s="1" t="s">
        <v>32</v>
      </c>
      <c r="FF2" s="1" t="s">
        <v>33</v>
      </c>
      <c r="FG2" s="1" t="s">
        <v>34</v>
      </c>
      <c r="FH2" s="1" t="s">
        <v>16</v>
      </c>
      <c r="FI2" s="1" t="s">
        <v>17</v>
      </c>
      <c r="FJ2" s="1" t="s">
        <v>18</v>
      </c>
      <c r="FK2" s="1" t="s">
        <v>19</v>
      </c>
      <c r="FL2" s="1" t="s">
        <v>20</v>
      </c>
      <c r="FM2" s="1" t="s">
        <v>21</v>
      </c>
      <c r="FN2" s="1" t="s">
        <v>22</v>
      </c>
      <c r="FO2" s="1" t="s">
        <v>23</v>
      </c>
      <c r="FP2" s="1" t="s">
        <v>24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29</v>
      </c>
      <c r="FV2" s="1" t="s">
        <v>30</v>
      </c>
      <c r="FW2" s="1" t="s">
        <v>32</v>
      </c>
      <c r="FX2" s="1" t="s">
        <v>33</v>
      </c>
      <c r="FY2" s="1" t="s">
        <v>34</v>
      </c>
      <c r="FZ2" s="1" t="s">
        <v>16</v>
      </c>
      <c r="GA2" s="1" t="s">
        <v>17</v>
      </c>
      <c r="GB2" s="1" t="s">
        <v>18</v>
      </c>
      <c r="GC2" s="1" t="s">
        <v>19</v>
      </c>
      <c r="GD2" s="1" t="s">
        <v>20</v>
      </c>
      <c r="GE2" s="1" t="s">
        <v>21</v>
      </c>
      <c r="GF2" s="1" t="s">
        <v>22</v>
      </c>
      <c r="GG2" s="1" t="s">
        <v>23</v>
      </c>
      <c r="GH2" s="1" t="s">
        <v>24</v>
      </c>
      <c r="GI2" s="1" t="s">
        <v>25</v>
      </c>
      <c r="GJ2" s="1" t="s">
        <v>26</v>
      </c>
      <c r="GK2" s="1" t="s">
        <v>27</v>
      </c>
      <c r="GL2" s="1" t="s">
        <v>28</v>
      </c>
      <c r="GM2" s="1" t="s">
        <v>29</v>
      </c>
      <c r="GN2" s="1" t="s">
        <v>30</v>
      </c>
      <c r="GO2" s="1" t="s">
        <v>32</v>
      </c>
      <c r="GP2" s="1" t="s">
        <v>33</v>
      </c>
      <c r="GQ2" s="1" t="s">
        <v>34</v>
      </c>
      <c r="GR2" s="1" t="s">
        <v>16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21</v>
      </c>
      <c r="GX2" s="1" t="s">
        <v>22</v>
      </c>
      <c r="GY2" s="1" t="s">
        <v>23</v>
      </c>
      <c r="GZ2" s="1" t="s">
        <v>24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29</v>
      </c>
      <c r="HF2" s="1" t="s">
        <v>30</v>
      </c>
      <c r="HG2" s="1" t="s">
        <v>32</v>
      </c>
      <c r="HH2" s="1" t="s">
        <v>33</v>
      </c>
      <c r="HI2" s="1" t="s">
        <v>34</v>
      </c>
      <c r="HJ2" s="1" t="s">
        <v>16</v>
      </c>
      <c r="HK2" s="1" t="s">
        <v>17</v>
      </c>
      <c r="HL2" s="1" t="s">
        <v>18</v>
      </c>
      <c r="HM2" s="1" t="s">
        <v>19</v>
      </c>
      <c r="HN2" s="1" t="s">
        <v>20</v>
      </c>
      <c r="HO2" s="1" t="s">
        <v>21</v>
      </c>
      <c r="HP2" s="1" t="s">
        <v>22</v>
      </c>
      <c r="HQ2" s="1" t="s">
        <v>23</v>
      </c>
      <c r="HR2" s="1" t="s">
        <v>24</v>
      </c>
      <c r="HS2" s="1" t="s">
        <v>25</v>
      </c>
      <c r="HT2" s="1" t="s">
        <v>26</v>
      </c>
      <c r="HU2" s="1" t="s">
        <v>27</v>
      </c>
      <c r="HV2" s="1" t="s">
        <v>28</v>
      </c>
      <c r="HW2" s="1" t="s">
        <v>29</v>
      </c>
      <c r="HX2" s="1" t="s">
        <v>30</v>
      </c>
      <c r="HY2" s="1" t="s">
        <v>32</v>
      </c>
      <c r="HZ2" s="1" t="s">
        <v>33</v>
      </c>
      <c r="IA2" s="1" t="s">
        <v>34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20</v>
      </c>
      <c r="IG2" s="1" t="s">
        <v>21</v>
      </c>
      <c r="IH2" s="1" t="s">
        <v>22</v>
      </c>
      <c r="II2" s="1" t="s">
        <v>23</v>
      </c>
      <c r="IJ2" s="1" t="s">
        <v>24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29</v>
      </c>
      <c r="IP2" s="1" t="s">
        <v>30</v>
      </c>
      <c r="IQ2" s="1" t="s">
        <v>32</v>
      </c>
      <c r="IR2" s="1" t="s">
        <v>33</v>
      </c>
      <c r="IS2" s="1" t="s">
        <v>34</v>
      </c>
      <c r="IT2" s="1" t="s">
        <v>16</v>
      </c>
      <c r="IU2" s="1" t="s">
        <v>17</v>
      </c>
      <c r="IV2" s="1" t="s">
        <v>18</v>
      </c>
      <c r="IW2" s="1" t="s">
        <v>19</v>
      </c>
      <c r="IX2" s="1" t="s">
        <v>20</v>
      </c>
      <c r="IY2" s="1" t="s">
        <v>21</v>
      </c>
      <c r="IZ2" s="1" t="s">
        <v>22</v>
      </c>
      <c r="JA2" s="1" t="s">
        <v>23</v>
      </c>
      <c r="JB2" s="1" t="s">
        <v>24</v>
      </c>
      <c r="JC2" s="1" t="s">
        <v>25</v>
      </c>
      <c r="JD2" s="1" t="s">
        <v>26</v>
      </c>
      <c r="JE2" s="1" t="s">
        <v>27</v>
      </c>
      <c r="JF2" s="1" t="s">
        <v>28</v>
      </c>
      <c r="JG2" s="1" t="s">
        <v>29</v>
      </c>
      <c r="JH2" s="1" t="s">
        <v>30</v>
      </c>
      <c r="JI2" s="1" t="s">
        <v>32</v>
      </c>
      <c r="JJ2" s="1" t="s">
        <v>33</v>
      </c>
      <c r="JK2" s="1" t="s">
        <v>34</v>
      </c>
      <c r="JL2" s="1" t="s">
        <v>16</v>
      </c>
      <c r="JM2" s="1" t="s">
        <v>17</v>
      </c>
      <c r="JN2" s="1" t="s">
        <v>18</v>
      </c>
      <c r="JO2" s="1" t="s">
        <v>19</v>
      </c>
      <c r="JP2" s="1" t="s">
        <v>20</v>
      </c>
      <c r="JQ2" s="1" t="s">
        <v>21</v>
      </c>
      <c r="JR2" s="1" t="s">
        <v>22</v>
      </c>
      <c r="JS2" s="1" t="s">
        <v>23</v>
      </c>
      <c r="JT2" s="1" t="s">
        <v>24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29</v>
      </c>
      <c r="JZ2" s="1" t="s">
        <v>30</v>
      </c>
      <c r="KA2" s="1" t="s">
        <v>32</v>
      </c>
      <c r="KB2" s="1" t="s">
        <v>33</v>
      </c>
      <c r="KC2" s="1" t="s">
        <v>34</v>
      </c>
      <c r="KD2" s="1" t="s">
        <v>16</v>
      </c>
      <c r="KE2" s="1" t="s">
        <v>17</v>
      </c>
      <c r="KF2" s="1" t="s">
        <v>18</v>
      </c>
      <c r="KG2" s="1" t="s">
        <v>19</v>
      </c>
      <c r="KH2" s="1" t="s">
        <v>20</v>
      </c>
      <c r="KI2" s="1" t="s">
        <v>21</v>
      </c>
      <c r="KJ2" s="1" t="s">
        <v>22</v>
      </c>
      <c r="KK2" s="1" t="s">
        <v>23</v>
      </c>
      <c r="KL2" s="1" t="s">
        <v>24</v>
      </c>
      <c r="KM2" s="1" t="s">
        <v>25</v>
      </c>
      <c r="KN2" s="1" t="s">
        <v>26</v>
      </c>
      <c r="KO2" s="1" t="s">
        <v>27</v>
      </c>
      <c r="KP2" s="1" t="s">
        <v>28</v>
      </c>
      <c r="KQ2" s="1" t="s">
        <v>29</v>
      </c>
      <c r="KR2" s="1" t="s">
        <v>32</v>
      </c>
      <c r="KS2" s="1" t="s">
        <v>33</v>
      </c>
      <c r="KT2" s="1" t="s">
        <v>34</v>
      </c>
      <c r="KU2" s="1" t="s">
        <v>16</v>
      </c>
      <c r="KV2" s="1" t="s">
        <v>17</v>
      </c>
      <c r="KW2" s="1" t="s">
        <v>18</v>
      </c>
      <c r="KX2" s="1" t="s">
        <v>19</v>
      </c>
      <c r="KY2" s="1" t="s">
        <v>20</v>
      </c>
      <c r="KZ2" s="1" t="s">
        <v>21</v>
      </c>
      <c r="LA2" s="1" t="s">
        <v>22</v>
      </c>
      <c r="LB2" s="1" t="s">
        <v>23</v>
      </c>
      <c r="LC2" s="1" t="s">
        <v>24</v>
      </c>
      <c r="LD2" s="1" t="s">
        <v>25</v>
      </c>
      <c r="LE2" s="1" t="s">
        <v>26</v>
      </c>
      <c r="LF2" s="1" t="s">
        <v>27</v>
      </c>
      <c r="LG2" s="1" t="s">
        <v>28</v>
      </c>
      <c r="LH2" s="1" t="s">
        <v>29</v>
      </c>
      <c r="LI2" s="1" t="s">
        <v>32</v>
      </c>
      <c r="LJ2" s="1" t="s">
        <v>33</v>
      </c>
      <c r="LK2" s="1" t="s">
        <v>34</v>
      </c>
      <c r="LL2" s="1" t="s">
        <v>16</v>
      </c>
      <c r="LM2" s="1" t="s">
        <v>17</v>
      </c>
      <c r="LN2" s="1" t="s">
        <v>18</v>
      </c>
      <c r="LO2" s="1" t="s">
        <v>19</v>
      </c>
      <c r="LP2" s="1" t="s">
        <v>20</v>
      </c>
      <c r="LQ2" s="1" t="s">
        <v>21</v>
      </c>
      <c r="LR2" s="1" t="s">
        <v>22</v>
      </c>
      <c r="LS2" s="1" t="s">
        <v>23</v>
      </c>
      <c r="LT2" s="1" t="s">
        <v>24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29</v>
      </c>
      <c r="LZ2" s="1" t="s">
        <v>32</v>
      </c>
      <c r="MA2" s="1" t="s">
        <v>33</v>
      </c>
      <c r="MB2" s="1" t="s">
        <v>34</v>
      </c>
    </row>
    <row r="3" spans="1:3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/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/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 cm="1">
        <f t="array" ref="AM3">_xlfn.SWITCH($A$2,"average", AVERAGE(Instances!AM3:Instances!AM3),"median", MEDIAN(Instances!AM3:Instances!AM3),"min", MIN(Instances!AM3:Instances!AM3),"max", MAX(Instances!AM3:Instances!AM3),"diff", MAX(Instances!AM3:Instances!AM3)-MIN(Instances!AM3:Instances!AM3))</f>
        <v>0</v>
      </c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/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/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 cm="1">
        <f t="array" ref="BV3">_xlfn.SWITCH($A$2,"average", AVERAGE(Instances!BV3:Instances!BV3),"median", MEDIAN(Instances!BV3:Instances!BV3),"min", MIN(Instances!BV3:Instances!BV3),"max", MAX(Instances!BV3:Instances!BV3),"diff", MAX(Instances!BV3:Instances!BV3)-MIN(Instances!BV3:Instances!BV3))</f>
        <v>0</v>
      </c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/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 cm="1">
        <f t="array" ref="DE3">_xlfn.SWITCH($A$2,"average", AVERAGE(Instances!DE3:Instances!DE3),"median", MEDIAN(Instances!DE3:Instances!DE3),"min", MIN(Instances!DE3:Instances!DE3),"max", MAX(Instances!DE3:Instances!DE3),"diff", MAX(Instances!DE3:Instances!DE3)-MIN(Instances!DE3:Instances!DE3))</f>
        <v>0</v>
      </c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 cm="1">
        <f t="array" ref="DL3">_xlfn.SWITCH($A$2,"average", AVERAGE(Instances!DL3:Instances!DL3),"median", MEDIAN(Instances!DL3:Instances!DL3),"min", MIN(Instances!DL3:Instances!DL3),"max", MAX(Instances!DL3:Instances!DL3),"diff", MAX(Instances!DL3:Instances!DL3)-MIN(Instances!DL3:Instances!DL3))</f>
        <v>0</v>
      </c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/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 cm="1">
        <f t="array" ref="EN3">_xlfn.SWITCH($A$2,"average", AVERAGE(Instances!EN3:Instances!EN3),"median", MEDIAN(Instances!EN3:Instances!EN3),"min", MIN(Instances!EN3:Instances!EN3),"max", MAX(Instances!EN3:Instances!EN3),"diff", MAX(Instances!EN3:Instances!EN3)-MIN(Instances!EN3:Instances!EN3))</f>
        <v>0</v>
      </c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/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 cm="1">
        <f t="array" ref="FP3">_xlfn.SWITCH($A$2,"average", AVERAGE(Instances!FP3:Instances!FP3),"median", MEDIAN(Instances!FP3:Instances!FP3),"min", MIN(Instances!FP3:Instances!FP3),"max", MAX(Instances!FP3:Instances!FP3),"diff", MAX(Instances!FP3:Instances!FP3)-MIN(Instances!FP3:Instances!FP3))</f>
        <v>0</v>
      </c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/>
      <c r="FW3" s="1" cm="1">
        <f t="array" ref="FW3">_xlfn.SWITCH($A$2,"average", AVERAGE(Instances!FW3:Instances!FW3),"median", MEDIAN(Instances!FW3:Instances!FW3),"min", MIN(Instances!FW3:Instances!FW3),"max", MAX(Instances!FW3:Instances!FW3),"diff", MAX(Instances!FW3:Instances!FW3)-MIN(Instances!FW3:Instances!FW3))</f>
        <v>0</v>
      </c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 cm="1">
        <f t="array" ref="GD3">_xlfn.SWITCH($A$2,"average", AVERAGE(Instances!GD3:Instances!GD3),"median", MEDIAN(Instances!GD3:Instances!GD3),"min", MIN(Instances!GD3:Instances!GD3),"max", MAX(Instances!GD3:Instances!GD3),"diff", MAX(Instances!GD3:Instances!GD3)-MIN(Instances!GD3:Instances!GD3))</f>
        <v>0</v>
      </c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 cm="1">
        <f t="array" ref="GK3">_xlfn.SWITCH($A$2,"average", AVERAGE(Instances!GK3:Instances!GK3),"median", MEDIAN(Instances!GK3:Instances!GK3),"min", MIN(Instances!GK3:Instances!GK3),"max", MAX(Instances!GK3:Instances!GK3),"diff", MAX(Instances!GK3:Instances!GK3)-MIN(Instances!GK3:Instances!GK3))</f>
        <v>0</v>
      </c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/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 cm="1">
        <f t="array" ref="GR3">_xlfn.SWITCH($A$2,"average", AVERAGE(Instances!GR3:Instances!GR3),"median", MEDIAN(Instances!GR3:Instances!GR3),"min", MIN(Instances!GR3:Instances!GR3),"max", MAX(Instances!GR3:Instances!GR3),"diff", MAX(Instances!GR3:Instances!GR3)-MIN(Instances!GR3:Instances!GR3))</f>
        <v>0</v>
      </c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 cm="1">
        <f t="array" ref="GY3">_xlfn.SWITCH($A$2,"average", AVERAGE(Instances!GY3:Instances!GY3),"median", MEDIAN(Instances!GY3:Instances!GY3),"min", MIN(Instances!GY3:Instances!GY3),"max", MAX(Instances!GY3:Instances!GY3),"diff", MAX(Instances!GY3:Instances!GY3)-MIN(Instances!GY3:Instances!GY3))</f>
        <v>0</v>
      </c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 cm="1">
        <f t="array" ref="HM3">_xlfn.SWITCH($A$2,"average", AVERAGE(Instances!HM3:Instances!HM3),"median", MEDIAN(Instances!HM3:Instances!HM3),"min", MIN(Instances!HM3:Instances!HM3),"max", MAX(Instances!HM3:Instances!HM3),"diff", MAX(Instances!HM3:Instances!HM3)-MIN(Instances!HM3:Instances!HM3))</f>
        <v>0</v>
      </c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 cm="1">
        <f t="array" ref="HT3">_xlfn.SWITCH($A$2,"average", AVERAGE(Instances!HT3:Instances!HT3),"median", MEDIAN(Instances!HT3:Instances!HT3),"min", MIN(Instances!HT3:Instances!HT3),"max", MAX(Instances!HT3:Instances!HT3),"diff", MAX(Instances!HT3:Instances!HT3)-MIN(Instances!HT3:Instances!HT3))</f>
        <v>0</v>
      </c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/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 cm="1">
        <f t="array" ref="IA3">_xlfn.SWITCH($A$2,"average", AVERAGE(Instances!IA3:Instances!IA3),"median", MEDIAN(Instances!IA3:Instances!IA3),"min", MIN(Instances!IA3:Instances!IA3),"max", MAX(Instances!IA3:Instances!IA3),"diff", MAX(Instances!IA3:Instances!IA3)-MIN(Instances!IA3:Instances!IA3))</f>
        <v>0</v>
      </c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 cm="1">
        <f t="array" ref="IH3">_xlfn.SWITCH($A$2,"average", AVERAGE(Instances!IH3:Instances!IH3),"median", MEDIAN(Instances!IH3:Instances!IH3),"min", MIN(Instances!IH3:Instances!IH3),"max", MAX(Instances!IH3:Instances!IH3),"diff", MAX(Instances!IH3:Instances!IH3)-MIN(Instances!IH3:Instances!IH3))</f>
        <v>0</v>
      </c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 cm="1">
        <f t="array" ref="IO3">_xlfn.SWITCH($A$2,"average", AVERAGE(Instances!IO3:Instances!IO3),"median", MEDIAN(Instances!IO3:Instances!IO3),"min", MIN(Instances!IO3:Instances!IO3),"max", MAX(Instances!IO3:Instances!IO3),"diff", MAX(Instances!IO3:Instances!IO3)-MIN(Instances!IO3:Instances!IO3))</f>
        <v>0</v>
      </c>
      <c r="IP3" s="1"/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 cm="1">
        <f t="array" ref="IV3">_xlfn.SWITCH($A$2,"average", AVERAGE(Instances!IV3:Instances!IV3),"median", MEDIAN(Instances!IV3:Instances!IV3),"min", MIN(Instances!IV3:Instances!IV3),"max", MAX(Instances!IV3:Instances!IV3),"diff", MAX(Instances!IV3:Instances!IV3)-MIN(Instances!IV3:Instances!IV3))</f>
        <v>0</v>
      </c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 cm="1">
        <f t="array" ref="JC3">_xlfn.SWITCH($A$2,"average", AVERAGE(Instances!JC3:Instances!JC3),"median", MEDIAN(Instances!JC3:Instances!JC3),"min", MIN(Instances!JC3:Instances!JC3),"max", MAX(Instances!JC3:Instances!JC3),"diff", MAX(Instances!JC3:Instances!JC3)-MIN(Instances!JC3:Instances!JC3))</f>
        <v>0</v>
      </c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/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 cm="1">
        <f t="array" ref="JJ3">_xlfn.SWITCH($A$2,"average", AVERAGE(Instances!JJ3:Instances!JJ3),"median", MEDIAN(Instances!JJ3:Instances!JJ3),"min", MIN(Instances!JJ3:Instances!JJ3),"max", MAX(Instances!JJ3:Instances!JJ3),"diff", MAX(Instances!JJ3:Instances!JJ3)-MIN(Instances!JJ3:Instances!JJ3))</f>
        <v>0</v>
      </c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 cm="1">
        <f t="array" ref="JQ3">_xlfn.SWITCH($A$2,"average", AVERAGE(Instances!JQ3:Instances!JQ3),"median", MEDIAN(Instances!JQ3:Instances!JQ3),"min", MIN(Instances!JQ3:Instances!JQ3),"max", MAX(Instances!JQ3:Instances!JQ3),"diff", MAX(Instances!JQ3:Instances!JQ3)-MIN(Instances!JQ3:Instances!JQ3))</f>
        <v>0</v>
      </c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 cm="1">
        <f t="array" ref="JX3">_xlfn.SWITCH($A$2,"average", AVERAGE(Instances!JX3:Instances!JX3),"median", MEDIAN(Instances!JX3:Instances!JX3),"min", MIN(Instances!JX3:Instances!JX3),"max", MAX(Instances!JX3:Instances!JX3),"diff", MAX(Instances!JX3:Instances!JX3)-MIN(Instances!JX3:Instances!JX3))</f>
        <v>0</v>
      </c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/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>
        <f>MIN($B3,$T3,$AL3,$BD3,$BV3,$CN3,$DF3,$DX3,$EP3,$FH3,$FZ3,$GR3,$HJ3,$IB3,$IT3,$JL3)</f>
        <v>0</v>
      </c>
      <c r="KE3" s="1">
        <f>MIN($C3,$U3,$AM3,$BE3,$BW3,$CO3,$DG3,$DY3,$EQ3,$FI3,$GA3,$GS3,$HK3,$IC3,$IU3,$JM3)</f>
        <v>0</v>
      </c>
      <c r="KF3" s="1">
        <f>MIN($D3,$V3,$AN3,$BF3,$BX3,$CP3,$DH3,$DZ3,$ER3,$FJ3,$GB3,$GT3,$HL3,$ID3,$IV3,$JN3)</f>
        <v>0</v>
      </c>
      <c r="KG3" s="1">
        <f>MIN($E3,$W3,$AO3,$BG3,$BY3,$CQ3,$DI3,$EA3,$ES3,$FK3,$GC3,$GU3,$HM3,$IE3,$IW3,$JO3)</f>
        <v>0</v>
      </c>
      <c r="KH3" s="1">
        <f>MIN($F3,$X3,$AP3,$BH3,$BZ3,$CR3,$DJ3,$EB3,$ET3,$FL3,$GD3,$GV3,$HN3,$IF3,$IX3,$JP3)</f>
        <v>0</v>
      </c>
      <c r="KI3" s="1">
        <f>MIN($G3,$Y3,$AQ3,$BI3,$CA3,$CS3,$DK3,$EC3,$EU3,$FM3,$GE3,$GW3,$HO3,$IG3,$IY3,$JQ3)</f>
        <v>0</v>
      </c>
      <c r="KJ3" s="1">
        <f>MIN($H3,$Z3,$AR3,$BJ3,$CB3,$CT3,$DL3,$ED3,$EV3,$FN3,$GF3,$GX3,$HP3,$IH3,$IZ3,$JR3)</f>
        <v>0</v>
      </c>
      <c r="KK3" s="1">
        <f>MIN($I3,$AA3,$AS3,$BK3,$CC3,$CU3,$DM3,$EE3,$EW3,$FO3,$GG3,$GY3,$HQ3,$II3,$JA3,$JS3)</f>
        <v>0</v>
      </c>
      <c r="KL3" s="1">
        <f>MIN($J3,$AB3,$AT3,$BL3,$CD3,$CV3,$DN3,$EF3,$EX3,$FP3,$GH3,$GZ3,$HR3,$IJ3,$JB3,$JT3)</f>
        <v>0</v>
      </c>
      <c r="KM3" s="1">
        <f>MIN($K3,$AC3,$AU3,$BM3,$CE3,$CW3,$DO3,$EG3,$EY3,$FQ3,$GI3,$HA3,$HS3,$IK3,$JC3,$JU3)</f>
        <v>0</v>
      </c>
      <c r="KN3" s="1">
        <f>MIN($L3,$AD3,$AV3,$BN3,$CF3,$CX3,$DP3,$EH3,$EZ3,$FR3,$GJ3,$HB3,$HT3,$IL3,$JD3,$JV3)</f>
        <v>0</v>
      </c>
      <c r="KO3" s="1">
        <f>MIN($M3,$AE3,$AW3,$BO3,$CG3,$CY3,$DQ3,$EI3,$FA3,$FS3,$GK3,$HC3,$HU3,$IM3,$JE3,$JW3)</f>
        <v>0</v>
      </c>
      <c r="KP3" s="1">
        <f>MIN($N3,$AF3,$AX3,$BP3,$CH3,$CZ3,$DR3,$EJ3,$FB3,$FT3,$GL3,$HD3,$HV3,$IN3,$JF3,$JX3)</f>
        <v>0</v>
      </c>
      <c r="KQ3" s="1">
        <f>MIN($O3,$AG3,$AY3,$BQ3,$CI3,$DA3,$DS3,$EK3,$FC3,$FU3,$GM3,$HE3,$HW3,$IO3,$JG3,$JY3)</f>
        <v>0</v>
      </c>
      <c r="KR3" s="1">
        <f>MIN($Q3,$AI3,$BA3,$BS3,$CK3,$DC3,$DU3,$EM3,$FE3,$FW3,$GO3,$HG3,$HY3,$IQ3,$JI3,$KA3)</f>
        <v>0</v>
      </c>
      <c r="KS3" s="1">
        <f>MIN($R3,$AJ3,$BB3,$BT3,$CL3,$DD3,$DV3,$EN3,$FF3,$FX3,$GP3,$HH3,$HZ3,$IR3,$JJ3,$KB3)</f>
        <v>0</v>
      </c>
      <c r="KT3" s="1">
        <f>MIN($S3,$AK3,$BC3,$BU3,$CM3,$DE3,$DW3,$EO3,$FG3,$FY3,$GQ3,$HI3,$IA3,$IS3,$JK3,$KC3)</f>
        <v>0</v>
      </c>
      <c r="KU3" s="1">
        <f>MEDIAN($B3,$T3,$AL3,$BD3,$BV3,$CN3,$DF3,$DX3,$EP3,$FH3,$FZ3,$GR3,$HJ3,$IB3,$IT3,$JL3)</f>
        <v>0</v>
      </c>
      <c r="KV3" s="1">
        <f>MEDIAN($C3,$U3,$AM3,$BE3,$BW3,$CO3,$DG3,$DY3,$EQ3,$FI3,$GA3,$GS3,$HK3,$IC3,$IU3,$JM3)</f>
        <v>0</v>
      </c>
      <c r="KW3" s="1">
        <f>MEDIAN($D3,$V3,$AN3,$BF3,$BX3,$CP3,$DH3,$DZ3,$ER3,$FJ3,$GB3,$GT3,$HL3,$ID3,$IV3,$JN3)</f>
        <v>0</v>
      </c>
      <c r="KX3" s="1">
        <f>MEDIAN($E3,$W3,$AO3,$BG3,$BY3,$CQ3,$DI3,$EA3,$ES3,$FK3,$GC3,$GU3,$HM3,$IE3,$IW3,$JO3)</f>
        <v>0</v>
      </c>
      <c r="KY3" s="1">
        <f>MEDIAN($F3,$X3,$AP3,$BH3,$BZ3,$CR3,$DJ3,$EB3,$ET3,$FL3,$GD3,$GV3,$HN3,$IF3,$IX3,$JP3)</f>
        <v>0</v>
      </c>
      <c r="KZ3" s="1">
        <f>MEDIAN($G3,$Y3,$AQ3,$BI3,$CA3,$CS3,$DK3,$EC3,$EU3,$FM3,$GE3,$GW3,$HO3,$IG3,$IY3,$JQ3)</f>
        <v>0</v>
      </c>
      <c r="LA3" s="1">
        <f>MEDIAN($H3,$Z3,$AR3,$BJ3,$CB3,$CT3,$DL3,$ED3,$EV3,$FN3,$GF3,$GX3,$HP3,$IH3,$IZ3,$JR3)</f>
        <v>0</v>
      </c>
      <c r="LB3" s="1">
        <f>MEDIAN($I3,$AA3,$AS3,$BK3,$CC3,$CU3,$DM3,$EE3,$EW3,$FO3,$GG3,$GY3,$HQ3,$II3,$JA3,$JS3)</f>
        <v>0</v>
      </c>
      <c r="LC3" s="1">
        <f>MEDIAN($J3,$AB3,$AT3,$BL3,$CD3,$CV3,$DN3,$EF3,$EX3,$FP3,$GH3,$GZ3,$HR3,$IJ3,$JB3,$JT3)</f>
        <v>0</v>
      </c>
      <c r="LD3" s="1">
        <f>MEDIAN($K3,$AC3,$AU3,$BM3,$CE3,$CW3,$DO3,$EG3,$EY3,$FQ3,$GI3,$HA3,$HS3,$IK3,$JC3,$JU3)</f>
        <v>0</v>
      </c>
      <c r="LE3" s="1">
        <f>MEDIAN($L3,$AD3,$AV3,$BN3,$CF3,$CX3,$DP3,$EH3,$EZ3,$FR3,$GJ3,$HB3,$HT3,$IL3,$JD3,$JV3)</f>
        <v>0</v>
      </c>
      <c r="LF3" s="1">
        <f>MEDIAN($M3,$AE3,$AW3,$BO3,$CG3,$CY3,$DQ3,$EI3,$FA3,$FS3,$GK3,$HC3,$HU3,$IM3,$JE3,$JW3)</f>
        <v>0</v>
      </c>
      <c r="LG3" s="1">
        <f>MEDIAN($N3,$AF3,$AX3,$BP3,$CH3,$CZ3,$DR3,$EJ3,$FB3,$FT3,$GL3,$HD3,$HV3,$IN3,$JF3,$JX3)</f>
        <v>0</v>
      </c>
      <c r="LH3" s="1">
        <f>MEDIAN($O3,$AG3,$AY3,$BQ3,$CI3,$DA3,$DS3,$EK3,$FC3,$FU3,$GM3,$HE3,$HW3,$IO3,$JG3,$JY3)</f>
        <v>0</v>
      </c>
      <c r="LI3" s="1">
        <f>MEDIAN($Q3,$AI3,$BA3,$BS3,$CK3,$DC3,$DU3,$EM3,$FE3,$FW3,$GO3,$HG3,$HY3,$IQ3,$JI3,$KA3)</f>
        <v>0</v>
      </c>
      <c r="LJ3" s="1">
        <f>MEDIAN($R3,$AJ3,$BB3,$BT3,$CL3,$DD3,$DV3,$EN3,$FF3,$FX3,$GP3,$HH3,$HZ3,$IR3,$JJ3,$KB3)</f>
        <v>0</v>
      </c>
      <c r="LK3" s="1">
        <f>MEDIAN($S3,$AK3,$BC3,$BU3,$CM3,$DE3,$DW3,$EO3,$FG3,$FY3,$GQ3,$HI3,$IA3,$IS3,$JK3,$KC3)</f>
        <v>0</v>
      </c>
      <c r="LL3" s="1">
        <f>MAX($B3,$T3,$AL3,$BD3,$BV3,$CN3,$DF3,$DX3,$EP3,$FH3,$FZ3,$GR3,$HJ3,$IB3,$IT3,$JL3)</f>
        <v>0</v>
      </c>
      <c r="LM3" s="1">
        <f>MAX($C3,$U3,$AM3,$BE3,$BW3,$CO3,$DG3,$DY3,$EQ3,$FI3,$GA3,$GS3,$HK3,$IC3,$IU3,$JM3)</f>
        <v>0</v>
      </c>
      <c r="LN3" s="1">
        <f>MAX($D3,$V3,$AN3,$BF3,$BX3,$CP3,$DH3,$DZ3,$ER3,$FJ3,$GB3,$GT3,$HL3,$ID3,$IV3,$JN3)</f>
        <v>0</v>
      </c>
      <c r="LO3" s="1">
        <f>MAX($E3,$W3,$AO3,$BG3,$BY3,$CQ3,$DI3,$EA3,$ES3,$FK3,$GC3,$GU3,$HM3,$IE3,$IW3,$JO3)</f>
        <v>0</v>
      </c>
      <c r="LP3" s="1">
        <f>MAX($F3,$X3,$AP3,$BH3,$BZ3,$CR3,$DJ3,$EB3,$ET3,$FL3,$GD3,$GV3,$HN3,$IF3,$IX3,$JP3)</f>
        <v>0</v>
      </c>
      <c r="LQ3" s="1">
        <f>MAX($G3,$Y3,$AQ3,$BI3,$CA3,$CS3,$DK3,$EC3,$EU3,$FM3,$GE3,$GW3,$HO3,$IG3,$IY3,$JQ3)</f>
        <v>0</v>
      </c>
      <c r="LR3" s="1">
        <f>MAX($H3,$Z3,$AR3,$BJ3,$CB3,$CT3,$DL3,$ED3,$EV3,$FN3,$GF3,$GX3,$HP3,$IH3,$IZ3,$JR3)</f>
        <v>0</v>
      </c>
      <c r="LS3" s="1">
        <f>MAX($I3,$AA3,$AS3,$BK3,$CC3,$CU3,$DM3,$EE3,$EW3,$FO3,$GG3,$GY3,$HQ3,$II3,$JA3,$JS3)</f>
        <v>0</v>
      </c>
      <c r="LT3" s="1">
        <f>MAX($J3,$AB3,$AT3,$BL3,$CD3,$CV3,$DN3,$EF3,$EX3,$FP3,$GH3,$GZ3,$HR3,$IJ3,$JB3,$JT3)</f>
        <v>0</v>
      </c>
      <c r="LU3" s="1">
        <f>MAX($K3,$AC3,$AU3,$BM3,$CE3,$CW3,$DO3,$EG3,$EY3,$FQ3,$GI3,$HA3,$HS3,$IK3,$JC3,$JU3)</f>
        <v>0</v>
      </c>
      <c r="LV3" s="1">
        <f>MAX($L3,$AD3,$AV3,$BN3,$CF3,$CX3,$DP3,$EH3,$EZ3,$FR3,$GJ3,$HB3,$HT3,$IL3,$JD3,$JV3)</f>
        <v>0</v>
      </c>
      <c r="LW3" s="1">
        <f>MAX($M3,$AE3,$AW3,$BO3,$CG3,$CY3,$DQ3,$EI3,$FA3,$FS3,$GK3,$HC3,$HU3,$IM3,$JE3,$JW3)</f>
        <v>0</v>
      </c>
      <c r="LX3" s="1">
        <f>MAX($N3,$AF3,$AX3,$BP3,$CH3,$CZ3,$DR3,$EJ3,$FB3,$FT3,$GL3,$HD3,$HV3,$IN3,$JF3,$JX3)</f>
        <v>0</v>
      </c>
      <c r="LY3" s="1">
        <f>MAX($O3,$AG3,$AY3,$BQ3,$CI3,$DA3,$DS3,$EK3,$FC3,$FU3,$GM3,$HE3,$HW3,$IO3,$JG3,$JY3)</f>
        <v>0</v>
      </c>
      <c r="LZ3" s="1">
        <f>MAX($Q3,$AI3,$BA3,$BS3,$CK3,$DC3,$DU3,$EM3,$FE3,$FW3,$GO3,$HG3,$HY3,$IQ3,$JI3,$KA3)</f>
        <v>0</v>
      </c>
      <c r="MA3" s="1">
        <f>MAX($R3,$AJ3,$BB3,$BT3,$CL3,$DD3,$DV3,$EN3,$FF3,$FX3,$GP3,$HH3,$HZ3,$IR3,$JJ3,$KB3)</f>
        <v>0</v>
      </c>
      <c r="MB3" s="1">
        <f>MAX($S3,$AK3,$BC3,$BU3,$CM3,$DE3,$DW3,$EO3,$FG3,$FY3,$GQ3,$HI3,$IA3,$IS3,$JK3,$KC3)</f>
        <v>0</v>
      </c>
    </row>
    <row r="4" spans="1:3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/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 cm="1">
        <f t="array" ref="AF4">_xlfn.SWITCH($A$2,"average", AVERAGE(Instances!AF4:Instances!AF4),"median", MEDIAN(Instances!AF4:Instances!AF4),"min", MIN(Instances!AF4:Instances!AF4),"max", MAX(Instances!AF4:Instances!AF4),"diff", MAX(Instances!AF4:Instances!AF4)-MIN(Instances!AF4:Instances!AF4))</f>
        <v>0</v>
      </c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/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 cm="1">
        <f t="array" ref="AM4">_xlfn.SWITCH($A$2,"average", AVERAGE(Instances!AM4:Instances!AM4),"median", MEDIAN(Instances!AM4:Instances!AM4),"min", MIN(Instances!AM4:Instances!AM4),"max", MAX(Instances!AM4:Instances!AM4),"diff", MAX(Instances!AM4:Instances!AM4)-MIN(Instances!AM4:Instances!AM4))</f>
        <v>0</v>
      </c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/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 cm="1">
        <f t="array" ref="BH4">_xlfn.SWITCH($A$2,"average", AVERAGE(Instances!BH4:Instances!BH4),"median", MEDIAN(Instances!BH4:Instances!BH4),"min", MIN(Instances!BH4:Instances!BH4),"max", MAX(Instances!BH4:Instances!BH4),"diff", MAX(Instances!BH4:Instances!BH4)-MIN(Instances!BH4:Instances!BH4))</f>
        <v>0</v>
      </c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 cm="1">
        <f t="array" ref="BO4">_xlfn.SWITCH($A$2,"average", AVERAGE(Instances!BO4:Instances!BO4),"median", MEDIAN(Instances!BO4:Instances!BO4),"min", MIN(Instances!BO4:Instances!BO4),"max", MAX(Instances!BO4:Instances!BO4),"diff", MAX(Instances!BO4:Instances!BO4)-MIN(Instances!BO4:Instances!BO4))</f>
        <v>0</v>
      </c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 cm="1">
        <f t="array" ref="BV4">_xlfn.SWITCH($A$2,"average", AVERAGE(Instances!BV4:Instances!BV4),"median", MEDIAN(Instances!BV4:Instances!BV4),"min", MIN(Instances!BV4:Instances!BV4),"max", MAX(Instances!BV4:Instances!BV4),"diff", MAX(Instances!BV4:Instances!BV4)-MIN(Instances!BV4:Instances!BV4))</f>
        <v>0</v>
      </c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 cm="1">
        <f t="array" ref="CC4">_xlfn.SWITCH($A$2,"average", AVERAGE(Instances!CC4:Instances!CC4),"median", MEDIAN(Instances!CC4:Instances!CC4),"min", MIN(Instances!CC4:Instances!CC4),"max", MAX(Instances!CC4:Instances!CC4),"diff", MAX(Instances!CC4:Instances!CC4)-MIN(Instances!CC4:Instances!CC4))</f>
        <v>0</v>
      </c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 cm="1">
        <f t="array" ref="CQ4">_xlfn.SWITCH($A$2,"average", AVERAGE(Instances!CQ4:Instances!CQ4),"median", MEDIAN(Instances!CQ4:Instances!CQ4),"min", MIN(Instances!CQ4:Instances!CQ4),"max", MAX(Instances!CQ4:Instances!CQ4),"diff", MAX(Instances!CQ4:Instances!CQ4)-MIN(Instances!CQ4:Instances!CQ4))</f>
        <v>0</v>
      </c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 cm="1">
        <f t="array" ref="CX4">_xlfn.SWITCH($A$2,"average", AVERAGE(Instances!CX4:Instances!CX4),"median", MEDIAN(Instances!CX4:Instances!CX4),"min", MIN(Instances!CX4:Instances!CX4),"max", MAX(Instances!CX4:Instances!CX4),"diff", MAX(Instances!CX4:Instances!CX4)-MIN(Instances!CX4:Instances!CX4))</f>
        <v>0</v>
      </c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/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 cm="1">
        <f t="array" ref="DE4">_xlfn.SWITCH($A$2,"average", AVERAGE(Instances!DE4:Instances!DE4),"median", MEDIAN(Instances!DE4:Instances!DE4),"min", MIN(Instances!DE4:Instances!DE4),"max", MAX(Instances!DE4:Instances!DE4),"diff", MAX(Instances!DE4:Instances!DE4)-MIN(Instances!DE4:Instances!DE4))</f>
        <v>0</v>
      </c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 cm="1">
        <f t="array" ref="DL4">_xlfn.SWITCH($A$2,"average", AVERAGE(Instances!DL4:Instances!DL4),"median", MEDIAN(Instances!DL4:Instances!DL4),"min", MIN(Instances!DL4:Instances!DL4),"max", MAX(Instances!DL4:Instances!DL4),"diff", MAX(Instances!DL4:Instances!DL4)-MIN(Instances!DL4:Instances!DL4))</f>
        <v>0</v>
      </c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 cm="1">
        <f t="array" ref="DS4">_xlfn.SWITCH($A$2,"average", AVERAGE(Instances!DS4:Instances!DS4),"median", MEDIAN(Instances!DS4:Instances!DS4),"min", MIN(Instances!DS4:Instances!DS4),"max", MAX(Instances!DS4:Instances!DS4),"diff", MAX(Instances!DS4:Instances!DS4)-MIN(Instances!DS4:Instances!DS4))</f>
        <v>0</v>
      </c>
      <c r="DT4" s="1"/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 cm="1">
        <f t="array" ref="DZ4">_xlfn.SWITCH($A$2,"average", AVERAGE(Instances!DZ4:Instances!DZ4),"median", MEDIAN(Instances!DZ4:Instances!DZ4),"min", MIN(Instances!DZ4:Instances!DZ4),"max", MAX(Instances!DZ4:Instances!DZ4),"diff", MAX(Instances!DZ4:Instances!DZ4)-MIN(Instances!DZ4:Instances!DZ4))</f>
        <v>0</v>
      </c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 cm="1">
        <f t="array" ref="EG4">_xlfn.SWITCH($A$2,"average", AVERAGE(Instances!EG4:Instances!EG4),"median", MEDIAN(Instances!EG4:Instances!EG4),"min", MIN(Instances!EG4:Instances!EG4),"max", MAX(Instances!EG4:Instances!EG4),"diff", MAX(Instances!EG4:Instances!EG4)-MIN(Instances!EG4:Instances!EG4))</f>
        <v>0</v>
      </c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/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 cm="1">
        <f t="array" ref="EN4">_xlfn.SWITCH($A$2,"average", AVERAGE(Instances!EN4:Instances!EN4),"median", MEDIAN(Instances!EN4:Instances!EN4),"min", MIN(Instances!EN4:Instances!EN4),"max", MAX(Instances!EN4:Instances!EN4),"diff", MAX(Instances!EN4:Instances!EN4)-MIN(Instances!EN4:Instances!EN4))</f>
        <v>0</v>
      </c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 cm="1">
        <f t="array" ref="EU4">_xlfn.SWITCH($A$2,"average", AVERAGE(Instances!EU4:Instances!EU4),"median", MEDIAN(Instances!EU4:Instances!EU4),"min", MIN(Instances!EU4:Instances!EU4),"max", MAX(Instances!EU4:Instances!EU4),"diff", MAX(Instances!EU4:Instances!EU4)-MIN(Instances!EU4:Instances!EU4))</f>
        <v>0</v>
      </c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 cm="1">
        <f t="array" ref="FB4">_xlfn.SWITCH($A$2,"average", AVERAGE(Instances!FB4:Instances!FB4),"median", MEDIAN(Instances!FB4:Instances!FB4),"min", MIN(Instances!FB4:Instances!FB4),"max", MAX(Instances!FB4:Instances!FB4),"diff", MAX(Instances!FB4:Instances!FB4)-MIN(Instances!FB4:Instances!FB4))</f>
        <v>0</v>
      </c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/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 cm="1">
        <f t="array" ref="FI4">_xlfn.SWITCH($A$2,"average", AVERAGE(Instances!FI4:Instances!FI4),"median", MEDIAN(Instances!FI4:Instances!FI4),"min", MIN(Instances!FI4:Instances!FI4),"max", MAX(Instances!FI4:Instances!FI4),"diff", MAX(Instances!FI4:Instances!FI4)-MIN(Instances!FI4:Instances!FI4))</f>
        <v>0</v>
      </c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 cm="1">
        <f t="array" ref="FP4">_xlfn.SWITCH($A$2,"average", AVERAGE(Instances!FP4:Instances!FP4),"median", MEDIAN(Instances!FP4:Instances!FP4),"min", MIN(Instances!FP4:Instances!FP4),"max", MAX(Instances!FP4:Instances!FP4),"diff", MAX(Instances!FP4:Instances!FP4)-MIN(Instances!FP4:Instances!FP4))</f>
        <v>0</v>
      </c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/>
      <c r="FW4" s="1" cm="1">
        <f t="array" ref="FW4">_xlfn.SWITCH($A$2,"average", AVERAGE(Instances!FW4:Instances!FW4),"median", MEDIAN(Instances!FW4:Instances!FW4),"min", MIN(Instances!FW4:Instances!FW4),"max", MAX(Instances!FW4:Instances!FW4),"diff", MAX(Instances!FW4:Instances!FW4)-MIN(Instances!FW4:Instances!FW4))</f>
        <v>0</v>
      </c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 cm="1">
        <f t="array" ref="GD4">_xlfn.SWITCH($A$2,"average", AVERAGE(Instances!GD4:Instances!GD4),"median", MEDIAN(Instances!GD4:Instances!GD4),"min", MIN(Instances!GD4:Instances!GD4),"max", MAX(Instances!GD4:Instances!GD4),"diff", MAX(Instances!GD4:Instances!GD4)-MIN(Instances!GD4:Instances!GD4))</f>
        <v>0</v>
      </c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 cm="1">
        <f t="array" ref="GK4">_xlfn.SWITCH($A$2,"average", AVERAGE(Instances!GK4:Instances!GK4),"median", MEDIAN(Instances!GK4:Instances!GK4),"min", MIN(Instances!GK4:Instances!GK4),"max", MAX(Instances!GK4:Instances!GK4),"diff", MAX(Instances!GK4:Instances!GK4)-MIN(Instances!GK4:Instances!GK4))</f>
        <v>0</v>
      </c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/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 cm="1">
        <f t="array" ref="GR4">_xlfn.SWITCH($A$2,"average", AVERAGE(Instances!GR4:Instances!GR4),"median", MEDIAN(Instances!GR4:Instances!GR4),"min", MIN(Instances!GR4:Instances!GR4),"max", MAX(Instances!GR4:Instances!GR4),"diff", MAX(Instances!GR4:Instances!GR4)-MIN(Instances!GR4:Instances!GR4))</f>
        <v>0</v>
      </c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 cm="1">
        <f t="array" ref="GY4">_xlfn.SWITCH($A$2,"average", AVERAGE(Instances!GY4:Instances!GY4),"median", MEDIAN(Instances!GY4:Instances!GY4),"min", MIN(Instances!GY4:Instances!GY4),"max", MAX(Instances!GY4:Instances!GY4),"diff", MAX(Instances!GY4:Instances!GY4)-MIN(Instances!GY4:Instances!GY4))</f>
        <v>0</v>
      </c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 cm="1">
        <f t="array" ref="HM4">_xlfn.SWITCH($A$2,"average", AVERAGE(Instances!HM4:Instances!HM4),"median", MEDIAN(Instances!HM4:Instances!HM4),"min", MIN(Instances!HM4:Instances!HM4),"max", MAX(Instances!HM4:Instances!HM4),"diff", MAX(Instances!HM4:Instances!HM4)-MIN(Instances!HM4:Instances!HM4))</f>
        <v>0</v>
      </c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 cm="1">
        <f t="array" ref="HT4">_xlfn.SWITCH($A$2,"average", AVERAGE(Instances!HT4:Instances!HT4),"median", MEDIAN(Instances!HT4:Instances!HT4),"min", MIN(Instances!HT4:Instances!HT4),"max", MAX(Instances!HT4:Instances!HT4),"diff", MAX(Instances!HT4:Instances!HT4)-MIN(Instances!HT4:Instances!HT4))</f>
        <v>0</v>
      </c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/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 cm="1">
        <f t="array" ref="IA4">_xlfn.SWITCH($A$2,"average", AVERAGE(Instances!IA4:Instances!IA4),"median", MEDIAN(Instances!IA4:Instances!IA4),"min", MIN(Instances!IA4:Instances!IA4),"max", MAX(Instances!IA4:Instances!IA4),"diff", MAX(Instances!IA4:Instances!IA4)-MIN(Instances!IA4:Instances!IA4))</f>
        <v>0</v>
      </c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 cm="1">
        <f t="array" ref="IH4">_xlfn.SWITCH($A$2,"average", AVERAGE(Instances!IH4:Instances!IH4),"median", MEDIAN(Instances!IH4:Instances!IH4),"min", MIN(Instances!IH4:Instances!IH4),"max", MAX(Instances!IH4:Instances!IH4),"diff", MAX(Instances!IH4:Instances!IH4)-MIN(Instances!IH4:Instances!IH4))</f>
        <v>0</v>
      </c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 cm="1">
        <f t="array" ref="IO4">_xlfn.SWITCH($A$2,"average", AVERAGE(Instances!IO4:Instances!IO4),"median", MEDIAN(Instances!IO4:Instances!IO4),"min", MIN(Instances!IO4:Instances!IO4),"max", MAX(Instances!IO4:Instances!IO4),"diff", MAX(Instances!IO4:Instances!IO4)-MIN(Instances!IO4:Instances!IO4))</f>
        <v>0</v>
      </c>
      <c r="IP4" s="1"/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 cm="1">
        <f t="array" ref="IV4">_xlfn.SWITCH($A$2,"average", AVERAGE(Instances!IV4:Instances!IV4),"median", MEDIAN(Instances!IV4:Instances!IV4),"min", MIN(Instances!IV4:Instances!IV4),"max", MAX(Instances!IV4:Instances!IV4),"diff", MAX(Instances!IV4:Instances!IV4)-MIN(Instances!IV4:Instances!IV4))</f>
        <v>0</v>
      </c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 cm="1">
        <f t="array" ref="JC4">_xlfn.SWITCH($A$2,"average", AVERAGE(Instances!JC4:Instances!JC4),"median", MEDIAN(Instances!JC4:Instances!JC4),"min", MIN(Instances!JC4:Instances!JC4),"max", MAX(Instances!JC4:Instances!JC4),"diff", MAX(Instances!JC4:Instances!JC4)-MIN(Instances!JC4:Instances!JC4))</f>
        <v>0</v>
      </c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/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 cm="1">
        <f t="array" ref="JJ4">_xlfn.SWITCH($A$2,"average", AVERAGE(Instances!JJ4:Instances!JJ4),"median", MEDIAN(Instances!JJ4:Instances!JJ4),"min", MIN(Instances!JJ4:Instances!JJ4),"max", MAX(Instances!JJ4:Instances!JJ4),"diff", MAX(Instances!JJ4:Instances!JJ4)-MIN(Instances!JJ4:Instances!JJ4))</f>
        <v>0</v>
      </c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 cm="1">
        <f t="array" ref="JQ4">_xlfn.SWITCH($A$2,"average", AVERAGE(Instances!JQ4:Instances!JQ4),"median", MEDIAN(Instances!JQ4:Instances!JQ4),"min", MIN(Instances!JQ4:Instances!JQ4),"max", MAX(Instances!JQ4:Instances!JQ4),"diff", MAX(Instances!JQ4:Instances!JQ4)-MIN(Instances!JQ4:Instances!JQ4))</f>
        <v>0</v>
      </c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 cm="1">
        <f t="array" ref="JX4">_xlfn.SWITCH($A$2,"average", AVERAGE(Instances!JX4:Instances!JX4),"median", MEDIAN(Instances!JX4:Instances!JX4),"min", MIN(Instances!JX4:Instances!JX4),"max", MAX(Instances!JX4:Instances!JX4),"diff", MAX(Instances!JX4:Instances!JX4)-MIN(Instances!JX4:Instances!JX4))</f>
        <v>0</v>
      </c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/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>
        <f>MIN($B4,$T4,$AL4,$BD4,$BV4,$CN4,$DF4,$DX4,$EP4,$FH4,$FZ4,$GR4,$HJ4,$IB4,$IT4,$JL4)</f>
        <v>0</v>
      </c>
      <c r="KE4" s="1">
        <f>MIN($C4,$U4,$AM4,$BE4,$BW4,$CO4,$DG4,$DY4,$EQ4,$FI4,$GA4,$GS4,$HK4,$IC4,$IU4,$JM4)</f>
        <v>0</v>
      </c>
      <c r="KF4" s="1">
        <f>MIN($D4,$V4,$AN4,$BF4,$BX4,$CP4,$DH4,$DZ4,$ER4,$FJ4,$GB4,$GT4,$HL4,$ID4,$IV4,$JN4)</f>
        <v>0</v>
      </c>
      <c r="KG4" s="1">
        <f>MIN($E4,$W4,$AO4,$BG4,$BY4,$CQ4,$DI4,$EA4,$ES4,$FK4,$GC4,$GU4,$HM4,$IE4,$IW4,$JO4)</f>
        <v>0</v>
      </c>
      <c r="KH4" s="1">
        <f>MIN($F4,$X4,$AP4,$BH4,$BZ4,$CR4,$DJ4,$EB4,$ET4,$FL4,$GD4,$GV4,$HN4,$IF4,$IX4,$JP4)</f>
        <v>0</v>
      </c>
      <c r="KI4" s="1">
        <f>MIN($G4,$Y4,$AQ4,$BI4,$CA4,$CS4,$DK4,$EC4,$EU4,$FM4,$GE4,$GW4,$HO4,$IG4,$IY4,$JQ4)</f>
        <v>0</v>
      </c>
      <c r="KJ4" s="1">
        <f>MIN($H4,$Z4,$AR4,$BJ4,$CB4,$CT4,$DL4,$ED4,$EV4,$FN4,$GF4,$GX4,$HP4,$IH4,$IZ4,$JR4)</f>
        <v>0</v>
      </c>
      <c r="KK4" s="1">
        <f>MIN($I4,$AA4,$AS4,$BK4,$CC4,$CU4,$DM4,$EE4,$EW4,$FO4,$GG4,$GY4,$HQ4,$II4,$JA4,$JS4)</f>
        <v>0</v>
      </c>
      <c r="KL4" s="1">
        <f>MIN($J4,$AB4,$AT4,$BL4,$CD4,$CV4,$DN4,$EF4,$EX4,$FP4,$GH4,$GZ4,$HR4,$IJ4,$JB4,$JT4)</f>
        <v>0</v>
      </c>
      <c r="KM4" s="1">
        <f>MIN($K4,$AC4,$AU4,$BM4,$CE4,$CW4,$DO4,$EG4,$EY4,$FQ4,$GI4,$HA4,$HS4,$IK4,$JC4,$JU4)</f>
        <v>0</v>
      </c>
      <c r="KN4" s="1">
        <f>MIN($L4,$AD4,$AV4,$BN4,$CF4,$CX4,$DP4,$EH4,$EZ4,$FR4,$GJ4,$HB4,$HT4,$IL4,$JD4,$JV4)</f>
        <v>0</v>
      </c>
      <c r="KO4" s="1">
        <f>MIN($M4,$AE4,$AW4,$BO4,$CG4,$CY4,$DQ4,$EI4,$FA4,$FS4,$GK4,$HC4,$HU4,$IM4,$JE4,$JW4)</f>
        <v>0</v>
      </c>
      <c r="KP4" s="1">
        <f>MIN($N4,$AF4,$AX4,$BP4,$CH4,$CZ4,$DR4,$EJ4,$FB4,$FT4,$GL4,$HD4,$HV4,$IN4,$JF4,$JX4)</f>
        <v>0</v>
      </c>
      <c r="KQ4" s="1">
        <f>MIN($O4,$AG4,$AY4,$BQ4,$CI4,$DA4,$DS4,$EK4,$FC4,$FU4,$GM4,$HE4,$HW4,$IO4,$JG4,$JY4)</f>
        <v>0</v>
      </c>
      <c r="KR4" s="1">
        <f>MIN($Q4,$AI4,$BA4,$BS4,$CK4,$DC4,$DU4,$EM4,$FE4,$FW4,$GO4,$HG4,$HY4,$IQ4,$JI4,$KA4)</f>
        <v>0</v>
      </c>
      <c r="KS4" s="1">
        <f>MIN($R4,$AJ4,$BB4,$BT4,$CL4,$DD4,$DV4,$EN4,$FF4,$FX4,$GP4,$HH4,$HZ4,$IR4,$JJ4,$KB4)</f>
        <v>0</v>
      </c>
      <c r="KT4" s="1">
        <f>MIN($S4,$AK4,$BC4,$BU4,$CM4,$DE4,$DW4,$EO4,$FG4,$FY4,$GQ4,$HI4,$IA4,$IS4,$JK4,$KC4)</f>
        <v>0</v>
      </c>
      <c r="KU4" s="1">
        <f>MEDIAN($B4,$T4,$AL4,$BD4,$BV4,$CN4,$DF4,$DX4,$EP4,$FH4,$FZ4,$GR4,$HJ4,$IB4,$IT4,$JL4)</f>
        <v>0</v>
      </c>
      <c r="KV4" s="1">
        <f>MEDIAN($C4,$U4,$AM4,$BE4,$BW4,$CO4,$DG4,$DY4,$EQ4,$FI4,$GA4,$GS4,$HK4,$IC4,$IU4,$JM4)</f>
        <v>0</v>
      </c>
      <c r="KW4" s="1">
        <f>MEDIAN($D4,$V4,$AN4,$BF4,$BX4,$CP4,$DH4,$DZ4,$ER4,$FJ4,$GB4,$GT4,$HL4,$ID4,$IV4,$JN4)</f>
        <v>0</v>
      </c>
      <c r="KX4" s="1">
        <f>MEDIAN($E4,$W4,$AO4,$BG4,$BY4,$CQ4,$DI4,$EA4,$ES4,$FK4,$GC4,$GU4,$HM4,$IE4,$IW4,$JO4)</f>
        <v>0</v>
      </c>
      <c r="KY4" s="1">
        <f>MEDIAN($F4,$X4,$AP4,$BH4,$BZ4,$CR4,$DJ4,$EB4,$ET4,$FL4,$GD4,$GV4,$HN4,$IF4,$IX4,$JP4)</f>
        <v>0</v>
      </c>
      <c r="KZ4" s="1">
        <f>MEDIAN($G4,$Y4,$AQ4,$BI4,$CA4,$CS4,$DK4,$EC4,$EU4,$FM4,$GE4,$GW4,$HO4,$IG4,$IY4,$JQ4)</f>
        <v>0</v>
      </c>
      <c r="LA4" s="1">
        <f>MEDIAN($H4,$Z4,$AR4,$BJ4,$CB4,$CT4,$DL4,$ED4,$EV4,$FN4,$GF4,$GX4,$HP4,$IH4,$IZ4,$JR4)</f>
        <v>0</v>
      </c>
      <c r="LB4" s="1">
        <f>MEDIAN($I4,$AA4,$AS4,$BK4,$CC4,$CU4,$DM4,$EE4,$EW4,$FO4,$GG4,$GY4,$HQ4,$II4,$JA4,$JS4)</f>
        <v>0</v>
      </c>
      <c r="LC4" s="1">
        <f>MEDIAN($J4,$AB4,$AT4,$BL4,$CD4,$CV4,$DN4,$EF4,$EX4,$FP4,$GH4,$GZ4,$HR4,$IJ4,$JB4,$JT4)</f>
        <v>0</v>
      </c>
      <c r="LD4" s="1">
        <f>MEDIAN($K4,$AC4,$AU4,$BM4,$CE4,$CW4,$DO4,$EG4,$EY4,$FQ4,$GI4,$HA4,$HS4,$IK4,$JC4,$JU4)</f>
        <v>0</v>
      </c>
      <c r="LE4" s="1">
        <f>MEDIAN($L4,$AD4,$AV4,$BN4,$CF4,$CX4,$DP4,$EH4,$EZ4,$FR4,$GJ4,$HB4,$HT4,$IL4,$JD4,$JV4)</f>
        <v>0</v>
      </c>
      <c r="LF4" s="1">
        <f>MEDIAN($M4,$AE4,$AW4,$BO4,$CG4,$CY4,$DQ4,$EI4,$FA4,$FS4,$GK4,$HC4,$HU4,$IM4,$JE4,$JW4)</f>
        <v>0</v>
      </c>
      <c r="LG4" s="1">
        <f>MEDIAN($N4,$AF4,$AX4,$BP4,$CH4,$CZ4,$DR4,$EJ4,$FB4,$FT4,$GL4,$HD4,$HV4,$IN4,$JF4,$JX4)</f>
        <v>0</v>
      </c>
      <c r="LH4" s="1">
        <f>MEDIAN($O4,$AG4,$AY4,$BQ4,$CI4,$DA4,$DS4,$EK4,$FC4,$FU4,$GM4,$HE4,$HW4,$IO4,$JG4,$JY4)</f>
        <v>0</v>
      </c>
      <c r="LI4" s="1">
        <f>MEDIAN($Q4,$AI4,$BA4,$BS4,$CK4,$DC4,$DU4,$EM4,$FE4,$FW4,$GO4,$HG4,$HY4,$IQ4,$JI4,$KA4)</f>
        <v>0</v>
      </c>
      <c r="LJ4" s="1">
        <f>MEDIAN($R4,$AJ4,$BB4,$BT4,$CL4,$DD4,$DV4,$EN4,$FF4,$FX4,$GP4,$HH4,$HZ4,$IR4,$JJ4,$KB4)</f>
        <v>0</v>
      </c>
      <c r="LK4" s="1">
        <f>MEDIAN($S4,$AK4,$BC4,$BU4,$CM4,$DE4,$DW4,$EO4,$FG4,$FY4,$GQ4,$HI4,$IA4,$IS4,$JK4,$KC4)</f>
        <v>0</v>
      </c>
      <c r="LL4" s="1">
        <f>MAX($B4,$T4,$AL4,$BD4,$BV4,$CN4,$DF4,$DX4,$EP4,$FH4,$FZ4,$GR4,$HJ4,$IB4,$IT4,$JL4)</f>
        <v>0</v>
      </c>
      <c r="LM4" s="1">
        <f>MAX($C4,$U4,$AM4,$BE4,$BW4,$CO4,$DG4,$DY4,$EQ4,$FI4,$GA4,$GS4,$HK4,$IC4,$IU4,$JM4)</f>
        <v>0</v>
      </c>
      <c r="LN4" s="1">
        <f>MAX($D4,$V4,$AN4,$BF4,$BX4,$CP4,$DH4,$DZ4,$ER4,$FJ4,$GB4,$GT4,$HL4,$ID4,$IV4,$JN4)</f>
        <v>0</v>
      </c>
      <c r="LO4" s="1">
        <f>MAX($E4,$W4,$AO4,$BG4,$BY4,$CQ4,$DI4,$EA4,$ES4,$FK4,$GC4,$GU4,$HM4,$IE4,$IW4,$JO4)</f>
        <v>0</v>
      </c>
      <c r="LP4" s="1">
        <f>MAX($F4,$X4,$AP4,$BH4,$BZ4,$CR4,$DJ4,$EB4,$ET4,$FL4,$GD4,$GV4,$HN4,$IF4,$IX4,$JP4)</f>
        <v>0</v>
      </c>
      <c r="LQ4" s="1">
        <f>MAX($G4,$Y4,$AQ4,$BI4,$CA4,$CS4,$DK4,$EC4,$EU4,$FM4,$GE4,$GW4,$HO4,$IG4,$IY4,$JQ4)</f>
        <v>0</v>
      </c>
      <c r="LR4" s="1">
        <f>MAX($H4,$Z4,$AR4,$BJ4,$CB4,$CT4,$DL4,$ED4,$EV4,$FN4,$GF4,$GX4,$HP4,$IH4,$IZ4,$JR4)</f>
        <v>0</v>
      </c>
      <c r="LS4" s="1">
        <f>MAX($I4,$AA4,$AS4,$BK4,$CC4,$CU4,$DM4,$EE4,$EW4,$FO4,$GG4,$GY4,$HQ4,$II4,$JA4,$JS4)</f>
        <v>0</v>
      </c>
      <c r="LT4" s="1">
        <f>MAX($J4,$AB4,$AT4,$BL4,$CD4,$CV4,$DN4,$EF4,$EX4,$FP4,$GH4,$GZ4,$HR4,$IJ4,$JB4,$JT4)</f>
        <v>0</v>
      </c>
      <c r="LU4" s="1">
        <f>MAX($K4,$AC4,$AU4,$BM4,$CE4,$CW4,$DO4,$EG4,$EY4,$FQ4,$GI4,$HA4,$HS4,$IK4,$JC4,$JU4)</f>
        <v>0</v>
      </c>
      <c r="LV4" s="1">
        <f>MAX($L4,$AD4,$AV4,$BN4,$CF4,$CX4,$DP4,$EH4,$EZ4,$FR4,$GJ4,$HB4,$HT4,$IL4,$JD4,$JV4)</f>
        <v>0</v>
      </c>
      <c r="LW4" s="1">
        <f>MAX($M4,$AE4,$AW4,$BO4,$CG4,$CY4,$DQ4,$EI4,$FA4,$FS4,$GK4,$HC4,$HU4,$IM4,$JE4,$JW4)</f>
        <v>0</v>
      </c>
      <c r="LX4" s="1">
        <f>MAX($N4,$AF4,$AX4,$BP4,$CH4,$CZ4,$DR4,$EJ4,$FB4,$FT4,$GL4,$HD4,$HV4,$IN4,$JF4,$JX4)</f>
        <v>0</v>
      </c>
      <c r="LY4" s="1">
        <f>MAX($O4,$AG4,$AY4,$BQ4,$CI4,$DA4,$DS4,$EK4,$FC4,$FU4,$GM4,$HE4,$HW4,$IO4,$JG4,$JY4)</f>
        <v>0</v>
      </c>
      <c r="LZ4" s="1">
        <f>MAX($Q4,$AI4,$BA4,$BS4,$CK4,$DC4,$DU4,$EM4,$FE4,$FW4,$GO4,$HG4,$HY4,$IQ4,$JI4,$KA4)</f>
        <v>0</v>
      </c>
      <c r="MA4" s="1">
        <f>MAX($R4,$AJ4,$BB4,$BT4,$CL4,$DD4,$DV4,$EN4,$FF4,$FX4,$GP4,$HH4,$HZ4,$IR4,$JJ4,$KB4)</f>
        <v>0</v>
      </c>
      <c r="MB4" s="1">
        <f>MAX($S4,$AK4,$BC4,$BU4,$CM4,$DE4,$DW4,$EO4,$FG4,$FY4,$GQ4,$HI4,$IA4,$IS4,$JK4,$KC4)</f>
        <v>0</v>
      </c>
    </row>
    <row r="5" spans="1:3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/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 cm="1">
        <f t="array" ref="AF5">_xlfn.SWITCH($A$2,"average", AVERAGE(Instances!AF5:Instances!AF5),"median", MEDIAN(Instances!AF5:Instances!AF5),"min", MIN(Instances!AF5:Instances!AF5),"max", MAX(Instances!AF5:Instances!AF5),"diff", MAX(Instances!AF5:Instances!AF5)-MIN(Instances!AF5:Instances!AF5))</f>
        <v>0</v>
      </c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/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 cm="1">
        <f t="array" ref="AM5">_xlfn.SWITCH($A$2,"average", AVERAGE(Instances!AM5:Instances!AM5),"median", MEDIAN(Instances!AM5:Instances!AM5),"min", MIN(Instances!AM5:Instances!AM5),"max", MAX(Instances!AM5:Instances!AM5),"diff", MAX(Instances!AM5:Instances!AM5)-MIN(Instances!AM5:Instances!AM5))</f>
        <v>0</v>
      </c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/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 cm="1">
        <f t="array" ref="BH5">_xlfn.SWITCH($A$2,"average", AVERAGE(Instances!BH5:Instances!BH5),"median", MEDIAN(Instances!BH5:Instances!BH5),"min", MIN(Instances!BH5:Instances!BH5),"max", MAX(Instances!BH5:Instances!BH5),"diff", MAX(Instances!BH5:Instances!BH5)-MIN(Instances!BH5:Instances!BH5))</f>
        <v>0</v>
      </c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 cm="1">
        <f t="array" ref="BO5">_xlfn.SWITCH($A$2,"average", AVERAGE(Instances!BO5:Instances!BO5),"median", MEDIAN(Instances!BO5:Instances!BO5),"min", MIN(Instances!BO5:Instances!BO5),"max", MAX(Instances!BO5:Instances!BO5),"diff", MAX(Instances!BO5:Instances!BO5)-MIN(Instances!BO5:Instances!BO5))</f>
        <v>0</v>
      </c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/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 cm="1">
        <f t="array" ref="BV5">_xlfn.SWITCH($A$2,"average", AVERAGE(Instances!BV5:Instances!BV5),"median", MEDIAN(Instances!BV5:Instances!BV5),"min", MIN(Instances!BV5:Instances!BV5),"max", MAX(Instances!BV5:Instances!BV5),"diff", MAX(Instances!BV5:Instances!BV5)-MIN(Instances!BV5:Instances!BV5))</f>
        <v>0</v>
      </c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 cm="1">
        <f t="array" ref="CC5">_xlfn.SWITCH($A$2,"average", AVERAGE(Instances!CC5:Instances!CC5),"median", MEDIAN(Instances!CC5:Instances!CC5),"min", MIN(Instances!CC5:Instances!CC5),"max", MAX(Instances!CC5:Instances!CC5),"diff", MAX(Instances!CC5:Instances!CC5)-MIN(Instances!CC5:Instances!CC5))</f>
        <v>0</v>
      </c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 cm="1">
        <f t="array" ref="CQ5">_xlfn.SWITCH($A$2,"average", AVERAGE(Instances!CQ5:Instances!CQ5),"median", MEDIAN(Instances!CQ5:Instances!CQ5),"min", MIN(Instances!CQ5:Instances!CQ5),"max", MAX(Instances!CQ5:Instances!CQ5),"diff", MAX(Instances!CQ5:Instances!CQ5)-MIN(Instances!CQ5:Instances!CQ5))</f>
        <v>0</v>
      </c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 cm="1">
        <f t="array" ref="CX5">_xlfn.SWITCH($A$2,"average", AVERAGE(Instances!CX5:Instances!CX5),"median", MEDIAN(Instances!CX5:Instances!CX5),"min", MIN(Instances!CX5:Instances!CX5),"max", MAX(Instances!CX5:Instances!CX5),"diff", MAX(Instances!CX5:Instances!CX5)-MIN(Instances!CX5:Instances!CX5))</f>
        <v>0</v>
      </c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/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 cm="1">
        <f t="array" ref="DE5">_xlfn.SWITCH($A$2,"average", AVERAGE(Instances!DE5:Instances!DE5),"median", MEDIAN(Instances!DE5:Instances!DE5),"min", MIN(Instances!DE5:Instances!DE5),"max", MAX(Instances!DE5:Instances!DE5),"diff", MAX(Instances!DE5:Instances!DE5)-MIN(Instances!DE5:Instances!DE5))</f>
        <v>0</v>
      </c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 cm="1">
        <f t="array" ref="DL5">_xlfn.SWITCH($A$2,"average", AVERAGE(Instances!DL5:Instances!DL5),"median", MEDIAN(Instances!DL5:Instances!DL5),"min", MIN(Instances!DL5:Instances!DL5),"max", MAX(Instances!DL5:Instances!DL5),"diff", MAX(Instances!DL5:Instances!DL5)-MIN(Instances!DL5:Instances!DL5))</f>
        <v>0</v>
      </c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 cm="1">
        <f t="array" ref="DS5">_xlfn.SWITCH($A$2,"average", AVERAGE(Instances!DS5:Instances!DS5),"median", MEDIAN(Instances!DS5:Instances!DS5),"min", MIN(Instances!DS5:Instances!DS5),"max", MAX(Instances!DS5:Instances!DS5),"diff", MAX(Instances!DS5:Instances!DS5)-MIN(Instances!DS5:Instances!DS5))</f>
        <v>0</v>
      </c>
      <c r="DT5" s="1"/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 cm="1">
        <f t="array" ref="DZ5">_xlfn.SWITCH($A$2,"average", AVERAGE(Instances!DZ5:Instances!DZ5),"median", MEDIAN(Instances!DZ5:Instances!DZ5),"min", MIN(Instances!DZ5:Instances!DZ5),"max", MAX(Instances!DZ5:Instances!DZ5),"diff", MAX(Instances!DZ5:Instances!DZ5)-MIN(Instances!DZ5:Instances!DZ5))</f>
        <v>0</v>
      </c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 cm="1">
        <f t="array" ref="EG5">_xlfn.SWITCH($A$2,"average", AVERAGE(Instances!EG5:Instances!EG5),"median", MEDIAN(Instances!EG5:Instances!EG5),"min", MIN(Instances!EG5:Instances!EG5),"max", MAX(Instances!EG5:Instances!EG5),"diff", MAX(Instances!EG5:Instances!EG5)-MIN(Instances!EG5:Instances!EG5))</f>
        <v>0</v>
      </c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/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 cm="1">
        <f t="array" ref="EN5">_xlfn.SWITCH($A$2,"average", AVERAGE(Instances!EN5:Instances!EN5),"median", MEDIAN(Instances!EN5:Instances!EN5),"min", MIN(Instances!EN5:Instances!EN5),"max", MAX(Instances!EN5:Instances!EN5),"diff", MAX(Instances!EN5:Instances!EN5)-MIN(Instances!EN5:Instances!EN5))</f>
        <v>0</v>
      </c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 cm="1">
        <f t="array" ref="EU5">_xlfn.SWITCH($A$2,"average", AVERAGE(Instances!EU5:Instances!EU5),"median", MEDIAN(Instances!EU5:Instances!EU5),"min", MIN(Instances!EU5:Instances!EU5),"max", MAX(Instances!EU5:Instances!EU5),"diff", MAX(Instances!EU5:Instances!EU5)-MIN(Instances!EU5:Instances!EU5))</f>
        <v>0</v>
      </c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 cm="1">
        <f t="array" ref="FB5">_xlfn.SWITCH($A$2,"average", AVERAGE(Instances!FB5:Instances!FB5),"median", MEDIAN(Instances!FB5:Instances!FB5),"min", MIN(Instances!FB5:Instances!FB5),"max", MAX(Instances!FB5:Instances!FB5),"diff", MAX(Instances!FB5:Instances!FB5)-MIN(Instances!FB5:Instances!FB5))</f>
        <v>0</v>
      </c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/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 cm="1">
        <f t="array" ref="FI5">_xlfn.SWITCH($A$2,"average", AVERAGE(Instances!FI5:Instances!FI5),"median", MEDIAN(Instances!FI5:Instances!FI5),"min", MIN(Instances!FI5:Instances!FI5),"max", MAX(Instances!FI5:Instances!FI5),"diff", MAX(Instances!FI5:Instances!FI5)-MIN(Instances!FI5:Instances!FI5))</f>
        <v>0</v>
      </c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 cm="1">
        <f t="array" ref="FP5">_xlfn.SWITCH($A$2,"average", AVERAGE(Instances!FP5:Instances!FP5),"median", MEDIAN(Instances!FP5:Instances!FP5),"min", MIN(Instances!FP5:Instances!FP5),"max", MAX(Instances!FP5:Instances!FP5),"diff", MAX(Instances!FP5:Instances!FP5)-MIN(Instances!FP5:Instances!FP5))</f>
        <v>0</v>
      </c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/>
      <c r="FW5" s="1" cm="1">
        <f t="array" ref="FW5">_xlfn.SWITCH($A$2,"average", AVERAGE(Instances!FW5:Instances!FW5),"median", MEDIAN(Instances!FW5:Instances!FW5),"min", MIN(Instances!FW5:Instances!FW5),"max", MAX(Instances!FW5:Instances!FW5),"diff", MAX(Instances!FW5:Instances!FW5)-MIN(Instances!FW5:Instances!FW5))</f>
        <v>0</v>
      </c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 cm="1">
        <f t="array" ref="GD5">_xlfn.SWITCH($A$2,"average", AVERAGE(Instances!GD5:Instances!GD5),"median", MEDIAN(Instances!GD5:Instances!GD5),"min", MIN(Instances!GD5:Instances!GD5),"max", MAX(Instances!GD5:Instances!GD5),"diff", MAX(Instances!GD5:Instances!GD5)-MIN(Instances!GD5:Instances!GD5))</f>
        <v>0</v>
      </c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 cm="1">
        <f t="array" ref="GK5">_xlfn.SWITCH($A$2,"average", AVERAGE(Instances!GK5:Instances!GK5),"median", MEDIAN(Instances!GK5:Instances!GK5),"min", MIN(Instances!GK5:Instances!GK5),"max", MAX(Instances!GK5:Instances!GK5),"diff", MAX(Instances!GK5:Instances!GK5)-MIN(Instances!GK5:Instances!GK5))</f>
        <v>0</v>
      </c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/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 cm="1">
        <f t="array" ref="GR5">_xlfn.SWITCH($A$2,"average", AVERAGE(Instances!GR5:Instances!GR5),"median", MEDIAN(Instances!GR5:Instances!GR5),"min", MIN(Instances!GR5:Instances!GR5),"max", MAX(Instances!GR5:Instances!GR5),"diff", MAX(Instances!GR5:Instances!GR5)-MIN(Instances!GR5:Instances!GR5))</f>
        <v>0</v>
      </c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 cm="1">
        <f t="array" ref="GY5">_xlfn.SWITCH($A$2,"average", AVERAGE(Instances!GY5:Instances!GY5),"median", MEDIAN(Instances!GY5:Instances!GY5),"min", MIN(Instances!GY5:Instances!GY5),"max", MAX(Instances!GY5:Instances!GY5),"diff", MAX(Instances!GY5:Instances!GY5)-MIN(Instances!GY5:Instances!GY5))</f>
        <v>0</v>
      </c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 cm="1">
        <f t="array" ref="HM5">_xlfn.SWITCH($A$2,"average", AVERAGE(Instances!HM5:Instances!HM5),"median", MEDIAN(Instances!HM5:Instances!HM5),"min", MIN(Instances!HM5:Instances!HM5),"max", MAX(Instances!HM5:Instances!HM5),"diff", MAX(Instances!HM5:Instances!HM5)-MIN(Instances!HM5:Instances!HM5))</f>
        <v>0</v>
      </c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 cm="1">
        <f t="array" ref="HT5">_xlfn.SWITCH($A$2,"average", AVERAGE(Instances!HT5:Instances!HT5),"median", MEDIAN(Instances!HT5:Instances!HT5),"min", MIN(Instances!HT5:Instances!HT5),"max", MAX(Instances!HT5:Instances!HT5),"diff", MAX(Instances!HT5:Instances!HT5)-MIN(Instances!HT5:Instances!HT5))</f>
        <v>0</v>
      </c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/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 cm="1">
        <f t="array" ref="IA5">_xlfn.SWITCH($A$2,"average", AVERAGE(Instances!IA5:Instances!IA5),"median", MEDIAN(Instances!IA5:Instances!IA5),"min", MIN(Instances!IA5:Instances!IA5),"max", MAX(Instances!IA5:Instances!IA5),"diff", MAX(Instances!IA5:Instances!IA5)-MIN(Instances!IA5:Instances!IA5))</f>
        <v>0</v>
      </c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 cm="1">
        <f t="array" ref="IH5">_xlfn.SWITCH($A$2,"average", AVERAGE(Instances!IH5:Instances!IH5),"median", MEDIAN(Instances!IH5:Instances!IH5),"min", MIN(Instances!IH5:Instances!IH5),"max", MAX(Instances!IH5:Instances!IH5),"diff", MAX(Instances!IH5:Instances!IH5)-MIN(Instances!IH5:Instances!IH5))</f>
        <v>0</v>
      </c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 cm="1">
        <f t="array" ref="IO5">_xlfn.SWITCH($A$2,"average", AVERAGE(Instances!IO5:Instances!IO5),"median", MEDIAN(Instances!IO5:Instances!IO5),"min", MIN(Instances!IO5:Instances!IO5),"max", MAX(Instances!IO5:Instances!IO5),"diff", MAX(Instances!IO5:Instances!IO5)-MIN(Instances!IO5:Instances!IO5))</f>
        <v>0</v>
      </c>
      <c r="IP5" s="1"/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 cm="1">
        <f t="array" ref="IV5">_xlfn.SWITCH($A$2,"average", AVERAGE(Instances!IV5:Instances!IV5),"median", MEDIAN(Instances!IV5:Instances!IV5),"min", MIN(Instances!IV5:Instances!IV5),"max", MAX(Instances!IV5:Instances!IV5),"diff", MAX(Instances!IV5:Instances!IV5)-MIN(Instances!IV5:Instances!IV5))</f>
        <v>0</v>
      </c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 cm="1">
        <f t="array" ref="JC5">_xlfn.SWITCH($A$2,"average", AVERAGE(Instances!JC5:Instances!JC5),"median", MEDIAN(Instances!JC5:Instances!JC5),"min", MIN(Instances!JC5:Instances!JC5),"max", MAX(Instances!JC5:Instances!JC5),"diff", MAX(Instances!JC5:Instances!JC5)-MIN(Instances!JC5:Instances!JC5))</f>
        <v>0</v>
      </c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/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 cm="1">
        <f t="array" ref="JJ5">_xlfn.SWITCH($A$2,"average", AVERAGE(Instances!JJ5:Instances!JJ5),"median", MEDIAN(Instances!JJ5:Instances!JJ5),"min", MIN(Instances!JJ5:Instances!JJ5),"max", MAX(Instances!JJ5:Instances!JJ5),"diff", MAX(Instances!JJ5:Instances!JJ5)-MIN(Instances!JJ5:Instances!JJ5))</f>
        <v>0</v>
      </c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 cm="1">
        <f t="array" ref="JQ5">_xlfn.SWITCH($A$2,"average", AVERAGE(Instances!JQ5:Instances!JQ5),"median", MEDIAN(Instances!JQ5:Instances!JQ5),"min", MIN(Instances!JQ5:Instances!JQ5),"max", MAX(Instances!JQ5:Instances!JQ5),"diff", MAX(Instances!JQ5:Instances!JQ5)-MIN(Instances!JQ5:Instances!JQ5))</f>
        <v>0</v>
      </c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 cm="1">
        <f t="array" ref="JX5">_xlfn.SWITCH($A$2,"average", AVERAGE(Instances!JX5:Instances!JX5),"median", MEDIAN(Instances!JX5:Instances!JX5),"min", MIN(Instances!JX5:Instances!JX5),"max", MAX(Instances!JX5:Instances!JX5),"diff", MAX(Instances!JX5:Instances!JX5)-MIN(Instances!JX5:Instances!JX5))</f>
        <v>0</v>
      </c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/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>
        <f>MIN($B5,$T5,$AL5,$BD5,$BV5,$CN5,$DF5,$DX5,$EP5,$FH5,$FZ5,$GR5,$HJ5,$IB5,$IT5,$JL5)</f>
        <v>0</v>
      </c>
      <c r="KE5" s="1">
        <f>MIN($C5,$U5,$AM5,$BE5,$BW5,$CO5,$DG5,$DY5,$EQ5,$FI5,$GA5,$GS5,$HK5,$IC5,$IU5,$JM5)</f>
        <v>0</v>
      </c>
      <c r="KF5" s="1">
        <f>MIN($D5,$V5,$AN5,$BF5,$BX5,$CP5,$DH5,$DZ5,$ER5,$FJ5,$GB5,$GT5,$HL5,$ID5,$IV5,$JN5)</f>
        <v>0</v>
      </c>
      <c r="KG5" s="1">
        <f>MIN($E5,$W5,$AO5,$BG5,$BY5,$CQ5,$DI5,$EA5,$ES5,$FK5,$GC5,$GU5,$HM5,$IE5,$IW5,$JO5)</f>
        <v>0</v>
      </c>
      <c r="KH5" s="1">
        <f>MIN($F5,$X5,$AP5,$BH5,$BZ5,$CR5,$DJ5,$EB5,$ET5,$FL5,$GD5,$GV5,$HN5,$IF5,$IX5,$JP5)</f>
        <v>0</v>
      </c>
      <c r="KI5" s="1">
        <f>MIN($G5,$Y5,$AQ5,$BI5,$CA5,$CS5,$DK5,$EC5,$EU5,$FM5,$GE5,$GW5,$HO5,$IG5,$IY5,$JQ5)</f>
        <v>0</v>
      </c>
      <c r="KJ5" s="1">
        <f>MIN($H5,$Z5,$AR5,$BJ5,$CB5,$CT5,$DL5,$ED5,$EV5,$FN5,$GF5,$GX5,$HP5,$IH5,$IZ5,$JR5)</f>
        <v>0</v>
      </c>
      <c r="KK5" s="1">
        <f>MIN($I5,$AA5,$AS5,$BK5,$CC5,$CU5,$DM5,$EE5,$EW5,$FO5,$GG5,$GY5,$HQ5,$II5,$JA5,$JS5)</f>
        <v>0</v>
      </c>
      <c r="KL5" s="1">
        <f>MIN($J5,$AB5,$AT5,$BL5,$CD5,$CV5,$DN5,$EF5,$EX5,$FP5,$GH5,$GZ5,$HR5,$IJ5,$JB5,$JT5)</f>
        <v>0</v>
      </c>
      <c r="KM5" s="1">
        <f>MIN($K5,$AC5,$AU5,$BM5,$CE5,$CW5,$DO5,$EG5,$EY5,$FQ5,$GI5,$HA5,$HS5,$IK5,$JC5,$JU5)</f>
        <v>0</v>
      </c>
      <c r="KN5" s="1">
        <f>MIN($L5,$AD5,$AV5,$BN5,$CF5,$CX5,$DP5,$EH5,$EZ5,$FR5,$GJ5,$HB5,$HT5,$IL5,$JD5,$JV5)</f>
        <v>0</v>
      </c>
      <c r="KO5" s="1">
        <f>MIN($M5,$AE5,$AW5,$BO5,$CG5,$CY5,$DQ5,$EI5,$FA5,$FS5,$GK5,$HC5,$HU5,$IM5,$JE5,$JW5)</f>
        <v>0</v>
      </c>
      <c r="KP5" s="1">
        <f>MIN($N5,$AF5,$AX5,$BP5,$CH5,$CZ5,$DR5,$EJ5,$FB5,$FT5,$GL5,$HD5,$HV5,$IN5,$JF5,$JX5)</f>
        <v>0</v>
      </c>
      <c r="KQ5" s="1">
        <f>MIN($O5,$AG5,$AY5,$BQ5,$CI5,$DA5,$DS5,$EK5,$FC5,$FU5,$GM5,$HE5,$HW5,$IO5,$JG5,$JY5)</f>
        <v>0</v>
      </c>
      <c r="KR5" s="1">
        <f>MIN($Q5,$AI5,$BA5,$BS5,$CK5,$DC5,$DU5,$EM5,$FE5,$FW5,$GO5,$HG5,$HY5,$IQ5,$JI5,$KA5)</f>
        <v>0</v>
      </c>
      <c r="KS5" s="1">
        <f>MIN($R5,$AJ5,$BB5,$BT5,$CL5,$DD5,$DV5,$EN5,$FF5,$FX5,$GP5,$HH5,$HZ5,$IR5,$JJ5,$KB5)</f>
        <v>0</v>
      </c>
      <c r="KT5" s="1">
        <f>MIN($S5,$AK5,$BC5,$BU5,$CM5,$DE5,$DW5,$EO5,$FG5,$FY5,$GQ5,$HI5,$IA5,$IS5,$JK5,$KC5)</f>
        <v>0</v>
      </c>
      <c r="KU5" s="1">
        <f>MEDIAN($B5,$T5,$AL5,$BD5,$BV5,$CN5,$DF5,$DX5,$EP5,$FH5,$FZ5,$GR5,$HJ5,$IB5,$IT5,$JL5)</f>
        <v>0</v>
      </c>
      <c r="KV5" s="1">
        <f>MEDIAN($C5,$U5,$AM5,$BE5,$BW5,$CO5,$DG5,$DY5,$EQ5,$FI5,$GA5,$GS5,$HK5,$IC5,$IU5,$JM5)</f>
        <v>0</v>
      </c>
      <c r="KW5" s="1">
        <f>MEDIAN($D5,$V5,$AN5,$BF5,$BX5,$CP5,$DH5,$DZ5,$ER5,$FJ5,$GB5,$GT5,$HL5,$ID5,$IV5,$JN5)</f>
        <v>0</v>
      </c>
      <c r="KX5" s="1">
        <f>MEDIAN($E5,$W5,$AO5,$BG5,$BY5,$CQ5,$DI5,$EA5,$ES5,$FK5,$GC5,$GU5,$HM5,$IE5,$IW5,$JO5)</f>
        <v>0</v>
      </c>
      <c r="KY5" s="1">
        <f>MEDIAN($F5,$X5,$AP5,$BH5,$BZ5,$CR5,$DJ5,$EB5,$ET5,$FL5,$GD5,$GV5,$HN5,$IF5,$IX5,$JP5)</f>
        <v>0</v>
      </c>
      <c r="KZ5" s="1">
        <f>MEDIAN($G5,$Y5,$AQ5,$BI5,$CA5,$CS5,$DK5,$EC5,$EU5,$FM5,$GE5,$GW5,$HO5,$IG5,$IY5,$JQ5)</f>
        <v>0</v>
      </c>
      <c r="LA5" s="1">
        <f>MEDIAN($H5,$Z5,$AR5,$BJ5,$CB5,$CT5,$DL5,$ED5,$EV5,$FN5,$GF5,$GX5,$HP5,$IH5,$IZ5,$JR5)</f>
        <v>0</v>
      </c>
      <c r="LB5" s="1">
        <f>MEDIAN($I5,$AA5,$AS5,$BK5,$CC5,$CU5,$DM5,$EE5,$EW5,$FO5,$GG5,$GY5,$HQ5,$II5,$JA5,$JS5)</f>
        <v>0</v>
      </c>
      <c r="LC5" s="1">
        <f>MEDIAN($J5,$AB5,$AT5,$BL5,$CD5,$CV5,$DN5,$EF5,$EX5,$FP5,$GH5,$GZ5,$HR5,$IJ5,$JB5,$JT5)</f>
        <v>0</v>
      </c>
      <c r="LD5" s="1">
        <f>MEDIAN($K5,$AC5,$AU5,$BM5,$CE5,$CW5,$DO5,$EG5,$EY5,$FQ5,$GI5,$HA5,$HS5,$IK5,$JC5,$JU5)</f>
        <v>0</v>
      </c>
      <c r="LE5" s="1">
        <f>MEDIAN($L5,$AD5,$AV5,$BN5,$CF5,$CX5,$DP5,$EH5,$EZ5,$FR5,$GJ5,$HB5,$HT5,$IL5,$JD5,$JV5)</f>
        <v>0</v>
      </c>
      <c r="LF5" s="1">
        <f>MEDIAN($M5,$AE5,$AW5,$BO5,$CG5,$CY5,$DQ5,$EI5,$FA5,$FS5,$GK5,$HC5,$HU5,$IM5,$JE5,$JW5)</f>
        <v>0</v>
      </c>
      <c r="LG5" s="1">
        <f>MEDIAN($N5,$AF5,$AX5,$BP5,$CH5,$CZ5,$DR5,$EJ5,$FB5,$FT5,$GL5,$HD5,$HV5,$IN5,$JF5,$JX5)</f>
        <v>0</v>
      </c>
      <c r="LH5" s="1">
        <f>MEDIAN($O5,$AG5,$AY5,$BQ5,$CI5,$DA5,$DS5,$EK5,$FC5,$FU5,$GM5,$HE5,$HW5,$IO5,$JG5,$JY5)</f>
        <v>0</v>
      </c>
      <c r="LI5" s="1">
        <f>MEDIAN($Q5,$AI5,$BA5,$BS5,$CK5,$DC5,$DU5,$EM5,$FE5,$FW5,$GO5,$HG5,$HY5,$IQ5,$JI5,$KA5)</f>
        <v>0</v>
      </c>
      <c r="LJ5" s="1">
        <f>MEDIAN($R5,$AJ5,$BB5,$BT5,$CL5,$DD5,$DV5,$EN5,$FF5,$FX5,$GP5,$HH5,$HZ5,$IR5,$JJ5,$KB5)</f>
        <v>0</v>
      </c>
      <c r="LK5" s="1">
        <f>MEDIAN($S5,$AK5,$BC5,$BU5,$CM5,$DE5,$DW5,$EO5,$FG5,$FY5,$GQ5,$HI5,$IA5,$IS5,$JK5,$KC5)</f>
        <v>0</v>
      </c>
      <c r="LL5" s="1">
        <f>MAX($B5,$T5,$AL5,$BD5,$BV5,$CN5,$DF5,$DX5,$EP5,$FH5,$FZ5,$GR5,$HJ5,$IB5,$IT5,$JL5)</f>
        <v>0</v>
      </c>
      <c r="LM5" s="1">
        <f>MAX($C5,$U5,$AM5,$BE5,$BW5,$CO5,$DG5,$DY5,$EQ5,$FI5,$GA5,$GS5,$HK5,$IC5,$IU5,$JM5)</f>
        <v>0</v>
      </c>
      <c r="LN5" s="1">
        <f>MAX($D5,$V5,$AN5,$BF5,$BX5,$CP5,$DH5,$DZ5,$ER5,$FJ5,$GB5,$GT5,$HL5,$ID5,$IV5,$JN5)</f>
        <v>0</v>
      </c>
      <c r="LO5" s="1">
        <f>MAX($E5,$W5,$AO5,$BG5,$BY5,$CQ5,$DI5,$EA5,$ES5,$FK5,$GC5,$GU5,$HM5,$IE5,$IW5,$JO5)</f>
        <v>0</v>
      </c>
      <c r="LP5" s="1">
        <f>MAX($F5,$X5,$AP5,$BH5,$BZ5,$CR5,$DJ5,$EB5,$ET5,$FL5,$GD5,$GV5,$HN5,$IF5,$IX5,$JP5)</f>
        <v>0</v>
      </c>
      <c r="LQ5" s="1">
        <f>MAX($G5,$Y5,$AQ5,$BI5,$CA5,$CS5,$DK5,$EC5,$EU5,$FM5,$GE5,$GW5,$HO5,$IG5,$IY5,$JQ5)</f>
        <v>0</v>
      </c>
      <c r="LR5" s="1">
        <f>MAX($H5,$Z5,$AR5,$BJ5,$CB5,$CT5,$DL5,$ED5,$EV5,$FN5,$GF5,$GX5,$HP5,$IH5,$IZ5,$JR5)</f>
        <v>0</v>
      </c>
      <c r="LS5" s="1">
        <f>MAX($I5,$AA5,$AS5,$BK5,$CC5,$CU5,$DM5,$EE5,$EW5,$FO5,$GG5,$GY5,$HQ5,$II5,$JA5,$JS5)</f>
        <v>0</v>
      </c>
      <c r="LT5" s="1">
        <f>MAX($J5,$AB5,$AT5,$BL5,$CD5,$CV5,$DN5,$EF5,$EX5,$FP5,$GH5,$GZ5,$HR5,$IJ5,$JB5,$JT5)</f>
        <v>0</v>
      </c>
      <c r="LU5" s="1">
        <f>MAX($K5,$AC5,$AU5,$BM5,$CE5,$CW5,$DO5,$EG5,$EY5,$FQ5,$GI5,$HA5,$HS5,$IK5,$JC5,$JU5)</f>
        <v>0</v>
      </c>
      <c r="LV5" s="1">
        <f>MAX($L5,$AD5,$AV5,$BN5,$CF5,$CX5,$DP5,$EH5,$EZ5,$FR5,$GJ5,$HB5,$HT5,$IL5,$JD5,$JV5)</f>
        <v>0</v>
      </c>
      <c r="LW5" s="1">
        <f>MAX($M5,$AE5,$AW5,$BO5,$CG5,$CY5,$DQ5,$EI5,$FA5,$FS5,$GK5,$HC5,$HU5,$IM5,$JE5,$JW5)</f>
        <v>0</v>
      </c>
      <c r="LX5" s="1">
        <f>MAX($N5,$AF5,$AX5,$BP5,$CH5,$CZ5,$DR5,$EJ5,$FB5,$FT5,$GL5,$HD5,$HV5,$IN5,$JF5,$JX5)</f>
        <v>0</v>
      </c>
      <c r="LY5" s="1">
        <f>MAX($O5,$AG5,$AY5,$BQ5,$CI5,$DA5,$DS5,$EK5,$FC5,$FU5,$GM5,$HE5,$HW5,$IO5,$JG5,$JY5)</f>
        <v>0</v>
      </c>
      <c r="LZ5" s="1">
        <f>MAX($Q5,$AI5,$BA5,$BS5,$CK5,$DC5,$DU5,$EM5,$FE5,$FW5,$GO5,$HG5,$HY5,$IQ5,$JI5,$KA5)</f>
        <v>0</v>
      </c>
      <c r="MA5" s="1">
        <f>MAX($R5,$AJ5,$BB5,$BT5,$CL5,$DD5,$DV5,$EN5,$FF5,$FX5,$GP5,$HH5,$HZ5,$IR5,$JJ5,$KB5)</f>
        <v>0</v>
      </c>
      <c r="MB5" s="1">
        <f>MAX($S5,$AK5,$BC5,$BU5,$CM5,$DE5,$DW5,$EO5,$FG5,$FY5,$GQ5,$HI5,$IA5,$IS5,$JK5,$KC5)</f>
        <v>0</v>
      </c>
    </row>
    <row r="6" spans="1:340">
      <c r="A6" s="1" t="s">
        <v>3</v>
      </c>
      <c r="B6" s="1"/>
      <c r="C6" s="1"/>
      <c r="D6" s="1"/>
      <c r="E6" s="1"/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/>
      <c r="N6" s="1"/>
      <c r="O6" s="1"/>
      <c r="P6" s="1"/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/>
      <c r="AS6" s="1"/>
      <c r="AT6" s="1" cm="1">
        <f t="array" ref="AT6">_xlfn.SWITCH($A$2,"average", AVERAGE(Instances!AT6:Instances!AT6),"median", MEDIAN(Instances!AT6:Instances!AT6),"min", MIN(Instances!AT6:Instances!AT6),"max", MAX(Instances!AT6:Instances!AT6),"diff", MAX(Instances!AT6:Instances!AT6)-MIN(Instances!AT6:Instances!AT6))</f>
        <v>0</v>
      </c>
      <c r="AU6" s="1"/>
      <c r="AV6" s="1" cm="1">
        <f t="array" ref="AV6">_xlfn.SWITCH($A$2,"average", AVERAGE(Instances!AV6:Instances!AV6),"median", MEDIAN(Instances!AV6:Instances!AV6),"min", MIN(Instances!AV6:Instances!AV6),"max", MAX(Instances!AV6:Instances!AV6),"diff", MAX(Instances!AV6:Instances!AV6)-MIN(Instances!AV6:Instances!AV6))</f>
        <v>0</v>
      </c>
      <c r="AW6" s="1"/>
      <c r="AX6" s="1"/>
      <c r="AY6" s="1"/>
      <c r="AZ6" s="1"/>
      <c r="BA6" s="1" cm="1">
        <f t="array" ref="BA6">_xlfn.SWITCH($A$2,"average", AVERAGE(Instances!BA6:Instances!BA6),"median", MEDIAN(Instances!BA6:Instances!BA6),"min", MIN(Instances!BA6:Instances!BA6),"max", MAX(Instances!BA6:Instances!BA6),"diff", MAX(Instances!BA6:Instances!BA6)-MIN(Instances!BA6:Instances!BA6))</f>
        <v>0</v>
      </c>
      <c r="BB6" s="1" cm="1">
        <f t="array" ref="BB6">_xlfn.SWITCH($A$2,"average", AVERAGE(Instances!BB6:Instances!BB6),"median", MEDIAN(Instances!BB6:Instances!BB6),"min", MIN(Instances!BB6:Instances!BB6),"max", MAX(Instances!BB6:Instances!BB6),"diff", MAX(Instances!BB6:Instances!BB6)-MIN(Instances!BB6:Instances!BB6))</f>
        <v>0</v>
      </c>
      <c r="BC6" s="1"/>
      <c r="BD6" s="1"/>
      <c r="BE6" s="1"/>
      <c r="BF6" s="1"/>
      <c r="BG6" s="1"/>
      <c r="BH6" s="1"/>
      <c r="BI6" s="1" cm="1">
        <f t="array" ref="BI6">_xlfn.SWITCH($A$2,"average", AVERAGE(Instances!BI6:Instances!BI6),"median", MEDIAN(Instances!BI6:Instances!BI6),"min", MIN(Instances!BI6:Instances!BI6),"max", MAX(Instances!BI6:Instances!BI6),"diff", MAX(Instances!BI6:Instances!BI6)-MIN(Instances!BI6:Instances!BI6))</f>
        <v>0</v>
      </c>
      <c r="BJ6" s="1"/>
      <c r="BK6" s="1"/>
      <c r="BL6" s="1" cm="1">
        <f t="array" ref="BL6">_xlfn.SWITCH($A$2,"average", AVERAGE(Instances!BL6:Instances!BL6),"median", MEDIAN(Instances!BL6:Instances!BL6),"min", MIN(Instances!BL6:Instances!BL6),"max", MAX(Instances!BL6:Instances!BL6),"diff", MAX(Instances!BL6:Instances!BL6)-MIN(Instances!BL6:Instances!BL6))</f>
        <v>0</v>
      </c>
      <c r="BM6" s="1"/>
      <c r="BN6" s="1" cm="1">
        <f t="array" ref="BN6">_xlfn.SWITCH($A$2,"average", AVERAGE(Instances!BN6:Instances!BN6),"median", MEDIAN(Instances!BN6:Instances!BN6),"min", MIN(Instances!BN6:Instances!BN6),"max", MAX(Instances!BN6:Instances!BN6),"diff", MAX(Instances!BN6:Instances!BN6)-MIN(Instances!BN6:Instances!BN6))</f>
        <v>0</v>
      </c>
      <c r="BO6" s="1"/>
      <c r="BP6" s="1"/>
      <c r="BQ6" s="1"/>
      <c r="BR6" s="1"/>
      <c r="BS6" s="1" cm="1">
        <f t="array" ref="BS6">_xlfn.SWITCH($A$2,"average", AVERAGE(Instances!BS6:Instances!BS6),"median", MEDIAN(Instances!BS6:Instances!BS6),"min", MIN(Instances!BS6:Instances!BS6),"max", MAX(Instances!BS6:Instances!BS6),"diff", MAX(Instances!BS6:Instances!BS6)-MIN(Instances!BS6:Instances!BS6))</f>
        <v>0</v>
      </c>
      <c r="BT6" s="1" cm="1">
        <f t="array" ref="BT6">_xlfn.SWITCH($A$2,"average", AVERAGE(Instances!BT6:Instances!BT6),"median", MEDIAN(Instances!BT6:Instances!BT6),"min", MIN(Instances!BT6:Instances!BT6),"max", MAX(Instances!BT6:Instances!BT6),"diff", MAX(Instances!BT6:Instances!BT6)-MIN(Instances!BT6:Instances!BT6))</f>
        <v>0</v>
      </c>
      <c r="BU6" s="1"/>
      <c r="BV6" s="1"/>
      <c r="BW6" s="1"/>
      <c r="BX6" s="1"/>
      <c r="BY6" s="1"/>
      <c r="BZ6" s="1"/>
      <c r="CA6" s="1" cm="1">
        <f t="array" ref="CA6">_xlfn.SWITCH($A$2,"average", AVERAGE(Instances!CA6:Instances!CA6),"median", MEDIAN(Instances!CA6:Instances!CA6),"min", MIN(Instances!CA6:Instances!CA6),"max", MAX(Instances!CA6:Instances!CA6),"diff", MAX(Instances!CA6:Instances!CA6)-MIN(Instances!CA6:Instances!CA6))</f>
        <v>0</v>
      </c>
      <c r="CB6" s="1"/>
      <c r="CC6" s="1"/>
      <c r="CD6" s="1" cm="1">
        <f t="array" ref="CD6">_xlfn.SWITCH($A$2,"average", AVERAGE(Instances!CD6:Instances!CD6),"median", MEDIAN(Instances!CD6:Instances!CD6),"min", MIN(Instances!CD6:Instances!CD6),"max", MAX(Instances!CD6:Instances!CD6),"diff", MAX(Instances!CD6:Instances!CD6)-MIN(Instances!CD6:Instances!CD6))</f>
        <v>0</v>
      </c>
      <c r="CE6" s="1"/>
      <c r="CF6" s="1" cm="1">
        <f t="array" ref="CF6">_xlfn.SWITCH($A$2,"average", AVERAGE(Instances!CF6:Instances!CF6),"median", MEDIAN(Instances!CF6:Instances!CF6),"min", MIN(Instances!CF6:Instances!CF6),"max", MAX(Instances!CF6:Instances!CF6),"diff", MAX(Instances!CF6:Instances!CF6)-MIN(Instances!CF6:Instances!CF6))</f>
        <v>0</v>
      </c>
      <c r="CG6" s="1"/>
      <c r="CH6" s="1"/>
      <c r="CI6" s="1"/>
      <c r="CJ6" s="1"/>
      <c r="CK6" s="1" cm="1">
        <f t="array" ref="CK6">_xlfn.SWITCH($A$2,"average", AVERAGE(Instances!CK6:Instances!CK6),"median", MEDIAN(Instances!CK6:Instances!CK6),"min", MIN(Instances!CK6:Instances!CK6),"max", MAX(Instances!CK6:Instances!CK6),"diff", MAX(Instances!CK6:Instances!CK6)-MIN(Instances!CK6:Instances!CK6))</f>
        <v>0</v>
      </c>
      <c r="CL6" s="1" cm="1">
        <f t="array" ref="CL6">_xlfn.SWITCH($A$2,"average", AVERAGE(Instances!CL6:Instances!CL6),"median", MEDIAN(Instances!CL6:Instances!CL6),"min", MIN(Instances!CL6:Instances!CL6),"max", MAX(Instances!CL6:Instances!CL6),"diff", MAX(Instances!CL6:Instances!CL6)-MIN(Instances!CL6:Instances!CL6))</f>
        <v>0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 cm="1">
        <f t="array" ref="EC6">_xlfn.SWITCH($A$2,"average", AVERAGE(Instances!EC6:Instances!EC6),"median", MEDIAN(Instances!EC6:Instances!EC6),"min", MIN(Instances!EC6:Instances!EC6),"max", MAX(Instances!EC6:Instances!EC6),"diff", MAX(Instances!EC6:Instances!EC6)-MIN(Instances!EC6:Instances!EC6))</f>
        <v>0</v>
      </c>
      <c r="ED6" s="1"/>
      <c r="EE6" s="1"/>
      <c r="EF6" s="1" cm="1">
        <f t="array" ref="EF6">_xlfn.SWITCH($A$2,"average", AVERAGE(Instances!EF6:Instances!EF6),"median", MEDIAN(Instances!EF6:Instances!EF6),"min", MIN(Instances!EF6:Instances!EF6),"max", MAX(Instances!EF6:Instances!EF6),"diff", MAX(Instances!EF6:Instances!EF6)-MIN(Instances!EF6:Instances!EF6))</f>
        <v>0</v>
      </c>
      <c r="EG6" s="1"/>
      <c r="EH6" s="1" cm="1">
        <f t="array" ref="EH6">_xlfn.SWITCH($A$2,"average", AVERAGE(Instances!EH6:Instances!EH6),"median", MEDIAN(Instances!EH6:Instances!EH6),"min", MIN(Instances!EH6:Instances!EH6),"max", MAX(Instances!EH6:Instances!EH6),"diff", MAX(Instances!EH6:Instances!EH6)-MIN(Instances!EH6:Instances!EH6))</f>
        <v>0</v>
      </c>
      <c r="EI6" s="1"/>
      <c r="EJ6" s="1"/>
      <c r="EK6" s="1"/>
      <c r="EL6" s="1"/>
      <c r="EM6" s="1" cm="1">
        <f t="array" ref="EM6">_xlfn.SWITCH($A$2,"average", AVERAGE(Instances!EM6:Instances!EM6),"median", MEDIAN(Instances!EM6:Instances!EM6),"min", MIN(Instances!EM6:Instances!EM6),"max", MAX(Instances!EM6:Instances!EM6),"diff", MAX(Instances!EM6:Instances!EM6)-MIN(Instances!EM6:Instances!EM6))</f>
        <v>0</v>
      </c>
      <c r="EN6" s="1" cm="1">
        <f t="array" ref="EN6">_xlfn.SWITCH($A$2,"average", AVERAGE(Instances!EN6:Instances!EN6),"median", MEDIAN(Instances!EN6:Instances!EN6),"min", MIN(Instances!EN6:Instances!EN6),"max", MAX(Instances!EN6:Instances!EN6),"diff", MAX(Instances!EN6:Instances!EN6)-MIN(Instances!EN6:Instances!EN6))</f>
        <v>0</v>
      </c>
      <c r="EO6" s="1"/>
      <c r="EP6" s="1"/>
      <c r="EQ6" s="1"/>
      <c r="ER6" s="1"/>
      <c r="ES6" s="1"/>
      <c r="ET6" s="1"/>
      <c r="EU6" s="1" cm="1">
        <f t="array" ref="EU6">_xlfn.SWITCH($A$2,"average", AVERAGE(Instances!EU6:Instances!EU6),"median", MEDIAN(Instances!EU6:Instances!EU6),"min", MIN(Instances!EU6:Instances!EU6),"max", MAX(Instances!EU6:Instances!EU6),"diff", MAX(Instances!EU6:Instances!EU6)-MIN(Instances!EU6:Instances!EU6))</f>
        <v>0</v>
      </c>
      <c r="EV6" s="1"/>
      <c r="EW6" s="1"/>
      <c r="EX6" s="1" cm="1">
        <f t="array" ref="EX6">_xlfn.SWITCH($A$2,"average", AVERAGE(Instances!EX6:Instances!EX6),"median", MEDIAN(Instances!EX6:Instances!EX6),"min", MIN(Instances!EX6:Instances!EX6),"max", MAX(Instances!EX6:Instances!EX6),"diff", MAX(Instances!EX6:Instances!EX6)-MIN(Instances!EX6:Instances!EX6))</f>
        <v>0</v>
      </c>
      <c r="EY6" s="1"/>
      <c r="EZ6" s="1" cm="1">
        <f t="array" ref="EZ6">_xlfn.SWITCH($A$2,"average", AVERAGE(Instances!EZ6:Instances!EZ6),"median", MEDIAN(Instances!EZ6:Instances!EZ6),"min", MIN(Instances!EZ6:Instances!EZ6),"max", MAX(Instances!EZ6:Instances!EZ6),"diff", MAX(Instances!EZ6:Instances!EZ6)-MIN(Instances!EZ6:Instances!EZ6))</f>
        <v>0</v>
      </c>
      <c r="FA6" s="1"/>
      <c r="FB6" s="1"/>
      <c r="FC6" s="1"/>
      <c r="FD6" s="1"/>
      <c r="FE6" s="1" cm="1">
        <f t="array" ref="FE6">_xlfn.SWITCH($A$2,"average", AVERAGE(Instances!FE6:Instances!FE6),"median", MEDIAN(Instances!FE6:Instances!FE6),"min", MIN(Instances!FE6:Instances!FE6),"max", MAX(Instances!FE6:Instances!FE6),"diff", MAX(Instances!FE6:Instances!FE6)-MIN(Instances!FE6:Instances!FE6))</f>
        <v>0</v>
      </c>
      <c r="FF6" s="1" cm="1">
        <f t="array" ref="FF6">_xlfn.SWITCH($A$2,"average", AVERAGE(Instances!FF6:Instances!FF6),"median", MEDIAN(Instances!FF6:Instances!FF6),"min", MIN(Instances!FF6:Instances!FF6),"max", MAX(Instances!FF6:Instances!FF6),"diff", MAX(Instances!FF6:Instances!FF6)-MIN(Instances!FF6:Instances!FF6))</f>
        <v>0</v>
      </c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 cm="1">
        <f t="array" ref="GE6">_xlfn.SWITCH($A$2,"average", AVERAGE(Instances!GE6:Instances!GE6),"median", MEDIAN(Instances!GE6:Instances!GE6),"min", MIN(Instances!GE6:Instances!GE6),"max", MAX(Instances!GE6:Instances!GE6),"diff", MAX(Instances!GE6:Instances!GE6)-MIN(Instances!GE6:Instances!GE6))</f>
        <v>0</v>
      </c>
      <c r="GF6" s="1"/>
      <c r="GG6" s="1"/>
      <c r="GH6" s="1" cm="1">
        <f t="array" ref="GH6">_xlfn.SWITCH($A$2,"average", AVERAGE(Instances!GH6:Instances!GH6),"median", MEDIAN(Instances!GH6:Instances!GH6),"min", MIN(Instances!GH6:Instances!GH6),"max", MAX(Instances!GH6:Instances!GH6),"diff", MAX(Instances!GH6:Instances!GH6)-MIN(Instances!GH6:Instances!GH6))</f>
        <v>0</v>
      </c>
      <c r="GI6" s="1"/>
      <c r="GJ6" s="1" cm="1">
        <f t="array" ref="GJ6">_xlfn.SWITCH($A$2,"average", AVERAGE(Instances!GJ6:Instances!GJ6),"median", MEDIAN(Instances!GJ6:Instances!GJ6),"min", MIN(Instances!GJ6:Instances!GJ6),"max", MAX(Instances!GJ6:Instances!GJ6),"diff", MAX(Instances!GJ6:Instances!GJ6)-MIN(Instances!GJ6:Instances!GJ6))</f>
        <v>0</v>
      </c>
      <c r="GK6" s="1"/>
      <c r="GL6" s="1"/>
      <c r="GM6" s="1"/>
      <c r="GN6" s="1"/>
      <c r="GO6" s="1" cm="1">
        <f t="array" ref="GO6">_xlfn.SWITCH($A$2,"average", AVERAGE(Instances!GO6:Instances!GO6),"median", MEDIAN(Instances!GO6:Instances!GO6),"min", MIN(Instances!GO6:Instances!GO6),"max", MAX(Instances!GO6:Instances!GO6),"diff", MAX(Instances!GO6:Instances!GO6)-MIN(Instances!GO6:Instances!GO6))</f>
        <v>0</v>
      </c>
      <c r="GP6" s="1" cm="1">
        <f t="array" ref="GP6">_xlfn.SWITCH($A$2,"average", AVERAGE(Instances!GP6:Instances!GP6),"median", MEDIAN(Instances!GP6:Instances!GP6),"min", MIN(Instances!GP6:Instances!GP6),"max", MAX(Instances!GP6:Instances!GP6),"diff", MAX(Instances!GP6:Instances!GP6)-MIN(Instances!GP6:Instances!GP6))</f>
        <v>0</v>
      </c>
      <c r="GQ6" s="1"/>
      <c r="GR6" s="1"/>
      <c r="GS6" s="1"/>
      <c r="GT6" s="1"/>
      <c r="GU6" s="1"/>
      <c r="GV6" s="1"/>
      <c r="GW6" s="1" cm="1">
        <f t="array" ref="GW6">_xlfn.SWITCH($A$2,"average", AVERAGE(Instances!GW6:Instances!GW6),"median", MEDIAN(Instances!GW6:Instances!GW6),"min", MIN(Instances!GW6:Instances!GW6),"max", MAX(Instances!GW6:Instances!GW6),"diff", MAX(Instances!GW6:Instances!GW6)-MIN(Instances!GW6:Instances!GW6))</f>
        <v>0</v>
      </c>
      <c r="GX6" s="1"/>
      <c r="GY6" s="1"/>
      <c r="GZ6" s="1" cm="1">
        <f t="array" ref="GZ6">_xlfn.SWITCH($A$2,"average", AVERAGE(Instances!GZ6:Instances!GZ6),"median", MEDIAN(Instances!GZ6:Instances!GZ6),"min", MIN(Instances!GZ6:Instances!GZ6),"max", MAX(Instances!GZ6:Instances!GZ6),"diff", MAX(Instances!GZ6:Instances!GZ6)-MIN(Instances!GZ6:Instances!GZ6))</f>
        <v>0</v>
      </c>
      <c r="HA6" s="1"/>
      <c r="HB6" s="1" cm="1">
        <f t="array" ref="HB6">_xlfn.SWITCH($A$2,"average", AVERAGE(Instances!HB6:Instances!HB6),"median", MEDIAN(Instances!HB6:Instances!HB6),"min", MIN(Instances!HB6:Instances!HB6),"max", MAX(Instances!HB6:Instances!HB6),"diff", MAX(Instances!HB6:Instances!HB6)-MIN(Instances!HB6:Instances!HB6))</f>
        <v>0</v>
      </c>
      <c r="HC6" s="1"/>
      <c r="HD6" s="1"/>
      <c r="HE6" s="1"/>
      <c r="HF6" s="1"/>
      <c r="HG6" s="1" cm="1">
        <f t="array" ref="HG6">_xlfn.SWITCH($A$2,"average", AVERAGE(Instances!HG6:Instances!HG6),"median", MEDIAN(Instances!HG6:Instances!HG6),"min", MIN(Instances!HG6:Instances!HG6),"max", MAX(Instances!HG6:Instances!HG6),"diff", MAX(Instances!HG6:Instances!HG6)-MIN(Instances!HG6:Instances!HG6))</f>
        <v>0</v>
      </c>
      <c r="HH6" s="1" cm="1">
        <f t="array" ref="HH6">_xlfn.SWITCH($A$2,"average", AVERAGE(Instances!HH6:Instances!HH6),"median", MEDIAN(Instances!HH6:Instances!HH6),"min", MIN(Instances!HH6:Instances!HH6),"max", MAX(Instances!HH6:Instances!HH6),"diff", MAX(Instances!HH6:Instances!HH6)-MIN(Instances!HH6:Instances!HH6))</f>
        <v>0</v>
      </c>
      <c r="HI6" s="1"/>
      <c r="HJ6" s="1"/>
      <c r="HK6" s="1"/>
      <c r="HL6" s="1"/>
      <c r="HM6" s="1"/>
      <c r="HN6" s="1"/>
      <c r="HO6" s="1" cm="1">
        <f t="array" ref="HO6">_xlfn.SWITCH($A$2,"average", AVERAGE(Instances!HO6:Instances!HO6),"median", MEDIAN(Instances!HO6:Instances!HO6),"min", MIN(Instances!HO6:Instances!HO6),"max", MAX(Instances!HO6:Instances!HO6),"diff", MAX(Instances!HO6:Instances!HO6)-MIN(Instances!HO6:Instances!HO6))</f>
        <v>0</v>
      </c>
      <c r="HP6" s="1"/>
      <c r="HQ6" s="1"/>
      <c r="HR6" s="1" cm="1">
        <f t="array" ref="HR6">_xlfn.SWITCH($A$2,"average", AVERAGE(Instances!HR6:Instances!HR6),"median", MEDIAN(Instances!HR6:Instances!HR6),"min", MIN(Instances!HR6:Instances!HR6),"max", MAX(Instances!HR6:Instances!HR6),"diff", MAX(Instances!HR6:Instances!HR6)-MIN(Instances!HR6:Instances!HR6))</f>
        <v>0</v>
      </c>
      <c r="HS6" s="1"/>
      <c r="HT6" s="1" cm="1">
        <f t="array" ref="HT6">_xlfn.SWITCH($A$2,"average", AVERAGE(Instances!HT6:Instances!HT6),"median", MEDIAN(Instances!HT6:Instances!HT6),"min", MIN(Instances!HT6:Instances!HT6),"max", MAX(Instances!HT6:Instances!HT6),"diff", MAX(Instances!HT6:Instances!HT6)-MIN(Instances!HT6:Instances!HT6))</f>
        <v>0</v>
      </c>
      <c r="HU6" s="1"/>
      <c r="HV6" s="1"/>
      <c r="HW6" s="1"/>
      <c r="HX6" s="1"/>
      <c r="HY6" s="1" cm="1">
        <f t="array" ref="HY6">_xlfn.SWITCH($A$2,"average", AVERAGE(Instances!HY6:Instances!HY6),"median", MEDIAN(Instances!HY6:Instances!HY6),"min", MIN(Instances!HY6:Instances!HY6),"max", MAX(Instances!HY6:Instances!HY6),"diff", MAX(Instances!HY6:Instances!HY6)-MIN(Instances!HY6:Instances!HY6))</f>
        <v>0</v>
      </c>
      <c r="HZ6" s="1" cm="1">
        <f t="array" ref="HZ6">_xlfn.SWITCH($A$2,"average", AVERAGE(Instances!HZ6:Instances!HZ6),"median", MEDIAN(Instances!HZ6:Instances!HZ6),"min", MIN(Instances!HZ6:Instances!HZ6),"max", MAX(Instances!HZ6:Instances!HZ6),"diff", MAX(Instances!HZ6:Instances!HZ6)-MIN(Instances!HZ6:Instances!HZ6))</f>
        <v>0</v>
      </c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 cm="1">
        <f t="array" ref="JQ6">_xlfn.SWITCH($A$2,"average", AVERAGE(Instances!JQ6:Instances!JQ6),"median", MEDIAN(Instances!JQ6:Instances!JQ6),"min", MIN(Instances!JQ6:Instances!JQ6),"max", MAX(Instances!JQ6:Instances!JQ6),"diff", MAX(Instances!JQ6:Instances!JQ6)-MIN(Instances!JQ6:Instances!JQ6))</f>
        <v>0</v>
      </c>
      <c r="JR6" s="1"/>
      <c r="JS6" s="1"/>
      <c r="JT6" s="1" cm="1">
        <f t="array" ref="JT6">_xlfn.SWITCH($A$2,"average", AVERAGE(Instances!JT6:Instances!JT6),"median", MEDIAN(Instances!JT6:Instances!JT6),"min", MIN(Instances!JT6:Instances!JT6),"max", MAX(Instances!JT6:Instances!JT6),"diff", MAX(Instances!JT6:Instances!JT6)-MIN(Instances!JT6:Instances!JT6))</f>
        <v>0</v>
      </c>
      <c r="JU6" s="1"/>
      <c r="JV6" s="1" cm="1">
        <f t="array" ref="JV6">_xlfn.SWITCH($A$2,"average", AVERAGE(Instances!JV6:Instances!JV6),"median", MEDIAN(Instances!JV6:Instances!JV6),"min", MIN(Instances!JV6:Instances!JV6),"max", MAX(Instances!JV6:Instances!JV6),"diff", MAX(Instances!JV6:Instances!JV6)-MIN(Instances!JV6:Instances!JV6))</f>
        <v>0</v>
      </c>
      <c r="JW6" s="1"/>
      <c r="JX6" s="1"/>
      <c r="JY6" s="1"/>
      <c r="JZ6" s="1"/>
      <c r="KA6" s="1" cm="1">
        <f t="array" ref="KA6">_xlfn.SWITCH($A$2,"average", AVERAGE(Instances!KA6:Instances!KA6),"median", MEDIAN(Instances!KA6:Instances!KA6),"min", MIN(Instances!KA6:Instances!KA6),"max", MAX(Instances!KA6:Instances!KA6),"diff", MAX(Instances!KA6:Instances!KA6)-MIN(Instances!KA6:Instances!KA6))</f>
        <v>0</v>
      </c>
      <c r="KB6" s="1" cm="1">
        <f t="array" ref="KB6">_xlfn.SWITCH($A$2,"average", AVERAGE(Instances!KB6:Instances!KB6),"median", MEDIAN(Instances!KB6:Instances!KB6),"min", MIN(Instances!KB6:Instances!KB6),"max", MAX(Instances!KB6:Instances!KB6),"diff", MAX(Instances!KB6:Instances!KB6)-MIN(Instances!KB6:Instances!KB6))</f>
        <v>0</v>
      </c>
      <c r="KC6" s="1"/>
      <c r="KD6" s="1"/>
      <c r="KE6" s="1"/>
      <c r="KF6" s="1"/>
      <c r="KG6" s="1"/>
      <c r="KH6" s="1"/>
      <c r="KI6" s="1">
        <f>MIN($G6,$Y6,$AQ6,$BI6,$CA6,$CS6,$DK6,$EC6,$EU6,$FM6,$GE6,$GW6,$HO6,$IG6,$IY6,$JQ6)</f>
        <v>0</v>
      </c>
      <c r="KJ6" s="1"/>
      <c r="KK6" s="1"/>
      <c r="KL6" s="1">
        <f>MIN($J6,$AB6,$AT6,$BL6,$CD6,$CV6,$DN6,$EF6,$EX6,$FP6,$GH6,$GZ6,$HR6,$IJ6,$JB6,$JT6)</f>
        <v>0</v>
      </c>
      <c r="KM6" s="1"/>
      <c r="KN6" s="1">
        <f>MIN($L6,$AD6,$AV6,$BN6,$CF6,$CX6,$DP6,$EH6,$EZ6,$FR6,$GJ6,$HB6,$HT6,$IL6,$JD6,$JV6)</f>
        <v>0</v>
      </c>
      <c r="KO6" s="1"/>
      <c r="KP6" s="1"/>
      <c r="KQ6" s="1"/>
      <c r="KR6" s="1">
        <f>MIN($Q6,$AI6,$BA6,$BS6,$CK6,$DC6,$DU6,$EM6,$FE6,$FW6,$GO6,$HG6,$HY6,$IQ6,$JI6,$KA6)</f>
        <v>0</v>
      </c>
      <c r="KS6" s="1">
        <f>MIN($R6,$AJ6,$BB6,$BT6,$CL6,$DD6,$DV6,$EN6,$FF6,$FX6,$GP6,$HH6,$HZ6,$IR6,$JJ6,$KB6)</f>
        <v>0</v>
      </c>
      <c r="KT6" s="1"/>
      <c r="KU6" s="1"/>
      <c r="KV6" s="1"/>
      <c r="KW6" s="1"/>
      <c r="KX6" s="1"/>
      <c r="KY6" s="1"/>
      <c r="KZ6" s="1">
        <f>MEDIAN($G6,$Y6,$AQ6,$BI6,$CA6,$CS6,$DK6,$EC6,$EU6,$FM6,$GE6,$GW6,$HO6,$IG6,$IY6,$JQ6)</f>
        <v>0</v>
      </c>
      <c r="LA6" s="1"/>
      <c r="LB6" s="1"/>
      <c r="LC6" s="1">
        <f>MEDIAN($J6,$AB6,$AT6,$BL6,$CD6,$CV6,$DN6,$EF6,$EX6,$FP6,$GH6,$GZ6,$HR6,$IJ6,$JB6,$JT6)</f>
        <v>0</v>
      </c>
      <c r="LD6" s="1"/>
      <c r="LE6" s="1">
        <f>MEDIAN($L6,$AD6,$AV6,$BN6,$CF6,$CX6,$DP6,$EH6,$EZ6,$FR6,$GJ6,$HB6,$HT6,$IL6,$JD6,$JV6)</f>
        <v>0</v>
      </c>
      <c r="LF6" s="1"/>
      <c r="LG6" s="1"/>
      <c r="LH6" s="1"/>
      <c r="LI6" s="1">
        <f>MEDIAN($Q6,$AI6,$BA6,$BS6,$CK6,$DC6,$DU6,$EM6,$FE6,$FW6,$GO6,$HG6,$HY6,$IQ6,$JI6,$KA6)</f>
        <v>0</v>
      </c>
      <c r="LJ6" s="1">
        <f>MEDIAN($R6,$AJ6,$BB6,$BT6,$CL6,$DD6,$DV6,$EN6,$FF6,$FX6,$GP6,$HH6,$HZ6,$IR6,$JJ6,$KB6)</f>
        <v>0</v>
      </c>
      <c r="LK6" s="1"/>
      <c r="LL6" s="1"/>
      <c r="LM6" s="1"/>
      <c r="LN6" s="1"/>
      <c r="LO6" s="1"/>
      <c r="LP6" s="1"/>
      <c r="LQ6" s="1">
        <f>MAX($G6,$Y6,$AQ6,$BI6,$CA6,$CS6,$DK6,$EC6,$EU6,$FM6,$GE6,$GW6,$HO6,$IG6,$IY6,$JQ6)</f>
        <v>0</v>
      </c>
      <c r="LR6" s="1"/>
      <c r="LS6" s="1"/>
      <c r="LT6" s="1">
        <f>MAX($J6,$AB6,$AT6,$BL6,$CD6,$CV6,$DN6,$EF6,$EX6,$FP6,$GH6,$GZ6,$HR6,$IJ6,$JB6,$JT6)</f>
        <v>0</v>
      </c>
      <c r="LU6" s="1"/>
      <c r="LV6" s="1">
        <f>MAX($L6,$AD6,$AV6,$BN6,$CF6,$CX6,$DP6,$EH6,$EZ6,$FR6,$GJ6,$HB6,$HT6,$IL6,$JD6,$JV6)</f>
        <v>0</v>
      </c>
      <c r="LW6" s="1"/>
      <c r="LX6" s="1"/>
      <c r="LY6" s="1"/>
      <c r="LZ6" s="1">
        <f>MAX($Q6,$AI6,$BA6,$BS6,$CK6,$DC6,$DU6,$EM6,$FE6,$FW6,$GO6,$HG6,$HY6,$IQ6,$JI6,$KA6)</f>
        <v>0</v>
      </c>
      <c r="MA6" s="1">
        <f>MAX($R6,$AJ6,$BB6,$BT6,$CL6,$DD6,$DV6,$EN6,$FF6,$FX6,$GP6,$HH6,$HZ6,$IR6,$JJ6,$KB6)</f>
        <v>0</v>
      </c>
      <c r="MB6" s="1"/>
    </row>
    <row r="7" spans="1:340">
      <c r="A7" s="1" t="s">
        <v>4</v>
      </c>
      <c r="B7" s="1"/>
      <c r="C7" s="1"/>
      <c r="D7" s="1"/>
      <c r="E7" s="1"/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/>
      <c r="I7" s="1"/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/>
      <c r="N7" s="1"/>
      <c r="O7" s="1"/>
      <c r="P7" s="1"/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/>
      <c r="AS7" s="1"/>
      <c r="AT7" s="1" cm="1">
        <f t="array" ref="AT7">_xlfn.SWITCH($A$2,"average", AVERAGE(Instances!AT7:Instances!AT7),"median", MEDIAN(Instances!AT7:Instances!AT7),"min", MIN(Instances!AT7:Instances!AT7),"max", MAX(Instances!AT7:Instances!AT7),"diff", MAX(Instances!AT7:Instances!AT7)-MIN(Instances!AT7:Instances!AT7))</f>
        <v>0</v>
      </c>
      <c r="AU7" s="1"/>
      <c r="AV7" s="1" cm="1">
        <f t="array" ref="AV7">_xlfn.SWITCH($A$2,"average", AVERAGE(Instances!AV7:Instances!AV7),"median", MEDIAN(Instances!AV7:Instances!AV7),"min", MIN(Instances!AV7:Instances!AV7),"max", MAX(Instances!AV7:Instances!AV7),"diff", MAX(Instances!AV7:Instances!AV7)-MIN(Instances!AV7:Instances!AV7))</f>
        <v>0</v>
      </c>
      <c r="AW7" s="1"/>
      <c r="AX7" s="1"/>
      <c r="AY7" s="1"/>
      <c r="AZ7" s="1"/>
      <c r="BA7" s="1" cm="1">
        <f t="array" ref="BA7">_xlfn.SWITCH($A$2,"average", AVERAGE(Instances!BA7:Instances!BA7),"median", MEDIAN(Instances!BA7:Instances!BA7),"min", MIN(Instances!BA7:Instances!BA7),"max", MAX(Instances!BA7:Instances!BA7),"diff", MAX(Instances!BA7:Instances!BA7)-MIN(Instances!BA7:Instances!BA7))</f>
        <v>0</v>
      </c>
      <c r="BB7" s="1" cm="1">
        <f t="array" ref="BB7">_xlfn.SWITCH($A$2,"average", AVERAGE(Instances!BB7:Instances!BB7),"median", MEDIAN(Instances!BB7:Instances!BB7),"min", MIN(Instances!BB7:Instances!BB7),"max", MAX(Instances!BB7:Instances!BB7),"diff", MAX(Instances!BB7:Instances!BB7)-MIN(Instances!BB7:Instances!BB7))</f>
        <v>0</v>
      </c>
      <c r="BC7" s="1"/>
      <c r="BD7" s="1"/>
      <c r="BE7" s="1"/>
      <c r="BF7" s="1"/>
      <c r="BG7" s="1"/>
      <c r="BH7" s="1"/>
      <c r="BI7" s="1" cm="1">
        <f t="array" ref="BI7">_xlfn.SWITCH($A$2,"average", AVERAGE(Instances!BI7:Instances!BI7),"median", MEDIAN(Instances!BI7:Instances!BI7),"min", MIN(Instances!BI7:Instances!BI7),"max", MAX(Instances!BI7:Instances!BI7),"diff", MAX(Instances!BI7:Instances!BI7)-MIN(Instances!BI7:Instances!BI7))</f>
        <v>0</v>
      </c>
      <c r="BJ7" s="1"/>
      <c r="BK7" s="1"/>
      <c r="BL7" s="1" cm="1">
        <f t="array" ref="BL7">_xlfn.SWITCH($A$2,"average", AVERAGE(Instances!BL7:Instances!BL7),"median", MEDIAN(Instances!BL7:Instances!BL7),"min", MIN(Instances!BL7:Instances!BL7),"max", MAX(Instances!BL7:Instances!BL7),"diff", MAX(Instances!BL7:Instances!BL7)-MIN(Instances!BL7:Instances!BL7))</f>
        <v>0</v>
      </c>
      <c r="BM7" s="1"/>
      <c r="BN7" s="1" cm="1">
        <f t="array" ref="BN7">_xlfn.SWITCH($A$2,"average", AVERAGE(Instances!BN7:Instances!BN7),"median", MEDIAN(Instances!BN7:Instances!BN7),"min", MIN(Instances!BN7:Instances!BN7),"max", MAX(Instances!BN7:Instances!BN7),"diff", MAX(Instances!BN7:Instances!BN7)-MIN(Instances!BN7:Instances!BN7))</f>
        <v>0</v>
      </c>
      <c r="BO7" s="1"/>
      <c r="BP7" s="1"/>
      <c r="BQ7" s="1"/>
      <c r="BR7" s="1"/>
      <c r="BS7" s="1" cm="1">
        <f t="array" ref="BS7">_xlfn.SWITCH($A$2,"average", AVERAGE(Instances!BS7:Instances!BS7),"median", MEDIAN(Instances!BS7:Instances!BS7),"min", MIN(Instances!BS7:Instances!BS7),"max", MAX(Instances!BS7:Instances!BS7),"diff", MAX(Instances!BS7:Instances!BS7)-MIN(Instances!BS7:Instances!BS7))</f>
        <v>0</v>
      </c>
      <c r="BT7" s="1" cm="1">
        <f t="array" ref="BT7">_xlfn.SWITCH($A$2,"average", AVERAGE(Instances!BT7:Instances!BT7),"median", MEDIAN(Instances!BT7:Instances!BT7),"min", MIN(Instances!BT7:Instances!BT7),"max", MAX(Instances!BT7:Instances!BT7),"diff", MAX(Instances!BT7:Instances!BT7)-MIN(Instances!BT7:Instances!BT7))</f>
        <v>0</v>
      </c>
      <c r="BU7" s="1"/>
      <c r="BV7" s="1"/>
      <c r="BW7" s="1"/>
      <c r="BX7" s="1"/>
      <c r="BY7" s="1"/>
      <c r="BZ7" s="1"/>
      <c r="CA7" s="1" cm="1">
        <f t="array" ref="CA7">_xlfn.SWITCH($A$2,"average", AVERAGE(Instances!CA7:Instances!CA7),"median", MEDIAN(Instances!CA7:Instances!CA7),"min", MIN(Instances!CA7:Instances!CA7),"max", MAX(Instances!CA7:Instances!CA7),"diff", MAX(Instances!CA7:Instances!CA7)-MIN(Instances!CA7:Instances!CA7))</f>
        <v>0</v>
      </c>
      <c r="CB7" s="1"/>
      <c r="CC7" s="1"/>
      <c r="CD7" s="1" cm="1">
        <f t="array" ref="CD7">_xlfn.SWITCH($A$2,"average", AVERAGE(Instances!CD7:Instances!CD7),"median", MEDIAN(Instances!CD7:Instances!CD7),"min", MIN(Instances!CD7:Instances!CD7),"max", MAX(Instances!CD7:Instances!CD7),"diff", MAX(Instances!CD7:Instances!CD7)-MIN(Instances!CD7:Instances!CD7))</f>
        <v>0</v>
      </c>
      <c r="CE7" s="1"/>
      <c r="CF7" s="1" cm="1">
        <f t="array" ref="CF7">_xlfn.SWITCH($A$2,"average", AVERAGE(Instances!CF7:Instances!CF7),"median", MEDIAN(Instances!CF7:Instances!CF7),"min", MIN(Instances!CF7:Instances!CF7),"max", MAX(Instances!CF7:Instances!CF7),"diff", MAX(Instances!CF7:Instances!CF7)-MIN(Instances!CF7:Instances!CF7))</f>
        <v>0</v>
      </c>
      <c r="CG7" s="1"/>
      <c r="CH7" s="1"/>
      <c r="CI7" s="1"/>
      <c r="CJ7" s="1"/>
      <c r="CK7" s="1" cm="1">
        <f t="array" ref="CK7">_xlfn.SWITCH($A$2,"average", AVERAGE(Instances!CK7:Instances!CK7),"median", MEDIAN(Instances!CK7:Instances!CK7),"min", MIN(Instances!CK7:Instances!CK7),"max", MAX(Instances!CK7:Instances!CK7),"diff", MAX(Instances!CK7:Instances!CK7)-MIN(Instances!CK7:Instances!CK7))</f>
        <v>0</v>
      </c>
      <c r="CL7" s="1" cm="1">
        <f t="array" ref="CL7">_xlfn.SWITCH($A$2,"average", AVERAGE(Instances!CL7:Instances!CL7),"median", MEDIAN(Instances!CL7:Instances!CL7),"min", MIN(Instances!CL7:Instances!CL7),"max", MAX(Instances!CL7:Instances!CL7),"diff", MAX(Instances!CL7:Instances!CL7)-MIN(Instances!CL7:Instances!CL7))</f>
        <v>0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 cm="1">
        <f t="array" ref="EC7">_xlfn.SWITCH($A$2,"average", AVERAGE(Instances!EC7:Instances!EC7),"median", MEDIAN(Instances!EC7:Instances!EC7),"min", MIN(Instances!EC7:Instances!EC7),"max", MAX(Instances!EC7:Instances!EC7),"diff", MAX(Instances!EC7:Instances!EC7)-MIN(Instances!EC7:Instances!EC7))</f>
        <v>0</v>
      </c>
      <c r="ED7" s="1"/>
      <c r="EE7" s="1"/>
      <c r="EF7" s="1" cm="1">
        <f t="array" ref="EF7">_xlfn.SWITCH($A$2,"average", AVERAGE(Instances!EF7:Instances!EF7),"median", MEDIAN(Instances!EF7:Instances!EF7),"min", MIN(Instances!EF7:Instances!EF7),"max", MAX(Instances!EF7:Instances!EF7),"diff", MAX(Instances!EF7:Instances!EF7)-MIN(Instances!EF7:Instances!EF7))</f>
        <v>0</v>
      </c>
      <c r="EG7" s="1"/>
      <c r="EH7" s="1" cm="1">
        <f t="array" ref="EH7">_xlfn.SWITCH($A$2,"average", AVERAGE(Instances!EH7:Instances!EH7),"median", MEDIAN(Instances!EH7:Instances!EH7),"min", MIN(Instances!EH7:Instances!EH7),"max", MAX(Instances!EH7:Instances!EH7),"diff", MAX(Instances!EH7:Instances!EH7)-MIN(Instances!EH7:Instances!EH7))</f>
        <v>0</v>
      </c>
      <c r="EI7" s="1"/>
      <c r="EJ7" s="1"/>
      <c r="EK7" s="1"/>
      <c r="EL7" s="1"/>
      <c r="EM7" s="1" cm="1">
        <f t="array" ref="EM7">_xlfn.SWITCH($A$2,"average", AVERAGE(Instances!EM7:Instances!EM7),"median", MEDIAN(Instances!EM7:Instances!EM7),"min", MIN(Instances!EM7:Instances!EM7),"max", MAX(Instances!EM7:Instances!EM7),"diff", MAX(Instances!EM7:Instances!EM7)-MIN(Instances!EM7:Instances!EM7))</f>
        <v>0</v>
      </c>
      <c r="EN7" s="1" cm="1">
        <f t="array" ref="EN7">_xlfn.SWITCH($A$2,"average", AVERAGE(Instances!EN7:Instances!EN7),"median", MEDIAN(Instances!EN7:Instances!EN7),"min", MIN(Instances!EN7:Instances!EN7),"max", MAX(Instances!EN7:Instances!EN7),"diff", MAX(Instances!EN7:Instances!EN7)-MIN(Instances!EN7:Instances!EN7))</f>
        <v>0</v>
      </c>
      <c r="EO7" s="1"/>
      <c r="EP7" s="1"/>
      <c r="EQ7" s="1"/>
      <c r="ER7" s="1"/>
      <c r="ES7" s="1"/>
      <c r="ET7" s="1"/>
      <c r="EU7" s="1" cm="1">
        <f t="array" ref="EU7">_xlfn.SWITCH($A$2,"average", AVERAGE(Instances!EU7:Instances!EU7),"median", MEDIAN(Instances!EU7:Instances!EU7),"min", MIN(Instances!EU7:Instances!EU7),"max", MAX(Instances!EU7:Instances!EU7),"diff", MAX(Instances!EU7:Instances!EU7)-MIN(Instances!EU7:Instances!EU7))</f>
        <v>0</v>
      </c>
      <c r="EV7" s="1"/>
      <c r="EW7" s="1"/>
      <c r="EX7" s="1" cm="1">
        <f t="array" ref="EX7">_xlfn.SWITCH($A$2,"average", AVERAGE(Instances!EX7:Instances!EX7),"median", MEDIAN(Instances!EX7:Instances!EX7),"min", MIN(Instances!EX7:Instances!EX7),"max", MAX(Instances!EX7:Instances!EX7),"diff", MAX(Instances!EX7:Instances!EX7)-MIN(Instances!EX7:Instances!EX7))</f>
        <v>0</v>
      </c>
      <c r="EY7" s="1"/>
      <c r="EZ7" s="1" cm="1">
        <f t="array" ref="EZ7">_xlfn.SWITCH($A$2,"average", AVERAGE(Instances!EZ7:Instances!EZ7),"median", MEDIAN(Instances!EZ7:Instances!EZ7),"min", MIN(Instances!EZ7:Instances!EZ7),"max", MAX(Instances!EZ7:Instances!EZ7),"diff", MAX(Instances!EZ7:Instances!EZ7)-MIN(Instances!EZ7:Instances!EZ7))</f>
        <v>0</v>
      </c>
      <c r="FA7" s="1"/>
      <c r="FB7" s="1"/>
      <c r="FC7" s="1"/>
      <c r="FD7" s="1"/>
      <c r="FE7" s="1" cm="1">
        <f t="array" ref="FE7">_xlfn.SWITCH($A$2,"average", AVERAGE(Instances!FE7:Instances!FE7),"median", MEDIAN(Instances!FE7:Instances!FE7),"min", MIN(Instances!FE7:Instances!FE7),"max", MAX(Instances!FE7:Instances!FE7),"diff", MAX(Instances!FE7:Instances!FE7)-MIN(Instances!FE7:Instances!FE7))</f>
        <v>0</v>
      </c>
      <c r="FF7" s="1" cm="1">
        <f t="array" ref="FF7">_xlfn.SWITCH($A$2,"average", AVERAGE(Instances!FF7:Instances!FF7),"median", MEDIAN(Instances!FF7:Instances!FF7),"min", MIN(Instances!FF7:Instances!FF7),"max", MAX(Instances!FF7:Instances!FF7),"diff", MAX(Instances!FF7:Instances!FF7)-MIN(Instances!FF7:Instances!FF7))</f>
        <v>0</v>
      </c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 cm="1">
        <f t="array" ref="GE7">_xlfn.SWITCH($A$2,"average", AVERAGE(Instances!GE7:Instances!GE7),"median", MEDIAN(Instances!GE7:Instances!GE7),"min", MIN(Instances!GE7:Instances!GE7),"max", MAX(Instances!GE7:Instances!GE7),"diff", MAX(Instances!GE7:Instances!GE7)-MIN(Instances!GE7:Instances!GE7))</f>
        <v>0</v>
      </c>
      <c r="GF7" s="1"/>
      <c r="GG7" s="1"/>
      <c r="GH7" s="1" cm="1">
        <f t="array" ref="GH7">_xlfn.SWITCH($A$2,"average", AVERAGE(Instances!GH7:Instances!GH7),"median", MEDIAN(Instances!GH7:Instances!GH7),"min", MIN(Instances!GH7:Instances!GH7),"max", MAX(Instances!GH7:Instances!GH7),"diff", MAX(Instances!GH7:Instances!GH7)-MIN(Instances!GH7:Instances!GH7))</f>
        <v>0</v>
      </c>
      <c r="GI7" s="1"/>
      <c r="GJ7" s="1" cm="1">
        <f t="array" ref="GJ7">_xlfn.SWITCH($A$2,"average", AVERAGE(Instances!GJ7:Instances!GJ7),"median", MEDIAN(Instances!GJ7:Instances!GJ7),"min", MIN(Instances!GJ7:Instances!GJ7),"max", MAX(Instances!GJ7:Instances!GJ7),"diff", MAX(Instances!GJ7:Instances!GJ7)-MIN(Instances!GJ7:Instances!GJ7))</f>
        <v>0</v>
      </c>
      <c r="GK7" s="1"/>
      <c r="GL7" s="1"/>
      <c r="GM7" s="1"/>
      <c r="GN7" s="1"/>
      <c r="GO7" s="1" cm="1">
        <f t="array" ref="GO7">_xlfn.SWITCH($A$2,"average", AVERAGE(Instances!GO7:Instances!GO7),"median", MEDIAN(Instances!GO7:Instances!GO7),"min", MIN(Instances!GO7:Instances!GO7),"max", MAX(Instances!GO7:Instances!GO7),"diff", MAX(Instances!GO7:Instances!GO7)-MIN(Instances!GO7:Instances!GO7))</f>
        <v>0</v>
      </c>
      <c r="GP7" s="1" cm="1">
        <f t="array" ref="GP7">_xlfn.SWITCH($A$2,"average", AVERAGE(Instances!GP7:Instances!GP7),"median", MEDIAN(Instances!GP7:Instances!GP7),"min", MIN(Instances!GP7:Instances!GP7),"max", MAX(Instances!GP7:Instances!GP7),"diff", MAX(Instances!GP7:Instances!GP7)-MIN(Instances!GP7:Instances!GP7))</f>
        <v>0</v>
      </c>
      <c r="GQ7" s="1"/>
      <c r="GR7" s="1"/>
      <c r="GS7" s="1"/>
      <c r="GT7" s="1"/>
      <c r="GU7" s="1"/>
      <c r="GV7" s="1"/>
      <c r="GW7" s="1" cm="1">
        <f t="array" ref="GW7">_xlfn.SWITCH($A$2,"average", AVERAGE(Instances!GW7:Instances!GW7),"median", MEDIAN(Instances!GW7:Instances!GW7),"min", MIN(Instances!GW7:Instances!GW7),"max", MAX(Instances!GW7:Instances!GW7),"diff", MAX(Instances!GW7:Instances!GW7)-MIN(Instances!GW7:Instances!GW7))</f>
        <v>0</v>
      </c>
      <c r="GX7" s="1"/>
      <c r="GY7" s="1"/>
      <c r="GZ7" s="1" cm="1">
        <f t="array" ref="GZ7">_xlfn.SWITCH($A$2,"average", AVERAGE(Instances!GZ7:Instances!GZ7),"median", MEDIAN(Instances!GZ7:Instances!GZ7),"min", MIN(Instances!GZ7:Instances!GZ7),"max", MAX(Instances!GZ7:Instances!GZ7),"diff", MAX(Instances!GZ7:Instances!GZ7)-MIN(Instances!GZ7:Instances!GZ7))</f>
        <v>0</v>
      </c>
      <c r="HA7" s="1"/>
      <c r="HB7" s="1" cm="1">
        <f t="array" ref="HB7">_xlfn.SWITCH($A$2,"average", AVERAGE(Instances!HB7:Instances!HB7),"median", MEDIAN(Instances!HB7:Instances!HB7),"min", MIN(Instances!HB7:Instances!HB7),"max", MAX(Instances!HB7:Instances!HB7),"diff", MAX(Instances!HB7:Instances!HB7)-MIN(Instances!HB7:Instances!HB7))</f>
        <v>0</v>
      </c>
      <c r="HC7" s="1"/>
      <c r="HD7" s="1"/>
      <c r="HE7" s="1"/>
      <c r="HF7" s="1"/>
      <c r="HG7" s="1" cm="1">
        <f t="array" ref="HG7">_xlfn.SWITCH($A$2,"average", AVERAGE(Instances!HG7:Instances!HG7),"median", MEDIAN(Instances!HG7:Instances!HG7),"min", MIN(Instances!HG7:Instances!HG7),"max", MAX(Instances!HG7:Instances!HG7),"diff", MAX(Instances!HG7:Instances!HG7)-MIN(Instances!HG7:Instances!HG7))</f>
        <v>0</v>
      </c>
      <c r="HH7" s="1" cm="1">
        <f t="array" ref="HH7">_xlfn.SWITCH($A$2,"average", AVERAGE(Instances!HH7:Instances!HH7),"median", MEDIAN(Instances!HH7:Instances!HH7),"min", MIN(Instances!HH7:Instances!HH7),"max", MAX(Instances!HH7:Instances!HH7),"diff", MAX(Instances!HH7:Instances!HH7)-MIN(Instances!HH7:Instances!HH7))</f>
        <v>0</v>
      </c>
      <c r="HI7" s="1"/>
      <c r="HJ7" s="1"/>
      <c r="HK7" s="1"/>
      <c r="HL7" s="1"/>
      <c r="HM7" s="1"/>
      <c r="HN7" s="1"/>
      <c r="HO7" s="1" cm="1">
        <f t="array" ref="HO7">_xlfn.SWITCH($A$2,"average", AVERAGE(Instances!HO7:Instances!HO7),"median", MEDIAN(Instances!HO7:Instances!HO7),"min", MIN(Instances!HO7:Instances!HO7),"max", MAX(Instances!HO7:Instances!HO7),"diff", MAX(Instances!HO7:Instances!HO7)-MIN(Instances!HO7:Instances!HO7))</f>
        <v>0</v>
      </c>
      <c r="HP7" s="1"/>
      <c r="HQ7" s="1"/>
      <c r="HR7" s="1" cm="1">
        <f t="array" ref="HR7">_xlfn.SWITCH($A$2,"average", AVERAGE(Instances!HR7:Instances!HR7),"median", MEDIAN(Instances!HR7:Instances!HR7),"min", MIN(Instances!HR7:Instances!HR7),"max", MAX(Instances!HR7:Instances!HR7),"diff", MAX(Instances!HR7:Instances!HR7)-MIN(Instances!HR7:Instances!HR7))</f>
        <v>0</v>
      </c>
      <c r="HS7" s="1"/>
      <c r="HT7" s="1" cm="1">
        <f t="array" ref="HT7">_xlfn.SWITCH($A$2,"average", AVERAGE(Instances!HT7:Instances!HT7),"median", MEDIAN(Instances!HT7:Instances!HT7),"min", MIN(Instances!HT7:Instances!HT7),"max", MAX(Instances!HT7:Instances!HT7),"diff", MAX(Instances!HT7:Instances!HT7)-MIN(Instances!HT7:Instances!HT7))</f>
        <v>0</v>
      </c>
      <c r="HU7" s="1"/>
      <c r="HV7" s="1"/>
      <c r="HW7" s="1"/>
      <c r="HX7" s="1"/>
      <c r="HY7" s="1" cm="1">
        <f t="array" ref="HY7">_xlfn.SWITCH($A$2,"average", AVERAGE(Instances!HY7:Instances!HY7),"median", MEDIAN(Instances!HY7:Instances!HY7),"min", MIN(Instances!HY7:Instances!HY7),"max", MAX(Instances!HY7:Instances!HY7),"diff", MAX(Instances!HY7:Instances!HY7)-MIN(Instances!HY7:Instances!HY7))</f>
        <v>0</v>
      </c>
      <c r="HZ7" s="1" cm="1">
        <f t="array" ref="HZ7">_xlfn.SWITCH($A$2,"average", AVERAGE(Instances!HZ7:Instances!HZ7),"median", MEDIAN(Instances!HZ7:Instances!HZ7),"min", MIN(Instances!HZ7:Instances!HZ7),"max", MAX(Instances!HZ7:Instances!HZ7),"diff", MAX(Instances!HZ7:Instances!HZ7)-MIN(Instances!HZ7:Instances!HZ7))</f>
        <v>0</v>
      </c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 cm="1">
        <f t="array" ref="JQ7">_xlfn.SWITCH($A$2,"average", AVERAGE(Instances!JQ7:Instances!JQ7),"median", MEDIAN(Instances!JQ7:Instances!JQ7),"min", MIN(Instances!JQ7:Instances!JQ7),"max", MAX(Instances!JQ7:Instances!JQ7),"diff", MAX(Instances!JQ7:Instances!JQ7)-MIN(Instances!JQ7:Instances!JQ7))</f>
        <v>0</v>
      </c>
      <c r="JR7" s="1"/>
      <c r="JS7" s="1"/>
      <c r="JT7" s="1" cm="1">
        <f t="array" ref="JT7">_xlfn.SWITCH($A$2,"average", AVERAGE(Instances!JT7:Instances!JT7),"median", MEDIAN(Instances!JT7:Instances!JT7),"min", MIN(Instances!JT7:Instances!JT7),"max", MAX(Instances!JT7:Instances!JT7),"diff", MAX(Instances!JT7:Instances!JT7)-MIN(Instances!JT7:Instances!JT7))</f>
        <v>0</v>
      </c>
      <c r="JU7" s="1"/>
      <c r="JV7" s="1" cm="1">
        <f t="array" ref="JV7">_xlfn.SWITCH($A$2,"average", AVERAGE(Instances!JV7:Instances!JV7),"median", MEDIAN(Instances!JV7:Instances!JV7),"min", MIN(Instances!JV7:Instances!JV7),"max", MAX(Instances!JV7:Instances!JV7),"diff", MAX(Instances!JV7:Instances!JV7)-MIN(Instances!JV7:Instances!JV7))</f>
        <v>0</v>
      </c>
      <c r="JW7" s="1"/>
      <c r="JX7" s="1"/>
      <c r="JY7" s="1"/>
      <c r="JZ7" s="1"/>
      <c r="KA7" s="1" cm="1">
        <f t="array" ref="KA7">_xlfn.SWITCH($A$2,"average", AVERAGE(Instances!KA7:Instances!KA7),"median", MEDIAN(Instances!KA7:Instances!KA7),"min", MIN(Instances!KA7:Instances!KA7),"max", MAX(Instances!KA7:Instances!KA7),"diff", MAX(Instances!KA7:Instances!KA7)-MIN(Instances!KA7:Instances!KA7))</f>
        <v>0</v>
      </c>
      <c r="KB7" s="1" cm="1">
        <f t="array" ref="KB7">_xlfn.SWITCH($A$2,"average", AVERAGE(Instances!KB7:Instances!KB7),"median", MEDIAN(Instances!KB7:Instances!KB7),"min", MIN(Instances!KB7:Instances!KB7),"max", MAX(Instances!KB7:Instances!KB7),"diff", MAX(Instances!KB7:Instances!KB7)-MIN(Instances!KB7:Instances!KB7))</f>
        <v>0</v>
      </c>
      <c r="KC7" s="1"/>
      <c r="KD7" s="1"/>
      <c r="KE7" s="1"/>
      <c r="KF7" s="1"/>
      <c r="KG7" s="1"/>
      <c r="KH7" s="1"/>
      <c r="KI7" s="1">
        <f>MIN($G7,$Y7,$AQ7,$BI7,$CA7,$CS7,$DK7,$EC7,$EU7,$FM7,$GE7,$GW7,$HO7,$IG7,$IY7,$JQ7)</f>
        <v>0</v>
      </c>
      <c r="KJ7" s="1"/>
      <c r="KK7" s="1"/>
      <c r="KL7" s="1">
        <f>MIN($J7,$AB7,$AT7,$BL7,$CD7,$CV7,$DN7,$EF7,$EX7,$FP7,$GH7,$GZ7,$HR7,$IJ7,$JB7,$JT7)</f>
        <v>0</v>
      </c>
      <c r="KM7" s="1"/>
      <c r="KN7" s="1">
        <f>MIN($L7,$AD7,$AV7,$BN7,$CF7,$CX7,$DP7,$EH7,$EZ7,$FR7,$GJ7,$HB7,$HT7,$IL7,$JD7,$JV7)</f>
        <v>0</v>
      </c>
      <c r="KO7" s="1"/>
      <c r="KP7" s="1"/>
      <c r="KQ7" s="1"/>
      <c r="KR7" s="1">
        <f>MIN($Q7,$AI7,$BA7,$BS7,$CK7,$DC7,$DU7,$EM7,$FE7,$FW7,$GO7,$HG7,$HY7,$IQ7,$JI7,$KA7)</f>
        <v>0</v>
      </c>
      <c r="KS7" s="1">
        <f>MIN($R7,$AJ7,$BB7,$BT7,$CL7,$DD7,$DV7,$EN7,$FF7,$FX7,$GP7,$HH7,$HZ7,$IR7,$JJ7,$KB7)</f>
        <v>0</v>
      </c>
      <c r="KT7" s="1"/>
      <c r="KU7" s="1"/>
      <c r="KV7" s="1"/>
      <c r="KW7" s="1"/>
      <c r="KX7" s="1"/>
      <c r="KY7" s="1"/>
      <c r="KZ7" s="1">
        <f>MEDIAN($G7,$Y7,$AQ7,$BI7,$CA7,$CS7,$DK7,$EC7,$EU7,$FM7,$GE7,$GW7,$HO7,$IG7,$IY7,$JQ7)</f>
        <v>0</v>
      </c>
      <c r="LA7" s="1"/>
      <c r="LB7" s="1"/>
      <c r="LC7" s="1">
        <f>MEDIAN($J7,$AB7,$AT7,$BL7,$CD7,$CV7,$DN7,$EF7,$EX7,$FP7,$GH7,$GZ7,$HR7,$IJ7,$JB7,$JT7)</f>
        <v>0</v>
      </c>
      <c r="LD7" s="1"/>
      <c r="LE7" s="1">
        <f>MEDIAN($L7,$AD7,$AV7,$BN7,$CF7,$CX7,$DP7,$EH7,$EZ7,$FR7,$GJ7,$HB7,$HT7,$IL7,$JD7,$JV7)</f>
        <v>0</v>
      </c>
      <c r="LF7" s="1"/>
      <c r="LG7" s="1"/>
      <c r="LH7" s="1"/>
      <c r="LI7" s="1">
        <f>MEDIAN($Q7,$AI7,$BA7,$BS7,$CK7,$DC7,$DU7,$EM7,$FE7,$FW7,$GO7,$HG7,$HY7,$IQ7,$JI7,$KA7)</f>
        <v>0</v>
      </c>
      <c r="LJ7" s="1">
        <f>MEDIAN($R7,$AJ7,$BB7,$BT7,$CL7,$DD7,$DV7,$EN7,$FF7,$FX7,$GP7,$HH7,$HZ7,$IR7,$JJ7,$KB7)</f>
        <v>0</v>
      </c>
      <c r="LK7" s="1"/>
      <c r="LL7" s="1"/>
      <c r="LM7" s="1"/>
      <c r="LN7" s="1"/>
      <c r="LO7" s="1"/>
      <c r="LP7" s="1"/>
      <c r="LQ7" s="1">
        <f>MAX($G7,$Y7,$AQ7,$BI7,$CA7,$CS7,$DK7,$EC7,$EU7,$FM7,$GE7,$GW7,$HO7,$IG7,$IY7,$JQ7)</f>
        <v>0</v>
      </c>
      <c r="LR7" s="1"/>
      <c r="LS7" s="1"/>
      <c r="LT7" s="1">
        <f>MAX($J7,$AB7,$AT7,$BL7,$CD7,$CV7,$DN7,$EF7,$EX7,$FP7,$GH7,$GZ7,$HR7,$IJ7,$JB7,$JT7)</f>
        <v>0</v>
      </c>
      <c r="LU7" s="1"/>
      <c r="LV7" s="1">
        <f>MAX($L7,$AD7,$AV7,$BN7,$CF7,$CX7,$DP7,$EH7,$EZ7,$FR7,$GJ7,$HB7,$HT7,$IL7,$JD7,$JV7)</f>
        <v>0</v>
      </c>
      <c r="LW7" s="1"/>
      <c r="LX7" s="1"/>
      <c r="LY7" s="1"/>
      <c r="LZ7" s="1">
        <f>MAX($Q7,$AI7,$BA7,$BS7,$CK7,$DC7,$DU7,$EM7,$FE7,$FW7,$GO7,$HG7,$HY7,$IQ7,$JI7,$KA7)</f>
        <v>0</v>
      </c>
      <c r="MA7" s="1">
        <f>MAX($R7,$AJ7,$BB7,$BT7,$CL7,$DD7,$DV7,$EN7,$FF7,$FX7,$GP7,$HH7,$HZ7,$IR7,$JJ7,$KB7)</f>
        <v>0</v>
      </c>
      <c r="MB7" s="1"/>
    </row>
    <row r="8" spans="1:340">
      <c r="A8" s="1" t="s">
        <v>5</v>
      </c>
      <c r="B8" s="1"/>
      <c r="C8" s="1"/>
      <c r="D8" s="1"/>
      <c r="E8" s="1"/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/>
      <c r="I8" s="1"/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/>
      <c r="N8" s="1"/>
      <c r="O8" s="1"/>
      <c r="P8" s="1"/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 cm="1">
        <f t="array" ref="AM8">_xlfn.SWITCH($A$2,"average", AVERAGE(Instances!AM8:Instances!AM8),"median", MEDIAN(Instances!AM8:Instances!AM8),"min", MIN(Instances!AM8:Instances!AM8),"max", MAX(Instances!AM8:Instances!AM8),"diff", MAX(Instances!AM8:Instances!AM8)-MIN(Instances!AM8:Instances!AM8))</f>
        <v>0</v>
      </c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 cm="1">
        <f t="array" ref="AR8">_xlfn.SWITCH($A$2,"average", AVERAGE(Instances!AR8:Instances!AR8),"median", MEDIAN(Instances!AR8:Instances!AR8),"min", MIN(Instances!AR8:Instances!AR8),"max", MAX(Instances!AR8:Instances!AR8),"diff", MAX(Instances!AR8:Instances!AR8)-MIN(Instances!AR8:Instances!AR8))</f>
        <v>0</v>
      </c>
      <c r="AS8" s="1" cm="1">
        <f t="array" ref="AS8">_xlfn.SWITCH($A$2,"average", AVERAGE(Instances!AS8:Instances!AS8),"median", MEDIAN(Instances!AS8:Instances!AS8),"min", MIN(Instances!AS8:Instances!AS8),"max", MAX(Instances!AS8:Instances!AS8),"diff", MAX(Instances!AS8:Instances!AS8)-MIN(Instances!AS8:Instances!AS8))</f>
        <v>0</v>
      </c>
      <c r="AT8" s="1" cm="1">
        <f t="array" ref="AT8">_xlfn.SWITCH($A$2,"average", AVERAGE(Instances!AT8:Instances!AT8),"median", MEDIAN(Instances!AT8:Instances!AT8),"min", MIN(Instances!AT8:Instances!AT8),"max", MAX(Instances!AT8:Instances!AT8),"diff", MAX(Instances!AT8:Instances!AT8)-MIN(Instances!AT8:Instances!AT8))</f>
        <v>0</v>
      </c>
      <c r="AU8" s="1" cm="1">
        <f t="array" ref="AU8">_xlfn.SWITCH($A$2,"average", AVERAGE(Instances!AU8:Instances!AU8),"median", MEDIAN(Instances!AU8:Instances!AU8),"min", MIN(Instances!AU8:Instances!AU8),"max", MAX(Instances!AU8:Instances!AU8),"diff", MAX(Instances!AU8:Instances!AU8)-MIN(Instances!AU8:Instances!AU8))</f>
        <v>0</v>
      </c>
      <c r="AV8" s="1" cm="1">
        <f t="array" ref="AV8">_xlfn.SWITCH($A$2,"average", AVERAGE(Instances!AV8:Instances!AV8),"median", MEDIAN(Instances!AV8:Instances!AV8),"min", MIN(Instances!AV8:Instances!AV8),"max", MAX(Instances!AV8:Instances!AV8),"diff", MAX(Instances!AV8:Instances!AV8)-MIN(Instances!AV8:Instances!AV8))</f>
        <v>0</v>
      </c>
      <c r="AW8" s="1" cm="1">
        <f t="array" ref="AW8">_xlfn.SWITCH($A$2,"average", AVERAGE(Instances!AW8:Instances!AW8),"median", MEDIAN(Instances!AW8:Instances!AW8),"min", MIN(Instances!AW8:Instances!AW8),"max", MAX(Instances!AW8:Instances!AW8),"diff", MAX(Instances!AW8:Instances!AW8)-MIN(Instances!AW8:Instances!AW8))</f>
        <v>0</v>
      </c>
      <c r="AX8" s="1" cm="1">
        <f t="array" ref="AX8">_xlfn.SWITCH($A$2,"average", AVERAGE(Instances!AX8:Instances!AX8),"median", MEDIAN(Instances!AX8:Instances!AX8),"min", MIN(Instances!AX8:Instances!AX8),"max", MAX(Instances!AX8:Instances!AX8),"diff", MAX(Instances!AX8:Instances!AX8)-MIN(Instances!AX8:Instances!AX8))</f>
        <v>0</v>
      </c>
      <c r="AY8" s="1" cm="1">
        <f t="array" ref="AY8">_xlfn.SWITCH($A$2,"average", AVERAGE(Instances!AY8:Instances!AY8),"median", MEDIAN(Instances!AY8:Instances!AY8),"min", MIN(Instances!AY8:Instances!AY8),"max", MAX(Instances!AY8:Instances!AY8),"diff", MAX(Instances!AY8:Instances!AY8)-MIN(Instances!AY8:Instances!AY8))</f>
        <v>0</v>
      </c>
      <c r="AZ8" s="1"/>
      <c r="BA8" s="1" cm="1">
        <f t="array" ref="BA8">_xlfn.SWITCH($A$2,"average", AVERAGE(Instances!BA8:Instances!BA8),"median", MEDIAN(Instances!BA8:Instances!BA8),"min", MIN(Instances!BA8:Instances!BA8),"max", MAX(Instances!BA8:Instances!BA8),"diff", MAX(Instances!BA8:Instances!BA8)-MIN(Instances!BA8:Instances!BA8))</f>
        <v>0</v>
      </c>
      <c r="BB8" s="1" cm="1">
        <f t="array" ref="BB8">_xlfn.SWITCH($A$2,"average", AVERAGE(Instances!BB8:Instances!BB8),"median", MEDIAN(Instances!BB8:Instances!BB8),"min", MIN(Instances!BB8:Instances!BB8),"max", MAX(Instances!BB8:Instances!BB8),"diff", MAX(Instances!BB8:Instances!BB8)-MIN(Instances!BB8:Instances!BB8))</f>
        <v>0</v>
      </c>
      <c r="BC8" s="1" cm="1">
        <f t="array" ref="BC8">_xlfn.SWITCH($A$2,"average", AVERAGE(Instances!BC8:Instances!BC8),"median", MEDIAN(Instances!BC8:Instances!BC8),"min", MIN(Instances!BC8:Instances!BC8),"max", MAX(Instances!BC8:Instances!BC8),"diff", MAX(Instances!BC8:Instances!BC8)-MIN(Instances!BC8:Instances!BC8))</f>
        <v>0</v>
      </c>
      <c r="BD8" s="1" cm="1">
        <f t="array" ref="BD8">_xlfn.SWITCH($A$2,"average", AVERAGE(Instances!BD8:Instances!BD8),"median", MEDIAN(Instances!BD8:Instances!BD8),"min", MIN(Instances!BD8:Instances!BD8),"max", MAX(Instances!BD8:Instances!BD8),"diff", MAX(Instances!BD8:Instances!BD8)-MIN(Instances!BD8:Instances!BD8))</f>
        <v>0</v>
      </c>
      <c r="BE8" s="1" cm="1">
        <f t="array" ref="BE8">_xlfn.SWITCH($A$2,"average", AVERAGE(Instances!BE8:Instances!BE8),"median", MEDIAN(Instances!BE8:Instances!BE8),"min", MIN(Instances!BE8:Instances!BE8),"max", MAX(Instances!BE8:Instances!BE8),"diff", MAX(Instances!BE8:Instances!BE8)-MIN(Instances!BE8:Instances!BE8))</f>
        <v>0</v>
      </c>
      <c r="BF8" s="1" cm="1">
        <f t="array" ref="BF8">_xlfn.SWITCH($A$2,"average", AVERAGE(Instances!BF8:Instances!BF8),"median", MEDIAN(Instances!BF8:Instances!BF8),"min", MIN(Instances!BF8:Instances!BF8),"max", MAX(Instances!BF8:Instances!BF8),"diff", MAX(Instances!BF8:Instances!BF8)-MIN(Instances!BF8:Instances!BF8))</f>
        <v>0</v>
      </c>
      <c r="BG8" s="1" cm="1">
        <f t="array" ref="BG8">_xlfn.SWITCH($A$2,"average", AVERAGE(Instances!BG8:Instances!BG8),"median", MEDIAN(Instances!BG8:Instances!BG8),"min", MIN(Instances!BG8:Instances!BG8),"max", MAX(Instances!BG8:Instances!BG8),"diff", MAX(Instances!BG8:Instances!BG8)-MIN(Instances!BG8:Instances!BG8))</f>
        <v>0</v>
      </c>
      <c r="BH8" s="1" cm="1">
        <f t="array" ref="BH8">_xlfn.SWITCH($A$2,"average", AVERAGE(Instances!BH8:Instances!BH8),"median", MEDIAN(Instances!BH8:Instances!BH8),"min", MIN(Instances!BH8:Instances!BH8),"max", MAX(Instances!BH8:Instances!BH8),"diff", MAX(Instances!BH8:Instances!BH8)-MIN(Instances!BH8:Instances!BH8))</f>
        <v>0</v>
      </c>
      <c r="BI8" s="1" cm="1">
        <f t="array" ref="BI8">_xlfn.SWITCH($A$2,"average", AVERAGE(Instances!BI8:Instances!BI8),"median", MEDIAN(Instances!BI8:Instances!BI8),"min", MIN(Instances!BI8:Instances!BI8),"max", MAX(Instances!BI8:Instances!BI8),"diff", MAX(Instances!BI8:Instances!BI8)-MIN(Instances!BI8:Instances!BI8))</f>
        <v>0</v>
      </c>
      <c r="BJ8" s="1" cm="1">
        <f t="array" ref="BJ8">_xlfn.SWITCH($A$2,"average", AVERAGE(Instances!BJ8:Instances!BJ8),"median", MEDIAN(Instances!BJ8:Instances!BJ8),"min", MIN(Instances!BJ8:Instances!BJ8),"max", MAX(Instances!BJ8:Instances!BJ8),"diff", MAX(Instances!BJ8:Instances!BJ8)-MIN(Instances!BJ8:Instances!BJ8))</f>
        <v>0</v>
      </c>
      <c r="BK8" s="1" cm="1">
        <f t="array" ref="BK8">_xlfn.SWITCH($A$2,"average", AVERAGE(Instances!BK8:Instances!BK8),"median", MEDIAN(Instances!BK8:Instances!BK8),"min", MIN(Instances!BK8:Instances!BK8),"max", MAX(Instances!BK8:Instances!BK8),"diff", MAX(Instances!BK8:Instances!BK8)-MIN(Instances!BK8:Instances!BK8))</f>
        <v>0</v>
      </c>
      <c r="BL8" s="1" cm="1">
        <f t="array" ref="BL8">_xlfn.SWITCH($A$2,"average", AVERAGE(Instances!BL8:Instances!BL8),"median", MEDIAN(Instances!BL8:Instances!BL8),"min", MIN(Instances!BL8:Instances!BL8),"max", MAX(Instances!BL8:Instances!BL8),"diff", MAX(Instances!BL8:Instances!BL8)-MIN(Instances!BL8:Instances!BL8))</f>
        <v>0</v>
      </c>
      <c r="BM8" s="1" cm="1">
        <f t="array" ref="BM8">_xlfn.SWITCH($A$2,"average", AVERAGE(Instances!BM8:Instances!BM8),"median", MEDIAN(Instances!BM8:Instances!BM8),"min", MIN(Instances!BM8:Instances!BM8),"max", MAX(Instances!BM8:Instances!BM8),"diff", MAX(Instances!BM8:Instances!BM8)-MIN(Instances!BM8:Instances!BM8))</f>
        <v>0</v>
      </c>
      <c r="BN8" s="1" cm="1">
        <f t="array" ref="BN8">_xlfn.SWITCH($A$2,"average", AVERAGE(Instances!BN8:Instances!BN8),"median", MEDIAN(Instances!BN8:Instances!BN8),"min", MIN(Instances!BN8:Instances!BN8),"max", MAX(Instances!BN8:Instances!BN8),"diff", MAX(Instances!BN8:Instances!BN8)-MIN(Instances!BN8:Instances!BN8))</f>
        <v>0</v>
      </c>
      <c r="BO8" s="1" cm="1">
        <f t="array" ref="BO8">_xlfn.SWITCH($A$2,"average", AVERAGE(Instances!BO8:Instances!BO8),"median", MEDIAN(Instances!BO8:Instances!BO8),"min", MIN(Instances!BO8:Instances!BO8),"max", MAX(Instances!BO8:Instances!BO8),"diff", MAX(Instances!BO8:Instances!BO8)-MIN(Instances!BO8:Instances!BO8))</f>
        <v>0</v>
      </c>
      <c r="BP8" s="1" cm="1">
        <f t="array" ref="BP8">_xlfn.SWITCH($A$2,"average", AVERAGE(Instances!BP8:Instances!BP8),"median", MEDIAN(Instances!BP8:Instances!BP8),"min", MIN(Instances!BP8:Instances!BP8),"max", MAX(Instances!BP8:Instances!BP8),"diff", MAX(Instances!BP8:Instances!BP8)-MIN(Instances!BP8:Instances!BP8))</f>
        <v>0</v>
      </c>
      <c r="BQ8" s="1" cm="1">
        <f t="array" ref="BQ8">_xlfn.SWITCH($A$2,"average", AVERAGE(Instances!BQ8:Instances!BQ8),"median", MEDIAN(Instances!BQ8:Instances!BQ8),"min", MIN(Instances!BQ8:Instances!BQ8),"max", MAX(Instances!BQ8:Instances!BQ8),"diff", MAX(Instances!BQ8:Instances!BQ8)-MIN(Instances!BQ8:Instances!BQ8))</f>
        <v>0</v>
      </c>
      <c r="BR8" s="1"/>
      <c r="BS8" s="1" cm="1">
        <f t="array" ref="BS8">_xlfn.SWITCH($A$2,"average", AVERAGE(Instances!BS8:Instances!BS8),"median", MEDIAN(Instances!BS8:Instances!BS8),"min", MIN(Instances!BS8:Instances!BS8),"max", MAX(Instances!BS8:Instances!BS8),"diff", MAX(Instances!BS8:Instances!BS8)-MIN(Instances!BS8:Instances!BS8))</f>
        <v>0</v>
      </c>
      <c r="BT8" s="1" cm="1">
        <f t="array" ref="BT8">_xlfn.SWITCH($A$2,"average", AVERAGE(Instances!BT8:Instances!BT8),"median", MEDIAN(Instances!BT8:Instances!BT8),"min", MIN(Instances!BT8:Instances!BT8),"max", MAX(Instances!BT8:Instances!BT8),"diff", MAX(Instances!BT8:Instances!BT8)-MIN(Instances!BT8:Instances!BT8))</f>
        <v>0</v>
      </c>
      <c r="BU8" s="1" cm="1">
        <f t="array" ref="BU8">_xlfn.SWITCH($A$2,"average", AVERAGE(Instances!BU8:Instances!BU8),"median", MEDIAN(Instances!BU8:Instances!BU8),"min", MIN(Instances!BU8:Instances!BU8),"max", MAX(Instances!BU8:Instances!BU8),"diff", MAX(Instances!BU8:Instances!BU8)-MIN(Instances!BU8:Instances!BU8))</f>
        <v>0</v>
      </c>
      <c r="BV8" s="1"/>
      <c r="BW8" s="1"/>
      <c r="BX8" s="1"/>
      <c r="BY8" s="1"/>
      <c r="BZ8" s="1"/>
      <c r="CA8" s="1" cm="1">
        <f t="array" ref="CA8">_xlfn.SWITCH($A$2,"average", AVERAGE(Instances!CA8:Instances!CA8),"median", MEDIAN(Instances!CA8:Instances!CA8),"min", MIN(Instances!CA8:Instances!CA8),"max", MAX(Instances!CA8:Instances!CA8),"diff", MAX(Instances!CA8:Instances!CA8)-MIN(Instances!CA8:Instances!CA8))</f>
        <v>0</v>
      </c>
      <c r="CB8" s="1"/>
      <c r="CC8" s="1"/>
      <c r="CD8" s="1" cm="1">
        <f t="array" ref="CD8">_xlfn.SWITCH($A$2,"average", AVERAGE(Instances!CD8:Instances!CD8),"median", MEDIAN(Instances!CD8:Instances!CD8),"min", MIN(Instances!CD8:Instances!CD8),"max", MAX(Instances!CD8:Instances!CD8),"diff", MAX(Instances!CD8:Instances!CD8)-MIN(Instances!CD8:Instances!CD8))</f>
        <v>0</v>
      </c>
      <c r="CE8" s="1"/>
      <c r="CF8" s="1" cm="1">
        <f t="array" ref="CF8">_xlfn.SWITCH($A$2,"average", AVERAGE(Instances!CF8:Instances!CF8),"median", MEDIAN(Instances!CF8:Instances!CF8),"min", MIN(Instances!CF8:Instances!CF8),"max", MAX(Instances!CF8:Instances!CF8),"diff", MAX(Instances!CF8:Instances!CF8)-MIN(Instances!CF8:Instances!CF8))</f>
        <v>0</v>
      </c>
      <c r="CG8" s="1"/>
      <c r="CH8" s="1"/>
      <c r="CI8" s="1"/>
      <c r="CJ8" s="1"/>
      <c r="CK8" s="1" cm="1">
        <f t="array" ref="CK8">_xlfn.SWITCH($A$2,"average", AVERAGE(Instances!CK8:Instances!CK8),"median", MEDIAN(Instances!CK8:Instances!CK8),"min", MIN(Instances!CK8:Instances!CK8),"max", MAX(Instances!CK8:Instances!CK8),"diff", MAX(Instances!CK8:Instances!CK8)-MIN(Instances!CK8:Instances!CK8))</f>
        <v>0</v>
      </c>
      <c r="CL8" s="1" cm="1">
        <f t="array" ref="CL8">_xlfn.SWITCH($A$2,"average", AVERAGE(Instances!CL8:Instances!CL8),"median", MEDIAN(Instances!CL8:Instances!CL8),"min", MIN(Instances!CL8:Instances!CL8),"max", MAX(Instances!CL8:Instances!CL8),"diff", MAX(Instances!CL8:Instances!CL8)-MIN(Instances!CL8:Instances!CL8))</f>
        <v>0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 cm="1">
        <f t="array" ref="EC8">_xlfn.SWITCH($A$2,"average", AVERAGE(Instances!EC8:Instances!EC8),"median", MEDIAN(Instances!EC8:Instances!EC8),"min", MIN(Instances!EC8:Instances!EC8),"max", MAX(Instances!EC8:Instances!EC8),"diff", MAX(Instances!EC8:Instances!EC8)-MIN(Instances!EC8:Instances!EC8))</f>
        <v>0</v>
      </c>
      <c r="ED8" s="1"/>
      <c r="EE8" s="1"/>
      <c r="EF8" s="1" cm="1">
        <f t="array" ref="EF8">_xlfn.SWITCH($A$2,"average", AVERAGE(Instances!EF8:Instances!EF8),"median", MEDIAN(Instances!EF8:Instances!EF8),"min", MIN(Instances!EF8:Instances!EF8),"max", MAX(Instances!EF8:Instances!EF8),"diff", MAX(Instances!EF8:Instances!EF8)-MIN(Instances!EF8:Instances!EF8))</f>
        <v>0</v>
      </c>
      <c r="EG8" s="1"/>
      <c r="EH8" s="1" cm="1">
        <f t="array" ref="EH8">_xlfn.SWITCH($A$2,"average", AVERAGE(Instances!EH8:Instances!EH8),"median", MEDIAN(Instances!EH8:Instances!EH8),"min", MIN(Instances!EH8:Instances!EH8),"max", MAX(Instances!EH8:Instances!EH8),"diff", MAX(Instances!EH8:Instances!EH8)-MIN(Instances!EH8:Instances!EH8))</f>
        <v>0</v>
      </c>
      <c r="EI8" s="1"/>
      <c r="EJ8" s="1"/>
      <c r="EK8" s="1"/>
      <c r="EL8" s="1"/>
      <c r="EM8" s="1" cm="1">
        <f t="array" ref="EM8">_xlfn.SWITCH($A$2,"average", AVERAGE(Instances!EM8:Instances!EM8),"median", MEDIAN(Instances!EM8:Instances!EM8),"min", MIN(Instances!EM8:Instances!EM8),"max", MAX(Instances!EM8:Instances!EM8),"diff", MAX(Instances!EM8:Instances!EM8)-MIN(Instances!EM8:Instances!EM8))</f>
        <v>0</v>
      </c>
      <c r="EN8" s="1" cm="1">
        <f t="array" ref="EN8">_xlfn.SWITCH($A$2,"average", AVERAGE(Instances!EN8:Instances!EN8),"median", MEDIAN(Instances!EN8:Instances!EN8),"min", MIN(Instances!EN8:Instances!EN8),"max", MAX(Instances!EN8:Instances!EN8),"diff", MAX(Instances!EN8:Instances!EN8)-MIN(Instances!EN8:Instances!EN8))</f>
        <v>0</v>
      </c>
      <c r="EO8" s="1"/>
      <c r="EP8" s="1"/>
      <c r="EQ8" s="1"/>
      <c r="ER8" s="1"/>
      <c r="ES8" s="1"/>
      <c r="ET8" s="1"/>
      <c r="EU8" s="1" cm="1">
        <f t="array" ref="EU8">_xlfn.SWITCH($A$2,"average", AVERAGE(Instances!EU8:Instances!EU8),"median", MEDIAN(Instances!EU8:Instances!EU8),"min", MIN(Instances!EU8:Instances!EU8),"max", MAX(Instances!EU8:Instances!EU8),"diff", MAX(Instances!EU8:Instances!EU8)-MIN(Instances!EU8:Instances!EU8))</f>
        <v>0</v>
      </c>
      <c r="EV8" s="1"/>
      <c r="EW8" s="1"/>
      <c r="EX8" s="1" cm="1">
        <f t="array" ref="EX8">_xlfn.SWITCH($A$2,"average", AVERAGE(Instances!EX8:Instances!EX8),"median", MEDIAN(Instances!EX8:Instances!EX8),"min", MIN(Instances!EX8:Instances!EX8),"max", MAX(Instances!EX8:Instances!EX8),"diff", MAX(Instances!EX8:Instances!EX8)-MIN(Instances!EX8:Instances!EX8))</f>
        <v>0</v>
      </c>
      <c r="EY8" s="1"/>
      <c r="EZ8" s="1" cm="1">
        <f t="array" ref="EZ8">_xlfn.SWITCH($A$2,"average", AVERAGE(Instances!EZ8:Instances!EZ8),"median", MEDIAN(Instances!EZ8:Instances!EZ8),"min", MIN(Instances!EZ8:Instances!EZ8),"max", MAX(Instances!EZ8:Instances!EZ8),"diff", MAX(Instances!EZ8:Instances!EZ8)-MIN(Instances!EZ8:Instances!EZ8))</f>
        <v>0</v>
      </c>
      <c r="FA8" s="1"/>
      <c r="FB8" s="1"/>
      <c r="FC8" s="1"/>
      <c r="FD8" s="1"/>
      <c r="FE8" s="1" cm="1">
        <f t="array" ref="FE8">_xlfn.SWITCH($A$2,"average", AVERAGE(Instances!FE8:Instances!FE8),"median", MEDIAN(Instances!FE8:Instances!FE8),"min", MIN(Instances!FE8:Instances!FE8),"max", MAX(Instances!FE8:Instances!FE8),"diff", MAX(Instances!FE8:Instances!FE8)-MIN(Instances!FE8:Instances!FE8))</f>
        <v>0</v>
      </c>
      <c r="FF8" s="1" cm="1">
        <f t="array" ref="FF8">_xlfn.SWITCH($A$2,"average", AVERAGE(Instances!FF8:Instances!FF8),"median", MEDIAN(Instances!FF8:Instances!FF8),"min", MIN(Instances!FF8:Instances!FF8),"max", MAX(Instances!FF8:Instances!FF8),"diff", MAX(Instances!FF8:Instances!FF8)-MIN(Instances!FF8:Instances!FF8))</f>
        <v>0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 cm="1">
        <f t="array" ref="GE8">_xlfn.SWITCH($A$2,"average", AVERAGE(Instances!GE8:Instances!GE8),"median", MEDIAN(Instances!GE8:Instances!GE8),"min", MIN(Instances!GE8:Instances!GE8),"max", MAX(Instances!GE8:Instances!GE8),"diff", MAX(Instances!GE8:Instances!GE8)-MIN(Instances!GE8:Instances!GE8))</f>
        <v>0</v>
      </c>
      <c r="GF8" s="1"/>
      <c r="GG8" s="1"/>
      <c r="GH8" s="1" cm="1">
        <f t="array" ref="GH8">_xlfn.SWITCH($A$2,"average", AVERAGE(Instances!GH8:Instances!GH8),"median", MEDIAN(Instances!GH8:Instances!GH8),"min", MIN(Instances!GH8:Instances!GH8),"max", MAX(Instances!GH8:Instances!GH8),"diff", MAX(Instances!GH8:Instances!GH8)-MIN(Instances!GH8:Instances!GH8))</f>
        <v>0</v>
      </c>
      <c r="GI8" s="1"/>
      <c r="GJ8" s="1" cm="1">
        <f t="array" ref="GJ8">_xlfn.SWITCH($A$2,"average", AVERAGE(Instances!GJ8:Instances!GJ8),"median", MEDIAN(Instances!GJ8:Instances!GJ8),"min", MIN(Instances!GJ8:Instances!GJ8),"max", MAX(Instances!GJ8:Instances!GJ8),"diff", MAX(Instances!GJ8:Instances!GJ8)-MIN(Instances!GJ8:Instances!GJ8))</f>
        <v>0</v>
      </c>
      <c r="GK8" s="1"/>
      <c r="GL8" s="1"/>
      <c r="GM8" s="1"/>
      <c r="GN8" s="1"/>
      <c r="GO8" s="1" cm="1">
        <f t="array" ref="GO8">_xlfn.SWITCH($A$2,"average", AVERAGE(Instances!GO8:Instances!GO8),"median", MEDIAN(Instances!GO8:Instances!GO8),"min", MIN(Instances!GO8:Instances!GO8),"max", MAX(Instances!GO8:Instances!GO8),"diff", MAX(Instances!GO8:Instances!GO8)-MIN(Instances!GO8:Instances!GO8))</f>
        <v>0</v>
      </c>
      <c r="GP8" s="1" cm="1">
        <f t="array" ref="GP8">_xlfn.SWITCH($A$2,"average", AVERAGE(Instances!GP8:Instances!GP8),"median", MEDIAN(Instances!GP8:Instances!GP8),"min", MIN(Instances!GP8:Instances!GP8),"max", MAX(Instances!GP8:Instances!GP8),"diff", MAX(Instances!GP8:Instances!GP8)-MIN(Instances!GP8:Instances!GP8))</f>
        <v>0</v>
      </c>
      <c r="GQ8" s="1"/>
      <c r="GR8" s="1"/>
      <c r="GS8" s="1"/>
      <c r="GT8" s="1"/>
      <c r="GU8" s="1"/>
      <c r="GV8" s="1"/>
      <c r="GW8" s="1" cm="1">
        <f t="array" ref="GW8">_xlfn.SWITCH($A$2,"average", AVERAGE(Instances!GW8:Instances!GW8),"median", MEDIAN(Instances!GW8:Instances!GW8),"min", MIN(Instances!GW8:Instances!GW8),"max", MAX(Instances!GW8:Instances!GW8),"diff", MAX(Instances!GW8:Instances!GW8)-MIN(Instances!GW8:Instances!GW8))</f>
        <v>0</v>
      </c>
      <c r="GX8" s="1"/>
      <c r="GY8" s="1"/>
      <c r="GZ8" s="1" cm="1">
        <f t="array" ref="GZ8">_xlfn.SWITCH($A$2,"average", AVERAGE(Instances!GZ8:Instances!GZ8),"median", MEDIAN(Instances!GZ8:Instances!GZ8),"min", MIN(Instances!GZ8:Instances!GZ8),"max", MAX(Instances!GZ8:Instances!GZ8),"diff", MAX(Instances!GZ8:Instances!GZ8)-MIN(Instances!GZ8:Instances!GZ8))</f>
        <v>0</v>
      </c>
      <c r="HA8" s="1"/>
      <c r="HB8" s="1" cm="1">
        <f t="array" ref="HB8">_xlfn.SWITCH($A$2,"average", AVERAGE(Instances!HB8:Instances!HB8),"median", MEDIAN(Instances!HB8:Instances!HB8),"min", MIN(Instances!HB8:Instances!HB8),"max", MAX(Instances!HB8:Instances!HB8),"diff", MAX(Instances!HB8:Instances!HB8)-MIN(Instances!HB8:Instances!HB8))</f>
        <v>0</v>
      </c>
      <c r="HC8" s="1"/>
      <c r="HD8" s="1"/>
      <c r="HE8" s="1"/>
      <c r="HF8" s="1"/>
      <c r="HG8" s="1" cm="1">
        <f t="array" ref="HG8">_xlfn.SWITCH($A$2,"average", AVERAGE(Instances!HG8:Instances!HG8),"median", MEDIAN(Instances!HG8:Instances!HG8),"min", MIN(Instances!HG8:Instances!HG8),"max", MAX(Instances!HG8:Instances!HG8),"diff", MAX(Instances!HG8:Instances!HG8)-MIN(Instances!HG8:Instances!HG8))</f>
        <v>0</v>
      </c>
      <c r="HH8" s="1" cm="1">
        <f t="array" ref="HH8">_xlfn.SWITCH($A$2,"average", AVERAGE(Instances!HH8:Instances!HH8),"median", MEDIAN(Instances!HH8:Instances!HH8),"min", MIN(Instances!HH8:Instances!HH8),"max", MAX(Instances!HH8:Instances!HH8),"diff", MAX(Instances!HH8:Instances!HH8)-MIN(Instances!HH8:Instances!HH8))</f>
        <v>0</v>
      </c>
      <c r="HI8" s="1"/>
      <c r="HJ8" s="1"/>
      <c r="HK8" s="1"/>
      <c r="HL8" s="1"/>
      <c r="HM8" s="1"/>
      <c r="HN8" s="1"/>
      <c r="HO8" s="1" cm="1">
        <f t="array" ref="HO8">_xlfn.SWITCH($A$2,"average", AVERAGE(Instances!HO8:Instances!HO8),"median", MEDIAN(Instances!HO8:Instances!HO8),"min", MIN(Instances!HO8:Instances!HO8),"max", MAX(Instances!HO8:Instances!HO8),"diff", MAX(Instances!HO8:Instances!HO8)-MIN(Instances!HO8:Instances!HO8))</f>
        <v>0</v>
      </c>
      <c r="HP8" s="1"/>
      <c r="HQ8" s="1"/>
      <c r="HR8" s="1" cm="1">
        <f t="array" ref="HR8">_xlfn.SWITCH($A$2,"average", AVERAGE(Instances!HR8:Instances!HR8),"median", MEDIAN(Instances!HR8:Instances!HR8),"min", MIN(Instances!HR8:Instances!HR8),"max", MAX(Instances!HR8:Instances!HR8),"diff", MAX(Instances!HR8:Instances!HR8)-MIN(Instances!HR8:Instances!HR8))</f>
        <v>0</v>
      </c>
      <c r="HS8" s="1"/>
      <c r="HT8" s="1" cm="1">
        <f t="array" ref="HT8">_xlfn.SWITCH($A$2,"average", AVERAGE(Instances!HT8:Instances!HT8),"median", MEDIAN(Instances!HT8:Instances!HT8),"min", MIN(Instances!HT8:Instances!HT8),"max", MAX(Instances!HT8:Instances!HT8),"diff", MAX(Instances!HT8:Instances!HT8)-MIN(Instances!HT8:Instances!HT8))</f>
        <v>0</v>
      </c>
      <c r="HU8" s="1"/>
      <c r="HV8" s="1"/>
      <c r="HW8" s="1"/>
      <c r="HX8" s="1"/>
      <c r="HY8" s="1" cm="1">
        <f t="array" ref="HY8">_xlfn.SWITCH($A$2,"average", AVERAGE(Instances!HY8:Instances!HY8),"median", MEDIAN(Instances!HY8:Instances!HY8),"min", MIN(Instances!HY8:Instances!HY8),"max", MAX(Instances!HY8:Instances!HY8),"diff", MAX(Instances!HY8:Instances!HY8)-MIN(Instances!HY8:Instances!HY8))</f>
        <v>0</v>
      </c>
      <c r="HZ8" s="1" cm="1">
        <f t="array" ref="HZ8">_xlfn.SWITCH($A$2,"average", AVERAGE(Instances!HZ8:Instances!HZ8),"median", MEDIAN(Instances!HZ8:Instances!HZ8),"min", MIN(Instances!HZ8:Instances!HZ8),"max", MAX(Instances!HZ8:Instances!HZ8),"diff", MAX(Instances!HZ8:Instances!HZ8)-MIN(Instances!HZ8:Instances!HZ8))</f>
        <v>0</v>
      </c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 cm="1">
        <f t="array" ref="JQ8">_xlfn.SWITCH($A$2,"average", AVERAGE(Instances!JQ8:Instances!JQ8),"median", MEDIAN(Instances!JQ8:Instances!JQ8),"min", MIN(Instances!JQ8:Instances!JQ8),"max", MAX(Instances!JQ8:Instances!JQ8),"diff", MAX(Instances!JQ8:Instances!JQ8)-MIN(Instances!JQ8:Instances!JQ8))</f>
        <v>0</v>
      </c>
      <c r="JR8" s="1"/>
      <c r="JS8" s="1"/>
      <c r="JT8" s="1" cm="1">
        <f t="array" ref="JT8">_xlfn.SWITCH($A$2,"average", AVERAGE(Instances!JT8:Instances!JT8),"median", MEDIAN(Instances!JT8:Instances!JT8),"min", MIN(Instances!JT8:Instances!JT8),"max", MAX(Instances!JT8:Instances!JT8),"diff", MAX(Instances!JT8:Instances!JT8)-MIN(Instances!JT8:Instances!JT8))</f>
        <v>0</v>
      </c>
      <c r="JU8" s="1"/>
      <c r="JV8" s="1" cm="1">
        <f t="array" ref="JV8">_xlfn.SWITCH($A$2,"average", AVERAGE(Instances!JV8:Instances!JV8),"median", MEDIAN(Instances!JV8:Instances!JV8),"min", MIN(Instances!JV8:Instances!JV8),"max", MAX(Instances!JV8:Instances!JV8),"diff", MAX(Instances!JV8:Instances!JV8)-MIN(Instances!JV8:Instances!JV8))</f>
        <v>0</v>
      </c>
      <c r="JW8" s="1"/>
      <c r="JX8" s="1"/>
      <c r="JY8" s="1"/>
      <c r="JZ8" s="1"/>
      <c r="KA8" s="1" cm="1">
        <f t="array" ref="KA8">_xlfn.SWITCH($A$2,"average", AVERAGE(Instances!KA8:Instances!KA8),"median", MEDIAN(Instances!KA8:Instances!KA8),"min", MIN(Instances!KA8:Instances!KA8),"max", MAX(Instances!KA8:Instances!KA8),"diff", MAX(Instances!KA8:Instances!KA8)-MIN(Instances!KA8:Instances!KA8))</f>
        <v>0</v>
      </c>
      <c r="KB8" s="1" cm="1">
        <f t="array" ref="KB8">_xlfn.SWITCH($A$2,"average", AVERAGE(Instances!KB8:Instances!KB8),"median", MEDIAN(Instances!KB8:Instances!KB8),"min", MIN(Instances!KB8:Instances!KB8),"max", MAX(Instances!KB8:Instances!KB8),"diff", MAX(Instances!KB8:Instances!KB8)-MIN(Instances!KB8:Instances!KB8))</f>
        <v>0</v>
      </c>
      <c r="KC8" s="1"/>
      <c r="KD8" s="1">
        <f>MIN($B8,$T8,$AL8,$BD8,$BV8,$CN8,$DF8,$DX8,$EP8,$FH8,$FZ8,$GR8,$HJ8,$IB8,$IT8,$JL8)</f>
        <v>0</v>
      </c>
      <c r="KE8" s="1">
        <f>MIN($C8,$U8,$AM8,$BE8,$BW8,$CO8,$DG8,$DY8,$EQ8,$FI8,$GA8,$GS8,$HK8,$IC8,$IU8,$JM8)</f>
        <v>0</v>
      </c>
      <c r="KF8" s="1">
        <f>MIN($D8,$V8,$AN8,$BF8,$BX8,$CP8,$DH8,$DZ8,$ER8,$FJ8,$GB8,$GT8,$HL8,$ID8,$IV8,$JN8)</f>
        <v>0</v>
      </c>
      <c r="KG8" s="1">
        <f>MIN($E8,$W8,$AO8,$BG8,$BY8,$CQ8,$DI8,$EA8,$ES8,$FK8,$GC8,$GU8,$HM8,$IE8,$IW8,$JO8)</f>
        <v>0</v>
      </c>
      <c r="KH8" s="1">
        <f>MIN($F8,$X8,$AP8,$BH8,$BZ8,$CR8,$DJ8,$EB8,$ET8,$FL8,$GD8,$GV8,$HN8,$IF8,$IX8,$JP8)</f>
        <v>0</v>
      </c>
      <c r="KI8" s="1">
        <f>MIN($G8,$Y8,$AQ8,$BI8,$CA8,$CS8,$DK8,$EC8,$EU8,$FM8,$GE8,$GW8,$HO8,$IG8,$IY8,$JQ8)</f>
        <v>0</v>
      </c>
      <c r="KJ8" s="1">
        <f>MIN($H8,$Z8,$AR8,$BJ8,$CB8,$CT8,$DL8,$ED8,$EV8,$FN8,$GF8,$GX8,$HP8,$IH8,$IZ8,$JR8)</f>
        <v>0</v>
      </c>
      <c r="KK8" s="1">
        <f>MIN($I8,$AA8,$AS8,$BK8,$CC8,$CU8,$DM8,$EE8,$EW8,$FO8,$GG8,$GY8,$HQ8,$II8,$JA8,$JS8)</f>
        <v>0</v>
      </c>
      <c r="KL8" s="1">
        <f>MIN($J8,$AB8,$AT8,$BL8,$CD8,$CV8,$DN8,$EF8,$EX8,$FP8,$GH8,$GZ8,$HR8,$IJ8,$JB8,$JT8)</f>
        <v>0</v>
      </c>
      <c r="KM8" s="1">
        <f>MIN($K8,$AC8,$AU8,$BM8,$CE8,$CW8,$DO8,$EG8,$EY8,$FQ8,$GI8,$HA8,$HS8,$IK8,$JC8,$JU8)</f>
        <v>0</v>
      </c>
      <c r="KN8" s="1">
        <f>MIN($L8,$AD8,$AV8,$BN8,$CF8,$CX8,$DP8,$EH8,$EZ8,$FR8,$GJ8,$HB8,$HT8,$IL8,$JD8,$JV8)</f>
        <v>0</v>
      </c>
      <c r="KO8" s="1">
        <f>MIN($M8,$AE8,$AW8,$BO8,$CG8,$CY8,$DQ8,$EI8,$FA8,$FS8,$GK8,$HC8,$HU8,$IM8,$JE8,$JW8)</f>
        <v>0</v>
      </c>
      <c r="KP8" s="1">
        <f>MIN($N8,$AF8,$AX8,$BP8,$CH8,$CZ8,$DR8,$EJ8,$FB8,$FT8,$GL8,$HD8,$HV8,$IN8,$JF8,$JX8)</f>
        <v>0</v>
      </c>
      <c r="KQ8" s="1">
        <f>MIN($O8,$AG8,$AY8,$BQ8,$CI8,$DA8,$DS8,$EK8,$FC8,$FU8,$GM8,$HE8,$HW8,$IO8,$JG8,$JY8)</f>
        <v>0</v>
      </c>
      <c r="KR8" s="1">
        <f>MIN($Q8,$AI8,$BA8,$BS8,$CK8,$DC8,$DU8,$EM8,$FE8,$FW8,$GO8,$HG8,$HY8,$IQ8,$JI8,$KA8)</f>
        <v>0</v>
      </c>
      <c r="KS8" s="1">
        <f>MIN($R8,$AJ8,$BB8,$BT8,$CL8,$DD8,$DV8,$EN8,$FF8,$FX8,$GP8,$HH8,$HZ8,$IR8,$JJ8,$KB8)</f>
        <v>0</v>
      </c>
      <c r="KT8" s="1">
        <f>MIN($S8,$AK8,$BC8,$BU8,$CM8,$DE8,$DW8,$EO8,$FG8,$FY8,$GQ8,$HI8,$IA8,$IS8,$JK8,$KC8)</f>
        <v>0</v>
      </c>
      <c r="KU8" s="1">
        <f>MEDIAN($B8,$T8,$AL8,$BD8,$BV8,$CN8,$DF8,$DX8,$EP8,$FH8,$FZ8,$GR8,$HJ8,$IB8,$IT8,$JL8)</f>
        <v>0</v>
      </c>
      <c r="KV8" s="1">
        <f>MEDIAN($C8,$U8,$AM8,$BE8,$BW8,$CO8,$DG8,$DY8,$EQ8,$FI8,$GA8,$GS8,$HK8,$IC8,$IU8,$JM8)</f>
        <v>0</v>
      </c>
      <c r="KW8" s="1">
        <f>MEDIAN($D8,$V8,$AN8,$BF8,$BX8,$CP8,$DH8,$DZ8,$ER8,$FJ8,$GB8,$GT8,$HL8,$ID8,$IV8,$JN8)</f>
        <v>0</v>
      </c>
      <c r="KX8" s="1">
        <f>MEDIAN($E8,$W8,$AO8,$BG8,$BY8,$CQ8,$DI8,$EA8,$ES8,$FK8,$GC8,$GU8,$HM8,$IE8,$IW8,$JO8)</f>
        <v>0</v>
      </c>
      <c r="KY8" s="1">
        <f>MEDIAN($F8,$X8,$AP8,$BH8,$BZ8,$CR8,$DJ8,$EB8,$ET8,$FL8,$GD8,$GV8,$HN8,$IF8,$IX8,$JP8)</f>
        <v>0</v>
      </c>
      <c r="KZ8" s="1">
        <f>MEDIAN($G8,$Y8,$AQ8,$BI8,$CA8,$CS8,$DK8,$EC8,$EU8,$FM8,$GE8,$GW8,$HO8,$IG8,$IY8,$JQ8)</f>
        <v>0</v>
      </c>
      <c r="LA8" s="1">
        <f>MEDIAN($H8,$Z8,$AR8,$BJ8,$CB8,$CT8,$DL8,$ED8,$EV8,$FN8,$GF8,$GX8,$HP8,$IH8,$IZ8,$JR8)</f>
        <v>0</v>
      </c>
      <c r="LB8" s="1">
        <f>MEDIAN($I8,$AA8,$AS8,$BK8,$CC8,$CU8,$DM8,$EE8,$EW8,$FO8,$GG8,$GY8,$HQ8,$II8,$JA8,$JS8)</f>
        <v>0</v>
      </c>
      <c r="LC8" s="1">
        <f>MEDIAN($J8,$AB8,$AT8,$BL8,$CD8,$CV8,$DN8,$EF8,$EX8,$FP8,$GH8,$GZ8,$HR8,$IJ8,$JB8,$JT8)</f>
        <v>0</v>
      </c>
      <c r="LD8" s="1">
        <f>MEDIAN($K8,$AC8,$AU8,$BM8,$CE8,$CW8,$DO8,$EG8,$EY8,$FQ8,$GI8,$HA8,$HS8,$IK8,$JC8,$JU8)</f>
        <v>0</v>
      </c>
      <c r="LE8" s="1">
        <f>MEDIAN($L8,$AD8,$AV8,$BN8,$CF8,$CX8,$DP8,$EH8,$EZ8,$FR8,$GJ8,$HB8,$HT8,$IL8,$JD8,$JV8)</f>
        <v>0</v>
      </c>
      <c r="LF8" s="1">
        <f>MEDIAN($M8,$AE8,$AW8,$BO8,$CG8,$CY8,$DQ8,$EI8,$FA8,$FS8,$GK8,$HC8,$HU8,$IM8,$JE8,$JW8)</f>
        <v>0</v>
      </c>
      <c r="LG8" s="1">
        <f>MEDIAN($N8,$AF8,$AX8,$BP8,$CH8,$CZ8,$DR8,$EJ8,$FB8,$FT8,$GL8,$HD8,$HV8,$IN8,$JF8,$JX8)</f>
        <v>0</v>
      </c>
      <c r="LH8" s="1">
        <f>MEDIAN($O8,$AG8,$AY8,$BQ8,$CI8,$DA8,$DS8,$EK8,$FC8,$FU8,$GM8,$HE8,$HW8,$IO8,$JG8,$JY8)</f>
        <v>0</v>
      </c>
      <c r="LI8" s="1">
        <f>MEDIAN($Q8,$AI8,$BA8,$BS8,$CK8,$DC8,$DU8,$EM8,$FE8,$FW8,$GO8,$HG8,$HY8,$IQ8,$JI8,$KA8)</f>
        <v>0</v>
      </c>
      <c r="LJ8" s="1">
        <f>MEDIAN($R8,$AJ8,$BB8,$BT8,$CL8,$DD8,$DV8,$EN8,$FF8,$FX8,$GP8,$HH8,$HZ8,$IR8,$JJ8,$KB8)</f>
        <v>0</v>
      </c>
      <c r="LK8" s="1">
        <f>MEDIAN($S8,$AK8,$BC8,$BU8,$CM8,$DE8,$DW8,$EO8,$FG8,$FY8,$GQ8,$HI8,$IA8,$IS8,$JK8,$KC8)</f>
        <v>0</v>
      </c>
      <c r="LL8" s="1">
        <f>MAX($B8,$T8,$AL8,$BD8,$BV8,$CN8,$DF8,$DX8,$EP8,$FH8,$FZ8,$GR8,$HJ8,$IB8,$IT8,$JL8)</f>
        <v>0</v>
      </c>
      <c r="LM8" s="1">
        <f>MAX($C8,$U8,$AM8,$BE8,$BW8,$CO8,$DG8,$DY8,$EQ8,$FI8,$GA8,$GS8,$HK8,$IC8,$IU8,$JM8)</f>
        <v>0</v>
      </c>
      <c r="LN8" s="1">
        <f>MAX($D8,$V8,$AN8,$BF8,$BX8,$CP8,$DH8,$DZ8,$ER8,$FJ8,$GB8,$GT8,$HL8,$ID8,$IV8,$JN8)</f>
        <v>0</v>
      </c>
      <c r="LO8" s="1">
        <f>MAX($E8,$W8,$AO8,$BG8,$BY8,$CQ8,$DI8,$EA8,$ES8,$FK8,$GC8,$GU8,$HM8,$IE8,$IW8,$JO8)</f>
        <v>0</v>
      </c>
      <c r="LP8" s="1">
        <f>MAX($F8,$X8,$AP8,$BH8,$BZ8,$CR8,$DJ8,$EB8,$ET8,$FL8,$GD8,$GV8,$HN8,$IF8,$IX8,$JP8)</f>
        <v>0</v>
      </c>
      <c r="LQ8" s="1">
        <f>MAX($G8,$Y8,$AQ8,$BI8,$CA8,$CS8,$DK8,$EC8,$EU8,$FM8,$GE8,$GW8,$HO8,$IG8,$IY8,$JQ8)</f>
        <v>0</v>
      </c>
      <c r="LR8" s="1">
        <f>MAX($H8,$Z8,$AR8,$BJ8,$CB8,$CT8,$DL8,$ED8,$EV8,$FN8,$GF8,$GX8,$HP8,$IH8,$IZ8,$JR8)</f>
        <v>0</v>
      </c>
      <c r="LS8" s="1">
        <f>MAX($I8,$AA8,$AS8,$BK8,$CC8,$CU8,$DM8,$EE8,$EW8,$FO8,$GG8,$GY8,$HQ8,$II8,$JA8,$JS8)</f>
        <v>0</v>
      </c>
      <c r="LT8" s="1">
        <f>MAX($J8,$AB8,$AT8,$BL8,$CD8,$CV8,$DN8,$EF8,$EX8,$FP8,$GH8,$GZ8,$HR8,$IJ8,$JB8,$JT8)</f>
        <v>0</v>
      </c>
      <c r="LU8" s="1">
        <f>MAX($K8,$AC8,$AU8,$BM8,$CE8,$CW8,$DO8,$EG8,$EY8,$FQ8,$GI8,$HA8,$HS8,$IK8,$JC8,$JU8)</f>
        <v>0</v>
      </c>
      <c r="LV8" s="1">
        <f>MAX($L8,$AD8,$AV8,$BN8,$CF8,$CX8,$DP8,$EH8,$EZ8,$FR8,$GJ8,$HB8,$HT8,$IL8,$JD8,$JV8)</f>
        <v>0</v>
      </c>
      <c r="LW8" s="1">
        <f>MAX($M8,$AE8,$AW8,$BO8,$CG8,$CY8,$DQ8,$EI8,$FA8,$FS8,$GK8,$HC8,$HU8,$IM8,$JE8,$JW8)</f>
        <v>0</v>
      </c>
      <c r="LX8" s="1">
        <f>MAX($N8,$AF8,$AX8,$BP8,$CH8,$CZ8,$DR8,$EJ8,$FB8,$FT8,$GL8,$HD8,$HV8,$IN8,$JF8,$JX8)</f>
        <v>0</v>
      </c>
      <c r="LY8" s="1">
        <f>MAX($O8,$AG8,$AY8,$BQ8,$CI8,$DA8,$DS8,$EK8,$FC8,$FU8,$GM8,$HE8,$HW8,$IO8,$JG8,$JY8)</f>
        <v>0</v>
      </c>
      <c r="LZ8" s="1">
        <f>MAX($Q8,$AI8,$BA8,$BS8,$CK8,$DC8,$DU8,$EM8,$FE8,$FW8,$GO8,$HG8,$HY8,$IQ8,$JI8,$KA8)</f>
        <v>0</v>
      </c>
      <c r="MA8" s="1">
        <f>MAX($R8,$AJ8,$BB8,$BT8,$CL8,$DD8,$DV8,$EN8,$FF8,$FX8,$GP8,$HH8,$HZ8,$IR8,$JJ8,$KB8)</f>
        <v>0</v>
      </c>
      <c r="MB8" s="1">
        <f>MAX($S8,$AK8,$BC8,$BU8,$CM8,$DE8,$DW8,$EO8,$FG8,$FY8,$GQ8,$HI8,$IA8,$IS8,$JK8,$KC8)</f>
        <v>0</v>
      </c>
    </row>
    <row r="9" spans="1:340">
      <c r="A9" s="1" t="s">
        <v>6</v>
      </c>
      <c r="B9" s="1"/>
      <c r="C9" s="1"/>
      <c r="D9" s="1"/>
      <c r="E9" s="1"/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/>
      <c r="I9" s="1"/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/>
      <c r="N9" s="1"/>
      <c r="O9" s="1"/>
      <c r="P9" s="1"/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 cm="1">
        <f t="array" ref="AM9">_xlfn.SWITCH($A$2,"average", AVERAGE(Instances!AM9:Instances!AM9),"median", MEDIAN(Instances!AM9:Instances!AM9),"min", MIN(Instances!AM9:Instances!AM9),"max", MAX(Instances!AM9:Instances!AM9),"diff", MAX(Instances!AM9:Instances!AM9)-MIN(Instances!AM9:Instances!AM9))</f>
        <v>0</v>
      </c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 cm="1">
        <f t="array" ref="AR9">_xlfn.SWITCH($A$2,"average", AVERAGE(Instances!AR9:Instances!AR9),"median", MEDIAN(Instances!AR9:Instances!AR9),"min", MIN(Instances!AR9:Instances!AR9),"max", MAX(Instances!AR9:Instances!AR9),"diff", MAX(Instances!AR9:Instances!AR9)-MIN(Instances!AR9:Instances!AR9))</f>
        <v>0</v>
      </c>
      <c r="AS9" s="1" cm="1">
        <f t="array" ref="AS9">_xlfn.SWITCH($A$2,"average", AVERAGE(Instances!AS9:Instances!AS9),"median", MEDIAN(Instances!AS9:Instances!AS9),"min", MIN(Instances!AS9:Instances!AS9),"max", MAX(Instances!AS9:Instances!AS9),"diff", MAX(Instances!AS9:Instances!AS9)-MIN(Instances!AS9:Instances!AS9))</f>
        <v>0</v>
      </c>
      <c r="AT9" s="1" cm="1">
        <f t="array" ref="AT9">_xlfn.SWITCH($A$2,"average", AVERAGE(Instances!AT9:Instances!AT9),"median", MEDIAN(Instances!AT9:Instances!AT9),"min", MIN(Instances!AT9:Instances!AT9),"max", MAX(Instances!AT9:Instances!AT9),"diff", MAX(Instances!AT9:Instances!AT9)-MIN(Instances!AT9:Instances!AT9))</f>
        <v>0</v>
      </c>
      <c r="AU9" s="1" cm="1">
        <f t="array" ref="AU9">_xlfn.SWITCH($A$2,"average", AVERAGE(Instances!AU9:Instances!AU9),"median", MEDIAN(Instances!AU9:Instances!AU9),"min", MIN(Instances!AU9:Instances!AU9),"max", MAX(Instances!AU9:Instances!AU9),"diff", MAX(Instances!AU9:Instances!AU9)-MIN(Instances!AU9:Instances!AU9))</f>
        <v>0</v>
      </c>
      <c r="AV9" s="1" cm="1">
        <f t="array" ref="AV9">_xlfn.SWITCH($A$2,"average", AVERAGE(Instances!AV9:Instances!AV9),"median", MEDIAN(Instances!AV9:Instances!AV9),"min", MIN(Instances!AV9:Instances!AV9),"max", MAX(Instances!AV9:Instances!AV9),"diff", MAX(Instances!AV9:Instances!AV9)-MIN(Instances!AV9:Instances!AV9))</f>
        <v>0</v>
      </c>
      <c r="AW9" s="1" cm="1">
        <f t="array" ref="AW9">_xlfn.SWITCH($A$2,"average", AVERAGE(Instances!AW9:Instances!AW9),"median", MEDIAN(Instances!AW9:Instances!AW9),"min", MIN(Instances!AW9:Instances!AW9),"max", MAX(Instances!AW9:Instances!AW9),"diff", MAX(Instances!AW9:Instances!AW9)-MIN(Instances!AW9:Instances!AW9))</f>
        <v>0</v>
      </c>
      <c r="AX9" s="1" cm="1">
        <f t="array" ref="AX9">_xlfn.SWITCH($A$2,"average", AVERAGE(Instances!AX9:Instances!AX9),"median", MEDIAN(Instances!AX9:Instances!AX9),"min", MIN(Instances!AX9:Instances!AX9),"max", MAX(Instances!AX9:Instances!AX9),"diff", MAX(Instances!AX9:Instances!AX9)-MIN(Instances!AX9:Instances!AX9))</f>
        <v>0</v>
      </c>
      <c r="AY9" s="1" cm="1">
        <f t="array" ref="AY9">_xlfn.SWITCH($A$2,"average", AVERAGE(Instances!AY9:Instances!AY9),"median", MEDIAN(Instances!AY9:Instances!AY9),"min", MIN(Instances!AY9:Instances!AY9),"max", MAX(Instances!AY9:Instances!AY9),"diff", MAX(Instances!AY9:Instances!AY9)-MIN(Instances!AY9:Instances!AY9))</f>
        <v>0</v>
      </c>
      <c r="AZ9" s="1"/>
      <c r="BA9" s="1" cm="1">
        <f t="array" ref="BA9">_xlfn.SWITCH($A$2,"average", AVERAGE(Instances!BA9:Instances!BA9),"median", MEDIAN(Instances!BA9:Instances!BA9),"min", MIN(Instances!BA9:Instances!BA9),"max", MAX(Instances!BA9:Instances!BA9),"diff", MAX(Instances!BA9:Instances!BA9)-MIN(Instances!BA9:Instances!BA9))</f>
        <v>0</v>
      </c>
      <c r="BB9" s="1" cm="1">
        <f t="array" ref="BB9">_xlfn.SWITCH($A$2,"average", AVERAGE(Instances!BB9:Instances!BB9),"median", MEDIAN(Instances!BB9:Instances!BB9),"min", MIN(Instances!BB9:Instances!BB9),"max", MAX(Instances!BB9:Instances!BB9),"diff", MAX(Instances!BB9:Instances!BB9)-MIN(Instances!BB9:Instances!BB9))</f>
        <v>0</v>
      </c>
      <c r="BC9" s="1" cm="1">
        <f t="array" ref="BC9">_xlfn.SWITCH($A$2,"average", AVERAGE(Instances!BC9:Instances!BC9),"median", MEDIAN(Instances!BC9:Instances!BC9),"min", MIN(Instances!BC9:Instances!BC9),"max", MAX(Instances!BC9:Instances!BC9),"diff", MAX(Instances!BC9:Instances!BC9)-MIN(Instances!BC9:Instances!BC9))</f>
        <v>0</v>
      </c>
      <c r="BD9" s="1" cm="1">
        <f t="array" ref="BD9">_xlfn.SWITCH($A$2,"average", AVERAGE(Instances!BD9:Instances!BD9),"median", MEDIAN(Instances!BD9:Instances!BD9),"min", MIN(Instances!BD9:Instances!BD9),"max", MAX(Instances!BD9:Instances!BD9),"diff", MAX(Instances!BD9:Instances!BD9)-MIN(Instances!BD9:Instances!BD9))</f>
        <v>0</v>
      </c>
      <c r="BE9" s="1" cm="1">
        <f t="array" ref="BE9">_xlfn.SWITCH($A$2,"average", AVERAGE(Instances!BE9:Instances!BE9),"median", MEDIAN(Instances!BE9:Instances!BE9),"min", MIN(Instances!BE9:Instances!BE9),"max", MAX(Instances!BE9:Instances!BE9),"diff", MAX(Instances!BE9:Instances!BE9)-MIN(Instances!BE9:Instances!BE9))</f>
        <v>0</v>
      </c>
      <c r="BF9" s="1" cm="1">
        <f t="array" ref="BF9">_xlfn.SWITCH($A$2,"average", AVERAGE(Instances!BF9:Instances!BF9),"median", MEDIAN(Instances!BF9:Instances!BF9),"min", MIN(Instances!BF9:Instances!BF9),"max", MAX(Instances!BF9:Instances!BF9),"diff", MAX(Instances!BF9:Instances!BF9)-MIN(Instances!BF9:Instances!BF9))</f>
        <v>0</v>
      </c>
      <c r="BG9" s="1" cm="1">
        <f t="array" ref="BG9">_xlfn.SWITCH($A$2,"average", AVERAGE(Instances!BG9:Instances!BG9),"median", MEDIAN(Instances!BG9:Instances!BG9),"min", MIN(Instances!BG9:Instances!BG9),"max", MAX(Instances!BG9:Instances!BG9),"diff", MAX(Instances!BG9:Instances!BG9)-MIN(Instances!BG9:Instances!BG9))</f>
        <v>0</v>
      </c>
      <c r="BH9" s="1" cm="1">
        <f t="array" ref="BH9">_xlfn.SWITCH($A$2,"average", AVERAGE(Instances!BH9:Instances!BH9),"median", MEDIAN(Instances!BH9:Instances!BH9),"min", MIN(Instances!BH9:Instances!BH9),"max", MAX(Instances!BH9:Instances!BH9),"diff", MAX(Instances!BH9:Instances!BH9)-MIN(Instances!BH9:Instances!BH9))</f>
        <v>0</v>
      </c>
      <c r="BI9" s="1" cm="1">
        <f t="array" ref="BI9">_xlfn.SWITCH($A$2,"average", AVERAGE(Instances!BI9:Instances!BI9),"median", MEDIAN(Instances!BI9:Instances!BI9),"min", MIN(Instances!BI9:Instances!BI9),"max", MAX(Instances!BI9:Instances!BI9),"diff", MAX(Instances!BI9:Instances!BI9)-MIN(Instances!BI9:Instances!BI9))</f>
        <v>0</v>
      </c>
      <c r="BJ9" s="1" cm="1">
        <f t="array" ref="BJ9">_xlfn.SWITCH($A$2,"average", AVERAGE(Instances!BJ9:Instances!BJ9),"median", MEDIAN(Instances!BJ9:Instances!BJ9),"min", MIN(Instances!BJ9:Instances!BJ9),"max", MAX(Instances!BJ9:Instances!BJ9),"diff", MAX(Instances!BJ9:Instances!BJ9)-MIN(Instances!BJ9:Instances!BJ9))</f>
        <v>0</v>
      </c>
      <c r="BK9" s="1" cm="1">
        <f t="array" ref="BK9">_xlfn.SWITCH($A$2,"average", AVERAGE(Instances!BK9:Instances!BK9),"median", MEDIAN(Instances!BK9:Instances!BK9),"min", MIN(Instances!BK9:Instances!BK9),"max", MAX(Instances!BK9:Instances!BK9),"diff", MAX(Instances!BK9:Instances!BK9)-MIN(Instances!BK9:Instances!BK9))</f>
        <v>0</v>
      </c>
      <c r="BL9" s="1" cm="1">
        <f t="array" ref="BL9">_xlfn.SWITCH($A$2,"average", AVERAGE(Instances!BL9:Instances!BL9),"median", MEDIAN(Instances!BL9:Instances!BL9),"min", MIN(Instances!BL9:Instances!BL9),"max", MAX(Instances!BL9:Instances!BL9),"diff", MAX(Instances!BL9:Instances!BL9)-MIN(Instances!BL9:Instances!BL9))</f>
        <v>0</v>
      </c>
      <c r="BM9" s="1" cm="1">
        <f t="array" ref="BM9">_xlfn.SWITCH($A$2,"average", AVERAGE(Instances!BM9:Instances!BM9),"median", MEDIAN(Instances!BM9:Instances!BM9),"min", MIN(Instances!BM9:Instances!BM9),"max", MAX(Instances!BM9:Instances!BM9),"diff", MAX(Instances!BM9:Instances!BM9)-MIN(Instances!BM9:Instances!BM9))</f>
        <v>0</v>
      </c>
      <c r="BN9" s="1" cm="1">
        <f t="array" ref="BN9">_xlfn.SWITCH($A$2,"average", AVERAGE(Instances!BN9:Instances!BN9),"median", MEDIAN(Instances!BN9:Instances!BN9),"min", MIN(Instances!BN9:Instances!BN9),"max", MAX(Instances!BN9:Instances!BN9),"diff", MAX(Instances!BN9:Instances!BN9)-MIN(Instances!BN9:Instances!BN9))</f>
        <v>0</v>
      </c>
      <c r="BO9" s="1" cm="1">
        <f t="array" ref="BO9">_xlfn.SWITCH($A$2,"average", AVERAGE(Instances!BO9:Instances!BO9),"median", MEDIAN(Instances!BO9:Instances!BO9),"min", MIN(Instances!BO9:Instances!BO9),"max", MAX(Instances!BO9:Instances!BO9),"diff", MAX(Instances!BO9:Instances!BO9)-MIN(Instances!BO9:Instances!BO9))</f>
        <v>0</v>
      </c>
      <c r="BP9" s="1" cm="1">
        <f t="array" ref="BP9">_xlfn.SWITCH($A$2,"average", AVERAGE(Instances!BP9:Instances!BP9),"median", MEDIAN(Instances!BP9:Instances!BP9),"min", MIN(Instances!BP9:Instances!BP9),"max", MAX(Instances!BP9:Instances!BP9),"diff", MAX(Instances!BP9:Instances!BP9)-MIN(Instances!BP9:Instances!BP9))</f>
        <v>0</v>
      </c>
      <c r="BQ9" s="1" cm="1">
        <f t="array" ref="BQ9">_xlfn.SWITCH($A$2,"average", AVERAGE(Instances!BQ9:Instances!BQ9),"median", MEDIAN(Instances!BQ9:Instances!BQ9),"min", MIN(Instances!BQ9:Instances!BQ9),"max", MAX(Instances!BQ9:Instances!BQ9),"diff", MAX(Instances!BQ9:Instances!BQ9)-MIN(Instances!BQ9:Instances!BQ9))</f>
        <v>0</v>
      </c>
      <c r="BR9" s="1"/>
      <c r="BS9" s="1" cm="1">
        <f t="array" ref="BS9">_xlfn.SWITCH($A$2,"average", AVERAGE(Instances!BS9:Instances!BS9),"median", MEDIAN(Instances!BS9:Instances!BS9),"min", MIN(Instances!BS9:Instances!BS9),"max", MAX(Instances!BS9:Instances!BS9),"diff", MAX(Instances!BS9:Instances!BS9)-MIN(Instances!BS9:Instances!BS9))</f>
        <v>0</v>
      </c>
      <c r="BT9" s="1" cm="1">
        <f t="array" ref="BT9">_xlfn.SWITCH($A$2,"average", AVERAGE(Instances!BT9:Instances!BT9),"median", MEDIAN(Instances!BT9:Instances!BT9),"min", MIN(Instances!BT9:Instances!BT9),"max", MAX(Instances!BT9:Instances!BT9),"diff", MAX(Instances!BT9:Instances!BT9)-MIN(Instances!BT9:Instances!BT9))</f>
        <v>0</v>
      </c>
      <c r="BU9" s="1" cm="1">
        <f t="array" ref="BU9">_xlfn.SWITCH($A$2,"average", AVERAGE(Instances!BU9:Instances!BU9),"median", MEDIAN(Instances!BU9:Instances!BU9),"min", MIN(Instances!BU9:Instances!BU9),"max", MAX(Instances!BU9:Instances!BU9),"diff", MAX(Instances!BU9:Instances!BU9)-MIN(Instances!BU9:Instances!BU9))</f>
        <v>0</v>
      </c>
      <c r="BV9" s="1"/>
      <c r="BW9" s="1"/>
      <c r="BX9" s="1"/>
      <c r="BY9" s="1"/>
      <c r="BZ9" s="1"/>
      <c r="CA9" s="1" cm="1">
        <f t="array" ref="CA9">_xlfn.SWITCH($A$2,"average", AVERAGE(Instances!CA9:Instances!CA9),"median", MEDIAN(Instances!CA9:Instances!CA9),"min", MIN(Instances!CA9:Instances!CA9),"max", MAX(Instances!CA9:Instances!CA9),"diff", MAX(Instances!CA9:Instances!CA9)-MIN(Instances!CA9:Instances!CA9))</f>
        <v>0</v>
      </c>
      <c r="CB9" s="1"/>
      <c r="CC9" s="1"/>
      <c r="CD9" s="1" cm="1">
        <f t="array" ref="CD9">_xlfn.SWITCH($A$2,"average", AVERAGE(Instances!CD9:Instances!CD9),"median", MEDIAN(Instances!CD9:Instances!CD9),"min", MIN(Instances!CD9:Instances!CD9),"max", MAX(Instances!CD9:Instances!CD9),"diff", MAX(Instances!CD9:Instances!CD9)-MIN(Instances!CD9:Instances!CD9))</f>
        <v>0</v>
      </c>
      <c r="CE9" s="1"/>
      <c r="CF9" s="1" cm="1">
        <f t="array" ref="CF9">_xlfn.SWITCH($A$2,"average", AVERAGE(Instances!CF9:Instances!CF9),"median", MEDIAN(Instances!CF9:Instances!CF9),"min", MIN(Instances!CF9:Instances!CF9),"max", MAX(Instances!CF9:Instances!CF9),"diff", MAX(Instances!CF9:Instances!CF9)-MIN(Instances!CF9:Instances!CF9))</f>
        <v>0</v>
      </c>
      <c r="CG9" s="1"/>
      <c r="CH9" s="1"/>
      <c r="CI9" s="1"/>
      <c r="CJ9" s="1"/>
      <c r="CK9" s="1" cm="1">
        <f t="array" ref="CK9">_xlfn.SWITCH($A$2,"average", AVERAGE(Instances!CK9:Instances!CK9),"median", MEDIAN(Instances!CK9:Instances!CK9),"min", MIN(Instances!CK9:Instances!CK9),"max", MAX(Instances!CK9:Instances!CK9),"diff", MAX(Instances!CK9:Instances!CK9)-MIN(Instances!CK9:Instances!CK9))</f>
        <v>0</v>
      </c>
      <c r="CL9" s="1" cm="1">
        <f t="array" ref="CL9">_xlfn.SWITCH($A$2,"average", AVERAGE(Instances!CL9:Instances!CL9),"median", MEDIAN(Instances!CL9:Instances!CL9),"min", MIN(Instances!CL9:Instances!CL9),"max", MAX(Instances!CL9:Instances!CL9),"diff", MAX(Instances!CL9:Instances!CL9)-MIN(Instances!CL9:Instances!CL9))</f>
        <v>0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 cm="1">
        <f t="array" ref="EC9">_xlfn.SWITCH($A$2,"average", AVERAGE(Instances!EC9:Instances!EC9),"median", MEDIAN(Instances!EC9:Instances!EC9),"min", MIN(Instances!EC9:Instances!EC9),"max", MAX(Instances!EC9:Instances!EC9),"diff", MAX(Instances!EC9:Instances!EC9)-MIN(Instances!EC9:Instances!EC9))</f>
        <v>0</v>
      </c>
      <c r="ED9" s="1"/>
      <c r="EE9" s="1"/>
      <c r="EF9" s="1" cm="1">
        <f t="array" ref="EF9">_xlfn.SWITCH($A$2,"average", AVERAGE(Instances!EF9:Instances!EF9),"median", MEDIAN(Instances!EF9:Instances!EF9),"min", MIN(Instances!EF9:Instances!EF9),"max", MAX(Instances!EF9:Instances!EF9),"diff", MAX(Instances!EF9:Instances!EF9)-MIN(Instances!EF9:Instances!EF9))</f>
        <v>0</v>
      </c>
      <c r="EG9" s="1"/>
      <c r="EH9" s="1" cm="1">
        <f t="array" ref="EH9">_xlfn.SWITCH($A$2,"average", AVERAGE(Instances!EH9:Instances!EH9),"median", MEDIAN(Instances!EH9:Instances!EH9),"min", MIN(Instances!EH9:Instances!EH9),"max", MAX(Instances!EH9:Instances!EH9),"diff", MAX(Instances!EH9:Instances!EH9)-MIN(Instances!EH9:Instances!EH9))</f>
        <v>0</v>
      </c>
      <c r="EI9" s="1"/>
      <c r="EJ9" s="1"/>
      <c r="EK9" s="1"/>
      <c r="EL9" s="1"/>
      <c r="EM9" s="1" cm="1">
        <f t="array" ref="EM9">_xlfn.SWITCH($A$2,"average", AVERAGE(Instances!EM9:Instances!EM9),"median", MEDIAN(Instances!EM9:Instances!EM9),"min", MIN(Instances!EM9:Instances!EM9),"max", MAX(Instances!EM9:Instances!EM9),"diff", MAX(Instances!EM9:Instances!EM9)-MIN(Instances!EM9:Instances!EM9))</f>
        <v>0</v>
      </c>
      <c r="EN9" s="1" cm="1">
        <f t="array" ref="EN9">_xlfn.SWITCH($A$2,"average", AVERAGE(Instances!EN9:Instances!EN9),"median", MEDIAN(Instances!EN9:Instances!EN9),"min", MIN(Instances!EN9:Instances!EN9),"max", MAX(Instances!EN9:Instances!EN9),"diff", MAX(Instances!EN9:Instances!EN9)-MIN(Instances!EN9:Instances!EN9))</f>
        <v>0</v>
      </c>
      <c r="EO9" s="1"/>
      <c r="EP9" s="1"/>
      <c r="EQ9" s="1"/>
      <c r="ER9" s="1"/>
      <c r="ES9" s="1"/>
      <c r="ET9" s="1"/>
      <c r="EU9" s="1" cm="1">
        <f t="array" ref="EU9">_xlfn.SWITCH($A$2,"average", AVERAGE(Instances!EU9:Instances!EU9),"median", MEDIAN(Instances!EU9:Instances!EU9),"min", MIN(Instances!EU9:Instances!EU9),"max", MAX(Instances!EU9:Instances!EU9),"diff", MAX(Instances!EU9:Instances!EU9)-MIN(Instances!EU9:Instances!EU9))</f>
        <v>0</v>
      </c>
      <c r="EV9" s="1"/>
      <c r="EW9" s="1"/>
      <c r="EX9" s="1" cm="1">
        <f t="array" ref="EX9">_xlfn.SWITCH($A$2,"average", AVERAGE(Instances!EX9:Instances!EX9),"median", MEDIAN(Instances!EX9:Instances!EX9),"min", MIN(Instances!EX9:Instances!EX9),"max", MAX(Instances!EX9:Instances!EX9),"diff", MAX(Instances!EX9:Instances!EX9)-MIN(Instances!EX9:Instances!EX9))</f>
        <v>0</v>
      </c>
      <c r="EY9" s="1"/>
      <c r="EZ9" s="1" cm="1">
        <f t="array" ref="EZ9">_xlfn.SWITCH($A$2,"average", AVERAGE(Instances!EZ9:Instances!EZ9),"median", MEDIAN(Instances!EZ9:Instances!EZ9),"min", MIN(Instances!EZ9:Instances!EZ9),"max", MAX(Instances!EZ9:Instances!EZ9),"diff", MAX(Instances!EZ9:Instances!EZ9)-MIN(Instances!EZ9:Instances!EZ9))</f>
        <v>0</v>
      </c>
      <c r="FA9" s="1"/>
      <c r="FB9" s="1"/>
      <c r="FC9" s="1"/>
      <c r="FD9" s="1"/>
      <c r="FE9" s="1" cm="1">
        <f t="array" ref="FE9">_xlfn.SWITCH($A$2,"average", AVERAGE(Instances!FE9:Instances!FE9),"median", MEDIAN(Instances!FE9:Instances!FE9),"min", MIN(Instances!FE9:Instances!FE9),"max", MAX(Instances!FE9:Instances!FE9),"diff", MAX(Instances!FE9:Instances!FE9)-MIN(Instances!FE9:Instances!FE9))</f>
        <v>0</v>
      </c>
      <c r="FF9" s="1" cm="1">
        <f t="array" ref="FF9">_xlfn.SWITCH($A$2,"average", AVERAGE(Instances!FF9:Instances!FF9),"median", MEDIAN(Instances!FF9:Instances!FF9),"min", MIN(Instances!FF9:Instances!FF9),"max", MAX(Instances!FF9:Instances!FF9),"diff", MAX(Instances!FF9:Instances!FF9)-MIN(Instances!FF9:Instances!FF9))</f>
        <v>0</v>
      </c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 cm="1">
        <f t="array" ref="GE9">_xlfn.SWITCH($A$2,"average", AVERAGE(Instances!GE9:Instances!GE9),"median", MEDIAN(Instances!GE9:Instances!GE9),"min", MIN(Instances!GE9:Instances!GE9),"max", MAX(Instances!GE9:Instances!GE9),"diff", MAX(Instances!GE9:Instances!GE9)-MIN(Instances!GE9:Instances!GE9))</f>
        <v>0</v>
      </c>
      <c r="GF9" s="1"/>
      <c r="GG9" s="1"/>
      <c r="GH9" s="1" cm="1">
        <f t="array" ref="GH9">_xlfn.SWITCH($A$2,"average", AVERAGE(Instances!GH9:Instances!GH9),"median", MEDIAN(Instances!GH9:Instances!GH9),"min", MIN(Instances!GH9:Instances!GH9),"max", MAX(Instances!GH9:Instances!GH9),"diff", MAX(Instances!GH9:Instances!GH9)-MIN(Instances!GH9:Instances!GH9))</f>
        <v>0</v>
      </c>
      <c r="GI9" s="1"/>
      <c r="GJ9" s="1" cm="1">
        <f t="array" ref="GJ9">_xlfn.SWITCH($A$2,"average", AVERAGE(Instances!GJ9:Instances!GJ9),"median", MEDIAN(Instances!GJ9:Instances!GJ9),"min", MIN(Instances!GJ9:Instances!GJ9),"max", MAX(Instances!GJ9:Instances!GJ9),"diff", MAX(Instances!GJ9:Instances!GJ9)-MIN(Instances!GJ9:Instances!GJ9))</f>
        <v>0</v>
      </c>
      <c r="GK9" s="1"/>
      <c r="GL9" s="1"/>
      <c r="GM9" s="1"/>
      <c r="GN9" s="1"/>
      <c r="GO9" s="1" cm="1">
        <f t="array" ref="GO9">_xlfn.SWITCH($A$2,"average", AVERAGE(Instances!GO9:Instances!GO9),"median", MEDIAN(Instances!GO9:Instances!GO9),"min", MIN(Instances!GO9:Instances!GO9),"max", MAX(Instances!GO9:Instances!GO9),"diff", MAX(Instances!GO9:Instances!GO9)-MIN(Instances!GO9:Instances!GO9))</f>
        <v>0</v>
      </c>
      <c r="GP9" s="1" cm="1">
        <f t="array" ref="GP9">_xlfn.SWITCH($A$2,"average", AVERAGE(Instances!GP9:Instances!GP9),"median", MEDIAN(Instances!GP9:Instances!GP9),"min", MIN(Instances!GP9:Instances!GP9),"max", MAX(Instances!GP9:Instances!GP9),"diff", MAX(Instances!GP9:Instances!GP9)-MIN(Instances!GP9:Instances!GP9))</f>
        <v>0</v>
      </c>
      <c r="GQ9" s="1"/>
      <c r="GR9" s="1"/>
      <c r="GS9" s="1"/>
      <c r="GT9" s="1"/>
      <c r="GU9" s="1"/>
      <c r="GV9" s="1"/>
      <c r="GW9" s="1" cm="1">
        <f t="array" ref="GW9">_xlfn.SWITCH($A$2,"average", AVERAGE(Instances!GW9:Instances!GW9),"median", MEDIAN(Instances!GW9:Instances!GW9),"min", MIN(Instances!GW9:Instances!GW9),"max", MAX(Instances!GW9:Instances!GW9),"diff", MAX(Instances!GW9:Instances!GW9)-MIN(Instances!GW9:Instances!GW9))</f>
        <v>0</v>
      </c>
      <c r="GX9" s="1"/>
      <c r="GY9" s="1"/>
      <c r="GZ9" s="1" cm="1">
        <f t="array" ref="GZ9">_xlfn.SWITCH($A$2,"average", AVERAGE(Instances!GZ9:Instances!GZ9),"median", MEDIAN(Instances!GZ9:Instances!GZ9),"min", MIN(Instances!GZ9:Instances!GZ9),"max", MAX(Instances!GZ9:Instances!GZ9),"diff", MAX(Instances!GZ9:Instances!GZ9)-MIN(Instances!GZ9:Instances!GZ9))</f>
        <v>0</v>
      </c>
      <c r="HA9" s="1"/>
      <c r="HB9" s="1" cm="1">
        <f t="array" ref="HB9">_xlfn.SWITCH($A$2,"average", AVERAGE(Instances!HB9:Instances!HB9),"median", MEDIAN(Instances!HB9:Instances!HB9),"min", MIN(Instances!HB9:Instances!HB9),"max", MAX(Instances!HB9:Instances!HB9),"diff", MAX(Instances!HB9:Instances!HB9)-MIN(Instances!HB9:Instances!HB9))</f>
        <v>0</v>
      </c>
      <c r="HC9" s="1"/>
      <c r="HD9" s="1"/>
      <c r="HE9" s="1"/>
      <c r="HF9" s="1"/>
      <c r="HG9" s="1" cm="1">
        <f t="array" ref="HG9">_xlfn.SWITCH($A$2,"average", AVERAGE(Instances!HG9:Instances!HG9),"median", MEDIAN(Instances!HG9:Instances!HG9),"min", MIN(Instances!HG9:Instances!HG9),"max", MAX(Instances!HG9:Instances!HG9),"diff", MAX(Instances!HG9:Instances!HG9)-MIN(Instances!HG9:Instances!HG9))</f>
        <v>0</v>
      </c>
      <c r="HH9" s="1" cm="1">
        <f t="array" ref="HH9">_xlfn.SWITCH($A$2,"average", AVERAGE(Instances!HH9:Instances!HH9),"median", MEDIAN(Instances!HH9:Instances!HH9),"min", MIN(Instances!HH9:Instances!HH9),"max", MAX(Instances!HH9:Instances!HH9),"diff", MAX(Instances!HH9:Instances!HH9)-MIN(Instances!HH9:Instances!HH9))</f>
        <v>0</v>
      </c>
      <c r="HI9" s="1"/>
      <c r="HJ9" s="1"/>
      <c r="HK9" s="1"/>
      <c r="HL9" s="1"/>
      <c r="HM9" s="1"/>
      <c r="HN9" s="1"/>
      <c r="HO9" s="1" cm="1">
        <f t="array" ref="HO9">_xlfn.SWITCH($A$2,"average", AVERAGE(Instances!HO9:Instances!HO9),"median", MEDIAN(Instances!HO9:Instances!HO9),"min", MIN(Instances!HO9:Instances!HO9),"max", MAX(Instances!HO9:Instances!HO9),"diff", MAX(Instances!HO9:Instances!HO9)-MIN(Instances!HO9:Instances!HO9))</f>
        <v>0</v>
      </c>
      <c r="HP9" s="1"/>
      <c r="HQ9" s="1"/>
      <c r="HR9" s="1" cm="1">
        <f t="array" ref="HR9">_xlfn.SWITCH($A$2,"average", AVERAGE(Instances!HR9:Instances!HR9),"median", MEDIAN(Instances!HR9:Instances!HR9),"min", MIN(Instances!HR9:Instances!HR9),"max", MAX(Instances!HR9:Instances!HR9),"diff", MAX(Instances!HR9:Instances!HR9)-MIN(Instances!HR9:Instances!HR9))</f>
        <v>0</v>
      </c>
      <c r="HS9" s="1"/>
      <c r="HT9" s="1" cm="1">
        <f t="array" ref="HT9">_xlfn.SWITCH($A$2,"average", AVERAGE(Instances!HT9:Instances!HT9),"median", MEDIAN(Instances!HT9:Instances!HT9),"min", MIN(Instances!HT9:Instances!HT9),"max", MAX(Instances!HT9:Instances!HT9),"diff", MAX(Instances!HT9:Instances!HT9)-MIN(Instances!HT9:Instances!HT9))</f>
        <v>0</v>
      </c>
      <c r="HU9" s="1"/>
      <c r="HV9" s="1"/>
      <c r="HW9" s="1"/>
      <c r="HX9" s="1"/>
      <c r="HY9" s="1" cm="1">
        <f t="array" ref="HY9">_xlfn.SWITCH($A$2,"average", AVERAGE(Instances!HY9:Instances!HY9),"median", MEDIAN(Instances!HY9:Instances!HY9),"min", MIN(Instances!HY9:Instances!HY9),"max", MAX(Instances!HY9:Instances!HY9),"diff", MAX(Instances!HY9:Instances!HY9)-MIN(Instances!HY9:Instances!HY9))</f>
        <v>0</v>
      </c>
      <c r="HZ9" s="1" cm="1">
        <f t="array" ref="HZ9">_xlfn.SWITCH($A$2,"average", AVERAGE(Instances!HZ9:Instances!HZ9),"median", MEDIAN(Instances!HZ9:Instances!HZ9),"min", MIN(Instances!HZ9:Instances!HZ9),"max", MAX(Instances!HZ9:Instances!HZ9),"diff", MAX(Instances!HZ9:Instances!HZ9)-MIN(Instances!HZ9:Instances!HZ9))</f>
        <v>0</v>
      </c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 cm="1">
        <f t="array" ref="JQ9">_xlfn.SWITCH($A$2,"average", AVERAGE(Instances!JQ9:Instances!JQ9),"median", MEDIAN(Instances!JQ9:Instances!JQ9),"min", MIN(Instances!JQ9:Instances!JQ9),"max", MAX(Instances!JQ9:Instances!JQ9),"diff", MAX(Instances!JQ9:Instances!JQ9)-MIN(Instances!JQ9:Instances!JQ9))</f>
        <v>0</v>
      </c>
      <c r="JR9" s="1"/>
      <c r="JS9" s="1"/>
      <c r="JT9" s="1" cm="1">
        <f t="array" ref="JT9">_xlfn.SWITCH($A$2,"average", AVERAGE(Instances!JT9:Instances!JT9),"median", MEDIAN(Instances!JT9:Instances!JT9),"min", MIN(Instances!JT9:Instances!JT9),"max", MAX(Instances!JT9:Instances!JT9),"diff", MAX(Instances!JT9:Instances!JT9)-MIN(Instances!JT9:Instances!JT9))</f>
        <v>0</v>
      </c>
      <c r="JU9" s="1"/>
      <c r="JV9" s="1" cm="1">
        <f t="array" ref="JV9">_xlfn.SWITCH($A$2,"average", AVERAGE(Instances!JV9:Instances!JV9),"median", MEDIAN(Instances!JV9:Instances!JV9),"min", MIN(Instances!JV9:Instances!JV9),"max", MAX(Instances!JV9:Instances!JV9),"diff", MAX(Instances!JV9:Instances!JV9)-MIN(Instances!JV9:Instances!JV9))</f>
        <v>0</v>
      </c>
      <c r="JW9" s="1"/>
      <c r="JX9" s="1"/>
      <c r="JY9" s="1"/>
      <c r="JZ9" s="1"/>
      <c r="KA9" s="1" cm="1">
        <f t="array" ref="KA9">_xlfn.SWITCH($A$2,"average", AVERAGE(Instances!KA9:Instances!KA9),"median", MEDIAN(Instances!KA9:Instances!KA9),"min", MIN(Instances!KA9:Instances!KA9),"max", MAX(Instances!KA9:Instances!KA9),"diff", MAX(Instances!KA9:Instances!KA9)-MIN(Instances!KA9:Instances!KA9))</f>
        <v>0</v>
      </c>
      <c r="KB9" s="1" cm="1">
        <f t="array" ref="KB9">_xlfn.SWITCH($A$2,"average", AVERAGE(Instances!KB9:Instances!KB9),"median", MEDIAN(Instances!KB9:Instances!KB9),"min", MIN(Instances!KB9:Instances!KB9),"max", MAX(Instances!KB9:Instances!KB9),"diff", MAX(Instances!KB9:Instances!KB9)-MIN(Instances!KB9:Instances!KB9))</f>
        <v>0</v>
      </c>
      <c r="KC9" s="1"/>
      <c r="KD9" s="1">
        <f>MIN($B9,$T9,$AL9,$BD9,$BV9,$CN9,$DF9,$DX9,$EP9,$FH9,$FZ9,$GR9,$HJ9,$IB9,$IT9,$JL9)</f>
        <v>0</v>
      </c>
      <c r="KE9" s="1">
        <f>MIN($C9,$U9,$AM9,$BE9,$BW9,$CO9,$DG9,$DY9,$EQ9,$FI9,$GA9,$GS9,$HK9,$IC9,$IU9,$JM9)</f>
        <v>0</v>
      </c>
      <c r="KF9" s="1">
        <f>MIN($D9,$V9,$AN9,$BF9,$BX9,$CP9,$DH9,$DZ9,$ER9,$FJ9,$GB9,$GT9,$HL9,$ID9,$IV9,$JN9)</f>
        <v>0</v>
      </c>
      <c r="KG9" s="1">
        <f>MIN($E9,$W9,$AO9,$BG9,$BY9,$CQ9,$DI9,$EA9,$ES9,$FK9,$GC9,$GU9,$HM9,$IE9,$IW9,$JO9)</f>
        <v>0</v>
      </c>
      <c r="KH9" s="1">
        <f>MIN($F9,$X9,$AP9,$BH9,$BZ9,$CR9,$DJ9,$EB9,$ET9,$FL9,$GD9,$GV9,$HN9,$IF9,$IX9,$JP9)</f>
        <v>0</v>
      </c>
      <c r="KI9" s="1">
        <f>MIN($G9,$Y9,$AQ9,$BI9,$CA9,$CS9,$DK9,$EC9,$EU9,$FM9,$GE9,$GW9,$HO9,$IG9,$IY9,$JQ9)</f>
        <v>0</v>
      </c>
      <c r="KJ9" s="1">
        <f>MIN($H9,$Z9,$AR9,$BJ9,$CB9,$CT9,$DL9,$ED9,$EV9,$FN9,$GF9,$GX9,$HP9,$IH9,$IZ9,$JR9)</f>
        <v>0</v>
      </c>
      <c r="KK9" s="1">
        <f>MIN($I9,$AA9,$AS9,$BK9,$CC9,$CU9,$DM9,$EE9,$EW9,$FO9,$GG9,$GY9,$HQ9,$II9,$JA9,$JS9)</f>
        <v>0</v>
      </c>
      <c r="KL9" s="1">
        <f>MIN($J9,$AB9,$AT9,$BL9,$CD9,$CV9,$DN9,$EF9,$EX9,$FP9,$GH9,$GZ9,$HR9,$IJ9,$JB9,$JT9)</f>
        <v>0</v>
      </c>
      <c r="KM9" s="1">
        <f>MIN($K9,$AC9,$AU9,$BM9,$CE9,$CW9,$DO9,$EG9,$EY9,$FQ9,$GI9,$HA9,$HS9,$IK9,$JC9,$JU9)</f>
        <v>0</v>
      </c>
      <c r="KN9" s="1">
        <f>MIN($L9,$AD9,$AV9,$BN9,$CF9,$CX9,$DP9,$EH9,$EZ9,$FR9,$GJ9,$HB9,$HT9,$IL9,$JD9,$JV9)</f>
        <v>0</v>
      </c>
      <c r="KO9" s="1">
        <f>MIN($M9,$AE9,$AW9,$BO9,$CG9,$CY9,$DQ9,$EI9,$FA9,$FS9,$GK9,$HC9,$HU9,$IM9,$JE9,$JW9)</f>
        <v>0</v>
      </c>
      <c r="KP9" s="1">
        <f>MIN($N9,$AF9,$AX9,$BP9,$CH9,$CZ9,$DR9,$EJ9,$FB9,$FT9,$GL9,$HD9,$HV9,$IN9,$JF9,$JX9)</f>
        <v>0</v>
      </c>
      <c r="KQ9" s="1">
        <f>MIN($O9,$AG9,$AY9,$BQ9,$CI9,$DA9,$DS9,$EK9,$FC9,$FU9,$GM9,$HE9,$HW9,$IO9,$JG9,$JY9)</f>
        <v>0</v>
      </c>
      <c r="KR9" s="1">
        <f>MIN($Q9,$AI9,$BA9,$BS9,$CK9,$DC9,$DU9,$EM9,$FE9,$FW9,$GO9,$HG9,$HY9,$IQ9,$JI9,$KA9)</f>
        <v>0</v>
      </c>
      <c r="KS9" s="1">
        <f>MIN($R9,$AJ9,$BB9,$BT9,$CL9,$DD9,$DV9,$EN9,$FF9,$FX9,$GP9,$HH9,$HZ9,$IR9,$JJ9,$KB9)</f>
        <v>0</v>
      </c>
      <c r="KT9" s="1">
        <f>MIN($S9,$AK9,$BC9,$BU9,$CM9,$DE9,$DW9,$EO9,$FG9,$FY9,$GQ9,$HI9,$IA9,$IS9,$JK9,$KC9)</f>
        <v>0</v>
      </c>
      <c r="KU9" s="1">
        <f>MEDIAN($B9,$T9,$AL9,$BD9,$BV9,$CN9,$DF9,$DX9,$EP9,$FH9,$FZ9,$GR9,$HJ9,$IB9,$IT9,$JL9)</f>
        <v>0</v>
      </c>
      <c r="KV9" s="1">
        <f>MEDIAN($C9,$U9,$AM9,$BE9,$BW9,$CO9,$DG9,$DY9,$EQ9,$FI9,$GA9,$GS9,$HK9,$IC9,$IU9,$JM9)</f>
        <v>0</v>
      </c>
      <c r="KW9" s="1">
        <f>MEDIAN($D9,$V9,$AN9,$BF9,$BX9,$CP9,$DH9,$DZ9,$ER9,$FJ9,$GB9,$GT9,$HL9,$ID9,$IV9,$JN9)</f>
        <v>0</v>
      </c>
      <c r="KX9" s="1">
        <f>MEDIAN($E9,$W9,$AO9,$BG9,$BY9,$CQ9,$DI9,$EA9,$ES9,$FK9,$GC9,$GU9,$HM9,$IE9,$IW9,$JO9)</f>
        <v>0</v>
      </c>
      <c r="KY9" s="1">
        <f>MEDIAN($F9,$X9,$AP9,$BH9,$BZ9,$CR9,$DJ9,$EB9,$ET9,$FL9,$GD9,$GV9,$HN9,$IF9,$IX9,$JP9)</f>
        <v>0</v>
      </c>
      <c r="KZ9" s="1">
        <f>MEDIAN($G9,$Y9,$AQ9,$BI9,$CA9,$CS9,$DK9,$EC9,$EU9,$FM9,$GE9,$GW9,$HO9,$IG9,$IY9,$JQ9)</f>
        <v>0</v>
      </c>
      <c r="LA9" s="1">
        <f>MEDIAN($H9,$Z9,$AR9,$BJ9,$CB9,$CT9,$DL9,$ED9,$EV9,$FN9,$GF9,$GX9,$HP9,$IH9,$IZ9,$JR9)</f>
        <v>0</v>
      </c>
      <c r="LB9" s="1">
        <f>MEDIAN($I9,$AA9,$AS9,$BK9,$CC9,$CU9,$DM9,$EE9,$EW9,$FO9,$GG9,$GY9,$HQ9,$II9,$JA9,$JS9)</f>
        <v>0</v>
      </c>
      <c r="LC9" s="1">
        <f>MEDIAN($J9,$AB9,$AT9,$BL9,$CD9,$CV9,$DN9,$EF9,$EX9,$FP9,$GH9,$GZ9,$HR9,$IJ9,$JB9,$JT9)</f>
        <v>0</v>
      </c>
      <c r="LD9" s="1">
        <f>MEDIAN($K9,$AC9,$AU9,$BM9,$CE9,$CW9,$DO9,$EG9,$EY9,$FQ9,$GI9,$HA9,$HS9,$IK9,$JC9,$JU9)</f>
        <v>0</v>
      </c>
      <c r="LE9" s="1">
        <f>MEDIAN($L9,$AD9,$AV9,$BN9,$CF9,$CX9,$DP9,$EH9,$EZ9,$FR9,$GJ9,$HB9,$HT9,$IL9,$JD9,$JV9)</f>
        <v>0</v>
      </c>
      <c r="LF9" s="1">
        <f>MEDIAN($M9,$AE9,$AW9,$BO9,$CG9,$CY9,$DQ9,$EI9,$FA9,$FS9,$GK9,$HC9,$HU9,$IM9,$JE9,$JW9)</f>
        <v>0</v>
      </c>
      <c r="LG9" s="1">
        <f>MEDIAN($N9,$AF9,$AX9,$BP9,$CH9,$CZ9,$DR9,$EJ9,$FB9,$FT9,$GL9,$HD9,$HV9,$IN9,$JF9,$JX9)</f>
        <v>0</v>
      </c>
      <c r="LH9" s="1">
        <f>MEDIAN($O9,$AG9,$AY9,$BQ9,$CI9,$DA9,$DS9,$EK9,$FC9,$FU9,$GM9,$HE9,$HW9,$IO9,$JG9,$JY9)</f>
        <v>0</v>
      </c>
      <c r="LI9" s="1">
        <f>MEDIAN($Q9,$AI9,$BA9,$BS9,$CK9,$DC9,$DU9,$EM9,$FE9,$FW9,$GO9,$HG9,$HY9,$IQ9,$JI9,$KA9)</f>
        <v>0</v>
      </c>
      <c r="LJ9" s="1">
        <f>MEDIAN($R9,$AJ9,$BB9,$BT9,$CL9,$DD9,$DV9,$EN9,$FF9,$FX9,$GP9,$HH9,$HZ9,$IR9,$JJ9,$KB9)</f>
        <v>0</v>
      </c>
      <c r="LK9" s="1">
        <f>MEDIAN($S9,$AK9,$BC9,$BU9,$CM9,$DE9,$DW9,$EO9,$FG9,$FY9,$GQ9,$HI9,$IA9,$IS9,$JK9,$KC9)</f>
        <v>0</v>
      </c>
      <c r="LL9" s="1">
        <f>MAX($B9,$T9,$AL9,$BD9,$BV9,$CN9,$DF9,$DX9,$EP9,$FH9,$FZ9,$GR9,$HJ9,$IB9,$IT9,$JL9)</f>
        <v>0</v>
      </c>
      <c r="LM9" s="1">
        <f>MAX($C9,$U9,$AM9,$BE9,$BW9,$CO9,$DG9,$DY9,$EQ9,$FI9,$GA9,$GS9,$HK9,$IC9,$IU9,$JM9)</f>
        <v>0</v>
      </c>
      <c r="LN9" s="1">
        <f>MAX($D9,$V9,$AN9,$BF9,$BX9,$CP9,$DH9,$DZ9,$ER9,$FJ9,$GB9,$GT9,$HL9,$ID9,$IV9,$JN9)</f>
        <v>0</v>
      </c>
      <c r="LO9" s="1">
        <f>MAX($E9,$W9,$AO9,$BG9,$BY9,$CQ9,$DI9,$EA9,$ES9,$FK9,$GC9,$GU9,$HM9,$IE9,$IW9,$JO9)</f>
        <v>0</v>
      </c>
      <c r="LP9" s="1">
        <f>MAX($F9,$X9,$AP9,$BH9,$BZ9,$CR9,$DJ9,$EB9,$ET9,$FL9,$GD9,$GV9,$HN9,$IF9,$IX9,$JP9)</f>
        <v>0</v>
      </c>
      <c r="LQ9" s="1">
        <f>MAX($G9,$Y9,$AQ9,$BI9,$CA9,$CS9,$DK9,$EC9,$EU9,$FM9,$GE9,$GW9,$HO9,$IG9,$IY9,$JQ9)</f>
        <v>0</v>
      </c>
      <c r="LR9" s="1">
        <f>MAX($H9,$Z9,$AR9,$BJ9,$CB9,$CT9,$DL9,$ED9,$EV9,$FN9,$GF9,$GX9,$HP9,$IH9,$IZ9,$JR9)</f>
        <v>0</v>
      </c>
      <c r="LS9" s="1">
        <f>MAX($I9,$AA9,$AS9,$BK9,$CC9,$CU9,$DM9,$EE9,$EW9,$FO9,$GG9,$GY9,$HQ9,$II9,$JA9,$JS9)</f>
        <v>0</v>
      </c>
      <c r="LT9" s="1">
        <f>MAX($J9,$AB9,$AT9,$BL9,$CD9,$CV9,$DN9,$EF9,$EX9,$FP9,$GH9,$GZ9,$HR9,$IJ9,$JB9,$JT9)</f>
        <v>0</v>
      </c>
      <c r="LU9" s="1">
        <f>MAX($K9,$AC9,$AU9,$BM9,$CE9,$CW9,$DO9,$EG9,$EY9,$FQ9,$GI9,$HA9,$HS9,$IK9,$JC9,$JU9)</f>
        <v>0</v>
      </c>
      <c r="LV9" s="1">
        <f>MAX($L9,$AD9,$AV9,$BN9,$CF9,$CX9,$DP9,$EH9,$EZ9,$FR9,$GJ9,$HB9,$HT9,$IL9,$JD9,$JV9)</f>
        <v>0</v>
      </c>
      <c r="LW9" s="1">
        <f>MAX($M9,$AE9,$AW9,$BO9,$CG9,$CY9,$DQ9,$EI9,$FA9,$FS9,$GK9,$HC9,$HU9,$IM9,$JE9,$JW9)</f>
        <v>0</v>
      </c>
      <c r="LX9" s="1">
        <f>MAX($N9,$AF9,$AX9,$BP9,$CH9,$CZ9,$DR9,$EJ9,$FB9,$FT9,$GL9,$HD9,$HV9,$IN9,$JF9,$JX9)</f>
        <v>0</v>
      </c>
      <c r="LY9" s="1">
        <f>MAX($O9,$AG9,$AY9,$BQ9,$CI9,$DA9,$DS9,$EK9,$FC9,$FU9,$GM9,$HE9,$HW9,$IO9,$JG9,$JY9)</f>
        <v>0</v>
      </c>
      <c r="LZ9" s="1">
        <f>MAX($Q9,$AI9,$BA9,$BS9,$CK9,$DC9,$DU9,$EM9,$FE9,$FW9,$GO9,$HG9,$HY9,$IQ9,$JI9,$KA9)</f>
        <v>0</v>
      </c>
      <c r="MA9" s="1">
        <f>MAX($R9,$AJ9,$BB9,$BT9,$CL9,$DD9,$DV9,$EN9,$FF9,$FX9,$GP9,$HH9,$HZ9,$IR9,$JJ9,$KB9)</f>
        <v>0</v>
      </c>
      <c r="MB9" s="1">
        <f>MAX($S9,$AK9,$BC9,$BU9,$CM9,$DE9,$DW9,$EO9,$FG9,$FY9,$GQ9,$HI9,$IA9,$IS9,$JK9,$KC9)</f>
        <v>0</v>
      </c>
    </row>
    <row r="10" spans="1:34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</row>
    <row r="11" spans="1:340">
      <c r="A11" s="1" t="s">
        <v>7</v>
      </c>
      <c r="B11" s="1">
        <f>SUM(B$3:B$9)</f>
        <v>0</v>
      </c>
      <c r="C11" s="1">
        <f>SUM(C$3:C$9)</f>
        <v>0</v>
      </c>
      <c r="D11" s="1">
        <f>SUM(D$3:D$9)</f>
        <v>0</v>
      </c>
      <c r="E11" s="1">
        <f>SUM(E$3:E$9)</f>
        <v>0</v>
      </c>
      <c r="F11" s="1">
        <f>SUM(F$3:F$9)</f>
        <v>0</v>
      </c>
      <c r="G11" s="1">
        <f>SUM(G$3:G$9)</f>
        <v>0</v>
      </c>
      <c r="H11" s="1">
        <f>SUM(H$3:H$9)</f>
        <v>0</v>
      </c>
      <c r="I11" s="1">
        <f>SUM(I$3:I$9)</f>
        <v>0</v>
      </c>
      <c r="J11" s="1">
        <f>SUM(J$3:J$9)</f>
        <v>0</v>
      </c>
      <c r="K11" s="1">
        <f>SUM(K$3:K$9)</f>
        <v>0</v>
      </c>
      <c r="L11" s="1">
        <f>SUM(L$3:L$9)</f>
        <v>0</v>
      </c>
      <c r="M11" s="1">
        <f>SUM(M$3:M$9)</f>
        <v>0</v>
      </c>
      <c r="N11" s="1">
        <f>SUM(N$3:N$9)</f>
        <v>0</v>
      </c>
      <c r="O11" s="1">
        <f>SUM(O$3:O$9)</f>
        <v>0</v>
      </c>
      <c r="P11" s="1"/>
      <c r="Q11" s="1">
        <f>SUM(Q$3:Q$9)</f>
        <v>0</v>
      </c>
      <c r="R11" s="1">
        <f>SUM(R$3:R$9)</f>
        <v>0</v>
      </c>
      <c r="S11" s="1">
        <f>SUM(S$3:S$9)</f>
        <v>0</v>
      </c>
      <c r="T11" s="1">
        <f>SUM(T$3:T$9)</f>
        <v>0</v>
      </c>
      <c r="U11" s="1">
        <f>SUM(U$3:U$9)</f>
        <v>0</v>
      </c>
      <c r="V11" s="1">
        <f>SUM(V$3:V$9)</f>
        <v>0</v>
      </c>
      <c r="W11" s="1">
        <f>SUM(W$3:W$9)</f>
        <v>0</v>
      </c>
      <c r="X11" s="1">
        <f>SUM(X$3:X$9)</f>
        <v>0</v>
      </c>
      <c r="Y11" s="1">
        <f>SUM(Y$3:Y$9)</f>
        <v>0</v>
      </c>
      <c r="Z11" s="1">
        <f>SUM(Z$3:Z$9)</f>
        <v>0</v>
      </c>
      <c r="AA11" s="1">
        <f>SUM(AA$3:AA$9)</f>
        <v>0</v>
      </c>
      <c r="AB11" s="1">
        <f>SUM(AB$3:AB$9)</f>
        <v>0</v>
      </c>
      <c r="AC11" s="1">
        <f>SUM(AC$3:AC$9)</f>
        <v>0</v>
      </c>
      <c r="AD11" s="1">
        <f>SUM(AD$3:AD$9)</f>
        <v>0</v>
      </c>
      <c r="AE11" s="1">
        <f>SUM(AE$3:AE$9)</f>
        <v>0</v>
      </c>
      <c r="AF11" s="1">
        <f>SUM(AF$3:AF$9)</f>
        <v>0</v>
      </c>
      <c r="AG11" s="1">
        <f>SUM(AG$3:AG$9)</f>
        <v>0</v>
      </c>
      <c r="AH11" s="1"/>
      <c r="AI11" s="1">
        <f>SUM(AI$3:AI$9)</f>
        <v>0</v>
      </c>
      <c r="AJ11" s="1">
        <f>SUM(AJ$3:AJ$9)</f>
        <v>0</v>
      </c>
      <c r="AK11" s="1">
        <f>SUM(AK$3:AK$9)</f>
        <v>0</v>
      </c>
      <c r="AL11" s="1">
        <f>SUM(AL$3:AL$9)</f>
        <v>0</v>
      </c>
      <c r="AM11" s="1">
        <f>SUM(AM$3:AM$9)</f>
        <v>0</v>
      </c>
      <c r="AN11" s="1">
        <f>SUM(AN$3:AN$9)</f>
        <v>0</v>
      </c>
      <c r="AO11" s="1">
        <f>SUM(AO$3:AO$9)</f>
        <v>0</v>
      </c>
      <c r="AP11" s="1">
        <f>SUM(AP$3:AP$9)</f>
        <v>0</v>
      </c>
      <c r="AQ11" s="1">
        <f>SUM(AQ$3:AQ$9)</f>
        <v>0</v>
      </c>
      <c r="AR11" s="1">
        <f>SUM(AR$3:AR$9)</f>
        <v>0</v>
      </c>
      <c r="AS11" s="1">
        <f>SUM(AS$3:AS$9)</f>
        <v>0</v>
      </c>
      <c r="AT11" s="1">
        <f>SUM(AT$3:AT$9)</f>
        <v>0</v>
      </c>
      <c r="AU11" s="1">
        <f>SUM(AU$3:AU$9)</f>
        <v>0</v>
      </c>
      <c r="AV11" s="1">
        <f>SUM(AV$3:AV$9)</f>
        <v>0</v>
      </c>
      <c r="AW11" s="1">
        <f>SUM(AW$3:AW$9)</f>
        <v>0</v>
      </c>
      <c r="AX11" s="1">
        <f>SUM(AX$3:AX$9)</f>
        <v>0</v>
      </c>
      <c r="AY11" s="1">
        <f>SUM(AY$3:AY$9)</f>
        <v>0</v>
      </c>
      <c r="AZ11" s="1"/>
      <c r="BA11" s="1">
        <f>SUM(BA$3:BA$9)</f>
        <v>0</v>
      </c>
      <c r="BB11" s="1">
        <f>SUM(BB$3:BB$9)</f>
        <v>0</v>
      </c>
      <c r="BC11" s="1">
        <f>SUM(BC$3:BC$9)</f>
        <v>0</v>
      </c>
      <c r="BD11" s="1">
        <f>SUM(BD$3:BD$9)</f>
        <v>0</v>
      </c>
      <c r="BE11" s="1">
        <f>SUM(BE$3:BE$9)</f>
        <v>0</v>
      </c>
      <c r="BF11" s="1">
        <f>SUM(BF$3:BF$9)</f>
        <v>0</v>
      </c>
      <c r="BG11" s="1">
        <f>SUM(BG$3:BG$9)</f>
        <v>0</v>
      </c>
      <c r="BH11" s="1">
        <f>SUM(BH$3:BH$9)</f>
        <v>0</v>
      </c>
      <c r="BI11" s="1">
        <f>SUM(BI$3:BI$9)</f>
        <v>0</v>
      </c>
      <c r="BJ11" s="1">
        <f>SUM(BJ$3:BJ$9)</f>
        <v>0</v>
      </c>
      <c r="BK11" s="1">
        <f>SUM(BK$3:BK$9)</f>
        <v>0</v>
      </c>
      <c r="BL11" s="1">
        <f>SUM(BL$3:BL$9)</f>
        <v>0</v>
      </c>
      <c r="BM11" s="1">
        <f>SUM(BM$3:BM$9)</f>
        <v>0</v>
      </c>
      <c r="BN11" s="1">
        <f>SUM(BN$3:BN$9)</f>
        <v>0</v>
      </c>
      <c r="BO11" s="1">
        <f>SUM(BO$3:BO$9)</f>
        <v>0</v>
      </c>
      <c r="BP11" s="1">
        <f>SUM(BP$3:BP$9)</f>
        <v>0</v>
      </c>
      <c r="BQ11" s="1">
        <f>SUM(BQ$3:BQ$9)</f>
        <v>0</v>
      </c>
      <c r="BR11" s="1"/>
      <c r="BS11" s="1">
        <f>SUM(BS$3:BS$9)</f>
        <v>0</v>
      </c>
      <c r="BT11" s="1">
        <f>SUM(BT$3:BT$9)</f>
        <v>0</v>
      </c>
      <c r="BU11" s="1">
        <f>SUM(BU$3:BU$9)</f>
        <v>0</v>
      </c>
      <c r="BV11" s="1">
        <f>SUM(BV$3:BV$9)</f>
        <v>0</v>
      </c>
      <c r="BW11" s="1">
        <f>SUM(BW$3:BW$9)</f>
        <v>0</v>
      </c>
      <c r="BX11" s="1">
        <f>SUM(BX$3:BX$9)</f>
        <v>0</v>
      </c>
      <c r="BY11" s="1">
        <f>SUM(BY$3:BY$9)</f>
        <v>0</v>
      </c>
      <c r="BZ11" s="1">
        <f>SUM(BZ$3:BZ$9)</f>
        <v>0</v>
      </c>
      <c r="CA11" s="1">
        <f>SUM(CA$3:CA$9)</f>
        <v>0</v>
      </c>
      <c r="CB11" s="1">
        <f>SUM(CB$3:CB$9)</f>
        <v>0</v>
      </c>
      <c r="CC11" s="1">
        <f>SUM(CC$3:CC$9)</f>
        <v>0</v>
      </c>
      <c r="CD11" s="1">
        <f>SUM(CD$3:CD$9)</f>
        <v>0</v>
      </c>
      <c r="CE11" s="1">
        <f>SUM(CE$3:CE$9)</f>
        <v>0</v>
      </c>
      <c r="CF11" s="1">
        <f>SUM(CF$3:CF$9)</f>
        <v>0</v>
      </c>
      <c r="CG11" s="1">
        <f>SUM(CG$3:CG$9)</f>
        <v>0</v>
      </c>
      <c r="CH11" s="1">
        <f>SUM(CH$3:CH$9)</f>
        <v>0</v>
      </c>
      <c r="CI11" s="1">
        <f>SUM(CI$3:CI$9)</f>
        <v>0</v>
      </c>
      <c r="CJ11" s="1"/>
      <c r="CK11" s="1">
        <f>SUM(CK$3:CK$9)</f>
        <v>0</v>
      </c>
      <c r="CL11" s="1">
        <f>SUM(CL$3:CL$9)</f>
        <v>0</v>
      </c>
      <c r="CM11" s="1">
        <f>SUM(CM$3:CM$9)</f>
        <v>0</v>
      </c>
      <c r="CN11" s="1">
        <f>SUM(CN$3:CN$9)</f>
        <v>0</v>
      </c>
      <c r="CO11" s="1">
        <f>SUM(CO$3:CO$9)</f>
        <v>0</v>
      </c>
      <c r="CP11" s="1">
        <f>SUM(CP$3:CP$9)</f>
        <v>0</v>
      </c>
      <c r="CQ11" s="1">
        <f>SUM(CQ$3:CQ$9)</f>
        <v>0</v>
      </c>
      <c r="CR11" s="1">
        <f>SUM(CR$3:CR$9)</f>
        <v>0</v>
      </c>
      <c r="CS11" s="1">
        <f>SUM(CS$3:CS$9)</f>
        <v>0</v>
      </c>
      <c r="CT11" s="1">
        <f>SUM(CT$3:CT$9)</f>
        <v>0</v>
      </c>
      <c r="CU11" s="1">
        <f>SUM(CU$3:CU$9)</f>
        <v>0</v>
      </c>
      <c r="CV11" s="1">
        <f>SUM(CV$3:CV$9)</f>
        <v>0</v>
      </c>
      <c r="CW11" s="1">
        <f>SUM(CW$3:CW$9)</f>
        <v>0</v>
      </c>
      <c r="CX11" s="1">
        <f>SUM(CX$3:CX$9)</f>
        <v>0</v>
      </c>
      <c r="CY11" s="1">
        <f>SUM(CY$3:CY$9)</f>
        <v>0</v>
      </c>
      <c r="CZ11" s="1">
        <f>SUM(CZ$3:CZ$9)</f>
        <v>0</v>
      </c>
      <c r="DA11" s="1">
        <f>SUM(DA$3:DA$9)</f>
        <v>0</v>
      </c>
      <c r="DB11" s="1"/>
      <c r="DC11" s="1">
        <f>SUM(DC$3:DC$9)</f>
        <v>0</v>
      </c>
      <c r="DD11" s="1">
        <f>SUM(DD$3:DD$9)</f>
        <v>0</v>
      </c>
      <c r="DE11" s="1">
        <f>SUM(DE$3:DE$9)</f>
        <v>0</v>
      </c>
      <c r="DF11" s="1">
        <f>SUM(DF$3:DF$9)</f>
        <v>0</v>
      </c>
      <c r="DG11" s="1">
        <f>SUM(DG$3:DG$9)</f>
        <v>0</v>
      </c>
      <c r="DH11" s="1">
        <f>SUM(DH$3:DH$9)</f>
        <v>0</v>
      </c>
      <c r="DI11" s="1">
        <f>SUM(DI$3:DI$9)</f>
        <v>0</v>
      </c>
      <c r="DJ11" s="1">
        <f>SUM(DJ$3:DJ$9)</f>
        <v>0</v>
      </c>
      <c r="DK11" s="1">
        <f>SUM(DK$3:DK$9)</f>
        <v>0</v>
      </c>
      <c r="DL11" s="1">
        <f>SUM(DL$3:DL$9)</f>
        <v>0</v>
      </c>
      <c r="DM11" s="1">
        <f>SUM(DM$3:DM$9)</f>
        <v>0</v>
      </c>
      <c r="DN11" s="1">
        <f>SUM(DN$3:DN$9)</f>
        <v>0</v>
      </c>
      <c r="DO11" s="1">
        <f>SUM(DO$3:DO$9)</f>
        <v>0</v>
      </c>
      <c r="DP11" s="1">
        <f>SUM(DP$3:DP$9)</f>
        <v>0</v>
      </c>
      <c r="DQ11" s="1">
        <f>SUM(DQ$3:DQ$9)</f>
        <v>0</v>
      </c>
      <c r="DR11" s="1">
        <f>SUM(DR$3:DR$9)</f>
        <v>0</v>
      </c>
      <c r="DS11" s="1">
        <f>SUM(DS$3:DS$9)</f>
        <v>0</v>
      </c>
      <c r="DT11" s="1"/>
      <c r="DU11" s="1">
        <f>SUM(DU$3:DU$9)</f>
        <v>0</v>
      </c>
      <c r="DV11" s="1">
        <f>SUM(DV$3:DV$9)</f>
        <v>0</v>
      </c>
      <c r="DW11" s="1">
        <f>SUM(DW$3:DW$9)</f>
        <v>0</v>
      </c>
      <c r="DX11" s="1">
        <f>SUM(DX$3:DX$9)</f>
        <v>0</v>
      </c>
      <c r="DY11" s="1">
        <f>SUM(DY$3:DY$9)</f>
        <v>0</v>
      </c>
      <c r="DZ11" s="1">
        <f>SUM(DZ$3:DZ$9)</f>
        <v>0</v>
      </c>
      <c r="EA11" s="1">
        <f>SUM(EA$3:EA$9)</f>
        <v>0</v>
      </c>
      <c r="EB11" s="1">
        <f>SUM(EB$3:EB$9)</f>
        <v>0</v>
      </c>
      <c r="EC11" s="1">
        <f>SUM(EC$3:EC$9)</f>
        <v>0</v>
      </c>
      <c r="ED11" s="1">
        <f>SUM(ED$3:ED$9)</f>
        <v>0</v>
      </c>
      <c r="EE11" s="1">
        <f>SUM(EE$3:EE$9)</f>
        <v>0</v>
      </c>
      <c r="EF11" s="1">
        <f>SUM(EF$3:EF$9)</f>
        <v>0</v>
      </c>
      <c r="EG11" s="1">
        <f>SUM(EG$3:EG$9)</f>
        <v>0</v>
      </c>
      <c r="EH11" s="1">
        <f>SUM(EH$3:EH$9)</f>
        <v>0</v>
      </c>
      <c r="EI11" s="1">
        <f>SUM(EI$3:EI$9)</f>
        <v>0</v>
      </c>
      <c r="EJ11" s="1">
        <f>SUM(EJ$3:EJ$9)</f>
        <v>0</v>
      </c>
      <c r="EK11" s="1">
        <f>SUM(EK$3:EK$9)</f>
        <v>0</v>
      </c>
      <c r="EL11" s="1"/>
      <c r="EM11" s="1">
        <f>SUM(EM$3:EM$9)</f>
        <v>0</v>
      </c>
      <c r="EN11" s="1">
        <f>SUM(EN$3:EN$9)</f>
        <v>0</v>
      </c>
      <c r="EO11" s="1">
        <f>SUM(EO$3:EO$9)</f>
        <v>0</v>
      </c>
      <c r="EP11" s="1">
        <f>SUM(EP$3:EP$9)</f>
        <v>0</v>
      </c>
      <c r="EQ11" s="1">
        <f>SUM(EQ$3:EQ$9)</f>
        <v>0</v>
      </c>
      <c r="ER11" s="1">
        <f>SUM(ER$3:ER$9)</f>
        <v>0</v>
      </c>
      <c r="ES11" s="1">
        <f>SUM(ES$3:ES$9)</f>
        <v>0</v>
      </c>
      <c r="ET11" s="1">
        <f>SUM(ET$3:ET$9)</f>
        <v>0</v>
      </c>
      <c r="EU11" s="1">
        <f>SUM(EU$3:EU$9)</f>
        <v>0</v>
      </c>
      <c r="EV11" s="1">
        <f>SUM(EV$3:EV$9)</f>
        <v>0</v>
      </c>
      <c r="EW11" s="1">
        <f>SUM(EW$3:EW$9)</f>
        <v>0</v>
      </c>
      <c r="EX11" s="1">
        <f>SUM(EX$3:EX$9)</f>
        <v>0</v>
      </c>
      <c r="EY11" s="1">
        <f>SUM(EY$3:EY$9)</f>
        <v>0</v>
      </c>
      <c r="EZ11" s="1">
        <f>SUM(EZ$3:EZ$9)</f>
        <v>0</v>
      </c>
      <c r="FA11" s="1">
        <f>SUM(FA$3:FA$9)</f>
        <v>0</v>
      </c>
      <c r="FB11" s="1">
        <f>SUM(FB$3:FB$9)</f>
        <v>0</v>
      </c>
      <c r="FC11" s="1">
        <f>SUM(FC$3:FC$9)</f>
        <v>0</v>
      </c>
      <c r="FD11" s="1"/>
      <c r="FE11" s="1">
        <f>SUM(FE$3:FE$9)</f>
        <v>0</v>
      </c>
      <c r="FF11" s="1">
        <f>SUM(FF$3:FF$9)</f>
        <v>0</v>
      </c>
      <c r="FG11" s="1">
        <f>SUM(FG$3:FG$9)</f>
        <v>0</v>
      </c>
      <c r="FH11" s="1">
        <f>SUM(FH$3:FH$9)</f>
        <v>0</v>
      </c>
      <c r="FI11" s="1">
        <f>SUM(FI$3:FI$9)</f>
        <v>0</v>
      </c>
      <c r="FJ11" s="1">
        <f>SUM(FJ$3:FJ$9)</f>
        <v>0</v>
      </c>
      <c r="FK11" s="1">
        <f>SUM(FK$3:FK$9)</f>
        <v>0</v>
      </c>
      <c r="FL11" s="1">
        <f>SUM(FL$3:FL$9)</f>
        <v>0</v>
      </c>
      <c r="FM11" s="1">
        <f>SUM(FM$3:FM$9)</f>
        <v>0</v>
      </c>
      <c r="FN11" s="1">
        <f>SUM(FN$3:FN$9)</f>
        <v>0</v>
      </c>
      <c r="FO11" s="1">
        <f>SUM(FO$3:FO$9)</f>
        <v>0</v>
      </c>
      <c r="FP11" s="1">
        <f>SUM(FP$3:FP$9)</f>
        <v>0</v>
      </c>
      <c r="FQ11" s="1">
        <f>SUM(FQ$3:FQ$9)</f>
        <v>0</v>
      </c>
      <c r="FR11" s="1">
        <f>SUM(FR$3:FR$9)</f>
        <v>0</v>
      </c>
      <c r="FS11" s="1">
        <f>SUM(FS$3:FS$9)</f>
        <v>0</v>
      </c>
      <c r="FT11" s="1">
        <f>SUM(FT$3:FT$9)</f>
        <v>0</v>
      </c>
      <c r="FU11" s="1">
        <f>SUM(FU$3:FU$9)</f>
        <v>0</v>
      </c>
      <c r="FV11" s="1"/>
      <c r="FW11" s="1">
        <f>SUM(FW$3:FW$9)</f>
        <v>0</v>
      </c>
      <c r="FX11" s="1">
        <f>SUM(FX$3:FX$9)</f>
        <v>0</v>
      </c>
      <c r="FY11" s="1">
        <f>SUM(FY$3:FY$9)</f>
        <v>0</v>
      </c>
      <c r="FZ11" s="1">
        <f>SUM(FZ$3:FZ$9)</f>
        <v>0</v>
      </c>
      <c r="GA11" s="1">
        <f>SUM(GA$3:GA$9)</f>
        <v>0</v>
      </c>
      <c r="GB11" s="1">
        <f>SUM(GB$3:GB$9)</f>
        <v>0</v>
      </c>
      <c r="GC11" s="1">
        <f>SUM(GC$3:GC$9)</f>
        <v>0</v>
      </c>
      <c r="GD11" s="1">
        <f>SUM(GD$3:GD$9)</f>
        <v>0</v>
      </c>
      <c r="GE11" s="1">
        <f>SUM(GE$3:GE$9)</f>
        <v>0</v>
      </c>
      <c r="GF11" s="1">
        <f>SUM(GF$3:GF$9)</f>
        <v>0</v>
      </c>
      <c r="GG11" s="1">
        <f>SUM(GG$3:GG$9)</f>
        <v>0</v>
      </c>
      <c r="GH11" s="1">
        <f>SUM(GH$3:GH$9)</f>
        <v>0</v>
      </c>
      <c r="GI11" s="1">
        <f>SUM(GI$3:GI$9)</f>
        <v>0</v>
      </c>
      <c r="GJ11" s="1">
        <f>SUM(GJ$3:GJ$9)</f>
        <v>0</v>
      </c>
      <c r="GK11" s="1">
        <f>SUM(GK$3:GK$9)</f>
        <v>0</v>
      </c>
      <c r="GL11" s="1">
        <f>SUM(GL$3:GL$9)</f>
        <v>0</v>
      </c>
      <c r="GM11" s="1">
        <f>SUM(GM$3:GM$9)</f>
        <v>0</v>
      </c>
      <c r="GN11" s="1"/>
      <c r="GO11" s="1">
        <f>SUM(GO$3:GO$9)</f>
        <v>0</v>
      </c>
      <c r="GP11" s="1">
        <f>SUM(GP$3:GP$9)</f>
        <v>0</v>
      </c>
      <c r="GQ11" s="1">
        <f>SUM(GQ$3:GQ$9)</f>
        <v>0</v>
      </c>
      <c r="GR11" s="1">
        <f>SUM(GR$3:GR$9)</f>
        <v>0</v>
      </c>
      <c r="GS11" s="1">
        <f>SUM(GS$3:GS$9)</f>
        <v>0</v>
      </c>
      <c r="GT11" s="1">
        <f>SUM(GT$3:GT$9)</f>
        <v>0</v>
      </c>
      <c r="GU11" s="1">
        <f>SUM(GU$3:GU$9)</f>
        <v>0</v>
      </c>
      <c r="GV11" s="1">
        <f>SUM(GV$3:GV$9)</f>
        <v>0</v>
      </c>
      <c r="GW11" s="1">
        <f>SUM(GW$3:GW$9)</f>
        <v>0</v>
      </c>
      <c r="GX11" s="1">
        <f>SUM(GX$3:GX$9)</f>
        <v>0</v>
      </c>
      <c r="GY11" s="1">
        <f>SUM(GY$3:GY$9)</f>
        <v>0</v>
      </c>
      <c r="GZ11" s="1">
        <f>SUM(GZ$3:GZ$9)</f>
        <v>0</v>
      </c>
      <c r="HA11" s="1">
        <f>SUM(HA$3:HA$9)</f>
        <v>0</v>
      </c>
      <c r="HB11" s="1">
        <f>SUM(HB$3:HB$9)</f>
        <v>0</v>
      </c>
      <c r="HC11" s="1">
        <f>SUM(HC$3:HC$9)</f>
        <v>0</v>
      </c>
      <c r="HD11" s="1">
        <f>SUM(HD$3:HD$9)</f>
        <v>0</v>
      </c>
      <c r="HE11" s="1">
        <f>SUM(HE$3:HE$9)</f>
        <v>0</v>
      </c>
      <c r="HF11" s="1"/>
      <c r="HG11" s="1">
        <f>SUM(HG$3:HG$9)</f>
        <v>0</v>
      </c>
      <c r="HH11" s="1">
        <f>SUM(HH$3:HH$9)</f>
        <v>0</v>
      </c>
      <c r="HI11" s="1">
        <f>SUM(HI$3:HI$9)</f>
        <v>0</v>
      </c>
      <c r="HJ11" s="1">
        <f>SUM(HJ$3:HJ$9)</f>
        <v>0</v>
      </c>
      <c r="HK11" s="1">
        <f>SUM(HK$3:HK$9)</f>
        <v>0</v>
      </c>
      <c r="HL11" s="1">
        <f>SUM(HL$3:HL$9)</f>
        <v>0</v>
      </c>
      <c r="HM11" s="1">
        <f>SUM(HM$3:HM$9)</f>
        <v>0</v>
      </c>
      <c r="HN11" s="1">
        <f>SUM(HN$3:HN$9)</f>
        <v>0</v>
      </c>
      <c r="HO11" s="1">
        <f>SUM(HO$3:HO$9)</f>
        <v>0</v>
      </c>
      <c r="HP11" s="1">
        <f>SUM(HP$3:HP$9)</f>
        <v>0</v>
      </c>
      <c r="HQ11" s="1">
        <f>SUM(HQ$3:HQ$9)</f>
        <v>0</v>
      </c>
      <c r="HR11" s="1">
        <f>SUM(HR$3:HR$9)</f>
        <v>0</v>
      </c>
      <c r="HS11" s="1">
        <f>SUM(HS$3:HS$9)</f>
        <v>0</v>
      </c>
      <c r="HT11" s="1">
        <f>SUM(HT$3:HT$9)</f>
        <v>0</v>
      </c>
      <c r="HU11" s="1">
        <f>SUM(HU$3:HU$9)</f>
        <v>0</v>
      </c>
      <c r="HV11" s="1">
        <f>SUM(HV$3:HV$9)</f>
        <v>0</v>
      </c>
      <c r="HW11" s="1">
        <f>SUM(HW$3:HW$9)</f>
        <v>0</v>
      </c>
      <c r="HX11" s="1"/>
      <c r="HY11" s="1">
        <f>SUM(HY$3:HY$9)</f>
        <v>0</v>
      </c>
      <c r="HZ11" s="1">
        <f>SUM(HZ$3:HZ$9)</f>
        <v>0</v>
      </c>
      <c r="IA11" s="1">
        <f>SUM(IA$3:IA$9)</f>
        <v>0</v>
      </c>
      <c r="IB11" s="1">
        <f>SUM(IB$3:IB$9)</f>
        <v>0</v>
      </c>
      <c r="IC11" s="1">
        <f>SUM(IC$3:IC$9)</f>
        <v>0</v>
      </c>
      <c r="ID11" s="1">
        <f>SUM(ID$3:ID$9)</f>
        <v>0</v>
      </c>
      <c r="IE11" s="1">
        <f>SUM(IE$3:IE$9)</f>
        <v>0</v>
      </c>
      <c r="IF11" s="1">
        <f>SUM(IF$3:IF$9)</f>
        <v>0</v>
      </c>
      <c r="IG11" s="1">
        <f>SUM(IG$3:IG$9)</f>
        <v>0</v>
      </c>
      <c r="IH11" s="1">
        <f>SUM(IH$3:IH$9)</f>
        <v>0</v>
      </c>
      <c r="II11" s="1">
        <f>SUM(II$3:II$9)</f>
        <v>0</v>
      </c>
      <c r="IJ11" s="1">
        <f>SUM(IJ$3:IJ$9)</f>
        <v>0</v>
      </c>
      <c r="IK11" s="1">
        <f>SUM(IK$3:IK$9)</f>
        <v>0</v>
      </c>
      <c r="IL11" s="1">
        <f>SUM(IL$3:IL$9)</f>
        <v>0</v>
      </c>
      <c r="IM11" s="1">
        <f>SUM(IM$3:IM$9)</f>
        <v>0</v>
      </c>
      <c r="IN11" s="1">
        <f>SUM(IN$3:IN$9)</f>
        <v>0</v>
      </c>
      <c r="IO11" s="1">
        <f>SUM(IO$3:IO$9)</f>
        <v>0</v>
      </c>
      <c r="IP11" s="1"/>
      <c r="IQ11" s="1">
        <f>SUM(IQ$3:IQ$9)</f>
        <v>0</v>
      </c>
      <c r="IR11" s="1">
        <f>SUM(IR$3:IR$9)</f>
        <v>0</v>
      </c>
      <c r="IS11" s="1">
        <f>SUM(IS$3:IS$9)</f>
        <v>0</v>
      </c>
      <c r="IT11" s="1">
        <f>SUM(IT$3:IT$9)</f>
        <v>0</v>
      </c>
      <c r="IU11" s="1">
        <f>SUM(IU$3:IU$9)</f>
        <v>0</v>
      </c>
      <c r="IV11" s="1">
        <f>SUM(IV$3:IV$9)</f>
        <v>0</v>
      </c>
      <c r="IW11" s="1">
        <f>SUM(IW$3:IW$9)</f>
        <v>0</v>
      </c>
      <c r="IX11" s="1">
        <f>SUM(IX$3:IX$9)</f>
        <v>0</v>
      </c>
      <c r="IY11" s="1">
        <f>SUM(IY$3:IY$9)</f>
        <v>0</v>
      </c>
      <c r="IZ11" s="1">
        <f>SUM(IZ$3:IZ$9)</f>
        <v>0</v>
      </c>
      <c r="JA11" s="1">
        <f>SUM(JA$3:JA$9)</f>
        <v>0</v>
      </c>
      <c r="JB11" s="1">
        <f>SUM(JB$3:JB$9)</f>
        <v>0</v>
      </c>
      <c r="JC11" s="1">
        <f>SUM(JC$3:JC$9)</f>
        <v>0</v>
      </c>
      <c r="JD11" s="1">
        <f>SUM(JD$3:JD$9)</f>
        <v>0</v>
      </c>
      <c r="JE11" s="1">
        <f>SUM(JE$3:JE$9)</f>
        <v>0</v>
      </c>
      <c r="JF11" s="1">
        <f>SUM(JF$3:JF$9)</f>
        <v>0</v>
      </c>
      <c r="JG11" s="1">
        <f>SUM(JG$3:JG$9)</f>
        <v>0</v>
      </c>
      <c r="JH11" s="1"/>
      <c r="JI11" s="1">
        <f>SUM(JI$3:JI$9)</f>
        <v>0</v>
      </c>
      <c r="JJ11" s="1">
        <f>SUM(JJ$3:JJ$9)</f>
        <v>0</v>
      </c>
      <c r="JK11" s="1">
        <f>SUM(JK$3:JK$9)</f>
        <v>0</v>
      </c>
      <c r="JL11" s="1">
        <f>SUM(JL$3:JL$9)</f>
        <v>0</v>
      </c>
      <c r="JM11" s="1">
        <f>SUM(JM$3:JM$9)</f>
        <v>0</v>
      </c>
      <c r="JN11" s="1">
        <f>SUM(JN$3:JN$9)</f>
        <v>0</v>
      </c>
      <c r="JO11" s="1">
        <f>SUM(JO$3:JO$9)</f>
        <v>0</v>
      </c>
      <c r="JP11" s="1">
        <f>SUM(JP$3:JP$9)</f>
        <v>0</v>
      </c>
      <c r="JQ11" s="1">
        <f>SUM(JQ$3:JQ$9)</f>
        <v>0</v>
      </c>
      <c r="JR11" s="1">
        <f>SUM(JR$3:JR$9)</f>
        <v>0</v>
      </c>
      <c r="JS11" s="1">
        <f>SUM(JS$3:JS$9)</f>
        <v>0</v>
      </c>
      <c r="JT11" s="1">
        <f>SUM(JT$3:JT$9)</f>
        <v>0</v>
      </c>
      <c r="JU11" s="1">
        <f>SUM(JU$3:JU$9)</f>
        <v>0</v>
      </c>
      <c r="JV11" s="1">
        <f>SUM(JV$3:JV$9)</f>
        <v>0</v>
      </c>
      <c r="JW11" s="1">
        <f>SUM(JW$3:JW$9)</f>
        <v>0</v>
      </c>
      <c r="JX11" s="1">
        <f>SUM(JX$3:JX$9)</f>
        <v>0</v>
      </c>
      <c r="JY11" s="1">
        <f>SUM(JY$3:JY$9)</f>
        <v>0</v>
      </c>
      <c r="JZ11" s="1"/>
      <c r="KA11" s="1">
        <f>SUM(KA$3:KA$9)</f>
        <v>0</v>
      </c>
      <c r="KB11" s="1">
        <f>SUM(KB$3:KB$9)</f>
        <v>0</v>
      </c>
      <c r="KC11" s="1">
        <f>SUM(KC$3:KC$9)</f>
        <v>0</v>
      </c>
      <c r="KD11" s="1">
        <f>SUM(KD$3:KD$9)</f>
        <v>0</v>
      </c>
      <c r="KE11" s="1">
        <f>SUM(KE$3:KE$9)</f>
        <v>0</v>
      </c>
      <c r="KF11" s="1">
        <f>SUM(KF$3:KF$9)</f>
        <v>0</v>
      </c>
      <c r="KG11" s="1">
        <f>SUM(KG$3:KG$9)</f>
        <v>0</v>
      </c>
      <c r="KH11" s="1">
        <f>SUM(KH$3:KH$9)</f>
        <v>0</v>
      </c>
      <c r="KI11" s="1">
        <f>SUM(KI$3:KI$9)</f>
        <v>0</v>
      </c>
      <c r="KJ11" s="1">
        <f>SUM(KJ$3:KJ$9)</f>
        <v>0</v>
      </c>
      <c r="KK11" s="1">
        <f>SUM(KK$3:KK$9)</f>
        <v>0</v>
      </c>
      <c r="KL11" s="1">
        <f>SUM(KL$3:KL$9)</f>
        <v>0</v>
      </c>
      <c r="KM11" s="1">
        <f>SUM(KM$3:KM$9)</f>
        <v>0</v>
      </c>
      <c r="KN11" s="1">
        <f>SUM(KN$3:KN$9)</f>
        <v>0</v>
      </c>
      <c r="KO11" s="1">
        <f>SUM(KO$3:KO$9)</f>
        <v>0</v>
      </c>
      <c r="KP11" s="1">
        <f>SUM(KP$3:KP$9)</f>
        <v>0</v>
      </c>
      <c r="KQ11" s="1">
        <f>SUM(KQ$3:KQ$9)</f>
        <v>0</v>
      </c>
      <c r="KR11" s="1">
        <f>SUM(KR$3:KR$9)</f>
        <v>0</v>
      </c>
      <c r="KS11" s="1">
        <f>SUM(KS$3:KS$9)</f>
        <v>0</v>
      </c>
      <c r="KT11" s="1">
        <f>SUM(KT$3:KT$9)</f>
        <v>0</v>
      </c>
      <c r="KU11" s="1">
        <f>SUM(KU$3:KU$9)</f>
        <v>0</v>
      </c>
      <c r="KV11" s="1">
        <f>SUM(KV$3:KV$9)</f>
        <v>0</v>
      </c>
      <c r="KW11" s="1">
        <f>SUM(KW$3:KW$9)</f>
        <v>0</v>
      </c>
      <c r="KX11" s="1">
        <f>SUM(KX$3:KX$9)</f>
        <v>0</v>
      </c>
      <c r="KY11" s="1">
        <f>SUM(KY$3:KY$9)</f>
        <v>0</v>
      </c>
      <c r="KZ11" s="1">
        <f>SUM(KZ$3:KZ$9)</f>
        <v>0</v>
      </c>
      <c r="LA11" s="1">
        <f>SUM(LA$3:LA$9)</f>
        <v>0</v>
      </c>
      <c r="LB11" s="1">
        <f>SUM(LB$3:LB$9)</f>
        <v>0</v>
      </c>
      <c r="LC11" s="1">
        <f>SUM(LC$3:LC$9)</f>
        <v>0</v>
      </c>
      <c r="LD11" s="1">
        <f>SUM(LD$3:LD$9)</f>
        <v>0</v>
      </c>
      <c r="LE11" s="1">
        <f>SUM(LE$3:LE$9)</f>
        <v>0</v>
      </c>
      <c r="LF11" s="1">
        <f>SUM(LF$3:LF$9)</f>
        <v>0</v>
      </c>
      <c r="LG11" s="1">
        <f>SUM(LG$3:LG$9)</f>
        <v>0</v>
      </c>
      <c r="LH11" s="1">
        <f>SUM(LH$3:LH$9)</f>
        <v>0</v>
      </c>
      <c r="LI11" s="1">
        <f>SUM(LI$3:LI$9)</f>
        <v>0</v>
      </c>
      <c r="LJ11" s="1">
        <f>SUM(LJ$3:LJ$9)</f>
        <v>0</v>
      </c>
      <c r="LK11" s="1">
        <f>SUM(LK$3:LK$9)</f>
        <v>0</v>
      </c>
      <c r="LL11" s="1">
        <f>SUM(LL$3:LL$9)</f>
        <v>0</v>
      </c>
      <c r="LM11" s="1">
        <f>SUM(LM$3:LM$9)</f>
        <v>0</v>
      </c>
      <c r="LN11" s="1">
        <f>SUM(LN$3:LN$9)</f>
        <v>0</v>
      </c>
      <c r="LO11" s="1">
        <f>SUM(LO$3:LO$9)</f>
        <v>0</v>
      </c>
      <c r="LP11" s="1">
        <f>SUM(LP$3:LP$9)</f>
        <v>0</v>
      </c>
      <c r="LQ11" s="1">
        <f>SUM(LQ$3:LQ$9)</f>
        <v>0</v>
      </c>
      <c r="LR11" s="1">
        <f>SUM(LR$3:LR$9)</f>
        <v>0</v>
      </c>
      <c r="LS11" s="1">
        <f>SUM(LS$3:LS$9)</f>
        <v>0</v>
      </c>
      <c r="LT11" s="1">
        <f>SUM(LT$3:LT$9)</f>
        <v>0</v>
      </c>
      <c r="LU11" s="1">
        <f>SUM(LU$3:LU$9)</f>
        <v>0</v>
      </c>
      <c r="LV11" s="1">
        <f>SUM(LV$3:LV$9)</f>
        <v>0</v>
      </c>
      <c r="LW11" s="1">
        <f>SUM(LW$3:LW$9)</f>
        <v>0</v>
      </c>
      <c r="LX11" s="1">
        <f>SUM(LX$3:LX$9)</f>
        <v>0</v>
      </c>
      <c r="LY11" s="1">
        <f>SUM(LY$3:LY$9)</f>
        <v>0</v>
      </c>
      <c r="LZ11" s="1">
        <f>SUM(LZ$3:LZ$9)</f>
        <v>0</v>
      </c>
      <c r="MA11" s="1">
        <f>SUM(MA$3:MA$9)</f>
        <v>0</v>
      </c>
      <c r="MB11" s="1">
        <f>SUM(MB$3:MB$9)</f>
        <v>0</v>
      </c>
    </row>
    <row r="12" spans="1:340">
      <c r="A12" s="1" t="s">
        <v>8</v>
      </c>
      <c r="B12" s="1">
        <f>AVERAGE(B$3:B$9)</f>
        <v>0</v>
      </c>
      <c r="C12" s="1">
        <f>AVERAGE(C$3:C$9)</f>
        <v>0</v>
      </c>
      <c r="D12" s="1">
        <f>AVERAGE(D$3:D$9)</f>
        <v>0</v>
      </c>
      <c r="E12" s="1">
        <f>AVERAGE(E$3:E$9)</f>
        <v>0</v>
      </c>
      <c r="F12" s="1">
        <f>AVERAGE(F$3:F$9)</f>
        <v>0</v>
      </c>
      <c r="G12" s="1">
        <f>AVERAGE(G$3:G$9)</f>
        <v>0</v>
      </c>
      <c r="H12" s="1">
        <f>AVERAGE(H$3:H$9)</f>
        <v>0</v>
      </c>
      <c r="I12" s="1">
        <f>AVERAGE(I$3:I$9)</f>
        <v>0</v>
      </c>
      <c r="J12" s="1">
        <f>AVERAGE(J$3:J$9)</f>
        <v>0</v>
      </c>
      <c r="K12" s="1">
        <f>AVERAGE(K$3:K$9)</f>
        <v>0</v>
      </c>
      <c r="L12" s="1">
        <f>AVERAGE(L$3:L$9)</f>
        <v>0</v>
      </c>
      <c r="M12" s="1">
        <f>AVERAGE(M$3:M$9)</f>
        <v>0</v>
      </c>
      <c r="N12" s="1">
        <f>AVERAGE(N$3:N$9)</f>
        <v>0</v>
      </c>
      <c r="O12" s="1">
        <f>AVERAGE(O$3:O$9)</f>
        <v>0</v>
      </c>
      <c r="P12" s="1"/>
      <c r="Q12" s="1">
        <f>AVERAGE(Q$3:Q$9)</f>
        <v>0</v>
      </c>
      <c r="R12" s="1">
        <f>AVERAGE(R$3:R$9)</f>
        <v>0</v>
      </c>
      <c r="S12" s="1">
        <f>AVERAGE(S$3:S$9)</f>
        <v>0</v>
      </c>
      <c r="T12" s="1">
        <f>AVERAGE(T$3:T$9)</f>
        <v>0</v>
      </c>
      <c r="U12" s="1">
        <f>AVERAGE(U$3:U$9)</f>
        <v>0</v>
      </c>
      <c r="V12" s="1">
        <f>AVERAGE(V$3:V$9)</f>
        <v>0</v>
      </c>
      <c r="W12" s="1">
        <f>AVERAGE(W$3:W$9)</f>
        <v>0</v>
      </c>
      <c r="X12" s="1">
        <f>AVERAGE(X$3:X$9)</f>
        <v>0</v>
      </c>
      <c r="Y12" s="1">
        <f>AVERAGE(Y$3:Y$9)</f>
        <v>0</v>
      </c>
      <c r="Z12" s="1">
        <f>AVERAGE(Z$3:Z$9)</f>
        <v>0</v>
      </c>
      <c r="AA12" s="1">
        <f>AVERAGE(AA$3:AA$9)</f>
        <v>0</v>
      </c>
      <c r="AB12" s="1">
        <f>AVERAGE(AB$3:AB$9)</f>
        <v>0</v>
      </c>
      <c r="AC12" s="1">
        <f>AVERAGE(AC$3:AC$9)</f>
        <v>0</v>
      </c>
      <c r="AD12" s="1">
        <f>AVERAGE(AD$3:AD$9)</f>
        <v>0</v>
      </c>
      <c r="AE12" s="1">
        <f>AVERAGE(AE$3:AE$9)</f>
        <v>0</v>
      </c>
      <c r="AF12" s="1">
        <f>AVERAGE(AF$3:AF$9)</f>
        <v>0</v>
      </c>
      <c r="AG12" s="1">
        <f>AVERAGE(AG$3:AG$9)</f>
        <v>0</v>
      </c>
      <c r="AH12" s="1"/>
      <c r="AI12" s="1">
        <f>AVERAGE(AI$3:AI$9)</f>
        <v>0</v>
      </c>
      <c r="AJ12" s="1">
        <f>AVERAGE(AJ$3:AJ$9)</f>
        <v>0</v>
      </c>
      <c r="AK12" s="1">
        <f>AVERAGE(AK$3:AK$9)</f>
        <v>0</v>
      </c>
      <c r="AL12" s="1">
        <f>AVERAGE(AL$3:AL$9)</f>
        <v>0</v>
      </c>
      <c r="AM12" s="1">
        <f>AVERAGE(AM$3:AM$9)</f>
        <v>0</v>
      </c>
      <c r="AN12" s="1">
        <f>AVERAGE(AN$3:AN$9)</f>
        <v>0</v>
      </c>
      <c r="AO12" s="1">
        <f>AVERAGE(AO$3:AO$9)</f>
        <v>0</v>
      </c>
      <c r="AP12" s="1">
        <f>AVERAGE(AP$3:AP$9)</f>
        <v>0</v>
      </c>
      <c r="AQ12" s="1">
        <f>AVERAGE(AQ$3:AQ$9)</f>
        <v>0</v>
      </c>
      <c r="AR12" s="1">
        <f>AVERAGE(AR$3:AR$9)</f>
        <v>0</v>
      </c>
      <c r="AS12" s="1">
        <f>AVERAGE(AS$3:AS$9)</f>
        <v>0</v>
      </c>
      <c r="AT12" s="1">
        <f>AVERAGE(AT$3:AT$9)</f>
        <v>0</v>
      </c>
      <c r="AU12" s="1">
        <f>AVERAGE(AU$3:AU$9)</f>
        <v>0</v>
      </c>
      <c r="AV12" s="1">
        <f>AVERAGE(AV$3:AV$9)</f>
        <v>0</v>
      </c>
      <c r="AW12" s="1">
        <f>AVERAGE(AW$3:AW$9)</f>
        <v>0</v>
      </c>
      <c r="AX12" s="1">
        <f>AVERAGE(AX$3:AX$9)</f>
        <v>0</v>
      </c>
      <c r="AY12" s="1">
        <f>AVERAGE(AY$3:AY$9)</f>
        <v>0</v>
      </c>
      <c r="AZ12" s="1"/>
      <c r="BA12" s="1">
        <f>AVERAGE(BA$3:BA$9)</f>
        <v>0</v>
      </c>
      <c r="BB12" s="1">
        <f>AVERAGE(BB$3:BB$9)</f>
        <v>0</v>
      </c>
      <c r="BC12" s="1">
        <f>AVERAGE(BC$3:BC$9)</f>
        <v>0</v>
      </c>
      <c r="BD12" s="1">
        <f>AVERAGE(BD$3:BD$9)</f>
        <v>0</v>
      </c>
      <c r="BE12" s="1">
        <f>AVERAGE(BE$3:BE$9)</f>
        <v>0</v>
      </c>
      <c r="BF12" s="1">
        <f>AVERAGE(BF$3:BF$9)</f>
        <v>0</v>
      </c>
      <c r="BG12" s="1">
        <f>AVERAGE(BG$3:BG$9)</f>
        <v>0</v>
      </c>
      <c r="BH12" s="1">
        <f>AVERAGE(BH$3:BH$9)</f>
        <v>0</v>
      </c>
      <c r="BI12" s="1">
        <f>AVERAGE(BI$3:BI$9)</f>
        <v>0</v>
      </c>
      <c r="BJ12" s="1">
        <f>AVERAGE(BJ$3:BJ$9)</f>
        <v>0</v>
      </c>
      <c r="BK12" s="1">
        <f>AVERAGE(BK$3:BK$9)</f>
        <v>0</v>
      </c>
      <c r="BL12" s="1">
        <f>AVERAGE(BL$3:BL$9)</f>
        <v>0</v>
      </c>
      <c r="BM12" s="1">
        <f>AVERAGE(BM$3:BM$9)</f>
        <v>0</v>
      </c>
      <c r="BN12" s="1">
        <f>AVERAGE(BN$3:BN$9)</f>
        <v>0</v>
      </c>
      <c r="BO12" s="1">
        <f>AVERAGE(BO$3:BO$9)</f>
        <v>0</v>
      </c>
      <c r="BP12" s="1">
        <f>AVERAGE(BP$3:BP$9)</f>
        <v>0</v>
      </c>
      <c r="BQ12" s="1">
        <f>AVERAGE(BQ$3:BQ$9)</f>
        <v>0</v>
      </c>
      <c r="BR12" s="1"/>
      <c r="BS12" s="1">
        <f>AVERAGE(BS$3:BS$9)</f>
        <v>0</v>
      </c>
      <c r="BT12" s="1">
        <f>AVERAGE(BT$3:BT$9)</f>
        <v>0</v>
      </c>
      <c r="BU12" s="1">
        <f>AVERAGE(BU$3:BU$9)</f>
        <v>0</v>
      </c>
      <c r="BV12" s="1">
        <f>AVERAGE(BV$3:BV$9)</f>
        <v>0</v>
      </c>
      <c r="BW12" s="1">
        <f>AVERAGE(BW$3:BW$9)</f>
        <v>0</v>
      </c>
      <c r="BX12" s="1">
        <f>AVERAGE(BX$3:BX$9)</f>
        <v>0</v>
      </c>
      <c r="BY12" s="1">
        <f>AVERAGE(BY$3:BY$9)</f>
        <v>0</v>
      </c>
      <c r="BZ12" s="1">
        <f>AVERAGE(BZ$3:BZ$9)</f>
        <v>0</v>
      </c>
      <c r="CA12" s="1">
        <f>AVERAGE(CA$3:CA$9)</f>
        <v>0</v>
      </c>
      <c r="CB12" s="1">
        <f>AVERAGE(CB$3:CB$9)</f>
        <v>0</v>
      </c>
      <c r="CC12" s="1">
        <f>AVERAGE(CC$3:CC$9)</f>
        <v>0</v>
      </c>
      <c r="CD12" s="1">
        <f>AVERAGE(CD$3:CD$9)</f>
        <v>0</v>
      </c>
      <c r="CE12" s="1">
        <f>AVERAGE(CE$3:CE$9)</f>
        <v>0</v>
      </c>
      <c r="CF12" s="1">
        <f>AVERAGE(CF$3:CF$9)</f>
        <v>0</v>
      </c>
      <c r="CG12" s="1">
        <f>AVERAGE(CG$3:CG$9)</f>
        <v>0</v>
      </c>
      <c r="CH12" s="1">
        <f>AVERAGE(CH$3:CH$9)</f>
        <v>0</v>
      </c>
      <c r="CI12" s="1">
        <f>AVERAGE(CI$3:CI$9)</f>
        <v>0</v>
      </c>
      <c r="CJ12" s="1"/>
      <c r="CK12" s="1">
        <f>AVERAGE(CK$3:CK$9)</f>
        <v>0</v>
      </c>
      <c r="CL12" s="1">
        <f>AVERAGE(CL$3:CL$9)</f>
        <v>0</v>
      </c>
      <c r="CM12" s="1">
        <f>AVERAGE(CM$3:CM$9)</f>
        <v>0</v>
      </c>
      <c r="CN12" s="1">
        <f>AVERAGE(CN$3:CN$9)</f>
        <v>0</v>
      </c>
      <c r="CO12" s="1">
        <f>AVERAGE(CO$3:CO$9)</f>
        <v>0</v>
      </c>
      <c r="CP12" s="1">
        <f>AVERAGE(CP$3:CP$9)</f>
        <v>0</v>
      </c>
      <c r="CQ12" s="1">
        <f>AVERAGE(CQ$3:CQ$9)</f>
        <v>0</v>
      </c>
      <c r="CR12" s="1">
        <f>AVERAGE(CR$3:CR$9)</f>
        <v>0</v>
      </c>
      <c r="CS12" s="1">
        <f>AVERAGE(CS$3:CS$9)</f>
        <v>0</v>
      </c>
      <c r="CT12" s="1">
        <f>AVERAGE(CT$3:CT$9)</f>
        <v>0</v>
      </c>
      <c r="CU12" s="1">
        <f>AVERAGE(CU$3:CU$9)</f>
        <v>0</v>
      </c>
      <c r="CV12" s="1">
        <f>AVERAGE(CV$3:CV$9)</f>
        <v>0</v>
      </c>
      <c r="CW12" s="1">
        <f>AVERAGE(CW$3:CW$9)</f>
        <v>0</v>
      </c>
      <c r="CX12" s="1">
        <f>AVERAGE(CX$3:CX$9)</f>
        <v>0</v>
      </c>
      <c r="CY12" s="1">
        <f>AVERAGE(CY$3:CY$9)</f>
        <v>0</v>
      </c>
      <c r="CZ12" s="1">
        <f>AVERAGE(CZ$3:CZ$9)</f>
        <v>0</v>
      </c>
      <c r="DA12" s="1">
        <f>AVERAGE(DA$3:DA$9)</f>
        <v>0</v>
      </c>
      <c r="DB12" s="1"/>
      <c r="DC12" s="1">
        <f>AVERAGE(DC$3:DC$9)</f>
        <v>0</v>
      </c>
      <c r="DD12" s="1">
        <f>AVERAGE(DD$3:DD$9)</f>
        <v>0</v>
      </c>
      <c r="DE12" s="1">
        <f>AVERAGE(DE$3:DE$9)</f>
        <v>0</v>
      </c>
      <c r="DF12" s="1">
        <f>AVERAGE(DF$3:DF$9)</f>
        <v>0</v>
      </c>
      <c r="DG12" s="1">
        <f>AVERAGE(DG$3:DG$9)</f>
        <v>0</v>
      </c>
      <c r="DH12" s="1">
        <f>AVERAGE(DH$3:DH$9)</f>
        <v>0</v>
      </c>
      <c r="DI12" s="1">
        <f>AVERAGE(DI$3:DI$9)</f>
        <v>0</v>
      </c>
      <c r="DJ12" s="1">
        <f>AVERAGE(DJ$3:DJ$9)</f>
        <v>0</v>
      </c>
      <c r="DK12" s="1">
        <f>AVERAGE(DK$3:DK$9)</f>
        <v>0</v>
      </c>
      <c r="DL12" s="1">
        <f>AVERAGE(DL$3:DL$9)</f>
        <v>0</v>
      </c>
      <c r="DM12" s="1">
        <f>AVERAGE(DM$3:DM$9)</f>
        <v>0</v>
      </c>
      <c r="DN12" s="1">
        <f>AVERAGE(DN$3:DN$9)</f>
        <v>0</v>
      </c>
      <c r="DO12" s="1">
        <f>AVERAGE(DO$3:DO$9)</f>
        <v>0</v>
      </c>
      <c r="DP12" s="1">
        <f>AVERAGE(DP$3:DP$9)</f>
        <v>0</v>
      </c>
      <c r="DQ12" s="1">
        <f>AVERAGE(DQ$3:DQ$9)</f>
        <v>0</v>
      </c>
      <c r="DR12" s="1">
        <f>AVERAGE(DR$3:DR$9)</f>
        <v>0</v>
      </c>
      <c r="DS12" s="1">
        <f>AVERAGE(DS$3:DS$9)</f>
        <v>0</v>
      </c>
      <c r="DT12" s="1"/>
      <c r="DU12" s="1">
        <f>AVERAGE(DU$3:DU$9)</f>
        <v>0</v>
      </c>
      <c r="DV12" s="1">
        <f>AVERAGE(DV$3:DV$9)</f>
        <v>0</v>
      </c>
      <c r="DW12" s="1">
        <f>AVERAGE(DW$3:DW$9)</f>
        <v>0</v>
      </c>
      <c r="DX12" s="1">
        <f>AVERAGE(DX$3:DX$9)</f>
        <v>0</v>
      </c>
      <c r="DY12" s="1">
        <f>AVERAGE(DY$3:DY$9)</f>
        <v>0</v>
      </c>
      <c r="DZ12" s="1">
        <f>AVERAGE(DZ$3:DZ$9)</f>
        <v>0</v>
      </c>
      <c r="EA12" s="1">
        <f>AVERAGE(EA$3:EA$9)</f>
        <v>0</v>
      </c>
      <c r="EB12" s="1">
        <f>AVERAGE(EB$3:EB$9)</f>
        <v>0</v>
      </c>
      <c r="EC12" s="1">
        <f>AVERAGE(EC$3:EC$9)</f>
        <v>0</v>
      </c>
      <c r="ED12" s="1">
        <f>AVERAGE(ED$3:ED$9)</f>
        <v>0</v>
      </c>
      <c r="EE12" s="1">
        <f>AVERAGE(EE$3:EE$9)</f>
        <v>0</v>
      </c>
      <c r="EF12" s="1">
        <f>AVERAGE(EF$3:EF$9)</f>
        <v>0</v>
      </c>
      <c r="EG12" s="1">
        <f>AVERAGE(EG$3:EG$9)</f>
        <v>0</v>
      </c>
      <c r="EH12" s="1">
        <f>AVERAGE(EH$3:EH$9)</f>
        <v>0</v>
      </c>
      <c r="EI12" s="1">
        <f>AVERAGE(EI$3:EI$9)</f>
        <v>0</v>
      </c>
      <c r="EJ12" s="1">
        <f>AVERAGE(EJ$3:EJ$9)</f>
        <v>0</v>
      </c>
      <c r="EK12" s="1">
        <f>AVERAGE(EK$3:EK$9)</f>
        <v>0</v>
      </c>
      <c r="EL12" s="1"/>
      <c r="EM12" s="1">
        <f>AVERAGE(EM$3:EM$9)</f>
        <v>0</v>
      </c>
      <c r="EN12" s="1">
        <f>AVERAGE(EN$3:EN$9)</f>
        <v>0</v>
      </c>
      <c r="EO12" s="1">
        <f>AVERAGE(EO$3:EO$9)</f>
        <v>0</v>
      </c>
      <c r="EP12" s="1">
        <f>AVERAGE(EP$3:EP$9)</f>
        <v>0</v>
      </c>
      <c r="EQ12" s="1">
        <f>AVERAGE(EQ$3:EQ$9)</f>
        <v>0</v>
      </c>
      <c r="ER12" s="1">
        <f>AVERAGE(ER$3:ER$9)</f>
        <v>0</v>
      </c>
      <c r="ES12" s="1">
        <f>AVERAGE(ES$3:ES$9)</f>
        <v>0</v>
      </c>
      <c r="ET12" s="1">
        <f>AVERAGE(ET$3:ET$9)</f>
        <v>0</v>
      </c>
      <c r="EU12" s="1">
        <f>AVERAGE(EU$3:EU$9)</f>
        <v>0</v>
      </c>
      <c r="EV12" s="1">
        <f>AVERAGE(EV$3:EV$9)</f>
        <v>0</v>
      </c>
      <c r="EW12" s="1">
        <f>AVERAGE(EW$3:EW$9)</f>
        <v>0</v>
      </c>
      <c r="EX12" s="1">
        <f>AVERAGE(EX$3:EX$9)</f>
        <v>0</v>
      </c>
      <c r="EY12" s="1">
        <f>AVERAGE(EY$3:EY$9)</f>
        <v>0</v>
      </c>
      <c r="EZ12" s="1">
        <f>AVERAGE(EZ$3:EZ$9)</f>
        <v>0</v>
      </c>
      <c r="FA12" s="1">
        <f>AVERAGE(FA$3:FA$9)</f>
        <v>0</v>
      </c>
      <c r="FB12" s="1">
        <f>AVERAGE(FB$3:FB$9)</f>
        <v>0</v>
      </c>
      <c r="FC12" s="1">
        <f>AVERAGE(FC$3:FC$9)</f>
        <v>0</v>
      </c>
      <c r="FD12" s="1"/>
      <c r="FE12" s="1">
        <f>AVERAGE(FE$3:FE$9)</f>
        <v>0</v>
      </c>
      <c r="FF12" s="1">
        <f>AVERAGE(FF$3:FF$9)</f>
        <v>0</v>
      </c>
      <c r="FG12" s="1">
        <f>AVERAGE(FG$3:FG$9)</f>
        <v>0</v>
      </c>
      <c r="FH12" s="1">
        <f>AVERAGE(FH$3:FH$9)</f>
        <v>0</v>
      </c>
      <c r="FI12" s="1">
        <f>AVERAGE(FI$3:FI$9)</f>
        <v>0</v>
      </c>
      <c r="FJ12" s="1">
        <f>AVERAGE(FJ$3:FJ$9)</f>
        <v>0</v>
      </c>
      <c r="FK12" s="1">
        <f>AVERAGE(FK$3:FK$9)</f>
        <v>0</v>
      </c>
      <c r="FL12" s="1">
        <f>AVERAGE(FL$3:FL$9)</f>
        <v>0</v>
      </c>
      <c r="FM12" s="1">
        <f>AVERAGE(FM$3:FM$9)</f>
        <v>0</v>
      </c>
      <c r="FN12" s="1">
        <f>AVERAGE(FN$3:FN$9)</f>
        <v>0</v>
      </c>
      <c r="FO12" s="1">
        <f>AVERAGE(FO$3:FO$9)</f>
        <v>0</v>
      </c>
      <c r="FP12" s="1">
        <f>AVERAGE(FP$3:FP$9)</f>
        <v>0</v>
      </c>
      <c r="FQ12" s="1">
        <f>AVERAGE(FQ$3:FQ$9)</f>
        <v>0</v>
      </c>
      <c r="FR12" s="1">
        <f>AVERAGE(FR$3:FR$9)</f>
        <v>0</v>
      </c>
      <c r="FS12" s="1">
        <f>AVERAGE(FS$3:FS$9)</f>
        <v>0</v>
      </c>
      <c r="FT12" s="1">
        <f>AVERAGE(FT$3:FT$9)</f>
        <v>0</v>
      </c>
      <c r="FU12" s="1">
        <f>AVERAGE(FU$3:FU$9)</f>
        <v>0</v>
      </c>
      <c r="FV12" s="1"/>
      <c r="FW12" s="1">
        <f>AVERAGE(FW$3:FW$9)</f>
        <v>0</v>
      </c>
      <c r="FX12" s="1">
        <f>AVERAGE(FX$3:FX$9)</f>
        <v>0</v>
      </c>
      <c r="FY12" s="1">
        <f>AVERAGE(FY$3:FY$9)</f>
        <v>0</v>
      </c>
      <c r="FZ12" s="1">
        <f>AVERAGE(FZ$3:FZ$9)</f>
        <v>0</v>
      </c>
      <c r="GA12" s="1">
        <f>AVERAGE(GA$3:GA$9)</f>
        <v>0</v>
      </c>
      <c r="GB12" s="1">
        <f>AVERAGE(GB$3:GB$9)</f>
        <v>0</v>
      </c>
      <c r="GC12" s="1">
        <f>AVERAGE(GC$3:GC$9)</f>
        <v>0</v>
      </c>
      <c r="GD12" s="1">
        <f>AVERAGE(GD$3:GD$9)</f>
        <v>0</v>
      </c>
      <c r="GE12" s="1">
        <f>AVERAGE(GE$3:GE$9)</f>
        <v>0</v>
      </c>
      <c r="GF12" s="1">
        <f>AVERAGE(GF$3:GF$9)</f>
        <v>0</v>
      </c>
      <c r="GG12" s="1">
        <f>AVERAGE(GG$3:GG$9)</f>
        <v>0</v>
      </c>
      <c r="GH12" s="1">
        <f>AVERAGE(GH$3:GH$9)</f>
        <v>0</v>
      </c>
      <c r="GI12" s="1">
        <f>AVERAGE(GI$3:GI$9)</f>
        <v>0</v>
      </c>
      <c r="GJ12" s="1">
        <f>AVERAGE(GJ$3:GJ$9)</f>
        <v>0</v>
      </c>
      <c r="GK12" s="1">
        <f>AVERAGE(GK$3:GK$9)</f>
        <v>0</v>
      </c>
      <c r="GL12" s="1">
        <f>AVERAGE(GL$3:GL$9)</f>
        <v>0</v>
      </c>
      <c r="GM12" s="1">
        <f>AVERAGE(GM$3:GM$9)</f>
        <v>0</v>
      </c>
      <c r="GN12" s="1"/>
      <c r="GO12" s="1">
        <f>AVERAGE(GO$3:GO$9)</f>
        <v>0</v>
      </c>
      <c r="GP12" s="1">
        <f>AVERAGE(GP$3:GP$9)</f>
        <v>0</v>
      </c>
      <c r="GQ12" s="1">
        <f>AVERAGE(GQ$3:GQ$9)</f>
        <v>0</v>
      </c>
      <c r="GR12" s="1">
        <f>AVERAGE(GR$3:GR$9)</f>
        <v>0</v>
      </c>
      <c r="GS12" s="1">
        <f>AVERAGE(GS$3:GS$9)</f>
        <v>0</v>
      </c>
      <c r="GT12" s="1">
        <f>AVERAGE(GT$3:GT$9)</f>
        <v>0</v>
      </c>
      <c r="GU12" s="1">
        <f>AVERAGE(GU$3:GU$9)</f>
        <v>0</v>
      </c>
      <c r="GV12" s="1">
        <f>AVERAGE(GV$3:GV$9)</f>
        <v>0</v>
      </c>
      <c r="GW12" s="1">
        <f>AVERAGE(GW$3:GW$9)</f>
        <v>0</v>
      </c>
      <c r="GX12" s="1">
        <f>AVERAGE(GX$3:GX$9)</f>
        <v>0</v>
      </c>
      <c r="GY12" s="1">
        <f>AVERAGE(GY$3:GY$9)</f>
        <v>0</v>
      </c>
      <c r="GZ12" s="1">
        <f>AVERAGE(GZ$3:GZ$9)</f>
        <v>0</v>
      </c>
      <c r="HA12" s="1">
        <f>AVERAGE(HA$3:HA$9)</f>
        <v>0</v>
      </c>
      <c r="HB12" s="1">
        <f>AVERAGE(HB$3:HB$9)</f>
        <v>0</v>
      </c>
      <c r="HC12" s="1">
        <f>AVERAGE(HC$3:HC$9)</f>
        <v>0</v>
      </c>
      <c r="HD12" s="1">
        <f>AVERAGE(HD$3:HD$9)</f>
        <v>0</v>
      </c>
      <c r="HE12" s="1">
        <f>AVERAGE(HE$3:HE$9)</f>
        <v>0</v>
      </c>
      <c r="HF12" s="1"/>
      <c r="HG12" s="1">
        <f>AVERAGE(HG$3:HG$9)</f>
        <v>0</v>
      </c>
      <c r="HH12" s="1">
        <f>AVERAGE(HH$3:HH$9)</f>
        <v>0</v>
      </c>
      <c r="HI12" s="1">
        <f>AVERAGE(HI$3:HI$9)</f>
        <v>0</v>
      </c>
      <c r="HJ12" s="1">
        <f>AVERAGE(HJ$3:HJ$9)</f>
        <v>0</v>
      </c>
      <c r="HK12" s="1">
        <f>AVERAGE(HK$3:HK$9)</f>
        <v>0</v>
      </c>
      <c r="HL12" s="1">
        <f>AVERAGE(HL$3:HL$9)</f>
        <v>0</v>
      </c>
      <c r="HM12" s="1">
        <f>AVERAGE(HM$3:HM$9)</f>
        <v>0</v>
      </c>
      <c r="HN12" s="1">
        <f>AVERAGE(HN$3:HN$9)</f>
        <v>0</v>
      </c>
      <c r="HO12" s="1">
        <f>AVERAGE(HO$3:HO$9)</f>
        <v>0</v>
      </c>
      <c r="HP12" s="1">
        <f>AVERAGE(HP$3:HP$9)</f>
        <v>0</v>
      </c>
      <c r="HQ12" s="1">
        <f>AVERAGE(HQ$3:HQ$9)</f>
        <v>0</v>
      </c>
      <c r="HR12" s="1">
        <f>AVERAGE(HR$3:HR$9)</f>
        <v>0</v>
      </c>
      <c r="HS12" s="1">
        <f>AVERAGE(HS$3:HS$9)</f>
        <v>0</v>
      </c>
      <c r="HT12" s="1">
        <f>AVERAGE(HT$3:HT$9)</f>
        <v>0</v>
      </c>
      <c r="HU12" s="1">
        <f>AVERAGE(HU$3:HU$9)</f>
        <v>0</v>
      </c>
      <c r="HV12" s="1">
        <f>AVERAGE(HV$3:HV$9)</f>
        <v>0</v>
      </c>
      <c r="HW12" s="1">
        <f>AVERAGE(HW$3:HW$9)</f>
        <v>0</v>
      </c>
      <c r="HX12" s="1"/>
      <c r="HY12" s="1">
        <f>AVERAGE(HY$3:HY$9)</f>
        <v>0</v>
      </c>
      <c r="HZ12" s="1">
        <f>AVERAGE(HZ$3:HZ$9)</f>
        <v>0</v>
      </c>
      <c r="IA12" s="1">
        <f>AVERAGE(IA$3:IA$9)</f>
        <v>0</v>
      </c>
      <c r="IB12" s="1">
        <f>AVERAGE(IB$3:IB$9)</f>
        <v>0</v>
      </c>
      <c r="IC12" s="1">
        <f>AVERAGE(IC$3:IC$9)</f>
        <v>0</v>
      </c>
      <c r="ID12" s="1">
        <f>AVERAGE(ID$3:ID$9)</f>
        <v>0</v>
      </c>
      <c r="IE12" s="1">
        <f>AVERAGE(IE$3:IE$9)</f>
        <v>0</v>
      </c>
      <c r="IF12" s="1">
        <f>AVERAGE(IF$3:IF$9)</f>
        <v>0</v>
      </c>
      <c r="IG12" s="1">
        <f>AVERAGE(IG$3:IG$9)</f>
        <v>0</v>
      </c>
      <c r="IH12" s="1">
        <f>AVERAGE(IH$3:IH$9)</f>
        <v>0</v>
      </c>
      <c r="II12" s="1">
        <f>AVERAGE(II$3:II$9)</f>
        <v>0</v>
      </c>
      <c r="IJ12" s="1">
        <f>AVERAGE(IJ$3:IJ$9)</f>
        <v>0</v>
      </c>
      <c r="IK12" s="1">
        <f>AVERAGE(IK$3:IK$9)</f>
        <v>0</v>
      </c>
      <c r="IL12" s="1">
        <f>AVERAGE(IL$3:IL$9)</f>
        <v>0</v>
      </c>
      <c r="IM12" s="1">
        <f>AVERAGE(IM$3:IM$9)</f>
        <v>0</v>
      </c>
      <c r="IN12" s="1">
        <f>AVERAGE(IN$3:IN$9)</f>
        <v>0</v>
      </c>
      <c r="IO12" s="1">
        <f>AVERAGE(IO$3:IO$9)</f>
        <v>0</v>
      </c>
      <c r="IP12" s="1"/>
      <c r="IQ12" s="1">
        <f>AVERAGE(IQ$3:IQ$9)</f>
        <v>0</v>
      </c>
      <c r="IR12" s="1">
        <f>AVERAGE(IR$3:IR$9)</f>
        <v>0</v>
      </c>
      <c r="IS12" s="1">
        <f>AVERAGE(IS$3:IS$9)</f>
        <v>0</v>
      </c>
      <c r="IT12" s="1">
        <f>AVERAGE(IT$3:IT$9)</f>
        <v>0</v>
      </c>
      <c r="IU12" s="1">
        <f>AVERAGE(IU$3:IU$9)</f>
        <v>0</v>
      </c>
      <c r="IV12" s="1">
        <f>AVERAGE(IV$3:IV$9)</f>
        <v>0</v>
      </c>
      <c r="IW12" s="1">
        <f>AVERAGE(IW$3:IW$9)</f>
        <v>0</v>
      </c>
      <c r="IX12" s="1">
        <f>AVERAGE(IX$3:IX$9)</f>
        <v>0</v>
      </c>
      <c r="IY12" s="1">
        <f>AVERAGE(IY$3:IY$9)</f>
        <v>0</v>
      </c>
      <c r="IZ12" s="1">
        <f>AVERAGE(IZ$3:IZ$9)</f>
        <v>0</v>
      </c>
      <c r="JA12" s="1">
        <f>AVERAGE(JA$3:JA$9)</f>
        <v>0</v>
      </c>
      <c r="JB12" s="1">
        <f>AVERAGE(JB$3:JB$9)</f>
        <v>0</v>
      </c>
      <c r="JC12" s="1">
        <f>AVERAGE(JC$3:JC$9)</f>
        <v>0</v>
      </c>
      <c r="JD12" s="1">
        <f>AVERAGE(JD$3:JD$9)</f>
        <v>0</v>
      </c>
      <c r="JE12" s="1">
        <f>AVERAGE(JE$3:JE$9)</f>
        <v>0</v>
      </c>
      <c r="JF12" s="1">
        <f>AVERAGE(JF$3:JF$9)</f>
        <v>0</v>
      </c>
      <c r="JG12" s="1">
        <f>AVERAGE(JG$3:JG$9)</f>
        <v>0</v>
      </c>
      <c r="JH12" s="1"/>
      <c r="JI12" s="1">
        <f>AVERAGE(JI$3:JI$9)</f>
        <v>0</v>
      </c>
      <c r="JJ12" s="1">
        <f>AVERAGE(JJ$3:JJ$9)</f>
        <v>0</v>
      </c>
      <c r="JK12" s="1">
        <f>AVERAGE(JK$3:JK$9)</f>
        <v>0</v>
      </c>
      <c r="JL12" s="1">
        <f>AVERAGE(JL$3:JL$9)</f>
        <v>0</v>
      </c>
      <c r="JM12" s="1">
        <f>AVERAGE(JM$3:JM$9)</f>
        <v>0</v>
      </c>
      <c r="JN12" s="1">
        <f>AVERAGE(JN$3:JN$9)</f>
        <v>0</v>
      </c>
      <c r="JO12" s="1">
        <f>AVERAGE(JO$3:JO$9)</f>
        <v>0</v>
      </c>
      <c r="JP12" s="1">
        <f>AVERAGE(JP$3:JP$9)</f>
        <v>0</v>
      </c>
      <c r="JQ12" s="1">
        <f>AVERAGE(JQ$3:JQ$9)</f>
        <v>0</v>
      </c>
      <c r="JR12" s="1">
        <f>AVERAGE(JR$3:JR$9)</f>
        <v>0</v>
      </c>
      <c r="JS12" s="1">
        <f>AVERAGE(JS$3:JS$9)</f>
        <v>0</v>
      </c>
      <c r="JT12" s="1">
        <f>AVERAGE(JT$3:JT$9)</f>
        <v>0</v>
      </c>
      <c r="JU12" s="1">
        <f>AVERAGE(JU$3:JU$9)</f>
        <v>0</v>
      </c>
      <c r="JV12" s="1">
        <f>AVERAGE(JV$3:JV$9)</f>
        <v>0</v>
      </c>
      <c r="JW12" s="1">
        <f>AVERAGE(JW$3:JW$9)</f>
        <v>0</v>
      </c>
      <c r="JX12" s="1">
        <f>AVERAGE(JX$3:JX$9)</f>
        <v>0</v>
      </c>
      <c r="JY12" s="1">
        <f>AVERAGE(JY$3:JY$9)</f>
        <v>0</v>
      </c>
      <c r="JZ12" s="1"/>
      <c r="KA12" s="1">
        <f>AVERAGE(KA$3:KA$9)</f>
        <v>0</v>
      </c>
      <c r="KB12" s="1">
        <f>AVERAGE(KB$3:KB$9)</f>
        <v>0</v>
      </c>
      <c r="KC12" s="1">
        <f>AVERAGE(KC$3:KC$9)</f>
        <v>0</v>
      </c>
      <c r="KD12" s="1">
        <f>AVERAGE(KD$3:KD$9)</f>
        <v>0</v>
      </c>
      <c r="KE12" s="1">
        <f>AVERAGE(KE$3:KE$9)</f>
        <v>0</v>
      </c>
      <c r="KF12" s="1">
        <f>AVERAGE(KF$3:KF$9)</f>
        <v>0</v>
      </c>
      <c r="KG12" s="1">
        <f>AVERAGE(KG$3:KG$9)</f>
        <v>0</v>
      </c>
      <c r="KH12" s="1">
        <f>AVERAGE(KH$3:KH$9)</f>
        <v>0</v>
      </c>
      <c r="KI12" s="1">
        <f>AVERAGE(KI$3:KI$9)</f>
        <v>0</v>
      </c>
      <c r="KJ12" s="1">
        <f>AVERAGE(KJ$3:KJ$9)</f>
        <v>0</v>
      </c>
      <c r="KK12" s="1">
        <f>AVERAGE(KK$3:KK$9)</f>
        <v>0</v>
      </c>
      <c r="KL12" s="1">
        <f>AVERAGE(KL$3:KL$9)</f>
        <v>0</v>
      </c>
      <c r="KM12" s="1">
        <f>AVERAGE(KM$3:KM$9)</f>
        <v>0</v>
      </c>
      <c r="KN12" s="1">
        <f>AVERAGE(KN$3:KN$9)</f>
        <v>0</v>
      </c>
      <c r="KO12" s="1">
        <f>AVERAGE(KO$3:KO$9)</f>
        <v>0</v>
      </c>
      <c r="KP12" s="1">
        <f>AVERAGE(KP$3:KP$9)</f>
        <v>0</v>
      </c>
      <c r="KQ12" s="1">
        <f>AVERAGE(KQ$3:KQ$9)</f>
        <v>0</v>
      </c>
      <c r="KR12" s="1">
        <f>AVERAGE(KR$3:KR$9)</f>
        <v>0</v>
      </c>
      <c r="KS12" s="1">
        <f>AVERAGE(KS$3:KS$9)</f>
        <v>0</v>
      </c>
      <c r="KT12" s="1">
        <f>AVERAGE(KT$3:KT$9)</f>
        <v>0</v>
      </c>
      <c r="KU12" s="1">
        <f>AVERAGE(KU$3:KU$9)</f>
        <v>0</v>
      </c>
      <c r="KV12" s="1">
        <f>AVERAGE(KV$3:KV$9)</f>
        <v>0</v>
      </c>
      <c r="KW12" s="1">
        <f>AVERAGE(KW$3:KW$9)</f>
        <v>0</v>
      </c>
      <c r="KX12" s="1">
        <f>AVERAGE(KX$3:KX$9)</f>
        <v>0</v>
      </c>
      <c r="KY12" s="1">
        <f>AVERAGE(KY$3:KY$9)</f>
        <v>0</v>
      </c>
      <c r="KZ12" s="1">
        <f>AVERAGE(KZ$3:KZ$9)</f>
        <v>0</v>
      </c>
      <c r="LA12" s="1">
        <f>AVERAGE(LA$3:LA$9)</f>
        <v>0</v>
      </c>
      <c r="LB12" s="1">
        <f>AVERAGE(LB$3:LB$9)</f>
        <v>0</v>
      </c>
      <c r="LC12" s="1">
        <f>AVERAGE(LC$3:LC$9)</f>
        <v>0</v>
      </c>
      <c r="LD12" s="1">
        <f>AVERAGE(LD$3:LD$9)</f>
        <v>0</v>
      </c>
      <c r="LE12" s="1">
        <f>AVERAGE(LE$3:LE$9)</f>
        <v>0</v>
      </c>
      <c r="LF12" s="1">
        <f>AVERAGE(LF$3:LF$9)</f>
        <v>0</v>
      </c>
      <c r="LG12" s="1">
        <f>AVERAGE(LG$3:LG$9)</f>
        <v>0</v>
      </c>
      <c r="LH12" s="1">
        <f>AVERAGE(LH$3:LH$9)</f>
        <v>0</v>
      </c>
      <c r="LI12" s="1">
        <f>AVERAGE(LI$3:LI$9)</f>
        <v>0</v>
      </c>
      <c r="LJ12" s="1">
        <f>AVERAGE(LJ$3:LJ$9)</f>
        <v>0</v>
      </c>
      <c r="LK12" s="1">
        <f>AVERAGE(LK$3:LK$9)</f>
        <v>0</v>
      </c>
      <c r="LL12" s="1">
        <f>AVERAGE(LL$3:LL$9)</f>
        <v>0</v>
      </c>
      <c r="LM12" s="1">
        <f>AVERAGE(LM$3:LM$9)</f>
        <v>0</v>
      </c>
      <c r="LN12" s="1">
        <f>AVERAGE(LN$3:LN$9)</f>
        <v>0</v>
      </c>
      <c r="LO12" s="1">
        <f>AVERAGE(LO$3:LO$9)</f>
        <v>0</v>
      </c>
      <c r="LP12" s="1">
        <f>AVERAGE(LP$3:LP$9)</f>
        <v>0</v>
      </c>
      <c r="LQ12" s="1">
        <f>AVERAGE(LQ$3:LQ$9)</f>
        <v>0</v>
      </c>
      <c r="LR12" s="1">
        <f>AVERAGE(LR$3:LR$9)</f>
        <v>0</v>
      </c>
      <c r="LS12" s="1">
        <f>AVERAGE(LS$3:LS$9)</f>
        <v>0</v>
      </c>
      <c r="LT12" s="1">
        <f>AVERAGE(LT$3:LT$9)</f>
        <v>0</v>
      </c>
      <c r="LU12" s="1">
        <f>AVERAGE(LU$3:LU$9)</f>
        <v>0</v>
      </c>
      <c r="LV12" s="1">
        <f>AVERAGE(LV$3:LV$9)</f>
        <v>0</v>
      </c>
      <c r="LW12" s="1">
        <f>AVERAGE(LW$3:LW$9)</f>
        <v>0</v>
      </c>
      <c r="LX12" s="1">
        <f>AVERAGE(LX$3:LX$9)</f>
        <v>0</v>
      </c>
      <c r="LY12" s="1">
        <f>AVERAGE(LY$3:LY$9)</f>
        <v>0</v>
      </c>
      <c r="LZ12" s="1">
        <f>AVERAGE(LZ$3:LZ$9)</f>
        <v>0</v>
      </c>
      <c r="MA12" s="1">
        <f>AVERAGE(MA$3:MA$9)</f>
        <v>0</v>
      </c>
      <c r="MB12" s="1">
        <f>AVERAGE(MB$3:MB$9)</f>
        <v>0</v>
      </c>
    </row>
    <row r="13" spans="1:340">
      <c r="A13" s="1" t="s">
        <v>9</v>
      </c>
      <c r="B13" s="1">
        <f>STDEV(B$3:B$9)</f>
        <v>0</v>
      </c>
      <c r="C13" s="1">
        <f>STDEV(C$3:C$9)</f>
        <v>0</v>
      </c>
      <c r="D13" s="1">
        <f>STDEV(D$3:D$9)</f>
        <v>0</v>
      </c>
      <c r="E13" s="1">
        <f>STDEV(E$3:E$9)</f>
        <v>0</v>
      </c>
      <c r="F13" s="1">
        <f>STDEV(F$3:F$9)</f>
        <v>0</v>
      </c>
      <c r="G13" s="1">
        <f>STDEV(G$3:G$9)</f>
        <v>0</v>
      </c>
      <c r="H13" s="1">
        <f>STDEV(H$3:H$9)</f>
        <v>0</v>
      </c>
      <c r="I13" s="1">
        <f>STDEV(I$3:I$9)</f>
        <v>0</v>
      </c>
      <c r="J13" s="1">
        <f>STDEV(J$3:J$9)</f>
        <v>0</v>
      </c>
      <c r="K13" s="1">
        <f>STDEV(K$3:K$9)</f>
        <v>0</v>
      </c>
      <c r="L13" s="1">
        <f>STDEV(L$3:L$9)</f>
        <v>0</v>
      </c>
      <c r="M13" s="1">
        <f>STDEV(M$3:M$9)</f>
        <v>0</v>
      </c>
      <c r="N13" s="1">
        <f>STDEV(N$3:N$9)</f>
        <v>0</v>
      </c>
      <c r="O13" s="1">
        <f>STDEV(O$3:O$9)</f>
        <v>0</v>
      </c>
      <c r="P13" s="1"/>
      <c r="Q13" s="1">
        <f>STDEV(Q$3:Q$9)</f>
        <v>0</v>
      </c>
      <c r="R13" s="1">
        <f>STDEV(R$3:R$9)</f>
        <v>0</v>
      </c>
      <c r="S13" s="1">
        <f>STDEV(S$3:S$9)</f>
        <v>0</v>
      </c>
      <c r="T13" s="1">
        <f>STDEV(T$3:T$9)</f>
        <v>0</v>
      </c>
      <c r="U13" s="1">
        <f>STDEV(U$3:U$9)</f>
        <v>0</v>
      </c>
      <c r="V13" s="1">
        <f>STDEV(V$3:V$9)</f>
        <v>0</v>
      </c>
      <c r="W13" s="1">
        <f>STDEV(W$3:W$9)</f>
        <v>0</v>
      </c>
      <c r="X13" s="1">
        <f>STDEV(X$3:X$9)</f>
        <v>0</v>
      </c>
      <c r="Y13" s="1">
        <f>STDEV(Y$3:Y$9)</f>
        <v>0</v>
      </c>
      <c r="Z13" s="1">
        <f>STDEV(Z$3:Z$9)</f>
        <v>0</v>
      </c>
      <c r="AA13" s="1">
        <f>STDEV(AA$3:AA$9)</f>
        <v>0</v>
      </c>
      <c r="AB13" s="1">
        <f>STDEV(AB$3:AB$9)</f>
        <v>0</v>
      </c>
      <c r="AC13" s="1">
        <f>STDEV(AC$3:AC$9)</f>
        <v>0</v>
      </c>
      <c r="AD13" s="1">
        <f>STDEV(AD$3:AD$9)</f>
        <v>0</v>
      </c>
      <c r="AE13" s="1">
        <f>STDEV(AE$3:AE$9)</f>
        <v>0</v>
      </c>
      <c r="AF13" s="1">
        <f>STDEV(AF$3:AF$9)</f>
        <v>0</v>
      </c>
      <c r="AG13" s="1">
        <f>STDEV(AG$3:AG$9)</f>
        <v>0</v>
      </c>
      <c r="AH13" s="1"/>
      <c r="AI13" s="1">
        <f>STDEV(AI$3:AI$9)</f>
        <v>0</v>
      </c>
      <c r="AJ13" s="1">
        <f>STDEV(AJ$3:AJ$9)</f>
        <v>0</v>
      </c>
      <c r="AK13" s="1">
        <f>STDEV(AK$3:AK$9)</f>
        <v>0</v>
      </c>
      <c r="AL13" s="1">
        <f>STDEV(AL$3:AL$9)</f>
        <v>0</v>
      </c>
      <c r="AM13" s="1">
        <f>STDEV(AM$3:AM$9)</f>
        <v>0</v>
      </c>
      <c r="AN13" s="1">
        <f>STDEV(AN$3:AN$9)</f>
        <v>0</v>
      </c>
      <c r="AO13" s="1">
        <f>STDEV(AO$3:AO$9)</f>
        <v>0</v>
      </c>
      <c r="AP13" s="1">
        <f>STDEV(AP$3:AP$9)</f>
        <v>0</v>
      </c>
      <c r="AQ13" s="1">
        <f>STDEV(AQ$3:AQ$9)</f>
        <v>0</v>
      </c>
      <c r="AR13" s="1">
        <f>STDEV(AR$3:AR$9)</f>
        <v>0</v>
      </c>
      <c r="AS13" s="1">
        <f>STDEV(AS$3:AS$9)</f>
        <v>0</v>
      </c>
      <c r="AT13" s="1">
        <f>STDEV(AT$3:AT$9)</f>
        <v>0</v>
      </c>
      <c r="AU13" s="1">
        <f>STDEV(AU$3:AU$9)</f>
        <v>0</v>
      </c>
      <c r="AV13" s="1">
        <f>STDEV(AV$3:AV$9)</f>
        <v>0</v>
      </c>
      <c r="AW13" s="1">
        <f>STDEV(AW$3:AW$9)</f>
        <v>0</v>
      </c>
      <c r="AX13" s="1">
        <f>STDEV(AX$3:AX$9)</f>
        <v>0</v>
      </c>
      <c r="AY13" s="1">
        <f>STDEV(AY$3:AY$9)</f>
        <v>0</v>
      </c>
      <c r="AZ13" s="1"/>
      <c r="BA13" s="1">
        <f>STDEV(BA$3:BA$9)</f>
        <v>0</v>
      </c>
      <c r="BB13" s="1">
        <f>STDEV(BB$3:BB$9)</f>
        <v>0</v>
      </c>
      <c r="BC13" s="1">
        <f>STDEV(BC$3:BC$9)</f>
        <v>0</v>
      </c>
      <c r="BD13" s="1">
        <f>STDEV(BD$3:BD$9)</f>
        <v>0</v>
      </c>
      <c r="BE13" s="1">
        <f>STDEV(BE$3:BE$9)</f>
        <v>0</v>
      </c>
      <c r="BF13" s="1">
        <f>STDEV(BF$3:BF$9)</f>
        <v>0</v>
      </c>
      <c r="BG13" s="1">
        <f>STDEV(BG$3:BG$9)</f>
        <v>0</v>
      </c>
      <c r="BH13" s="1">
        <f>STDEV(BH$3:BH$9)</f>
        <v>0</v>
      </c>
      <c r="BI13" s="1">
        <f>STDEV(BI$3:BI$9)</f>
        <v>0</v>
      </c>
      <c r="BJ13" s="1">
        <f>STDEV(BJ$3:BJ$9)</f>
        <v>0</v>
      </c>
      <c r="BK13" s="1">
        <f>STDEV(BK$3:BK$9)</f>
        <v>0</v>
      </c>
      <c r="BL13" s="1">
        <f>STDEV(BL$3:BL$9)</f>
        <v>0</v>
      </c>
      <c r="BM13" s="1">
        <f>STDEV(BM$3:BM$9)</f>
        <v>0</v>
      </c>
      <c r="BN13" s="1">
        <f>STDEV(BN$3:BN$9)</f>
        <v>0</v>
      </c>
      <c r="BO13" s="1">
        <f>STDEV(BO$3:BO$9)</f>
        <v>0</v>
      </c>
      <c r="BP13" s="1">
        <f>STDEV(BP$3:BP$9)</f>
        <v>0</v>
      </c>
      <c r="BQ13" s="1">
        <f>STDEV(BQ$3:BQ$9)</f>
        <v>0</v>
      </c>
      <c r="BR13" s="1"/>
      <c r="BS13" s="1">
        <f>STDEV(BS$3:BS$9)</f>
        <v>0</v>
      </c>
      <c r="BT13" s="1">
        <f>STDEV(BT$3:BT$9)</f>
        <v>0</v>
      </c>
      <c r="BU13" s="1">
        <f>STDEV(BU$3:BU$9)</f>
        <v>0</v>
      </c>
      <c r="BV13" s="1">
        <f>STDEV(BV$3:BV$9)</f>
        <v>0</v>
      </c>
      <c r="BW13" s="1">
        <f>STDEV(BW$3:BW$9)</f>
        <v>0</v>
      </c>
      <c r="BX13" s="1">
        <f>STDEV(BX$3:BX$9)</f>
        <v>0</v>
      </c>
      <c r="BY13" s="1">
        <f>STDEV(BY$3:BY$9)</f>
        <v>0</v>
      </c>
      <c r="BZ13" s="1">
        <f>STDEV(BZ$3:BZ$9)</f>
        <v>0</v>
      </c>
      <c r="CA13" s="1">
        <f>STDEV(CA$3:CA$9)</f>
        <v>0</v>
      </c>
      <c r="CB13" s="1">
        <f>STDEV(CB$3:CB$9)</f>
        <v>0</v>
      </c>
      <c r="CC13" s="1">
        <f>STDEV(CC$3:CC$9)</f>
        <v>0</v>
      </c>
      <c r="CD13" s="1">
        <f>STDEV(CD$3:CD$9)</f>
        <v>0</v>
      </c>
      <c r="CE13" s="1">
        <f>STDEV(CE$3:CE$9)</f>
        <v>0</v>
      </c>
      <c r="CF13" s="1">
        <f>STDEV(CF$3:CF$9)</f>
        <v>0</v>
      </c>
      <c r="CG13" s="1">
        <f>STDEV(CG$3:CG$9)</f>
        <v>0</v>
      </c>
      <c r="CH13" s="1">
        <f>STDEV(CH$3:CH$9)</f>
        <v>0</v>
      </c>
      <c r="CI13" s="1">
        <f>STDEV(CI$3:CI$9)</f>
        <v>0</v>
      </c>
      <c r="CJ13" s="1"/>
      <c r="CK13" s="1">
        <f>STDEV(CK$3:CK$9)</f>
        <v>0</v>
      </c>
      <c r="CL13" s="1">
        <f>STDEV(CL$3:CL$9)</f>
        <v>0</v>
      </c>
      <c r="CM13" s="1">
        <f>STDEV(CM$3:CM$9)</f>
        <v>0</v>
      </c>
      <c r="CN13" s="1">
        <f>STDEV(CN$3:CN$9)</f>
        <v>0</v>
      </c>
      <c r="CO13" s="1">
        <f>STDEV(CO$3:CO$9)</f>
        <v>0</v>
      </c>
      <c r="CP13" s="1">
        <f>STDEV(CP$3:CP$9)</f>
        <v>0</v>
      </c>
      <c r="CQ13" s="1">
        <f>STDEV(CQ$3:CQ$9)</f>
        <v>0</v>
      </c>
      <c r="CR13" s="1">
        <f>STDEV(CR$3:CR$9)</f>
        <v>0</v>
      </c>
      <c r="CS13" s="1">
        <f>STDEV(CS$3:CS$9)</f>
        <v>0</v>
      </c>
      <c r="CT13" s="1">
        <f>STDEV(CT$3:CT$9)</f>
        <v>0</v>
      </c>
      <c r="CU13" s="1">
        <f>STDEV(CU$3:CU$9)</f>
        <v>0</v>
      </c>
      <c r="CV13" s="1">
        <f>STDEV(CV$3:CV$9)</f>
        <v>0</v>
      </c>
      <c r="CW13" s="1">
        <f>STDEV(CW$3:CW$9)</f>
        <v>0</v>
      </c>
      <c r="CX13" s="1">
        <f>STDEV(CX$3:CX$9)</f>
        <v>0</v>
      </c>
      <c r="CY13" s="1">
        <f>STDEV(CY$3:CY$9)</f>
        <v>0</v>
      </c>
      <c r="CZ13" s="1">
        <f>STDEV(CZ$3:CZ$9)</f>
        <v>0</v>
      </c>
      <c r="DA13" s="1">
        <f>STDEV(DA$3:DA$9)</f>
        <v>0</v>
      </c>
      <c r="DB13" s="1"/>
      <c r="DC13" s="1">
        <f>STDEV(DC$3:DC$9)</f>
        <v>0</v>
      </c>
      <c r="DD13" s="1">
        <f>STDEV(DD$3:DD$9)</f>
        <v>0</v>
      </c>
      <c r="DE13" s="1">
        <f>STDEV(DE$3:DE$9)</f>
        <v>0</v>
      </c>
      <c r="DF13" s="1">
        <f>STDEV(DF$3:DF$9)</f>
        <v>0</v>
      </c>
      <c r="DG13" s="1">
        <f>STDEV(DG$3:DG$9)</f>
        <v>0</v>
      </c>
      <c r="DH13" s="1">
        <f>STDEV(DH$3:DH$9)</f>
        <v>0</v>
      </c>
      <c r="DI13" s="1">
        <f>STDEV(DI$3:DI$9)</f>
        <v>0</v>
      </c>
      <c r="DJ13" s="1">
        <f>STDEV(DJ$3:DJ$9)</f>
        <v>0</v>
      </c>
      <c r="DK13" s="1">
        <f>STDEV(DK$3:DK$9)</f>
        <v>0</v>
      </c>
      <c r="DL13" s="1">
        <f>STDEV(DL$3:DL$9)</f>
        <v>0</v>
      </c>
      <c r="DM13" s="1">
        <f>STDEV(DM$3:DM$9)</f>
        <v>0</v>
      </c>
      <c r="DN13" s="1">
        <f>STDEV(DN$3:DN$9)</f>
        <v>0</v>
      </c>
      <c r="DO13" s="1">
        <f>STDEV(DO$3:DO$9)</f>
        <v>0</v>
      </c>
      <c r="DP13" s="1">
        <f>STDEV(DP$3:DP$9)</f>
        <v>0</v>
      </c>
      <c r="DQ13" s="1">
        <f>STDEV(DQ$3:DQ$9)</f>
        <v>0</v>
      </c>
      <c r="DR13" s="1">
        <f>STDEV(DR$3:DR$9)</f>
        <v>0</v>
      </c>
      <c r="DS13" s="1">
        <f>STDEV(DS$3:DS$9)</f>
        <v>0</v>
      </c>
      <c r="DT13" s="1"/>
      <c r="DU13" s="1">
        <f>STDEV(DU$3:DU$9)</f>
        <v>0</v>
      </c>
      <c r="DV13" s="1">
        <f>STDEV(DV$3:DV$9)</f>
        <v>0</v>
      </c>
      <c r="DW13" s="1">
        <f>STDEV(DW$3:DW$9)</f>
        <v>0</v>
      </c>
      <c r="DX13" s="1">
        <f>STDEV(DX$3:DX$9)</f>
        <v>0</v>
      </c>
      <c r="DY13" s="1">
        <f>STDEV(DY$3:DY$9)</f>
        <v>0</v>
      </c>
      <c r="DZ13" s="1">
        <f>STDEV(DZ$3:DZ$9)</f>
        <v>0</v>
      </c>
      <c r="EA13" s="1">
        <f>STDEV(EA$3:EA$9)</f>
        <v>0</v>
      </c>
      <c r="EB13" s="1">
        <f>STDEV(EB$3:EB$9)</f>
        <v>0</v>
      </c>
      <c r="EC13" s="1">
        <f>STDEV(EC$3:EC$9)</f>
        <v>0</v>
      </c>
      <c r="ED13" s="1">
        <f>STDEV(ED$3:ED$9)</f>
        <v>0</v>
      </c>
      <c r="EE13" s="1">
        <f>STDEV(EE$3:EE$9)</f>
        <v>0</v>
      </c>
      <c r="EF13" s="1">
        <f>STDEV(EF$3:EF$9)</f>
        <v>0</v>
      </c>
      <c r="EG13" s="1">
        <f>STDEV(EG$3:EG$9)</f>
        <v>0</v>
      </c>
      <c r="EH13" s="1">
        <f>STDEV(EH$3:EH$9)</f>
        <v>0</v>
      </c>
      <c r="EI13" s="1">
        <f>STDEV(EI$3:EI$9)</f>
        <v>0</v>
      </c>
      <c r="EJ13" s="1">
        <f>STDEV(EJ$3:EJ$9)</f>
        <v>0</v>
      </c>
      <c r="EK13" s="1">
        <f>STDEV(EK$3:EK$9)</f>
        <v>0</v>
      </c>
      <c r="EL13" s="1"/>
      <c r="EM13" s="1">
        <f>STDEV(EM$3:EM$9)</f>
        <v>0</v>
      </c>
      <c r="EN13" s="1">
        <f>STDEV(EN$3:EN$9)</f>
        <v>0</v>
      </c>
      <c r="EO13" s="1">
        <f>STDEV(EO$3:EO$9)</f>
        <v>0</v>
      </c>
      <c r="EP13" s="1">
        <f>STDEV(EP$3:EP$9)</f>
        <v>0</v>
      </c>
      <c r="EQ13" s="1">
        <f>STDEV(EQ$3:EQ$9)</f>
        <v>0</v>
      </c>
      <c r="ER13" s="1">
        <f>STDEV(ER$3:ER$9)</f>
        <v>0</v>
      </c>
      <c r="ES13" s="1">
        <f>STDEV(ES$3:ES$9)</f>
        <v>0</v>
      </c>
      <c r="ET13" s="1">
        <f>STDEV(ET$3:ET$9)</f>
        <v>0</v>
      </c>
      <c r="EU13" s="1">
        <f>STDEV(EU$3:EU$9)</f>
        <v>0</v>
      </c>
      <c r="EV13" s="1">
        <f>STDEV(EV$3:EV$9)</f>
        <v>0</v>
      </c>
      <c r="EW13" s="1">
        <f>STDEV(EW$3:EW$9)</f>
        <v>0</v>
      </c>
      <c r="EX13" s="1">
        <f>STDEV(EX$3:EX$9)</f>
        <v>0</v>
      </c>
      <c r="EY13" s="1">
        <f>STDEV(EY$3:EY$9)</f>
        <v>0</v>
      </c>
      <c r="EZ13" s="1">
        <f>STDEV(EZ$3:EZ$9)</f>
        <v>0</v>
      </c>
      <c r="FA13" s="1">
        <f>STDEV(FA$3:FA$9)</f>
        <v>0</v>
      </c>
      <c r="FB13" s="1">
        <f>STDEV(FB$3:FB$9)</f>
        <v>0</v>
      </c>
      <c r="FC13" s="1">
        <f>STDEV(FC$3:FC$9)</f>
        <v>0</v>
      </c>
      <c r="FD13" s="1"/>
      <c r="FE13" s="1">
        <f>STDEV(FE$3:FE$9)</f>
        <v>0</v>
      </c>
      <c r="FF13" s="1">
        <f>STDEV(FF$3:FF$9)</f>
        <v>0</v>
      </c>
      <c r="FG13" s="1">
        <f>STDEV(FG$3:FG$9)</f>
        <v>0</v>
      </c>
      <c r="FH13" s="1">
        <f>STDEV(FH$3:FH$9)</f>
        <v>0</v>
      </c>
      <c r="FI13" s="1">
        <f>STDEV(FI$3:FI$9)</f>
        <v>0</v>
      </c>
      <c r="FJ13" s="1">
        <f>STDEV(FJ$3:FJ$9)</f>
        <v>0</v>
      </c>
      <c r="FK13" s="1">
        <f>STDEV(FK$3:FK$9)</f>
        <v>0</v>
      </c>
      <c r="FL13" s="1">
        <f>STDEV(FL$3:FL$9)</f>
        <v>0</v>
      </c>
      <c r="FM13" s="1">
        <f>STDEV(FM$3:FM$9)</f>
        <v>0</v>
      </c>
      <c r="FN13" s="1">
        <f>STDEV(FN$3:FN$9)</f>
        <v>0</v>
      </c>
      <c r="FO13" s="1">
        <f>STDEV(FO$3:FO$9)</f>
        <v>0</v>
      </c>
      <c r="FP13" s="1">
        <f>STDEV(FP$3:FP$9)</f>
        <v>0</v>
      </c>
      <c r="FQ13" s="1">
        <f>STDEV(FQ$3:FQ$9)</f>
        <v>0</v>
      </c>
      <c r="FR13" s="1">
        <f>STDEV(FR$3:FR$9)</f>
        <v>0</v>
      </c>
      <c r="FS13" s="1">
        <f>STDEV(FS$3:FS$9)</f>
        <v>0</v>
      </c>
      <c r="FT13" s="1">
        <f>STDEV(FT$3:FT$9)</f>
        <v>0</v>
      </c>
      <c r="FU13" s="1">
        <f>STDEV(FU$3:FU$9)</f>
        <v>0</v>
      </c>
      <c r="FV13" s="1"/>
      <c r="FW13" s="1">
        <f>STDEV(FW$3:FW$9)</f>
        <v>0</v>
      </c>
      <c r="FX13" s="1">
        <f>STDEV(FX$3:FX$9)</f>
        <v>0</v>
      </c>
      <c r="FY13" s="1">
        <f>STDEV(FY$3:FY$9)</f>
        <v>0</v>
      </c>
      <c r="FZ13" s="1">
        <f>STDEV(FZ$3:FZ$9)</f>
        <v>0</v>
      </c>
      <c r="GA13" s="1">
        <f>STDEV(GA$3:GA$9)</f>
        <v>0</v>
      </c>
      <c r="GB13" s="1">
        <f>STDEV(GB$3:GB$9)</f>
        <v>0</v>
      </c>
      <c r="GC13" s="1">
        <f>STDEV(GC$3:GC$9)</f>
        <v>0</v>
      </c>
      <c r="GD13" s="1">
        <f>STDEV(GD$3:GD$9)</f>
        <v>0</v>
      </c>
      <c r="GE13" s="1">
        <f>STDEV(GE$3:GE$9)</f>
        <v>0</v>
      </c>
      <c r="GF13" s="1">
        <f>STDEV(GF$3:GF$9)</f>
        <v>0</v>
      </c>
      <c r="GG13" s="1">
        <f>STDEV(GG$3:GG$9)</f>
        <v>0</v>
      </c>
      <c r="GH13" s="1">
        <f>STDEV(GH$3:GH$9)</f>
        <v>0</v>
      </c>
      <c r="GI13" s="1">
        <f>STDEV(GI$3:GI$9)</f>
        <v>0</v>
      </c>
      <c r="GJ13" s="1">
        <f>STDEV(GJ$3:GJ$9)</f>
        <v>0</v>
      </c>
      <c r="GK13" s="1">
        <f>STDEV(GK$3:GK$9)</f>
        <v>0</v>
      </c>
      <c r="GL13" s="1">
        <f>STDEV(GL$3:GL$9)</f>
        <v>0</v>
      </c>
      <c r="GM13" s="1">
        <f>STDEV(GM$3:GM$9)</f>
        <v>0</v>
      </c>
      <c r="GN13" s="1"/>
      <c r="GO13" s="1">
        <f>STDEV(GO$3:GO$9)</f>
        <v>0</v>
      </c>
      <c r="GP13" s="1">
        <f>STDEV(GP$3:GP$9)</f>
        <v>0</v>
      </c>
      <c r="GQ13" s="1">
        <f>STDEV(GQ$3:GQ$9)</f>
        <v>0</v>
      </c>
      <c r="GR13" s="1">
        <f>STDEV(GR$3:GR$9)</f>
        <v>0</v>
      </c>
      <c r="GS13" s="1">
        <f>STDEV(GS$3:GS$9)</f>
        <v>0</v>
      </c>
      <c r="GT13" s="1">
        <f>STDEV(GT$3:GT$9)</f>
        <v>0</v>
      </c>
      <c r="GU13" s="1">
        <f>STDEV(GU$3:GU$9)</f>
        <v>0</v>
      </c>
      <c r="GV13" s="1">
        <f>STDEV(GV$3:GV$9)</f>
        <v>0</v>
      </c>
      <c r="GW13" s="1">
        <f>STDEV(GW$3:GW$9)</f>
        <v>0</v>
      </c>
      <c r="GX13" s="1">
        <f>STDEV(GX$3:GX$9)</f>
        <v>0</v>
      </c>
      <c r="GY13" s="1">
        <f>STDEV(GY$3:GY$9)</f>
        <v>0</v>
      </c>
      <c r="GZ13" s="1">
        <f>STDEV(GZ$3:GZ$9)</f>
        <v>0</v>
      </c>
      <c r="HA13" s="1">
        <f>STDEV(HA$3:HA$9)</f>
        <v>0</v>
      </c>
      <c r="HB13" s="1">
        <f>STDEV(HB$3:HB$9)</f>
        <v>0</v>
      </c>
      <c r="HC13" s="1">
        <f>STDEV(HC$3:HC$9)</f>
        <v>0</v>
      </c>
      <c r="HD13" s="1">
        <f>STDEV(HD$3:HD$9)</f>
        <v>0</v>
      </c>
      <c r="HE13" s="1">
        <f>STDEV(HE$3:HE$9)</f>
        <v>0</v>
      </c>
      <c r="HF13" s="1"/>
      <c r="HG13" s="1">
        <f>STDEV(HG$3:HG$9)</f>
        <v>0</v>
      </c>
      <c r="HH13" s="1">
        <f>STDEV(HH$3:HH$9)</f>
        <v>0</v>
      </c>
      <c r="HI13" s="1">
        <f>STDEV(HI$3:HI$9)</f>
        <v>0</v>
      </c>
      <c r="HJ13" s="1">
        <f>STDEV(HJ$3:HJ$9)</f>
        <v>0</v>
      </c>
      <c r="HK13" s="1">
        <f>STDEV(HK$3:HK$9)</f>
        <v>0</v>
      </c>
      <c r="HL13" s="1">
        <f>STDEV(HL$3:HL$9)</f>
        <v>0</v>
      </c>
      <c r="HM13" s="1">
        <f>STDEV(HM$3:HM$9)</f>
        <v>0</v>
      </c>
      <c r="HN13" s="1">
        <f>STDEV(HN$3:HN$9)</f>
        <v>0</v>
      </c>
      <c r="HO13" s="1">
        <f>STDEV(HO$3:HO$9)</f>
        <v>0</v>
      </c>
      <c r="HP13" s="1">
        <f>STDEV(HP$3:HP$9)</f>
        <v>0</v>
      </c>
      <c r="HQ13" s="1">
        <f>STDEV(HQ$3:HQ$9)</f>
        <v>0</v>
      </c>
      <c r="HR13" s="1">
        <f>STDEV(HR$3:HR$9)</f>
        <v>0</v>
      </c>
      <c r="HS13" s="1">
        <f>STDEV(HS$3:HS$9)</f>
        <v>0</v>
      </c>
      <c r="HT13" s="1">
        <f>STDEV(HT$3:HT$9)</f>
        <v>0</v>
      </c>
      <c r="HU13" s="1">
        <f>STDEV(HU$3:HU$9)</f>
        <v>0</v>
      </c>
      <c r="HV13" s="1">
        <f>STDEV(HV$3:HV$9)</f>
        <v>0</v>
      </c>
      <c r="HW13" s="1">
        <f>STDEV(HW$3:HW$9)</f>
        <v>0</v>
      </c>
      <c r="HX13" s="1"/>
      <c r="HY13" s="1">
        <f>STDEV(HY$3:HY$9)</f>
        <v>0</v>
      </c>
      <c r="HZ13" s="1">
        <f>STDEV(HZ$3:HZ$9)</f>
        <v>0</v>
      </c>
      <c r="IA13" s="1">
        <f>STDEV(IA$3:IA$9)</f>
        <v>0</v>
      </c>
      <c r="IB13" s="1">
        <f>STDEV(IB$3:IB$9)</f>
        <v>0</v>
      </c>
      <c r="IC13" s="1">
        <f>STDEV(IC$3:IC$9)</f>
        <v>0</v>
      </c>
      <c r="ID13" s="1">
        <f>STDEV(ID$3:ID$9)</f>
        <v>0</v>
      </c>
      <c r="IE13" s="1">
        <f>STDEV(IE$3:IE$9)</f>
        <v>0</v>
      </c>
      <c r="IF13" s="1">
        <f>STDEV(IF$3:IF$9)</f>
        <v>0</v>
      </c>
      <c r="IG13" s="1">
        <f>STDEV(IG$3:IG$9)</f>
        <v>0</v>
      </c>
      <c r="IH13" s="1">
        <f>STDEV(IH$3:IH$9)</f>
        <v>0</v>
      </c>
      <c r="II13" s="1">
        <f>STDEV(II$3:II$9)</f>
        <v>0</v>
      </c>
      <c r="IJ13" s="1">
        <f>STDEV(IJ$3:IJ$9)</f>
        <v>0</v>
      </c>
      <c r="IK13" s="1">
        <f>STDEV(IK$3:IK$9)</f>
        <v>0</v>
      </c>
      <c r="IL13" s="1">
        <f>STDEV(IL$3:IL$9)</f>
        <v>0</v>
      </c>
      <c r="IM13" s="1">
        <f>STDEV(IM$3:IM$9)</f>
        <v>0</v>
      </c>
      <c r="IN13" s="1">
        <f>STDEV(IN$3:IN$9)</f>
        <v>0</v>
      </c>
      <c r="IO13" s="1">
        <f>STDEV(IO$3:IO$9)</f>
        <v>0</v>
      </c>
      <c r="IP13" s="1"/>
      <c r="IQ13" s="1">
        <f>STDEV(IQ$3:IQ$9)</f>
        <v>0</v>
      </c>
      <c r="IR13" s="1">
        <f>STDEV(IR$3:IR$9)</f>
        <v>0</v>
      </c>
      <c r="IS13" s="1">
        <f>STDEV(IS$3:IS$9)</f>
        <v>0</v>
      </c>
      <c r="IT13" s="1">
        <f>STDEV(IT$3:IT$9)</f>
        <v>0</v>
      </c>
      <c r="IU13" s="1">
        <f>STDEV(IU$3:IU$9)</f>
        <v>0</v>
      </c>
      <c r="IV13" s="1">
        <f>STDEV(IV$3:IV$9)</f>
        <v>0</v>
      </c>
      <c r="IW13" s="1">
        <f>STDEV(IW$3:IW$9)</f>
        <v>0</v>
      </c>
      <c r="IX13" s="1">
        <f>STDEV(IX$3:IX$9)</f>
        <v>0</v>
      </c>
      <c r="IY13" s="1">
        <f>STDEV(IY$3:IY$9)</f>
        <v>0</v>
      </c>
      <c r="IZ13" s="1">
        <f>STDEV(IZ$3:IZ$9)</f>
        <v>0</v>
      </c>
      <c r="JA13" s="1">
        <f>STDEV(JA$3:JA$9)</f>
        <v>0</v>
      </c>
      <c r="JB13" s="1">
        <f>STDEV(JB$3:JB$9)</f>
        <v>0</v>
      </c>
      <c r="JC13" s="1">
        <f>STDEV(JC$3:JC$9)</f>
        <v>0</v>
      </c>
      <c r="JD13" s="1">
        <f>STDEV(JD$3:JD$9)</f>
        <v>0</v>
      </c>
      <c r="JE13" s="1">
        <f>STDEV(JE$3:JE$9)</f>
        <v>0</v>
      </c>
      <c r="JF13" s="1">
        <f>STDEV(JF$3:JF$9)</f>
        <v>0</v>
      </c>
      <c r="JG13" s="1">
        <f>STDEV(JG$3:JG$9)</f>
        <v>0</v>
      </c>
      <c r="JH13" s="1"/>
      <c r="JI13" s="1">
        <f>STDEV(JI$3:JI$9)</f>
        <v>0</v>
      </c>
      <c r="JJ13" s="1">
        <f>STDEV(JJ$3:JJ$9)</f>
        <v>0</v>
      </c>
      <c r="JK13" s="1">
        <f>STDEV(JK$3:JK$9)</f>
        <v>0</v>
      </c>
      <c r="JL13" s="1">
        <f>STDEV(JL$3:JL$9)</f>
        <v>0</v>
      </c>
      <c r="JM13" s="1">
        <f>STDEV(JM$3:JM$9)</f>
        <v>0</v>
      </c>
      <c r="JN13" s="1">
        <f>STDEV(JN$3:JN$9)</f>
        <v>0</v>
      </c>
      <c r="JO13" s="1">
        <f>STDEV(JO$3:JO$9)</f>
        <v>0</v>
      </c>
      <c r="JP13" s="1">
        <f>STDEV(JP$3:JP$9)</f>
        <v>0</v>
      </c>
      <c r="JQ13" s="1">
        <f>STDEV(JQ$3:JQ$9)</f>
        <v>0</v>
      </c>
      <c r="JR13" s="1">
        <f>STDEV(JR$3:JR$9)</f>
        <v>0</v>
      </c>
      <c r="JS13" s="1">
        <f>STDEV(JS$3:JS$9)</f>
        <v>0</v>
      </c>
      <c r="JT13" s="1">
        <f>STDEV(JT$3:JT$9)</f>
        <v>0</v>
      </c>
      <c r="JU13" s="1">
        <f>STDEV(JU$3:JU$9)</f>
        <v>0</v>
      </c>
      <c r="JV13" s="1">
        <f>STDEV(JV$3:JV$9)</f>
        <v>0</v>
      </c>
      <c r="JW13" s="1">
        <f>STDEV(JW$3:JW$9)</f>
        <v>0</v>
      </c>
      <c r="JX13" s="1">
        <f>STDEV(JX$3:JX$9)</f>
        <v>0</v>
      </c>
      <c r="JY13" s="1">
        <f>STDEV(JY$3:JY$9)</f>
        <v>0</v>
      </c>
      <c r="JZ13" s="1"/>
      <c r="KA13" s="1">
        <f>STDEV(KA$3:KA$9)</f>
        <v>0</v>
      </c>
      <c r="KB13" s="1">
        <f>STDEV(KB$3:KB$9)</f>
        <v>0</v>
      </c>
      <c r="KC13" s="1">
        <f>STDEV(KC$3:KC$9)</f>
        <v>0</v>
      </c>
      <c r="KD13" s="1">
        <f>STDEV(KD$3:KD$9)</f>
        <v>0</v>
      </c>
      <c r="KE13" s="1">
        <f>STDEV(KE$3:KE$9)</f>
        <v>0</v>
      </c>
      <c r="KF13" s="1">
        <f>STDEV(KF$3:KF$9)</f>
        <v>0</v>
      </c>
      <c r="KG13" s="1">
        <f>STDEV(KG$3:KG$9)</f>
        <v>0</v>
      </c>
      <c r="KH13" s="1">
        <f>STDEV(KH$3:KH$9)</f>
        <v>0</v>
      </c>
      <c r="KI13" s="1">
        <f>STDEV(KI$3:KI$9)</f>
        <v>0</v>
      </c>
      <c r="KJ13" s="1">
        <f>STDEV(KJ$3:KJ$9)</f>
        <v>0</v>
      </c>
      <c r="KK13" s="1">
        <f>STDEV(KK$3:KK$9)</f>
        <v>0</v>
      </c>
      <c r="KL13" s="1">
        <f>STDEV(KL$3:KL$9)</f>
        <v>0</v>
      </c>
      <c r="KM13" s="1">
        <f>STDEV(KM$3:KM$9)</f>
        <v>0</v>
      </c>
      <c r="KN13" s="1">
        <f>STDEV(KN$3:KN$9)</f>
        <v>0</v>
      </c>
      <c r="KO13" s="1">
        <f>STDEV(KO$3:KO$9)</f>
        <v>0</v>
      </c>
      <c r="KP13" s="1">
        <f>STDEV(KP$3:KP$9)</f>
        <v>0</v>
      </c>
      <c r="KQ13" s="1">
        <f>STDEV(KQ$3:KQ$9)</f>
        <v>0</v>
      </c>
      <c r="KR13" s="1">
        <f>STDEV(KR$3:KR$9)</f>
        <v>0</v>
      </c>
      <c r="KS13" s="1">
        <f>STDEV(KS$3:KS$9)</f>
        <v>0</v>
      </c>
      <c r="KT13" s="1">
        <f>STDEV(KT$3:KT$9)</f>
        <v>0</v>
      </c>
      <c r="KU13" s="1">
        <f>STDEV(KU$3:KU$9)</f>
        <v>0</v>
      </c>
      <c r="KV13" s="1">
        <f>STDEV(KV$3:KV$9)</f>
        <v>0</v>
      </c>
      <c r="KW13" s="1">
        <f>STDEV(KW$3:KW$9)</f>
        <v>0</v>
      </c>
      <c r="KX13" s="1">
        <f>STDEV(KX$3:KX$9)</f>
        <v>0</v>
      </c>
      <c r="KY13" s="1">
        <f>STDEV(KY$3:KY$9)</f>
        <v>0</v>
      </c>
      <c r="KZ13" s="1">
        <f>STDEV(KZ$3:KZ$9)</f>
        <v>0</v>
      </c>
      <c r="LA13" s="1">
        <f>STDEV(LA$3:LA$9)</f>
        <v>0</v>
      </c>
      <c r="LB13" s="1">
        <f>STDEV(LB$3:LB$9)</f>
        <v>0</v>
      </c>
      <c r="LC13" s="1">
        <f>STDEV(LC$3:LC$9)</f>
        <v>0</v>
      </c>
      <c r="LD13" s="1">
        <f>STDEV(LD$3:LD$9)</f>
        <v>0</v>
      </c>
      <c r="LE13" s="1">
        <f>STDEV(LE$3:LE$9)</f>
        <v>0</v>
      </c>
      <c r="LF13" s="1">
        <f>STDEV(LF$3:LF$9)</f>
        <v>0</v>
      </c>
      <c r="LG13" s="1">
        <f>STDEV(LG$3:LG$9)</f>
        <v>0</v>
      </c>
      <c r="LH13" s="1">
        <f>STDEV(LH$3:LH$9)</f>
        <v>0</v>
      </c>
      <c r="LI13" s="1">
        <f>STDEV(LI$3:LI$9)</f>
        <v>0</v>
      </c>
      <c r="LJ13" s="1">
        <f>STDEV(LJ$3:LJ$9)</f>
        <v>0</v>
      </c>
      <c r="LK13" s="1">
        <f>STDEV(LK$3:LK$9)</f>
        <v>0</v>
      </c>
      <c r="LL13" s="1">
        <f>STDEV(LL$3:LL$9)</f>
        <v>0</v>
      </c>
      <c r="LM13" s="1">
        <f>STDEV(LM$3:LM$9)</f>
        <v>0</v>
      </c>
      <c r="LN13" s="1">
        <f>STDEV(LN$3:LN$9)</f>
        <v>0</v>
      </c>
      <c r="LO13" s="1">
        <f>STDEV(LO$3:LO$9)</f>
        <v>0</v>
      </c>
      <c r="LP13" s="1">
        <f>STDEV(LP$3:LP$9)</f>
        <v>0</v>
      </c>
      <c r="LQ13" s="1">
        <f>STDEV(LQ$3:LQ$9)</f>
        <v>0</v>
      </c>
      <c r="LR13" s="1">
        <f>STDEV(LR$3:LR$9)</f>
        <v>0</v>
      </c>
      <c r="LS13" s="1">
        <f>STDEV(LS$3:LS$9)</f>
        <v>0</v>
      </c>
      <c r="LT13" s="1">
        <f>STDEV(LT$3:LT$9)</f>
        <v>0</v>
      </c>
      <c r="LU13" s="1">
        <f>STDEV(LU$3:LU$9)</f>
        <v>0</v>
      </c>
      <c r="LV13" s="1">
        <f>STDEV(LV$3:LV$9)</f>
        <v>0</v>
      </c>
      <c r="LW13" s="1">
        <f>STDEV(LW$3:LW$9)</f>
        <v>0</v>
      </c>
      <c r="LX13" s="1">
        <f>STDEV(LX$3:LX$9)</f>
        <v>0</v>
      </c>
      <c r="LY13" s="1">
        <f>STDEV(LY$3:LY$9)</f>
        <v>0</v>
      </c>
      <c r="LZ13" s="1">
        <f>STDEV(LZ$3:LZ$9)</f>
        <v>0</v>
      </c>
      <c r="MA13" s="1">
        <f>STDEV(MA$3:MA$9)</f>
        <v>0</v>
      </c>
      <c r="MB13" s="1">
        <f>STDEV(MB$3:MB$9)</f>
        <v>0</v>
      </c>
    </row>
    <row r="14" spans="1:340">
      <c r="A14" s="1" t="s">
        <v>10</v>
      </c>
      <c r="B14" s="1">
        <f>SUMPRODUCT(--(B$3:B$9-$KD$3:$KD$9)^2)^0.5</f>
        <v>0</v>
      </c>
      <c r="C14" s="1">
        <f>SUMPRODUCT(--(C$3:C$9-$KE$3:$KE$9)^2)^0.5</f>
        <v>0</v>
      </c>
      <c r="D14" s="1">
        <f>SUMPRODUCT(--(D$3:D$9-$KF$3:$KF$9)^2)^0.5</f>
        <v>0</v>
      </c>
      <c r="E14" s="1">
        <f>SUMPRODUCT(--(E$3:E$9-$KG$3:$KG$9)^2)^0.5</f>
        <v>0</v>
      </c>
      <c r="F14" s="1">
        <f>SUMPRODUCT(--(F$3:F$9-$KH$3:$KH$9)^2)^0.5</f>
        <v>0</v>
      </c>
      <c r="G14" s="1">
        <f>SUMPRODUCT(--(G$3:G$9-$KI$3:$KI$9)^2)^0.5</f>
        <v>0</v>
      </c>
      <c r="H14" s="1">
        <f>SUMPRODUCT(--(H$3:H$9-$KJ$3:$KJ$9)^2)^0.5</f>
        <v>0</v>
      </c>
      <c r="I14" s="1">
        <f>SUMPRODUCT(--(I$3:I$9-$KK$3:$KK$9)^2)^0.5</f>
        <v>0</v>
      </c>
      <c r="J14" s="1">
        <f>SUMPRODUCT(--(J$3:J$9-$KL$3:$KL$9)^2)^0.5</f>
        <v>0</v>
      </c>
      <c r="K14" s="1">
        <f>SUMPRODUCT(--(K$3:K$9-$KM$3:$KM$9)^2)^0.5</f>
        <v>0</v>
      </c>
      <c r="L14" s="1">
        <f>SUMPRODUCT(--(L$3:L$9-$KN$3:$KN$9)^2)^0.5</f>
        <v>0</v>
      </c>
      <c r="M14" s="1">
        <f>SUMPRODUCT(--(M$3:M$9-$KO$3:$KO$9)^2)^0.5</f>
        <v>0</v>
      </c>
      <c r="N14" s="1">
        <f>SUMPRODUCT(--(N$3:N$9-$KP$3:$KP$9)^2)^0.5</f>
        <v>0</v>
      </c>
      <c r="O14" s="1">
        <f>SUMPRODUCT(--(O$3:O$9-$KQ$3:$KQ$9)^2)^0.5</f>
        <v>0</v>
      </c>
      <c r="P14" s="1"/>
      <c r="Q14" s="1">
        <f>SUMPRODUCT(--(Q$3:Q$9-$KR$3:$KR$9)^2)^0.5</f>
        <v>0</v>
      </c>
      <c r="R14" s="1">
        <f>SUMPRODUCT(--(R$3:R$9-$KS$3:$KS$9)^2)^0.5</f>
        <v>0</v>
      </c>
      <c r="S14" s="1">
        <f>SUMPRODUCT(--(S$3:S$9-$KT$3:$KT$9)^2)^0.5</f>
        <v>0</v>
      </c>
      <c r="T14" s="1">
        <f>SUMPRODUCT(--(T$3:T$9-$KD$3:$KD$9)^2)^0.5</f>
        <v>0</v>
      </c>
      <c r="U14" s="1">
        <f>SUMPRODUCT(--(U$3:U$9-$KE$3:$KE$9)^2)^0.5</f>
        <v>0</v>
      </c>
      <c r="V14" s="1">
        <f>SUMPRODUCT(--(V$3:V$9-$KF$3:$KF$9)^2)^0.5</f>
        <v>0</v>
      </c>
      <c r="W14" s="1">
        <f>SUMPRODUCT(--(W$3:W$9-$KG$3:$KG$9)^2)^0.5</f>
        <v>0</v>
      </c>
      <c r="X14" s="1">
        <f>SUMPRODUCT(--(X$3:X$9-$KH$3:$KH$9)^2)^0.5</f>
        <v>0</v>
      </c>
      <c r="Y14" s="1">
        <f>SUMPRODUCT(--(Y$3:Y$9-$KI$3:$KI$9)^2)^0.5</f>
        <v>0</v>
      </c>
      <c r="Z14" s="1">
        <f>SUMPRODUCT(--(Z$3:Z$9-$KJ$3:$KJ$9)^2)^0.5</f>
        <v>0</v>
      </c>
      <c r="AA14" s="1">
        <f>SUMPRODUCT(--(AA$3:AA$9-$KK$3:$KK$9)^2)^0.5</f>
        <v>0</v>
      </c>
      <c r="AB14" s="1">
        <f>SUMPRODUCT(--(AB$3:AB$9-$KL$3:$KL$9)^2)^0.5</f>
        <v>0</v>
      </c>
      <c r="AC14" s="1">
        <f>SUMPRODUCT(--(AC$3:AC$9-$KM$3:$KM$9)^2)^0.5</f>
        <v>0</v>
      </c>
      <c r="AD14" s="1">
        <f>SUMPRODUCT(--(AD$3:AD$9-$KN$3:$KN$9)^2)^0.5</f>
        <v>0</v>
      </c>
      <c r="AE14" s="1">
        <f>SUMPRODUCT(--(AE$3:AE$9-$KO$3:$KO$9)^2)^0.5</f>
        <v>0</v>
      </c>
      <c r="AF14" s="1">
        <f>SUMPRODUCT(--(AF$3:AF$9-$KP$3:$KP$9)^2)^0.5</f>
        <v>0</v>
      </c>
      <c r="AG14" s="1">
        <f>SUMPRODUCT(--(AG$3:AG$9-$KQ$3:$KQ$9)^2)^0.5</f>
        <v>0</v>
      </c>
      <c r="AH14" s="1"/>
      <c r="AI14" s="1">
        <f>SUMPRODUCT(--(AI$3:AI$9-$KR$3:$KR$9)^2)^0.5</f>
        <v>0</v>
      </c>
      <c r="AJ14" s="1">
        <f>SUMPRODUCT(--(AJ$3:AJ$9-$KS$3:$KS$9)^2)^0.5</f>
        <v>0</v>
      </c>
      <c r="AK14" s="1">
        <f>SUMPRODUCT(--(AK$3:AK$9-$KT$3:$KT$9)^2)^0.5</f>
        <v>0</v>
      </c>
      <c r="AL14" s="1">
        <f>SUMPRODUCT(--(AL$3:AL$9-$KD$3:$KD$9)^2)^0.5</f>
        <v>0</v>
      </c>
      <c r="AM14" s="1">
        <f>SUMPRODUCT(--(AM$3:AM$9-$KE$3:$KE$9)^2)^0.5</f>
        <v>0</v>
      </c>
      <c r="AN14" s="1">
        <f>SUMPRODUCT(--(AN$3:AN$9-$KF$3:$KF$9)^2)^0.5</f>
        <v>0</v>
      </c>
      <c r="AO14" s="1">
        <f>SUMPRODUCT(--(AO$3:AO$9-$KG$3:$KG$9)^2)^0.5</f>
        <v>0</v>
      </c>
      <c r="AP14" s="1">
        <f>SUMPRODUCT(--(AP$3:AP$9-$KH$3:$KH$9)^2)^0.5</f>
        <v>0</v>
      </c>
      <c r="AQ14" s="1">
        <f>SUMPRODUCT(--(AQ$3:AQ$9-$KI$3:$KI$9)^2)^0.5</f>
        <v>0</v>
      </c>
      <c r="AR14" s="1">
        <f>SUMPRODUCT(--(AR$3:AR$9-$KJ$3:$KJ$9)^2)^0.5</f>
        <v>0</v>
      </c>
      <c r="AS14" s="1">
        <f>SUMPRODUCT(--(AS$3:AS$9-$KK$3:$KK$9)^2)^0.5</f>
        <v>0</v>
      </c>
      <c r="AT14" s="1">
        <f>SUMPRODUCT(--(AT$3:AT$9-$KL$3:$KL$9)^2)^0.5</f>
        <v>0</v>
      </c>
      <c r="AU14" s="1">
        <f>SUMPRODUCT(--(AU$3:AU$9-$KM$3:$KM$9)^2)^0.5</f>
        <v>0</v>
      </c>
      <c r="AV14" s="1">
        <f>SUMPRODUCT(--(AV$3:AV$9-$KN$3:$KN$9)^2)^0.5</f>
        <v>0</v>
      </c>
      <c r="AW14" s="1">
        <f>SUMPRODUCT(--(AW$3:AW$9-$KO$3:$KO$9)^2)^0.5</f>
        <v>0</v>
      </c>
      <c r="AX14" s="1">
        <f>SUMPRODUCT(--(AX$3:AX$9-$KP$3:$KP$9)^2)^0.5</f>
        <v>0</v>
      </c>
      <c r="AY14" s="1">
        <f>SUMPRODUCT(--(AY$3:AY$9-$KQ$3:$KQ$9)^2)^0.5</f>
        <v>0</v>
      </c>
      <c r="AZ14" s="1"/>
      <c r="BA14" s="1">
        <f>SUMPRODUCT(--(BA$3:BA$9-$KR$3:$KR$9)^2)^0.5</f>
        <v>0</v>
      </c>
      <c r="BB14" s="1">
        <f>SUMPRODUCT(--(BB$3:BB$9-$KS$3:$KS$9)^2)^0.5</f>
        <v>0</v>
      </c>
      <c r="BC14" s="1">
        <f>SUMPRODUCT(--(BC$3:BC$9-$KT$3:$KT$9)^2)^0.5</f>
        <v>0</v>
      </c>
      <c r="BD14" s="1">
        <f>SUMPRODUCT(--(BD$3:BD$9-$KD$3:$KD$9)^2)^0.5</f>
        <v>0</v>
      </c>
      <c r="BE14" s="1">
        <f>SUMPRODUCT(--(BE$3:BE$9-$KE$3:$KE$9)^2)^0.5</f>
        <v>0</v>
      </c>
      <c r="BF14" s="1">
        <f>SUMPRODUCT(--(BF$3:BF$9-$KF$3:$KF$9)^2)^0.5</f>
        <v>0</v>
      </c>
      <c r="BG14" s="1">
        <f>SUMPRODUCT(--(BG$3:BG$9-$KG$3:$KG$9)^2)^0.5</f>
        <v>0</v>
      </c>
      <c r="BH14" s="1">
        <f>SUMPRODUCT(--(BH$3:BH$9-$KH$3:$KH$9)^2)^0.5</f>
        <v>0</v>
      </c>
      <c r="BI14" s="1">
        <f>SUMPRODUCT(--(BI$3:BI$9-$KI$3:$KI$9)^2)^0.5</f>
        <v>0</v>
      </c>
      <c r="BJ14" s="1">
        <f>SUMPRODUCT(--(BJ$3:BJ$9-$KJ$3:$KJ$9)^2)^0.5</f>
        <v>0</v>
      </c>
      <c r="BK14" s="1">
        <f>SUMPRODUCT(--(BK$3:BK$9-$KK$3:$KK$9)^2)^0.5</f>
        <v>0</v>
      </c>
      <c r="BL14" s="1">
        <f>SUMPRODUCT(--(BL$3:BL$9-$KL$3:$KL$9)^2)^0.5</f>
        <v>0</v>
      </c>
      <c r="BM14" s="1">
        <f>SUMPRODUCT(--(BM$3:BM$9-$KM$3:$KM$9)^2)^0.5</f>
        <v>0</v>
      </c>
      <c r="BN14" s="1">
        <f>SUMPRODUCT(--(BN$3:BN$9-$KN$3:$KN$9)^2)^0.5</f>
        <v>0</v>
      </c>
      <c r="BO14" s="1">
        <f>SUMPRODUCT(--(BO$3:BO$9-$KO$3:$KO$9)^2)^0.5</f>
        <v>0</v>
      </c>
      <c r="BP14" s="1">
        <f>SUMPRODUCT(--(BP$3:BP$9-$KP$3:$KP$9)^2)^0.5</f>
        <v>0</v>
      </c>
      <c r="BQ14" s="1">
        <f>SUMPRODUCT(--(BQ$3:BQ$9-$KQ$3:$KQ$9)^2)^0.5</f>
        <v>0</v>
      </c>
      <c r="BR14" s="1"/>
      <c r="BS14" s="1">
        <f>SUMPRODUCT(--(BS$3:BS$9-$KR$3:$KR$9)^2)^0.5</f>
        <v>0</v>
      </c>
      <c r="BT14" s="1">
        <f>SUMPRODUCT(--(BT$3:BT$9-$KS$3:$KS$9)^2)^0.5</f>
        <v>0</v>
      </c>
      <c r="BU14" s="1">
        <f>SUMPRODUCT(--(BU$3:BU$9-$KT$3:$KT$9)^2)^0.5</f>
        <v>0</v>
      </c>
      <c r="BV14" s="1">
        <f>SUMPRODUCT(--(BV$3:BV$9-$KD$3:$KD$9)^2)^0.5</f>
        <v>0</v>
      </c>
      <c r="BW14" s="1">
        <f>SUMPRODUCT(--(BW$3:BW$9-$KE$3:$KE$9)^2)^0.5</f>
        <v>0</v>
      </c>
      <c r="BX14" s="1">
        <f>SUMPRODUCT(--(BX$3:BX$9-$KF$3:$KF$9)^2)^0.5</f>
        <v>0</v>
      </c>
      <c r="BY14" s="1">
        <f>SUMPRODUCT(--(BY$3:BY$9-$KG$3:$KG$9)^2)^0.5</f>
        <v>0</v>
      </c>
      <c r="BZ14" s="1">
        <f>SUMPRODUCT(--(BZ$3:BZ$9-$KH$3:$KH$9)^2)^0.5</f>
        <v>0</v>
      </c>
      <c r="CA14" s="1">
        <f>SUMPRODUCT(--(CA$3:CA$9-$KI$3:$KI$9)^2)^0.5</f>
        <v>0</v>
      </c>
      <c r="CB14" s="1">
        <f>SUMPRODUCT(--(CB$3:CB$9-$KJ$3:$KJ$9)^2)^0.5</f>
        <v>0</v>
      </c>
      <c r="CC14" s="1">
        <f>SUMPRODUCT(--(CC$3:CC$9-$KK$3:$KK$9)^2)^0.5</f>
        <v>0</v>
      </c>
      <c r="CD14" s="1">
        <f>SUMPRODUCT(--(CD$3:CD$9-$KL$3:$KL$9)^2)^0.5</f>
        <v>0</v>
      </c>
      <c r="CE14" s="1">
        <f>SUMPRODUCT(--(CE$3:CE$9-$KM$3:$KM$9)^2)^0.5</f>
        <v>0</v>
      </c>
      <c r="CF14" s="1">
        <f>SUMPRODUCT(--(CF$3:CF$9-$KN$3:$KN$9)^2)^0.5</f>
        <v>0</v>
      </c>
      <c r="CG14" s="1">
        <f>SUMPRODUCT(--(CG$3:CG$9-$KO$3:$KO$9)^2)^0.5</f>
        <v>0</v>
      </c>
      <c r="CH14" s="1">
        <f>SUMPRODUCT(--(CH$3:CH$9-$KP$3:$KP$9)^2)^0.5</f>
        <v>0</v>
      </c>
      <c r="CI14" s="1">
        <f>SUMPRODUCT(--(CI$3:CI$9-$KQ$3:$KQ$9)^2)^0.5</f>
        <v>0</v>
      </c>
      <c r="CJ14" s="1"/>
      <c r="CK14" s="1">
        <f>SUMPRODUCT(--(CK$3:CK$9-$KR$3:$KR$9)^2)^0.5</f>
        <v>0</v>
      </c>
      <c r="CL14" s="1">
        <f>SUMPRODUCT(--(CL$3:CL$9-$KS$3:$KS$9)^2)^0.5</f>
        <v>0</v>
      </c>
      <c r="CM14" s="1">
        <f>SUMPRODUCT(--(CM$3:CM$9-$KT$3:$KT$9)^2)^0.5</f>
        <v>0</v>
      </c>
      <c r="CN14" s="1">
        <f>SUMPRODUCT(--(CN$3:CN$9-$KD$3:$KD$9)^2)^0.5</f>
        <v>0</v>
      </c>
      <c r="CO14" s="1">
        <f>SUMPRODUCT(--(CO$3:CO$9-$KE$3:$KE$9)^2)^0.5</f>
        <v>0</v>
      </c>
      <c r="CP14" s="1">
        <f>SUMPRODUCT(--(CP$3:CP$9-$KF$3:$KF$9)^2)^0.5</f>
        <v>0</v>
      </c>
      <c r="CQ14" s="1">
        <f>SUMPRODUCT(--(CQ$3:CQ$9-$KG$3:$KG$9)^2)^0.5</f>
        <v>0</v>
      </c>
      <c r="CR14" s="1">
        <f>SUMPRODUCT(--(CR$3:CR$9-$KH$3:$KH$9)^2)^0.5</f>
        <v>0</v>
      </c>
      <c r="CS14" s="1">
        <f>SUMPRODUCT(--(CS$3:CS$9-$KI$3:$KI$9)^2)^0.5</f>
        <v>0</v>
      </c>
      <c r="CT14" s="1">
        <f>SUMPRODUCT(--(CT$3:CT$9-$KJ$3:$KJ$9)^2)^0.5</f>
        <v>0</v>
      </c>
      <c r="CU14" s="1">
        <f>SUMPRODUCT(--(CU$3:CU$9-$KK$3:$KK$9)^2)^0.5</f>
        <v>0</v>
      </c>
      <c r="CV14" s="1">
        <f>SUMPRODUCT(--(CV$3:CV$9-$KL$3:$KL$9)^2)^0.5</f>
        <v>0</v>
      </c>
      <c r="CW14" s="1">
        <f>SUMPRODUCT(--(CW$3:CW$9-$KM$3:$KM$9)^2)^0.5</f>
        <v>0</v>
      </c>
      <c r="CX14" s="1">
        <f>SUMPRODUCT(--(CX$3:CX$9-$KN$3:$KN$9)^2)^0.5</f>
        <v>0</v>
      </c>
      <c r="CY14" s="1">
        <f>SUMPRODUCT(--(CY$3:CY$9-$KO$3:$KO$9)^2)^0.5</f>
        <v>0</v>
      </c>
      <c r="CZ14" s="1">
        <f>SUMPRODUCT(--(CZ$3:CZ$9-$KP$3:$KP$9)^2)^0.5</f>
        <v>0</v>
      </c>
      <c r="DA14" s="1">
        <f>SUMPRODUCT(--(DA$3:DA$9-$KQ$3:$KQ$9)^2)^0.5</f>
        <v>0</v>
      </c>
      <c r="DB14" s="1"/>
      <c r="DC14" s="1">
        <f>SUMPRODUCT(--(DC$3:DC$9-$KR$3:$KR$9)^2)^0.5</f>
        <v>0</v>
      </c>
      <c r="DD14" s="1">
        <f>SUMPRODUCT(--(DD$3:DD$9-$KS$3:$KS$9)^2)^0.5</f>
        <v>0</v>
      </c>
      <c r="DE14" s="1">
        <f>SUMPRODUCT(--(DE$3:DE$9-$KT$3:$KT$9)^2)^0.5</f>
        <v>0</v>
      </c>
      <c r="DF14" s="1">
        <f>SUMPRODUCT(--(DF$3:DF$9-$KD$3:$KD$9)^2)^0.5</f>
        <v>0</v>
      </c>
      <c r="DG14" s="1">
        <f>SUMPRODUCT(--(DG$3:DG$9-$KE$3:$KE$9)^2)^0.5</f>
        <v>0</v>
      </c>
      <c r="DH14" s="1">
        <f>SUMPRODUCT(--(DH$3:DH$9-$KF$3:$KF$9)^2)^0.5</f>
        <v>0</v>
      </c>
      <c r="DI14" s="1">
        <f>SUMPRODUCT(--(DI$3:DI$9-$KG$3:$KG$9)^2)^0.5</f>
        <v>0</v>
      </c>
      <c r="DJ14" s="1">
        <f>SUMPRODUCT(--(DJ$3:DJ$9-$KH$3:$KH$9)^2)^0.5</f>
        <v>0</v>
      </c>
      <c r="DK14" s="1">
        <f>SUMPRODUCT(--(DK$3:DK$9-$KI$3:$KI$9)^2)^0.5</f>
        <v>0</v>
      </c>
      <c r="DL14" s="1">
        <f>SUMPRODUCT(--(DL$3:DL$9-$KJ$3:$KJ$9)^2)^0.5</f>
        <v>0</v>
      </c>
      <c r="DM14" s="1">
        <f>SUMPRODUCT(--(DM$3:DM$9-$KK$3:$KK$9)^2)^0.5</f>
        <v>0</v>
      </c>
      <c r="DN14" s="1">
        <f>SUMPRODUCT(--(DN$3:DN$9-$KL$3:$KL$9)^2)^0.5</f>
        <v>0</v>
      </c>
      <c r="DO14" s="1">
        <f>SUMPRODUCT(--(DO$3:DO$9-$KM$3:$KM$9)^2)^0.5</f>
        <v>0</v>
      </c>
      <c r="DP14" s="1">
        <f>SUMPRODUCT(--(DP$3:DP$9-$KN$3:$KN$9)^2)^0.5</f>
        <v>0</v>
      </c>
      <c r="DQ14" s="1">
        <f>SUMPRODUCT(--(DQ$3:DQ$9-$KO$3:$KO$9)^2)^0.5</f>
        <v>0</v>
      </c>
      <c r="DR14" s="1">
        <f>SUMPRODUCT(--(DR$3:DR$9-$KP$3:$KP$9)^2)^0.5</f>
        <v>0</v>
      </c>
      <c r="DS14" s="1">
        <f>SUMPRODUCT(--(DS$3:DS$9-$KQ$3:$KQ$9)^2)^0.5</f>
        <v>0</v>
      </c>
      <c r="DT14" s="1"/>
      <c r="DU14" s="1">
        <f>SUMPRODUCT(--(DU$3:DU$9-$KR$3:$KR$9)^2)^0.5</f>
        <v>0</v>
      </c>
      <c r="DV14" s="1">
        <f>SUMPRODUCT(--(DV$3:DV$9-$KS$3:$KS$9)^2)^0.5</f>
        <v>0</v>
      </c>
      <c r="DW14" s="1">
        <f>SUMPRODUCT(--(DW$3:DW$9-$KT$3:$KT$9)^2)^0.5</f>
        <v>0</v>
      </c>
      <c r="DX14" s="1">
        <f>SUMPRODUCT(--(DX$3:DX$9-$KD$3:$KD$9)^2)^0.5</f>
        <v>0</v>
      </c>
      <c r="DY14" s="1">
        <f>SUMPRODUCT(--(DY$3:DY$9-$KE$3:$KE$9)^2)^0.5</f>
        <v>0</v>
      </c>
      <c r="DZ14" s="1">
        <f>SUMPRODUCT(--(DZ$3:DZ$9-$KF$3:$KF$9)^2)^0.5</f>
        <v>0</v>
      </c>
      <c r="EA14" s="1">
        <f>SUMPRODUCT(--(EA$3:EA$9-$KG$3:$KG$9)^2)^0.5</f>
        <v>0</v>
      </c>
      <c r="EB14" s="1">
        <f>SUMPRODUCT(--(EB$3:EB$9-$KH$3:$KH$9)^2)^0.5</f>
        <v>0</v>
      </c>
      <c r="EC14" s="1">
        <f>SUMPRODUCT(--(EC$3:EC$9-$KI$3:$KI$9)^2)^0.5</f>
        <v>0</v>
      </c>
      <c r="ED14" s="1">
        <f>SUMPRODUCT(--(ED$3:ED$9-$KJ$3:$KJ$9)^2)^0.5</f>
        <v>0</v>
      </c>
      <c r="EE14" s="1">
        <f>SUMPRODUCT(--(EE$3:EE$9-$KK$3:$KK$9)^2)^0.5</f>
        <v>0</v>
      </c>
      <c r="EF14" s="1">
        <f>SUMPRODUCT(--(EF$3:EF$9-$KL$3:$KL$9)^2)^0.5</f>
        <v>0</v>
      </c>
      <c r="EG14" s="1">
        <f>SUMPRODUCT(--(EG$3:EG$9-$KM$3:$KM$9)^2)^0.5</f>
        <v>0</v>
      </c>
      <c r="EH14" s="1">
        <f>SUMPRODUCT(--(EH$3:EH$9-$KN$3:$KN$9)^2)^0.5</f>
        <v>0</v>
      </c>
      <c r="EI14" s="1">
        <f>SUMPRODUCT(--(EI$3:EI$9-$KO$3:$KO$9)^2)^0.5</f>
        <v>0</v>
      </c>
      <c r="EJ14" s="1">
        <f>SUMPRODUCT(--(EJ$3:EJ$9-$KP$3:$KP$9)^2)^0.5</f>
        <v>0</v>
      </c>
      <c r="EK14" s="1">
        <f>SUMPRODUCT(--(EK$3:EK$9-$KQ$3:$KQ$9)^2)^0.5</f>
        <v>0</v>
      </c>
      <c r="EL14" s="1"/>
      <c r="EM14" s="1">
        <f>SUMPRODUCT(--(EM$3:EM$9-$KR$3:$KR$9)^2)^0.5</f>
        <v>0</v>
      </c>
      <c r="EN14" s="1">
        <f>SUMPRODUCT(--(EN$3:EN$9-$KS$3:$KS$9)^2)^0.5</f>
        <v>0</v>
      </c>
      <c r="EO14" s="1">
        <f>SUMPRODUCT(--(EO$3:EO$9-$KT$3:$KT$9)^2)^0.5</f>
        <v>0</v>
      </c>
      <c r="EP14" s="1">
        <f>SUMPRODUCT(--(EP$3:EP$9-$KD$3:$KD$9)^2)^0.5</f>
        <v>0</v>
      </c>
      <c r="EQ14" s="1">
        <f>SUMPRODUCT(--(EQ$3:EQ$9-$KE$3:$KE$9)^2)^0.5</f>
        <v>0</v>
      </c>
      <c r="ER14" s="1">
        <f>SUMPRODUCT(--(ER$3:ER$9-$KF$3:$KF$9)^2)^0.5</f>
        <v>0</v>
      </c>
      <c r="ES14" s="1">
        <f>SUMPRODUCT(--(ES$3:ES$9-$KG$3:$KG$9)^2)^0.5</f>
        <v>0</v>
      </c>
      <c r="ET14" s="1">
        <f>SUMPRODUCT(--(ET$3:ET$9-$KH$3:$KH$9)^2)^0.5</f>
        <v>0</v>
      </c>
      <c r="EU14" s="1">
        <f>SUMPRODUCT(--(EU$3:EU$9-$KI$3:$KI$9)^2)^0.5</f>
        <v>0</v>
      </c>
      <c r="EV14" s="1">
        <f>SUMPRODUCT(--(EV$3:EV$9-$KJ$3:$KJ$9)^2)^0.5</f>
        <v>0</v>
      </c>
      <c r="EW14" s="1">
        <f>SUMPRODUCT(--(EW$3:EW$9-$KK$3:$KK$9)^2)^0.5</f>
        <v>0</v>
      </c>
      <c r="EX14" s="1">
        <f>SUMPRODUCT(--(EX$3:EX$9-$KL$3:$KL$9)^2)^0.5</f>
        <v>0</v>
      </c>
      <c r="EY14" s="1">
        <f>SUMPRODUCT(--(EY$3:EY$9-$KM$3:$KM$9)^2)^0.5</f>
        <v>0</v>
      </c>
      <c r="EZ14" s="1">
        <f>SUMPRODUCT(--(EZ$3:EZ$9-$KN$3:$KN$9)^2)^0.5</f>
        <v>0</v>
      </c>
      <c r="FA14" s="1">
        <f>SUMPRODUCT(--(FA$3:FA$9-$KO$3:$KO$9)^2)^0.5</f>
        <v>0</v>
      </c>
      <c r="FB14" s="1">
        <f>SUMPRODUCT(--(FB$3:FB$9-$KP$3:$KP$9)^2)^0.5</f>
        <v>0</v>
      </c>
      <c r="FC14" s="1">
        <f>SUMPRODUCT(--(FC$3:FC$9-$KQ$3:$KQ$9)^2)^0.5</f>
        <v>0</v>
      </c>
      <c r="FD14" s="1"/>
      <c r="FE14" s="1">
        <f>SUMPRODUCT(--(FE$3:FE$9-$KR$3:$KR$9)^2)^0.5</f>
        <v>0</v>
      </c>
      <c r="FF14" s="1">
        <f>SUMPRODUCT(--(FF$3:FF$9-$KS$3:$KS$9)^2)^0.5</f>
        <v>0</v>
      </c>
      <c r="FG14" s="1">
        <f>SUMPRODUCT(--(FG$3:FG$9-$KT$3:$KT$9)^2)^0.5</f>
        <v>0</v>
      </c>
      <c r="FH14" s="1">
        <f>SUMPRODUCT(--(FH$3:FH$9-$KD$3:$KD$9)^2)^0.5</f>
        <v>0</v>
      </c>
      <c r="FI14" s="1">
        <f>SUMPRODUCT(--(FI$3:FI$9-$KE$3:$KE$9)^2)^0.5</f>
        <v>0</v>
      </c>
      <c r="FJ14" s="1">
        <f>SUMPRODUCT(--(FJ$3:FJ$9-$KF$3:$KF$9)^2)^0.5</f>
        <v>0</v>
      </c>
      <c r="FK14" s="1">
        <f>SUMPRODUCT(--(FK$3:FK$9-$KG$3:$KG$9)^2)^0.5</f>
        <v>0</v>
      </c>
      <c r="FL14" s="1">
        <f>SUMPRODUCT(--(FL$3:FL$9-$KH$3:$KH$9)^2)^0.5</f>
        <v>0</v>
      </c>
      <c r="FM14" s="1">
        <f>SUMPRODUCT(--(FM$3:FM$9-$KI$3:$KI$9)^2)^0.5</f>
        <v>0</v>
      </c>
      <c r="FN14" s="1">
        <f>SUMPRODUCT(--(FN$3:FN$9-$KJ$3:$KJ$9)^2)^0.5</f>
        <v>0</v>
      </c>
      <c r="FO14" s="1">
        <f>SUMPRODUCT(--(FO$3:FO$9-$KK$3:$KK$9)^2)^0.5</f>
        <v>0</v>
      </c>
      <c r="FP14" s="1">
        <f>SUMPRODUCT(--(FP$3:FP$9-$KL$3:$KL$9)^2)^0.5</f>
        <v>0</v>
      </c>
      <c r="FQ14" s="1">
        <f>SUMPRODUCT(--(FQ$3:FQ$9-$KM$3:$KM$9)^2)^0.5</f>
        <v>0</v>
      </c>
      <c r="FR14" s="1">
        <f>SUMPRODUCT(--(FR$3:FR$9-$KN$3:$KN$9)^2)^0.5</f>
        <v>0</v>
      </c>
      <c r="FS14" s="1">
        <f>SUMPRODUCT(--(FS$3:FS$9-$KO$3:$KO$9)^2)^0.5</f>
        <v>0</v>
      </c>
      <c r="FT14" s="1">
        <f>SUMPRODUCT(--(FT$3:FT$9-$KP$3:$KP$9)^2)^0.5</f>
        <v>0</v>
      </c>
      <c r="FU14" s="1">
        <f>SUMPRODUCT(--(FU$3:FU$9-$KQ$3:$KQ$9)^2)^0.5</f>
        <v>0</v>
      </c>
      <c r="FV14" s="1"/>
      <c r="FW14" s="1">
        <f>SUMPRODUCT(--(FW$3:FW$9-$KR$3:$KR$9)^2)^0.5</f>
        <v>0</v>
      </c>
      <c r="FX14" s="1">
        <f>SUMPRODUCT(--(FX$3:FX$9-$KS$3:$KS$9)^2)^0.5</f>
        <v>0</v>
      </c>
      <c r="FY14" s="1">
        <f>SUMPRODUCT(--(FY$3:FY$9-$KT$3:$KT$9)^2)^0.5</f>
        <v>0</v>
      </c>
      <c r="FZ14" s="1">
        <f>SUMPRODUCT(--(FZ$3:FZ$9-$KD$3:$KD$9)^2)^0.5</f>
        <v>0</v>
      </c>
      <c r="GA14" s="1">
        <f>SUMPRODUCT(--(GA$3:GA$9-$KE$3:$KE$9)^2)^0.5</f>
        <v>0</v>
      </c>
      <c r="GB14" s="1">
        <f>SUMPRODUCT(--(GB$3:GB$9-$KF$3:$KF$9)^2)^0.5</f>
        <v>0</v>
      </c>
      <c r="GC14" s="1">
        <f>SUMPRODUCT(--(GC$3:GC$9-$KG$3:$KG$9)^2)^0.5</f>
        <v>0</v>
      </c>
      <c r="GD14" s="1">
        <f>SUMPRODUCT(--(GD$3:GD$9-$KH$3:$KH$9)^2)^0.5</f>
        <v>0</v>
      </c>
      <c r="GE14" s="1">
        <f>SUMPRODUCT(--(GE$3:GE$9-$KI$3:$KI$9)^2)^0.5</f>
        <v>0</v>
      </c>
      <c r="GF14" s="1">
        <f>SUMPRODUCT(--(GF$3:GF$9-$KJ$3:$KJ$9)^2)^0.5</f>
        <v>0</v>
      </c>
      <c r="GG14" s="1">
        <f>SUMPRODUCT(--(GG$3:GG$9-$KK$3:$KK$9)^2)^0.5</f>
        <v>0</v>
      </c>
      <c r="GH14" s="1">
        <f>SUMPRODUCT(--(GH$3:GH$9-$KL$3:$KL$9)^2)^0.5</f>
        <v>0</v>
      </c>
      <c r="GI14" s="1">
        <f>SUMPRODUCT(--(GI$3:GI$9-$KM$3:$KM$9)^2)^0.5</f>
        <v>0</v>
      </c>
      <c r="GJ14" s="1">
        <f>SUMPRODUCT(--(GJ$3:GJ$9-$KN$3:$KN$9)^2)^0.5</f>
        <v>0</v>
      </c>
      <c r="GK14" s="1">
        <f>SUMPRODUCT(--(GK$3:GK$9-$KO$3:$KO$9)^2)^0.5</f>
        <v>0</v>
      </c>
      <c r="GL14" s="1">
        <f>SUMPRODUCT(--(GL$3:GL$9-$KP$3:$KP$9)^2)^0.5</f>
        <v>0</v>
      </c>
      <c r="GM14" s="1">
        <f>SUMPRODUCT(--(GM$3:GM$9-$KQ$3:$KQ$9)^2)^0.5</f>
        <v>0</v>
      </c>
      <c r="GN14" s="1"/>
      <c r="GO14" s="1">
        <f>SUMPRODUCT(--(GO$3:GO$9-$KR$3:$KR$9)^2)^0.5</f>
        <v>0</v>
      </c>
      <c r="GP14" s="1">
        <f>SUMPRODUCT(--(GP$3:GP$9-$KS$3:$KS$9)^2)^0.5</f>
        <v>0</v>
      </c>
      <c r="GQ14" s="1">
        <f>SUMPRODUCT(--(GQ$3:GQ$9-$KT$3:$KT$9)^2)^0.5</f>
        <v>0</v>
      </c>
      <c r="GR14" s="1">
        <f>SUMPRODUCT(--(GR$3:GR$9-$KD$3:$KD$9)^2)^0.5</f>
        <v>0</v>
      </c>
      <c r="GS14" s="1">
        <f>SUMPRODUCT(--(GS$3:GS$9-$KE$3:$KE$9)^2)^0.5</f>
        <v>0</v>
      </c>
      <c r="GT14" s="1">
        <f>SUMPRODUCT(--(GT$3:GT$9-$KF$3:$KF$9)^2)^0.5</f>
        <v>0</v>
      </c>
      <c r="GU14" s="1">
        <f>SUMPRODUCT(--(GU$3:GU$9-$KG$3:$KG$9)^2)^0.5</f>
        <v>0</v>
      </c>
      <c r="GV14" s="1">
        <f>SUMPRODUCT(--(GV$3:GV$9-$KH$3:$KH$9)^2)^0.5</f>
        <v>0</v>
      </c>
      <c r="GW14" s="1">
        <f>SUMPRODUCT(--(GW$3:GW$9-$KI$3:$KI$9)^2)^0.5</f>
        <v>0</v>
      </c>
      <c r="GX14" s="1">
        <f>SUMPRODUCT(--(GX$3:GX$9-$KJ$3:$KJ$9)^2)^0.5</f>
        <v>0</v>
      </c>
      <c r="GY14" s="1">
        <f>SUMPRODUCT(--(GY$3:GY$9-$KK$3:$KK$9)^2)^0.5</f>
        <v>0</v>
      </c>
      <c r="GZ14" s="1">
        <f>SUMPRODUCT(--(GZ$3:GZ$9-$KL$3:$KL$9)^2)^0.5</f>
        <v>0</v>
      </c>
      <c r="HA14" s="1">
        <f>SUMPRODUCT(--(HA$3:HA$9-$KM$3:$KM$9)^2)^0.5</f>
        <v>0</v>
      </c>
      <c r="HB14" s="1">
        <f>SUMPRODUCT(--(HB$3:HB$9-$KN$3:$KN$9)^2)^0.5</f>
        <v>0</v>
      </c>
      <c r="HC14" s="1">
        <f>SUMPRODUCT(--(HC$3:HC$9-$KO$3:$KO$9)^2)^0.5</f>
        <v>0</v>
      </c>
      <c r="HD14" s="1">
        <f>SUMPRODUCT(--(HD$3:HD$9-$KP$3:$KP$9)^2)^0.5</f>
        <v>0</v>
      </c>
      <c r="HE14" s="1">
        <f>SUMPRODUCT(--(HE$3:HE$9-$KQ$3:$KQ$9)^2)^0.5</f>
        <v>0</v>
      </c>
      <c r="HF14" s="1"/>
      <c r="HG14" s="1">
        <f>SUMPRODUCT(--(HG$3:HG$9-$KR$3:$KR$9)^2)^0.5</f>
        <v>0</v>
      </c>
      <c r="HH14" s="1">
        <f>SUMPRODUCT(--(HH$3:HH$9-$KS$3:$KS$9)^2)^0.5</f>
        <v>0</v>
      </c>
      <c r="HI14" s="1">
        <f>SUMPRODUCT(--(HI$3:HI$9-$KT$3:$KT$9)^2)^0.5</f>
        <v>0</v>
      </c>
      <c r="HJ14" s="1">
        <f>SUMPRODUCT(--(HJ$3:HJ$9-$KD$3:$KD$9)^2)^0.5</f>
        <v>0</v>
      </c>
      <c r="HK14" s="1">
        <f>SUMPRODUCT(--(HK$3:HK$9-$KE$3:$KE$9)^2)^0.5</f>
        <v>0</v>
      </c>
      <c r="HL14" s="1">
        <f>SUMPRODUCT(--(HL$3:HL$9-$KF$3:$KF$9)^2)^0.5</f>
        <v>0</v>
      </c>
      <c r="HM14" s="1">
        <f>SUMPRODUCT(--(HM$3:HM$9-$KG$3:$KG$9)^2)^0.5</f>
        <v>0</v>
      </c>
      <c r="HN14" s="1">
        <f>SUMPRODUCT(--(HN$3:HN$9-$KH$3:$KH$9)^2)^0.5</f>
        <v>0</v>
      </c>
      <c r="HO14" s="1">
        <f>SUMPRODUCT(--(HO$3:HO$9-$KI$3:$KI$9)^2)^0.5</f>
        <v>0</v>
      </c>
      <c r="HP14" s="1">
        <f>SUMPRODUCT(--(HP$3:HP$9-$KJ$3:$KJ$9)^2)^0.5</f>
        <v>0</v>
      </c>
      <c r="HQ14" s="1">
        <f>SUMPRODUCT(--(HQ$3:HQ$9-$KK$3:$KK$9)^2)^0.5</f>
        <v>0</v>
      </c>
      <c r="HR14" s="1">
        <f>SUMPRODUCT(--(HR$3:HR$9-$KL$3:$KL$9)^2)^0.5</f>
        <v>0</v>
      </c>
      <c r="HS14" s="1">
        <f>SUMPRODUCT(--(HS$3:HS$9-$KM$3:$KM$9)^2)^0.5</f>
        <v>0</v>
      </c>
      <c r="HT14" s="1">
        <f>SUMPRODUCT(--(HT$3:HT$9-$KN$3:$KN$9)^2)^0.5</f>
        <v>0</v>
      </c>
      <c r="HU14" s="1">
        <f>SUMPRODUCT(--(HU$3:HU$9-$KO$3:$KO$9)^2)^0.5</f>
        <v>0</v>
      </c>
      <c r="HV14" s="1">
        <f>SUMPRODUCT(--(HV$3:HV$9-$KP$3:$KP$9)^2)^0.5</f>
        <v>0</v>
      </c>
      <c r="HW14" s="1">
        <f>SUMPRODUCT(--(HW$3:HW$9-$KQ$3:$KQ$9)^2)^0.5</f>
        <v>0</v>
      </c>
      <c r="HX14" s="1"/>
      <c r="HY14" s="1">
        <f>SUMPRODUCT(--(HY$3:HY$9-$KR$3:$KR$9)^2)^0.5</f>
        <v>0</v>
      </c>
      <c r="HZ14" s="1">
        <f>SUMPRODUCT(--(HZ$3:HZ$9-$KS$3:$KS$9)^2)^0.5</f>
        <v>0</v>
      </c>
      <c r="IA14" s="1">
        <f>SUMPRODUCT(--(IA$3:IA$9-$KT$3:$KT$9)^2)^0.5</f>
        <v>0</v>
      </c>
      <c r="IB14" s="1">
        <f>SUMPRODUCT(--(IB$3:IB$9-$KD$3:$KD$9)^2)^0.5</f>
        <v>0</v>
      </c>
      <c r="IC14" s="1">
        <f>SUMPRODUCT(--(IC$3:IC$9-$KE$3:$KE$9)^2)^0.5</f>
        <v>0</v>
      </c>
      <c r="ID14" s="1">
        <f>SUMPRODUCT(--(ID$3:ID$9-$KF$3:$KF$9)^2)^0.5</f>
        <v>0</v>
      </c>
      <c r="IE14" s="1">
        <f>SUMPRODUCT(--(IE$3:IE$9-$KG$3:$KG$9)^2)^0.5</f>
        <v>0</v>
      </c>
      <c r="IF14" s="1">
        <f>SUMPRODUCT(--(IF$3:IF$9-$KH$3:$KH$9)^2)^0.5</f>
        <v>0</v>
      </c>
      <c r="IG14" s="1">
        <f>SUMPRODUCT(--(IG$3:IG$9-$KI$3:$KI$9)^2)^0.5</f>
        <v>0</v>
      </c>
      <c r="IH14" s="1">
        <f>SUMPRODUCT(--(IH$3:IH$9-$KJ$3:$KJ$9)^2)^0.5</f>
        <v>0</v>
      </c>
      <c r="II14" s="1">
        <f>SUMPRODUCT(--(II$3:II$9-$KK$3:$KK$9)^2)^0.5</f>
        <v>0</v>
      </c>
      <c r="IJ14" s="1">
        <f>SUMPRODUCT(--(IJ$3:IJ$9-$KL$3:$KL$9)^2)^0.5</f>
        <v>0</v>
      </c>
      <c r="IK14" s="1">
        <f>SUMPRODUCT(--(IK$3:IK$9-$KM$3:$KM$9)^2)^0.5</f>
        <v>0</v>
      </c>
      <c r="IL14" s="1">
        <f>SUMPRODUCT(--(IL$3:IL$9-$KN$3:$KN$9)^2)^0.5</f>
        <v>0</v>
      </c>
      <c r="IM14" s="1">
        <f>SUMPRODUCT(--(IM$3:IM$9-$KO$3:$KO$9)^2)^0.5</f>
        <v>0</v>
      </c>
      <c r="IN14" s="1">
        <f>SUMPRODUCT(--(IN$3:IN$9-$KP$3:$KP$9)^2)^0.5</f>
        <v>0</v>
      </c>
      <c r="IO14" s="1">
        <f>SUMPRODUCT(--(IO$3:IO$9-$KQ$3:$KQ$9)^2)^0.5</f>
        <v>0</v>
      </c>
      <c r="IP14" s="1"/>
      <c r="IQ14" s="1">
        <f>SUMPRODUCT(--(IQ$3:IQ$9-$KR$3:$KR$9)^2)^0.5</f>
        <v>0</v>
      </c>
      <c r="IR14" s="1">
        <f>SUMPRODUCT(--(IR$3:IR$9-$KS$3:$KS$9)^2)^0.5</f>
        <v>0</v>
      </c>
      <c r="IS14" s="1">
        <f>SUMPRODUCT(--(IS$3:IS$9-$KT$3:$KT$9)^2)^0.5</f>
        <v>0</v>
      </c>
      <c r="IT14" s="1">
        <f>SUMPRODUCT(--(IT$3:IT$9-$KD$3:$KD$9)^2)^0.5</f>
        <v>0</v>
      </c>
      <c r="IU14" s="1">
        <f>SUMPRODUCT(--(IU$3:IU$9-$KE$3:$KE$9)^2)^0.5</f>
        <v>0</v>
      </c>
      <c r="IV14" s="1">
        <f>SUMPRODUCT(--(IV$3:IV$9-$KF$3:$KF$9)^2)^0.5</f>
        <v>0</v>
      </c>
      <c r="IW14" s="1">
        <f>SUMPRODUCT(--(IW$3:IW$9-$KG$3:$KG$9)^2)^0.5</f>
        <v>0</v>
      </c>
      <c r="IX14" s="1">
        <f>SUMPRODUCT(--(IX$3:IX$9-$KH$3:$KH$9)^2)^0.5</f>
        <v>0</v>
      </c>
      <c r="IY14" s="1">
        <f>SUMPRODUCT(--(IY$3:IY$9-$KI$3:$KI$9)^2)^0.5</f>
        <v>0</v>
      </c>
      <c r="IZ14" s="1">
        <f>SUMPRODUCT(--(IZ$3:IZ$9-$KJ$3:$KJ$9)^2)^0.5</f>
        <v>0</v>
      </c>
      <c r="JA14" s="1">
        <f>SUMPRODUCT(--(JA$3:JA$9-$KK$3:$KK$9)^2)^0.5</f>
        <v>0</v>
      </c>
      <c r="JB14" s="1">
        <f>SUMPRODUCT(--(JB$3:JB$9-$KL$3:$KL$9)^2)^0.5</f>
        <v>0</v>
      </c>
      <c r="JC14" s="1">
        <f>SUMPRODUCT(--(JC$3:JC$9-$KM$3:$KM$9)^2)^0.5</f>
        <v>0</v>
      </c>
      <c r="JD14" s="1">
        <f>SUMPRODUCT(--(JD$3:JD$9-$KN$3:$KN$9)^2)^0.5</f>
        <v>0</v>
      </c>
      <c r="JE14" s="1">
        <f>SUMPRODUCT(--(JE$3:JE$9-$KO$3:$KO$9)^2)^0.5</f>
        <v>0</v>
      </c>
      <c r="JF14" s="1">
        <f>SUMPRODUCT(--(JF$3:JF$9-$KP$3:$KP$9)^2)^0.5</f>
        <v>0</v>
      </c>
      <c r="JG14" s="1">
        <f>SUMPRODUCT(--(JG$3:JG$9-$KQ$3:$KQ$9)^2)^0.5</f>
        <v>0</v>
      </c>
      <c r="JH14" s="1"/>
      <c r="JI14" s="1">
        <f>SUMPRODUCT(--(JI$3:JI$9-$KR$3:$KR$9)^2)^0.5</f>
        <v>0</v>
      </c>
      <c r="JJ14" s="1">
        <f>SUMPRODUCT(--(JJ$3:JJ$9-$KS$3:$KS$9)^2)^0.5</f>
        <v>0</v>
      </c>
      <c r="JK14" s="1">
        <f>SUMPRODUCT(--(JK$3:JK$9-$KT$3:$KT$9)^2)^0.5</f>
        <v>0</v>
      </c>
      <c r="JL14" s="1">
        <f>SUMPRODUCT(--(JL$3:JL$9-$KD$3:$KD$9)^2)^0.5</f>
        <v>0</v>
      </c>
      <c r="JM14" s="1">
        <f>SUMPRODUCT(--(JM$3:JM$9-$KE$3:$KE$9)^2)^0.5</f>
        <v>0</v>
      </c>
      <c r="JN14" s="1">
        <f>SUMPRODUCT(--(JN$3:JN$9-$KF$3:$KF$9)^2)^0.5</f>
        <v>0</v>
      </c>
      <c r="JO14" s="1">
        <f>SUMPRODUCT(--(JO$3:JO$9-$KG$3:$KG$9)^2)^0.5</f>
        <v>0</v>
      </c>
      <c r="JP14" s="1">
        <f>SUMPRODUCT(--(JP$3:JP$9-$KH$3:$KH$9)^2)^0.5</f>
        <v>0</v>
      </c>
      <c r="JQ14" s="1">
        <f>SUMPRODUCT(--(JQ$3:JQ$9-$KI$3:$KI$9)^2)^0.5</f>
        <v>0</v>
      </c>
      <c r="JR14" s="1">
        <f>SUMPRODUCT(--(JR$3:JR$9-$KJ$3:$KJ$9)^2)^0.5</f>
        <v>0</v>
      </c>
      <c r="JS14" s="1">
        <f>SUMPRODUCT(--(JS$3:JS$9-$KK$3:$KK$9)^2)^0.5</f>
        <v>0</v>
      </c>
      <c r="JT14" s="1">
        <f>SUMPRODUCT(--(JT$3:JT$9-$KL$3:$KL$9)^2)^0.5</f>
        <v>0</v>
      </c>
      <c r="JU14" s="1">
        <f>SUMPRODUCT(--(JU$3:JU$9-$KM$3:$KM$9)^2)^0.5</f>
        <v>0</v>
      </c>
      <c r="JV14" s="1">
        <f>SUMPRODUCT(--(JV$3:JV$9-$KN$3:$KN$9)^2)^0.5</f>
        <v>0</v>
      </c>
      <c r="JW14" s="1">
        <f>SUMPRODUCT(--(JW$3:JW$9-$KO$3:$KO$9)^2)^0.5</f>
        <v>0</v>
      </c>
      <c r="JX14" s="1">
        <f>SUMPRODUCT(--(JX$3:JX$9-$KP$3:$KP$9)^2)^0.5</f>
        <v>0</v>
      </c>
      <c r="JY14" s="1">
        <f>SUMPRODUCT(--(JY$3:JY$9-$KQ$3:$KQ$9)^2)^0.5</f>
        <v>0</v>
      </c>
      <c r="JZ14" s="1"/>
      <c r="KA14" s="1">
        <f>SUMPRODUCT(--(KA$3:KA$9-$KR$3:$KR$9)^2)^0.5</f>
        <v>0</v>
      </c>
      <c r="KB14" s="1">
        <f>SUMPRODUCT(--(KB$3:KB$9-$KS$3:$KS$9)^2)^0.5</f>
        <v>0</v>
      </c>
      <c r="KC14" s="1">
        <f>SUMPRODUCT(--(KC$3:KC$9-$KT$3:$KT$9)^2)^0.5</f>
        <v>0</v>
      </c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</row>
    <row r="15" spans="1:340">
      <c r="A15" s="1" t="s">
        <v>11</v>
      </c>
      <c r="B15" s="1">
        <f>SUMPRODUCT(NOT(ISBLANK(B$3:B$9))*(B$3:B$9=$KD$3:$KD$9))</f>
        <v>0</v>
      </c>
      <c r="C15" s="1">
        <f>SUMPRODUCT(NOT(ISBLANK(C$3:C$9))*(C$3:C$9=$KE$3:$KE$9))</f>
        <v>0</v>
      </c>
      <c r="D15" s="1">
        <f>SUMPRODUCT(NOT(ISBLANK(D$3:D$9))*(D$3:D$9=$KF$3:$KF$9))</f>
        <v>0</v>
      </c>
      <c r="E15" s="1">
        <f>SUMPRODUCT(NOT(ISBLANK(E$3:E$9))*(E$3:E$9=$KG$3:$KG$9))</f>
        <v>0</v>
      </c>
      <c r="F15" s="1">
        <f>SUMPRODUCT(NOT(ISBLANK(F$3:F$9))*(F$3:F$9=$KH$3:$KH$9))</f>
        <v>0</v>
      </c>
      <c r="G15" s="1">
        <f>SUMPRODUCT(NOT(ISBLANK(G$3:G$9))*(G$3:G$9=$KI$3:$KI$9))</f>
        <v>0</v>
      </c>
      <c r="H15" s="1">
        <f>SUMPRODUCT(NOT(ISBLANK(H$3:H$9))*(H$3:H$9=$KJ$3:$KJ$9))</f>
        <v>0</v>
      </c>
      <c r="I15" s="1">
        <f>SUMPRODUCT(NOT(ISBLANK(I$3:I$9))*(I$3:I$9=$KK$3:$KK$9))</f>
        <v>0</v>
      </c>
      <c r="J15" s="1">
        <f>SUMPRODUCT(NOT(ISBLANK(J$3:J$9))*(J$3:J$9=$KL$3:$KL$9))</f>
        <v>0</v>
      </c>
      <c r="K15" s="1">
        <f>SUMPRODUCT(NOT(ISBLANK(K$3:K$9))*(K$3:K$9=$KM$3:$KM$9))</f>
        <v>0</v>
      </c>
      <c r="L15" s="1">
        <f>SUMPRODUCT(NOT(ISBLANK(L$3:L$9))*(L$3:L$9=$KN$3:$KN$9))</f>
        <v>0</v>
      </c>
      <c r="M15" s="1">
        <f>SUMPRODUCT(NOT(ISBLANK(M$3:M$9))*(M$3:M$9=$KO$3:$KO$9))</f>
        <v>0</v>
      </c>
      <c r="N15" s="1">
        <f>SUMPRODUCT(NOT(ISBLANK(N$3:N$9))*(N$3:N$9=$KP$3:$KP$9))</f>
        <v>0</v>
      </c>
      <c r="O15" s="1">
        <f>SUMPRODUCT(NOT(ISBLANK(O$3:O$9))*(O$3:O$9=$KQ$3:$KQ$9))</f>
        <v>0</v>
      </c>
      <c r="P15" s="1"/>
      <c r="Q15" s="1">
        <f>SUMPRODUCT(NOT(ISBLANK(Q$3:Q$9))*(Q$3:Q$9=$KR$3:$KR$9))</f>
        <v>0</v>
      </c>
      <c r="R15" s="1">
        <f>SUMPRODUCT(NOT(ISBLANK(R$3:R$9))*(R$3:R$9=$KS$3:$KS$9))</f>
        <v>0</v>
      </c>
      <c r="S15" s="1">
        <f>SUMPRODUCT(NOT(ISBLANK(S$3:S$9))*(S$3:S$9=$KT$3:$KT$9))</f>
        <v>0</v>
      </c>
      <c r="T15" s="1">
        <f>SUMPRODUCT(NOT(ISBLANK(T$3:T$9))*(T$3:T$9=$KD$3:$KD$9))</f>
        <v>0</v>
      </c>
      <c r="U15" s="1">
        <f>SUMPRODUCT(NOT(ISBLANK(U$3:U$9))*(U$3:U$9=$KE$3:$KE$9))</f>
        <v>0</v>
      </c>
      <c r="V15" s="1">
        <f>SUMPRODUCT(NOT(ISBLANK(V$3:V$9))*(V$3:V$9=$KF$3:$KF$9))</f>
        <v>0</v>
      </c>
      <c r="W15" s="1">
        <f>SUMPRODUCT(NOT(ISBLANK(W$3:W$9))*(W$3:W$9=$KG$3:$KG$9))</f>
        <v>0</v>
      </c>
      <c r="X15" s="1">
        <f>SUMPRODUCT(NOT(ISBLANK(X$3:X$9))*(X$3:X$9=$KH$3:$KH$9))</f>
        <v>0</v>
      </c>
      <c r="Y15" s="1">
        <f>SUMPRODUCT(NOT(ISBLANK(Y$3:Y$9))*(Y$3:Y$9=$KI$3:$KI$9))</f>
        <v>0</v>
      </c>
      <c r="Z15" s="1">
        <f>SUMPRODUCT(NOT(ISBLANK(Z$3:Z$9))*(Z$3:Z$9=$KJ$3:$KJ$9))</f>
        <v>0</v>
      </c>
      <c r="AA15" s="1">
        <f>SUMPRODUCT(NOT(ISBLANK(AA$3:AA$9))*(AA$3:AA$9=$KK$3:$KK$9))</f>
        <v>0</v>
      </c>
      <c r="AB15" s="1">
        <f>SUMPRODUCT(NOT(ISBLANK(AB$3:AB$9))*(AB$3:AB$9=$KL$3:$KL$9))</f>
        <v>0</v>
      </c>
      <c r="AC15" s="1">
        <f>SUMPRODUCT(NOT(ISBLANK(AC$3:AC$9))*(AC$3:AC$9=$KM$3:$KM$9))</f>
        <v>0</v>
      </c>
      <c r="AD15" s="1">
        <f>SUMPRODUCT(NOT(ISBLANK(AD$3:AD$9))*(AD$3:AD$9=$KN$3:$KN$9))</f>
        <v>0</v>
      </c>
      <c r="AE15" s="1">
        <f>SUMPRODUCT(NOT(ISBLANK(AE$3:AE$9))*(AE$3:AE$9=$KO$3:$KO$9))</f>
        <v>0</v>
      </c>
      <c r="AF15" s="1">
        <f>SUMPRODUCT(NOT(ISBLANK(AF$3:AF$9))*(AF$3:AF$9=$KP$3:$KP$9))</f>
        <v>0</v>
      </c>
      <c r="AG15" s="1">
        <f>SUMPRODUCT(NOT(ISBLANK(AG$3:AG$9))*(AG$3:AG$9=$KQ$3:$KQ$9))</f>
        <v>0</v>
      </c>
      <c r="AH15" s="1"/>
      <c r="AI15" s="1">
        <f>SUMPRODUCT(NOT(ISBLANK(AI$3:AI$9))*(AI$3:AI$9=$KR$3:$KR$9))</f>
        <v>0</v>
      </c>
      <c r="AJ15" s="1">
        <f>SUMPRODUCT(NOT(ISBLANK(AJ$3:AJ$9))*(AJ$3:AJ$9=$KS$3:$KS$9))</f>
        <v>0</v>
      </c>
      <c r="AK15" s="1">
        <f>SUMPRODUCT(NOT(ISBLANK(AK$3:AK$9))*(AK$3:AK$9=$KT$3:$KT$9))</f>
        <v>0</v>
      </c>
      <c r="AL15" s="1">
        <f>SUMPRODUCT(NOT(ISBLANK(AL$3:AL$9))*(AL$3:AL$9=$KD$3:$KD$9))</f>
        <v>0</v>
      </c>
      <c r="AM15" s="1">
        <f>SUMPRODUCT(NOT(ISBLANK(AM$3:AM$9))*(AM$3:AM$9=$KE$3:$KE$9))</f>
        <v>0</v>
      </c>
      <c r="AN15" s="1">
        <f>SUMPRODUCT(NOT(ISBLANK(AN$3:AN$9))*(AN$3:AN$9=$KF$3:$KF$9))</f>
        <v>0</v>
      </c>
      <c r="AO15" s="1">
        <f>SUMPRODUCT(NOT(ISBLANK(AO$3:AO$9))*(AO$3:AO$9=$KG$3:$KG$9))</f>
        <v>0</v>
      </c>
      <c r="AP15" s="1">
        <f>SUMPRODUCT(NOT(ISBLANK(AP$3:AP$9))*(AP$3:AP$9=$KH$3:$KH$9))</f>
        <v>0</v>
      </c>
      <c r="AQ15" s="1">
        <f>SUMPRODUCT(NOT(ISBLANK(AQ$3:AQ$9))*(AQ$3:AQ$9=$KI$3:$KI$9))</f>
        <v>0</v>
      </c>
      <c r="AR15" s="1">
        <f>SUMPRODUCT(NOT(ISBLANK(AR$3:AR$9))*(AR$3:AR$9=$KJ$3:$KJ$9))</f>
        <v>0</v>
      </c>
      <c r="AS15" s="1">
        <f>SUMPRODUCT(NOT(ISBLANK(AS$3:AS$9))*(AS$3:AS$9=$KK$3:$KK$9))</f>
        <v>0</v>
      </c>
      <c r="AT15" s="1">
        <f>SUMPRODUCT(NOT(ISBLANK(AT$3:AT$9))*(AT$3:AT$9=$KL$3:$KL$9))</f>
        <v>0</v>
      </c>
      <c r="AU15" s="1">
        <f>SUMPRODUCT(NOT(ISBLANK(AU$3:AU$9))*(AU$3:AU$9=$KM$3:$KM$9))</f>
        <v>0</v>
      </c>
      <c r="AV15" s="1">
        <f>SUMPRODUCT(NOT(ISBLANK(AV$3:AV$9))*(AV$3:AV$9=$KN$3:$KN$9))</f>
        <v>0</v>
      </c>
      <c r="AW15" s="1">
        <f>SUMPRODUCT(NOT(ISBLANK(AW$3:AW$9))*(AW$3:AW$9=$KO$3:$KO$9))</f>
        <v>0</v>
      </c>
      <c r="AX15" s="1">
        <f>SUMPRODUCT(NOT(ISBLANK(AX$3:AX$9))*(AX$3:AX$9=$KP$3:$KP$9))</f>
        <v>0</v>
      </c>
      <c r="AY15" s="1">
        <f>SUMPRODUCT(NOT(ISBLANK(AY$3:AY$9))*(AY$3:AY$9=$KQ$3:$KQ$9))</f>
        <v>0</v>
      </c>
      <c r="AZ15" s="1"/>
      <c r="BA15" s="1">
        <f>SUMPRODUCT(NOT(ISBLANK(BA$3:BA$9))*(BA$3:BA$9=$KR$3:$KR$9))</f>
        <v>0</v>
      </c>
      <c r="BB15" s="1">
        <f>SUMPRODUCT(NOT(ISBLANK(BB$3:BB$9))*(BB$3:BB$9=$KS$3:$KS$9))</f>
        <v>0</v>
      </c>
      <c r="BC15" s="1">
        <f>SUMPRODUCT(NOT(ISBLANK(BC$3:BC$9))*(BC$3:BC$9=$KT$3:$KT$9))</f>
        <v>0</v>
      </c>
      <c r="BD15" s="1">
        <f>SUMPRODUCT(NOT(ISBLANK(BD$3:BD$9))*(BD$3:BD$9=$KD$3:$KD$9))</f>
        <v>0</v>
      </c>
      <c r="BE15" s="1">
        <f>SUMPRODUCT(NOT(ISBLANK(BE$3:BE$9))*(BE$3:BE$9=$KE$3:$KE$9))</f>
        <v>0</v>
      </c>
      <c r="BF15" s="1">
        <f>SUMPRODUCT(NOT(ISBLANK(BF$3:BF$9))*(BF$3:BF$9=$KF$3:$KF$9))</f>
        <v>0</v>
      </c>
      <c r="BG15" s="1">
        <f>SUMPRODUCT(NOT(ISBLANK(BG$3:BG$9))*(BG$3:BG$9=$KG$3:$KG$9))</f>
        <v>0</v>
      </c>
      <c r="BH15" s="1">
        <f>SUMPRODUCT(NOT(ISBLANK(BH$3:BH$9))*(BH$3:BH$9=$KH$3:$KH$9))</f>
        <v>0</v>
      </c>
      <c r="BI15" s="1">
        <f>SUMPRODUCT(NOT(ISBLANK(BI$3:BI$9))*(BI$3:BI$9=$KI$3:$KI$9))</f>
        <v>0</v>
      </c>
      <c r="BJ15" s="1">
        <f>SUMPRODUCT(NOT(ISBLANK(BJ$3:BJ$9))*(BJ$3:BJ$9=$KJ$3:$KJ$9))</f>
        <v>0</v>
      </c>
      <c r="BK15" s="1">
        <f>SUMPRODUCT(NOT(ISBLANK(BK$3:BK$9))*(BK$3:BK$9=$KK$3:$KK$9))</f>
        <v>0</v>
      </c>
      <c r="BL15" s="1">
        <f>SUMPRODUCT(NOT(ISBLANK(BL$3:BL$9))*(BL$3:BL$9=$KL$3:$KL$9))</f>
        <v>0</v>
      </c>
      <c r="BM15" s="1">
        <f>SUMPRODUCT(NOT(ISBLANK(BM$3:BM$9))*(BM$3:BM$9=$KM$3:$KM$9))</f>
        <v>0</v>
      </c>
      <c r="BN15" s="1">
        <f>SUMPRODUCT(NOT(ISBLANK(BN$3:BN$9))*(BN$3:BN$9=$KN$3:$KN$9))</f>
        <v>0</v>
      </c>
      <c r="BO15" s="1">
        <f>SUMPRODUCT(NOT(ISBLANK(BO$3:BO$9))*(BO$3:BO$9=$KO$3:$KO$9))</f>
        <v>0</v>
      </c>
      <c r="BP15" s="1">
        <f>SUMPRODUCT(NOT(ISBLANK(BP$3:BP$9))*(BP$3:BP$9=$KP$3:$KP$9))</f>
        <v>0</v>
      </c>
      <c r="BQ15" s="1">
        <f>SUMPRODUCT(NOT(ISBLANK(BQ$3:BQ$9))*(BQ$3:BQ$9=$KQ$3:$KQ$9))</f>
        <v>0</v>
      </c>
      <c r="BR15" s="1"/>
      <c r="BS15" s="1">
        <f>SUMPRODUCT(NOT(ISBLANK(BS$3:BS$9))*(BS$3:BS$9=$KR$3:$KR$9))</f>
        <v>0</v>
      </c>
      <c r="BT15" s="1">
        <f>SUMPRODUCT(NOT(ISBLANK(BT$3:BT$9))*(BT$3:BT$9=$KS$3:$KS$9))</f>
        <v>0</v>
      </c>
      <c r="BU15" s="1">
        <f>SUMPRODUCT(NOT(ISBLANK(BU$3:BU$9))*(BU$3:BU$9=$KT$3:$KT$9))</f>
        <v>0</v>
      </c>
      <c r="BV15" s="1">
        <f>SUMPRODUCT(NOT(ISBLANK(BV$3:BV$9))*(BV$3:BV$9=$KD$3:$KD$9))</f>
        <v>0</v>
      </c>
      <c r="BW15" s="1">
        <f>SUMPRODUCT(NOT(ISBLANK(BW$3:BW$9))*(BW$3:BW$9=$KE$3:$KE$9))</f>
        <v>0</v>
      </c>
      <c r="BX15" s="1">
        <f>SUMPRODUCT(NOT(ISBLANK(BX$3:BX$9))*(BX$3:BX$9=$KF$3:$KF$9))</f>
        <v>0</v>
      </c>
      <c r="BY15" s="1">
        <f>SUMPRODUCT(NOT(ISBLANK(BY$3:BY$9))*(BY$3:BY$9=$KG$3:$KG$9))</f>
        <v>0</v>
      </c>
      <c r="BZ15" s="1">
        <f>SUMPRODUCT(NOT(ISBLANK(BZ$3:BZ$9))*(BZ$3:BZ$9=$KH$3:$KH$9))</f>
        <v>0</v>
      </c>
      <c r="CA15" s="1">
        <f>SUMPRODUCT(NOT(ISBLANK(CA$3:CA$9))*(CA$3:CA$9=$KI$3:$KI$9))</f>
        <v>0</v>
      </c>
      <c r="CB15" s="1">
        <f>SUMPRODUCT(NOT(ISBLANK(CB$3:CB$9))*(CB$3:CB$9=$KJ$3:$KJ$9))</f>
        <v>0</v>
      </c>
      <c r="CC15" s="1">
        <f>SUMPRODUCT(NOT(ISBLANK(CC$3:CC$9))*(CC$3:CC$9=$KK$3:$KK$9))</f>
        <v>0</v>
      </c>
      <c r="CD15" s="1">
        <f>SUMPRODUCT(NOT(ISBLANK(CD$3:CD$9))*(CD$3:CD$9=$KL$3:$KL$9))</f>
        <v>0</v>
      </c>
      <c r="CE15" s="1">
        <f>SUMPRODUCT(NOT(ISBLANK(CE$3:CE$9))*(CE$3:CE$9=$KM$3:$KM$9))</f>
        <v>0</v>
      </c>
      <c r="CF15" s="1">
        <f>SUMPRODUCT(NOT(ISBLANK(CF$3:CF$9))*(CF$3:CF$9=$KN$3:$KN$9))</f>
        <v>0</v>
      </c>
      <c r="CG15" s="1">
        <f>SUMPRODUCT(NOT(ISBLANK(CG$3:CG$9))*(CG$3:CG$9=$KO$3:$KO$9))</f>
        <v>0</v>
      </c>
      <c r="CH15" s="1">
        <f>SUMPRODUCT(NOT(ISBLANK(CH$3:CH$9))*(CH$3:CH$9=$KP$3:$KP$9))</f>
        <v>0</v>
      </c>
      <c r="CI15" s="1">
        <f>SUMPRODUCT(NOT(ISBLANK(CI$3:CI$9))*(CI$3:CI$9=$KQ$3:$KQ$9))</f>
        <v>0</v>
      </c>
      <c r="CJ15" s="1"/>
      <c r="CK15" s="1">
        <f>SUMPRODUCT(NOT(ISBLANK(CK$3:CK$9))*(CK$3:CK$9=$KR$3:$KR$9))</f>
        <v>0</v>
      </c>
      <c r="CL15" s="1">
        <f>SUMPRODUCT(NOT(ISBLANK(CL$3:CL$9))*(CL$3:CL$9=$KS$3:$KS$9))</f>
        <v>0</v>
      </c>
      <c r="CM15" s="1">
        <f>SUMPRODUCT(NOT(ISBLANK(CM$3:CM$9))*(CM$3:CM$9=$KT$3:$KT$9))</f>
        <v>0</v>
      </c>
      <c r="CN15" s="1">
        <f>SUMPRODUCT(NOT(ISBLANK(CN$3:CN$9))*(CN$3:CN$9=$KD$3:$KD$9))</f>
        <v>0</v>
      </c>
      <c r="CO15" s="1">
        <f>SUMPRODUCT(NOT(ISBLANK(CO$3:CO$9))*(CO$3:CO$9=$KE$3:$KE$9))</f>
        <v>0</v>
      </c>
      <c r="CP15" s="1">
        <f>SUMPRODUCT(NOT(ISBLANK(CP$3:CP$9))*(CP$3:CP$9=$KF$3:$KF$9))</f>
        <v>0</v>
      </c>
      <c r="CQ15" s="1">
        <f>SUMPRODUCT(NOT(ISBLANK(CQ$3:CQ$9))*(CQ$3:CQ$9=$KG$3:$KG$9))</f>
        <v>0</v>
      </c>
      <c r="CR15" s="1">
        <f>SUMPRODUCT(NOT(ISBLANK(CR$3:CR$9))*(CR$3:CR$9=$KH$3:$KH$9))</f>
        <v>0</v>
      </c>
      <c r="CS15" s="1">
        <f>SUMPRODUCT(NOT(ISBLANK(CS$3:CS$9))*(CS$3:CS$9=$KI$3:$KI$9))</f>
        <v>0</v>
      </c>
      <c r="CT15" s="1">
        <f>SUMPRODUCT(NOT(ISBLANK(CT$3:CT$9))*(CT$3:CT$9=$KJ$3:$KJ$9))</f>
        <v>0</v>
      </c>
      <c r="CU15" s="1">
        <f>SUMPRODUCT(NOT(ISBLANK(CU$3:CU$9))*(CU$3:CU$9=$KK$3:$KK$9))</f>
        <v>0</v>
      </c>
      <c r="CV15" s="1">
        <f>SUMPRODUCT(NOT(ISBLANK(CV$3:CV$9))*(CV$3:CV$9=$KL$3:$KL$9))</f>
        <v>0</v>
      </c>
      <c r="CW15" s="1">
        <f>SUMPRODUCT(NOT(ISBLANK(CW$3:CW$9))*(CW$3:CW$9=$KM$3:$KM$9))</f>
        <v>0</v>
      </c>
      <c r="CX15" s="1">
        <f>SUMPRODUCT(NOT(ISBLANK(CX$3:CX$9))*(CX$3:CX$9=$KN$3:$KN$9))</f>
        <v>0</v>
      </c>
      <c r="CY15" s="1">
        <f>SUMPRODUCT(NOT(ISBLANK(CY$3:CY$9))*(CY$3:CY$9=$KO$3:$KO$9))</f>
        <v>0</v>
      </c>
      <c r="CZ15" s="1">
        <f>SUMPRODUCT(NOT(ISBLANK(CZ$3:CZ$9))*(CZ$3:CZ$9=$KP$3:$KP$9))</f>
        <v>0</v>
      </c>
      <c r="DA15" s="1">
        <f>SUMPRODUCT(NOT(ISBLANK(DA$3:DA$9))*(DA$3:DA$9=$KQ$3:$KQ$9))</f>
        <v>0</v>
      </c>
      <c r="DB15" s="1"/>
      <c r="DC15" s="1">
        <f>SUMPRODUCT(NOT(ISBLANK(DC$3:DC$9))*(DC$3:DC$9=$KR$3:$KR$9))</f>
        <v>0</v>
      </c>
      <c r="DD15" s="1">
        <f>SUMPRODUCT(NOT(ISBLANK(DD$3:DD$9))*(DD$3:DD$9=$KS$3:$KS$9))</f>
        <v>0</v>
      </c>
      <c r="DE15" s="1">
        <f>SUMPRODUCT(NOT(ISBLANK(DE$3:DE$9))*(DE$3:DE$9=$KT$3:$KT$9))</f>
        <v>0</v>
      </c>
      <c r="DF15" s="1">
        <f>SUMPRODUCT(NOT(ISBLANK(DF$3:DF$9))*(DF$3:DF$9=$KD$3:$KD$9))</f>
        <v>0</v>
      </c>
      <c r="DG15" s="1">
        <f>SUMPRODUCT(NOT(ISBLANK(DG$3:DG$9))*(DG$3:DG$9=$KE$3:$KE$9))</f>
        <v>0</v>
      </c>
      <c r="DH15" s="1">
        <f>SUMPRODUCT(NOT(ISBLANK(DH$3:DH$9))*(DH$3:DH$9=$KF$3:$KF$9))</f>
        <v>0</v>
      </c>
      <c r="DI15" s="1">
        <f>SUMPRODUCT(NOT(ISBLANK(DI$3:DI$9))*(DI$3:DI$9=$KG$3:$KG$9))</f>
        <v>0</v>
      </c>
      <c r="DJ15" s="1">
        <f>SUMPRODUCT(NOT(ISBLANK(DJ$3:DJ$9))*(DJ$3:DJ$9=$KH$3:$KH$9))</f>
        <v>0</v>
      </c>
      <c r="DK15" s="1">
        <f>SUMPRODUCT(NOT(ISBLANK(DK$3:DK$9))*(DK$3:DK$9=$KI$3:$KI$9))</f>
        <v>0</v>
      </c>
      <c r="DL15" s="1">
        <f>SUMPRODUCT(NOT(ISBLANK(DL$3:DL$9))*(DL$3:DL$9=$KJ$3:$KJ$9))</f>
        <v>0</v>
      </c>
      <c r="DM15" s="1">
        <f>SUMPRODUCT(NOT(ISBLANK(DM$3:DM$9))*(DM$3:DM$9=$KK$3:$KK$9))</f>
        <v>0</v>
      </c>
      <c r="DN15" s="1">
        <f>SUMPRODUCT(NOT(ISBLANK(DN$3:DN$9))*(DN$3:DN$9=$KL$3:$KL$9))</f>
        <v>0</v>
      </c>
      <c r="DO15" s="1">
        <f>SUMPRODUCT(NOT(ISBLANK(DO$3:DO$9))*(DO$3:DO$9=$KM$3:$KM$9))</f>
        <v>0</v>
      </c>
      <c r="DP15" s="1">
        <f>SUMPRODUCT(NOT(ISBLANK(DP$3:DP$9))*(DP$3:DP$9=$KN$3:$KN$9))</f>
        <v>0</v>
      </c>
      <c r="DQ15" s="1">
        <f>SUMPRODUCT(NOT(ISBLANK(DQ$3:DQ$9))*(DQ$3:DQ$9=$KO$3:$KO$9))</f>
        <v>0</v>
      </c>
      <c r="DR15" s="1">
        <f>SUMPRODUCT(NOT(ISBLANK(DR$3:DR$9))*(DR$3:DR$9=$KP$3:$KP$9))</f>
        <v>0</v>
      </c>
      <c r="DS15" s="1">
        <f>SUMPRODUCT(NOT(ISBLANK(DS$3:DS$9))*(DS$3:DS$9=$KQ$3:$KQ$9))</f>
        <v>0</v>
      </c>
      <c r="DT15" s="1"/>
      <c r="DU15" s="1">
        <f>SUMPRODUCT(NOT(ISBLANK(DU$3:DU$9))*(DU$3:DU$9=$KR$3:$KR$9))</f>
        <v>0</v>
      </c>
      <c r="DV15" s="1">
        <f>SUMPRODUCT(NOT(ISBLANK(DV$3:DV$9))*(DV$3:DV$9=$KS$3:$KS$9))</f>
        <v>0</v>
      </c>
      <c r="DW15" s="1">
        <f>SUMPRODUCT(NOT(ISBLANK(DW$3:DW$9))*(DW$3:DW$9=$KT$3:$KT$9))</f>
        <v>0</v>
      </c>
      <c r="DX15" s="1">
        <f>SUMPRODUCT(NOT(ISBLANK(DX$3:DX$9))*(DX$3:DX$9=$KD$3:$KD$9))</f>
        <v>0</v>
      </c>
      <c r="DY15" s="1">
        <f>SUMPRODUCT(NOT(ISBLANK(DY$3:DY$9))*(DY$3:DY$9=$KE$3:$KE$9))</f>
        <v>0</v>
      </c>
      <c r="DZ15" s="1">
        <f>SUMPRODUCT(NOT(ISBLANK(DZ$3:DZ$9))*(DZ$3:DZ$9=$KF$3:$KF$9))</f>
        <v>0</v>
      </c>
      <c r="EA15" s="1">
        <f>SUMPRODUCT(NOT(ISBLANK(EA$3:EA$9))*(EA$3:EA$9=$KG$3:$KG$9))</f>
        <v>0</v>
      </c>
      <c r="EB15" s="1">
        <f>SUMPRODUCT(NOT(ISBLANK(EB$3:EB$9))*(EB$3:EB$9=$KH$3:$KH$9))</f>
        <v>0</v>
      </c>
      <c r="EC15" s="1">
        <f>SUMPRODUCT(NOT(ISBLANK(EC$3:EC$9))*(EC$3:EC$9=$KI$3:$KI$9))</f>
        <v>0</v>
      </c>
      <c r="ED15" s="1">
        <f>SUMPRODUCT(NOT(ISBLANK(ED$3:ED$9))*(ED$3:ED$9=$KJ$3:$KJ$9))</f>
        <v>0</v>
      </c>
      <c r="EE15" s="1">
        <f>SUMPRODUCT(NOT(ISBLANK(EE$3:EE$9))*(EE$3:EE$9=$KK$3:$KK$9))</f>
        <v>0</v>
      </c>
      <c r="EF15" s="1">
        <f>SUMPRODUCT(NOT(ISBLANK(EF$3:EF$9))*(EF$3:EF$9=$KL$3:$KL$9))</f>
        <v>0</v>
      </c>
      <c r="EG15" s="1">
        <f>SUMPRODUCT(NOT(ISBLANK(EG$3:EG$9))*(EG$3:EG$9=$KM$3:$KM$9))</f>
        <v>0</v>
      </c>
      <c r="EH15" s="1">
        <f>SUMPRODUCT(NOT(ISBLANK(EH$3:EH$9))*(EH$3:EH$9=$KN$3:$KN$9))</f>
        <v>0</v>
      </c>
      <c r="EI15" s="1">
        <f>SUMPRODUCT(NOT(ISBLANK(EI$3:EI$9))*(EI$3:EI$9=$KO$3:$KO$9))</f>
        <v>0</v>
      </c>
      <c r="EJ15" s="1">
        <f>SUMPRODUCT(NOT(ISBLANK(EJ$3:EJ$9))*(EJ$3:EJ$9=$KP$3:$KP$9))</f>
        <v>0</v>
      </c>
      <c r="EK15" s="1">
        <f>SUMPRODUCT(NOT(ISBLANK(EK$3:EK$9))*(EK$3:EK$9=$KQ$3:$KQ$9))</f>
        <v>0</v>
      </c>
      <c r="EL15" s="1"/>
      <c r="EM15" s="1">
        <f>SUMPRODUCT(NOT(ISBLANK(EM$3:EM$9))*(EM$3:EM$9=$KR$3:$KR$9))</f>
        <v>0</v>
      </c>
      <c r="EN15" s="1">
        <f>SUMPRODUCT(NOT(ISBLANK(EN$3:EN$9))*(EN$3:EN$9=$KS$3:$KS$9))</f>
        <v>0</v>
      </c>
      <c r="EO15" s="1">
        <f>SUMPRODUCT(NOT(ISBLANK(EO$3:EO$9))*(EO$3:EO$9=$KT$3:$KT$9))</f>
        <v>0</v>
      </c>
      <c r="EP15" s="1">
        <f>SUMPRODUCT(NOT(ISBLANK(EP$3:EP$9))*(EP$3:EP$9=$KD$3:$KD$9))</f>
        <v>0</v>
      </c>
      <c r="EQ15" s="1">
        <f>SUMPRODUCT(NOT(ISBLANK(EQ$3:EQ$9))*(EQ$3:EQ$9=$KE$3:$KE$9))</f>
        <v>0</v>
      </c>
      <c r="ER15" s="1">
        <f>SUMPRODUCT(NOT(ISBLANK(ER$3:ER$9))*(ER$3:ER$9=$KF$3:$KF$9))</f>
        <v>0</v>
      </c>
      <c r="ES15" s="1">
        <f>SUMPRODUCT(NOT(ISBLANK(ES$3:ES$9))*(ES$3:ES$9=$KG$3:$KG$9))</f>
        <v>0</v>
      </c>
      <c r="ET15" s="1">
        <f>SUMPRODUCT(NOT(ISBLANK(ET$3:ET$9))*(ET$3:ET$9=$KH$3:$KH$9))</f>
        <v>0</v>
      </c>
      <c r="EU15" s="1">
        <f>SUMPRODUCT(NOT(ISBLANK(EU$3:EU$9))*(EU$3:EU$9=$KI$3:$KI$9))</f>
        <v>0</v>
      </c>
      <c r="EV15" s="1">
        <f>SUMPRODUCT(NOT(ISBLANK(EV$3:EV$9))*(EV$3:EV$9=$KJ$3:$KJ$9))</f>
        <v>0</v>
      </c>
      <c r="EW15" s="1">
        <f>SUMPRODUCT(NOT(ISBLANK(EW$3:EW$9))*(EW$3:EW$9=$KK$3:$KK$9))</f>
        <v>0</v>
      </c>
      <c r="EX15" s="1">
        <f>SUMPRODUCT(NOT(ISBLANK(EX$3:EX$9))*(EX$3:EX$9=$KL$3:$KL$9))</f>
        <v>0</v>
      </c>
      <c r="EY15" s="1">
        <f>SUMPRODUCT(NOT(ISBLANK(EY$3:EY$9))*(EY$3:EY$9=$KM$3:$KM$9))</f>
        <v>0</v>
      </c>
      <c r="EZ15" s="1">
        <f>SUMPRODUCT(NOT(ISBLANK(EZ$3:EZ$9))*(EZ$3:EZ$9=$KN$3:$KN$9))</f>
        <v>0</v>
      </c>
      <c r="FA15" s="1">
        <f>SUMPRODUCT(NOT(ISBLANK(FA$3:FA$9))*(FA$3:FA$9=$KO$3:$KO$9))</f>
        <v>0</v>
      </c>
      <c r="FB15" s="1">
        <f>SUMPRODUCT(NOT(ISBLANK(FB$3:FB$9))*(FB$3:FB$9=$KP$3:$KP$9))</f>
        <v>0</v>
      </c>
      <c r="FC15" s="1">
        <f>SUMPRODUCT(NOT(ISBLANK(FC$3:FC$9))*(FC$3:FC$9=$KQ$3:$KQ$9))</f>
        <v>0</v>
      </c>
      <c r="FD15" s="1"/>
      <c r="FE15" s="1">
        <f>SUMPRODUCT(NOT(ISBLANK(FE$3:FE$9))*(FE$3:FE$9=$KR$3:$KR$9))</f>
        <v>0</v>
      </c>
      <c r="FF15" s="1">
        <f>SUMPRODUCT(NOT(ISBLANK(FF$3:FF$9))*(FF$3:FF$9=$KS$3:$KS$9))</f>
        <v>0</v>
      </c>
      <c r="FG15" s="1">
        <f>SUMPRODUCT(NOT(ISBLANK(FG$3:FG$9))*(FG$3:FG$9=$KT$3:$KT$9))</f>
        <v>0</v>
      </c>
      <c r="FH15" s="1">
        <f>SUMPRODUCT(NOT(ISBLANK(FH$3:FH$9))*(FH$3:FH$9=$KD$3:$KD$9))</f>
        <v>0</v>
      </c>
      <c r="FI15" s="1">
        <f>SUMPRODUCT(NOT(ISBLANK(FI$3:FI$9))*(FI$3:FI$9=$KE$3:$KE$9))</f>
        <v>0</v>
      </c>
      <c r="FJ15" s="1">
        <f>SUMPRODUCT(NOT(ISBLANK(FJ$3:FJ$9))*(FJ$3:FJ$9=$KF$3:$KF$9))</f>
        <v>0</v>
      </c>
      <c r="FK15" s="1">
        <f>SUMPRODUCT(NOT(ISBLANK(FK$3:FK$9))*(FK$3:FK$9=$KG$3:$KG$9))</f>
        <v>0</v>
      </c>
      <c r="FL15" s="1">
        <f>SUMPRODUCT(NOT(ISBLANK(FL$3:FL$9))*(FL$3:FL$9=$KH$3:$KH$9))</f>
        <v>0</v>
      </c>
      <c r="FM15" s="1">
        <f>SUMPRODUCT(NOT(ISBLANK(FM$3:FM$9))*(FM$3:FM$9=$KI$3:$KI$9))</f>
        <v>0</v>
      </c>
      <c r="FN15" s="1">
        <f>SUMPRODUCT(NOT(ISBLANK(FN$3:FN$9))*(FN$3:FN$9=$KJ$3:$KJ$9))</f>
        <v>0</v>
      </c>
      <c r="FO15" s="1">
        <f>SUMPRODUCT(NOT(ISBLANK(FO$3:FO$9))*(FO$3:FO$9=$KK$3:$KK$9))</f>
        <v>0</v>
      </c>
      <c r="FP15" s="1">
        <f>SUMPRODUCT(NOT(ISBLANK(FP$3:FP$9))*(FP$3:FP$9=$KL$3:$KL$9))</f>
        <v>0</v>
      </c>
      <c r="FQ15" s="1">
        <f>SUMPRODUCT(NOT(ISBLANK(FQ$3:FQ$9))*(FQ$3:FQ$9=$KM$3:$KM$9))</f>
        <v>0</v>
      </c>
      <c r="FR15" s="1">
        <f>SUMPRODUCT(NOT(ISBLANK(FR$3:FR$9))*(FR$3:FR$9=$KN$3:$KN$9))</f>
        <v>0</v>
      </c>
      <c r="FS15" s="1">
        <f>SUMPRODUCT(NOT(ISBLANK(FS$3:FS$9))*(FS$3:FS$9=$KO$3:$KO$9))</f>
        <v>0</v>
      </c>
      <c r="FT15" s="1">
        <f>SUMPRODUCT(NOT(ISBLANK(FT$3:FT$9))*(FT$3:FT$9=$KP$3:$KP$9))</f>
        <v>0</v>
      </c>
      <c r="FU15" s="1">
        <f>SUMPRODUCT(NOT(ISBLANK(FU$3:FU$9))*(FU$3:FU$9=$KQ$3:$KQ$9))</f>
        <v>0</v>
      </c>
      <c r="FV15" s="1"/>
      <c r="FW15" s="1">
        <f>SUMPRODUCT(NOT(ISBLANK(FW$3:FW$9))*(FW$3:FW$9=$KR$3:$KR$9))</f>
        <v>0</v>
      </c>
      <c r="FX15" s="1">
        <f>SUMPRODUCT(NOT(ISBLANK(FX$3:FX$9))*(FX$3:FX$9=$KS$3:$KS$9))</f>
        <v>0</v>
      </c>
      <c r="FY15" s="1">
        <f>SUMPRODUCT(NOT(ISBLANK(FY$3:FY$9))*(FY$3:FY$9=$KT$3:$KT$9))</f>
        <v>0</v>
      </c>
      <c r="FZ15" s="1">
        <f>SUMPRODUCT(NOT(ISBLANK(FZ$3:FZ$9))*(FZ$3:FZ$9=$KD$3:$KD$9))</f>
        <v>0</v>
      </c>
      <c r="GA15" s="1">
        <f>SUMPRODUCT(NOT(ISBLANK(GA$3:GA$9))*(GA$3:GA$9=$KE$3:$KE$9))</f>
        <v>0</v>
      </c>
      <c r="GB15" s="1">
        <f>SUMPRODUCT(NOT(ISBLANK(GB$3:GB$9))*(GB$3:GB$9=$KF$3:$KF$9))</f>
        <v>0</v>
      </c>
      <c r="GC15" s="1">
        <f>SUMPRODUCT(NOT(ISBLANK(GC$3:GC$9))*(GC$3:GC$9=$KG$3:$KG$9))</f>
        <v>0</v>
      </c>
      <c r="GD15" s="1">
        <f>SUMPRODUCT(NOT(ISBLANK(GD$3:GD$9))*(GD$3:GD$9=$KH$3:$KH$9))</f>
        <v>0</v>
      </c>
      <c r="GE15" s="1">
        <f>SUMPRODUCT(NOT(ISBLANK(GE$3:GE$9))*(GE$3:GE$9=$KI$3:$KI$9))</f>
        <v>0</v>
      </c>
      <c r="GF15" s="1">
        <f>SUMPRODUCT(NOT(ISBLANK(GF$3:GF$9))*(GF$3:GF$9=$KJ$3:$KJ$9))</f>
        <v>0</v>
      </c>
      <c r="GG15" s="1">
        <f>SUMPRODUCT(NOT(ISBLANK(GG$3:GG$9))*(GG$3:GG$9=$KK$3:$KK$9))</f>
        <v>0</v>
      </c>
      <c r="GH15" s="1">
        <f>SUMPRODUCT(NOT(ISBLANK(GH$3:GH$9))*(GH$3:GH$9=$KL$3:$KL$9))</f>
        <v>0</v>
      </c>
      <c r="GI15" s="1">
        <f>SUMPRODUCT(NOT(ISBLANK(GI$3:GI$9))*(GI$3:GI$9=$KM$3:$KM$9))</f>
        <v>0</v>
      </c>
      <c r="GJ15" s="1">
        <f>SUMPRODUCT(NOT(ISBLANK(GJ$3:GJ$9))*(GJ$3:GJ$9=$KN$3:$KN$9))</f>
        <v>0</v>
      </c>
      <c r="GK15" s="1">
        <f>SUMPRODUCT(NOT(ISBLANK(GK$3:GK$9))*(GK$3:GK$9=$KO$3:$KO$9))</f>
        <v>0</v>
      </c>
      <c r="GL15" s="1">
        <f>SUMPRODUCT(NOT(ISBLANK(GL$3:GL$9))*(GL$3:GL$9=$KP$3:$KP$9))</f>
        <v>0</v>
      </c>
      <c r="GM15" s="1">
        <f>SUMPRODUCT(NOT(ISBLANK(GM$3:GM$9))*(GM$3:GM$9=$KQ$3:$KQ$9))</f>
        <v>0</v>
      </c>
      <c r="GN15" s="1"/>
      <c r="GO15" s="1">
        <f>SUMPRODUCT(NOT(ISBLANK(GO$3:GO$9))*(GO$3:GO$9=$KR$3:$KR$9))</f>
        <v>0</v>
      </c>
      <c r="GP15" s="1">
        <f>SUMPRODUCT(NOT(ISBLANK(GP$3:GP$9))*(GP$3:GP$9=$KS$3:$KS$9))</f>
        <v>0</v>
      </c>
      <c r="GQ15" s="1">
        <f>SUMPRODUCT(NOT(ISBLANK(GQ$3:GQ$9))*(GQ$3:GQ$9=$KT$3:$KT$9))</f>
        <v>0</v>
      </c>
      <c r="GR15" s="1">
        <f>SUMPRODUCT(NOT(ISBLANK(GR$3:GR$9))*(GR$3:GR$9=$KD$3:$KD$9))</f>
        <v>0</v>
      </c>
      <c r="GS15" s="1">
        <f>SUMPRODUCT(NOT(ISBLANK(GS$3:GS$9))*(GS$3:GS$9=$KE$3:$KE$9))</f>
        <v>0</v>
      </c>
      <c r="GT15" s="1">
        <f>SUMPRODUCT(NOT(ISBLANK(GT$3:GT$9))*(GT$3:GT$9=$KF$3:$KF$9))</f>
        <v>0</v>
      </c>
      <c r="GU15" s="1">
        <f>SUMPRODUCT(NOT(ISBLANK(GU$3:GU$9))*(GU$3:GU$9=$KG$3:$KG$9))</f>
        <v>0</v>
      </c>
      <c r="GV15" s="1">
        <f>SUMPRODUCT(NOT(ISBLANK(GV$3:GV$9))*(GV$3:GV$9=$KH$3:$KH$9))</f>
        <v>0</v>
      </c>
      <c r="GW15" s="1">
        <f>SUMPRODUCT(NOT(ISBLANK(GW$3:GW$9))*(GW$3:GW$9=$KI$3:$KI$9))</f>
        <v>0</v>
      </c>
      <c r="GX15" s="1">
        <f>SUMPRODUCT(NOT(ISBLANK(GX$3:GX$9))*(GX$3:GX$9=$KJ$3:$KJ$9))</f>
        <v>0</v>
      </c>
      <c r="GY15" s="1">
        <f>SUMPRODUCT(NOT(ISBLANK(GY$3:GY$9))*(GY$3:GY$9=$KK$3:$KK$9))</f>
        <v>0</v>
      </c>
      <c r="GZ15" s="1">
        <f>SUMPRODUCT(NOT(ISBLANK(GZ$3:GZ$9))*(GZ$3:GZ$9=$KL$3:$KL$9))</f>
        <v>0</v>
      </c>
      <c r="HA15" s="1">
        <f>SUMPRODUCT(NOT(ISBLANK(HA$3:HA$9))*(HA$3:HA$9=$KM$3:$KM$9))</f>
        <v>0</v>
      </c>
      <c r="HB15" s="1">
        <f>SUMPRODUCT(NOT(ISBLANK(HB$3:HB$9))*(HB$3:HB$9=$KN$3:$KN$9))</f>
        <v>0</v>
      </c>
      <c r="HC15" s="1">
        <f>SUMPRODUCT(NOT(ISBLANK(HC$3:HC$9))*(HC$3:HC$9=$KO$3:$KO$9))</f>
        <v>0</v>
      </c>
      <c r="HD15" s="1">
        <f>SUMPRODUCT(NOT(ISBLANK(HD$3:HD$9))*(HD$3:HD$9=$KP$3:$KP$9))</f>
        <v>0</v>
      </c>
      <c r="HE15" s="1">
        <f>SUMPRODUCT(NOT(ISBLANK(HE$3:HE$9))*(HE$3:HE$9=$KQ$3:$KQ$9))</f>
        <v>0</v>
      </c>
      <c r="HF15" s="1"/>
      <c r="HG15" s="1">
        <f>SUMPRODUCT(NOT(ISBLANK(HG$3:HG$9))*(HG$3:HG$9=$KR$3:$KR$9))</f>
        <v>0</v>
      </c>
      <c r="HH15" s="1">
        <f>SUMPRODUCT(NOT(ISBLANK(HH$3:HH$9))*(HH$3:HH$9=$KS$3:$KS$9))</f>
        <v>0</v>
      </c>
      <c r="HI15" s="1">
        <f>SUMPRODUCT(NOT(ISBLANK(HI$3:HI$9))*(HI$3:HI$9=$KT$3:$KT$9))</f>
        <v>0</v>
      </c>
      <c r="HJ15" s="1">
        <f>SUMPRODUCT(NOT(ISBLANK(HJ$3:HJ$9))*(HJ$3:HJ$9=$KD$3:$KD$9))</f>
        <v>0</v>
      </c>
      <c r="HK15" s="1">
        <f>SUMPRODUCT(NOT(ISBLANK(HK$3:HK$9))*(HK$3:HK$9=$KE$3:$KE$9))</f>
        <v>0</v>
      </c>
      <c r="HL15" s="1">
        <f>SUMPRODUCT(NOT(ISBLANK(HL$3:HL$9))*(HL$3:HL$9=$KF$3:$KF$9))</f>
        <v>0</v>
      </c>
      <c r="HM15" s="1">
        <f>SUMPRODUCT(NOT(ISBLANK(HM$3:HM$9))*(HM$3:HM$9=$KG$3:$KG$9))</f>
        <v>0</v>
      </c>
      <c r="HN15" s="1">
        <f>SUMPRODUCT(NOT(ISBLANK(HN$3:HN$9))*(HN$3:HN$9=$KH$3:$KH$9))</f>
        <v>0</v>
      </c>
      <c r="HO15" s="1">
        <f>SUMPRODUCT(NOT(ISBLANK(HO$3:HO$9))*(HO$3:HO$9=$KI$3:$KI$9))</f>
        <v>0</v>
      </c>
      <c r="HP15" s="1">
        <f>SUMPRODUCT(NOT(ISBLANK(HP$3:HP$9))*(HP$3:HP$9=$KJ$3:$KJ$9))</f>
        <v>0</v>
      </c>
      <c r="HQ15" s="1">
        <f>SUMPRODUCT(NOT(ISBLANK(HQ$3:HQ$9))*(HQ$3:HQ$9=$KK$3:$KK$9))</f>
        <v>0</v>
      </c>
      <c r="HR15" s="1">
        <f>SUMPRODUCT(NOT(ISBLANK(HR$3:HR$9))*(HR$3:HR$9=$KL$3:$KL$9))</f>
        <v>0</v>
      </c>
      <c r="HS15" s="1">
        <f>SUMPRODUCT(NOT(ISBLANK(HS$3:HS$9))*(HS$3:HS$9=$KM$3:$KM$9))</f>
        <v>0</v>
      </c>
      <c r="HT15" s="1">
        <f>SUMPRODUCT(NOT(ISBLANK(HT$3:HT$9))*(HT$3:HT$9=$KN$3:$KN$9))</f>
        <v>0</v>
      </c>
      <c r="HU15" s="1">
        <f>SUMPRODUCT(NOT(ISBLANK(HU$3:HU$9))*(HU$3:HU$9=$KO$3:$KO$9))</f>
        <v>0</v>
      </c>
      <c r="HV15" s="1">
        <f>SUMPRODUCT(NOT(ISBLANK(HV$3:HV$9))*(HV$3:HV$9=$KP$3:$KP$9))</f>
        <v>0</v>
      </c>
      <c r="HW15" s="1">
        <f>SUMPRODUCT(NOT(ISBLANK(HW$3:HW$9))*(HW$3:HW$9=$KQ$3:$KQ$9))</f>
        <v>0</v>
      </c>
      <c r="HX15" s="1"/>
      <c r="HY15" s="1">
        <f>SUMPRODUCT(NOT(ISBLANK(HY$3:HY$9))*(HY$3:HY$9=$KR$3:$KR$9))</f>
        <v>0</v>
      </c>
      <c r="HZ15" s="1">
        <f>SUMPRODUCT(NOT(ISBLANK(HZ$3:HZ$9))*(HZ$3:HZ$9=$KS$3:$KS$9))</f>
        <v>0</v>
      </c>
      <c r="IA15" s="1">
        <f>SUMPRODUCT(NOT(ISBLANK(IA$3:IA$9))*(IA$3:IA$9=$KT$3:$KT$9))</f>
        <v>0</v>
      </c>
      <c r="IB15" s="1">
        <f>SUMPRODUCT(NOT(ISBLANK(IB$3:IB$9))*(IB$3:IB$9=$KD$3:$KD$9))</f>
        <v>0</v>
      </c>
      <c r="IC15" s="1">
        <f>SUMPRODUCT(NOT(ISBLANK(IC$3:IC$9))*(IC$3:IC$9=$KE$3:$KE$9))</f>
        <v>0</v>
      </c>
      <c r="ID15" s="1">
        <f>SUMPRODUCT(NOT(ISBLANK(ID$3:ID$9))*(ID$3:ID$9=$KF$3:$KF$9))</f>
        <v>0</v>
      </c>
      <c r="IE15" s="1">
        <f>SUMPRODUCT(NOT(ISBLANK(IE$3:IE$9))*(IE$3:IE$9=$KG$3:$KG$9))</f>
        <v>0</v>
      </c>
      <c r="IF15" s="1">
        <f>SUMPRODUCT(NOT(ISBLANK(IF$3:IF$9))*(IF$3:IF$9=$KH$3:$KH$9))</f>
        <v>0</v>
      </c>
      <c r="IG15" s="1">
        <f>SUMPRODUCT(NOT(ISBLANK(IG$3:IG$9))*(IG$3:IG$9=$KI$3:$KI$9))</f>
        <v>0</v>
      </c>
      <c r="IH15" s="1">
        <f>SUMPRODUCT(NOT(ISBLANK(IH$3:IH$9))*(IH$3:IH$9=$KJ$3:$KJ$9))</f>
        <v>0</v>
      </c>
      <c r="II15" s="1">
        <f>SUMPRODUCT(NOT(ISBLANK(II$3:II$9))*(II$3:II$9=$KK$3:$KK$9))</f>
        <v>0</v>
      </c>
      <c r="IJ15" s="1">
        <f>SUMPRODUCT(NOT(ISBLANK(IJ$3:IJ$9))*(IJ$3:IJ$9=$KL$3:$KL$9))</f>
        <v>0</v>
      </c>
      <c r="IK15" s="1">
        <f>SUMPRODUCT(NOT(ISBLANK(IK$3:IK$9))*(IK$3:IK$9=$KM$3:$KM$9))</f>
        <v>0</v>
      </c>
      <c r="IL15" s="1">
        <f>SUMPRODUCT(NOT(ISBLANK(IL$3:IL$9))*(IL$3:IL$9=$KN$3:$KN$9))</f>
        <v>0</v>
      </c>
      <c r="IM15" s="1">
        <f>SUMPRODUCT(NOT(ISBLANK(IM$3:IM$9))*(IM$3:IM$9=$KO$3:$KO$9))</f>
        <v>0</v>
      </c>
      <c r="IN15" s="1">
        <f>SUMPRODUCT(NOT(ISBLANK(IN$3:IN$9))*(IN$3:IN$9=$KP$3:$KP$9))</f>
        <v>0</v>
      </c>
      <c r="IO15" s="1">
        <f>SUMPRODUCT(NOT(ISBLANK(IO$3:IO$9))*(IO$3:IO$9=$KQ$3:$KQ$9))</f>
        <v>0</v>
      </c>
      <c r="IP15" s="1"/>
      <c r="IQ15" s="1">
        <f>SUMPRODUCT(NOT(ISBLANK(IQ$3:IQ$9))*(IQ$3:IQ$9=$KR$3:$KR$9))</f>
        <v>0</v>
      </c>
      <c r="IR15" s="1">
        <f>SUMPRODUCT(NOT(ISBLANK(IR$3:IR$9))*(IR$3:IR$9=$KS$3:$KS$9))</f>
        <v>0</v>
      </c>
      <c r="IS15" s="1">
        <f>SUMPRODUCT(NOT(ISBLANK(IS$3:IS$9))*(IS$3:IS$9=$KT$3:$KT$9))</f>
        <v>0</v>
      </c>
      <c r="IT15" s="1">
        <f>SUMPRODUCT(NOT(ISBLANK(IT$3:IT$9))*(IT$3:IT$9=$KD$3:$KD$9))</f>
        <v>0</v>
      </c>
      <c r="IU15" s="1">
        <f>SUMPRODUCT(NOT(ISBLANK(IU$3:IU$9))*(IU$3:IU$9=$KE$3:$KE$9))</f>
        <v>0</v>
      </c>
      <c r="IV15" s="1">
        <f>SUMPRODUCT(NOT(ISBLANK(IV$3:IV$9))*(IV$3:IV$9=$KF$3:$KF$9))</f>
        <v>0</v>
      </c>
      <c r="IW15" s="1">
        <f>SUMPRODUCT(NOT(ISBLANK(IW$3:IW$9))*(IW$3:IW$9=$KG$3:$KG$9))</f>
        <v>0</v>
      </c>
      <c r="IX15" s="1">
        <f>SUMPRODUCT(NOT(ISBLANK(IX$3:IX$9))*(IX$3:IX$9=$KH$3:$KH$9))</f>
        <v>0</v>
      </c>
      <c r="IY15" s="1">
        <f>SUMPRODUCT(NOT(ISBLANK(IY$3:IY$9))*(IY$3:IY$9=$KI$3:$KI$9))</f>
        <v>0</v>
      </c>
      <c r="IZ15" s="1">
        <f>SUMPRODUCT(NOT(ISBLANK(IZ$3:IZ$9))*(IZ$3:IZ$9=$KJ$3:$KJ$9))</f>
        <v>0</v>
      </c>
      <c r="JA15" s="1">
        <f>SUMPRODUCT(NOT(ISBLANK(JA$3:JA$9))*(JA$3:JA$9=$KK$3:$KK$9))</f>
        <v>0</v>
      </c>
      <c r="JB15" s="1">
        <f>SUMPRODUCT(NOT(ISBLANK(JB$3:JB$9))*(JB$3:JB$9=$KL$3:$KL$9))</f>
        <v>0</v>
      </c>
      <c r="JC15" s="1">
        <f>SUMPRODUCT(NOT(ISBLANK(JC$3:JC$9))*(JC$3:JC$9=$KM$3:$KM$9))</f>
        <v>0</v>
      </c>
      <c r="JD15" s="1">
        <f>SUMPRODUCT(NOT(ISBLANK(JD$3:JD$9))*(JD$3:JD$9=$KN$3:$KN$9))</f>
        <v>0</v>
      </c>
      <c r="JE15" s="1">
        <f>SUMPRODUCT(NOT(ISBLANK(JE$3:JE$9))*(JE$3:JE$9=$KO$3:$KO$9))</f>
        <v>0</v>
      </c>
      <c r="JF15" s="1">
        <f>SUMPRODUCT(NOT(ISBLANK(JF$3:JF$9))*(JF$3:JF$9=$KP$3:$KP$9))</f>
        <v>0</v>
      </c>
      <c r="JG15" s="1">
        <f>SUMPRODUCT(NOT(ISBLANK(JG$3:JG$9))*(JG$3:JG$9=$KQ$3:$KQ$9))</f>
        <v>0</v>
      </c>
      <c r="JH15" s="1"/>
      <c r="JI15" s="1">
        <f>SUMPRODUCT(NOT(ISBLANK(JI$3:JI$9))*(JI$3:JI$9=$KR$3:$KR$9))</f>
        <v>0</v>
      </c>
      <c r="JJ15" s="1">
        <f>SUMPRODUCT(NOT(ISBLANK(JJ$3:JJ$9))*(JJ$3:JJ$9=$KS$3:$KS$9))</f>
        <v>0</v>
      </c>
      <c r="JK15" s="1">
        <f>SUMPRODUCT(NOT(ISBLANK(JK$3:JK$9))*(JK$3:JK$9=$KT$3:$KT$9))</f>
        <v>0</v>
      </c>
      <c r="JL15" s="1">
        <f>SUMPRODUCT(NOT(ISBLANK(JL$3:JL$9))*(JL$3:JL$9=$KD$3:$KD$9))</f>
        <v>0</v>
      </c>
      <c r="JM15" s="1">
        <f>SUMPRODUCT(NOT(ISBLANK(JM$3:JM$9))*(JM$3:JM$9=$KE$3:$KE$9))</f>
        <v>0</v>
      </c>
      <c r="JN15" s="1">
        <f>SUMPRODUCT(NOT(ISBLANK(JN$3:JN$9))*(JN$3:JN$9=$KF$3:$KF$9))</f>
        <v>0</v>
      </c>
      <c r="JO15" s="1">
        <f>SUMPRODUCT(NOT(ISBLANK(JO$3:JO$9))*(JO$3:JO$9=$KG$3:$KG$9))</f>
        <v>0</v>
      </c>
      <c r="JP15" s="1">
        <f>SUMPRODUCT(NOT(ISBLANK(JP$3:JP$9))*(JP$3:JP$9=$KH$3:$KH$9))</f>
        <v>0</v>
      </c>
      <c r="JQ15" s="1">
        <f>SUMPRODUCT(NOT(ISBLANK(JQ$3:JQ$9))*(JQ$3:JQ$9=$KI$3:$KI$9))</f>
        <v>0</v>
      </c>
      <c r="JR15" s="1">
        <f>SUMPRODUCT(NOT(ISBLANK(JR$3:JR$9))*(JR$3:JR$9=$KJ$3:$KJ$9))</f>
        <v>0</v>
      </c>
      <c r="JS15" s="1">
        <f>SUMPRODUCT(NOT(ISBLANK(JS$3:JS$9))*(JS$3:JS$9=$KK$3:$KK$9))</f>
        <v>0</v>
      </c>
      <c r="JT15" s="1">
        <f>SUMPRODUCT(NOT(ISBLANK(JT$3:JT$9))*(JT$3:JT$9=$KL$3:$KL$9))</f>
        <v>0</v>
      </c>
      <c r="JU15" s="1">
        <f>SUMPRODUCT(NOT(ISBLANK(JU$3:JU$9))*(JU$3:JU$9=$KM$3:$KM$9))</f>
        <v>0</v>
      </c>
      <c r="JV15" s="1">
        <f>SUMPRODUCT(NOT(ISBLANK(JV$3:JV$9))*(JV$3:JV$9=$KN$3:$KN$9))</f>
        <v>0</v>
      </c>
      <c r="JW15" s="1">
        <f>SUMPRODUCT(NOT(ISBLANK(JW$3:JW$9))*(JW$3:JW$9=$KO$3:$KO$9))</f>
        <v>0</v>
      </c>
      <c r="JX15" s="1">
        <f>SUMPRODUCT(NOT(ISBLANK(JX$3:JX$9))*(JX$3:JX$9=$KP$3:$KP$9))</f>
        <v>0</v>
      </c>
      <c r="JY15" s="1">
        <f>SUMPRODUCT(NOT(ISBLANK(JY$3:JY$9))*(JY$3:JY$9=$KQ$3:$KQ$9))</f>
        <v>0</v>
      </c>
      <c r="JZ15" s="1"/>
      <c r="KA15" s="1">
        <f>SUMPRODUCT(NOT(ISBLANK(KA$3:KA$9))*(KA$3:KA$9=$KR$3:$KR$9))</f>
        <v>0</v>
      </c>
      <c r="KB15" s="1">
        <f>SUMPRODUCT(NOT(ISBLANK(KB$3:KB$9))*(KB$3:KB$9=$KS$3:$KS$9))</f>
        <v>0</v>
      </c>
      <c r="KC15" s="1">
        <f>SUMPRODUCT(NOT(ISBLANK(KC$3:KC$9))*(KC$3:KC$9=$KT$3:$KT$9))</f>
        <v>0</v>
      </c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</row>
    <row r="16" spans="1:340">
      <c r="A16" s="1" t="s">
        <v>12</v>
      </c>
      <c r="B16" s="1">
        <f>SUMPRODUCT(NOT(ISBLANK(B$3:B$9))*(B$3:B$9&lt;$KU$3:$KU$9))</f>
        <v>0</v>
      </c>
      <c r="C16" s="1">
        <f>SUMPRODUCT(NOT(ISBLANK(C$3:C$9))*(C$3:C$9&lt;$KV$3:$KV$9))</f>
        <v>0</v>
      </c>
      <c r="D16" s="1">
        <f>SUMPRODUCT(NOT(ISBLANK(D$3:D$9))*(D$3:D$9&lt;$KW$3:$KW$9))</f>
        <v>0</v>
      </c>
      <c r="E16" s="1">
        <f>SUMPRODUCT(NOT(ISBLANK(E$3:E$9))*(E$3:E$9&lt;$KX$3:$KX$9))</f>
        <v>0</v>
      </c>
      <c r="F16" s="1">
        <f>SUMPRODUCT(NOT(ISBLANK(F$3:F$9))*(F$3:F$9&lt;$KY$3:$KY$9))</f>
        <v>0</v>
      </c>
      <c r="G16" s="1">
        <f>SUMPRODUCT(NOT(ISBLANK(G$3:G$9))*(G$3:G$9&lt;$KZ$3:$KZ$9))</f>
        <v>0</v>
      </c>
      <c r="H16" s="1">
        <f>SUMPRODUCT(NOT(ISBLANK(H$3:H$9))*(H$3:H$9&lt;$LA$3:$LA$9))</f>
        <v>0</v>
      </c>
      <c r="I16" s="1">
        <f>SUMPRODUCT(NOT(ISBLANK(I$3:I$9))*(I$3:I$9&lt;$LB$3:$LB$9))</f>
        <v>0</v>
      </c>
      <c r="J16" s="1">
        <f>SUMPRODUCT(NOT(ISBLANK(J$3:J$9))*(J$3:J$9&lt;$LC$3:$LC$9))</f>
        <v>0</v>
      </c>
      <c r="K16" s="1">
        <f>SUMPRODUCT(NOT(ISBLANK(K$3:K$9))*(K$3:K$9&lt;$LD$3:$LD$9))</f>
        <v>0</v>
      </c>
      <c r="L16" s="1">
        <f>SUMPRODUCT(NOT(ISBLANK(L$3:L$9))*(L$3:L$9&lt;$LE$3:$LE$9))</f>
        <v>0</v>
      </c>
      <c r="M16" s="1">
        <f>SUMPRODUCT(NOT(ISBLANK(M$3:M$9))*(M$3:M$9&lt;$LF$3:$LF$9))</f>
        <v>0</v>
      </c>
      <c r="N16" s="1">
        <f>SUMPRODUCT(NOT(ISBLANK(N$3:N$9))*(N$3:N$9&lt;$LG$3:$LG$9))</f>
        <v>0</v>
      </c>
      <c r="O16" s="1">
        <f>SUMPRODUCT(NOT(ISBLANK(O$3:O$9))*(O$3:O$9&lt;$LH$3:$LH$9))</f>
        <v>0</v>
      </c>
      <c r="P16" s="1"/>
      <c r="Q16" s="1">
        <f>SUMPRODUCT(NOT(ISBLANK(Q$3:Q$9))*(Q$3:Q$9&lt;$LI$3:$LI$9))</f>
        <v>0</v>
      </c>
      <c r="R16" s="1">
        <f>SUMPRODUCT(NOT(ISBLANK(R$3:R$9))*(R$3:R$9&lt;$LJ$3:$LJ$9))</f>
        <v>0</v>
      </c>
      <c r="S16" s="1">
        <f>SUMPRODUCT(NOT(ISBLANK(S$3:S$9))*(S$3:S$9&lt;$LK$3:$LK$9))</f>
        <v>0</v>
      </c>
      <c r="T16" s="1">
        <f>SUMPRODUCT(NOT(ISBLANK(T$3:T$9))*(T$3:T$9&lt;$KU$3:$KU$9))</f>
        <v>0</v>
      </c>
      <c r="U16" s="1">
        <f>SUMPRODUCT(NOT(ISBLANK(U$3:U$9))*(U$3:U$9&lt;$KV$3:$KV$9))</f>
        <v>0</v>
      </c>
      <c r="V16" s="1">
        <f>SUMPRODUCT(NOT(ISBLANK(V$3:V$9))*(V$3:V$9&lt;$KW$3:$KW$9))</f>
        <v>0</v>
      </c>
      <c r="W16" s="1">
        <f>SUMPRODUCT(NOT(ISBLANK(W$3:W$9))*(W$3:W$9&lt;$KX$3:$KX$9))</f>
        <v>0</v>
      </c>
      <c r="X16" s="1">
        <f>SUMPRODUCT(NOT(ISBLANK(X$3:X$9))*(X$3:X$9&lt;$KY$3:$KY$9))</f>
        <v>0</v>
      </c>
      <c r="Y16" s="1">
        <f>SUMPRODUCT(NOT(ISBLANK(Y$3:Y$9))*(Y$3:Y$9&lt;$KZ$3:$KZ$9))</f>
        <v>0</v>
      </c>
      <c r="Z16" s="1">
        <f>SUMPRODUCT(NOT(ISBLANK(Z$3:Z$9))*(Z$3:Z$9&lt;$LA$3:$LA$9))</f>
        <v>0</v>
      </c>
      <c r="AA16" s="1">
        <f>SUMPRODUCT(NOT(ISBLANK(AA$3:AA$9))*(AA$3:AA$9&lt;$LB$3:$LB$9))</f>
        <v>0</v>
      </c>
      <c r="AB16" s="1">
        <f>SUMPRODUCT(NOT(ISBLANK(AB$3:AB$9))*(AB$3:AB$9&lt;$LC$3:$LC$9))</f>
        <v>0</v>
      </c>
      <c r="AC16" s="1">
        <f>SUMPRODUCT(NOT(ISBLANK(AC$3:AC$9))*(AC$3:AC$9&lt;$LD$3:$LD$9))</f>
        <v>0</v>
      </c>
      <c r="AD16" s="1">
        <f>SUMPRODUCT(NOT(ISBLANK(AD$3:AD$9))*(AD$3:AD$9&lt;$LE$3:$LE$9))</f>
        <v>0</v>
      </c>
      <c r="AE16" s="1">
        <f>SUMPRODUCT(NOT(ISBLANK(AE$3:AE$9))*(AE$3:AE$9&lt;$LF$3:$LF$9))</f>
        <v>0</v>
      </c>
      <c r="AF16" s="1">
        <f>SUMPRODUCT(NOT(ISBLANK(AF$3:AF$9))*(AF$3:AF$9&lt;$LG$3:$LG$9))</f>
        <v>0</v>
      </c>
      <c r="AG16" s="1">
        <f>SUMPRODUCT(NOT(ISBLANK(AG$3:AG$9))*(AG$3:AG$9&lt;$LH$3:$LH$9))</f>
        <v>0</v>
      </c>
      <c r="AH16" s="1"/>
      <c r="AI16" s="1">
        <f>SUMPRODUCT(NOT(ISBLANK(AI$3:AI$9))*(AI$3:AI$9&lt;$LI$3:$LI$9))</f>
        <v>0</v>
      </c>
      <c r="AJ16" s="1">
        <f>SUMPRODUCT(NOT(ISBLANK(AJ$3:AJ$9))*(AJ$3:AJ$9&lt;$LJ$3:$LJ$9))</f>
        <v>0</v>
      </c>
      <c r="AK16" s="1">
        <f>SUMPRODUCT(NOT(ISBLANK(AK$3:AK$9))*(AK$3:AK$9&lt;$LK$3:$LK$9))</f>
        <v>0</v>
      </c>
      <c r="AL16" s="1">
        <f>SUMPRODUCT(NOT(ISBLANK(AL$3:AL$9))*(AL$3:AL$9&lt;$KU$3:$KU$9))</f>
        <v>0</v>
      </c>
      <c r="AM16" s="1">
        <f>SUMPRODUCT(NOT(ISBLANK(AM$3:AM$9))*(AM$3:AM$9&lt;$KV$3:$KV$9))</f>
        <v>0</v>
      </c>
      <c r="AN16" s="1">
        <f>SUMPRODUCT(NOT(ISBLANK(AN$3:AN$9))*(AN$3:AN$9&lt;$KW$3:$KW$9))</f>
        <v>0</v>
      </c>
      <c r="AO16" s="1">
        <f>SUMPRODUCT(NOT(ISBLANK(AO$3:AO$9))*(AO$3:AO$9&lt;$KX$3:$KX$9))</f>
        <v>0</v>
      </c>
      <c r="AP16" s="1">
        <f>SUMPRODUCT(NOT(ISBLANK(AP$3:AP$9))*(AP$3:AP$9&lt;$KY$3:$KY$9))</f>
        <v>0</v>
      </c>
      <c r="AQ16" s="1">
        <f>SUMPRODUCT(NOT(ISBLANK(AQ$3:AQ$9))*(AQ$3:AQ$9&lt;$KZ$3:$KZ$9))</f>
        <v>0</v>
      </c>
      <c r="AR16" s="1">
        <f>SUMPRODUCT(NOT(ISBLANK(AR$3:AR$9))*(AR$3:AR$9&lt;$LA$3:$LA$9))</f>
        <v>0</v>
      </c>
      <c r="AS16" s="1">
        <f>SUMPRODUCT(NOT(ISBLANK(AS$3:AS$9))*(AS$3:AS$9&lt;$LB$3:$LB$9))</f>
        <v>0</v>
      </c>
      <c r="AT16" s="1">
        <f>SUMPRODUCT(NOT(ISBLANK(AT$3:AT$9))*(AT$3:AT$9&lt;$LC$3:$LC$9))</f>
        <v>0</v>
      </c>
      <c r="AU16" s="1">
        <f>SUMPRODUCT(NOT(ISBLANK(AU$3:AU$9))*(AU$3:AU$9&lt;$LD$3:$LD$9))</f>
        <v>0</v>
      </c>
      <c r="AV16" s="1">
        <f>SUMPRODUCT(NOT(ISBLANK(AV$3:AV$9))*(AV$3:AV$9&lt;$LE$3:$LE$9))</f>
        <v>0</v>
      </c>
      <c r="AW16" s="1">
        <f>SUMPRODUCT(NOT(ISBLANK(AW$3:AW$9))*(AW$3:AW$9&lt;$LF$3:$LF$9))</f>
        <v>0</v>
      </c>
      <c r="AX16" s="1">
        <f>SUMPRODUCT(NOT(ISBLANK(AX$3:AX$9))*(AX$3:AX$9&lt;$LG$3:$LG$9))</f>
        <v>0</v>
      </c>
      <c r="AY16" s="1">
        <f>SUMPRODUCT(NOT(ISBLANK(AY$3:AY$9))*(AY$3:AY$9&lt;$LH$3:$LH$9))</f>
        <v>0</v>
      </c>
      <c r="AZ16" s="1"/>
      <c r="BA16" s="1">
        <f>SUMPRODUCT(NOT(ISBLANK(BA$3:BA$9))*(BA$3:BA$9&lt;$LI$3:$LI$9))</f>
        <v>0</v>
      </c>
      <c r="BB16" s="1">
        <f>SUMPRODUCT(NOT(ISBLANK(BB$3:BB$9))*(BB$3:BB$9&lt;$LJ$3:$LJ$9))</f>
        <v>0</v>
      </c>
      <c r="BC16" s="1">
        <f>SUMPRODUCT(NOT(ISBLANK(BC$3:BC$9))*(BC$3:BC$9&lt;$LK$3:$LK$9))</f>
        <v>0</v>
      </c>
      <c r="BD16" s="1">
        <f>SUMPRODUCT(NOT(ISBLANK(BD$3:BD$9))*(BD$3:BD$9&lt;$KU$3:$KU$9))</f>
        <v>0</v>
      </c>
      <c r="BE16" s="1">
        <f>SUMPRODUCT(NOT(ISBLANK(BE$3:BE$9))*(BE$3:BE$9&lt;$KV$3:$KV$9))</f>
        <v>0</v>
      </c>
      <c r="BF16" s="1">
        <f>SUMPRODUCT(NOT(ISBLANK(BF$3:BF$9))*(BF$3:BF$9&lt;$KW$3:$KW$9))</f>
        <v>0</v>
      </c>
      <c r="BG16" s="1">
        <f>SUMPRODUCT(NOT(ISBLANK(BG$3:BG$9))*(BG$3:BG$9&lt;$KX$3:$KX$9))</f>
        <v>0</v>
      </c>
      <c r="BH16" s="1">
        <f>SUMPRODUCT(NOT(ISBLANK(BH$3:BH$9))*(BH$3:BH$9&lt;$KY$3:$KY$9))</f>
        <v>0</v>
      </c>
      <c r="BI16" s="1">
        <f>SUMPRODUCT(NOT(ISBLANK(BI$3:BI$9))*(BI$3:BI$9&lt;$KZ$3:$KZ$9))</f>
        <v>0</v>
      </c>
      <c r="BJ16" s="1">
        <f>SUMPRODUCT(NOT(ISBLANK(BJ$3:BJ$9))*(BJ$3:BJ$9&lt;$LA$3:$LA$9))</f>
        <v>0</v>
      </c>
      <c r="BK16" s="1">
        <f>SUMPRODUCT(NOT(ISBLANK(BK$3:BK$9))*(BK$3:BK$9&lt;$LB$3:$LB$9))</f>
        <v>0</v>
      </c>
      <c r="BL16" s="1">
        <f>SUMPRODUCT(NOT(ISBLANK(BL$3:BL$9))*(BL$3:BL$9&lt;$LC$3:$LC$9))</f>
        <v>0</v>
      </c>
      <c r="BM16" s="1">
        <f>SUMPRODUCT(NOT(ISBLANK(BM$3:BM$9))*(BM$3:BM$9&lt;$LD$3:$LD$9))</f>
        <v>0</v>
      </c>
      <c r="BN16" s="1">
        <f>SUMPRODUCT(NOT(ISBLANK(BN$3:BN$9))*(BN$3:BN$9&lt;$LE$3:$LE$9))</f>
        <v>0</v>
      </c>
      <c r="BO16" s="1">
        <f>SUMPRODUCT(NOT(ISBLANK(BO$3:BO$9))*(BO$3:BO$9&lt;$LF$3:$LF$9))</f>
        <v>0</v>
      </c>
      <c r="BP16" s="1">
        <f>SUMPRODUCT(NOT(ISBLANK(BP$3:BP$9))*(BP$3:BP$9&lt;$LG$3:$LG$9))</f>
        <v>0</v>
      </c>
      <c r="BQ16" s="1">
        <f>SUMPRODUCT(NOT(ISBLANK(BQ$3:BQ$9))*(BQ$3:BQ$9&lt;$LH$3:$LH$9))</f>
        <v>0</v>
      </c>
      <c r="BR16" s="1"/>
      <c r="BS16" s="1">
        <f>SUMPRODUCT(NOT(ISBLANK(BS$3:BS$9))*(BS$3:BS$9&lt;$LI$3:$LI$9))</f>
        <v>0</v>
      </c>
      <c r="BT16" s="1">
        <f>SUMPRODUCT(NOT(ISBLANK(BT$3:BT$9))*(BT$3:BT$9&lt;$LJ$3:$LJ$9))</f>
        <v>0</v>
      </c>
      <c r="BU16" s="1">
        <f>SUMPRODUCT(NOT(ISBLANK(BU$3:BU$9))*(BU$3:BU$9&lt;$LK$3:$LK$9))</f>
        <v>0</v>
      </c>
      <c r="BV16" s="1">
        <f>SUMPRODUCT(NOT(ISBLANK(BV$3:BV$9))*(BV$3:BV$9&lt;$KU$3:$KU$9))</f>
        <v>0</v>
      </c>
      <c r="BW16" s="1">
        <f>SUMPRODUCT(NOT(ISBLANK(BW$3:BW$9))*(BW$3:BW$9&lt;$KV$3:$KV$9))</f>
        <v>0</v>
      </c>
      <c r="BX16" s="1">
        <f>SUMPRODUCT(NOT(ISBLANK(BX$3:BX$9))*(BX$3:BX$9&lt;$KW$3:$KW$9))</f>
        <v>0</v>
      </c>
      <c r="BY16" s="1">
        <f>SUMPRODUCT(NOT(ISBLANK(BY$3:BY$9))*(BY$3:BY$9&lt;$KX$3:$KX$9))</f>
        <v>0</v>
      </c>
      <c r="BZ16" s="1">
        <f>SUMPRODUCT(NOT(ISBLANK(BZ$3:BZ$9))*(BZ$3:BZ$9&lt;$KY$3:$KY$9))</f>
        <v>0</v>
      </c>
      <c r="CA16" s="1">
        <f>SUMPRODUCT(NOT(ISBLANK(CA$3:CA$9))*(CA$3:CA$9&lt;$KZ$3:$KZ$9))</f>
        <v>0</v>
      </c>
      <c r="CB16" s="1">
        <f>SUMPRODUCT(NOT(ISBLANK(CB$3:CB$9))*(CB$3:CB$9&lt;$LA$3:$LA$9))</f>
        <v>0</v>
      </c>
      <c r="CC16" s="1">
        <f>SUMPRODUCT(NOT(ISBLANK(CC$3:CC$9))*(CC$3:CC$9&lt;$LB$3:$LB$9))</f>
        <v>0</v>
      </c>
      <c r="CD16" s="1">
        <f>SUMPRODUCT(NOT(ISBLANK(CD$3:CD$9))*(CD$3:CD$9&lt;$LC$3:$LC$9))</f>
        <v>0</v>
      </c>
      <c r="CE16" s="1">
        <f>SUMPRODUCT(NOT(ISBLANK(CE$3:CE$9))*(CE$3:CE$9&lt;$LD$3:$LD$9))</f>
        <v>0</v>
      </c>
      <c r="CF16" s="1">
        <f>SUMPRODUCT(NOT(ISBLANK(CF$3:CF$9))*(CF$3:CF$9&lt;$LE$3:$LE$9))</f>
        <v>0</v>
      </c>
      <c r="CG16" s="1">
        <f>SUMPRODUCT(NOT(ISBLANK(CG$3:CG$9))*(CG$3:CG$9&lt;$LF$3:$LF$9))</f>
        <v>0</v>
      </c>
      <c r="CH16" s="1">
        <f>SUMPRODUCT(NOT(ISBLANK(CH$3:CH$9))*(CH$3:CH$9&lt;$LG$3:$LG$9))</f>
        <v>0</v>
      </c>
      <c r="CI16" s="1">
        <f>SUMPRODUCT(NOT(ISBLANK(CI$3:CI$9))*(CI$3:CI$9&lt;$LH$3:$LH$9))</f>
        <v>0</v>
      </c>
      <c r="CJ16" s="1"/>
      <c r="CK16" s="1">
        <f>SUMPRODUCT(NOT(ISBLANK(CK$3:CK$9))*(CK$3:CK$9&lt;$LI$3:$LI$9))</f>
        <v>0</v>
      </c>
      <c r="CL16" s="1">
        <f>SUMPRODUCT(NOT(ISBLANK(CL$3:CL$9))*(CL$3:CL$9&lt;$LJ$3:$LJ$9))</f>
        <v>0</v>
      </c>
      <c r="CM16" s="1">
        <f>SUMPRODUCT(NOT(ISBLANK(CM$3:CM$9))*(CM$3:CM$9&lt;$LK$3:$LK$9))</f>
        <v>0</v>
      </c>
      <c r="CN16" s="1">
        <f>SUMPRODUCT(NOT(ISBLANK(CN$3:CN$9))*(CN$3:CN$9&lt;$KU$3:$KU$9))</f>
        <v>0</v>
      </c>
      <c r="CO16" s="1">
        <f>SUMPRODUCT(NOT(ISBLANK(CO$3:CO$9))*(CO$3:CO$9&lt;$KV$3:$KV$9))</f>
        <v>0</v>
      </c>
      <c r="CP16" s="1">
        <f>SUMPRODUCT(NOT(ISBLANK(CP$3:CP$9))*(CP$3:CP$9&lt;$KW$3:$KW$9))</f>
        <v>0</v>
      </c>
      <c r="CQ16" s="1">
        <f>SUMPRODUCT(NOT(ISBLANK(CQ$3:CQ$9))*(CQ$3:CQ$9&lt;$KX$3:$KX$9))</f>
        <v>0</v>
      </c>
      <c r="CR16" s="1">
        <f>SUMPRODUCT(NOT(ISBLANK(CR$3:CR$9))*(CR$3:CR$9&lt;$KY$3:$KY$9))</f>
        <v>0</v>
      </c>
      <c r="CS16" s="1">
        <f>SUMPRODUCT(NOT(ISBLANK(CS$3:CS$9))*(CS$3:CS$9&lt;$KZ$3:$KZ$9))</f>
        <v>0</v>
      </c>
      <c r="CT16" s="1">
        <f>SUMPRODUCT(NOT(ISBLANK(CT$3:CT$9))*(CT$3:CT$9&lt;$LA$3:$LA$9))</f>
        <v>0</v>
      </c>
      <c r="CU16" s="1">
        <f>SUMPRODUCT(NOT(ISBLANK(CU$3:CU$9))*(CU$3:CU$9&lt;$LB$3:$LB$9))</f>
        <v>0</v>
      </c>
      <c r="CV16" s="1">
        <f>SUMPRODUCT(NOT(ISBLANK(CV$3:CV$9))*(CV$3:CV$9&lt;$LC$3:$LC$9))</f>
        <v>0</v>
      </c>
      <c r="CW16" s="1">
        <f>SUMPRODUCT(NOT(ISBLANK(CW$3:CW$9))*(CW$3:CW$9&lt;$LD$3:$LD$9))</f>
        <v>0</v>
      </c>
      <c r="CX16" s="1">
        <f>SUMPRODUCT(NOT(ISBLANK(CX$3:CX$9))*(CX$3:CX$9&lt;$LE$3:$LE$9))</f>
        <v>0</v>
      </c>
      <c r="CY16" s="1">
        <f>SUMPRODUCT(NOT(ISBLANK(CY$3:CY$9))*(CY$3:CY$9&lt;$LF$3:$LF$9))</f>
        <v>0</v>
      </c>
      <c r="CZ16" s="1">
        <f>SUMPRODUCT(NOT(ISBLANK(CZ$3:CZ$9))*(CZ$3:CZ$9&lt;$LG$3:$LG$9))</f>
        <v>0</v>
      </c>
      <c r="DA16" s="1">
        <f>SUMPRODUCT(NOT(ISBLANK(DA$3:DA$9))*(DA$3:DA$9&lt;$LH$3:$LH$9))</f>
        <v>0</v>
      </c>
      <c r="DB16" s="1"/>
      <c r="DC16" s="1">
        <f>SUMPRODUCT(NOT(ISBLANK(DC$3:DC$9))*(DC$3:DC$9&lt;$LI$3:$LI$9))</f>
        <v>0</v>
      </c>
      <c r="DD16" s="1">
        <f>SUMPRODUCT(NOT(ISBLANK(DD$3:DD$9))*(DD$3:DD$9&lt;$LJ$3:$LJ$9))</f>
        <v>0</v>
      </c>
      <c r="DE16" s="1">
        <f>SUMPRODUCT(NOT(ISBLANK(DE$3:DE$9))*(DE$3:DE$9&lt;$LK$3:$LK$9))</f>
        <v>0</v>
      </c>
      <c r="DF16" s="1">
        <f>SUMPRODUCT(NOT(ISBLANK(DF$3:DF$9))*(DF$3:DF$9&lt;$KU$3:$KU$9))</f>
        <v>0</v>
      </c>
      <c r="DG16" s="1">
        <f>SUMPRODUCT(NOT(ISBLANK(DG$3:DG$9))*(DG$3:DG$9&lt;$KV$3:$KV$9))</f>
        <v>0</v>
      </c>
      <c r="DH16" s="1">
        <f>SUMPRODUCT(NOT(ISBLANK(DH$3:DH$9))*(DH$3:DH$9&lt;$KW$3:$KW$9))</f>
        <v>0</v>
      </c>
      <c r="DI16" s="1">
        <f>SUMPRODUCT(NOT(ISBLANK(DI$3:DI$9))*(DI$3:DI$9&lt;$KX$3:$KX$9))</f>
        <v>0</v>
      </c>
      <c r="DJ16" s="1">
        <f>SUMPRODUCT(NOT(ISBLANK(DJ$3:DJ$9))*(DJ$3:DJ$9&lt;$KY$3:$KY$9))</f>
        <v>0</v>
      </c>
      <c r="DK16" s="1">
        <f>SUMPRODUCT(NOT(ISBLANK(DK$3:DK$9))*(DK$3:DK$9&lt;$KZ$3:$KZ$9))</f>
        <v>0</v>
      </c>
      <c r="DL16" s="1">
        <f>SUMPRODUCT(NOT(ISBLANK(DL$3:DL$9))*(DL$3:DL$9&lt;$LA$3:$LA$9))</f>
        <v>0</v>
      </c>
      <c r="DM16" s="1">
        <f>SUMPRODUCT(NOT(ISBLANK(DM$3:DM$9))*(DM$3:DM$9&lt;$LB$3:$LB$9))</f>
        <v>0</v>
      </c>
      <c r="DN16" s="1">
        <f>SUMPRODUCT(NOT(ISBLANK(DN$3:DN$9))*(DN$3:DN$9&lt;$LC$3:$LC$9))</f>
        <v>0</v>
      </c>
      <c r="DO16" s="1">
        <f>SUMPRODUCT(NOT(ISBLANK(DO$3:DO$9))*(DO$3:DO$9&lt;$LD$3:$LD$9))</f>
        <v>0</v>
      </c>
      <c r="DP16" s="1">
        <f>SUMPRODUCT(NOT(ISBLANK(DP$3:DP$9))*(DP$3:DP$9&lt;$LE$3:$LE$9))</f>
        <v>0</v>
      </c>
      <c r="DQ16" s="1">
        <f>SUMPRODUCT(NOT(ISBLANK(DQ$3:DQ$9))*(DQ$3:DQ$9&lt;$LF$3:$LF$9))</f>
        <v>0</v>
      </c>
      <c r="DR16" s="1">
        <f>SUMPRODUCT(NOT(ISBLANK(DR$3:DR$9))*(DR$3:DR$9&lt;$LG$3:$LG$9))</f>
        <v>0</v>
      </c>
      <c r="DS16" s="1">
        <f>SUMPRODUCT(NOT(ISBLANK(DS$3:DS$9))*(DS$3:DS$9&lt;$LH$3:$LH$9))</f>
        <v>0</v>
      </c>
      <c r="DT16" s="1"/>
      <c r="DU16" s="1">
        <f>SUMPRODUCT(NOT(ISBLANK(DU$3:DU$9))*(DU$3:DU$9&lt;$LI$3:$LI$9))</f>
        <v>0</v>
      </c>
      <c r="DV16" s="1">
        <f>SUMPRODUCT(NOT(ISBLANK(DV$3:DV$9))*(DV$3:DV$9&lt;$LJ$3:$LJ$9))</f>
        <v>0</v>
      </c>
      <c r="DW16" s="1">
        <f>SUMPRODUCT(NOT(ISBLANK(DW$3:DW$9))*(DW$3:DW$9&lt;$LK$3:$LK$9))</f>
        <v>0</v>
      </c>
      <c r="DX16" s="1">
        <f>SUMPRODUCT(NOT(ISBLANK(DX$3:DX$9))*(DX$3:DX$9&lt;$KU$3:$KU$9))</f>
        <v>0</v>
      </c>
      <c r="DY16" s="1">
        <f>SUMPRODUCT(NOT(ISBLANK(DY$3:DY$9))*(DY$3:DY$9&lt;$KV$3:$KV$9))</f>
        <v>0</v>
      </c>
      <c r="DZ16" s="1">
        <f>SUMPRODUCT(NOT(ISBLANK(DZ$3:DZ$9))*(DZ$3:DZ$9&lt;$KW$3:$KW$9))</f>
        <v>0</v>
      </c>
      <c r="EA16" s="1">
        <f>SUMPRODUCT(NOT(ISBLANK(EA$3:EA$9))*(EA$3:EA$9&lt;$KX$3:$KX$9))</f>
        <v>0</v>
      </c>
      <c r="EB16" s="1">
        <f>SUMPRODUCT(NOT(ISBLANK(EB$3:EB$9))*(EB$3:EB$9&lt;$KY$3:$KY$9))</f>
        <v>0</v>
      </c>
      <c r="EC16" s="1">
        <f>SUMPRODUCT(NOT(ISBLANK(EC$3:EC$9))*(EC$3:EC$9&lt;$KZ$3:$KZ$9))</f>
        <v>0</v>
      </c>
      <c r="ED16" s="1">
        <f>SUMPRODUCT(NOT(ISBLANK(ED$3:ED$9))*(ED$3:ED$9&lt;$LA$3:$LA$9))</f>
        <v>0</v>
      </c>
      <c r="EE16" s="1">
        <f>SUMPRODUCT(NOT(ISBLANK(EE$3:EE$9))*(EE$3:EE$9&lt;$LB$3:$LB$9))</f>
        <v>0</v>
      </c>
      <c r="EF16" s="1">
        <f>SUMPRODUCT(NOT(ISBLANK(EF$3:EF$9))*(EF$3:EF$9&lt;$LC$3:$LC$9))</f>
        <v>0</v>
      </c>
      <c r="EG16" s="1">
        <f>SUMPRODUCT(NOT(ISBLANK(EG$3:EG$9))*(EG$3:EG$9&lt;$LD$3:$LD$9))</f>
        <v>0</v>
      </c>
      <c r="EH16" s="1">
        <f>SUMPRODUCT(NOT(ISBLANK(EH$3:EH$9))*(EH$3:EH$9&lt;$LE$3:$LE$9))</f>
        <v>0</v>
      </c>
      <c r="EI16" s="1">
        <f>SUMPRODUCT(NOT(ISBLANK(EI$3:EI$9))*(EI$3:EI$9&lt;$LF$3:$LF$9))</f>
        <v>0</v>
      </c>
      <c r="EJ16" s="1">
        <f>SUMPRODUCT(NOT(ISBLANK(EJ$3:EJ$9))*(EJ$3:EJ$9&lt;$LG$3:$LG$9))</f>
        <v>0</v>
      </c>
      <c r="EK16" s="1">
        <f>SUMPRODUCT(NOT(ISBLANK(EK$3:EK$9))*(EK$3:EK$9&lt;$LH$3:$LH$9))</f>
        <v>0</v>
      </c>
      <c r="EL16" s="1"/>
      <c r="EM16" s="1">
        <f>SUMPRODUCT(NOT(ISBLANK(EM$3:EM$9))*(EM$3:EM$9&lt;$LI$3:$LI$9))</f>
        <v>0</v>
      </c>
      <c r="EN16" s="1">
        <f>SUMPRODUCT(NOT(ISBLANK(EN$3:EN$9))*(EN$3:EN$9&lt;$LJ$3:$LJ$9))</f>
        <v>0</v>
      </c>
      <c r="EO16" s="1">
        <f>SUMPRODUCT(NOT(ISBLANK(EO$3:EO$9))*(EO$3:EO$9&lt;$LK$3:$LK$9))</f>
        <v>0</v>
      </c>
      <c r="EP16" s="1">
        <f>SUMPRODUCT(NOT(ISBLANK(EP$3:EP$9))*(EP$3:EP$9&lt;$KU$3:$KU$9))</f>
        <v>0</v>
      </c>
      <c r="EQ16" s="1">
        <f>SUMPRODUCT(NOT(ISBLANK(EQ$3:EQ$9))*(EQ$3:EQ$9&lt;$KV$3:$KV$9))</f>
        <v>0</v>
      </c>
      <c r="ER16" s="1">
        <f>SUMPRODUCT(NOT(ISBLANK(ER$3:ER$9))*(ER$3:ER$9&lt;$KW$3:$KW$9))</f>
        <v>0</v>
      </c>
      <c r="ES16" s="1">
        <f>SUMPRODUCT(NOT(ISBLANK(ES$3:ES$9))*(ES$3:ES$9&lt;$KX$3:$KX$9))</f>
        <v>0</v>
      </c>
      <c r="ET16" s="1">
        <f>SUMPRODUCT(NOT(ISBLANK(ET$3:ET$9))*(ET$3:ET$9&lt;$KY$3:$KY$9))</f>
        <v>0</v>
      </c>
      <c r="EU16" s="1">
        <f>SUMPRODUCT(NOT(ISBLANK(EU$3:EU$9))*(EU$3:EU$9&lt;$KZ$3:$KZ$9))</f>
        <v>0</v>
      </c>
      <c r="EV16" s="1">
        <f>SUMPRODUCT(NOT(ISBLANK(EV$3:EV$9))*(EV$3:EV$9&lt;$LA$3:$LA$9))</f>
        <v>0</v>
      </c>
      <c r="EW16" s="1">
        <f>SUMPRODUCT(NOT(ISBLANK(EW$3:EW$9))*(EW$3:EW$9&lt;$LB$3:$LB$9))</f>
        <v>0</v>
      </c>
      <c r="EX16" s="1">
        <f>SUMPRODUCT(NOT(ISBLANK(EX$3:EX$9))*(EX$3:EX$9&lt;$LC$3:$LC$9))</f>
        <v>0</v>
      </c>
      <c r="EY16" s="1">
        <f>SUMPRODUCT(NOT(ISBLANK(EY$3:EY$9))*(EY$3:EY$9&lt;$LD$3:$LD$9))</f>
        <v>0</v>
      </c>
      <c r="EZ16" s="1">
        <f>SUMPRODUCT(NOT(ISBLANK(EZ$3:EZ$9))*(EZ$3:EZ$9&lt;$LE$3:$LE$9))</f>
        <v>0</v>
      </c>
      <c r="FA16" s="1">
        <f>SUMPRODUCT(NOT(ISBLANK(FA$3:FA$9))*(FA$3:FA$9&lt;$LF$3:$LF$9))</f>
        <v>0</v>
      </c>
      <c r="FB16" s="1">
        <f>SUMPRODUCT(NOT(ISBLANK(FB$3:FB$9))*(FB$3:FB$9&lt;$LG$3:$LG$9))</f>
        <v>0</v>
      </c>
      <c r="FC16" s="1">
        <f>SUMPRODUCT(NOT(ISBLANK(FC$3:FC$9))*(FC$3:FC$9&lt;$LH$3:$LH$9))</f>
        <v>0</v>
      </c>
      <c r="FD16" s="1"/>
      <c r="FE16" s="1">
        <f>SUMPRODUCT(NOT(ISBLANK(FE$3:FE$9))*(FE$3:FE$9&lt;$LI$3:$LI$9))</f>
        <v>0</v>
      </c>
      <c r="FF16" s="1">
        <f>SUMPRODUCT(NOT(ISBLANK(FF$3:FF$9))*(FF$3:FF$9&lt;$LJ$3:$LJ$9))</f>
        <v>0</v>
      </c>
      <c r="FG16" s="1">
        <f>SUMPRODUCT(NOT(ISBLANK(FG$3:FG$9))*(FG$3:FG$9&lt;$LK$3:$LK$9))</f>
        <v>0</v>
      </c>
      <c r="FH16" s="1">
        <f>SUMPRODUCT(NOT(ISBLANK(FH$3:FH$9))*(FH$3:FH$9&lt;$KU$3:$KU$9))</f>
        <v>0</v>
      </c>
      <c r="FI16" s="1">
        <f>SUMPRODUCT(NOT(ISBLANK(FI$3:FI$9))*(FI$3:FI$9&lt;$KV$3:$KV$9))</f>
        <v>0</v>
      </c>
      <c r="FJ16" s="1">
        <f>SUMPRODUCT(NOT(ISBLANK(FJ$3:FJ$9))*(FJ$3:FJ$9&lt;$KW$3:$KW$9))</f>
        <v>0</v>
      </c>
      <c r="FK16" s="1">
        <f>SUMPRODUCT(NOT(ISBLANK(FK$3:FK$9))*(FK$3:FK$9&lt;$KX$3:$KX$9))</f>
        <v>0</v>
      </c>
      <c r="FL16" s="1">
        <f>SUMPRODUCT(NOT(ISBLANK(FL$3:FL$9))*(FL$3:FL$9&lt;$KY$3:$KY$9))</f>
        <v>0</v>
      </c>
      <c r="FM16" s="1">
        <f>SUMPRODUCT(NOT(ISBLANK(FM$3:FM$9))*(FM$3:FM$9&lt;$KZ$3:$KZ$9))</f>
        <v>0</v>
      </c>
      <c r="FN16" s="1">
        <f>SUMPRODUCT(NOT(ISBLANK(FN$3:FN$9))*(FN$3:FN$9&lt;$LA$3:$LA$9))</f>
        <v>0</v>
      </c>
      <c r="FO16" s="1">
        <f>SUMPRODUCT(NOT(ISBLANK(FO$3:FO$9))*(FO$3:FO$9&lt;$LB$3:$LB$9))</f>
        <v>0</v>
      </c>
      <c r="FP16" s="1">
        <f>SUMPRODUCT(NOT(ISBLANK(FP$3:FP$9))*(FP$3:FP$9&lt;$LC$3:$LC$9))</f>
        <v>0</v>
      </c>
      <c r="FQ16" s="1">
        <f>SUMPRODUCT(NOT(ISBLANK(FQ$3:FQ$9))*(FQ$3:FQ$9&lt;$LD$3:$LD$9))</f>
        <v>0</v>
      </c>
      <c r="FR16" s="1">
        <f>SUMPRODUCT(NOT(ISBLANK(FR$3:FR$9))*(FR$3:FR$9&lt;$LE$3:$LE$9))</f>
        <v>0</v>
      </c>
      <c r="FS16" s="1">
        <f>SUMPRODUCT(NOT(ISBLANK(FS$3:FS$9))*(FS$3:FS$9&lt;$LF$3:$LF$9))</f>
        <v>0</v>
      </c>
      <c r="FT16" s="1">
        <f>SUMPRODUCT(NOT(ISBLANK(FT$3:FT$9))*(FT$3:FT$9&lt;$LG$3:$LG$9))</f>
        <v>0</v>
      </c>
      <c r="FU16" s="1">
        <f>SUMPRODUCT(NOT(ISBLANK(FU$3:FU$9))*(FU$3:FU$9&lt;$LH$3:$LH$9))</f>
        <v>0</v>
      </c>
      <c r="FV16" s="1"/>
      <c r="FW16" s="1">
        <f>SUMPRODUCT(NOT(ISBLANK(FW$3:FW$9))*(FW$3:FW$9&lt;$LI$3:$LI$9))</f>
        <v>0</v>
      </c>
      <c r="FX16" s="1">
        <f>SUMPRODUCT(NOT(ISBLANK(FX$3:FX$9))*(FX$3:FX$9&lt;$LJ$3:$LJ$9))</f>
        <v>0</v>
      </c>
      <c r="FY16" s="1">
        <f>SUMPRODUCT(NOT(ISBLANK(FY$3:FY$9))*(FY$3:FY$9&lt;$LK$3:$LK$9))</f>
        <v>0</v>
      </c>
      <c r="FZ16" s="1">
        <f>SUMPRODUCT(NOT(ISBLANK(FZ$3:FZ$9))*(FZ$3:FZ$9&lt;$KU$3:$KU$9))</f>
        <v>0</v>
      </c>
      <c r="GA16" s="1">
        <f>SUMPRODUCT(NOT(ISBLANK(GA$3:GA$9))*(GA$3:GA$9&lt;$KV$3:$KV$9))</f>
        <v>0</v>
      </c>
      <c r="GB16" s="1">
        <f>SUMPRODUCT(NOT(ISBLANK(GB$3:GB$9))*(GB$3:GB$9&lt;$KW$3:$KW$9))</f>
        <v>0</v>
      </c>
      <c r="GC16" s="1">
        <f>SUMPRODUCT(NOT(ISBLANK(GC$3:GC$9))*(GC$3:GC$9&lt;$KX$3:$KX$9))</f>
        <v>0</v>
      </c>
      <c r="GD16" s="1">
        <f>SUMPRODUCT(NOT(ISBLANK(GD$3:GD$9))*(GD$3:GD$9&lt;$KY$3:$KY$9))</f>
        <v>0</v>
      </c>
      <c r="GE16" s="1">
        <f>SUMPRODUCT(NOT(ISBLANK(GE$3:GE$9))*(GE$3:GE$9&lt;$KZ$3:$KZ$9))</f>
        <v>0</v>
      </c>
      <c r="GF16" s="1">
        <f>SUMPRODUCT(NOT(ISBLANK(GF$3:GF$9))*(GF$3:GF$9&lt;$LA$3:$LA$9))</f>
        <v>0</v>
      </c>
      <c r="GG16" s="1">
        <f>SUMPRODUCT(NOT(ISBLANK(GG$3:GG$9))*(GG$3:GG$9&lt;$LB$3:$LB$9))</f>
        <v>0</v>
      </c>
      <c r="GH16" s="1">
        <f>SUMPRODUCT(NOT(ISBLANK(GH$3:GH$9))*(GH$3:GH$9&lt;$LC$3:$LC$9))</f>
        <v>0</v>
      </c>
      <c r="GI16" s="1">
        <f>SUMPRODUCT(NOT(ISBLANK(GI$3:GI$9))*(GI$3:GI$9&lt;$LD$3:$LD$9))</f>
        <v>0</v>
      </c>
      <c r="GJ16" s="1">
        <f>SUMPRODUCT(NOT(ISBLANK(GJ$3:GJ$9))*(GJ$3:GJ$9&lt;$LE$3:$LE$9))</f>
        <v>0</v>
      </c>
      <c r="GK16" s="1">
        <f>SUMPRODUCT(NOT(ISBLANK(GK$3:GK$9))*(GK$3:GK$9&lt;$LF$3:$LF$9))</f>
        <v>0</v>
      </c>
      <c r="GL16" s="1">
        <f>SUMPRODUCT(NOT(ISBLANK(GL$3:GL$9))*(GL$3:GL$9&lt;$LG$3:$LG$9))</f>
        <v>0</v>
      </c>
      <c r="GM16" s="1">
        <f>SUMPRODUCT(NOT(ISBLANK(GM$3:GM$9))*(GM$3:GM$9&lt;$LH$3:$LH$9))</f>
        <v>0</v>
      </c>
      <c r="GN16" s="1"/>
      <c r="GO16" s="1">
        <f>SUMPRODUCT(NOT(ISBLANK(GO$3:GO$9))*(GO$3:GO$9&lt;$LI$3:$LI$9))</f>
        <v>0</v>
      </c>
      <c r="GP16" s="1">
        <f>SUMPRODUCT(NOT(ISBLANK(GP$3:GP$9))*(GP$3:GP$9&lt;$LJ$3:$LJ$9))</f>
        <v>0</v>
      </c>
      <c r="GQ16" s="1">
        <f>SUMPRODUCT(NOT(ISBLANK(GQ$3:GQ$9))*(GQ$3:GQ$9&lt;$LK$3:$LK$9))</f>
        <v>0</v>
      </c>
      <c r="GR16" s="1">
        <f>SUMPRODUCT(NOT(ISBLANK(GR$3:GR$9))*(GR$3:GR$9&lt;$KU$3:$KU$9))</f>
        <v>0</v>
      </c>
      <c r="GS16" s="1">
        <f>SUMPRODUCT(NOT(ISBLANK(GS$3:GS$9))*(GS$3:GS$9&lt;$KV$3:$KV$9))</f>
        <v>0</v>
      </c>
      <c r="GT16" s="1">
        <f>SUMPRODUCT(NOT(ISBLANK(GT$3:GT$9))*(GT$3:GT$9&lt;$KW$3:$KW$9))</f>
        <v>0</v>
      </c>
      <c r="GU16" s="1">
        <f>SUMPRODUCT(NOT(ISBLANK(GU$3:GU$9))*(GU$3:GU$9&lt;$KX$3:$KX$9))</f>
        <v>0</v>
      </c>
      <c r="GV16" s="1">
        <f>SUMPRODUCT(NOT(ISBLANK(GV$3:GV$9))*(GV$3:GV$9&lt;$KY$3:$KY$9))</f>
        <v>0</v>
      </c>
      <c r="GW16" s="1">
        <f>SUMPRODUCT(NOT(ISBLANK(GW$3:GW$9))*(GW$3:GW$9&lt;$KZ$3:$KZ$9))</f>
        <v>0</v>
      </c>
      <c r="GX16" s="1">
        <f>SUMPRODUCT(NOT(ISBLANK(GX$3:GX$9))*(GX$3:GX$9&lt;$LA$3:$LA$9))</f>
        <v>0</v>
      </c>
      <c r="GY16" s="1">
        <f>SUMPRODUCT(NOT(ISBLANK(GY$3:GY$9))*(GY$3:GY$9&lt;$LB$3:$LB$9))</f>
        <v>0</v>
      </c>
      <c r="GZ16" s="1">
        <f>SUMPRODUCT(NOT(ISBLANK(GZ$3:GZ$9))*(GZ$3:GZ$9&lt;$LC$3:$LC$9))</f>
        <v>0</v>
      </c>
      <c r="HA16" s="1">
        <f>SUMPRODUCT(NOT(ISBLANK(HA$3:HA$9))*(HA$3:HA$9&lt;$LD$3:$LD$9))</f>
        <v>0</v>
      </c>
      <c r="HB16" s="1">
        <f>SUMPRODUCT(NOT(ISBLANK(HB$3:HB$9))*(HB$3:HB$9&lt;$LE$3:$LE$9))</f>
        <v>0</v>
      </c>
      <c r="HC16" s="1">
        <f>SUMPRODUCT(NOT(ISBLANK(HC$3:HC$9))*(HC$3:HC$9&lt;$LF$3:$LF$9))</f>
        <v>0</v>
      </c>
      <c r="HD16" s="1">
        <f>SUMPRODUCT(NOT(ISBLANK(HD$3:HD$9))*(HD$3:HD$9&lt;$LG$3:$LG$9))</f>
        <v>0</v>
      </c>
      <c r="HE16" s="1">
        <f>SUMPRODUCT(NOT(ISBLANK(HE$3:HE$9))*(HE$3:HE$9&lt;$LH$3:$LH$9))</f>
        <v>0</v>
      </c>
      <c r="HF16" s="1"/>
      <c r="HG16" s="1">
        <f>SUMPRODUCT(NOT(ISBLANK(HG$3:HG$9))*(HG$3:HG$9&lt;$LI$3:$LI$9))</f>
        <v>0</v>
      </c>
      <c r="HH16" s="1">
        <f>SUMPRODUCT(NOT(ISBLANK(HH$3:HH$9))*(HH$3:HH$9&lt;$LJ$3:$LJ$9))</f>
        <v>0</v>
      </c>
      <c r="HI16" s="1">
        <f>SUMPRODUCT(NOT(ISBLANK(HI$3:HI$9))*(HI$3:HI$9&lt;$LK$3:$LK$9))</f>
        <v>0</v>
      </c>
      <c r="HJ16" s="1">
        <f>SUMPRODUCT(NOT(ISBLANK(HJ$3:HJ$9))*(HJ$3:HJ$9&lt;$KU$3:$KU$9))</f>
        <v>0</v>
      </c>
      <c r="HK16" s="1">
        <f>SUMPRODUCT(NOT(ISBLANK(HK$3:HK$9))*(HK$3:HK$9&lt;$KV$3:$KV$9))</f>
        <v>0</v>
      </c>
      <c r="HL16" s="1">
        <f>SUMPRODUCT(NOT(ISBLANK(HL$3:HL$9))*(HL$3:HL$9&lt;$KW$3:$KW$9))</f>
        <v>0</v>
      </c>
      <c r="HM16" s="1">
        <f>SUMPRODUCT(NOT(ISBLANK(HM$3:HM$9))*(HM$3:HM$9&lt;$KX$3:$KX$9))</f>
        <v>0</v>
      </c>
      <c r="HN16" s="1">
        <f>SUMPRODUCT(NOT(ISBLANK(HN$3:HN$9))*(HN$3:HN$9&lt;$KY$3:$KY$9))</f>
        <v>0</v>
      </c>
      <c r="HO16" s="1">
        <f>SUMPRODUCT(NOT(ISBLANK(HO$3:HO$9))*(HO$3:HO$9&lt;$KZ$3:$KZ$9))</f>
        <v>0</v>
      </c>
      <c r="HP16" s="1">
        <f>SUMPRODUCT(NOT(ISBLANK(HP$3:HP$9))*(HP$3:HP$9&lt;$LA$3:$LA$9))</f>
        <v>0</v>
      </c>
      <c r="HQ16" s="1">
        <f>SUMPRODUCT(NOT(ISBLANK(HQ$3:HQ$9))*(HQ$3:HQ$9&lt;$LB$3:$LB$9))</f>
        <v>0</v>
      </c>
      <c r="HR16" s="1">
        <f>SUMPRODUCT(NOT(ISBLANK(HR$3:HR$9))*(HR$3:HR$9&lt;$LC$3:$LC$9))</f>
        <v>0</v>
      </c>
      <c r="HS16" s="1">
        <f>SUMPRODUCT(NOT(ISBLANK(HS$3:HS$9))*(HS$3:HS$9&lt;$LD$3:$LD$9))</f>
        <v>0</v>
      </c>
      <c r="HT16" s="1">
        <f>SUMPRODUCT(NOT(ISBLANK(HT$3:HT$9))*(HT$3:HT$9&lt;$LE$3:$LE$9))</f>
        <v>0</v>
      </c>
      <c r="HU16" s="1">
        <f>SUMPRODUCT(NOT(ISBLANK(HU$3:HU$9))*(HU$3:HU$9&lt;$LF$3:$LF$9))</f>
        <v>0</v>
      </c>
      <c r="HV16" s="1">
        <f>SUMPRODUCT(NOT(ISBLANK(HV$3:HV$9))*(HV$3:HV$9&lt;$LG$3:$LG$9))</f>
        <v>0</v>
      </c>
      <c r="HW16" s="1">
        <f>SUMPRODUCT(NOT(ISBLANK(HW$3:HW$9))*(HW$3:HW$9&lt;$LH$3:$LH$9))</f>
        <v>0</v>
      </c>
      <c r="HX16" s="1"/>
      <c r="HY16" s="1">
        <f>SUMPRODUCT(NOT(ISBLANK(HY$3:HY$9))*(HY$3:HY$9&lt;$LI$3:$LI$9))</f>
        <v>0</v>
      </c>
      <c r="HZ16" s="1">
        <f>SUMPRODUCT(NOT(ISBLANK(HZ$3:HZ$9))*(HZ$3:HZ$9&lt;$LJ$3:$LJ$9))</f>
        <v>0</v>
      </c>
      <c r="IA16" s="1">
        <f>SUMPRODUCT(NOT(ISBLANK(IA$3:IA$9))*(IA$3:IA$9&lt;$LK$3:$LK$9))</f>
        <v>0</v>
      </c>
      <c r="IB16" s="1">
        <f>SUMPRODUCT(NOT(ISBLANK(IB$3:IB$9))*(IB$3:IB$9&lt;$KU$3:$KU$9))</f>
        <v>0</v>
      </c>
      <c r="IC16" s="1">
        <f>SUMPRODUCT(NOT(ISBLANK(IC$3:IC$9))*(IC$3:IC$9&lt;$KV$3:$KV$9))</f>
        <v>0</v>
      </c>
      <c r="ID16" s="1">
        <f>SUMPRODUCT(NOT(ISBLANK(ID$3:ID$9))*(ID$3:ID$9&lt;$KW$3:$KW$9))</f>
        <v>0</v>
      </c>
      <c r="IE16" s="1">
        <f>SUMPRODUCT(NOT(ISBLANK(IE$3:IE$9))*(IE$3:IE$9&lt;$KX$3:$KX$9))</f>
        <v>0</v>
      </c>
      <c r="IF16" s="1">
        <f>SUMPRODUCT(NOT(ISBLANK(IF$3:IF$9))*(IF$3:IF$9&lt;$KY$3:$KY$9))</f>
        <v>0</v>
      </c>
      <c r="IG16" s="1">
        <f>SUMPRODUCT(NOT(ISBLANK(IG$3:IG$9))*(IG$3:IG$9&lt;$KZ$3:$KZ$9))</f>
        <v>0</v>
      </c>
      <c r="IH16" s="1">
        <f>SUMPRODUCT(NOT(ISBLANK(IH$3:IH$9))*(IH$3:IH$9&lt;$LA$3:$LA$9))</f>
        <v>0</v>
      </c>
      <c r="II16" s="1">
        <f>SUMPRODUCT(NOT(ISBLANK(II$3:II$9))*(II$3:II$9&lt;$LB$3:$LB$9))</f>
        <v>0</v>
      </c>
      <c r="IJ16" s="1">
        <f>SUMPRODUCT(NOT(ISBLANK(IJ$3:IJ$9))*(IJ$3:IJ$9&lt;$LC$3:$LC$9))</f>
        <v>0</v>
      </c>
      <c r="IK16" s="1">
        <f>SUMPRODUCT(NOT(ISBLANK(IK$3:IK$9))*(IK$3:IK$9&lt;$LD$3:$LD$9))</f>
        <v>0</v>
      </c>
      <c r="IL16" s="1">
        <f>SUMPRODUCT(NOT(ISBLANK(IL$3:IL$9))*(IL$3:IL$9&lt;$LE$3:$LE$9))</f>
        <v>0</v>
      </c>
      <c r="IM16" s="1">
        <f>SUMPRODUCT(NOT(ISBLANK(IM$3:IM$9))*(IM$3:IM$9&lt;$LF$3:$LF$9))</f>
        <v>0</v>
      </c>
      <c r="IN16" s="1">
        <f>SUMPRODUCT(NOT(ISBLANK(IN$3:IN$9))*(IN$3:IN$9&lt;$LG$3:$LG$9))</f>
        <v>0</v>
      </c>
      <c r="IO16" s="1">
        <f>SUMPRODUCT(NOT(ISBLANK(IO$3:IO$9))*(IO$3:IO$9&lt;$LH$3:$LH$9))</f>
        <v>0</v>
      </c>
      <c r="IP16" s="1"/>
      <c r="IQ16" s="1">
        <f>SUMPRODUCT(NOT(ISBLANK(IQ$3:IQ$9))*(IQ$3:IQ$9&lt;$LI$3:$LI$9))</f>
        <v>0</v>
      </c>
      <c r="IR16" s="1">
        <f>SUMPRODUCT(NOT(ISBLANK(IR$3:IR$9))*(IR$3:IR$9&lt;$LJ$3:$LJ$9))</f>
        <v>0</v>
      </c>
      <c r="IS16" s="1">
        <f>SUMPRODUCT(NOT(ISBLANK(IS$3:IS$9))*(IS$3:IS$9&lt;$LK$3:$LK$9))</f>
        <v>0</v>
      </c>
      <c r="IT16" s="1">
        <f>SUMPRODUCT(NOT(ISBLANK(IT$3:IT$9))*(IT$3:IT$9&lt;$KU$3:$KU$9))</f>
        <v>0</v>
      </c>
      <c r="IU16" s="1">
        <f>SUMPRODUCT(NOT(ISBLANK(IU$3:IU$9))*(IU$3:IU$9&lt;$KV$3:$KV$9))</f>
        <v>0</v>
      </c>
      <c r="IV16" s="1">
        <f>SUMPRODUCT(NOT(ISBLANK(IV$3:IV$9))*(IV$3:IV$9&lt;$KW$3:$KW$9))</f>
        <v>0</v>
      </c>
      <c r="IW16" s="1">
        <f>SUMPRODUCT(NOT(ISBLANK(IW$3:IW$9))*(IW$3:IW$9&lt;$KX$3:$KX$9))</f>
        <v>0</v>
      </c>
      <c r="IX16" s="1">
        <f>SUMPRODUCT(NOT(ISBLANK(IX$3:IX$9))*(IX$3:IX$9&lt;$KY$3:$KY$9))</f>
        <v>0</v>
      </c>
      <c r="IY16" s="1">
        <f>SUMPRODUCT(NOT(ISBLANK(IY$3:IY$9))*(IY$3:IY$9&lt;$KZ$3:$KZ$9))</f>
        <v>0</v>
      </c>
      <c r="IZ16" s="1">
        <f>SUMPRODUCT(NOT(ISBLANK(IZ$3:IZ$9))*(IZ$3:IZ$9&lt;$LA$3:$LA$9))</f>
        <v>0</v>
      </c>
      <c r="JA16" s="1">
        <f>SUMPRODUCT(NOT(ISBLANK(JA$3:JA$9))*(JA$3:JA$9&lt;$LB$3:$LB$9))</f>
        <v>0</v>
      </c>
      <c r="JB16" s="1">
        <f>SUMPRODUCT(NOT(ISBLANK(JB$3:JB$9))*(JB$3:JB$9&lt;$LC$3:$LC$9))</f>
        <v>0</v>
      </c>
      <c r="JC16" s="1">
        <f>SUMPRODUCT(NOT(ISBLANK(JC$3:JC$9))*(JC$3:JC$9&lt;$LD$3:$LD$9))</f>
        <v>0</v>
      </c>
      <c r="JD16" s="1">
        <f>SUMPRODUCT(NOT(ISBLANK(JD$3:JD$9))*(JD$3:JD$9&lt;$LE$3:$LE$9))</f>
        <v>0</v>
      </c>
      <c r="JE16" s="1">
        <f>SUMPRODUCT(NOT(ISBLANK(JE$3:JE$9))*(JE$3:JE$9&lt;$LF$3:$LF$9))</f>
        <v>0</v>
      </c>
      <c r="JF16" s="1">
        <f>SUMPRODUCT(NOT(ISBLANK(JF$3:JF$9))*(JF$3:JF$9&lt;$LG$3:$LG$9))</f>
        <v>0</v>
      </c>
      <c r="JG16" s="1">
        <f>SUMPRODUCT(NOT(ISBLANK(JG$3:JG$9))*(JG$3:JG$9&lt;$LH$3:$LH$9))</f>
        <v>0</v>
      </c>
      <c r="JH16" s="1"/>
      <c r="JI16" s="1">
        <f>SUMPRODUCT(NOT(ISBLANK(JI$3:JI$9))*(JI$3:JI$9&lt;$LI$3:$LI$9))</f>
        <v>0</v>
      </c>
      <c r="JJ16" s="1">
        <f>SUMPRODUCT(NOT(ISBLANK(JJ$3:JJ$9))*(JJ$3:JJ$9&lt;$LJ$3:$LJ$9))</f>
        <v>0</v>
      </c>
      <c r="JK16" s="1">
        <f>SUMPRODUCT(NOT(ISBLANK(JK$3:JK$9))*(JK$3:JK$9&lt;$LK$3:$LK$9))</f>
        <v>0</v>
      </c>
      <c r="JL16" s="1">
        <f>SUMPRODUCT(NOT(ISBLANK(JL$3:JL$9))*(JL$3:JL$9&lt;$KU$3:$KU$9))</f>
        <v>0</v>
      </c>
      <c r="JM16" s="1">
        <f>SUMPRODUCT(NOT(ISBLANK(JM$3:JM$9))*(JM$3:JM$9&lt;$KV$3:$KV$9))</f>
        <v>0</v>
      </c>
      <c r="JN16" s="1">
        <f>SUMPRODUCT(NOT(ISBLANK(JN$3:JN$9))*(JN$3:JN$9&lt;$KW$3:$KW$9))</f>
        <v>0</v>
      </c>
      <c r="JO16" s="1">
        <f>SUMPRODUCT(NOT(ISBLANK(JO$3:JO$9))*(JO$3:JO$9&lt;$KX$3:$KX$9))</f>
        <v>0</v>
      </c>
      <c r="JP16" s="1">
        <f>SUMPRODUCT(NOT(ISBLANK(JP$3:JP$9))*(JP$3:JP$9&lt;$KY$3:$KY$9))</f>
        <v>0</v>
      </c>
      <c r="JQ16" s="1">
        <f>SUMPRODUCT(NOT(ISBLANK(JQ$3:JQ$9))*(JQ$3:JQ$9&lt;$KZ$3:$KZ$9))</f>
        <v>0</v>
      </c>
      <c r="JR16" s="1">
        <f>SUMPRODUCT(NOT(ISBLANK(JR$3:JR$9))*(JR$3:JR$9&lt;$LA$3:$LA$9))</f>
        <v>0</v>
      </c>
      <c r="JS16" s="1">
        <f>SUMPRODUCT(NOT(ISBLANK(JS$3:JS$9))*(JS$3:JS$9&lt;$LB$3:$LB$9))</f>
        <v>0</v>
      </c>
      <c r="JT16" s="1">
        <f>SUMPRODUCT(NOT(ISBLANK(JT$3:JT$9))*(JT$3:JT$9&lt;$LC$3:$LC$9))</f>
        <v>0</v>
      </c>
      <c r="JU16" s="1">
        <f>SUMPRODUCT(NOT(ISBLANK(JU$3:JU$9))*(JU$3:JU$9&lt;$LD$3:$LD$9))</f>
        <v>0</v>
      </c>
      <c r="JV16" s="1">
        <f>SUMPRODUCT(NOT(ISBLANK(JV$3:JV$9))*(JV$3:JV$9&lt;$LE$3:$LE$9))</f>
        <v>0</v>
      </c>
      <c r="JW16" s="1">
        <f>SUMPRODUCT(NOT(ISBLANK(JW$3:JW$9))*(JW$3:JW$9&lt;$LF$3:$LF$9))</f>
        <v>0</v>
      </c>
      <c r="JX16" s="1">
        <f>SUMPRODUCT(NOT(ISBLANK(JX$3:JX$9))*(JX$3:JX$9&lt;$LG$3:$LG$9))</f>
        <v>0</v>
      </c>
      <c r="JY16" s="1">
        <f>SUMPRODUCT(NOT(ISBLANK(JY$3:JY$9))*(JY$3:JY$9&lt;$LH$3:$LH$9))</f>
        <v>0</v>
      </c>
      <c r="JZ16" s="1"/>
      <c r="KA16" s="1">
        <f>SUMPRODUCT(NOT(ISBLANK(KA$3:KA$9))*(KA$3:KA$9&lt;$LI$3:$LI$9))</f>
        <v>0</v>
      </c>
      <c r="KB16" s="1">
        <f>SUMPRODUCT(NOT(ISBLANK(KB$3:KB$9))*(KB$3:KB$9&lt;$LJ$3:$LJ$9))</f>
        <v>0</v>
      </c>
      <c r="KC16" s="1">
        <f>SUMPRODUCT(NOT(ISBLANK(KC$3:KC$9))*(KC$3:KC$9&lt;$LK$3:$LK$9))</f>
        <v>0</v>
      </c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</row>
    <row r="17" spans="1:340">
      <c r="A17" s="1" t="s">
        <v>13</v>
      </c>
      <c r="B17" s="1">
        <f>SUMPRODUCT((NOT(ISBLANK(B$3:B$9))*(B$3:B$9&gt;$KU$3:$KU$9))+ISBLANK(B$3:B$9))</f>
        <v>0</v>
      </c>
      <c r="C17" s="1">
        <f>SUMPRODUCT((NOT(ISBLANK(C$3:C$9))*(C$3:C$9&gt;$KV$3:$KV$9))+ISBLANK(C$3:C$9))</f>
        <v>0</v>
      </c>
      <c r="D17" s="1">
        <f>SUMPRODUCT((NOT(ISBLANK(D$3:D$9))*(D$3:D$9&gt;$KW$3:$KW$9))+ISBLANK(D$3:D$9))</f>
        <v>0</v>
      </c>
      <c r="E17" s="1">
        <f>SUMPRODUCT((NOT(ISBLANK(E$3:E$9))*(E$3:E$9&gt;$KX$3:$KX$9))+ISBLANK(E$3:E$9))</f>
        <v>0</v>
      </c>
      <c r="F17" s="1">
        <f>SUMPRODUCT((NOT(ISBLANK(F$3:F$9))*(F$3:F$9&gt;$KY$3:$KY$9))+ISBLANK(F$3:F$9))</f>
        <v>0</v>
      </c>
      <c r="G17" s="1">
        <f>SUMPRODUCT((NOT(ISBLANK(G$3:G$9))*(G$3:G$9&gt;$KZ$3:$KZ$9))+ISBLANK(G$3:G$9))</f>
        <v>0</v>
      </c>
      <c r="H17" s="1">
        <f>SUMPRODUCT((NOT(ISBLANK(H$3:H$9))*(H$3:H$9&gt;$LA$3:$LA$9))+ISBLANK(H$3:H$9))</f>
        <v>0</v>
      </c>
      <c r="I17" s="1">
        <f>SUMPRODUCT((NOT(ISBLANK(I$3:I$9))*(I$3:I$9&gt;$LB$3:$LB$9))+ISBLANK(I$3:I$9))</f>
        <v>0</v>
      </c>
      <c r="J17" s="1">
        <f>SUMPRODUCT((NOT(ISBLANK(J$3:J$9))*(J$3:J$9&gt;$LC$3:$LC$9))+ISBLANK(J$3:J$9))</f>
        <v>0</v>
      </c>
      <c r="K17" s="1">
        <f>SUMPRODUCT((NOT(ISBLANK(K$3:K$9))*(K$3:K$9&gt;$LD$3:$LD$9))+ISBLANK(K$3:K$9))</f>
        <v>0</v>
      </c>
      <c r="L17" s="1">
        <f>SUMPRODUCT((NOT(ISBLANK(L$3:L$9))*(L$3:L$9&gt;$LE$3:$LE$9))+ISBLANK(L$3:L$9))</f>
        <v>0</v>
      </c>
      <c r="M17" s="1">
        <f>SUMPRODUCT((NOT(ISBLANK(M$3:M$9))*(M$3:M$9&gt;$LF$3:$LF$9))+ISBLANK(M$3:M$9))</f>
        <v>0</v>
      </c>
      <c r="N17" s="1">
        <f>SUMPRODUCT((NOT(ISBLANK(N$3:N$9))*(N$3:N$9&gt;$LG$3:$LG$9))+ISBLANK(N$3:N$9))</f>
        <v>0</v>
      </c>
      <c r="O17" s="1">
        <f>SUMPRODUCT((NOT(ISBLANK(O$3:O$9))*(O$3:O$9&gt;$LH$3:$LH$9))+ISBLANK(O$3:O$9))</f>
        <v>0</v>
      </c>
      <c r="P17" s="1"/>
      <c r="Q17" s="1">
        <f>SUMPRODUCT((NOT(ISBLANK(Q$3:Q$9))*(Q$3:Q$9&gt;$LI$3:$LI$9))+ISBLANK(Q$3:Q$9))</f>
        <v>0</v>
      </c>
      <c r="R17" s="1">
        <f>SUMPRODUCT((NOT(ISBLANK(R$3:R$9))*(R$3:R$9&gt;$LJ$3:$LJ$9))+ISBLANK(R$3:R$9))</f>
        <v>0</v>
      </c>
      <c r="S17" s="1">
        <f>SUMPRODUCT((NOT(ISBLANK(S$3:S$9))*(S$3:S$9&gt;$LK$3:$LK$9))+ISBLANK(S$3:S$9))</f>
        <v>0</v>
      </c>
      <c r="T17" s="1">
        <f>SUMPRODUCT((NOT(ISBLANK(T$3:T$9))*(T$3:T$9&gt;$KU$3:$KU$9))+ISBLANK(T$3:T$9))</f>
        <v>0</v>
      </c>
      <c r="U17" s="1">
        <f>SUMPRODUCT((NOT(ISBLANK(U$3:U$9))*(U$3:U$9&gt;$KV$3:$KV$9))+ISBLANK(U$3:U$9))</f>
        <v>0</v>
      </c>
      <c r="V17" s="1">
        <f>SUMPRODUCT((NOT(ISBLANK(V$3:V$9))*(V$3:V$9&gt;$KW$3:$KW$9))+ISBLANK(V$3:V$9))</f>
        <v>0</v>
      </c>
      <c r="W17" s="1">
        <f>SUMPRODUCT((NOT(ISBLANK(W$3:W$9))*(W$3:W$9&gt;$KX$3:$KX$9))+ISBLANK(W$3:W$9))</f>
        <v>0</v>
      </c>
      <c r="X17" s="1">
        <f>SUMPRODUCT((NOT(ISBLANK(X$3:X$9))*(X$3:X$9&gt;$KY$3:$KY$9))+ISBLANK(X$3:X$9))</f>
        <v>0</v>
      </c>
      <c r="Y17" s="1">
        <f>SUMPRODUCT((NOT(ISBLANK(Y$3:Y$9))*(Y$3:Y$9&gt;$KZ$3:$KZ$9))+ISBLANK(Y$3:Y$9))</f>
        <v>0</v>
      </c>
      <c r="Z17" s="1">
        <f>SUMPRODUCT((NOT(ISBLANK(Z$3:Z$9))*(Z$3:Z$9&gt;$LA$3:$LA$9))+ISBLANK(Z$3:Z$9))</f>
        <v>0</v>
      </c>
      <c r="AA17" s="1">
        <f>SUMPRODUCT((NOT(ISBLANK(AA$3:AA$9))*(AA$3:AA$9&gt;$LB$3:$LB$9))+ISBLANK(AA$3:AA$9))</f>
        <v>0</v>
      </c>
      <c r="AB17" s="1">
        <f>SUMPRODUCT((NOT(ISBLANK(AB$3:AB$9))*(AB$3:AB$9&gt;$LC$3:$LC$9))+ISBLANK(AB$3:AB$9))</f>
        <v>0</v>
      </c>
      <c r="AC17" s="1">
        <f>SUMPRODUCT((NOT(ISBLANK(AC$3:AC$9))*(AC$3:AC$9&gt;$LD$3:$LD$9))+ISBLANK(AC$3:AC$9))</f>
        <v>0</v>
      </c>
      <c r="AD17" s="1">
        <f>SUMPRODUCT((NOT(ISBLANK(AD$3:AD$9))*(AD$3:AD$9&gt;$LE$3:$LE$9))+ISBLANK(AD$3:AD$9))</f>
        <v>0</v>
      </c>
      <c r="AE17" s="1">
        <f>SUMPRODUCT((NOT(ISBLANK(AE$3:AE$9))*(AE$3:AE$9&gt;$LF$3:$LF$9))+ISBLANK(AE$3:AE$9))</f>
        <v>0</v>
      </c>
      <c r="AF17" s="1">
        <f>SUMPRODUCT((NOT(ISBLANK(AF$3:AF$9))*(AF$3:AF$9&gt;$LG$3:$LG$9))+ISBLANK(AF$3:AF$9))</f>
        <v>0</v>
      </c>
      <c r="AG17" s="1">
        <f>SUMPRODUCT((NOT(ISBLANK(AG$3:AG$9))*(AG$3:AG$9&gt;$LH$3:$LH$9))+ISBLANK(AG$3:AG$9))</f>
        <v>0</v>
      </c>
      <c r="AH17" s="1"/>
      <c r="AI17" s="1">
        <f>SUMPRODUCT((NOT(ISBLANK(AI$3:AI$9))*(AI$3:AI$9&gt;$LI$3:$LI$9))+ISBLANK(AI$3:AI$9))</f>
        <v>0</v>
      </c>
      <c r="AJ17" s="1">
        <f>SUMPRODUCT((NOT(ISBLANK(AJ$3:AJ$9))*(AJ$3:AJ$9&gt;$LJ$3:$LJ$9))+ISBLANK(AJ$3:AJ$9))</f>
        <v>0</v>
      </c>
      <c r="AK17" s="1">
        <f>SUMPRODUCT((NOT(ISBLANK(AK$3:AK$9))*(AK$3:AK$9&gt;$LK$3:$LK$9))+ISBLANK(AK$3:AK$9))</f>
        <v>0</v>
      </c>
      <c r="AL17" s="1">
        <f>SUMPRODUCT((NOT(ISBLANK(AL$3:AL$9))*(AL$3:AL$9&gt;$KU$3:$KU$9))+ISBLANK(AL$3:AL$9))</f>
        <v>0</v>
      </c>
      <c r="AM17" s="1">
        <f>SUMPRODUCT((NOT(ISBLANK(AM$3:AM$9))*(AM$3:AM$9&gt;$KV$3:$KV$9))+ISBLANK(AM$3:AM$9))</f>
        <v>0</v>
      </c>
      <c r="AN17" s="1">
        <f>SUMPRODUCT((NOT(ISBLANK(AN$3:AN$9))*(AN$3:AN$9&gt;$KW$3:$KW$9))+ISBLANK(AN$3:AN$9))</f>
        <v>0</v>
      </c>
      <c r="AO17" s="1">
        <f>SUMPRODUCT((NOT(ISBLANK(AO$3:AO$9))*(AO$3:AO$9&gt;$KX$3:$KX$9))+ISBLANK(AO$3:AO$9))</f>
        <v>0</v>
      </c>
      <c r="AP17" s="1">
        <f>SUMPRODUCT((NOT(ISBLANK(AP$3:AP$9))*(AP$3:AP$9&gt;$KY$3:$KY$9))+ISBLANK(AP$3:AP$9))</f>
        <v>0</v>
      </c>
      <c r="AQ17" s="1">
        <f>SUMPRODUCT((NOT(ISBLANK(AQ$3:AQ$9))*(AQ$3:AQ$9&gt;$KZ$3:$KZ$9))+ISBLANK(AQ$3:AQ$9))</f>
        <v>0</v>
      </c>
      <c r="AR17" s="1">
        <f>SUMPRODUCT((NOT(ISBLANK(AR$3:AR$9))*(AR$3:AR$9&gt;$LA$3:$LA$9))+ISBLANK(AR$3:AR$9))</f>
        <v>0</v>
      </c>
      <c r="AS17" s="1">
        <f>SUMPRODUCT((NOT(ISBLANK(AS$3:AS$9))*(AS$3:AS$9&gt;$LB$3:$LB$9))+ISBLANK(AS$3:AS$9))</f>
        <v>0</v>
      </c>
      <c r="AT17" s="1">
        <f>SUMPRODUCT((NOT(ISBLANK(AT$3:AT$9))*(AT$3:AT$9&gt;$LC$3:$LC$9))+ISBLANK(AT$3:AT$9))</f>
        <v>0</v>
      </c>
      <c r="AU17" s="1">
        <f>SUMPRODUCT((NOT(ISBLANK(AU$3:AU$9))*(AU$3:AU$9&gt;$LD$3:$LD$9))+ISBLANK(AU$3:AU$9))</f>
        <v>0</v>
      </c>
      <c r="AV17" s="1">
        <f>SUMPRODUCT((NOT(ISBLANK(AV$3:AV$9))*(AV$3:AV$9&gt;$LE$3:$LE$9))+ISBLANK(AV$3:AV$9))</f>
        <v>0</v>
      </c>
      <c r="AW17" s="1">
        <f>SUMPRODUCT((NOT(ISBLANK(AW$3:AW$9))*(AW$3:AW$9&gt;$LF$3:$LF$9))+ISBLANK(AW$3:AW$9))</f>
        <v>0</v>
      </c>
      <c r="AX17" s="1">
        <f>SUMPRODUCT((NOT(ISBLANK(AX$3:AX$9))*(AX$3:AX$9&gt;$LG$3:$LG$9))+ISBLANK(AX$3:AX$9))</f>
        <v>0</v>
      </c>
      <c r="AY17" s="1">
        <f>SUMPRODUCT((NOT(ISBLANK(AY$3:AY$9))*(AY$3:AY$9&gt;$LH$3:$LH$9))+ISBLANK(AY$3:AY$9))</f>
        <v>0</v>
      </c>
      <c r="AZ17" s="1"/>
      <c r="BA17" s="1">
        <f>SUMPRODUCT((NOT(ISBLANK(BA$3:BA$9))*(BA$3:BA$9&gt;$LI$3:$LI$9))+ISBLANK(BA$3:BA$9))</f>
        <v>0</v>
      </c>
      <c r="BB17" s="1">
        <f>SUMPRODUCT((NOT(ISBLANK(BB$3:BB$9))*(BB$3:BB$9&gt;$LJ$3:$LJ$9))+ISBLANK(BB$3:BB$9))</f>
        <v>0</v>
      </c>
      <c r="BC17" s="1">
        <f>SUMPRODUCT((NOT(ISBLANK(BC$3:BC$9))*(BC$3:BC$9&gt;$LK$3:$LK$9))+ISBLANK(BC$3:BC$9))</f>
        <v>0</v>
      </c>
      <c r="BD17" s="1">
        <f>SUMPRODUCT((NOT(ISBLANK(BD$3:BD$9))*(BD$3:BD$9&gt;$KU$3:$KU$9))+ISBLANK(BD$3:BD$9))</f>
        <v>0</v>
      </c>
      <c r="BE17" s="1">
        <f>SUMPRODUCT((NOT(ISBLANK(BE$3:BE$9))*(BE$3:BE$9&gt;$KV$3:$KV$9))+ISBLANK(BE$3:BE$9))</f>
        <v>0</v>
      </c>
      <c r="BF17" s="1">
        <f>SUMPRODUCT((NOT(ISBLANK(BF$3:BF$9))*(BF$3:BF$9&gt;$KW$3:$KW$9))+ISBLANK(BF$3:BF$9))</f>
        <v>0</v>
      </c>
      <c r="BG17" s="1">
        <f>SUMPRODUCT((NOT(ISBLANK(BG$3:BG$9))*(BG$3:BG$9&gt;$KX$3:$KX$9))+ISBLANK(BG$3:BG$9))</f>
        <v>0</v>
      </c>
      <c r="BH17" s="1">
        <f>SUMPRODUCT((NOT(ISBLANK(BH$3:BH$9))*(BH$3:BH$9&gt;$KY$3:$KY$9))+ISBLANK(BH$3:BH$9))</f>
        <v>0</v>
      </c>
      <c r="BI17" s="1">
        <f>SUMPRODUCT((NOT(ISBLANK(BI$3:BI$9))*(BI$3:BI$9&gt;$KZ$3:$KZ$9))+ISBLANK(BI$3:BI$9))</f>
        <v>0</v>
      </c>
      <c r="BJ17" s="1">
        <f>SUMPRODUCT((NOT(ISBLANK(BJ$3:BJ$9))*(BJ$3:BJ$9&gt;$LA$3:$LA$9))+ISBLANK(BJ$3:BJ$9))</f>
        <v>0</v>
      </c>
      <c r="BK17" s="1">
        <f>SUMPRODUCT((NOT(ISBLANK(BK$3:BK$9))*(BK$3:BK$9&gt;$LB$3:$LB$9))+ISBLANK(BK$3:BK$9))</f>
        <v>0</v>
      </c>
      <c r="BL17" s="1">
        <f>SUMPRODUCT((NOT(ISBLANK(BL$3:BL$9))*(BL$3:BL$9&gt;$LC$3:$LC$9))+ISBLANK(BL$3:BL$9))</f>
        <v>0</v>
      </c>
      <c r="BM17" s="1">
        <f>SUMPRODUCT((NOT(ISBLANK(BM$3:BM$9))*(BM$3:BM$9&gt;$LD$3:$LD$9))+ISBLANK(BM$3:BM$9))</f>
        <v>0</v>
      </c>
      <c r="BN17" s="1">
        <f>SUMPRODUCT((NOT(ISBLANK(BN$3:BN$9))*(BN$3:BN$9&gt;$LE$3:$LE$9))+ISBLANK(BN$3:BN$9))</f>
        <v>0</v>
      </c>
      <c r="BO17" s="1">
        <f>SUMPRODUCT((NOT(ISBLANK(BO$3:BO$9))*(BO$3:BO$9&gt;$LF$3:$LF$9))+ISBLANK(BO$3:BO$9))</f>
        <v>0</v>
      </c>
      <c r="BP17" s="1">
        <f>SUMPRODUCT((NOT(ISBLANK(BP$3:BP$9))*(BP$3:BP$9&gt;$LG$3:$LG$9))+ISBLANK(BP$3:BP$9))</f>
        <v>0</v>
      </c>
      <c r="BQ17" s="1">
        <f>SUMPRODUCT((NOT(ISBLANK(BQ$3:BQ$9))*(BQ$3:BQ$9&gt;$LH$3:$LH$9))+ISBLANK(BQ$3:BQ$9))</f>
        <v>0</v>
      </c>
      <c r="BR17" s="1"/>
      <c r="BS17" s="1">
        <f>SUMPRODUCT((NOT(ISBLANK(BS$3:BS$9))*(BS$3:BS$9&gt;$LI$3:$LI$9))+ISBLANK(BS$3:BS$9))</f>
        <v>0</v>
      </c>
      <c r="BT17" s="1">
        <f>SUMPRODUCT((NOT(ISBLANK(BT$3:BT$9))*(BT$3:BT$9&gt;$LJ$3:$LJ$9))+ISBLANK(BT$3:BT$9))</f>
        <v>0</v>
      </c>
      <c r="BU17" s="1">
        <f>SUMPRODUCT((NOT(ISBLANK(BU$3:BU$9))*(BU$3:BU$9&gt;$LK$3:$LK$9))+ISBLANK(BU$3:BU$9))</f>
        <v>0</v>
      </c>
      <c r="BV17" s="1">
        <f>SUMPRODUCT((NOT(ISBLANK(BV$3:BV$9))*(BV$3:BV$9&gt;$KU$3:$KU$9))+ISBLANK(BV$3:BV$9))</f>
        <v>0</v>
      </c>
      <c r="BW17" s="1">
        <f>SUMPRODUCT((NOT(ISBLANK(BW$3:BW$9))*(BW$3:BW$9&gt;$KV$3:$KV$9))+ISBLANK(BW$3:BW$9))</f>
        <v>0</v>
      </c>
      <c r="BX17" s="1">
        <f>SUMPRODUCT((NOT(ISBLANK(BX$3:BX$9))*(BX$3:BX$9&gt;$KW$3:$KW$9))+ISBLANK(BX$3:BX$9))</f>
        <v>0</v>
      </c>
      <c r="BY17" s="1">
        <f>SUMPRODUCT((NOT(ISBLANK(BY$3:BY$9))*(BY$3:BY$9&gt;$KX$3:$KX$9))+ISBLANK(BY$3:BY$9))</f>
        <v>0</v>
      </c>
      <c r="BZ17" s="1">
        <f>SUMPRODUCT((NOT(ISBLANK(BZ$3:BZ$9))*(BZ$3:BZ$9&gt;$KY$3:$KY$9))+ISBLANK(BZ$3:BZ$9))</f>
        <v>0</v>
      </c>
      <c r="CA17" s="1">
        <f>SUMPRODUCT((NOT(ISBLANK(CA$3:CA$9))*(CA$3:CA$9&gt;$KZ$3:$KZ$9))+ISBLANK(CA$3:CA$9))</f>
        <v>0</v>
      </c>
      <c r="CB17" s="1">
        <f>SUMPRODUCT((NOT(ISBLANK(CB$3:CB$9))*(CB$3:CB$9&gt;$LA$3:$LA$9))+ISBLANK(CB$3:CB$9))</f>
        <v>0</v>
      </c>
      <c r="CC17" s="1">
        <f>SUMPRODUCT((NOT(ISBLANK(CC$3:CC$9))*(CC$3:CC$9&gt;$LB$3:$LB$9))+ISBLANK(CC$3:CC$9))</f>
        <v>0</v>
      </c>
      <c r="CD17" s="1">
        <f>SUMPRODUCT((NOT(ISBLANK(CD$3:CD$9))*(CD$3:CD$9&gt;$LC$3:$LC$9))+ISBLANK(CD$3:CD$9))</f>
        <v>0</v>
      </c>
      <c r="CE17" s="1">
        <f>SUMPRODUCT((NOT(ISBLANK(CE$3:CE$9))*(CE$3:CE$9&gt;$LD$3:$LD$9))+ISBLANK(CE$3:CE$9))</f>
        <v>0</v>
      </c>
      <c r="CF17" s="1">
        <f>SUMPRODUCT((NOT(ISBLANK(CF$3:CF$9))*(CF$3:CF$9&gt;$LE$3:$LE$9))+ISBLANK(CF$3:CF$9))</f>
        <v>0</v>
      </c>
      <c r="CG17" s="1">
        <f>SUMPRODUCT((NOT(ISBLANK(CG$3:CG$9))*(CG$3:CG$9&gt;$LF$3:$LF$9))+ISBLANK(CG$3:CG$9))</f>
        <v>0</v>
      </c>
      <c r="CH17" s="1">
        <f>SUMPRODUCT((NOT(ISBLANK(CH$3:CH$9))*(CH$3:CH$9&gt;$LG$3:$LG$9))+ISBLANK(CH$3:CH$9))</f>
        <v>0</v>
      </c>
      <c r="CI17" s="1">
        <f>SUMPRODUCT((NOT(ISBLANK(CI$3:CI$9))*(CI$3:CI$9&gt;$LH$3:$LH$9))+ISBLANK(CI$3:CI$9))</f>
        <v>0</v>
      </c>
      <c r="CJ17" s="1"/>
      <c r="CK17" s="1">
        <f>SUMPRODUCT((NOT(ISBLANK(CK$3:CK$9))*(CK$3:CK$9&gt;$LI$3:$LI$9))+ISBLANK(CK$3:CK$9))</f>
        <v>0</v>
      </c>
      <c r="CL17" s="1">
        <f>SUMPRODUCT((NOT(ISBLANK(CL$3:CL$9))*(CL$3:CL$9&gt;$LJ$3:$LJ$9))+ISBLANK(CL$3:CL$9))</f>
        <v>0</v>
      </c>
      <c r="CM17" s="1">
        <f>SUMPRODUCT((NOT(ISBLANK(CM$3:CM$9))*(CM$3:CM$9&gt;$LK$3:$LK$9))+ISBLANK(CM$3:CM$9))</f>
        <v>0</v>
      </c>
      <c r="CN17" s="1">
        <f>SUMPRODUCT((NOT(ISBLANK(CN$3:CN$9))*(CN$3:CN$9&gt;$KU$3:$KU$9))+ISBLANK(CN$3:CN$9))</f>
        <v>0</v>
      </c>
      <c r="CO17" s="1">
        <f>SUMPRODUCT((NOT(ISBLANK(CO$3:CO$9))*(CO$3:CO$9&gt;$KV$3:$KV$9))+ISBLANK(CO$3:CO$9))</f>
        <v>0</v>
      </c>
      <c r="CP17" s="1">
        <f>SUMPRODUCT((NOT(ISBLANK(CP$3:CP$9))*(CP$3:CP$9&gt;$KW$3:$KW$9))+ISBLANK(CP$3:CP$9))</f>
        <v>0</v>
      </c>
      <c r="CQ17" s="1">
        <f>SUMPRODUCT((NOT(ISBLANK(CQ$3:CQ$9))*(CQ$3:CQ$9&gt;$KX$3:$KX$9))+ISBLANK(CQ$3:CQ$9))</f>
        <v>0</v>
      </c>
      <c r="CR17" s="1">
        <f>SUMPRODUCT((NOT(ISBLANK(CR$3:CR$9))*(CR$3:CR$9&gt;$KY$3:$KY$9))+ISBLANK(CR$3:CR$9))</f>
        <v>0</v>
      </c>
      <c r="CS17" s="1">
        <f>SUMPRODUCT((NOT(ISBLANK(CS$3:CS$9))*(CS$3:CS$9&gt;$KZ$3:$KZ$9))+ISBLANK(CS$3:CS$9))</f>
        <v>0</v>
      </c>
      <c r="CT17" s="1">
        <f>SUMPRODUCT((NOT(ISBLANK(CT$3:CT$9))*(CT$3:CT$9&gt;$LA$3:$LA$9))+ISBLANK(CT$3:CT$9))</f>
        <v>0</v>
      </c>
      <c r="CU17" s="1">
        <f>SUMPRODUCT((NOT(ISBLANK(CU$3:CU$9))*(CU$3:CU$9&gt;$LB$3:$LB$9))+ISBLANK(CU$3:CU$9))</f>
        <v>0</v>
      </c>
      <c r="CV17" s="1">
        <f>SUMPRODUCT((NOT(ISBLANK(CV$3:CV$9))*(CV$3:CV$9&gt;$LC$3:$LC$9))+ISBLANK(CV$3:CV$9))</f>
        <v>0</v>
      </c>
      <c r="CW17" s="1">
        <f>SUMPRODUCT((NOT(ISBLANK(CW$3:CW$9))*(CW$3:CW$9&gt;$LD$3:$LD$9))+ISBLANK(CW$3:CW$9))</f>
        <v>0</v>
      </c>
      <c r="CX17" s="1">
        <f>SUMPRODUCT((NOT(ISBLANK(CX$3:CX$9))*(CX$3:CX$9&gt;$LE$3:$LE$9))+ISBLANK(CX$3:CX$9))</f>
        <v>0</v>
      </c>
      <c r="CY17" s="1">
        <f>SUMPRODUCT((NOT(ISBLANK(CY$3:CY$9))*(CY$3:CY$9&gt;$LF$3:$LF$9))+ISBLANK(CY$3:CY$9))</f>
        <v>0</v>
      </c>
      <c r="CZ17" s="1">
        <f>SUMPRODUCT((NOT(ISBLANK(CZ$3:CZ$9))*(CZ$3:CZ$9&gt;$LG$3:$LG$9))+ISBLANK(CZ$3:CZ$9))</f>
        <v>0</v>
      </c>
      <c r="DA17" s="1">
        <f>SUMPRODUCT((NOT(ISBLANK(DA$3:DA$9))*(DA$3:DA$9&gt;$LH$3:$LH$9))+ISBLANK(DA$3:DA$9))</f>
        <v>0</v>
      </c>
      <c r="DB17" s="1"/>
      <c r="DC17" s="1">
        <f>SUMPRODUCT((NOT(ISBLANK(DC$3:DC$9))*(DC$3:DC$9&gt;$LI$3:$LI$9))+ISBLANK(DC$3:DC$9))</f>
        <v>0</v>
      </c>
      <c r="DD17" s="1">
        <f>SUMPRODUCT((NOT(ISBLANK(DD$3:DD$9))*(DD$3:DD$9&gt;$LJ$3:$LJ$9))+ISBLANK(DD$3:DD$9))</f>
        <v>0</v>
      </c>
      <c r="DE17" s="1">
        <f>SUMPRODUCT((NOT(ISBLANK(DE$3:DE$9))*(DE$3:DE$9&gt;$LK$3:$LK$9))+ISBLANK(DE$3:DE$9))</f>
        <v>0</v>
      </c>
      <c r="DF17" s="1">
        <f>SUMPRODUCT((NOT(ISBLANK(DF$3:DF$9))*(DF$3:DF$9&gt;$KU$3:$KU$9))+ISBLANK(DF$3:DF$9))</f>
        <v>0</v>
      </c>
      <c r="DG17" s="1">
        <f>SUMPRODUCT((NOT(ISBLANK(DG$3:DG$9))*(DG$3:DG$9&gt;$KV$3:$KV$9))+ISBLANK(DG$3:DG$9))</f>
        <v>0</v>
      </c>
      <c r="DH17" s="1">
        <f>SUMPRODUCT((NOT(ISBLANK(DH$3:DH$9))*(DH$3:DH$9&gt;$KW$3:$KW$9))+ISBLANK(DH$3:DH$9))</f>
        <v>0</v>
      </c>
      <c r="DI17" s="1">
        <f>SUMPRODUCT((NOT(ISBLANK(DI$3:DI$9))*(DI$3:DI$9&gt;$KX$3:$KX$9))+ISBLANK(DI$3:DI$9))</f>
        <v>0</v>
      </c>
      <c r="DJ17" s="1">
        <f>SUMPRODUCT((NOT(ISBLANK(DJ$3:DJ$9))*(DJ$3:DJ$9&gt;$KY$3:$KY$9))+ISBLANK(DJ$3:DJ$9))</f>
        <v>0</v>
      </c>
      <c r="DK17" s="1">
        <f>SUMPRODUCT((NOT(ISBLANK(DK$3:DK$9))*(DK$3:DK$9&gt;$KZ$3:$KZ$9))+ISBLANK(DK$3:DK$9))</f>
        <v>0</v>
      </c>
      <c r="DL17" s="1">
        <f>SUMPRODUCT((NOT(ISBLANK(DL$3:DL$9))*(DL$3:DL$9&gt;$LA$3:$LA$9))+ISBLANK(DL$3:DL$9))</f>
        <v>0</v>
      </c>
      <c r="DM17" s="1">
        <f>SUMPRODUCT((NOT(ISBLANK(DM$3:DM$9))*(DM$3:DM$9&gt;$LB$3:$LB$9))+ISBLANK(DM$3:DM$9))</f>
        <v>0</v>
      </c>
      <c r="DN17" s="1">
        <f>SUMPRODUCT((NOT(ISBLANK(DN$3:DN$9))*(DN$3:DN$9&gt;$LC$3:$LC$9))+ISBLANK(DN$3:DN$9))</f>
        <v>0</v>
      </c>
      <c r="DO17" s="1">
        <f>SUMPRODUCT((NOT(ISBLANK(DO$3:DO$9))*(DO$3:DO$9&gt;$LD$3:$LD$9))+ISBLANK(DO$3:DO$9))</f>
        <v>0</v>
      </c>
      <c r="DP17" s="1">
        <f>SUMPRODUCT((NOT(ISBLANK(DP$3:DP$9))*(DP$3:DP$9&gt;$LE$3:$LE$9))+ISBLANK(DP$3:DP$9))</f>
        <v>0</v>
      </c>
      <c r="DQ17" s="1">
        <f>SUMPRODUCT((NOT(ISBLANK(DQ$3:DQ$9))*(DQ$3:DQ$9&gt;$LF$3:$LF$9))+ISBLANK(DQ$3:DQ$9))</f>
        <v>0</v>
      </c>
      <c r="DR17" s="1">
        <f>SUMPRODUCT((NOT(ISBLANK(DR$3:DR$9))*(DR$3:DR$9&gt;$LG$3:$LG$9))+ISBLANK(DR$3:DR$9))</f>
        <v>0</v>
      </c>
      <c r="DS17" s="1">
        <f>SUMPRODUCT((NOT(ISBLANK(DS$3:DS$9))*(DS$3:DS$9&gt;$LH$3:$LH$9))+ISBLANK(DS$3:DS$9))</f>
        <v>0</v>
      </c>
      <c r="DT17" s="1"/>
      <c r="DU17" s="1">
        <f>SUMPRODUCT((NOT(ISBLANK(DU$3:DU$9))*(DU$3:DU$9&gt;$LI$3:$LI$9))+ISBLANK(DU$3:DU$9))</f>
        <v>0</v>
      </c>
      <c r="DV17" s="1">
        <f>SUMPRODUCT((NOT(ISBLANK(DV$3:DV$9))*(DV$3:DV$9&gt;$LJ$3:$LJ$9))+ISBLANK(DV$3:DV$9))</f>
        <v>0</v>
      </c>
      <c r="DW17" s="1">
        <f>SUMPRODUCT((NOT(ISBLANK(DW$3:DW$9))*(DW$3:DW$9&gt;$LK$3:$LK$9))+ISBLANK(DW$3:DW$9))</f>
        <v>0</v>
      </c>
      <c r="DX17" s="1">
        <f>SUMPRODUCT((NOT(ISBLANK(DX$3:DX$9))*(DX$3:DX$9&gt;$KU$3:$KU$9))+ISBLANK(DX$3:DX$9))</f>
        <v>0</v>
      </c>
      <c r="DY17" s="1">
        <f>SUMPRODUCT((NOT(ISBLANK(DY$3:DY$9))*(DY$3:DY$9&gt;$KV$3:$KV$9))+ISBLANK(DY$3:DY$9))</f>
        <v>0</v>
      </c>
      <c r="DZ17" s="1">
        <f>SUMPRODUCT((NOT(ISBLANK(DZ$3:DZ$9))*(DZ$3:DZ$9&gt;$KW$3:$KW$9))+ISBLANK(DZ$3:DZ$9))</f>
        <v>0</v>
      </c>
      <c r="EA17" s="1">
        <f>SUMPRODUCT((NOT(ISBLANK(EA$3:EA$9))*(EA$3:EA$9&gt;$KX$3:$KX$9))+ISBLANK(EA$3:EA$9))</f>
        <v>0</v>
      </c>
      <c r="EB17" s="1">
        <f>SUMPRODUCT((NOT(ISBLANK(EB$3:EB$9))*(EB$3:EB$9&gt;$KY$3:$KY$9))+ISBLANK(EB$3:EB$9))</f>
        <v>0</v>
      </c>
      <c r="EC17" s="1">
        <f>SUMPRODUCT((NOT(ISBLANK(EC$3:EC$9))*(EC$3:EC$9&gt;$KZ$3:$KZ$9))+ISBLANK(EC$3:EC$9))</f>
        <v>0</v>
      </c>
      <c r="ED17" s="1">
        <f>SUMPRODUCT((NOT(ISBLANK(ED$3:ED$9))*(ED$3:ED$9&gt;$LA$3:$LA$9))+ISBLANK(ED$3:ED$9))</f>
        <v>0</v>
      </c>
      <c r="EE17" s="1">
        <f>SUMPRODUCT((NOT(ISBLANK(EE$3:EE$9))*(EE$3:EE$9&gt;$LB$3:$LB$9))+ISBLANK(EE$3:EE$9))</f>
        <v>0</v>
      </c>
      <c r="EF17" s="1">
        <f>SUMPRODUCT((NOT(ISBLANK(EF$3:EF$9))*(EF$3:EF$9&gt;$LC$3:$LC$9))+ISBLANK(EF$3:EF$9))</f>
        <v>0</v>
      </c>
      <c r="EG17" s="1">
        <f>SUMPRODUCT((NOT(ISBLANK(EG$3:EG$9))*(EG$3:EG$9&gt;$LD$3:$LD$9))+ISBLANK(EG$3:EG$9))</f>
        <v>0</v>
      </c>
      <c r="EH17" s="1">
        <f>SUMPRODUCT((NOT(ISBLANK(EH$3:EH$9))*(EH$3:EH$9&gt;$LE$3:$LE$9))+ISBLANK(EH$3:EH$9))</f>
        <v>0</v>
      </c>
      <c r="EI17" s="1">
        <f>SUMPRODUCT((NOT(ISBLANK(EI$3:EI$9))*(EI$3:EI$9&gt;$LF$3:$LF$9))+ISBLANK(EI$3:EI$9))</f>
        <v>0</v>
      </c>
      <c r="EJ17" s="1">
        <f>SUMPRODUCT((NOT(ISBLANK(EJ$3:EJ$9))*(EJ$3:EJ$9&gt;$LG$3:$LG$9))+ISBLANK(EJ$3:EJ$9))</f>
        <v>0</v>
      </c>
      <c r="EK17" s="1">
        <f>SUMPRODUCT((NOT(ISBLANK(EK$3:EK$9))*(EK$3:EK$9&gt;$LH$3:$LH$9))+ISBLANK(EK$3:EK$9))</f>
        <v>0</v>
      </c>
      <c r="EL17" s="1"/>
      <c r="EM17" s="1">
        <f>SUMPRODUCT((NOT(ISBLANK(EM$3:EM$9))*(EM$3:EM$9&gt;$LI$3:$LI$9))+ISBLANK(EM$3:EM$9))</f>
        <v>0</v>
      </c>
      <c r="EN17" s="1">
        <f>SUMPRODUCT((NOT(ISBLANK(EN$3:EN$9))*(EN$3:EN$9&gt;$LJ$3:$LJ$9))+ISBLANK(EN$3:EN$9))</f>
        <v>0</v>
      </c>
      <c r="EO17" s="1">
        <f>SUMPRODUCT((NOT(ISBLANK(EO$3:EO$9))*(EO$3:EO$9&gt;$LK$3:$LK$9))+ISBLANK(EO$3:EO$9))</f>
        <v>0</v>
      </c>
      <c r="EP17" s="1">
        <f>SUMPRODUCT((NOT(ISBLANK(EP$3:EP$9))*(EP$3:EP$9&gt;$KU$3:$KU$9))+ISBLANK(EP$3:EP$9))</f>
        <v>0</v>
      </c>
      <c r="EQ17" s="1">
        <f>SUMPRODUCT((NOT(ISBLANK(EQ$3:EQ$9))*(EQ$3:EQ$9&gt;$KV$3:$KV$9))+ISBLANK(EQ$3:EQ$9))</f>
        <v>0</v>
      </c>
      <c r="ER17" s="1">
        <f>SUMPRODUCT((NOT(ISBLANK(ER$3:ER$9))*(ER$3:ER$9&gt;$KW$3:$KW$9))+ISBLANK(ER$3:ER$9))</f>
        <v>0</v>
      </c>
      <c r="ES17" s="1">
        <f>SUMPRODUCT((NOT(ISBLANK(ES$3:ES$9))*(ES$3:ES$9&gt;$KX$3:$KX$9))+ISBLANK(ES$3:ES$9))</f>
        <v>0</v>
      </c>
      <c r="ET17" s="1">
        <f>SUMPRODUCT((NOT(ISBLANK(ET$3:ET$9))*(ET$3:ET$9&gt;$KY$3:$KY$9))+ISBLANK(ET$3:ET$9))</f>
        <v>0</v>
      </c>
      <c r="EU17" s="1">
        <f>SUMPRODUCT((NOT(ISBLANK(EU$3:EU$9))*(EU$3:EU$9&gt;$KZ$3:$KZ$9))+ISBLANK(EU$3:EU$9))</f>
        <v>0</v>
      </c>
      <c r="EV17" s="1">
        <f>SUMPRODUCT((NOT(ISBLANK(EV$3:EV$9))*(EV$3:EV$9&gt;$LA$3:$LA$9))+ISBLANK(EV$3:EV$9))</f>
        <v>0</v>
      </c>
      <c r="EW17" s="1">
        <f>SUMPRODUCT((NOT(ISBLANK(EW$3:EW$9))*(EW$3:EW$9&gt;$LB$3:$LB$9))+ISBLANK(EW$3:EW$9))</f>
        <v>0</v>
      </c>
      <c r="EX17" s="1">
        <f>SUMPRODUCT((NOT(ISBLANK(EX$3:EX$9))*(EX$3:EX$9&gt;$LC$3:$LC$9))+ISBLANK(EX$3:EX$9))</f>
        <v>0</v>
      </c>
      <c r="EY17" s="1">
        <f>SUMPRODUCT((NOT(ISBLANK(EY$3:EY$9))*(EY$3:EY$9&gt;$LD$3:$LD$9))+ISBLANK(EY$3:EY$9))</f>
        <v>0</v>
      </c>
      <c r="EZ17" s="1">
        <f>SUMPRODUCT((NOT(ISBLANK(EZ$3:EZ$9))*(EZ$3:EZ$9&gt;$LE$3:$LE$9))+ISBLANK(EZ$3:EZ$9))</f>
        <v>0</v>
      </c>
      <c r="FA17" s="1">
        <f>SUMPRODUCT((NOT(ISBLANK(FA$3:FA$9))*(FA$3:FA$9&gt;$LF$3:$LF$9))+ISBLANK(FA$3:FA$9))</f>
        <v>0</v>
      </c>
      <c r="FB17" s="1">
        <f>SUMPRODUCT((NOT(ISBLANK(FB$3:FB$9))*(FB$3:FB$9&gt;$LG$3:$LG$9))+ISBLANK(FB$3:FB$9))</f>
        <v>0</v>
      </c>
      <c r="FC17" s="1">
        <f>SUMPRODUCT((NOT(ISBLANK(FC$3:FC$9))*(FC$3:FC$9&gt;$LH$3:$LH$9))+ISBLANK(FC$3:FC$9))</f>
        <v>0</v>
      </c>
      <c r="FD17" s="1"/>
      <c r="FE17" s="1">
        <f>SUMPRODUCT((NOT(ISBLANK(FE$3:FE$9))*(FE$3:FE$9&gt;$LI$3:$LI$9))+ISBLANK(FE$3:FE$9))</f>
        <v>0</v>
      </c>
      <c r="FF17" s="1">
        <f>SUMPRODUCT((NOT(ISBLANK(FF$3:FF$9))*(FF$3:FF$9&gt;$LJ$3:$LJ$9))+ISBLANK(FF$3:FF$9))</f>
        <v>0</v>
      </c>
      <c r="FG17" s="1">
        <f>SUMPRODUCT((NOT(ISBLANK(FG$3:FG$9))*(FG$3:FG$9&gt;$LK$3:$LK$9))+ISBLANK(FG$3:FG$9))</f>
        <v>0</v>
      </c>
      <c r="FH17" s="1">
        <f>SUMPRODUCT((NOT(ISBLANK(FH$3:FH$9))*(FH$3:FH$9&gt;$KU$3:$KU$9))+ISBLANK(FH$3:FH$9))</f>
        <v>0</v>
      </c>
      <c r="FI17" s="1">
        <f>SUMPRODUCT((NOT(ISBLANK(FI$3:FI$9))*(FI$3:FI$9&gt;$KV$3:$KV$9))+ISBLANK(FI$3:FI$9))</f>
        <v>0</v>
      </c>
      <c r="FJ17" s="1">
        <f>SUMPRODUCT((NOT(ISBLANK(FJ$3:FJ$9))*(FJ$3:FJ$9&gt;$KW$3:$KW$9))+ISBLANK(FJ$3:FJ$9))</f>
        <v>0</v>
      </c>
      <c r="FK17" s="1">
        <f>SUMPRODUCT((NOT(ISBLANK(FK$3:FK$9))*(FK$3:FK$9&gt;$KX$3:$KX$9))+ISBLANK(FK$3:FK$9))</f>
        <v>0</v>
      </c>
      <c r="FL17" s="1">
        <f>SUMPRODUCT((NOT(ISBLANK(FL$3:FL$9))*(FL$3:FL$9&gt;$KY$3:$KY$9))+ISBLANK(FL$3:FL$9))</f>
        <v>0</v>
      </c>
      <c r="FM17" s="1">
        <f>SUMPRODUCT((NOT(ISBLANK(FM$3:FM$9))*(FM$3:FM$9&gt;$KZ$3:$KZ$9))+ISBLANK(FM$3:FM$9))</f>
        <v>0</v>
      </c>
      <c r="FN17" s="1">
        <f>SUMPRODUCT((NOT(ISBLANK(FN$3:FN$9))*(FN$3:FN$9&gt;$LA$3:$LA$9))+ISBLANK(FN$3:FN$9))</f>
        <v>0</v>
      </c>
      <c r="FO17" s="1">
        <f>SUMPRODUCT((NOT(ISBLANK(FO$3:FO$9))*(FO$3:FO$9&gt;$LB$3:$LB$9))+ISBLANK(FO$3:FO$9))</f>
        <v>0</v>
      </c>
      <c r="FP17" s="1">
        <f>SUMPRODUCT((NOT(ISBLANK(FP$3:FP$9))*(FP$3:FP$9&gt;$LC$3:$LC$9))+ISBLANK(FP$3:FP$9))</f>
        <v>0</v>
      </c>
      <c r="FQ17" s="1">
        <f>SUMPRODUCT((NOT(ISBLANK(FQ$3:FQ$9))*(FQ$3:FQ$9&gt;$LD$3:$LD$9))+ISBLANK(FQ$3:FQ$9))</f>
        <v>0</v>
      </c>
      <c r="FR17" s="1">
        <f>SUMPRODUCT((NOT(ISBLANK(FR$3:FR$9))*(FR$3:FR$9&gt;$LE$3:$LE$9))+ISBLANK(FR$3:FR$9))</f>
        <v>0</v>
      </c>
      <c r="FS17" s="1">
        <f>SUMPRODUCT((NOT(ISBLANK(FS$3:FS$9))*(FS$3:FS$9&gt;$LF$3:$LF$9))+ISBLANK(FS$3:FS$9))</f>
        <v>0</v>
      </c>
      <c r="FT17" s="1">
        <f>SUMPRODUCT((NOT(ISBLANK(FT$3:FT$9))*(FT$3:FT$9&gt;$LG$3:$LG$9))+ISBLANK(FT$3:FT$9))</f>
        <v>0</v>
      </c>
      <c r="FU17" s="1">
        <f>SUMPRODUCT((NOT(ISBLANK(FU$3:FU$9))*(FU$3:FU$9&gt;$LH$3:$LH$9))+ISBLANK(FU$3:FU$9))</f>
        <v>0</v>
      </c>
      <c r="FV17" s="1"/>
      <c r="FW17" s="1">
        <f>SUMPRODUCT((NOT(ISBLANK(FW$3:FW$9))*(FW$3:FW$9&gt;$LI$3:$LI$9))+ISBLANK(FW$3:FW$9))</f>
        <v>0</v>
      </c>
      <c r="FX17" s="1">
        <f>SUMPRODUCT((NOT(ISBLANK(FX$3:FX$9))*(FX$3:FX$9&gt;$LJ$3:$LJ$9))+ISBLANK(FX$3:FX$9))</f>
        <v>0</v>
      </c>
      <c r="FY17" s="1">
        <f>SUMPRODUCT((NOT(ISBLANK(FY$3:FY$9))*(FY$3:FY$9&gt;$LK$3:$LK$9))+ISBLANK(FY$3:FY$9))</f>
        <v>0</v>
      </c>
      <c r="FZ17" s="1">
        <f>SUMPRODUCT((NOT(ISBLANK(FZ$3:FZ$9))*(FZ$3:FZ$9&gt;$KU$3:$KU$9))+ISBLANK(FZ$3:FZ$9))</f>
        <v>0</v>
      </c>
      <c r="GA17" s="1">
        <f>SUMPRODUCT((NOT(ISBLANK(GA$3:GA$9))*(GA$3:GA$9&gt;$KV$3:$KV$9))+ISBLANK(GA$3:GA$9))</f>
        <v>0</v>
      </c>
      <c r="GB17" s="1">
        <f>SUMPRODUCT((NOT(ISBLANK(GB$3:GB$9))*(GB$3:GB$9&gt;$KW$3:$KW$9))+ISBLANK(GB$3:GB$9))</f>
        <v>0</v>
      </c>
      <c r="GC17" s="1">
        <f>SUMPRODUCT((NOT(ISBLANK(GC$3:GC$9))*(GC$3:GC$9&gt;$KX$3:$KX$9))+ISBLANK(GC$3:GC$9))</f>
        <v>0</v>
      </c>
      <c r="GD17" s="1">
        <f>SUMPRODUCT((NOT(ISBLANK(GD$3:GD$9))*(GD$3:GD$9&gt;$KY$3:$KY$9))+ISBLANK(GD$3:GD$9))</f>
        <v>0</v>
      </c>
      <c r="GE17" s="1">
        <f>SUMPRODUCT((NOT(ISBLANK(GE$3:GE$9))*(GE$3:GE$9&gt;$KZ$3:$KZ$9))+ISBLANK(GE$3:GE$9))</f>
        <v>0</v>
      </c>
      <c r="GF17" s="1">
        <f>SUMPRODUCT((NOT(ISBLANK(GF$3:GF$9))*(GF$3:GF$9&gt;$LA$3:$LA$9))+ISBLANK(GF$3:GF$9))</f>
        <v>0</v>
      </c>
      <c r="GG17" s="1">
        <f>SUMPRODUCT((NOT(ISBLANK(GG$3:GG$9))*(GG$3:GG$9&gt;$LB$3:$LB$9))+ISBLANK(GG$3:GG$9))</f>
        <v>0</v>
      </c>
      <c r="GH17" s="1">
        <f>SUMPRODUCT((NOT(ISBLANK(GH$3:GH$9))*(GH$3:GH$9&gt;$LC$3:$LC$9))+ISBLANK(GH$3:GH$9))</f>
        <v>0</v>
      </c>
      <c r="GI17" s="1">
        <f>SUMPRODUCT((NOT(ISBLANK(GI$3:GI$9))*(GI$3:GI$9&gt;$LD$3:$LD$9))+ISBLANK(GI$3:GI$9))</f>
        <v>0</v>
      </c>
      <c r="GJ17" s="1">
        <f>SUMPRODUCT((NOT(ISBLANK(GJ$3:GJ$9))*(GJ$3:GJ$9&gt;$LE$3:$LE$9))+ISBLANK(GJ$3:GJ$9))</f>
        <v>0</v>
      </c>
      <c r="GK17" s="1">
        <f>SUMPRODUCT((NOT(ISBLANK(GK$3:GK$9))*(GK$3:GK$9&gt;$LF$3:$LF$9))+ISBLANK(GK$3:GK$9))</f>
        <v>0</v>
      </c>
      <c r="GL17" s="1">
        <f>SUMPRODUCT((NOT(ISBLANK(GL$3:GL$9))*(GL$3:GL$9&gt;$LG$3:$LG$9))+ISBLANK(GL$3:GL$9))</f>
        <v>0</v>
      </c>
      <c r="GM17" s="1">
        <f>SUMPRODUCT((NOT(ISBLANK(GM$3:GM$9))*(GM$3:GM$9&gt;$LH$3:$LH$9))+ISBLANK(GM$3:GM$9))</f>
        <v>0</v>
      </c>
      <c r="GN17" s="1"/>
      <c r="GO17" s="1">
        <f>SUMPRODUCT((NOT(ISBLANK(GO$3:GO$9))*(GO$3:GO$9&gt;$LI$3:$LI$9))+ISBLANK(GO$3:GO$9))</f>
        <v>0</v>
      </c>
      <c r="GP17" s="1">
        <f>SUMPRODUCT((NOT(ISBLANK(GP$3:GP$9))*(GP$3:GP$9&gt;$LJ$3:$LJ$9))+ISBLANK(GP$3:GP$9))</f>
        <v>0</v>
      </c>
      <c r="GQ17" s="1">
        <f>SUMPRODUCT((NOT(ISBLANK(GQ$3:GQ$9))*(GQ$3:GQ$9&gt;$LK$3:$LK$9))+ISBLANK(GQ$3:GQ$9))</f>
        <v>0</v>
      </c>
      <c r="GR17" s="1">
        <f>SUMPRODUCT((NOT(ISBLANK(GR$3:GR$9))*(GR$3:GR$9&gt;$KU$3:$KU$9))+ISBLANK(GR$3:GR$9))</f>
        <v>0</v>
      </c>
      <c r="GS17" s="1">
        <f>SUMPRODUCT((NOT(ISBLANK(GS$3:GS$9))*(GS$3:GS$9&gt;$KV$3:$KV$9))+ISBLANK(GS$3:GS$9))</f>
        <v>0</v>
      </c>
      <c r="GT17" s="1">
        <f>SUMPRODUCT((NOT(ISBLANK(GT$3:GT$9))*(GT$3:GT$9&gt;$KW$3:$KW$9))+ISBLANK(GT$3:GT$9))</f>
        <v>0</v>
      </c>
      <c r="GU17" s="1">
        <f>SUMPRODUCT((NOT(ISBLANK(GU$3:GU$9))*(GU$3:GU$9&gt;$KX$3:$KX$9))+ISBLANK(GU$3:GU$9))</f>
        <v>0</v>
      </c>
      <c r="GV17" s="1">
        <f>SUMPRODUCT((NOT(ISBLANK(GV$3:GV$9))*(GV$3:GV$9&gt;$KY$3:$KY$9))+ISBLANK(GV$3:GV$9))</f>
        <v>0</v>
      </c>
      <c r="GW17" s="1">
        <f>SUMPRODUCT((NOT(ISBLANK(GW$3:GW$9))*(GW$3:GW$9&gt;$KZ$3:$KZ$9))+ISBLANK(GW$3:GW$9))</f>
        <v>0</v>
      </c>
      <c r="GX17" s="1">
        <f>SUMPRODUCT((NOT(ISBLANK(GX$3:GX$9))*(GX$3:GX$9&gt;$LA$3:$LA$9))+ISBLANK(GX$3:GX$9))</f>
        <v>0</v>
      </c>
      <c r="GY17" s="1">
        <f>SUMPRODUCT((NOT(ISBLANK(GY$3:GY$9))*(GY$3:GY$9&gt;$LB$3:$LB$9))+ISBLANK(GY$3:GY$9))</f>
        <v>0</v>
      </c>
      <c r="GZ17" s="1">
        <f>SUMPRODUCT((NOT(ISBLANK(GZ$3:GZ$9))*(GZ$3:GZ$9&gt;$LC$3:$LC$9))+ISBLANK(GZ$3:GZ$9))</f>
        <v>0</v>
      </c>
      <c r="HA17" s="1">
        <f>SUMPRODUCT((NOT(ISBLANK(HA$3:HA$9))*(HA$3:HA$9&gt;$LD$3:$LD$9))+ISBLANK(HA$3:HA$9))</f>
        <v>0</v>
      </c>
      <c r="HB17" s="1">
        <f>SUMPRODUCT((NOT(ISBLANK(HB$3:HB$9))*(HB$3:HB$9&gt;$LE$3:$LE$9))+ISBLANK(HB$3:HB$9))</f>
        <v>0</v>
      </c>
      <c r="HC17" s="1">
        <f>SUMPRODUCT((NOT(ISBLANK(HC$3:HC$9))*(HC$3:HC$9&gt;$LF$3:$LF$9))+ISBLANK(HC$3:HC$9))</f>
        <v>0</v>
      </c>
      <c r="HD17" s="1">
        <f>SUMPRODUCT((NOT(ISBLANK(HD$3:HD$9))*(HD$3:HD$9&gt;$LG$3:$LG$9))+ISBLANK(HD$3:HD$9))</f>
        <v>0</v>
      </c>
      <c r="HE17" s="1">
        <f>SUMPRODUCT((NOT(ISBLANK(HE$3:HE$9))*(HE$3:HE$9&gt;$LH$3:$LH$9))+ISBLANK(HE$3:HE$9))</f>
        <v>0</v>
      </c>
      <c r="HF17" s="1"/>
      <c r="HG17" s="1">
        <f>SUMPRODUCT((NOT(ISBLANK(HG$3:HG$9))*(HG$3:HG$9&gt;$LI$3:$LI$9))+ISBLANK(HG$3:HG$9))</f>
        <v>0</v>
      </c>
      <c r="HH17" s="1">
        <f>SUMPRODUCT((NOT(ISBLANK(HH$3:HH$9))*(HH$3:HH$9&gt;$LJ$3:$LJ$9))+ISBLANK(HH$3:HH$9))</f>
        <v>0</v>
      </c>
      <c r="HI17" s="1">
        <f>SUMPRODUCT((NOT(ISBLANK(HI$3:HI$9))*(HI$3:HI$9&gt;$LK$3:$LK$9))+ISBLANK(HI$3:HI$9))</f>
        <v>0</v>
      </c>
      <c r="HJ17" s="1">
        <f>SUMPRODUCT((NOT(ISBLANK(HJ$3:HJ$9))*(HJ$3:HJ$9&gt;$KU$3:$KU$9))+ISBLANK(HJ$3:HJ$9))</f>
        <v>0</v>
      </c>
      <c r="HK17" s="1">
        <f>SUMPRODUCT((NOT(ISBLANK(HK$3:HK$9))*(HK$3:HK$9&gt;$KV$3:$KV$9))+ISBLANK(HK$3:HK$9))</f>
        <v>0</v>
      </c>
      <c r="HL17" s="1">
        <f>SUMPRODUCT((NOT(ISBLANK(HL$3:HL$9))*(HL$3:HL$9&gt;$KW$3:$KW$9))+ISBLANK(HL$3:HL$9))</f>
        <v>0</v>
      </c>
      <c r="HM17" s="1">
        <f>SUMPRODUCT((NOT(ISBLANK(HM$3:HM$9))*(HM$3:HM$9&gt;$KX$3:$KX$9))+ISBLANK(HM$3:HM$9))</f>
        <v>0</v>
      </c>
      <c r="HN17" s="1">
        <f>SUMPRODUCT((NOT(ISBLANK(HN$3:HN$9))*(HN$3:HN$9&gt;$KY$3:$KY$9))+ISBLANK(HN$3:HN$9))</f>
        <v>0</v>
      </c>
      <c r="HO17" s="1">
        <f>SUMPRODUCT((NOT(ISBLANK(HO$3:HO$9))*(HO$3:HO$9&gt;$KZ$3:$KZ$9))+ISBLANK(HO$3:HO$9))</f>
        <v>0</v>
      </c>
      <c r="HP17" s="1">
        <f>SUMPRODUCT((NOT(ISBLANK(HP$3:HP$9))*(HP$3:HP$9&gt;$LA$3:$LA$9))+ISBLANK(HP$3:HP$9))</f>
        <v>0</v>
      </c>
      <c r="HQ17" s="1">
        <f>SUMPRODUCT((NOT(ISBLANK(HQ$3:HQ$9))*(HQ$3:HQ$9&gt;$LB$3:$LB$9))+ISBLANK(HQ$3:HQ$9))</f>
        <v>0</v>
      </c>
      <c r="HR17" s="1">
        <f>SUMPRODUCT((NOT(ISBLANK(HR$3:HR$9))*(HR$3:HR$9&gt;$LC$3:$LC$9))+ISBLANK(HR$3:HR$9))</f>
        <v>0</v>
      </c>
      <c r="HS17" s="1">
        <f>SUMPRODUCT((NOT(ISBLANK(HS$3:HS$9))*(HS$3:HS$9&gt;$LD$3:$LD$9))+ISBLANK(HS$3:HS$9))</f>
        <v>0</v>
      </c>
      <c r="HT17" s="1">
        <f>SUMPRODUCT((NOT(ISBLANK(HT$3:HT$9))*(HT$3:HT$9&gt;$LE$3:$LE$9))+ISBLANK(HT$3:HT$9))</f>
        <v>0</v>
      </c>
      <c r="HU17" s="1">
        <f>SUMPRODUCT((NOT(ISBLANK(HU$3:HU$9))*(HU$3:HU$9&gt;$LF$3:$LF$9))+ISBLANK(HU$3:HU$9))</f>
        <v>0</v>
      </c>
      <c r="HV17" s="1">
        <f>SUMPRODUCT((NOT(ISBLANK(HV$3:HV$9))*(HV$3:HV$9&gt;$LG$3:$LG$9))+ISBLANK(HV$3:HV$9))</f>
        <v>0</v>
      </c>
      <c r="HW17" s="1">
        <f>SUMPRODUCT((NOT(ISBLANK(HW$3:HW$9))*(HW$3:HW$9&gt;$LH$3:$LH$9))+ISBLANK(HW$3:HW$9))</f>
        <v>0</v>
      </c>
      <c r="HX17" s="1"/>
      <c r="HY17" s="1">
        <f>SUMPRODUCT((NOT(ISBLANK(HY$3:HY$9))*(HY$3:HY$9&gt;$LI$3:$LI$9))+ISBLANK(HY$3:HY$9))</f>
        <v>0</v>
      </c>
      <c r="HZ17" s="1">
        <f>SUMPRODUCT((NOT(ISBLANK(HZ$3:HZ$9))*(HZ$3:HZ$9&gt;$LJ$3:$LJ$9))+ISBLANK(HZ$3:HZ$9))</f>
        <v>0</v>
      </c>
      <c r="IA17" s="1">
        <f>SUMPRODUCT((NOT(ISBLANK(IA$3:IA$9))*(IA$3:IA$9&gt;$LK$3:$LK$9))+ISBLANK(IA$3:IA$9))</f>
        <v>0</v>
      </c>
      <c r="IB17" s="1">
        <f>SUMPRODUCT((NOT(ISBLANK(IB$3:IB$9))*(IB$3:IB$9&gt;$KU$3:$KU$9))+ISBLANK(IB$3:IB$9))</f>
        <v>0</v>
      </c>
      <c r="IC17" s="1">
        <f>SUMPRODUCT((NOT(ISBLANK(IC$3:IC$9))*(IC$3:IC$9&gt;$KV$3:$KV$9))+ISBLANK(IC$3:IC$9))</f>
        <v>0</v>
      </c>
      <c r="ID17" s="1">
        <f>SUMPRODUCT((NOT(ISBLANK(ID$3:ID$9))*(ID$3:ID$9&gt;$KW$3:$KW$9))+ISBLANK(ID$3:ID$9))</f>
        <v>0</v>
      </c>
      <c r="IE17" s="1">
        <f>SUMPRODUCT((NOT(ISBLANK(IE$3:IE$9))*(IE$3:IE$9&gt;$KX$3:$KX$9))+ISBLANK(IE$3:IE$9))</f>
        <v>0</v>
      </c>
      <c r="IF17" s="1">
        <f>SUMPRODUCT((NOT(ISBLANK(IF$3:IF$9))*(IF$3:IF$9&gt;$KY$3:$KY$9))+ISBLANK(IF$3:IF$9))</f>
        <v>0</v>
      </c>
      <c r="IG17" s="1">
        <f>SUMPRODUCT((NOT(ISBLANK(IG$3:IG$9))*(IG$3:IG$9&gt;$KZ$3:$KZ$9))+ISBLANK(IG$3:IG$9))</f>
        <v>0</v>
      </c>
      <c r="IH17" s="1">
        <f>SUMPRODUCT((NOT(ISBLANK(IH$3:IH$9))*(IH$3:IH$9&gt;$LA$3:$LA$9))+ISBLANK(IH$3:IH$9))</f>
        <v>0</v>
      </c>
      <c r="II17" s="1">
        <f>SUMPRODUCT((NOT(ISBLANK(II$3:II$9))*(II$3:II$9&gt;$LB$3:$LB$9))+ISBLANK(II$3:II$9))</f>
        <v>0</v>
      </c>
      <c r="IJ17" s="1">
        <f>SUMPRODUCT((NOT(ISBLANK(IJ$3:IJ$9))*(IJ$3:IJ$9&gt;$LC$3:$LC$9))+ISBLANK(IJ$3:IJ$9))</f>
        <v>0</v>
      </c>
      <c r="IK17" s="1">
        <f>SUMPRODUCT((NOT(ISBLANK(IK$3:IK$9))*(IK$3:IK$9&gt;$LD$3:$LD$9))+ISBLANK(IK$3:IK$9))</f>
        <v>0</v>
      </c>
      <c r="IL17" s="1">
        <f>SUMPRODUCT((NOT(ISBLANK(IL$3:IL$9))*(IL$3:IL$9&gt;$LE$3:$LE$9))+ISBLANK(IL$3:IL$9))</f>
        <v>0</v>
      </c>
      <c r="IM17" s="1">
        <f>SUMPRODUCT((NOT(ISBLANK(IM$3:IM$9))*(IM$3:IM$9&gt;$LF$3:$LF$9))+ISBLANK(IM$3:IM$9))</f>
        <v>0</v>
      </c>
      <c r="IN17" s="1">
        <f>SUMPRODUCT((NOT(ISBLANK(IN$3:IN$9))*(IN$3:IN$9&gt;$LG$3:$LG$9))+ISBLANK(IN$3:IN$9))</f>
        <v>0</v>
      </c>
      <c r="IO17" s="1">
        <f>SUMPRODUCT((NOT(ISBLANK(IO$3:IO$9))*(IO$3:IO$9&gt;$LH$3:$LH$9))+ISBLANK(IO$3:IO$9))</f>
        <v>0</v>
      </c>
      <c r="IP17" s="1"/>
      <c r="IQ17" s="1">
        <f>SUMPRODUCT((NOT(ISBLANK(IQ$3:IQ$9))*(IQ$3:IQ$9&gt;$LI$3:$LI$9))+ISBLANK(IQ$3:IQ$9))</f>
        <v>0</v>
      </c>
      <c r="IR17" s="1">
        <f>SUMPRODUCT((NOT(ISBLANK(IR$3:IR$9))*(IR$3:IR$9&gt;$LJ$3:$LJ$9))+ISBLANK(IR$3:IR$9))</f>
        <v>0</v>
      </c>
      <c r="IS17" s="1">
        <f>SUMPRODUCT((NOT(ISBLANK(IS$3:IS$9))*(IS$3:IS$9&gt;$LK$3:$LK$9))+ISBLANK(IS$3:IS$9))</f>
        <v>0</v>
      </c>
      <c r="IT17" s="1">
        <f>SUMPRODUCT((NOT(ISBLANK(IT$3:IT$9))*(IT$3:IT$9&gt;$KU$3:$KU$9))+ISBLANK(IT$3:IT$9))</f>
        <v>0</v>
      </c>
      <c r="IU17" s="1">
        <f>SUMPRODUCT((NOT(ISBLANK(IU$3:IU$9))*(IU$3:IU$9&gt;$KV$3:$KV$9))+ISBLANK(IU$3:IU$9))</f>
        <v>0</v>
      </c>
      <c r="IV17" s="1">
        <f>SUMPRODUCT((NOT(ISBLANK(IV$3:IV$9))*(IV$3:IV$9&gt;$KW$3:$KW$9))+ISBLANK(IV$3:IV$9))</f>
        <v>0</v>
      </c>
      <c r="IW17" s="1">
        <f>SUMPRODUCT((NOT(ISBLANK(IW$3:IW$9))*(IW$3:IW$9&gt;$KX$3:$KX$9))+ISBLANK(IW$3:IW$9))</f>
        <v>0</v>
      </c>
      <c r="IX17" s="1">
        <f>SUMPRODUCT((NOT(ISBLANK(IX$3:IX$9))*(IX$3:IX$9&gt;$KY$3:$KY$9))+ISBLANK(IX$3:IX$9))</f>
        <v>0</v>
      </c>
      <c r="IY17" s="1">
        <f>SUMPRODUCT((NOT(ISBLANK(IY$3:IY$9))*(IY$3:IY$9&gt;$KZ$3:$KZ$9))+ISBLANK(IY$3:IY$9))</f>
        <v>0</v>
      </c>
      <c r="IZ17" s="1">
        <f>SUMPRODUCT((NOT(ISBLANK(IZ$3:IZ$9))*(IZ$3:IZ$9&gt;$LA$3:$LA$9))+ISBLANK(IZ$3:IZ$9))</f>
        <v>0</v>
      </c>
      <c r="JA17" s="1">
        <f>SUMPRODUCT((NOT(ISBLANK(JA$3:JA$9))*(JA$3:JA$9&gt;$LB$3:$LB$9))+ISBLANK(JA$3:JA$9))</f>
        <v>0</v>
      </c>
      <c r="JB17" s="1">
        <f>SUMPRODUCT((NOT(ISBLANK(JB$3:JB$9))*(JB$3:JB$9&gt;$LC$3:$LC$9))+ISBLANK(JB$3:JB$9))</f>
        <v>0</v>
      </c>
      <c r="JC17" s="1">
        <f>SUMPRODUCT((NOT(ISBLANK(JC$3:JC$9))*(JC$3:JC$9&gt;$LD$3:$LD$9))+ISBLANK(JC$3:JC$9))</f>
        <v>0</v>
      </c>
      <c r="JD17" s="1">
        <f>SUMPRODUCT((NOT(ISBLANK(JD$3:JD$9))*(JD$3:JD$9&gt;$LE$3:$LE$9))+ISBLANK(JD$3:JD$9))</f>
        <v>0</v>
      </c>
      <c r="JE17" s="1">
        <f>SUMPRODUCT((NOT(ISBLANK(JE$3:JE$9))*(JE$3:JE$9&gt;$LF$3:$LF$9))+ISBLANK(JE$3:JE$9))</f>
        <v>0</v>
      </c>
      <c r="JF17" s="1">
        <f>SUMPRODUCT((NOT(ISBLANK(JF$3:JF$9))*(JF$3:JF$9&gt;$LG$3:$LG$9))+ISBLANK(JF$3:JF$9))</f>
        <v>0</v>
      </c>
      <c r="JG17" s="1">
        <f>SUMPRODUCT((NOT(ISBLANK(JG$3:JG$9))*(JG$3:JG$9&gt;$LH$3:$LH$9))+ISBLANK(JG$3:JG$9))</f>
        <v>0</v>
      </c>
      <c r="JH17" s="1"/>
      <c r="JI17" s="1">
        <f>SUMPRODUCT((NOT(ISBLANK(JI$3:JI$9))*(JI$3:JI$9&gt;$LI$3:$LI$9))+ISBLANK(JI$3:JI$9))</f>
        <v>0</v>
      </c>
      <c r="JJ17" s="1">
        <f>SUMPRODUCT((NOT(ISBLANK(JJ$3:JJ$9))*(JJ$3:JJ$9&gt;$LJ$3:$LJ$9))+ISBLANK(JJ$3:JJ$9))</f>
        <v>0</v>
      </c>
      <c r="JK17" s="1">
        <f>SUMPRODUCT((NOT(ISBLANK(JK$3:JK$9))*(JK$3:JK$9&gt;$LK$3:$LK$9))+ISBLANK(JK$3:JK$9))</f>
        <v>0</v>
      </c>
      <c r="JL17" s="1">
        <f>SUMPRODUCT((NOT(ISBLANK(JL$3:JL$9))*(JL$3:JL$9&gt;$KU$3:$KU$9))+ISBLANK(JL$3:JL$9))</f>
        <v>0</v>
      </c>
      <c r="JM17" s="1">
        <f>SUMPRODUCT((NOT(ISBLANK(JM$3:JM$9))*(JM$3:JM$9&gt;$KV$3:$KV$9))+ISBLANK(JM$3:JM$9))</f>
        <v>0</v>
      </c>
      <c r="JN17" s="1">
        <f>SUMPRODUCT((NOT(ISBLANK(JN$3:JN$9))*(JN$3:JN$9&gt;$KW$3:$KW$9))+ISBLANK(JN$3:JN$9))</f>
        <v>0</v>
      </c>
      <c r="JO17" s="1">
        <f>SUMPRODUCT((NOT(ISBLANK(JO$3:JO$9))*(JO$3:JO$9&gt;$KX$3:$KX$9))+ISBLANK(JO$3:JO$9))</f>
        <v>0</v>
      </c>
      <c r="JP17" s="1">
        <f>SUMPRODUCT((NOT(ISBLANK(JP$3:JP$9))*(JP$3:JP$9&gt;$KY$3:$KY$9))+ISBLANK(JP$3:JP$9))</f>
        <v>0</v>
      </c>
      <c r="JQ17" s="1">
        <f>SUMPRODUCT((NOT(ISBLANK(JQ$3:JQ$9))*(JQ$3:JQ$9&gt;$KZ$3:$KZ$9))+ISBLANK(JQ$3:JQ$9))</f>
        <v>0</v>
      </c>
      <c r="JR17" s="1">
        <f>SUMPRODUCT((NOT(ISBLANK(JR$3:JR$9))*(JR$3:JR$9&gt;$LA$3:$LA$9))+ISBLANK(JR$3:JR$9))</f>
        <v>0</v>
      </c>
      <c r="JS17" s="1">
        <f>SUMPRODUCT((NOT(ISBLANK(JS$3:JS$9))*(JS$3:JS$9&gt;$LB$3:$LB$9))+ISBLANK(JS$3:JS$9))</f>
        <v>0</v>
      </c>
      <c r="JT17" s="1">
        <f>SUMPRODUCT((NOT(ISBLANK(JT$3:JT$9))*(JT$3:JT$9&gt;$LC$3:$LC$9))+ISBLANK(JT$3:JT$9))</f>
        <v>0</v>
      </c>
      <c r="JU17" s="1">
        <f>SUMPRODUCT((NOT(ISBLANK(JU$3:JU$9))*(JU$3:JU$9&gt;$LD$3:$LD$9))+ISBLANK(JU$3:JU$9))</f>
        <v>0</v>
      </c>
      <c r="JV17" s="1">
        <f>SUMPRODUCT((NOT(ISBLANK(JV$3:JV$9))*(JV$3:JV$9&gt;$LE$3:$LE$9))+ISBLANK(JV$3:JV$9))</f>
        <v>0</v>
      </c>
      <c r="JW17" s="1">
        <f>SUMPRODUCT((NOT(ISBLANK(JW$3:JW$9))*(JW$3:JW$9&gt;$LF$3:$LF$9))+ISBLANK(JW$3:JW$9))</f>
        <v>0</v>
      </c>
      <c r="JX17" s="1">
        <f>SUMPRODUCT((NOT(ISBLANK(JX$3:JX$9))*(JX$3:JX$9&gt;$LG$3:$LG$9))+ISBLANK(JX$3:JX$9))</f>
        <v>0</v>
      </c>
      <c r="JY17" s="1">
        <f>SUMPRODUCT((NOT(ISBLANK(JY$3:JY$9))*(JY$3:JY$9&gt;$LH$3:$LH$9))+ISBLANK(JY$3:JY$9))</f>
        <v>0</v>
      </c>
      <c r="JZ17" s="1"/>
      <c r="KA17" s="1">
        <f>SUMPRODUCT((NOT(ISBLANK(KA$3:KA$9))*(KA$3:KA$9&gt;$LI$3:$LI$9))+ISBLANK(KA$3:KA$9))</f>
        <v>0</v>
      </c>
      <c r="KB17" s="1">
        <f>SUMPRODUCT((NOT(ISBLANK(KB$3:KB$9))*(KB$3:KB$9&gt;$LJ$3:$LJ$9))+ISBLANK(KB$3:KB$9))</f>
        <v>0</v>
      </c>
      <c r="KC17" s="1">
        <f>SUMPRODUCT((NOT(ISBLANK(KC$3:KC$9))*(KC$3:KC$9&gt;$LK$3:$LK$9))+ISBLANK(KC$3:KC$9))</f>
        <v>0</v>
      </c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</row>
    <row r="18" spans="1:340">
      <c r="A18" s="1" t="s">
        <v>14</v>
      </c>
      <c r="B18" s="1">
        <f>SUMPRODUCT((NOT(ISBLANK(B$3:B$9))*(B$3:B$9=$LL$3:$LL$9))+ISBLANK(B$3:B$9))</f>
        <v>0</v>
      </c>
      <c r="C18" s="1">
        <f>SUMPRODUCT((NOT(ISBLANK(C$3:C$9))*(C$3:C$9=$LM$3:$LM$9))+ISBLANK(C$3:C$9))</f>
        <v>0</v>
      </c>
      <c r="D18" s="1">
        <f>SUMPRODUCT((NOT(ISBLANK(D$3:D$9))*(D$3:D$9=$LN$3:$LN$9))+ISBLANK(D$3:D$9))</f>
        <v>0</v>
      </c>
      <c r="E18" s="1">
        <f>SUMPRODUCT((NOT(ISBLANK(E$3:E$9))*(E$3:E$9=$LO$3:$LO$9))+ISBLANK(E$3:E$9))</f>
        <v>0</v>
      </c>
      <c r="F18" s="1">
        <f>SUMPRODUCT((NOT(ISBLANK(F$3:F$9))*(F$3:F$9=$LP$3:$LP$9))+ISBLANK(F$3:F$9))</f>
        <v>0</v>
      </c>
      <c r="G18" s="1">
        <f>SUMPRODUCT((NOT(ISBLANK(G$3:G$9))*(G$3:G$9=$LQ$3:$LQ$9))+ISBLANK(G$3:G$9))</f>
        <v>0</v>
      </c>
      <c r="H18" s="1">
        <f>SUMPRODUCT((NOT(ISBLANK(H$3:H$9))*(H$3:H$9=$LR$3:$LR$9))+ISBLANK(H$3:H$9))</f>
        <v>0</v>
      </c>
      <c r="I18" s="1">
        <f>SUMPRODUCT((NOT(ISBLANK(I$3:I$9))*(I$3:I$9=$LS$3:$LS$9))+ISBLANK(I$3:I$9))</f>
        <v>0</v>
      </c>
      <c r="J18" s="1">
        <f>SUMPRODUCT((NOT(ISBLANK(J$3:J$9))*(J$3:J$9=$LT$3:$LT$9))+ISBLANK(J$3:J$9))</f>
        <v>0</v>
      </c>
      <c r="K18" s="1">
        <f>SUMPRODUCT((NOT(ISBLANK(K$3:K$9))*(K$3:K$9=$LU$3:$LU$9))+ISBLANK(K$3:K$9))</f>
        <v>0</v>
      </c>
      <c r="L18" s="1">
        <f>SUMPRODUCT((NOT(ISBLANK(L$3:L$9))*(L$3:L$9=$LV$3:$LV$9))+ISBLANK(L$3:L$9))</f>
        <v>0</v>
      </c>
      <c r="M18" s="1">
        <f>SUMPRODUCT((NOT(ISBLANK(M$3:M$9))*(M$3:M$9=$LW$3:$LW$9))+ISBLANK(M$3:M$9))</f>
        <v>0</v>
      </c>
      <c r="N18" s="1">
        <f>SUMPRODUCT((NOT(ISBLANK(N$3:N$9))*(N$3:N$9=$LX$3:$LX$9))+ISBLANK(N$3:N$9))</f>
        <v>0</v>
      </c>
      <c r="O18" s="1">
        <f>SUMPRODUCT((NOT(ISBLANK(O$3:O$9))*(O$3:O$9=$LY$3:$LY$9))+ISBLANK(O$3:O$9))</f>
        <v>0</v>
      </c>
      <c r="P18" s="1"/>
      <c r="Q18" s="1">
        <f>SUMPRODUCT((NOT(ISBLANK(Q$3:Q$9))*(Q$3:Q$9=$LZ$3:$LZ$9))+ISBLANK(Q$3:Q$9))</f>
        <v>0</v>
      </c>
      <c r="R18" s="1">
        <f>SUMPRODUCT((NOT(ISBLANK(R$3:R$9))*(R$3:R$9=$MA$3:$MA$9))+ISBLANK(R$3:R$9))</f>
        <v>0</v>
      </c>
      <c r="S18" s="1">
        <f>SUMPRODUCT((NOT(ISBLANK(S$3:S$9))*(S$3:S$9=$MB$3:$MB$9))+ISBLANK(S$3:S$9))</f>
        <v>0</v>
      </c>
      <c r="T18" s="1">
        <f>SUMPRODUCT((NOT(ISBLANK(T$3:T$9))*(T$3:T$9=$LL$3:$LL$9))+ISBLANK(T$3:T$9))</f>
        <v>0</v>
      </c>
      <c r="U18" s="1">
        <f>SUMPRODUCT((NOT(ISBLANK(U$3:U$9))*(U$3:U$9=$LM$3:$LM$9))+ISBLANK(U$3:U$9))</f>
        <v>0</v>
      </c>
      <c r="V18" s="1">
        <f>SUMPRODUCT((NOT(ISBLANK(V$3:V$9))*(V$3:V$9=$LN$3:$LN$9))+ISBLANK(V$3:V$9))</f>
        <v>0</v>
      </c>
      <c r="W18" s="1">
        <f>SUMPRODUCT((NOT(ISBLANK(W$3:W$9))*(W$3:W$9=$LO$3:$LO$9))+ISBLANK(W$3:W$9))</f>
        <v>0</v>
      </c>
      <c r="X18" s="1">
        <f>SUMPRODUCT((NOT(ISBLANK(X$3:X$9))*(X$3:X$9=$LP$3:$LP$9))+ISBLANK(X$3:X$9))</f>
        <v>0</v>
      </c>
      <c r="Y18" s="1">
        <f>SUMPRODUCT((NOT(ISBLANK(Y$3:Y$9))*(Y$3:Y$9=$LQ$3:$LQ$9))+ISBLANK(Y$3:Y$9))</f>
        <v>0</v>
      </c>
      <c r="Z18" s="1">
        <f>SUMPRODUCT((NOT(ISBLANK(Z$3:Z$9))*(Z$3:Z$9=$LR$3:$LR$9))+ISBLANK(Z$3:Z$9))</f>
        <v>0</v>
      </c>
      <c r="AA18" s="1">
        <f>SUMPRODUCT((NOT(ISBLANK(AA$3:AA$9))*(AA$3:AA$9=$LS$3:$LS$9))+ISBLANK(AA$3:AA$9))</f>
        <v>0</v>
      </c>
      <c r="AB18" s="1">
        <f>SUMPRODUCT((NOT(ISBLANK(AB$3:AB$9))*(AB$3:AB$9=$LT$3:$LT$9))+ISBLANK(AB$3:AB$9))</f>
        <v>0</v>
      </c>
      <c r="AC18" s="1">
        <f>SUMPRODUCT((NOT(ISBLANK(AC$3:AC$9))*(AC$3:AC$9=$LU$3:$LU$9))+ISBLANK(AC$3:AC$9))</f>
        <v>0</v>
      </c>
      <c r="AD18" s="1">
        <f>SUMPRODUCT((NOT(ISBLANK(AD$3:AD$9))*(AD$3:AD$9=$LV$3:$LV$9))+ISBLANK(AD$3:AD$9))</f>
        <v>0</v>
      </c>
      <c r="AE18" s="1">
        <f>SUMPRODUCT((NOT(ISBLANK(AE$3:AE$9))*(AE$3:AE$9=$LW$3:$LW$9))+ISBLANK(AE$3:AE$9))</f>
        <v>0</v>
      </c>
      <c r="AF18" s="1">
        <f>SUMPRODUCT((NOT(ISBLANK(AF$3:AF$9))*(AF$3:AF$9=$LX$3:$LX$9))+ISBLANK(AF$3:AF$9))</f>
        <v>0</v>
      </c>
      <c r="AG18" s="1">
        <f>SUMPRODUCT((NOT(ISBLANK(AG$3:AG$9))*(AG$3:AG$9=$LY$3:$LY$9))+ISBLANK(AG$3:AG$9))</f>
        <v>0</v>
      </c>
      <c r="AH18" s="1"/>
      <c r="AI18" s="1">
        <f>SUMPRODUCT((NOT(ISBLANK(AI$3:AI$9))*(AI$3:AI$9=$LZ$3:$LZ$9))+ISBLANK(AI$3:AI$9))</f>
        <v>0</v>
      </c>
      <c r="AJ18" s="1">
        <f>SUMPRODUCT((NOT(ISBLANK(AJ$3:AJ$9))*(AJ$3:AJ$9=$MA$3:$MA$9))+ISBLANK(AJ$3:AJ$9))</f>
        <v>0</v>
      </c>
      <c r="AK18" s="1">
        <f>SUMPRODUCT((NOT(ISBLANK(AK$3:AK$9))*(AK$3:AK$9=$MB$3:$MB$9))+ISBLANK(AK$3:AK$9))</f>
        <v>0</v>
      </c>
      <c r="AL18" s="1">
        <f>SUMPRODUCT((NOT(ISBLANK(AL$3:AL$9))*(AL$3:AL$9=$LL$3:$LL$9))+ISBLANK(AL$3:AL$9))</f>
        <v>0</v>
      </c>
      <c r="AM18" s="1">
        <f>SUMPRODUCT((NOT(ISBLANK(AM$3:AM$9))*(AM$3:AM$9=$LM$3:$LM$9))+ISBLANK(AM$3:AM$9))</f>
        <v>0</v>
      </c>
      <c r="AN18" s="1">
        <f>SUMPRODUCT((NOT(ISBLANK(AN$3:AN$9))*(AN$3:AN$9=$LN$3:$LN$9))+ISBLANK(AN$3:AN$9))</f>
        <v>0</v>
      </c>
      <c r="AO18" s="1">
        <f>SUMPRODUCT((NOT(ISBLANK(AO$3:AO$9))*(AO$3:AO$9=$LO$3:$LO$9))+ISBLANK(AO$3:AO$9))</f>
        <v>0</v>
      </c>
      <c r="AP18" s="1">
        <f>SUMPRODUCT((NOT(ISBLANK(AP$3:AP$9))*(AP$3:AP$9=$LP$3:$LP$9))+ISBLANK(AP$3:AP$9))</f>
        <v>0</v>
      </c>
      <c r="AQ18" s="1">
        <f>SUMPRODUCT((NOT(ISBLANK(AQ$3:AQ$9))*(AQ$3:AQ$9=$LQ$3:$LQ$9))+ISBLANK(AQ$3:AQ$9))</f>
        <v>0</v>
      </c>
      <c r="AR18" s="1">
        <f>SUMPRODUCT((NOT(ISBLANK(AR$3:AR$9))*(AR$3:AR$9=$LR$3:$LR$9))+ISBLANK(AR$3:AR$9))</f>
        <v>0</v>
      </c>
      <c r="AS18" s="1">
        <f>SUMPRODUCT((NOT(ISBLANK(AS$3:AS$9))*(AS$3:AS$9=$LS$3:$LS$9))+ISBLANK(AS$3:AS$9))</f>
        <v>0</v>
      </c>
      <c r="AT18" s="1">
        <f>SUMPRODUCT((NOT(ISBLANK(AT$3:AT$9))*(AT$3:AT$9=$LT$3:$LT$9))+ISBLANK(AT$3:AT$9))</f>
        <v>0</v>
      </c>
      <c r="AU18" s="1">
        <f>SUMPRODUCT((NOT(ISBLANK(AU$3:AU$9))*(AU$3:AU$9=$LU$3:$LU$9))+ISBLANK(AU$3:AU$9))</f>
        <v>0</v>
      </c>
      <c r="AV18" s="1">
        <f>SUMPRODUCT((NOT(ISBLANK(AV$3:AV$9))*(AV$3:AV$9=$LV$3:$LV$9))+ISBLANK(AV$3:AV$9))</f>
        <v>0</v>
      </c>
      <c r="AW18" s="1">
        <f>SUMPRODUCT((NOT(ISBLANK(AW$3:AW$9))*(AW$3:AW$9=$LW$3:$LW$9))+ISBLANK(AW$3:AW$9))</f>
        <v>0</v>
      </c>
      <c r="AX18" s="1">
        <f>SUMPRODUCT((NOT(ISBLANK(AX$3:AX$9))*(AX$3:AX$9=$LX$3:$LX$9))+ISBLANK(AX$3:AX$9))</f>
        <v>0</v>
      </c>
      <c r="AY18" s="1">
        <f>SUMPRODUCT((NOT(ISBLANK(AY$3:AY$9))*(AY$3:AY$9=$LY$3:$LY$9))+ISBLANK(AY$3:AY$9))</f>
        <v>0</v>
      </c>
      <c r="AZ18" s="1"/>
      <c r="BA18" s="1">
        <f>SUMPRODUCT((NOT(ISBLANK(BA$3:BA$9))*(BA$3:BA$9=$LZ$3:$LZ$9))+ISBLANK(BA$3:BA$9))</f>
        <v>0</v>
      </c>
      <c r="BB18" s="1">
        <f>SUMPRODUCT((NOT(ISBLANK(BB$3:BB$9))*(BB$3:BB$9=$MA$3:$MA$9))+ISBLANK(BB$3:BB$9))</f>
        <v>0</v>
      </c>
      <c r="BC18" s="1">
        <f>SUMPRODUCT((NOT(ISBLANK(BC$3:BC$9))*(BC$3:BC$9=$MB$3:$MB$9))+ISBLANK(BC$3:BC$9))</f>
        <v>0</v>
      </c>
      <c r="BD18" s="1">
        <f>SUMPRODUCT((NOT(ISBLANK(BD$3:BD$9))*(BD$3:BD$9=$LL$3:$LL$9))+ISBLANK(BD$3:BD$9))</f>
        <v>0</v>
      </c>
      <c r="BE18" s="1">
        <f>SUMPRODUCT((NOT(ISBLANK(BE$3:BE$9))*(BE$3:BE$9=$LM$3:$LM$9))+ISBLANK(BE$3:BE$9))</f>
        <v>0</v>
      </c>
      <c r="BF18" s="1">
        <f>SUMPRODUCT((NOT(ISBLANK(BF$3:BF$9))*(BF$3:BF$9=$LN$3:$LN$9))+ISBLANK(BF$3:BF$9))</f>
        <v>0</v>
      </c>
      <c r="BG18" s="1">
        <f>SUMPRODUCT((NOT(ISBLANK(BG$3:BG$9))*(BG$3:BG$9=$LO$3:$LO$9))+ISBLANK(BG$3:BG$9))</f>
        <v>0</v>
      </c>
      <c r="BH18" s="1">
        <f>SUMPRODUCT((NOT(ISBLANK(BH$3:BH$9))*(BH$3:BH$9=$LP$3:$LP$9))+ISBLANK(BH$3:BH$9))</f>
        <v>0</v>
      </c>
      <c r="BI18" s="1">
        <f>SUMPRODUCT((NOT(ISBLANK(BI$3:BI$9))*(BI$3:BI$9=$LQ$3:$LQ$9))+ISBLANK(BI$3:BI$9))</f>
        <v>0</v>
      </c>
      <c r="BJ18" s="1">
        <f>SUMPRODUCT((NOT(ISBLANK(BJ$3:BJ$9))*(BJ$3:BJ$9=$LR$3:$LR$9))+ISBLANK(BJ$3:BJ$9))</f>
        <v>0</v>
      </c>
      <c r="BK18" s="1">
        <f>SUMPRODUCT((NOT(ISBLANK(BK$3:BK$9))*(BK$3:BK$9=$LS$3:$LS$9))+ISBLANK(BK$3:BK$9))</f>
        <v>0</v>
      </c>
      <c r="BL18" s="1">
        <f>SUMPRODUCT((NOT(ISBLANK(BL$3:BL$9))*(BL$3:BL$9=$LT$3:$LT$9))+ISBLANK(BL$3:BL$9))</f>
        <v>0</v>
      </c>
      <c r="BM18" s="1">
        <f>SUMPRODUCT((NOT(ISBLANK(BM$3:BM$9))*(BM$3:BM$9=$LU$3:$LU$9))+ISBLANK(BM$3:BM$9))</f>
        <v>0</v>
      </c>
      <c r="BN18" s="1">
        <f>SUMPRODUCT((NOT(ISBLANK(BN$3:BN$9))*(BN$3:BN$9=$LV$3:$LV$9))+ISBLANK(BN$3:BN$9))</f>
        <v>0</v>
      </c>
      <c r="BO18" s="1">
        <f>SUMPRODUCT((NOT(ISBLANK(BO$3:BO$9))*(BO$3:BO$9=$LW$3:$LW$9))+ISBLANK(BO$3:BO$9))</f>
        <v>0</v>
      </c>
      <c r="BP18" s="1">
        <f>SUMPRODUCT((NOT(ISBLANK(BP$3:BP$9))*(BP$3:BP$9=$LX$3:$LX$9))+ISBLANK(BP$3:BP$9))</f>
        <v>0</v>
      </c>
      <c r="BQ18" s="1">
        <f>SUMPRODUCT((NOT(ISBLANK(BQ$3:BQ$9))*(BQ$3:BQ$9=$LY$3:$LY$9))+ISBLANK(BQ$3:BQ$9))</f>
        <v>0</v>
      </c>
      <c r="BR18" s="1"/>
      <c r="BS18" s="1">
        <f>SUMPRODUCT((NOT(ISBLANK(BS$3:BS$9))*(BS$3:BS$9=$LZ$3:$LZ$9))+ISBLANK(BS$3:BS$9))</f>
        <v>0</v>
      </c>
      <c r="BT18" s="1">
        <f>SUMPRODUCT((NOT(ISBLANK(BT$3:BT$9))*(BT$3:BT$9=$MA$3:$MA$9))+ISBLANK(BT$3:BT$9))</f>
        <v>0</v>
      </c>
      <c r="BU18" s="1">
        <f>SUMPRODUCT((NOT(ISBLANK(BU$3:BU$9))*(BU$3:BU$9=$MB$3:$MB$9))+ISBLANK(BU$3:BU$9))</f>
        <v>0</v>
      </c>
      <c r="BV18" s="1">
        <f>SUMPRODUCT((NOT(ISBLANK(BV$3:BV$9))*(BV$3:BV$9=$LL$3:$LL$9))+ISBLANK(BV$3:BV$9))</f>
        <v>0</v>
      </c>
      <c r="BW18" s="1">
        <f>SUMPRODUCT((NOT(ISBLANK(BW$3:BW$9))*(BW$3:BW$9=$LM$3:$LM$9))+ISBLANK(BW$3:BW$9))</f>
        <v>0</v>
      </c>
      <c r="BX18" s="1">
        <f>SUMPRODUCT((NOT(ISBLANK(BX$3:BX$9))*(BX$3:BX$9=$LN$3:$LN$9))+ISBLANK(BX$3:BX$9))</f>
        <v>0</v>
      </c>
      <c r="BY18" s="1">
        <f>SUMPRODUCT((NOT(ISBLANK(BY$3:BY$9))*(BY$3:BY$9=$LO$3:$LO$9))+ISBLANK(BY$3:BY$9))</f>
        <v>0</v>
      </c>
      <c r="BZ18" s="1">
        <f>SUMPRODUCT((NOT(ISBLANK(BZ$3:BZ$9))*(BZ$3:BZ$9=$LP$3:$LP$9))+ISBLANK(BZ$3:BZ$9))</f>
        <v>0</v>
      </c>
      <c r="CA18" s="1">
        <f>SUMPRODUCT((NOT(ISBLANK(CA$3:CA$9))*(CA$3:CA$9=$LQ$3:$LQ$9))+ISBLANK(CA$3:CA$9))</f>
        <v>0</v>
      </c>
      <c r="CB18" s="1">
        <f>SUMPRODUCT((NOT(ISBLANK(CB$3:CB$9))*(CB$3:CB$9=$LR$3:$LR$9))+ISBLANK(CB$3:CB$9))</f>
        <v>0</v>
      </c>
      <c r="CC18" s="1">
        <f>SUMPRODUCT((NOT(ISBLANK(CC$3:CC$9))*(CC$3:CC$9=$LS$3:$LS$9))+ISBLANK(CC$3:CC$9))</f>
        <v>0</v>
      </c>
      <c r="CD18" s="1">
        <f>SUMPRODUCT((NOT(ISBLANK(CD$3:CD$9))*(CD$3:CD$9=$LT$3:$LT$9))+ISBLANK(CD$3:CD$9))</f>
        <v>0</v>
      </c>
      <c r="CE18" s="1">
        <f>SUMPRODUCT((NOT(ISBLANK(CE$3:CE$9))*(CE$3:CE$9=$LU$3:$LU$9))+ISBLANK(CE$3:CE$9))</f>
        <v>0</v>
      </c>
      <c r="CF18" s="1">
        <f>SUMPRODUCT((NOT(ISBLANK(CF$3:CF$9))*(CF$3:CF$9=$LV$3:$LV$9))+ISBLANK(CF$3:CF$9))</f>
        <v>0</v>
      </c>
      <c r="CG18" s="1">
        <f>SUMPRODUCT((NOT(ISBLANK(CG$3:CG$9))*(CG$3:CG$9=$LW$3:$LW$9))+ISBLANK(CG$3:CG$9))</f>
        <v>0</v>
      </c>
      <c r="CH18" s="1">
        <f>SUMPRODUCT((NOT(ISBLANK(CH$3:CH$9))*(CH$3:CH$9=$LX$3:$LX$9))+ISBLANK(CH$3:CH$9))</f>
        <v>0</v>
      </c>
      <c r="CI18" s="1">
        <f>SUMPRODUCT((NOT(ISBLANK(CI$3:CI$9))*(CI$3:CI$9=$LY$3:$LY$9))+ISBLANK(CI$3:CI$9))</f>
        <v>0</v>
      </c>
      <c r="CJ18" s="1"/>
      <c r="CK18" s="1">
        <f>SUMPRODUCT((NOT(ISBLANK(CK$3:CK$9))*(CK$3:CK$9=$LZ$3:$LZ$9))+ISBLANK(CK$3:CK$9))</f>
        <v>0</v>
      </c>
      <c r="CL18" s="1">
        <f>SUMPRODUCT((NOT(ISBLANK(CL$3:CL$9))*(CL$3:CL$9=$MA$3:$MA$9))+ISBLANK(CL$3:CL$9))</f>
        <v>0</v>
      </c>
      <c r="CM18" s="1">
        <f>SUMPRODUCT((NOT(ISBLANK(CM$3:CM$9))*(CM$3:CM$9=$MB$3:$MB$9))+ISBLANK(CM$3:CM$9))</f>
        <v>0</v>
      </c>
      <c r="CN18" s="1">
        <f>SUMPRODUCT((NOT(ISBLANK(CN$3:CN$9))*(CN$3:CN$9=$LL$3:$LL$9))+ISBLANK(CN$3:CN$9))</f>
        <v>0</v>
      </c>
      <c r="CO18" s="1">
        <f>SUMPRODUCT((NOT(ISBLANK(CO$3:CO$9))*(CO$3:CO$9=$LM$3:$LM$9))+ISBLANK(CO$3:CO$9))</f>
        <v>0</v>
      </c>
      <c r="CP18" s="1">
        <f>SUMPRODUCT((NOT(ISBLANK(CP$3:CP$9))*(CP$3:CP$9=$LN$3:$LN$9))+ISBLANK(CP$3:CP$9))</f>
        <v>0</v>
      </c>
      <c r="CQ18" s="1">
        <f>SUMPRODUCT((NOT(ISBLANK(CQ$3:CQ$9))*(CQ$3:CQ$9=$LO$3:$LO$9))+ISBLANK(CQ$3:CQ$9))</f>
        <v>0</v>
      </c>
      <c r="CR18" s="1">
        <f>SUMPRODUCT((NOT(ISBLANK(CR$3:CR$9))*(CR$3:CR$9=$LP$3:$LP$9))+ISBLANK(CR$3:CR$9))</f>
        <v>0</v>
      </c>
      <c r="CS18" s="1">
        <f>SUMPRODUCT((NOT(ISBLANK(CS$3:CS$9))*(CS$3:CS$9=$LQ$3:$LQ$9))+ISBLANK(CS$3:CS$9))</f>
        <v>0</v>
      </c>
      <c r="CT18" s="1">
        <f>SUMPRODUCT((NOT(ISBLANK(CT$3:CT$9))*(CT$3:CT$9=$LR$3:$LR$9))+ISBLANK(CT$3:CT$9))</f>
        <v>0</v>
      </c>
      <c r="CU18" s="1">
        <f>SUMPRODUCT((NOT(ISBLANK(CU$3:CU$9))*(CU$3:CU$9=$LS$3:$LS$9))+ISBLANK(CU$3:CU$9))</f>
        <v>0</v>
      </c>
      <c r="CV18" s="1">
        <f>SUMPRODUCT((NOT(ISBLANK(CV$3:CV$9))*(CV$3:CV$9=$LT$3:$LT$9))+ISBLANK(CV$3:CV$9))</f>
        <v>0</v>
      </c>
      <c r="CW18" s="1">
        <f>SUMPRODUCT((NOT(ISBLANK(CW$3:CW$9))*(CW$3:CW$9=$LU$3:$LU$9))+ISBLANK(CW$3:CW$9))</f>
        <v>0</v>
      </c>
      <c r="CX18" s="1">
        <f>SUMPRODUCT((NOT(ISBLANK(CX$3:CX$9))*(CX$3:CX$9=$LV$3:$LV$9))+ISBLANK(CX$3:CX$9))</f>
        <v>0</v>
      </c>
      <c r="CY18" s="1">
        <f>SUMPRODUCT((NOT(ISBLANK(CY$3:CY$9))*(CY$3:CY$9=$LW$3:$LW$9))+ISBLANK(CY$3:CY$9))</f>
        <v>0</v>
      </c>
      <c r="CZ18" s="1">
        <f>SUMPRODUCT((NOT(ISBLANK(CZ$3:CZ$9))*(CZ$3:CZ$9=$LX$3:$LX$9))+ISBLANK(CZ$3:CZ$9))</f>
        <v>0</v>
      </c>
      <c r="DA18" s="1">
        <f>SUMPRODUCT((NOT(ISBLANK(DA$3:DA$9))*(DA$3:DA$9=$LY$3:$LY$9))+ISBLANK(DA$3:DA$9))</f>
        <v>0</v>
      </c>
      <c r="DB18" s="1"/>
      <c r="DC18" s="1">
        <f>SUMPRODUCT((NOT(ISBLANK(DC$3:DC$9))*(DC$3:DC$9=$LZ$3:$LZ$9))+ISBLANK(DC$3:DC$9))</f>
        <v>0</v>
      </c>
      <c r="DD18" s="1">
        <f>SUMPRODUCT((NOT(ISBLANK(DD$3:DD$9))*(DD$3:DD$9=$MA$3:$MA$9))+ISBLANK(DD$3:DD$9))</f>
        <v>0</v>
      </c>
      <c r="DE18" s="1">
        <f>SUMPRODUCT((NOT(ISBLANK(DE$3:DE$9))*(DE$3:DE$9=$MB$3:$MB$9))+ISBLANK(DE$3:DE$9))</f>
        <v>0</v>
      </c>
      <c r="DF18" s="1">
        <f>SUMPRODUCT((NOT(ISBLANK(DF$3:DF$9))*(DF$3:DF$9=$LL$3:$LL$9))+ISBLANK(DF$3:DF$9))</f>
        <v>0</v>
      </c>
      <c r="DG18" s="1">
        <f>SUMPRODUCT((NOT(ISBLANK(DG$3:DG$9))*(DG$3:DG$9=$LM$3:$LM$9))+ISBLANK(DG$3:DG$9))</f>
        <v>0</v>
      </c>
      <c r="DH18" s="1">
        <f>SUMPRODUCT((NOT(ISBLANK(DH$3:DH$9))*(DH$3:DH$9=$LN$3:$LN$9))+ISBLANK(DH$3:DH$9))</f>
        <v>0</v>
      </c>
      <c r="DI18" s="1">
        <f>SUMPRODUCT((NOT(ISBLANK(DI$3:DI$9))*(DI$3:DI$9=$LO$3:$LO$9))+ISBLANK(DI$3:DI$9))</f>
        <v>0</v>
      </c>
      <c r="DJ18" s="1">
        <f>SUMPRODUCT((NOT(ISBLANK(DJ$3:DJ$9))*(DJ$3:DJ$9=$LP$3:$LP$9))+ISBLANK(DJ$3:DJ$9))</f>
        <v>0</v>
      </c>
      <c r="DK18" s="1">
        <f>SUMPRODUCT((NOT(ISBLANK(DK$3:DK$9))*(DK$3:DK$9=$LQ$3:$LQ$9))+ISBLANK(DK$3:DK$9))</f>
        <v>0</v>
      </c>
      <c r="DL18" s="1">
        <f>SUMPRODUCT((NOT(ISBLANK(DL$3:DL$9))*(DL$3:DL$9=$LR$3:$LR$9))+ISBLANK(DL$3:DL$9))</f>
        <v>0</v>
      </c>
      <c r="DM18" s="1">
        <f>SUMPRODUCT((NOT(ISBLANK(DM$3:DM$9))*(DM$3:DM$9=$LS$3:$LS$9))+ISBLANK(DM$3:DM$9))</f>
        <v>0</v>
      </c>
      <c r="DN18" s="1">
        <f>SUMPRODUCT((NOT(ISBLANK(DN$3:DN$9))*(DN$3:DN$9=$LT$3:$LT$9))+ISBLANK(DN$3:DN$9))</f>
        <v>0</v>
      </c>
      <c r="DO18" s="1">
        <f>SUMPRODUCT((NOT(ISBLANK(DO$3:DO$9))*(DO$3:DO$9=$LU$3:$LU$9))+ISBLANK(DO$3:DO$9))</f>
        <v>0</v>
      </c>
      <c r="DP18" s="1">
        <f>SUMPRODUCT((NOT(ISBLANK(DP$3:DP$9))*(DP$3:DP$9=$LV$3:$LV$9))+ISBLANK(DP$3:DP$9))</f>
        <v>0</v>
      </c>
      <c r="DQ18" s="1">
        <f>SUMPRODUCT((NOT(ISBLANK(DQ$3:DQ$9))*(DQ$3:DQ$9=$LW$3:$LW$9))+ISBLANK(DQ$3:DQ$9))</f>
        <v>0</v>
      </c>
      <c r="DR18" s="1">
        <f>SUMPRODUCT((NOT(ISBLANK(DR$3:DR$9))*(DR$3:DR$9=$LX$3:$LX$9))+ISBLANK(DR$3:DR$9))</f>
        <v>0</v>
      </c>
      <c r="DS18" s="1">
        <f>SUMPRODUCT((NOT(ISBLANK(DS$3:DS$9))*(DS$3:DS$9=$LY$3:$LY$9))+ISBLANK(DS$3:DS$9))</f>
        <v>0</v>
      </c>
      <c r="DT18" s="1"/>
      <c r="DU18" s="1">
        <f>SUMPRODUCT((NOT(ISBLANK(DU$3:DU$9))*(DU$3:DU$9=$LZ$3:$LZ$9))+ISBLANK(DU$3:DU$9))</f>
        <v>0</v>
      </c>
      <c r="DV18" s="1">
        <f>SUMPRODUCT((NOT(ISBLANK(DV$3:DV$9))*(DV$3:DV$9=$MA$3:$MA$9))+ISBLANK(DV$3:DV$9))</f>
        <v>0</v>
      </c>
      <c r="DW18" s="1">
        <f>SUMPRODUCT((NOT(ISBLANK(DW$3:DW$9))*(DW$3:DW$9=$MB$3:$MB$9))+ISBLANK(DW$3:DW$9))</f>
        <v>0</v>
      </c>
      <c r="DX18" s="1">
        <f>SUMPRODUCT((NOT(ISBLANK(DX$3:DX$9))*(DX$3:DX$9=$LL$3:$LL$9))+ISBLANK(DX$3:DX$9))</f>
        <v>0</v>
      </c>
      <c r="DY18" s="1">
        <f>SUMPRODUCT((NOT(ISBLANK(DY$3:DY$9))*(DY$3:DY$9=$LM$3:$LM$9))+ISBLANK(DY$3:DY$9))</f>
        <v>0</v>
      </c>
      <c r="DZ18" s="1">
        <f>SUMPRODUCT((NOT(ISBLANK(DZ$3:DZ$9))*(DZ$3:DZ$9=$LN$3:$LN$9))+ISBLANK(DZ$3:DZ$9))</f>
        <v>0</v>
      </c>
      <c r="EA18" s="1">
        <f>SUMPRODUCT((NOT(ISBLANK(EA$3:EA$9))*(EA$3:EA$9=$LO$3:$LO$9))+ISBLANK(EA$3:EA$9))</f>
        <v>0</v>
      </c>
      <c r="EB18" s="1">
        <f>SUMPRODUCT((NOT(ISBLANK(EB$3:EB$9))*(EB$3:EB$9=$LP$3:$LP$9))+ISBLANK(EB$3:EB$9))</f>
        <v>0</v>
      </c>
      <c r="EC18" s="1">
        <f>SUMPRODUCT((NOT(ISBLANK(EC$3:EC$9))*(EC$3:EC$9=$LQ$3:$LQ$9))+ISBLANK(EC$3:EC$9))</f>
        <v>0</v>
      </c>
      <c r="ED18" s="1">
        <f>SUMPRODUCT((NOT(ISBLANK(ED$3:ED$9))*(ED$3:ED$9=$LR$3:$LR$9))+ISBLANK(ED$3:ED$9))</f>
        <v>0</v>
      </c>
      <c r="EE18" s="1">
        <f>SUMPRODUCT((NOT(ISBLANK(EE$3:EE$9))*(EE$3:EE$9=$LS$3:$LS$9))+ISBLANK(EE$3:EE$9))</f>
        <v>0</v>
      </c>
      <c r="EF18" s="1">
        <f>SUMPRODUCT((NOT(ISBLANK(EF$3:EF$9))*(EF$3:EF$9=$LT$3:$LT$9))+ISBLANK(EF$3:EF$9))</f>
        <v>0</v>
      </c>
      <c r="EG18" s="1">
        <f>SUMPRODUCT((NOT(ISBLANK(EG$3:EG$9))*(EG$3:EG$9=$LU$3:$LU$9))+ISBLANK(EG$3:EG$9))</f>
        <v>0</v>
      </c>
      <c r="EH18" s="1">
        <f>SUMPRODUCT((NOT(ISBLANK(EH$3:EH$9))*(EH$3:EH$9=$LV$3:$LV$9))+ISBLANK(EH$3:EH$9))</f>
        <v>0</v>
      </c>
      <c r="EI18" s="1">
        <f>SUMPRODUCT((NOT(ISBLANK(EI$3:EI$9))*(EI$3:EI$9=$LW$3:$LW$9))+ISBLANK(EI$3:EI$9))</f>
        <v>0</v>
      </c>
      <c r="EJ18" s="1">
        <f>SUMPRODUCT((NOT(ISBLANK(EJ$3:EJ$9))*(EJ$3:EJ$9=$LX$3:$LX$9))+ISBLANK(EJ$3:EJ$9))</f>
        <v>0</v>
      </c>
      <c r="EK18" s="1">
        <f>SUMPRODUCT((NOT(ISBLANK(EK$3:EK$9))*(EK$3:EK$9=$LY$3:$LY$9))+ISBLANK(EK$3:EK$9))</f>
        <v>0</v>
      </c>
      <c r="EL18" s="1"/>
      <c r="EM18" s="1">
        <f>SUMPRODUCT((NOT(ISBLANK(EM$3:EM$9))*(EM$3:EM$9=$LZ$3:$LZ$9))+ISBLANK(EM$3:EM$9))</f>
        <v>0</v>
      </c>
      <c r="EN18" s="1">
        <f>SUMPRODUCT((NOT(ISBLANK(EN$3:EN$9))*(EN$3:EN$9=$MA$3:$MA$9))+ISBLANK(EN$3:EN$9))</f>
        <v>0</v>
      </c>
      <c r="EO18" s="1">
        <f>SUMPRODUCT((NOT(ISBLANK(EO$3:EO$9))*(EO$3:EO$9=$MB$3:$MB$9))+ISBLANK(EO$3:EO$9))</f>
        <v>0</v>
      </c>
      <c r="EP18" s="1">
        <f>SUMPRODUCT((NOT(ISBLANK(EP$3:EP$9))*(EP$3:EP$9=$LL$3:$LL$9))+ISBLANK(EP$3:EP$9))</f>
        <v>0</v>
      </c>
      <c r="EQ18" s="1">
        <f>SUMPRODUCT((NOT(ISBLANK(EQ$3:EQ$9))*(EQ$3:EQ$9=$LM$3:$LM$9))+ISBLANK(EQ$3:EQ$9))</f>
        <v>0</v>
      </c>
      <c r="ER18" s="1">
        <f>SUMPRODUCT((NOT(ISBLANK(ER$3:ER$9))*(ER$3:ER$9=$LN$3:$LN$9))+ISBLANK(ER$3:ER$9))</f>
        <v>0</v>
      </c>
      <c r="ES18" s="1">
        <f>SUMPRODUCT((NOT(ISBLANK(ES$3:ES$9))*(ES$3:ES$9=$LO$3:$LO$9))+ISBLANK(ES$3:ES$9))</f>
        <v>0</v>
      </c>
      <c r="ET18" s="1">
        <f>SUMPRODUCT((NOT(ISBLANK(ET$3:ET$9))*(ET$3:ET$9=$LP$3:$LP$9))+ISBLANK(ET$3:ET$9))</f>
        <v>0</v>
      </c>
      <c r="EU18" s="1">
        <f>SUMPRODUCT((NOT(ISBLANK(EU$3:EU$9))*(EU$3:EU$9=$LQ$3:$LQ$9))+ISBLANK(EU$3:EU$9))</f>
        <v>0</v>
      </c>
      <c r="EV18" s="1">
        <f>SUMPRODUCT((NOT(ISBLANK(EV$3:EV$9))*(EV$3:EV$9=$LR$3:$LR$9))+ISBLANK(EV$3:EV$9))</f>
        <v>0</v>
      </c>
      <c r="EW18" s="1">
        <f>SUMPRODUCT((NOT(ISBLANK(EW$3:EW$9))*(EW$3:EW$9=$LS$3:$LS$9))+ISBLANK(EW$3:EW$9))</f>
        <v>0</v>
      </c>
      <c r="EX18" s="1">
        <f>SUMPRODUCT((NOT(ISBLANK(EX$3:EX$9))*(EX$3:EX$9=$LT$3:$LT$9))+ISBLANK(EX$3:EX$9))</f>
        <v>0</v>
      </c>
      <c r="EY18" s="1">
        <f>SUMPRODUCT((NOT(ISBLANK(EY$3:EY$9))*(EY$3:EY$9=$LU$3:$LU$9))+ISBLANK(EY$3:EY$9))</f>
        <v>0</v>
      </c>
      <c r="EZ18" s="1">
        <f>SUMPRODUCT((NOT(ISBLANK(EZ$3:EZ$9))*(EZ$3:EZ$9=$LV$3:$LV$9))+ISBLANK(EZ$3:EZ$9))</f>
        <v>0</v>
      </c>
      <c r="FA18" s="1">
        <f>SUMPRODUCT((NOT(ISBLANK(FA$3:FA$9))*(FA$3:FA$9=$LW$3:$LW$9))+ISBLANK(FA$3:FA$9))</f>
        <v>0</v>
      </c>
      <c r="FB18" s="1">
        <f>SUMPRODUCT((NOT(ISBLANK(FB$3:FB$9))*(FB$3:FB$9=$LX$3:$LX$9))+ISBLANK(FB$3:FB$9))</f>
        <v>0</v>
      </c>
      <c r="FC18" s="1">
        <f>SUMPRODUCT((NOT(ISBLANK(FC$3:FC$9))*(FC$3:FC$9=$LY$3:$LY$9))+ISBLANK(FC$3:FC$9))</f>
        <v>0</v>
      </c>
      <c r="FD18" s="1"/>
      <c r="FE18" s="1">
        <f>SUMPRODUCT((NOT(ISBLANK(FE$3:FE$9))*(FE$3:FE$9=$LZ$3:$LZ$9))+ISBLANK(FE$3:FE$9))</f>
        <v>0</v>
      </c>
      <c r="FF18" s="1">
        <f>SUMPRODUCT((NOT(ISBLANK(FF$3:FF$9))*(FF$3:FF$9=$MA$3:$MA$9))+ISBLANK(FF$3:FF$9))</f>
        <v>0</v>
      </c>
      <c r="FG18" s="1">
        <f>SUMPRODUCT((NOT(ISBLANK(FG$3:FG$9))*(FG$3:FG$9=$MB$3:$MB$9))+ISBLANK(FG$3:FG$9))</f>
        <v>0</v>
      </c>
      <c r="FH18" s="1">
        <f>SUMPRODUCT((NOT(ISBLANK(FH$3:FH$9))*(FH$3:FH$9=$LL$3:$LL$9))+ISBLANK(FH$3:FH$9))</f>
        <v>0</v>
      </c>
      <c r="FI18" s="1">
        <f>SUMPRODUCT((NOT(ISBLANK(FI$3:FI$9))*(FI$3:FI$9=$LM$3:$LM$9))+ISBLANK(FI$3:FI$9))</f>
        <v>0</v>
      </c>
      <c r="FJ18" s="1">
        <f>SUMPRODUCT((NOT(ISBLANK(FJ$3:FJ$9))*(FJ$3:FJ$9=$LN$3:$LN$9))+ISBLANK(FJ$3:FJ$9))</f>
        <v>0</v>
      </c>
      <c r="FK18" s="1">
        <f>SUMPRODUCT((NOT(ISBLANK(FK$3:FK$9))*(FK$3:FK$9=$LO$3:$LO$9))+ISBLANK(FK$3:FK$9))</f>
        <v>0</v>
      </c>
      <c r="FL18" s="1">
        <f>SUMPRODUCT((NOT(ISBLANK(FL$3:FL$9))*(FL$3:FL$9=$LP$3:$LP$9))+ISBLANK(FL$3:FL$9))</f>
        <v>0</v>
      </c>
      <c r="FM18" s="1">
        <f>SUMPRODUCT((NOT(ISBLANK(FM$3:FM$9))*(FM$3:FM$9=$LQ$3:$LQ$9))+ISBLANK(FM$3:FM$9))</f>
        <v>0</v>
      </c>
      <c r="FN18" s="1">
        <f>SUMPRODUCT((NOT(ISBLANK(FN$3:FN$9))*(FN$3:FN$9=$LR$3:$LR$9))+ISBLANK(FN$3:FN$9))</f>
        <v>0</v>
      </c>
      <c r="FO18" s="1">
        <f>SUMPRODUCT((NOT(ISBLANK(FO$3:FO$9))*(FO$3:FO$9=$LS$3:$LS$9))+ISBLANK(FO$3:FO$9))</f>
        <v>0</v>
      </c>
      <c r="FP18" s="1">
        <f>SUMPRODUCT((NOT(ISBLANK(FP$3:FP$9))*(FP$3:FP$9=$LT$3:$LT$9))+ISBLANK(FP$3:FP$9))</f>
        <v>0</v>
      </c>
      <c r="FQ18" s="1">
        <f>SUMPRODUCT((NOT(ISBLANK(FQ$3:FQ$9))*(FQ$3:FQ$9=$LU$3:$LU$9))+ISBLANK(FQ$3:FQ$9))</f>
        <v>0</v>
      </c>
      <c r="FR18" s="1">
        <f>SUMPRODUCT((NOT(ISBLANK(FR$3:FR$9))*(FR$3:FR$9=$LV$3:$LV$9))+ISBLANK(FR$3:FR$9))</f>
        <v>0</v>
      </c>
      <c r="FS18" s="1">
        <f>SUMPRODUCT((NOT(ISBLANK(FS$3:FS$9))*(FS$3:FS$9=$LW$3:$LW$9))+ISBLANK(FS$3:FS$9))</f>
        <v>0</v>
      </c>
      <c r="FT18" s="1">
        <f>SUMPRODUCT((NOT(ISBLANK(FT$3:FT$9))*(FT$3:FT$9=$LX$3:$LX$9))+ISBLANK(FT$3:FT$9))</f>
        <v>0</v>
      </c>
      <c r="FU18" s="1">
        <f>SUMPRODUCT((NOT(ISBLANK(FU$3:FU$9))*(FU$3:FU$9=$LY$3:$LY$9))+ISBLANK(FU$3:FU$9))</f>
        <v>0</v>
      </c>
      <c r="FV18" s="1"/>
      <c r="FW18" s="1">
        <f>SUMPRODUCT((NOT(ISBLANK(FW$3:FW$9))*(FW$3:FW$9=$LZ$3:$LZ$9))+ISBLANK(FW$3:FW$9))</f>
        <v>0</v>
      </c>
      <c r="FX18" s="1">
        <f>SUMPRODUCT((NOT(ISBLANK(FX$3:FX$9))*(FX$3:FX$9=$MA$3:$MA$9))+ISBLANK(FX$3:FX$9))</f>
        <v>0</v>
      </c>
      <c r="FY18" s="1">
        <f>SUMPRODUCT((NOT(ISBLANK(FY$3:FY$9))*(FY$3:FY$9=$MB$3:$MB$9))+ISBLANK(FY$3:FY$9))</f>
        <v>0</v>
      </c>
      <c r="FZ18" s="1">
        <f>SUMPRODUCT((NOT(ISBLANK(FZ$3:FZ$9))*(FZ$3:FZ$9=$LL$3:$LL$9))+ISBLANK(FZ$3:FZ$9))</f>
        <v>0</v>
      </c>
      <c r="GA18" s="1">
        <f>SUMPRODUCT((NOT(ISBLANK(GA$3:GA$9))*(GA$3:GA$9=$LM$3:$LM$9))+ISBLANK(GA$3:GA$9))</f>
        <v>0</v>
      </c>
      <c r="GB18" s="1">
        <f>SUMPRODUCT((NOT(ISBLANK(GB$3:GB$9))*(GB$3:GB$9=$LN$3:$LN$9))+ISBLANK(GB$3:GB$9))</f>
        <v>0</v>
      </c>
      <c r="GC18" s="1">
        <f>SUMPRODUCT((NOT(ISBLANK(GC$3:GC$9))*(GC$3:GC$9=$LO$3:$LO$9))+ISBLANK(GC$3:GC$9))</f>
        <v>0</v>
      </c>
      <c r="GD18" s="1">
        <f>SUMPRODUCT((NOT(ISBLANK(GD$3:GD$9))*(GD$3:GD$9=$LP$3:$LP$9))+ISBLANK(GD$3:GD$9))</f>
        <v>0</v>
      </c>
      <c r="GE18" s="1">
        <f>SUMPRODUCT((NOT(ISBLANK(GE$3:GE$9))*(GE$3:GE$9=$LQ$3:$LQ$9))+ISBLANK(GE$3:GE$9))</f>
        <v>0</v>
      </c>
      <c r="GF18" s="1">
        <f>SUMPRODUCT((NOT(ISBLANK(GF$3:GF$9))*(GF$3:GF$9=$LR$3:$LR$9))+ISBLANK(GF$3:GF$9))</f>
        <v>0</v>
      </c>
      <c r="GG18" s="1">
        <f>SUMPRODUCT((NOT(ISBLANK(GG$3:GG$9))*(GG$3:GG$9=$LS$3:$LS$9))+ISBLANK(GG$3:GG$9))</f>
        <v>0</v>
      </c>
      <c r="GH18" s="1">
        <f>SUMPRODUCT((NOT(ISBLANK(GH$3:GH$9))*(GH$3:GH$9=$LT$3:$LT$9))+ISBLANK(GH$3:GH$9))</f>
        <v>0</v>
      </c>
      <c r="GI18" s="1">
        <f>SUMPRODUCT((NOT(ISBLANK(GI$3:GI$9))*(GI$3:GI$9=$LU$3:$LU$9))+ISBLANK(GI$3:GI$9))</f>
        <v>0</v>
      </c>
      <c r="GJ18" s="1">
        <f>SUMPRODUCT((NOT(ISBLANK(GJ$3:GJ$9))*(GJ$3:GJ$9=$LV$3:$LV$9))+ISBLANK(GJ$3:GJ$9))</f>
        <v>0</v>
      </c>
      <c r="GK18" s="1">
        <f>SUMPRODUCT((NOT(ISBLANK(GK$3:GK$9))*(GK$3:GK$9=$LW$3:$LW$9))+ISBLANK(GK$3:GK$9))</f>
        <v>0</v>
      </c>
      <c r="GL18" s="1">
        <f>SUMPRODUCT((NOT(ISBLANK(GL$3:GL$9))*(GL$3:GL$9=$LX$3:$LX$9))+ISBLANK(GL$3:GL$9))</f>
        <v>0</v>
      </c>
      <c r="GM18" s="1">
        <f>SUMPRODUCT((NOT(ISBLANK(GM$3:GM$9))*(GM$3:GM$9=$LY$3:$LY$9))+ISBLANK(GM$3:GM$9))</f>
        <v>0</v>
      </c>
      <c r="GN18" s="1"/>
      <c r="GO18" s="1">
        <f>SUMPRODUCT((NOT(ISBLANK(GO$3:GO$9))*(GO$3:GO$9=$LZ$3:$LZ$9))+ISBLANK(GO$3:GO$9))</f>
        <v>0</v>
      </c>
      <c r="GP18" s="1">
        <f>SUMPRODUCT((NOT(ISBLANK(GP$3:GP$9))*(GP$3:GP$9=$MA$3:$MA$9))+ISBLANK(GP$3:GP$9))</f>
        <v>0</v>
      </c>
      <c r="GQ18" s="1">
        <f>SUMPRODUCT((NOT(ISBLANK(GQ$3:GQ$9))*(GQ$3:GQ$9=$MB$3:$MB$9))+ISBLANK(GQ$3:GQ$9))</f>
        <v>0</v>
      </c>
      <c r="GR18" s="1">
        <f>SUMPRODUCT((NOT(ISBLANK(GR$3:GR$9))*(GR$3:GR$9=$LL$3:$LL$9))+ISBLANK(GR$3:GR$9))</f>
        <v>0</v>
      </c>
      <c r="GS18" s="1">
        <f>SUMPRODUCT((NOT(ISBLANK(GS$3:GS$9))*(GS$3:GS$9=$LM$3:$LM$9))+ISBLANK(GS$3:GS$9))</f>
        <v>0</v>
      </c>
      <c r="GT18" s="1">
        <f>SUMPRODUCT((NOT(ISBLANK(GT$3:GT$9))*(GT$3:GT$9=$LN$3:$LN$9))+ISBLANK(GT$3:GT$9))</f>
        <v>0</v>
      </c>
      <c r="GU18" s="1">
        <f>SUMPRODUCT((NOT(ISBLANK(GU$3:GU$9))*(GU$3:GU$9=$LO$3:$LO$9))+ISBLANK(GU$3:GU$9))</f>
        <v>0</v>
      </c>
      <c r="GV18" s="1">
        <f>SUMPRODUCT((NOT(ISBLANK(GV$3:GV$9))*(GV$3:GV$9=$LP$3:$LP$9))+ISBLANK(GV$3:GV$9))</f>
        <v>0</v>
      </c>
      <c r="GW18" s="1">
        <f>SUMPRODUCT((NOT(ISBLANK(GW$3:GW$9))*(GW$3:GW$9=$LQ$3:$LQ$9))+ISBLANK(GW$3:GW$9))</f>
        <v>0</v>
      </c>
      <c r="GX18" s="1">
        <f>SUMPRODUCT((NOT(ISBLANK(GX$3:GX$9))*(GX$3:GX$9=$LR$3:$LR$9))+ISBLANK(GX$3:GX$9))</f>
        <v>0</v>
      </c>
      <c r="GY18" s="1">
        <f>SUMPRODUCT((NOT(ISBLANK(GY$3:GY$9))*(GY$3:GY$9=$LS$3:$LS$9))+ISBLANK(GY$3:GY$9))</f>
        <v>0</v>
      </c>
      <c r="GZ18" s="1">
        <f>SUMPRODUCT((NOT(ISBLANK(GZ$3:GZ$9))*(GZ$3:GZ$9=$LT$3:$LT$9))+ISBLANK(GZ$3:GZ$9))</f>
        <v>0</v>
      </c>
      <c r="HA18" s="1">
        <f>SUMPRODUCT((NOT(ISBLANK(HA$3:HA$9))*(HA$3:HA$9=$LU$3:$LU$9))+ISBLANK(HA$3:HA$9))</f>
        <v>0</v>
      </c>
      <c r="HB18" s="1">
        <f>SUMPRODUCT((NOT(ISBLANK(HB$3:HB$9))*(HB$3:HB$9=$LV$3:$LV$9))+ISBLANK(HB$3:HB$9))</f>
        <v>0</v>
      </c>
      <c r="HC18" s="1">
        <f>SUMPRODUCT((NOT(ISBLANK(HC$3:HC$9))*(HC$3:HC$9=$LW$3:$LW$9))+ISBLANK(HC$3:HC$9))</f>
        <v>0</v>
      </c>
      <c r="HD18" s="1">
        <f>SUMPRODUCT((NOT(ISBLANK(HD$3:HD$9))*(HD$3:HD$9=$LX$3:$LX$9))+ISBLANK(HD$3:HD$9))</f>
        <v>0</v>
      </c>
      <c r="HE18" s="1">
        <f>SUMPRODUCT((NOT(ISBLANK(HE$3:HE$9))*(HE$3:HE$9=$LY$3:$LY$9))+ISBLANK(HE$3:HE$9))</f>
        <v>0</v>
      </c>
      <c r="HF18" s="1"/>
      <c r="HG18" s="1">
        <f>SUMPRODUCT((NOT(ISBLANK(HG$3:HG$9))*(HG$3:HG$9=$LZ$3:$LZ$9))+ISBLANK(HG$3:HG$9))</f>
        <v>0</v>
      </c>
      <c r="HH18" s="1">
        <f>SUMPRODUCT((NOT(ISBLANK(HH$3:HH$9))*(HH$3:HH$9=$MA$3:$MA$9))+ISBLANK(HH$3:HH$9))</f>
        <v>0</v>
      </c>
      <c r="HI18" s="1">
        <f>SUMPRODUCT((NOT(ISBLANK(HI$3:HI$9))*(HI$3:HI$9=$MB$3:$MB$9))+ISBLANK(HI$3:HI$9))</f>
        <v>0</v>
      </c>
      <c r="HJ18" s="1">
        <f>SUMPRODUCT((NOT(ISBLANK(HJ$3:HJ$9))*(HJ$3:HJ$9=$LL$3:$LL$9))+ISBLANK(HJ$3:HJ$9))</f>
        <v>0</v>
      </c>
      <c r="HK18" s="1">
        <f>SUMPRODUCT((NOT(ISBLANK(HK$3:HK$9))*(HK$3:HK$9=$LM$3:$LM$9))+ISBLANK(HK$3:HK$9))</f>
        <v>0</v>
      </c>
      <c r="HL18" s="1">
        <f>SUMPRODUCT((NOT(ISBLANK(HL$3:HL$9))*(HL$3:HL$9=$LN$3:$LN$9))+ISBLANK(HL$3:HL$9))</f>
        <v>0</v>
      </c>
      <c r="HM18" s="1">
        <f>SUMPRODUCT((NOT(ISBLANK(HM$3:HM$9))*(HM$3:HM$9=$LO$3:$LO$9))+ISBLANK(HM$3:HM$9))</f>
        <v>0</v>
      </c>
      <c r="HN18" s="1">
        <f>SUMPRODUCT((NOT(ISBLANK(HN$3:HN$9))*(HN$3:HN$9=$LP$3:$LP$9))+ISBLANK(HN$3:HN$9))</f>
        <v>0</v>
      </c>
      <c r="HO18" s="1">
        <f>SUMPRODUCT((NOT(ISBLANK(HO$3:HO$9))*(HO$3:HO$9=$LQ$3:$LQ$9))+ISBLANK(HO$3:HO$9))</f>
        <v>0</v>
      </c>
      <c r="HP18" s="1">
        <f>SUMPRODUCT((NOT(ISBLANK(HP$3:HP$9))*(HP$3:HP$9=$LR$3:$LR$9))+ISBLANK(HP$3:HP$9))</f>
        <v>0</v>
      </c>
      <c r="HQ18" s="1">
        <f>SUMPRODUCT((NOT(ISBLANK(HQ$3:HQ$9))*(HQ$3:HQ$9=$LS$3:$LS$9))+ISBLANK(HQ$3:HQ$9))</f>
        <v>0</v>
      </c>
      <c r="HR18" s="1">
        <f>SUMPRODUCT((NOT(ISBLANK(HR$3:HR$9))*(HR$3:HR$9=$LT$3:$LT$9))+ISBLANK(HR$3:HR$9))</f>
        <v>0</v>
      </c>
      <c r="HS18" s="1">
        <f>SUMPRODUCT((NOT(ISBLANK(HS$3:HS$9))*(HS$3:HS$9=$LU$3:$LU$9))+ISBLANK(HS$3:HS$9))</f>
        <v>0</v>
      </c>
      <c r="HT18" s="1">
        <f>SUMPRODUCT((NOT(ISBLANK(HT$3:HT$9))*(HT$3:HT$9=$LV$3:$LV$9))+ISBLANK(HT$3:HT$9))</f>
        <v>0</v>
      </c>
      <c r="HU18" s="1">
        <f>SUMPRODUCT((NOT(ISBLANK(HU$3:HU$9))*(HU$3:HU$9=$LW$3:$LW$9))+ISBLANK(HU$3:HU$9))</f>
        <v>0</v>
      </c>
      <c r="HV18" s="1">
        <f>SUMPRODUCT((NOT(ISBLANK(HV$3:HV$9))*(HV$3:HV$9=$LX$3:$LX$9))+ISBLANK(HV$3:HV$9))</f>
        <v>0</v>
      </c>
      <c r="HW18" s="1">
        <f>SUMPRODUCT((NOT(ISBLANK(HW$3:HW$9))*(HW$3:HW$9=$LY$3:$LY$9))+ISBLANK(HW$3:HW$9))</f>
        <v>0</v>
      </c>
      <c r="HX18" s="1"/>
      <c r="HY18" s="1">
        <f>SUMPRODUCT((NOT(ISBLANK(HY$3:HY$9))*(HY$3:HY$9=$LZ$3:$LZ$9))+ISBLANK(HY$3:HY$9))</f>
        <v>0</v>
      </c>
      <c r="HZ18" s="1">
        <f>SUMPRODUCT((NOT(ISBLANK(HZ$3:HZ$9))*(HZ$3:HZ$9=$MA$3:$MA$9))+ISBLANK(HZ$3:HZ$9))</f>
        <v>0</v>
      </c>
      <c r="IA18" s="1">
        <f>SUMPRODUCT((NOT(ISBLANK(IA$3:IA$9))*(IA$3:IA$9=$MB$3:$MB$9))+ISBLANK(IA$3:IA$9))</f>
        <v>0</v>
      </c>
      <c r="IB18" s="1">
        <f>SUMPRODUCT((NOT(ISBLANK(IB$3:IB$9))*(IB$3:IB$9=$LL$3:$LL$9))+ISBLANK(IB$3:IB$9))</f>
        <v>0</v>
      </c>
      <c r="IC18" s="1">
        <f>SUMPRODUCT((NOT(ISBLANK(IC$3:IC$9))*(IC$3:IC$9=$LM$3:$LM$9))+ISBLANK(IC$3:IC$9))</f>
        <v>0</v>
      </c>
      <c r="ID18" s="1">
        <f>SUMPRODUCT((NOT(ISBLANK(ID$3:ID$9))*(ID$3:ID$9=$LN$3:$LN$9))+ISBLANK(ID$3:ID$9))</f>
        <v>0</v>
      </c>
      <c r="IE18" s="1">
        <f>SUMPRODUCT((NOT(ISBLANK(IE$3:IE$9))*(IE$3:IE$9=$LO$3:$LO$9))+ISBLANK(IE$3:IE$9))</f>
        <v>0</v>
      </c>
      <c r="IF18" s="1">
        <f>SUMPRODUCT((NOT(ISBLANK(IF$3:IF$9))*(IF$3:IF$9=$LP$3:$LP$9))+ISBLANK(IF$3:IF$9))</f>
        <v>0</v>
      </c>
      <c r="IG18" s="1">
        <f>SUMPRODUCT((NOT(ISBLANK(IG$3:IG$9))*(IG$3:IG$9=$LQ$3:$LQ$9))+ISBLANK(IG$3:IG$9))</f>
        <v>0</v>
      </c>
      <c r="IH18" s="1">
        <f>SUMPRODUCT((NOT(ISBLANK(IH$3:IH$9))*(IH$3:IH$9=$LR$3:$LR$9))+ISBLANK(IH$3:IH$9))</f>
        <v>0</v>
      </c>
      <c r="II18" s="1">
        <f>SUMPRODUCT((NOT(ISBLANK(II$3:II$9))*(II$3:II$9=$LS$3:$LS$9))+ISBLANK(II$3:II$9))</f>
        <v>0</v>
      </c>
      <c r="IJ18" s="1">
        <f>SUMPRODUCT((NOT(ISBLANK(IJ$3:IJ$9))*(IJ$3:IJ$9=$LT$3:$LT$9))+ISBLANK(IJ$3:IJ$9))</f>
        <v>0</v>
      </c>
      <c r="IK18" s="1">
        <f>SUMPRODUCT((NOT(ISBLANK(IK$3:IK$9))*(IK$3:IK$9=$LU$3:$LU$9))+ISBLANK(IK$3:IK$9))</f>
        <v>0</v>
      </c>
      <c r="IL18" s="1">
        <f>SUMPRODUCT((NOT(ISBLANK(IL$3:IL$9))*(IL$3:IL$9=$LV$3:$LV$9))+ISBLANK(IL$3:IL$9))</f>
        <v>0</v>
      </c>
      <c r="IM18" s="1">
        <f>SUMPRODUCT((NOT(ISBLANK(IM$3:IM$9))*(IM$3:IM$9=$LW$3:$LW$9))+ISBLANK(IM$3:IM$9))</f>
        <v>0</v>
      </c>
      <c r="IN18" s="1">
        <f>SUMPRODUCT((NOT(ISBLANK(IN$3:IN$9))*(IN$3:IN$9=$LX$3:$LX$9))+ISBLANK(IN$3:IN$9))</f>
        <v>0</v>
      </c>
      <c r="IO18" s="1">
        <f>SUMPRODUCT((NOT(ISBLANK(IO$3:IO$9))*(IO$3:IO$9=$LY$3:$LY$9))+ISBLANK(IO$3:IO$9))</f>
        <v>0</v>
      </c>
      <c r="IP18" s="1"/>
      <c r="IQ18" s="1">
        <f>SUMPRODUCT((NOT(ISBLANK(IQ$3:IQ$9))*(IQ$3:IQ$9=$LZ$3:$LZ$9))+ISBLANK(IQ$3:IQ$9))</f>
        <v>0</v>
      </c>
      <c r="IR18" s="1">
        <f>SUMPRODUCT((NOT(ISBLANK(IR$3:IR$9))*(IR$3:IR$9=$MA$3:$MA$9))+ISBLANK(IR$3:IR$9))</f>
        <v>0</v>
      </c>
      <c r="IS18" s="1">
        <f>SUMPRODUCT((NOT(ISBLANK(IS$3:IS$9))*(IS$3:IS$9=$MB$3:$MB$9))+ISBLANK(IS$3:IS$9))</f>
        <v>0</v>
      </c>
      <c r="IT18" s="1">
        <f>SUMPRODUCT((NOT(ISBLANK(IT$3:IT$9))*(IT$3:IT$9=$LL$3:$LL$9))+ISBLANK(IT$3:IT$9))</f>
        <v>0</v>
      </c>
      <c r="IU18" s="1">
        <f>SUMPRODUCT((NOT(ISBLANK(IU$3:IU$9))*(IU$3:IU$9=$LM$3:$LM$9))+ISBLANK(IU$3:IU$9))</f>
        <v>0</v>
      </c>
      <c r="IV18" s="1">
        <f>SUMPRODUCT((NOT(ISBLANK(IV$3:IV$9))*(IV$3:IV$9=$LN$3:$LN$9))+ISBLANK(IV$3:IV$9))</f>
        <v>0</v>
      </c>
      <c r="IW18" s="1">
        <f>SUMPRODUCT((NOT(ISBLANK(IW$3:IW$9))*(IW$3:IW$9=$LO$3:$LO$9))+ISBLANK(IW$3:IW$9))</f>
        <v>0</v>
      </c>
      <c r="IX18" s="1">
        <f>SUMPRODUCT((NOT(ISBLANK(IX$3:IX$9))*(IX$3:IX$9=$LP$3:$LP$9))+ISBLANK(IX$3:IX$9))</f>
        <v>0</v>
      </c>
      <c r="IY18" s="1">
        <f>SUMPRODUCT((NOT(ISBLANK(IY$3:IY$9))*(IY$3:IY$9=$LQ$3:$LQ$9))+ISBLANK(IY$3:IY$9))</f>
        <v>0</v>
      </c>
      <c r="IZ18" s="1">
        <f>SUMPRODUCT((NOT(ISBLANK(IZ$3:IZ$9))*(IZ$3:IZ$9=$LR$3:$LR$9))+ISBLANK(IZ$3:IZ$9))</f>
        <v>0</v>
      </c>
      <c r="JA18" s="1">
        <f>SUMPRODUCT((NOT(ISBLANK(JA$3:JA$9))*(JA$3:JA$9=$LS$3:$LS$9))+ISBLANK(JA$3:JA$9))</f>
        <v>0</v>
      </c>
      <c r="JB18" s="1">
        <f>SUMPRODUCT((NOT(ISBLANK(JB$3:JB$9))*(JB$3:JB$9=$LT$3:$LT$9))+ISBLANK(JB$3:JB$9))</f>
        <v>0</v>
      </c>
      <c r="JC18" s="1">
        <f>SUMPRODUCT((NOT(ISBLANK(JC$3:JC$9))*(JC$3:JC$9=$LU$3:$LU$9))+ISBLANK(JC$3:JC$9))</f>
        <v>0</v>
      </c>
      <c r="JD18" s="1">
        <f>SUMPRODUCT((NOT(ISBLANK(JD$3:JD$9))*(JD$3:JD$9=$LV$3:$LV$9))+ISBLANK(JD$3:JD$9))</f>
        <v>0</v>
      </c>
      <c r="JE18" s="1">
        <f>SUMPRODUCT((NOT(ISBLANK(JE$3:JE$9))*(JE$3:JE$9=$LW$3:$LW$9))+ISBLANK(JE$3:JE$9))</f>
        <v>0</v>
      </c>
      <c r="JF18" s="1">
        <f>SUMPRODUCT((NOT(ISBLANK(JF$3:JF$9))*(JF$3:JF$9=$LX$3:$LX$9))+ISBLANK(JF$3:JF$9))</f>
        <v>0</v>
      </c>
      <c r="JG18" s="1">
        <f>SUMPRODUCT((NOT(ISBLANK(JG$3:JG$9))*(JG$3:JG$9=$LY$3:$LY$9))+ISBLANK(JG$3:JG$9))</f>
        <v>0</v>
      </c>
      <c r="JH18" s="1"/>
      <c r="JI18" s="1">
        <f>SUMPRODUCT((NOT(ISBLANK(JI$3:JI$9))*(JI$3:JI$9=$LZ$3:$LZ$9))+ISBLANK(JI$3:JI$9))</f>
        <v>0</v>
      </c>
      <c r="JJ18" s="1">
        <f>SUMPRODUCT((NOT(ISBLANK(JJ$3:JJ$9))*(JJ$3:JJ$9=$MA$3:$MA$9))+ISBLANK(JJ$3:JJ$9))</f>
        <v>0</v>
      </c>
      <c r="JK18" s="1">
        <f>SUMPRODUCT((NOT(ISBLANK(JK$3:JK$9))*(JK$3:JK$9=$MB$3:$MB$9))+ISBLANK(JK$3:JK$9))</f>
        <v>0</v>
      </c>
      <c r="JL18" s="1">
        <f>SUMPRODUCT((NOT(ISBLANK(JL$3:JL$9))*(JL$3:JL$9=$LL$3:$LL$9))+ISBLANK(JL$3:JL$9))</f>
        <v>0</v>
      </c>
      <c r="JM18" s="1">
        <f>SUMPRODUCT((NOT(ISBLANK(JM$3:JM$9))*(JM$3:JM$9=$LM$3:$LM$9))+ISBLANK(JM$3:JM$9))</f>
        <v>0</v>
      </c>
      <c r="JN18" s="1">
        <f>SUMPRODUCT((NOT(ISBLANK(JN$3:JN$9))*(JN$3:JN$9=$LN$3:$LN$9))+ISBLANK(JN$3:JN$9))</f>
        <v>0</v>
      </c>
      <c r="JO18" s="1">
        <f>SUMPRODUCT((NOT(ISBLANK(JO$3:JO$9))*(JO$3:JO$9=$LO$3:$LO$9))+ISBLANK(JO$3:JO$9))</f>
        <v>0</v>
      </c>
      <c r="JP18" s="1">
        <f>SUMPRODUCT((NOT(ISBLANK(JP$3:JP$9))*(JP$3:JP$9=$LP$3:$LP$9))+ISBLANK(JP$3:JP$9))</f>
        <v>0</v>
      </c>
      <c r="JQ18" s="1">
        <f>SUMPRODUCT((NOT(ISBLANK(JQ$3:JQ$9))*(JQ$3:JQ$9=$LQ$3:$LQ$9))+ISBLANK(JQ$3:JQ$9))</f>
        <v>0</v>
      </c>
      <c r="JR18" s="1">
        <f>SUMPRODUCT((NOT(ISBLANK(JR$3:JR$9))*(JR$3:JR$9=$LR$3:$LR$9))+ISBLANK(JR$3:JR$9))</f>
        <v>0</v>
      </c>
      <c r="JS18" s="1">
        <f>SUMPRODUCT((NOT(ISBLANK(JS$3:JS$9))*(JS$3:JS$9=$LS$3:$LS$9))+ISBLANK(JS$3:JS$9))</f>
        <v>0</v>
      </c>
      <c r="JT18" s="1">
        <f>SUMPRODUCT((NOT(ISBLANK(JT$3:JT$9))*(JT$3:JT$9=$LT$3:$LT$9))+ISBLANK(JT$3:JT$9))</f>
        <v>0</v>
      </c>
      <c r="JU18" s="1">
        <f>SUMPRODUCT((NOT(ISBLANK(JU$3:JU$9))*(JU$3:JU$9=$LU$3:$LU$9))+ISBLANK(JU$3:JU$9))</f>
        <v>0</v>
      </c>
      <c r="JV18" s="1">
        <f>SUMPRODUCT((NOT(ISBLANK(JV$3:JV$9))*(JV$3:JV$9=$LV$3:$LV$9))+ISBLANK(JV$3:JV$9))</f>
        <v>0</v>
      </c>
      <c r="JW18" s="1">
        <f>SUMPRODUCT((NOT(ISBLANK(JW$3:JW$9))*(JW$3:JW$9=$LW$3:$LW$9))+ISBLANK(JW$3:JW$9))</f>
        <v>0</v>
      </c>
      <c r="JX18" s="1">
        <f>SUMPRODUCT((NOT(ISBLANK(JX$3:JX$9))*(JX$3:JX$9=$LX$3:$LX$9))+ISBLANK(JX$3:JX$9))</f>
        <v>0</v>
      </c>
      <c r="JY18" s="1">
        <f>SUMPRODUCT((NOT(ISBLANK(JY$3:JY$9))*(JY$3:JY$9=$LY$3:$LY$9))+ISBLANK(JY$3:JY$9))</f>
        <v>0</v>
      </c>
      <c r="JZ18" s="1"/>
      <c r="KA18" s="1">
        <f>SUMPRODUCT((NOT(ISBLANK(KA$3:KA$9))*(KA$3:KA$9=$LZ$3:$LZ$9))+ISBLANK(KA$3:KA$9))</f>
        <v>0</v>
      </c>
      <c r="KB18" s="1">
        <f>SUMPRODUCT((NOT(ISBLANK(KB$3:KB$9))*(KB$3:KB$9=$MA$3:$MA$9))+ISBLANK(KB$3:KB$9))</f>
        <v>0</v>
      </c>
      <c r="KC18" s="1">
        <f>SUMPRODUCT((NOT(ISBLANK(KC$3:KC$9))*(KC$3:KC$9=$MB$3:$MB$9))+ISBLANK(KC$3:KC$9))</f>
        <v>0</v>
      </c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B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40" width="11.42578125" customWidth="1"/>
  </cols>
  <sheetData>
    <row r="1" spans="1:340">
      <c r="A1" s="1"/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35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36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37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38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39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40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41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42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43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44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45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46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47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48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49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50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 t="s">
        <v>51</v>
      </c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52</v>
      </c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</row>
    <row r="2" spans="1:340">
      <c r="A2" s="1"/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32</v>
      </c>
      <c r="R2" s="1" t="s">
        <v>33</v>
      </c>
      <c r="S2" s="1" t="s">
        <v>34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32</v>
      </c>
      <c r="AJ2" s="1" t="s">
        <v>33</v>
      </c>
      <c r="AK2" s="1" t="s">
        <v>34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28</v>
      </c>
      <c r="AY2" s="1" t="s">
        <v>29</v>
      </c>
      <c r="AZ2" s="1" t="s">
        <v>30</v>
      </c>
      <c r="BA2" s="1" t="s">
        <v>32</v>
      </c>
      <c r="BB2" s="1" t="s">
        <v>33</v>
      </c>
      <c r="BC2" s="1" t="s">
        <v>34</v>
      </c>
      <c r="BD2" s="1" t="s">
        <v>16</v>
      </c>
      <c r="BE2" s="1" t="s">
        <v>17</v>
      </c>
      <c r="BF2" s="1" t="s">
        <v>18</v>
      </c>
      <c r="BG2" s="1" t="s">
        <v>19</v>
      </c>
      <c r="BH2" s="1" t="s">
        <v>20</v>
      </c>
      <c r="BI2" s="1" t="s">
        <v>21</v>
      </c>
      <c r="BJ2" s="1" t="s">
        <v>22</v>
      </c>
      <c r="BK2" s="1" t="s">
        <v>23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29</v>
      </c>
      <c r="BR2" s="1" t="s">
        <v>30</v>
      </c>
      <c r="BS2" s="1" t="s">
        <v>32</v>
      </c>
      <c r="BT2" s="1" t="s">
        <v>33</v>
      </c>
      <c r="BU2" s="1" t="s">
        <v>34</v>
      </c>
      <c r="BV2" s="1" t="s">
        <v>16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21</v>
      </c>
      <c r="CB2" s="1" t="s">
        <v>22</v>
      </c>
      <c r="CC2" s="1" t="s">
        <v>23</v>
      </c>
      <c r="CD2" s="1" t="s">
        <v>24</v>
      </c>
      <c r="CE2" s="1" t="s">
        <v>25</v>
      </c>
      <c r="CF2" s="1" t="s">
        <v>26</v>
      </c>
      <c r="CG2" s="1" t="s">
        <v>27</v>
      </c>
      <c r="CH2" s="1" t="s">
        <v>28</v>
      </c>
      <c r="CI2" s="1" t="s">
        <v>29</v>
      </c>
      <c r="CJ2" s="1" t="s">
        <v>30</v>
      </c>
      <c r="CK2" s="1" t="s">
        <v>32</v>
      </c>
      <c r="CL2" s="1" t="s">
        <v>33</v>
      </c>
      <c r="CM2" s="1" t="s">
        <v>34</v>
      </c>
      <c r="CN2" s="1" t="s">
        <v>16</v>
      </c>
      <c r="CO2" s="1" t="s">
        <v>17</v>
      </c>
      <c r="CP2" s="1" t="s">
        <v>18</v>
      </c>
      <c r="CQ2" s="1" t="s">
        <v>19</v>
      </c>
      <c r="CR2" s="1" t="s">
        <v>20</v>
      </c>
      <c r="CS2" s="1" t="s">
        <v>21</v>
      </c>
      <c r="CT2" s="1" t="s">
        <v>22</v>
      </c>
      <c r="CU2" s="1" t="s">
        <v>23</v>
      </c>
      <c r="CV2" s="1" t="s">
        <v>24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29</v>
      </c>
      <c r="DB2" s="1" t="s">
        <v>30</v>
      </c>
      <c r="DC2" s="1" t="s">
        <v>32</v>
      </c>
      <c r="DD2" s="1" t="s">
        <v>33</v>
      </c>
      <c r="DE2" s="1" t="s">
        <v>34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20</v>
      </c>
      <c r="DK2" s="1" t="s">
        <v>21</v>
      </c>
      <c r="DL2" s="1" t="s">
        <v>22</v>
      </c>
      <c r="DM2" s="1" t="s">
        <v>23</v>
      </c>
      <c r="DN2" s="1" t="s">
        <v>24</v>
      </c>
      <c r="DO2" s="1" t="s">
        <v>25</v>
      </c>
      <c r="DP2" s="1" t="s">
        <v>26</v>
      </c>
      <c r="DQ2" s="1" t="s">
        <v>27</v>
      </c>
      <c r="DR2" s="1" t="s">
        <v>28</v>
      </c>
      <c r="DS2" s="1" t="s">
        <v>29</v>
      </c>
      <c r="DT2" s="1" t="s">
        <v>30</v>
      </c>
      <c r="DU2" s="1" t="s">
        <v>32</v>
      </c>
      <c r="DV2" s="1" t="s">
        <v>33</v>
      </c>
      <c r="DW2" s="1" t="s">
        <v>34</v>
      </c>
      <c r="DX2" s="1" t="s">
        <v>16</v>
      </c>
      <c r="DY2" s="1" t="s">
        <v>17</v>
      </c>
      <c r="DZ2" s="1" t="s">
        <v>18</v>
      </c>
      <c r="EA2" s="1" t="s">
        <v>19</v>
      </c>
      <c r="EB2" s="1" t="s">
        <v>20</v>
      </c>
      <c r="EC2" s="1" t="s">
        <v>21</v>
      </c>
      <c r="ED2" s="1" t="s">
        <v>22</v>
      </c>
      <c r="EE2" s="1" t="s">
        <v>23</v>
      </c>
      <c r="EF2" s="1" t="s">
        <v>24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29</v>
      </c>
      <c r="EL2" s="1" t="s">
        <v>30</v>
      </c>
      <c r="EM2" s="1" t="s">
        <v>32</v>
      </c>
      <c r="EN2" s="1" t="s">
        <v>33</v>
      </c>
      <c r="EO2" s="1" t="s">
        <v>34</v>
      </c>
      <c r="EP2" s="1" t="s">
        <v>16</v>
      </c>
      <c r="EQ2" s="1" t="s">
        <v>17</v>
      </c>
      <c r="ER2" s="1" t="s">
        <v>18</v>
      </c>
      <c r="ES2" s="1" t="s">
        <v>19</v>
      </c>
      <c r="ET2" s="1" t="s">
        <v>20</v>
      </c>
      <c r="EU2" s="1" t="s">
        <v>21</v>
      </c>
      <c r="EV2" s="1" t="s">
        <v>22</v>
      </c>
      <c r="EW2" s="1" t="s">
        <v>23</v>
      </c>
      <c r="EX2" s="1" t="s">
        <v>24</v>
      </c>
      <c r="EY2" s="1" t="s">
        <v>25</v>
      </c>
      <c r="EZ2" s="1" t="s">
        <v>26</v>
      </c>
      <c r="FA2" s="1" t="s">
        <v>27</v>
      </c>
      <c r="FB2" s="1" t="s">
        <v>28</v>
      </c>
      <c r="FC2" s="1" t="s">
        <v>29</v>
      </c>
      <c r="FD2" s="1" t="s">
        <v>30</v>
      </c>
      <c r="FE2" s="1" t="s">
        <v>32</v>
      </c>
      <c r="FF2" s="1" t="s">
        <v>33</v>
      </c>
      <c r="FG2" s="1" t="s">
        <v>34</v>
      </c>
      <c r="FH2" s="1" t="s">
        <v>16</v>
      </c>
      <c r="FI2" s="1" t="s">
        <v>17</v>
      </c>
      <c r="FJ2" s="1" t="s">
        <v>18</v>
      </c>
      <c r="FK2" s="1" t="s">
        <v>19</v>
      </c>
      <c r="FL2" s="1" t="s">
        <v>20</v>
      </c>
      <c r="FM2" s="1" t="s">
        <v>21</v>
      </c>
      <c r="FN2" s="1" t="s">
        <v>22</v>
      </c>
      <c r="FO2" s="1" t="s">
        <v>23</v>
      </c>
      <c r="FP2" s="1" t="s">
        <v>24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29</v>
      </c>
      <c r="FV2" s="1" t="s">
        <v>30</v>
      </c>
      <c r="FW2" s="1" t="s">
        <v>32</v>
      </c>
      <c r="FX2" s="1" t="s">
        <v>33</v>
      </c>
      <c r="FY2" s="1" t="s">
        <v>34</v>
      </c>
      <c r="FZ2" s="1" t="s">
        <v>16</v>
      </c>
      <c r="GA2" s="1" t="s">
        <v>17</v>
      </c>
      <c r="GB2" s="1" t="s">
        <v>18</v>
      </c>
      <c r="GC2" s="1" t="s">
        <v>19</v>
      </c>
      <c r="GD2" s="1" t="s">
        <v>20</v>
      </c>
      <c r="GE2" s="1" t="s">
        <v>21</v>
      </c>
      <c r="GF2" s="1" t="s">
        <v>22</v>
      </c>
      <c r="GG2" s="1" t="s">
        <v>23</v>
      </c>
      <c r="GH2" s="1" t="s">
        <v>24</v>
      </c>
      <c r="GI2" s="1" t="s">
        <v>25</v>
      </c>
      <c r="GJ2" s="1" t="s">
        <v>26</v>
      </c>
      <c r="GK2" s="1" t="s">
        <v>27</v>
      </c>
      <c r="GL2" s="1" t="s">
        <v>28</v>
      </c>
      <c r="GM2" s="1" t="s">
        <v>29</v>
      </c>
      <c r="GN2" s="1" t="s">
        <v>30</v>
      </c>
      <c r="GO2" s="1" t="s">
        <v>32</v>
      </c>
      <c r="GP2" s="1" t="s">
        <v>33</v>
      </c>
      <c r="GQ2" s="1" t="s">
        <v>34</v>
      </c>
      <c r="GR2" s="1" t="s">
        <v>16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21</v>
      </c>
      <c r="GX2" s="1" t="s">
        <v>22</v>
      </c>
      <c r="GY2" s="1" t="s">
        <v>23</v>
      </c>
      <c r="GZ2" s="1" t="s">
        <v>24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29</v>
      </c>
      <c r="HF2" s="1" t="s">
        <v>30</v>
      </c>
      <c r="HG2" s="1" t="s">
        <v>32</v>
      </c>
      <c r="HH2" s="1" t="s">
        <v>33</v>
      </c>
      <c r="HI2" s="1" t="s">
        <v>34</v>
      </c>
      <c r="HJ2" s="1" t="s">
        <v>16</v>
      </c>
      <c r="HK2" s="1" t="s">
        <v>17</v>
      </c>
      <c r="HL2" s="1" t="s">
        <v>18</v>
      </c>
      <c r="HM2" s="1" t="s">
        <v>19</v>
      </c>
      <c r="HN2" s="1" t="s">
        <v>20</v>
      </c>
      <c r="HO2" s="1" t="s">
        <v>21</v>
      </c>
      <c r="HP2" s="1" t="s">
        <v>22</v>
      </c>
      <c r="HQ2" s="1" t="s">
        <v>23</v>
      </c>
      <c r="HR2" s="1" t="s">
        <v>24</v>
      </c>
      <c r="HS2" s="1" t="s">
        <v>25</v>
      </c>
      <c r="HT2" s="1" t="s">
        <v>26</v>
      </c>
      <c r="HU2" s="1" t="s">
        <v>27</v>
      </c>
      <c r="HV2" s="1" t="s">
        <v>28</v>
      </c>
      <c r="HW2" s="1" t="s">
        <v>29</v>
      </c>
      <c r="HX2" s="1" t="s">
        <v>30</v>
      </c>
      <c r="HY2" s="1" t="s">
        <v>32</v>
      </c>
      <c r="HZ2" s="1" t="s">
        <v>33</v>
      </c>
      <c r="IA2" s="1" t="s">
        <v>34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20</v>
      </c>
      <c r="IG2" s="1" t="s">
        <v>21</v>
      </c>
      <c r="IH2" s="1" t="s">
        <v>22</v>
      </c>
      <c r="II2" s="1" t="s">
        <v>23</v>
      </c>
      <c r="IJ2" s="1" t="s">
        <v>24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29</v>
      </c>
      <c r="IP2" s="1" t="s">
        <v>30</v>
      </c>
      <c r="IQ2" s="1" t="s">
        <v>32</v>
      </c>
      <c r="IR2" s="1" t="s">
        <v>33</v>
      </c>
      <c r="IS2" s="1" t="s">
        <v>34</v>
      </c>
      <c r="IT2" s="1" t="s">
        <v>16</v>
      </c>
      <c r="IU2" s="1" t="s">
        <v>17</v>
      </c>
      <c r="IV2" s="1" t="s">
        <v>18</v>
      </c>
      <c r="IW2" s="1" t="s">
        <v>19</v>
      </c>
      <c r="IX2" s="1" t="s">
        <v>20</v>
      </c>
      <c r="IY2" s="1" t="s">
        <v>21</v>
      </c>
      <c r="IZ2" s="1" t="s">
        <v>22</v>
      </c>
      <c r="JA2" s="1" t="s">
        <v>23</v>
      </c>
      <c r="JB2" s="1" t="s">
        <v>24</v>
      </c>
      <c r="JC2" s="1" t="s">
        <v>25</v>
      </c>
      <c r="JD2" s="1" t="s">
        <v>26</v>
      </c>
      <c r="JE2" s="1" t="s">
        <v>27</v>
      </c>
      <c r="JF2" s="1" t="s">
        <v>28</v>
      </c>
      <c r="JG2" s="1" t="s">
        <v>29</v>
      </c>
      <c r="JH2" s="1" t="s">
        <v>30</v>
      </c>
      <c r="JI2" s="1" t="s">
        <v>32</v>
      </c>
      <c r="JJ2" s="1" t="s">
        <v>33</v>
      </c>
      <c r="JK2" s="1" t="s">
        <v>34</v>
      </c>
      <c r="JL2" s="1" t="s">
        <v>16</v>
      </c>
      <c r="JM2" s="1" t="s">
        <v>17</v>
      </c>
      <c r="JN2" s="1" t="s">
        <v>18</v>
      </c>
      <c r="JO2" s="1" t="s">
        <v>19</v>
      </c>
      <c r="JP2" s="1" t="s">
        <v>20</v>
      </c>
      <c r="JQ2" s="1" t="s">
        <v>21</v>
      </c>
      <c r="JR2" s="1" t="s">
        <v>22</v>
      </c>
      <c r="JS2" s="1" t="s">
        <v>23</v>
      </c>
      <c r="JT2" s="1" t="s">
        <v>24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29</v>
      </c>
      <c r="JZ2" s="1" t="s">
        <v>30</v>
      </c>
      <c r="KA2" s="1" t="s">
        <v>32</v>
      </c>
      <c r="KB2" s="1" t="s">
        <v>33</v>
      </c>
      <c r="KC2" s="1" t="s">
        <v>34</v>
      </c>
      <c r="KD2" s="1" t="s">
        <v>16</v>
      </c>
      <c r="KE2" s="1" t="s">
        <v>17</v>
      </c>
      <c r="KF2" s="1" t="s">
        <v>18</v>
      </c>
      <c r="KG2" s="1" t="s">
        <v>19</v>
      </c>
      <c r="KH2" s="1" t="s">
        <v>20</v>
      </c>
      <c r="KI2" s="1" t="s">
        <v>21</v>
      </c>
      <c r="KJ2" s="1" t="s">
        <v>22</v>
      </c>
      <c r="KK2" s="1" t="s">
        <v>23</v>
      </c>
      <c r="KL2" s="1" t="s">
        <v>24</v>
      </c>
      <c r="KM2" s="1" t="s">
        <v>25</v>
      </c>
      <c r="KN2" s="1" t="s">
        <v>26</v>
      </c>
      <c r="KO2" s="1" t="s">
        <v>27</v>
      </c>
      <c r="KP2" s="1" t="s">
        <v>28</v>
      </c>
      <c r="KQ2" s="1" t="s">
        <v>29</v>
      </c>
      <c r="KR2" s="1" t="s">
        <v>32</v>
      </c>
      <c r="KS2" s="1" t="s">
        <v>33</v>
      </c>
      <c r="KT2" s="1" t="s">
        <v>34</v>
      </c>
      <c r="KU2" s="1" t="s">
        <v>16</v>
      </c>
      <c r="KV2" s="1" t="s">
        <v>17</v>
      </c>
      <c r="KW2" s="1" t="s">
        <v>18</v>
      </c>
      <c r="KX2" s="1" t="s">
        <v>19</v>
      </c>
      <c r="KY2" s="1" t="s">
        <v>20</v>
      </c>
      <c r="KZ2" s="1" t="s">
        <v>21</v>
      </c>
      <c r="LA2" s="1" t="s">
        <v>22</v>
      </c>
      <c r="LB2" s="1" t="s">
        <v>23</v>
      </c>
      <c r="LC2" s="1" t="s">
        <v>24</v>
      </c>
      <c r="LD2" s="1" t="s">
        <v>25</v>
      </c>
      <c r="LE2" s="1" t="s">
        <v>26</v>
      </c>
      <c r="LF2" s="1" t="s">
        <v>27</v>
      </c>
      <c r="LG2" s="1" t="s">
        <v>28</v>
      </c>
      <c r="LH2" s="1" t="s">
        <v>29</v>
      </c>
      <c r="LI2" s="1" t="s">
        <v>32</v>
      </c>
      <c r="LJ2" s="1" t="s">
        <v>33</v>
      </c>
      <c r="LK2" s="1" t="s">
        <v>34</v>
      </c>
      <c r="LL2" s="1" t="s">
        <v>16</v>
      </c>
      <c r="LM2" s="1" t="s">
        <v>17</v>
      </c>
      <c r="LN2" s="1" t="s">
        <v>18</v>
      </c>
      <c r="LO2" s="1" t="s">
        <v>19</v>
      </c>
      <c r="LP2" s="1" t="s">
        <v>20</v>
      </c>
      <c r="LQ2" s="1" t="s">
        <v>21</v>
      </c>
      <c r="LR2" s="1" t="s">
        <v>22</v>
      </c>
      <c r="LS2" s="1" t="s">
        <v>23</v>
      </c>
      <c r="LT2" s="1" t="s">
        <v>24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29</v>
      </c>
      <c r="LZ2" s="1" t="s">
        <v>32</v>
      </c>
      <c r="MA2" s="1" t="s">
        <v>33</v>
      </c>
      <c r="MB2" s="1" t="s">
        <v>34</v>
      </c>
    </row>
    <row r="3" spans="1:340">
      <c r="A3" s="1" t="s">
        <v>54</v>
      </c>
      <c r="B3" s="1">
        <f>AVERAGE(Instances!B3:Instances!B5)</f>
        <v>0</v>
      </c>
      <c r="C3" s="1">
        <f>AVERAGE(Instances!C3:Instances!C5)</f>
        <v>0</v>
      </c>
      <c r="D3" s="1">
        <f>AVERAGE(Instances!D3:Instances!D5)</f>
        <v>0</v>
      </c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>
        <f>AVERAGE(Instances!K3:Instances!K5)</f>
        <v>0</v>
      </c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/>
      <c r="Q3" s="1">
        <f>AVERAGE(Instances!Q3:Instances!Q5)</f>
        <v>0</v>
      </c>
      <c r="R3" s="1">
        <f>SUM(Instances!R3:Instances!R5)</f>
        <v>0</v>
      </c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>
        <f>AVERAGE(Instances!Y3:Instances!Y5)</f>
        <v>0</v>
      </c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>
        <f>AVERAGE(Instances!AF3:Instances!AF5)</f>
        <v>0</v>
      </c>
      <c r="AG3" s="1">
        <f>AVERAGE(Instances!AG3:Instances!AG5)</f>
        <v>0</v>
      </c>
      <c r="AH3" s="1"/>
      <c r="AI3" s="1">
        <f>AVERAGE(Instances!AI3:Instances!AI5)</f>
        <v>0</v>
      </c>
      <c r="AJ3" s="1">
        <f>SUM(Instances!AJ3:Instances!AJ5)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>
        <f>AVERAGE(Instances!AM3:Instances!AM5)</f>
        <v>0</v>
      </c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>
        <f>AVERAGE(Instances!AT3:Instances!AT5)</f>
        <v>0</v>
      </c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/>
      <c r="BA3" s="1">
        <f>AVERAGE(Instances!BA3:Instances!BA5)</f>
        <v>0</v>
      </c>
      <c r="BB3" s="1">
        <f>SUM(Instances!BB3:Instances!BB5)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>
        <f>AVERAGE(Instances!BH3:Instances!BH5)</f>
        <v>0</v>
      </c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>
        <f>AVERAGE(Instances!BO3:Instances!BO5)</f>
        <v>0</v>
      </c>
      <c r="BP3" s="1">
        <f>AVERAGE(Instances!BP3:Instances!BP5)</f>
        <v>0</v>
      </c>
      <c r="BQ3" s="1">
        <f>AVERAGE(Instances!BQ3:Instances!BQ5)</f>
        <v>0</v>
      </c>
      <c r="BR3" s="1"/>
      <c r="BS3" s="1">
        <f>AVERAGE(Instances!BS3:Instances!BS5)</f>
        <v>0</v>
      </c>
      <c r="BT3" s="1">
        <f>SUM(Instances!BT3:Instances!BT5)</f>
        <v>0</v>
      </c>
      <c r="BU3" s="1">
        <f>AVERAGE(Instances!BU3:Instances!BU5)</f>
        <v>0</v>
      </c>
      <c r="BV3" s="1">
        <f>AVERAGE(Instances!BV3:Instances!BV5)</f>
        <v>0</v>
      </c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>
        <f>AVERAGE(Instances!CC3:Instances!CC5)</f>
        <v>0</v>
      </c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SUM(Instances!CL3:Instances!CL5)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>
        <f>AVERAGE(Instances!CP3:Instances!CP5)</f>
        <v>0</v>
      </c>
      <c r="CQ3" s="1">
        <f>AVERAGE(Instances!CQ3:Instances!CQ5)</f>
        <v>0</v>
      </c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>
        <f>AVERAGE(Instances!CV3:Instances!CV5)</f>
        <v>0</v>
      </c>
      <c r="CW3" s="1">
        <f>AVERAGE(Instances!CW3:Instances!CW5)</f>
        <v>0</v>
      </c>
      <c r="CX3" s="1">
        <f>AVERAGE(Instances!CX3:Instances!CX5)</f>
        <v>0</v>
      </c>
      <c r="CY3" s="1">
        <f>AVERAGE(Instances!CY3:Instances!CY5)</f>
        <v>0</v>
      </c>
      <c r="CZ3" s="1">
        <f>AVERAGE(Instances!CZ3:Instances!CZ5)</f>
        <v>0</v>
      </c>
      <c r="DA3" s="1">
        <f>AVERAGE(Instances!DA3:Instances!DA5)</f>
        <v>0</v>
      </c>
      <c r="DB3" s="1"/>
      <c r="DC3" s="1">
        <f>AVERAGE(Instances!DC3:Instances!DC5)</f>
        <v>0</v>
      </c>
      <c r="DD3" s="1">
        <f>SUM(Instances!DD3:Instances!DD5)</f>
        <v>0</v>
      </c>
      <c r="DE3" s="1">
        <f>AVERAGE(Instances!DE3:Instances!DE5)</f>
        <v>0</v>
      </c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>
        <f>AVERAGE(Instances!DJ3:Instances!DJ5)</f>
        <v>0</v>
      </c>
      <c r="DK3" s="1">
        <f>AVERAGE(Instances!DK3:Instances!DK5)</f>
        <v>0</v>
      </c>
      <c r="DL3" s="1">
        <f>AVERAGE(Instances!DL3:Instances!DL5)</f>
        <v>0</v>
      </c>
      <c r="DM3" s="1">
        <f>AVERAGE(Instances!DM3:Instances!DM5)</f>
        <v>0</v>
      </c>
      <c r="DN3" s="1">
        <f>AVERAGE(Instances!DN3:Instances!DN5)</f>
        <v>0</v>
      </c>
      <c r="DO3" s="1">
        <f>AVERAGE(Instances!DO3:Instances!DO5)</f>
        <v>0</v>
      </c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>
        <f>AVERAGE(Instances!DS3:Instances!DS5)</f>
        <v>0</v>
      </c>
      <c r="DT3" s="1"/>
      <c r="DU3" s="1">
        <f>AVERAGE(Instances!DU3:Instances!DU5)</f>
        <v>0</v>
      </c>
      <c r="DV3" s="1">
        <f>SUM(Instances!DV3:Instances!DV5)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>
        <f>AVERAGE(Instances!DY3:Instances!DY5)</f>
        <v>0</v>
      </c>
      <c r="DZ3" s="1">
        <f>AVERAGE(Instances!DZ3:Instances!DZ5)</f>
        <v>0</v>
      </c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>
        <f>AVERAGE(Instances!EF3:Instances!EF5)</f>
        <v>0</v>
      </c>
      <c r="EG3" s="1">
        <f>AVERAGE(Instances!EG3:Instances!EG5)</f>
        <v>0</v>
      </c>
      <c r="EH3" s="1">
        <f>AVERAGE(Instances!EH3:Instances!EH5)</f>
        <v>0</v>
      </c>
      <c r="EI3" s="1">
        <f>AVERAGE(Instances!EI3:Instances!EI5)</f>
        <v>0</v>
      </c>
      <c r="EJ3" s="1">
        <f>AVERAGE(Instances!EJ3:Instances!EJ5)</f>
        <v>0</v>
      </c>
      <c r="EK3" s="1">
        <f>AVERAGE(Instances!EK3:Instances!EK5)</f>
        <v>0</v>
      </c>
      <c r="EL3" s="1"/>
      <c r="EM3" s="1">
        <f>AVERAGE(Instances!EM3:Instances!EM5)</f>
        <v>0</v>
      </c>
      <c r="EN3" s="1">
        <f>SUM(Instances!EN3:Instances!EN5)</f>
        <v>0</v>
      </c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>
        <f>AVERAGE(Instances!EU3:Instances!EU5)</f>
        <v>0</v>
      </c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>
        <f>AVERAGE(Instances!FB3:Instances!FB5)</f>
        <v>0</v>
      </c>
      <c r="FC3" s="1">
        <f>AVERAGE(Instances!FC3:Instances!FC5)</f>
        <v>0</v>
      </c>
      <c r="FD3" s="1"/>
      <c r="FE3" s="1">
        <f>AVERAGE(Instances!FE3:Instances!FE5)</f>
        <v>0</v>
      </c>
      <c r="FF3" s="1">
        <f>SUM(Instances!FF3:Instances!FF5)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>
        <f>AVERAGE(Instances!FI3:Instances!FI5)</f>
        <v>0</v>
      </c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>
        <f>AVERAGE(Instances!FP3:Instances!FP5)</f>
        <v>0</v>
      </c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/>
      <c r="FW3" s="1">
        <f>AVERAGE(Instances!FW3:Instances!FW5)</f>
        <v>0</v>
      </c>
      <c r="FX3" s="1">
        <f>SUM(Instances!FX3:Instances!FX5)</f>
        <v>0</v>
      </c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>
        <f>AVERAGE(Instances!GD3:Instances!GD5)</f>
        <v>0</v>
      </c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>
        <f>AVERAGE(Instances!GK3:Instances!GK5)</f>
        <v>0</v>
      </c>
      <c r="GL3" s="1">
        <f>AVERAGE(Instances!GL3:Instances!GL5)</f>
        <v>0</v>
      </c>
      <c r="GM3" s="1">
        <f>AVERAGE(Instances!GM3:Instances!GM5)</f>
        <v>0</v>
      </c>
      <c r="GN3" s="1"/>
      <c r="GO3" s="1">
        <f>AVERAGE(Instances!GO3:Instances!GO5)</f>
        <v>0</v>
      </c>
      <c r="GP3" s="1">
        <f>SUM(Instances!GP3:Instances!GP5)</f>
        <v>0</v>
      </c>
      <c r="GQ3" s="1">
        <f>AVERAGE(Instances!GQ3:Instances!GQ5)</f>
        <v>0</v>
      </c>
      <c r="GR3" s="1">
        <f>AVERAGE(Instances!GR3:Instances!GR5)</f>
        <v>0</v>
      </c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>
        <f>AVERAGE(Instances!GY3:Instances!GY5)</f>
        <v>0</v>
      </c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SUM(Instances!HH3:Instances!HH5)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>
        <f>AVERAGE(Instances!HM3:Instances!HM5)</f>
        <v>0</v>
      </c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>
        <f>AVERAGE(Instances!HT3:Instances!HT5)</f>
        <v>0</v>
      </c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/>
      <c r="HY3" s="1">
        <f>AVERAGE(Instances!HY3:Instances!HY5)</f>
        <v>0</v>
      </c>
      <c r="HZ3" s="1">
        <f>SUM(Instances!HZ3:Instances!HZ5)</f>
        <v>0</v>
      </c>
      <c r="IA3" s="1">
        <f>AVERAGE(Instances!IA3:Instances!IA5)</f>
        <v>0</v>
      </c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>
        <f>AVERAGE(Instances!IH3:Instances!IH5)</f>
        <v>0</v>
      </c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>
        <f>AVERAGE(Instances!IO3:Instances!IO5)</f>
        <v>0</v>
      </c>
      <c r="IP3" s="1"/>
      <c r="IQ3" s="1">
        <f>AVERAGE(Instances!IQ3:Instances!IQ5)</f>
        <v>0</v>
      </c>
      <c r="IR3" s="1">
        <f>SUM(Instances!IR3:Instances!IR5)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>
        <f>AVERAGE(Instances!IV3:Instances!IV5)</f>
        <v>0</v>
      </c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>
        <f>AVERAGE(Instances!JC3:Instances!JC5)</f>
        <v>0</v>
      </c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/>
      <c r="JI3" s="1">
        <f>AVERAGE(Instances!JI3:Instances!JI5)</f>
        <v>0</v>
      </c>
      <c r="JJ3" s="1">
        <f>SUM(Instances!JJ3:Instances!JJ5)</f>
        <v>0</v>
      </c>
      <c r="JK3" s="1">
        <f>AVERAGE(Instances!JK3:Instances!JK5)</f>
        <v>0</v>
      </c>
      <c r="JL3" s="1">
        <f>AVERAGE(Instances!JL3:Instances!JL5)</f>
        <v>0</v>
      </c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>
        <f>AVERAGE(Instances!JP3:Instances!JP5)</f>
        <v>0</v>
      </c>
      <c r="JQ3" s="1">
        <f>AVERAGE(Instances!JQ3:Instances!JQ5)</f>
        <v>0</v>
      </c>
      <c r="JR3" s="1">
        <f>AVERAGE(Instances!JR3:Instances!JR5)</f>
        <v>0</v>
      </c>
      <c r="JS3" s="1">
        <f>AVERAGE(Instances!JS3:Instances!JS5)</f>
        <v>0</v>
      </c>
      <c r="JT3" s="1">
        <f>AVERAGE(Instances!JT3:Instances!JT5)</f>
        <v>0</v>
      </c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>
        <f>AVERAGE(Instances!JX3:Instances!JX5)</f>
        <v>0</v>
      </c>
      <c r="JY3" s="1">
        <f>AVERAGE(Instances!JY3:Instances!JY5)</f>
        <v>0</v>
      </c>
      <c r="JZ3" s="1"/>
      <c r="KA3" s="1">
        <f>AVERAGE(Instances!KA3:Instances!KA5)</f>
        <v>0</v>
      </c>
      <c r="KB3" s="1">
        <f>SUM(Instances!KB3:Instances!KB5)</f>
        <v>0</v>
      </c>
      <c r="KC3" s="1">
        <f>AVERAGE(Instances!KC3:Instances!KC5)</f>
        <v>0</v>
      </c>
      <c r="KD3" s="1">
        <f>MIN($B3,$T3,$AL3,$BD3,$BV3,$CN3,$DF3,$DX3,$EP3,$FH3,$FZ3,$GR3,$HJ3,$IB3,$IT3,$JL3)</f>
        <v>0</v>
      </c>
      <c r="KE3" s="1">
        <f>MIN($C3,$U3,$AM3,$BE3,$BW3,$CO3,$DG3,$DY3,$EQ3,$FI3,$GA3,$GS3,$HK3,$IC3,$IU3,$JM3)</f>
        <v>0</v>
      </c>
      <c r="KF3" s="1">
        <f>MIN($D3,$V3,$AN3,$BF3,$BX3,$CP3,$DH3,$DZ3,$ER3,$FJ3,$GB3,$GT3,$HL3,$ID3,$IV3,$JN3)</f>
        <v>0</v>
      </c>
      <c r="KG3" s="1">
        <f>MIN($E3,$W3,$AO3,$BG3,$BY3,$CQ3,$DI3,$EA3,$ES3,$FK3,$GC3,$GU3,$HM3,$IE3,$IW3,$JO3)</f>
        <v>0</v>
      </c>
      <c r="KH3" s="1">
        <f>MIN($F3,$X3,$AP3,$BH3,$BZ3,$CR3,$DJ3,$EB3,$ET3,$FL3,$GD3,$GV3,$HN3,$IF3,$IX3,$JP3)</f>
        <v>0</v>
      </c>
      <c r="KI3" s="1">
        <f>MIN($G3,$Y3,$AQ3,$BI3,$CA3,$CS3,$DK3,$EC3,$EU3,$FM3,$GE3,$GW3,$HO3,$IG3,$IY3,$JQ3)</f>
        <v>0</v>
      </c>
      <c r="KJ3" s="1">
        <f>MIN($H3,$Z3,$AR3,$BJ3,$CB3,$CT3,$DL3,$ED3,$EV3,$FN3,$GF3,$GX3,$HP3,$IH3,$IZ3,$JR3)</f>
        <v>0</v>
      </c>
      <c r="KK3" s="1">
        <f>MIN($I3,$AA3,$AS3,$BK3,$CC3,$CU3,$DM3,$EE3,$EW3,$FO3,$GG3,$GY3,$HQ3,$II3,$JA3,$JS3)</f>
        <v>0</v>
      </c>
      <c r="KL3" s="1">
        <f>MIN($J3,$AB3,$AT3,$BL3,$CD3,$CV3,$DN3,$EF3,$EX3,$FP3,$GH3,$GZ3,$HR3,$IJ3,$JB3,$JT3)</f>
        <v>0</v>
      </c>
      <c r="KM3" s="1">
        <f>MIN($K3,$AC3,$AU3,$BM3,$CE3,$CW3,$DO3,$EG3,$EY3,$FQ3,$GI3,$HA3,$HS3,$IK3,$JC3,$JU3)</f>
        <v>0</v>
      </c>
      <c r="KN3" s="1">
        <f>MIN($L3,$AD3,$AV3,$BN3,$CF3,$CX3,$DP3,$EH3,$EZ3,$FR3,$GJ3,$HB3,$HT3,$IL3,$JD3,$JV3)</f>
        <v>0</v>
      </c>
      <c r="KO3" s="1">
        <f>MIN($M3,$AE3,$AW3,$BO3,$CG3,$CY3,$DQ3,$EI3,$FA3,$FS3,$GK3,$HC3,$HU3,$IM3,$JE3,$JW3)</f>
        <v>0</v>
      </c>
      <c r="KP3" s="1">
        <f>MIN($N3,$AF3,$AX3,$BP3,$CH3,$CZ3,$DR3,$EJ3,$FB3,$FT3,$GL3,$HD3,$HV3,$IN3,$JF3,$JX3)</f>
        <v>0</v>
      </c>
      <c r="KQ3" s="1">
        <f>MIN($O3,$AG3,$AY3,$BQ3,$CI3,$DA3,$DS3,$EK3,$FC3,$FU3,$GM3,$HE3,$HW3,$IO3,$JG3,$JY3)</f>
        <v>0</v>
      </c>
      <c r="KR3" s="1">
        <f>MIN($Q3,$AI3,$BA3,$BS3,$CK3,$DC3,$DU3,$EM3,$FE3,$FW3,$GO3,$HG3,$HY3,$IQ3,$JI3,$KA3)</f>
        <v>0</v>
      </c>
      <c r="KS3" s="1">
        <f>MIN($R3,$AJ3,$BB3,$BT3,$CL3,$DD3,$DV3,$EN3,$FF3,$FX3,$GP3,$HH3,$HZ3,$IR3,$JJ3,$KB3)</f>
        <v>0</v>
      </c>
      <c r="KT3" s="1">
        <f>MIN($S3,$AK3,$BC3,$BU3,$CM3,$DE3,$DW3,$EO3,$FG3,$FY3,$GQ3,$HI3,$IA3,$IS3,$JK3,$KC3)</f>
        <v>0</v>
      </c>
      <c r="KU3" s="1">
        <f>MEDIAN($B3,$T3,$AL3,$BD3,$BV3,$CN3,$DF3,$DX3,$EP3,$FH3,$FZ3,$GR3,$HJ3,$IB3,$IT3,$JL3)</f>
        <v>0</v>
      </c>
      <c r="KV3" s="1">
        <f>MEDIAN($C3,$U3,$AM3,$BE3,$BW3,$CO3,$DG3,$DY3,$EQ3,$FI3,$GA3,$GS3,$HK3,$IC3,$IU3,$JM3)</f>
        <v>0</v>
      </c>
      <c r="KW3" s="1">
        <f>MEDIAN($D3,$V3,$AN3,$BF3,$BX3,$CP3,$DH3,$DZ3,$ER3,$FJ3,$GB3,$GT3,$HL3,$ID3,$IV3,$JN3)</f>
        <v>0</v>
      </c>
      <c r="KX3" s="1">
        <f>MEDIAN($E3,$W3,$AO3,$BG3,$BY3,$CQ3,$DI3,$EA3,$ES3,$FK3,$GC3,$GU3,$HM3,$IE3,$IW3,$JO3)</f>
        <v>0</v>
      </c>
      <c r="KY3" s="1">
        <f>MEDIAN($F3,$X3,$AP3,$BH3,$BZ3,$CR3,$DJ3,$EB3,$ET3,$FL3,$GD3,$GV3,$HN3,$IF3,$IX3,$JP3)</f>
        <v>0</v>
      </c>
      <c r="KZ3" s="1">
        <f>MEDIAN($G3,$Y3,$AQ3,$BI3,$CA3,$CS3,$DK3,$EC3,$EU3,$FM3,$GE3,$GW3,$HO3,$IG3,$IY3,$JQ3)</f>
        <v>0</v>
      </c>
      <c r="LA3" s="1">
        <f>MEDIAN($H3,$Z3,$AR3,$BJ3,$CB3,$CT3,$DL3,$ED3,$EV3,$FN3,$GF3,$GX3,$HP3,$IH3,$IZ3,$JR3)</f>
        <v>0</v>
      </c>
      <c r="LB3" s="1">
        <f>MEDIAN($I3,$AA3,$AS3,$BK3,$CC3,$CU3,$DM3,$EE3,$EW3,$FO3,$GG3,$GY3,$HQ3,$II3,$JA3,$JS3)</f>
        <v>0</v>
      </c>
      <c r="LC3" s="1">
        <f>MEDIAN($J3,$AB3,$AT3,$BL3,$CD3,$CV3,$DN3,$EF3,$EX3,$FP3,$GH3,$GZ3,$HR3,$IJ3,$JB3,$JT3)</f>
        <v>0</v>
      </c>
      <c r="LD3" s="1">
        <f>MEDIAN($K3,$AC3,$AU3,$BM3,$CE3,$CW3,$DO3,$EG3,$EY3,$FQ3,$GI3,$HA3,$HS3,$IK3,$JC3,$JU3)</f>
        <v>0</v>
      </c>
      <c r="LE3" s="1">
        <f>MEDIAN($L3,$AD3,$AV3,$BN3,$CF3,$CX3,$DP3,$EH3,$EZ3,$FR3,$GJ3,$HB3,$HT3,$IL3,$JD3,$JV3)</f>
        <v>0</v>
      </c>
      <c r="LF3" s="1">
        <f>MEDIAN($M3,$AE3,$AW3,$BO3,$CG3,$CY3,$DQ3,$EI3,$FA3,$FS3,$GK3,$HC3,$HU3,$IM3,$JE3,$JW3)</f>
        <v>0</v>
      </c>
      <c r="LG3" s="1">
        <f>MEDIAN($N3,$AF3,$AX3,$BP3,$CH3,$CZ3,$DR3,$EJ3,$FB3,$FT3,$GL3,$HD3,$HV3,$IN3,$JF3,$JX3)</f>
        <v>0</v>
      </c>
      <c r="LH3" s="1">
        <f>MEDIAN($O3,$AG3,$AY3,$BQ3,$CI3,$DA3,$DS3,$EK3,$FC3,$FU3,$GM3,$HE3,$HW3,$IO3,$JG3,$JY3)</f>
        <v>0</v>
      </c>
      <c r="LI3" s="1">
        <f>MEDIAN($Q3,$AI3,$BA3,$BS3,$CK3,$DC3,$DU3,$EM3,$FE3,$FW3,$GO3,$HG3,$HY3,$IQ3,$JI3,$KA3)</f>
        <v>0</v>
      </c>
      <c r="LJ3" s="1">
        <f>MEDIAN($R3,$AJ3,$BB3,$BT3,$CL3,$DD3,$DV3,$EN3,$FF3,$FX3,$GP3,$HH3,$HZ3,$IR3,$JJ3,$KB3)</f>
        <v>0</v>
      </c>
      <c r="LK3" s="1">
        <f>MEDIAN($S3,$AK3,$BC3,$BU3,$CM3,$DE3,$DW3,$EO3,$FG3,$FY3,$GQ3,$HI3,$IA3,$IS3,$JK3,$KC3)</f>
        <v>0</v>
      </c>
      <c r="LL3" s="1">
        <f>MAX($B3,$T3,$AL3,$BD3,$BV3,$CN3,$DF3,$DX3,$EP3,$FH3,$FZ3,$GR3,$HJ3,$IB3,$IT3,$JL3)</f>
        <v>0</v>
      </c>
      <c r="LM3" s="1">
        <f>MAX($C3,$U3,$AM3,$BE3,$BW3,$CO3,$DG3,$DY3,$EQ3,$FI3,$GA3,$GS3,$HK3,$IC3,$IU3,$JM3)</f>
        <v>0</v>
      </c>
      <c r="LN3" s="1">
        <f>MAX($D3,$V3,$AN3,$BF3,$BX3,$CP3,$DH3,$DZ3,$ER3,$FJ3,$GB3,$GT3,$HL3,$ID3,$IV3,$JN3)</f>
        <v>0</v>
      </c>
      <c r="LO3" s="1">
        <f>MAX($E3,$W3,$AO3,$BG3,$BY3,$CQ3,$DI3,$EA3,$ES3,$FK3,$GC3,$GU3,$HM3,$IE3,$IW3,$JO3)</f>
        <v>0</v>
      </c>
      <c r="LP3" s="1">
        <f>MAX($F3,$X3,$AP3,$BH3,$BZ3,$CR3,$DJ3,$EB3,$ET3,$FL3,$GD3,$GV3,$HN3,$IF3,$IX3,$JP3)</f>
        <v>0</v>
      </c>
      <c r="LQ3" s="1">
        <f>MAX($G3,$Y3,$AQ3,$BI3,$CA3,$CS3,$DK3,$EC3,$EU3,$FM3,$GE3,$GW3,$HO3,$IG3,$IY3,$JQ3)</f>
        <v>0</v>
      </c>
      <c r="LR3" s="1">
        <f>MAX($H3,$Z3,$AR3,$BJ3,$CB3,$CT3,$DL3,$ED3,$EV3,$FN3,$GF3,$GX3,$HP3,$IH3,$IZ3,$JR3)</f>
        <v>0</v>
      </c>
      <c r="LS3" s="1">
        <f>MAX($I3,$AA3,$AS3,$BK3,$CC3,$CU3,$DM3,$EE3,$EW3,$FO3,$GG3,$GY3,$HQ3,$II3,$JA3,$JS3)</f>
        <v>0</v>
      </c>
      <c r="LT3" s="1">
        <f>MAX($J3,$AB3,$AT3,$BL3,$CD3,$CV3,$DN3,$EF3,$EX3,$FP3,$GH3,$GZ3,$HR3,$IJ3,$JB3,$JT3)</f>
        <v>0</v>
      </c>
      <c r="LU3" s="1">
        <f>MAX($K3,$AC3,$AU3,$BM3,$CE3,$CW3,$DO3,$EG3,$EY3,$FQ3,$GI3,$HA3,$HS3,$IK3,$JC3,$JU3)</f>
        <v>0</v>
      </c>
      <c r="LV3" s="1">
        <f>MAX($L3,$AD3,$AV3,$BN3,$CF3,$CX3,$DP3,$EH3,$EZ3,$FR3,$GJ3,$HB3,$HT3,$IL3,$JD3,$JV3)</f>
        <v>0</v>
      </c>
      <c r="LW3" s="1">
        <f>MAX($M3,$AE3,$AW3,$BO3,$CG3,$CY3,$DQ3,$EI3,$FA3,$FS3,$GK3,$HC3,$HU3,$IM3,$JE3,$JW3)</f>
        <v>0</v>
      </c>
      <c r="LX3" s="1">
        <f>MAX($N3,$AF3,$AX3,$BP3,$CH3,$CZ3,$DR3,$EJ3,$FB3,$FT3,$GL3,$HD3,$HV3,$IN3,$JF3,$JX3)</f>
        <v>0</v>
      </c>
      <c r="LY3" s="1">
        <f>MAX($O3,$AG3,$AY3,$BQ3,$CI3,$DA3,$DS3,$EK3,$FC3,$FU3,$GM3,$HE3,$HW3,$IO3,$JG3,$JY3)</f>
        <v>0</v>
      </c>
      <c r="LZ3" s="1">
        <f>MAX($Q3,$AI3,$BA3,$BS3,$CK3,$DC3,$DU3,$EM3,$FE3,$FW3,$GO3,$HG3,$HY3,$IQ3,$JI3,$KA3)</f>
        <v>0</v>
      </c>
      <c r="MA3" s="1">
        <f>MAX($R3,$AJ3,$BB3,$BT3,$CL3,$DD3,$DV3,$EN3,$FF3,$FX3,$GP3,$HH3,$HZ3,$IR3,$JJ3,$KB3)</f>
        <v>0</v>
      </c>
      <c r="MB3" s="1">
        <f>MAX($S3,$AK3,$BC3,$BU3,$CM3,$DE3,$DW3,$EO3,$FG3,$FY3,$GQ3,$HI3,$IA3,$IS3,$JK3,$KC3)</f>
        <v>0</v>
      </c>
    </row>
    <row r="4" spans="1:340">
      <c r="A4" s="1" t="s">
        <v>54</v>
      </c>
      <c r="B4" s="1"/>
      <c r="C4" s="1"/>
      <c r="D4" s="1"/>
      <c r="E4" s="1"/>
      <c r="F4" s="1"/>
      <c r="G4" s="1">
        <f>AVERAGE(Instances!G6:Instances!G7)</f>
        <v>0</v>
      </c>
      <c r="H4" s="1"/>
      <c r="I4" s="1"/>
      <c r="J4" s="1">
        <f>AVERAGE(Instances!J6:Instances!J7)</f>
        <v>0</v>
      </c>
      <c r="K4" s="1"/>
      <c r="L4" s="1">
        <f>AVERAGE(Instances!L6:Instances!L7)</f>
        <v>0</v>
      </c>
      <c r="M4" s="1"/>
      <c r="N4" s="1"/>
      <c r="O4" s="1"/>
      <c r="P4" s="1"/>
      <c r="Q4" s="1">
        <f>AVERAGE(Instances!Q6:Instances!Q7)</f>
        <v>0</v>
      </c>
      <c r="R4" s="1">
        <f>SUM(Instances!R6:Instances!R7)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>
        <f>AVERAGE(Instances!AQ6:Instances!AQ7)</f>
        <v>0</v>
      </c>
      <c r="AR4" s="1"/>
      <c r="AS4" s="1"/>
      <c r="AT4" s="1">
        <f>AVERAGE(Instances!AT6:Instances!AT7)</f>
        <v>0</v>
      </c>
      <c r="AU4" s="1"/>
      <c r="AV4" s="1">
        <f>AVERAGE(Instances!AV6:Instances!AV7)</f>
        <v>0</v>
      </c>
      <c r="AW4" s="1"/>
      <c r="AX4" s="1"/>
      <c r="AY4" s="1"/>
      <c r="AZ4" s="1"/>
      <c r="BA4" s="1">
        <f>AVERAGE(Instances!BA6:Instances!BA7)</f>
        <v>0</v>
      </c>
      <c r="BB4" s="1">
        <f>SUM(Instances!BB6:Instances!BB7)</f>
        <v>0</v>
      </c>
      <c r="BC4" s="1"/>
      <c r="BD4" s="1"/>
      <c r="BE4" s="1"/>
      <c r="BF4" s="1"/>
      <c r="BG4" s="1"/>
      <c r="BH4" s="1"/>
      <c r="BI4" s="1">
        <f>AVERAGE(Instances!BI6:Instances!BI7)</f>
        <v>0</v>
      </c>
      <c r="BJ4" s="1"/>
      <c r="BK4" s="1"/>
      <c r="BL4" s="1">
        <f>AVERAGE(Instances!BL6:Instances!BL7)</f>
        <v>0</v>
      </c>
      <c r="BM4" s="1"/>
      <c r="BN4" s="1">
        <f>AVERAGE(Instances!BN6:Instances!BN7)</f>
        <v>0</v>
      </c>
      <c r="BO4" s="1"/>
      <c r="BP4" s="1"/>
      <c r="BQ4" s="1"/>
      <c r="BR4" s="1"/>
      <c r="BS4" s="1">
        <f>AVERAGE(Instances!BS6:Instances!BS7)</f>
        <v>0</v>
      </c>
      <c r="BT4" s="1">
        <f>SUM(Instances!BT6:Instances!BT7)</f>
        <v>0</v>
      </c>
      <c r="BU4" s="1"/>
      <c r="BV4" s="1"/>
      <c r="BW4" s="1"/>
      <c r="BX4" s="1"/>
      <c r="BY4" s="1"/>
      <c r="BZ4" s="1"/>
      <c r="CA4" s="1">
        <f>AVERAGE(Instances!CA6:Instances!CA7)</f>
        <v>0</v>
      </c>
      <c r="CB4" s="1"/>
      <c r="CC4" s="1"/>
      <c r="CD4" s="1">
        <f>AVERAGE(Instances!CD6:Instances!CD7)</f>
        <v>0</v>
      </c>
      <c r="CE4" s="1"/>
      <c r="CF4" s="1">
        <f>AVERAGE(Instances!CF6:Instances!CF7)</f>
        <v>0</v>
      </c>
      <c r="CG4" s="1"/>
      <c r="CH4" s="1"/>
      <c r="CI4" s="1"/>
      <c r="CJ4" s="1"/>
      <c r="CK4" s="1">
        <f>AVERAGE(Instances!CK6:Instances!CK7)</f>
        <v>0</v>
      </c>
      <c r="CL4" s="1">
        <f>SUM(Instances!CL6:Instances!CL7)</f>
        <v>0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f>AVERAGE(Instances!EC6:Instances!EC7)</f>
        <v>0</v>
      </c>
      <c r="ED4" s="1"/>
      <c r="EE4" s="1"/>
      <c r="EF4" s="1">
        <f>AVERAGE(Instances!EF6:Instances!EF7)</f>
        <v>0</v>
      </c>
      <c r="EG4" s="1"/>
      <c r="EH4" s="1">
        <f>AVERAGE(Instances!EH6:Instances!EH7)</f>
        <v>0</v>
      </c>
      <c r="EI4" s="1"/>
      <c r="EJ4" s="1"/>
      <c r="EK4" s="1"/>
      <c r="EL4" s="1"/>
      <c r="EM4" s="1">
        <f>AVERAGE(Instances!EM6:Instances!EM7)</f>
        <v>0</v>
      </c>
      <c r="EN4" s="1">
        <f>SUM(Instances!EN6:Instances!EN7)</f>
        <v>0</v>
      </c>
      <c r="EO4" s="1"/>
      <c r="EP4" s="1"/>
      <c r="EQ4" s="1"/>
      <c r="ER4" s="1"/>
      <c r="ES4" s="1"/>
      <c r="ET4" s="1"/>
      <c r="EU4" s="1">
        <f>AVERAGE(Instances!EU6:Instances!EU7)</f>
        <v>0</v>
      </c>
      <c r="EV4" s="1"/>
      <c r="EW4" s="1"/>
      <c r="EX4" s="1">
        <f>AVERAGE(Instances!EX6:Instances!EX7)</f>
        <v>0</v>
      </c>
      <c r="EY4" s="1"/>
      <c r="EZ4" s="1">
        <f>AVERAGE(Instances!EZ6:Instances!EZ7)</f>
        <v>0</v>
      </c>
      <c r="FA4" s="1"/>
      <c r="FB4" s="1"/>
      <c r="FC4" s="1"/>
      <c r="FD4" s="1"/>
      <c r="FE4" s="1">
        <f>AVERAGE(Instances!FE6:Instances!FE7)</f>
        <v>0</v>
      </c>
      <c r="FF4" s="1">
        <f>SUM(Instances!FF6:Instances!FF7)</f>
        <v>0</v>
      </c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>
        <f>AVERAGE(Instances!GE6:Instances!GE7)</f>
        <v>0</v>
      </c>
      <c r="GF4" s="1"/>
      <c r="GG4" s="1"/>
      <c r="GH4" s="1">
        <f>AVERAGE(Instances!GH6:Instances!GH7)</f>
        <v>0</v>
      </c>
      <c r="GI4" s="1"/>
      <c r="GJ4" s="1">
        <f>AVERAGE(Instances!GJ6:Instances!GJ7)</f>
        <v>0</v>
      </c>
      <c r="GK4" s="1"/>
      <c r="GL4" s="1"/>
      <c r="GM4" s="1"/>
      <c r="GN4" s="1"/>
      <c r="GO4" s="1">
        <f>AVERAGE(Instances!GO6:Instances!GO7)</f>
        <v>0</v>
      </c>
      <c r="GP4" s="1">
        <f>SUM(Instances!GP6:Instances!GP7)</f>
        <v>0</v>
      </c>
      <c r="GQ4" s="1"/>
      <c r="GR4" s="1"/>
      <c r="GS4" s="1"/>
      <c r="GT4" s="1"/>
      <c r="GU4" s="1"/>
      <c r="GV4" s="1"/>
      <c r="GW4" s="1">
        <f>AVERAGE(Instances!GW6:Instances!GW7)</f>
        <v>0</v>
      </c>
      <c r="GX4" s="1"/>
      <c r="GY4" s="1"/>
      <c r="GZ4" s="1">
        <f>AVERAGE(Instances!GZ6:Instances!GZ7)</f>
        <v>0</v>
      </c>
      <c r="HA4" s="1"/>
      <c r="HB4" s="1">
        <f>AVERAGE(Instances!HB6:Instances!HB7)</f>
        <v>0</v>
      </c>
      <c r="HC4" s="1"/>
      <c r="HD4" s="1"/>
      <c r="HE4" s="1"/>
      <c r="HF4" s="1"/>
      <c r="HG4" s="1">
        <f>AVERAGE(Instances!HG6:Instances!HG7)</f>
        <v>0</v>
      </c>
      <c r="HH4" s="1">
        <f>SUM(Instances!HH6:Instances!HH7)</f>
        <v>0</v>
      </c>
      <c r="HI4" s="1"/>
      <c r="HJ4" s="1"/>
      <c r="HK4" s="1"/>
      <c r="HL4" s="1"/>
      <c r="HM4" s="1"/>
      <c r="HN4" s="1"/>
      <c r="HO4" s="1">
        <f>AVERAGE(Instances!HO6:Instances!HO7)</f>
        <v>0</v>
      </c>
      <c r="HP4" s="1"/>
      <c r="HQ4" s="1"/>
      <c r="HR4" s="1">
        <f>AVERAGE(Instances!HR6:Instances!HR7)</f>
        <v>0</v>
      </c>
      <c r="HS4" s="1"/>
      <c r="HT4" s="1">
        <f>AVERAGE(Instances!HT6:Instances!HT7)</f>
        <v>0</v>
      </c>
      <c r="HU4" s="1"/>
      <c r="HV4" s="1"/>
      <c r="HW4" s="1"/>
      <c r="HX4" s="1"/>
      <c r="HY4" s="1">
        <f>AVERAGE(Instances!HY6:Instances!HY7)</f>
        <v>0</v>
      </c>
      <c r="HZ4" s="1">
        <f>SUM(Instances!HZ6:Instances!HZ7)</f>
        <v>0</v>
      </c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>
        <f>AVERAGE(Instances!JQ6:Instances!JQ7)</f>
        <v>0</v>
      </c>
      <c r="JR4" s="1"/>
      <c r="JS4" s="1"/>
      <c r="JT4" s="1">
        <f>AVERAGE(Instances!JT6:Instances!JT7)</f>
        <v>0</v>
      </c>
      <c r="JU4" s="1"/>
      <c r="JV4" s="1">
        <f>AVERAGE(Instances!JV6:Instances!JV7)</f>
        <v>0</v>
      </c>
      <c r="JW4" s="1"/>
      <c r="JX4" s="1"/>
      <c r="JY4" s="1"/>
      <c r="JZ4" s="1"/>
      <c r="KA4" s="1">
        <f>AVERAGE(Instances!KA6:Instances!KA7)</f>
        <v>0</v>
      </c>
      <c r="KB4" s="1">
        <f>SUM(Instances!KB6:Instances!KB7)</f>
        <v>0</v>
      </c>
      <c r="KC4" s="1"/>
      <c r="KD4" s="1"/>
      <c r="KE4" s="1"/>
      <c r="KF4" s="1"/>
      <c r="KG4" s="1"/>
      <c r="KH4" s="1"/>
      <c r="KI4" s="1">
        <f>MIN($G4,$Y4,$AQ4,$BI4,$CA4,$CS4,$DK4,$EC4,$EU4,$FM4,$GE4,$GW4,$HO4,$IG4,$IY4,$JQ4)</f>
        <v>0</v>
      </c>
      <c r="KJ4" s="1"/>
      <c r="KK4" s="1"/>
      <c r="KL4" s="1">
        <f>MIN($J4,$AB4,$AT4,$BL4,$CD4,$CV4,$DN4,$EF4,$EX4,$FP4,$GH4,$GZ4,$HR4,$IJ4,$JB4,$JT4)</f>
        <v>0</v>
      </c>
      <c r="KM4" s="1"/>
      <c r="KN4" s="1">
        <f>MIN($L4,$AD4,$AV4,$BN4,$CF4,$CX4,$DP4,$EH4,$EZ4,$FR4,$GJ4,$HB4,$HT4,$IL4,$JD4,$JV4)</f>
        <v>0</v>
      </c>
      <c r="KO4" s="1"/>
      <c r="KP4" s="1"/>
      <c r="KQ4" s="1"/>
      <c r="KR4" s="1">
        <f>MIN($Q4,$AI4,$BA4,$BS4,$CK4,$DC4,$DU4,$EM4,$FE4,$FW4,$GO4,$HG4,$HY4,$IQ4,$JI4,$KA4)</f>
        <v>0</v>
      </c>
      <c r="KS4" s="1">
        <f>MIN($R4,$AJ4,$BB4,$BT4,$CL4,$DD4,$DV4,$EN4,$FF4,$FX4,$GP4,$HH4,$HZ4,$IR4,$JJ4,$KB4)</f>
        <v>0</v>
      </c>
      <c r="KT4" s="1"/>
      <c r="KU4" s="1"/>
      <c r="KV4" s="1"/>
      <c r="KW4" s="1"/>
      <c r="KX4" s="1"/>
      <c r="KY4" s="1"/>
      <c r="KZ4" s="1">
        <f>MEDIAN($G4,$Y4,$AQ4,$BI4,$CA4,$CS4,$DK4,$EC4,$EU4,$FM4,$GE4,$GW4,$HO4,$IG4,$IY4,$JQ4)</f>
        <v>0</v>
      </c>
      <c r="LA4" s="1"/>
      <c r="LB4" s="1"/>
      <c r="LC4" s="1">
        <f>MEDIAN($J4,$AB4,$AT4,$BL4,$CD4,$CV4,$DN4,$EF4,$EX4,$FP4,$GH4,$GZ4,$HR4,$IJ4,$JB4,$JT4)</f>
        <v>0</v>
      </c>
      <c r="LD4" s="1"/>
      <c r="LE4" s="1">
        <f>MEDIAN($L4,$AD4,$AV4,$BN4,$CF4,$CX4,$DP4,$EH4,$EZ4,$FR4,$GJ4,$HB4,$HT4,$IL4,$JD4,$JV4)</f>
        <v>0</v>
      </c>
      <c r="LF4" s="1"/>
      <c r="LG4" s="1"/>
      <c r="LH4" s="1"/>
      <c r="LI4" s="1">
        <f>MEDIAN($Q4,$AI4,$BA4,$BS4,$CK4,$DC4,$DU4,$EM4,$FE4,$FW4,$GO4,$HG4,$HY4,$IQ4,$JI4,$KA4)</f>
        <v>0</v>
      </c>
      <c r="LJ4" s="1">
        <f>MEDIAN($R4,$AJ4,$BB4,$BT4,$CL4,$DD4,$DV4,$EN4,$FF4,$FX4,$GP4,$HH4,$HZ4,$IR4,$JJ4,$KB4)</f>
        <v>0</v>
      </c>
      <c r="LK4" s="1"/>
      <c r="LL4" s="1"/>
      <c r="LM4" s="1"/>
      <c r="LN4" s="1"/>
      <c r="LO4" s="1"/>
      <c r="LP4" s="1"/>
      <c r="LQ4" s="1">
        <f>MAX($G4,$Y4,$AQ4,$BI4,$CA4,$CS4,$DK4,$EC4,$EU4,$FM4,$GE4,$GW4,$HO4,$IG4,$IY4,$JQ4)</f>
        <v>0</v>
      </c>
      <c r="LR4" s="1"/>
      <c r="LS4" s="1"/>
      <c r="LT4" s="1">
        <f>MAX($J4,$AB4,$AT4,$BL4,$CD4,$CV4,$DN4,$EF4,$EX4,$FP4,$GH4,$GZ4,$HR4,$IJ4,$JB4,$JT4)</f>
        <v>0</v>
      </c>
      <c r="LU4" s="1"/>
      <c r="LV4" s="1">
        <f>MAX($L4,$AD4,$AV4,$BN4,$CF4,$CX4,$DP4,$EH4,$EZ4,$FR4,$GJ4,$HB4,$HT4,$IL4,$JD4,$JV4)</f>
        <v>0</v>
      </c>
      <c r="LW4" s="1"/>
      <c r="LX4" s="1"/>
      <c r="LY4" s="1"/>
      <c r="LZ4" s="1">
        <f>MAX($Q4,$AI4,$BA4,$BS4,$CK4,$DC4,$DU4,$EM4,$FE4,$FW4,$GO4,$HG4,$HY4,$IQ4,$JI4,$KA4)</f>
        <v>0</v>
      </c>
      <c r="MA4" s="1">
        <f>MAX($R4,$AJ4,$BB4,$BT4,$CL4,$DD4,$DV4,$EN4,$FF4,$FX4,$GP4,$HH4,$HZ4,$IR4,$JJ4,$KB4)</f>
        <v>0</v>
      </c>
      <c r="MB4" s="1"/>
    </row>
    <row r="5" spans="1:340">
      <c r="A5" s="1" t="s">
        <v>54</v>
      </c>
      <c r="B5" s="1"/>
      <c r="C5" s="1"/>
      <c r="D5" s="1"/>
      <c r="E5" s="1"/>
      <c r="F5" s="1"/>
      <c r="G5" s="1">
        <f>AVERAGE(Instances!G8:Instances!G9)</f>
        <v>0</v>
      </c>
      <c r="H5" s="1"/>
      <c r="I5" s="1"/>
      <c r="J5" s="1">
        <f>AVERAGE(Instances!J8:Instances!J9)</f>
        <v>0</v>
      </c>
      <c r="K5" s="1"/>
      <c r="L5" s="1">
        <f>AVERAGE(Instances!L8:Instances!L9)</f>
        <v>0</v>
      </c>
      <c r="M5" s="1"/>
      <c r="N5" s="1"/>
      <c r="O5" s="1"/>
      <c r="P5" s="1"/>
      <c r="Q5" s="1">
        <f>AVERAGE(Instances!Q8:Instances!Q9)</f>
        <v>0</v>
      </c>
      <c r="R5" s="1">
        <f>SUM(Instances!R8:Instances!R9)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>
        <f>AVERAGE(Instances!AL8:Instances!AL9)</f>
        <v>0</v>
      </c>
      <c r="AM5" s="1">
        <f>AVERAGE(Instances!AM8:Instances!AM9)</f>
        <v>0</v>
      </c>
      <c r="AN5" s="1">
        <f>AVERAGE(Instances!AN8:Instances!AN9)</f>
        <v>0</v>
      </c>
      <c r="AO5" s="1">
        <f>AVERAGE(Instances!AO8:Instances!AO9)</f>
        <v>0</v>
      </c>
      <c r="AP5" s="1">
        <f>AVERAGE(Instances!AP8:Instances!AP9)</f>
        <v>0</v>
      </c>
      <c r="AQ5" s="1">
        <f>AVERAGE(Instances!AQ8:Instances!AQ9)</f>
        <v>0</v>
      </c>
      <c r="AR5" s="1">
        <f>AVERAGE(Instances!AR8:Instances!AR9)</f>
        <v>0</v>
      </c>
      <c r="AS5" s="1">
        <f>AVERAGE(Instances!AS8:Instances!AS9)</f>
        <v>0</v>
      </c>
      <c r="AT5" s="1">
        <f>AVERAGE(Instances!AT8:Instances!AT9)</f>
        <v>0</v>
      </c>
      <c r="AU5" s="1">
        <f>AVERAGE(Instances!AU8:Instances!AU9)</f>
        <v>0</v>
      </c>
      <c r="AV5" s="1">
        <f>AVERAGE(Instances!AV8:Instances!AV9)</f>
        <v>0</v>
      </c>
      <c r="AW5" s="1">
        <f>AVERAGE(Instances!AW8:Instances!AW9)</f>
        <v>0</v>
      </c>
      <c r="AX5" s="1">
        <f>AVERAGE(Instances!AX8:Instances!AX9)</f>
        <v>0</v>
      </c>
      <c r="AY5" s="1">
        <f>AVERAGE(Instances!AY8:Instances!AY9)</f>
        <v>0</v>
      </c>
      <c r="AZ5" s="1"/>
      <c r="BA5" s="1">
        <f>AVERAGE(Instances!BA8:Instances!BA9)</f>
        <v>0</v>
      </c>
      <c r="BB5" s="1">
        <f>SUM(Instances!BB8:Instances!BB9)</f>
        <v>0</v>
      </c>
      <c r="BC5" s="1">
        <f>AVERAGE(Instances!BC8:Instances!BC9)</f>
        <v>0</v>
      </c>
      <c r="BD5" s="1">
        <f>AVERAGE(Instances!BD8:Instances!BD9)</f>
        <v>0</v>
      </c>
      <c r="BE5" s="1">
        <f>AVERAGE(Instances!BE8:Instances!BE9)</f>
        <v>0</v>
      </c>
      <c r="BF5" s="1">
        <f>AVERAGE(Instances!BF8:Instances!BF9)</f>
        <v>0</v>
      </c>
      <c r="BG5" s="1">
        <f>AVERAGE(Instances!BG8:Instances!BG9)</f>
        <v>0</v>
      </c>
      <c r="BH5" s="1">
        <f>AVERAGE(Instances!BH8:Instances!BH9)</f>
        <v>0</v>
      </c>
      <c r="BI5" s="1">
        <f>AVERAGE(Instances!BI8:Instances!BI9)</f>
        <v>0</v>
      </c>
      <c r="BJ5" s="1">
        <f>AVERAGE(Instances!BJ8:Instances!BJ9)</f>
        <v>0</v>
      </c>
      <c r="BK5" s="1">
        <f>AVERAGE(Instances!BK8:Instances!BK9)</f>
        <v>0</v>
      </c>
      <c r="BL5" s="1">
        <f>AVERAGE(Instances!BL8:Instances!BL9)</f>
        <v>0</v>
      </c>
      <c r="BM5" s="1">
        <f>AVERAGE(Instances!BM8:Instances!BM9)</f>
        <v>0</v>
      </c>
      <c r="BN5" s="1">
        <f>AVERAGE(Instances!BN8:Instances!BN9)</f>
        <v>0</v>
      </c>
      <c r="BO5" s="1">
        <f>AVERAGE(Instances!BO8:Instances!BO9)</f>
        <v>0</v>
      </c>
      <c r="BP5" s="1">
        <f>AVERAGE(Instances!BP8:Instances!BP9)</f>
        <v>0</v>
      </c>
      <c r="BQ5" s="1">
        <f>AVERAGE(Instances!BQ8:Instances!BQ9)</f>
        <v>0</v>
      </c>
      <c r="BR5" s="1"/>
      <c r="BS5" s="1">
        <f>AVERAGE(Instances!BS8:Instances!BS9)</f>
        <v>0</v>
      </c>
      <c r="BT5" s="1">
        <f>SUM(Instances!BT8:Instances!BT9)</f>
        <v>0</v>
      </c>
      <c r="BU5" s="1">
        <f>AVERAGE(Instances!BU8:Instances!BU9)</f>
        <v>0</v>
      </c>
      <c r="BV5" s="1"/>
      <c r="BW5" s="1"/>
      <c r="BX5" s="1"/>
      <c r="BY5" s="1"/>
      <c r="BZ5" s="1"/>
      <c r="CA5" s="1">
        <f>AVERAGE(Instances!CA8:Instances!CA9)</f>
        <v>0</v>
      </c>
      <c r="CB5" s="1"/>
      <c r="CC5" s="1"/>
      <c r="CD5" s="1">
        <f>AVERAGE(Instances!CD8:Instances!CD9)</f>
        <v>0</v>
      </c>
      <c r="CE5" s="1"/>
      <c r="CF5" s="1">
        <f>AVERAGE(Instances!CF8:Instances!CF9)</f>
        <v>0</v>
      </c>
      <c r="CG5" s="1"/>
      <c r="CH5" s="1"/>
      <c r="CI5" s="1"/>
      <c r="CJ5" s="1"/>
      <c r="CK5" s="1">
        <f>AVERAGE(Instances!CK8:Instances!CK9)</f>
        <v>0</v>
      </c>
      <c r="CL5" s="1">
        <f>SUM(Instances!CL8:Instances!CL9)</f>
        <v>0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f>AVERAGE(Instances!EC8:Instances!EC9)</f>
        <v>0</v>
      </c>
      <c r="ED5" s="1"/>
      <c r="EE5" s="1"/>
      <c r="EF5" s="1">
        <f>AVERAGE(Instances!EF8:Instances!EF9)</f>
        <v>0</v>
      </c>
      <c r="EG5" s="1"/>
      <c r="EH5" s="1">
        <f>AVERAGE(Instances!EH8:Instances!EH9)</f>
        <v>0</v>
      </c>
      <c r="EI5" s="1"/>
      <c r="EJ5" s="1"/>
      <c r="EK5" s="1"/>
      <c r="EL5" s="1"/>
      <c r="EM5" s="1">
        <f>AVERAGE(Instances!EM8:Instances!EM9)</f>
        <v>0</v>
      </c>
      <c r="EN5" s="1">
        <f>SUM(Instances!EN8:Instances!EN9)</f>
        <v>0</v>
      </c>
      <c r="EO5" s="1"/>
      <c r="EP5" s="1"/>
      <c r="EQ5" s="1"/>
      <c r="ER5" s="1"/>
      <c r="ES5" s="1"/>
      <c r="ET5" s="1"/>
      <c r="EU5" s="1">
        <f>AVERAGE(Instances!EU8:Instances!EU9)</f>
        <v>0</v>
      </c>
      <c r="EV5" s="1"/>
      <c r="EW5" s="1"/>
      <c r="EX5" s="1">
        <f>AVERAGE(Instances!EX8:Instances!EX9)</f>
        <v>0</v>
      </c>
      <c r="EY5" s="1"/>
      <c r="EZ5" s="1">
        <f>AVERAGE(Instances!EZ8:Instances!EZ9)</f>
        <v>0</v>
      </c>
      <c r="FA5" s="1"/>
      <c r="FB5" s="1"/>
      <c r="FC5" s="1"/>
      <c r="FD5" s="1"/>
      <c r="FE5" s="1">
        <f>AVERAGE(Instances!FE8:Instances!FE9)</f>
        <v>0</v>
      </c>
      <c r="FF5" s="1">
        <f>SUM(Instances!FF8:Instances!FF9)</f>
        <v>0</v>
      </c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>
        <f>AVERAGE(Instances!GE8:Instances!GE9)</f>
        <v>0</v>
      </c>
      <c r="GF5" s="1"/>
      <c r="GG5" s="1"/>
      <c r="GH5" s="1">
        <f>AVERAGE(Instances!GH8:Instances!GH9)</f>
        <v>0</v>
      </c>
      <c r="GI5" s="1"/>
      <c r="GJ5" s="1">
        <f>AVERAGE(Instances!GJ8:Instances!GJ9)</f>
        <v>0</v>
      </c>
      <c r="GK5" s="1"/>
      <c r="GL5" s="1"/>
      <c r="GM5" s="1"/>
      <c r="GN5" s="1"/>
      <c r="GO5" s="1">
        <f>AVERAGE(Instances!GO8:Instances!GO9)</f>
        <v>0</v>
      </c>
      <c r="GP5" s="1">
        <f>SUM(Instances!GP8:Instances!GP9)</f>
        <v>0</v>
      </c>
      <c r="GQ5" s="1"/>
      <c r="GR5" s="1"/>
      <c r="GS5" s="1"/>
      <c r="GT5" s="1"/>
      <c r="GU5" s="1"/>
      <c r="GV5" s="1"/>
      <c r="GW5" s="1">
        <f>AVERAGE(Instances!GW8:Instances!GW9)</f>
        <v>0</v>
      </c>
      <c r="GX5" s="1"/>
      <c r="GY5" s="1"/>
      <c r="GZ5" s="1">
        <f>AVERAGE(Instances!GZ8:Instances!GZ9)</f>
        <v>0</v>
      </c>
      <c r="HA5" s="1"/>
      <c r="HB5" s="1">
        <f>AVERAGE(Instances!HB8:Instances!HB9)</f>
        <v>0</v>
      </c>
      <c r="HC5" s="1"/>
      <c r="HD5" s="1"/>
      <c r="HE5" s="1"/>
      <c r="HF5" s="1"/>
      <c r="HG5" s="1">
        <f>AVERAGE(Instances!HG8:Instances!HG9)</f>
        <v>0</v>
      </c>
      <c r="HH5" s="1">
        <f>SUM(Instances!HH8:Instances!HH9)</f>
        <v>0</v>
      </c>
      <c r="HI5" s="1"/>
      <c r="HJ5" s="1"/>
      <c r="HK5" s="1"/>
      <c r="HL5" s="1"/>
      <c r="HM5" s="1"/>
      <c r="HN5" s="1"/>
      <c r="HO5" s="1">
        <f>AVERAGE(Instances!HO8:Instances!HO9)</f>
        <v>0</v>
      </c>
      <c r="HP5" s="1"/>
      <c r="HQ5" s="1"/>
      <c r="HR5" s="1">
        <f>AVERAGE(Instances!HR8:Instances!HR9)</f>
        <v>0</v>
      </c>
      <c r="HS5" s="1"/>
      <c r="HT5" s="1">
        <f>AVERAGE(Instances!HT8:Instances!HT9)</f>
        <v>0</v>
      </c>
      <c r="HU5" s="1"/>
      <c r="HV5" s="1"/>
      <c r="HW5" s="1"/>
      <c r="HX5" s="1"/>
      <c r="HY5" s="1">
        <f>AVERAGE(Instances!HY8:Instances!HY9)</f>
        <v>0</v>
      </c>
      <c r="HZ5" s="1">
        <f>SUM(Instances!HZ8:Instances!HZ9)</f>
        <v>0</v>
      </c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>
        <f>AVERAGE(Instances!JQ8:Instances!JQ9)</f>
        <v>0</v>
      </c>
      <c r="JR5" s="1"/>
      <c r="JS5" s="1"/>
      <c r="JT5" s="1">
        <f>AVERAGE(Instances!JT8:Instances!JT9)</f>
        <v>0</v>
      </c>
      <c r="JU5" s="1"/>
      <c r="JV5" s="1">
        <f>AVERAGE(Instances!JV8:Instances!JV9)</f>
        <v>0</v>
      </c>
      <c r="JW5" s="1"/>
      <c r="JX5" s="1"/>
      <c r="JY5" s="1"/>
      <c r="JZ5" s="1"/>
      <c r="KA5" s="1">
        <f>AVERAGE(Instances!KA8:Instances!KA9)</f>
        <v>0</v>
      </c>
      <c r="KB5" s="1">
        <f>SUM(Instances!KB8:Instances!KB9)</f>
        <v>0</v>
      </c>
      <c r="KC5" s="1"/>
      <c r="KD5" s="1">
        <f>MIN($B5,$T5,$AL5,$BD5,$BV5,$CN5,$DF5,$DX5,$EP5,$FH5,$FZ5,$GR5,$HJ5,$IB5,$IT5,$JL5)</f>
        <v>0</v>
      </c>
      <c r="KE5" s="1">
        <f>MIN($C5,$U5,$AM5,$BE5,$BW5,$CO5,$DG5,$DY5,$EQ5,$FI5,$GA5,$GS5,$HK5,$IC5,$IU5,$JM5)</f>
        <v>0</v>
      </c>
      <c r="KF5" s="1">
        <f>MIN($D5,$V5,$AN5,$BF5,$BX5,$CP5,$DH5,$DZ5,$ER5,$FJ5,$GB5,$GT5,$HL5,$ID5,$IV5,$JN5)</f>
        <v>0</v>
      </c>
      <c r="KG5" s="1">
        <f>MIN($E5,$W5,$AO5,$BG5,$BY5,$CQ5,$DI5,$EA5,$ES5,$FK5,$GC5,$GU5,$HM5,$IE5,$IW5,$JO5)</f>
        <v>0</v>
      </c>
      <c r="KH5" s="1">
        <f>MIN($F5,$X5,$AP5,$BH5,$BZ5,$CR5,$DJ5,$EB5,$ET5,$FL5,$GD5,$GV5,$HN5,$IF5,$IX5,$JP5)</f>
        <v>0</v>
      </c>
      <c r="KI5" s="1">
        <f>MIN($G5,$Y5,$AQ5,$BI5,$CA5,$CS5,$DK5,$EC5,$EU5,$FM5,$GE5,$GW5,$HO5,$IG5,$IY5,$JQ5)</f>
        <v>0</v>
      </c>
      <c r="KJ5" s="1">
        <f>MIN($H5,$Z5,$AR5,$BJ5,$CB5,$CT5,$DL5,$ED5,$EV5,$FN5,$GF5,$GX5,$HP5,$IH5,$IZ5,$JR5)</f>
        <v>0</v>
      </c>
      <c r="KK5" s="1">
        <f>MIN($I5,$AA5,$AS5,$BK5,$CC5,$CU5,$DM5,$EE5,$EW5,$FO5,$GG5,$GY5,$HQ5,$II5,$JA5,$JS5)</f>
        <v>0</v>
      </c>
      <c r="KL5" s="1">
        <f>MIN($J5,$AB5,$AT5,$BL5,$CD5,$CV5,$DN5,$EF5,$EX5,$FP5,$GH5,$GZ5,$HR5,$IJ5,$JB5,$JT5)</f>
        <v>0</v>
      </c>
      <c r="KM5" s="1">
        <f>MIN($K5,$AC5,$AU5,$BM5,$CE5,$CW5,$DO5,$EG5,$EY5,$FQ5,$GI5,$HA5,$HS5,$IK5,$JC5,$JU5)</f>
        <v>0</v>
      </c>
      <c r="KN5" s="1">
        <f>MIN($L5,$AD5,$AV5,$BN5,$CF5,$CX5,$DP5,$EH5,$EZ5,$FR5,$GJ5,$HB5,$HT5,$IL5,$JD5,$JV5)</f>
        <v>0</v>
      </c>
      <c r="KO5" s="1">
        <f>MIN($M5,$AE5,$AW5,$BO5,$CG5,$CY5,$DQ5,$EI5,$FA5,$FS5,$GK5,$HC5,$HU5,$IM5,$JE5,$JW5)</f>
        <v>0</v>
      </c>
      <c r="KP5" s="1">
        <f>MIN($N5,$AF5,$AX5,$BP5,$CH5,$CZ5,$DR5,$EJ5,$FB5,$FT5,$GL5,$HD5,$HV5,$IN5,$JF5,$JX5)</f>
        <v>0</v>
      </c>
      <c r="KQ5" s="1">
        <f>MIN($O5,$AG5,$AY5,$BQ5,$CI5,$DA5,$DS5,$EK5,$FC5,$FU5,$GM5,$HE5,$HW5,$IO5,$JG5,$JY5)</f>
        <v>0</v>
      </c>
      <c r="KR5" s="1">
        <f>MIN($Q5,$AI5,$BA5,$BS5,$CK5,$DC5,$DU5,$EM5,$FE5,$FW5,$GO5,$HG5,$HY5,$IQ5,$JI5,$KA5)</f>
        <v>0</v>
      </c>
      <c r="KS5" s="1">
        <f>MIN($R5,$AJ5,$BB5,$BT5,$CL5,$DD5,$DV5,$EN5,$FF5,$FX5,$GP5,$HH5,$HZ5,$IR5,$JJ5,$KB5)</f>
        <v>0</v>
      </c>
      <c r="KT5" s="1">
        <f>MIN($S5,$AK5,$BC5,$BU5,$CM5,$DE5,$DW5,$EO5,$FG5,$FY5,$GQ5,$HI5,$IA5,$IS5,$JK5,$KC5)</f>
        <v>0</v>
      </c>
      <c r="KU5" s="1">
        <f>MEDIAN($B5,$T5,$AL5,$BD5,$BV5,$CN5,$DF5,$DX5,$EP5,$FH5,$FZ5,$GR5,$HJ5,$IB5,$IT5,$JL5)</f>
        <v>0</v>
      </c>
      <c r="KV5" s="1">
        <f>MEDIAN($C5,$U5,$AM5,$BE5,$BW5,$CO5,$DG5,$DY5,$EQ5,$FI5,$GA5,$GS5,$HK5,$IC5,$IU5,$JM5)</f>
        <v>0</v>
      </c>
      <c r="KW5" s="1">
        <f>MEDIAN($D5,$V5,$AN5,$BF5,$BX5,$CP5,$DH5,$DZ5,$ER5,$FJ5,$GB5,$GT5,$HL5,$ID5,$IV5,$JN5)</f>
        <v>0</v>
      </c>
      <c r="KX5" s="1">
        <f>MEDIAN($E5,$W5,$AO5,$BG5,$BY5,$CQ5,$DI5,$EA5,$ES5,$FK5,$GC5,$GU5,$HM5,$IE5,$IW5,$JO5)</f>
        <v>0</v>
      </c>
      <c r="KY5" s="1">
        <f>MEDIAN($F5,$X5,$AP5,$BH5,$BZ5,$CR5,$DJ5,$EB5,$ET5,$FL5,$GD5,$GV5,$HN5,$IF5,$IX5,$JP5)</f>
        <v>0</v>
      </c>
      <c r="KZ5" s="1">
        <f>MEDIAN($G5,$Y5,$AQ5,$BI5,$CA5,$CS5,$DK5,$EC5,$EU5,$FM5,$GE5,$GW5,$HO5,$IG5,$IY5,$JQ5)</f>
        <v>0</v>
      </c>
      <c r="LA5" s="1">
        <f>MEDIAN($H5,$Z5,$AR5,$BJ5,$CB5,$CT5,$DL5,$ED5,$EV5,$FN5,$GF5,$GX5,$HP5,$IH5,$IZ5,$JR5)</f>
        <v>0</v>
      </c>
      <c r="LB5" s="1">
        <f>MEDIAN($I5,$AA5,$AS5,$BK5,$CC5,$CU5,$DM5,$EE5,$EW5,$FO5,$GG5,$GY5,$HQ5,$II5,$JA5,$JS5)</f>
        <v>0</v>
      </c>
      <c r="LC5" s="1">
        <f>MEDIAN($J5,$AB5,$AT5,$BL5,$CD5,$CV5,$DN5,$EF5,$EX5,$FP5,$GH5,$GZ5,$HR5,$IJ5,$JB5,$JT5)</f>
        <v>0</v>
      </c>
      <c r="LD5" s="1">
        <f>MEDIAN($K5,$AC5,$AU5,$BM5,$CE5,$CW5,$DO5,$EG5,$EY5,$FQ5,$GI5,$HA5,$HS5,$IK5,$JC5,$JU5)</f>
        <v>0</v>
      </c>
      <c r="LE5" s="1">
        <f>MEDIAN($L5,$AD5,$AV5,$BN5,$CF5,$CX5,$DP5,$EH5,$EZ5,$FR5,$GJ5,$HB5,$HT5,$IL5,$JD5,$JV5)</f>
        <v>0</v>
      </c>
      <c r="LF5" s="1">
        <f>MEDIAN($M5,$AE5,$AW5,$BO5,$CG5,$CY5,$DQ5,$EI5,$FA5,$FS5,$GK5,$HC5,$HU5,$IM5,$JE5,$JW5)</f>
        <v>0</v>
      </c>
      <c r="LG5" s="1">
        <f>MEDIAN($N5,$AF5,$AX5,$BP5,$CH5,$CZ5,$DR5,$EJ5,$FB5,$FT5,$GL5,$HD5,$HV5,$IN5,$JF5,$JX5)</f>
        <v>0</v>
      </c>
      <c r="LH5" s="1">
        <f>MEDIAN($O5,$AG5,$AY5,$BQ5,$CI5,$DA5,$DS5,$EK5,$FC5,$FU5,$GM5,$HE5,$HW5,$IO5,$JG5,$JY5)</f>
        <v>0</v>
      </c>
      <c r="LI5" s="1">
        <f>MEDIAN($Q5,$AI5,$BA5,$BS5,$CK5,$DC5,$DU5,$EM5,$FE5,$FW5,$GO5,$HG5,$HY5,$IQ5,$JI5,$KA5)</f>
        <v>0</v>
      </c>
      <c r="LJ5" s="1">
        <f>MEDIAN($R5,$AJ5,$BB5,$BT5,$CL5,$DD5,$DV5,$EN5,$FF5,$FX5,$GP5,$HH5,$HZ5,$IR5,$JJ5,$KB5)</f>
        <v>0</v>
      </c>
      <c r="LK5" s="1">
        <f>MEDIAN($S5,$AK5,$BC5,$BU5,$CM5,$DE5,$DW5,$EO5,$FG5,$FY5,$GQ5,$HI5,$IA5,$IS5,$JK5,$KC5)</f>
        <v>0</v>
      </c>
      <c r="LL5" s="1">
        <f>MAX($B5,$T5,$AL5,$BD5,$BV5,$CN5,$DF5,$DX5,$EP5,$FH5,$FZ5,$GR5,$HJ5,$IB5,$IT5,$JL5)</f>
        <v>0</v>
      </c>
      <c r="LM5" s="1">
        <f>MAX($C5,$U5,$AM5,$BE5,$BW5,$CO5,$DG5,$DY5,$EQ5,$FI5,$GA5,$GS5,$HK5,$IC5,$IU5,$JM5)</f>
        <v>0</v>
      </c>
      <c r="LN5" s="1">
        <f>MAX($D5,$V5,$AN5,$BF5,$BX5,$CP5,$DH5,$DZ5,$ER5,$FJ5,$GB5,$GT5,$HL5,$ID5,$IV5,$JN5)</f>
        <v>0</v>
      </c>
      <c r="LO5" s="1">
        <f>MAX($E5,$W5,$AO5,$BG5,$BY5,$CQ5,$DI5,$EA5,$ES5,$FK5,$GC5,$GU5,$HM5,$IE5,$IW5,$JO5)</f>
        <v>0</v>
      </c>
      <c r="LP5" s="1">
        <f>MAX($F5,$X5,$AP5,$BH5,$BZ5,$CR5,$DJ5,$EB5,$ET5,$FL5,$GD5,$GV5,$HN5,$IF5,$IX5,$JP5)</f>
        <v>0</v>
      </c>
      <c r="LQ5" s="1">
        <f>MAX($G5,$Y5,$AQ5,$BI5,$CA5,$CS5,$DK5,$EC5,$EU5,$FM5,$GE5,$GW5,$HO5,$IG5,$IY5,$JQ5)</f>
        <v>0</v>
      </c>
      <c r="LR5" s="1">
        <f>MAX($H5,$Z5,$AR5,$BJ5,$CB5,$CT5,$DL5,$ED5,$EV5,$FN5,$GF5,$GX5,$HP5,$IH5,$IZ5,$JR5)</f>
        <v>0</v>
      </c>
      <c r="LS5" s="1">
        <f>MAX($I5,$AA5,$AS5,$BK5,$CC5,$CU5,$DM5,$EE5,$EW5,$FO5,$GG5,$GY5,$HQ5,$II5,$JA5,$JS5)</f>
        <v>0</v>
      </c>
      <c r="LT5" s="1">
        <f>MAX($J5,$AB5,$AT5,$BL5,$CD5,$CV5,$DN5,$EF5,$EX5,$FP5,$GH5,$GZ5,$HR5,$IJ5,$JB5,$JT5)</f>
        <v>0</v>
      </c>
      <c r="LU5" s="1">
        <f>MAX($K5,$AC5,$AU5,$BM5,$CE5,$CW5,$DO5,$EG5,$EY5,$FQ5,$GI5,$HA5,$HS5,$IK5,$JC5,$JU5)</f>
        <v>0</v>
      </c>
      <c r="LV5" s="1">
        <f>MAX($L5,$AD5,$AV5,$BN5,$CF5,$CX5,$DP5,$EH5,$EZ5,$FR5,$GJ5,$HB5,$HT5,$IL5,$JD5,$JV5)</f>
        <v>0</v>
      </c>
      <c r="LW5" s="1">
        <f>MAX($M5,$AE5,$AW5,$BO5,$CG5,$CY5,$DQ5,$EI5,$FA5,$FS5,$GK5,$HC5,$HU5,$IM5,$JE5,$JW5)</f>
        <v>0</v>
      </c>
      <c r="LX5" s="1">
        <f>MAX($N5,$AF5,$AX5,$BP5,$CH5,$CZ5,$DR5,$EJ5,$FB5,$FT5,$GL5,$HD5,$HV5,$IN5,$JF5,$JX5)</f>
        <v>0</v>
      </c>
      <c r="LY5" s="1">
        <f>MAX($O5,$AG5,$AY5,$BQ5,$CI5,$DA5,$DS5,$EK5,$FC5,$FU5,$GM5,$HE5,$HW5,$IO5,$JG5,$JY5)</f>
        <v>0</v>
      </c>
      <c r="LZ5" s="1">
        <f>MAX($Q5,$AI5,$BA5,$BS5,$CK5,$DC5,$DU5,$EM5,$FE5,$FW5,$GO5,$HG5,$HY5,$IQ5,$JI5,$KA5)</f>
        <v>0</v>
      </c>
      <c r="MA5" s="1">
        <f>MAX($R5,$AJ5,$BB5,$BT5,$CL5,$DD5,$DV5,$EN5,$FF5,$FX5,$GP5,$HH5,$HZ5,$IR5,$JJ5,$KB5)</f>
        <v>0</v>
      </c>
      <c r="MB5" s="1">
        <f>MAX($S5,$AK5,$BC5,$BU5,$CM5,$DE5,$DW5,$EO5,$FG5,$FY5,$GQ5,$HI5,$IA5,$IS5,$JK5,$KC5)</f>
        <v>0</v>
      </c>
    </row>
    <row r="6" spans="1:34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</row>
    <row r="7" spans="1:340">
      <c r="A7" s="1" t="s">
        <v>7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/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/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>
        <f>SUM(AM$3:AM$5)</f>
        <v>0</v>
      </c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/>
      <c r="BA7" s="1">
        <f>SUM(BA$3:BA$5)</f>
        <v>0</v>
      </c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>
        <f>SUM(BO$3:BO$5)</f>
        <v>0</v>
      </c>
      <c r="BP7" s="1">
        <f>SUM(BP$3:BP$5)</f>
        <v>0</v>
      </c>
      <c r="BQ7" s="1">
        <f>SUM(BQ$3:BQ$5)</f>
        <v>0</v>
      </c>
      <c r="BR7" s="1"/>
      <c r="BS7" s="1">
        <f>SUM(BS$3:BS$5)</f>
        <v>0</v>
      </c>
      <c r="BT7" s="1">
        <f>SUM(BT$3:BT$5)</f>
        <v>0</v>
      </c>
      <c r="BU7" s="1">
        <f>SUM(BU$3:BU$5)</f>
        <v>0</v>
      </c>
      <c r="BV7" s="1">
        <f>SUM(BV$3:BV$5)</f>
        <v>0</v>
      </c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>
        <f>SUM(CC$3:CC$5)</f>
        <v>0</v>
      </c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>
        <f>SUM(CQ$3:CQ$5)</f>
        <v>0</v>
      </c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>
        <f>SUM(CX$3:CX$5)</f>
        <v>0</v>
      </c>
      <c r="CY7" s="1">
        <f>SUM(CY$3:CY$5)</f>
        <v>0</v>
      </c>
      <c r="CZ7" s="1">
        <f>SUM(CZ$3:CZ$5)</f>
        <v>0</v>
      </c>
      <c r="DA7" s="1">
        <f>SUM(DA$3:DA$5)</f>
        <v>0</v>
      </c>
      <c r="DB7" s="1"/>
      <c r="DC7" s="1">
        <f>SUM(DC$3:DC$5)</f>
        <v>0</v>
      </c>
      <c r="DD7" s="1">
        <f>SUM(DD$3:DD$5)</f>
        <v>0</v>
      </c>
      <c r="DE7" s="1">
        <f>SUM(DE$3:DE$5)</f>
        <v>0</v>
      </c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>
        <f>SUM(DL$3:DL$5)</f>
        <v>0</v>
      </c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>
        <f>SUM(DZ$3:DZ$5)</f>
        <v>0</v>
      </c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>
        <f>SUM(EG$3:EG$5)</f>
        <v>0</v>
      </c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/>
      <c r="EM7" s="1">
        <f>SUM(EM$3:EM$5)</f>
        <v>0</v>
      </c>
      <c r="EN7" s="1">
        <f>SUM(EN$3:EN$5)</f>
        <v>0</v>
      </c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>
        <f>SUM(EU$3:EU$5)</f>
        <v>0</v>
      </c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>
        <f>SUM(FB$3:FB$5)</f>
        <v>0</v>
      </c>
      <c r="FC7" s="1">
        <f>SUM(FC$3:FC$5)</f>
        <v>0</v>
      </c>
      <c r="FD7" s="1"/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>
        <f>SUM(FI$3:FI$5)</f>
        <v>0</v>
      </c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>
        <f>SUM(FP$3:FP$5)</f>
        <v>0</v>
      </c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>
        <f>SUM(FW$3:FW$5)</f>
        <v>0</v>
      </c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>
        <f>SUM(GD$3:GD$5)</f>
        <v>0</v>
      </c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>
        <f>SUM(GK$3:GK$5)</f>
        <v>0</v>
      </c>
      <c r="GL7" s="1">
        <f>SUM(GL$3:GL$5)</f>
        <v>0</v>
      </c>
      <c r="GM7" s="1">
        <f>SUM(GM$3:GM$5)</f>
        <v>0</v>
      </c>
      <c r="GN7" s="1"/>
      <c r="GO7" s="1">
        <f>SUM(GO$3:GO$5)</f>
        <v>0</v>
      </c>
      <c r="GP7" s="1">
        <f>SUM(GP$3:GP$5)</f>
        <v>0</v>
      </c>
      <c r="GQ7" s="1">
        <f>SUM(GQ$3:GQ$5)</f>
        <v>0</v>
      </c>
      <c r="GR7" s="1">
        <f>SUM(GR$3:GR$5)</f>
        <v>0</v>
      </c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>
        <f>SUM(GY$3:GY$5)</f>
        <v>0</v>
      </c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>
        <f>SUM(HM$3:HM$5)</f>
        <v>0</v>
      </c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>
        <f>SUM(HT$3:HT$5)</f>
        <v>0</v>
      </c>
      <c r="HU7" s="1">
        <f>SUM(HU$3:HU$5)</f>
        <v>0</v>
      </c>
      <c r="HV7" s="1">
        <f>SUM(HV$3:HV$5)</f>
        <v>0</v>
      </c>
      <c r="HW7" s="1">
        <f>SUM(HW$3:HW$5)</f>
        <v>0</v>
      </c>
      <c r="HX7" s="1"/>
      <c r="HY7" s="1">
        <f>SUM(HY$3:HY$5)</f>
        <v>0</v>
      </c>
      <c r="HZ7" s="1">
        <f>SUM(HZ$3:HZ$5)</f>
        <v>0</v>
      </c>
      <c r="IA7" s="1">
        <f>SUM(IA$3:IA$5)</f>
        <v>0</v>
      </c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>
        <f>SUM(IH$3:IH$5)</f>
        <v>0</v>
      </c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>
        <f>SUM(IO$3:IO$5)</f>
        <v>0</v>
      </c>
      <c r="IP7" s="1"/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>
        <f>SUM(IV$3:IV$5)</f>
        <v>0</v>
      </c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>
        <f>SUM(JC$3:JC$5)</f>
        <v>0</v>
      </c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/>
      <c r="JI7" s="1">
        <f>SUM(JI$3:JI$5)</f>
        <v>0</v>
      </c>
      <c r="JJ7" s="1">
        <f>SUM(JJ$3:JJ$5)</f>
        <v>0</v>
      </c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>
        <f>SUM(JQ$3:JQ$5)</f>
        <v>0</v>
      </c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>
        <f>SUM(JX$3:JX$5)</f>
        <v>0</v>
      </c>
      <c r="JY7" s="1">
        <f>SUM(JY$3:JY$5)</f>
        <v>0</v>
      </c>
      <c r="JZ7" s="1"/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>
        <f>SUM(KE$3:KE$5)</f>
        <v>0</v>
      </c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>
        <f>SUM(KL$3:KL$5)</f>
        <v>0</v>
      </c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>
        <f>SUM(KS$3:KS$5)</f>
        <v>0</v>
      </c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>
        <f>SUM(KZ$3:KZ$5)</f>
        <v>0</v>
      </c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>
        <f>SUM(LG$3:LG$5)</f>
        <v>0</v>
      </c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>
        <f>SUM(LN$3:LN$5)</f>
        <v>0</v>
      </c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>
        <f>SUM(LU$3:LU$5)</f>
        <v>0</v>
      </c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>
        <f>SUM(MB$3:MB$5)</f>
        <v>0</v>
      </c>
    </row>
    <row r="8" spans="1:340">
      <c r="A8" s="1" t="s">
        <v>8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/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/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/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>
        <f>AVERAGE(BP$3:BP$5)</f>
        <v>0</v>
      </c>
      <c r="BQ8" s="1">
        <f>AVERAGE(BQ$3:BQ$5)</f>
        <v>0</v>
      </c>
      <c r="BR8" s="1"/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>
        <f>AVERAGE(BV$3:BV$5)</f>
        <v>0</v>
      </c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>
        <f>AVERAGE(CQ$3:CQ$5)</f>
        <v>0</v>
      </c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/>
      <c r="DC8" s="1">
        <f>AVERAGE(DC$3:DC$5)</f>
        <v>0</v>
      </c>
      <c r="DD8" s="1">
        <f>AVERAGE(DD$3:DD$5)</f>
        <v>0</v>
      </c>
      <c r="DE8" s="1">
        <f>AVERAGE(DE$3:DE$5)</f>
        <v>0</v>
      </c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>
        <f>AVERAGE(DL$3:DL$5)</f>
        <v>0</v>
      </c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>
        <f>AVERAGE(DZ$3:DZ$5)</f>
        <v>0</v>
      </c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>
        <f>AVERAGE(EG$3:EG$5)</f>
        <v>0</v>
      </c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/>
      <c r="EM8" s="1">
        <f>AVERAGE(EM$3:EM$5)</f>
        <v>0</v>
      </c>
      <c r="EN8" s="1">
        <f>AVERAGE(EN$3:EN$5)</f>
        <v>0</v>
      </c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>
        <f>AVERAGE(EU$3:EU$5)</f>
        <v>0</v>
      </c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>
        <f>AVERAGE(FB$3:FB$5)</f>
        <v>0</v>
      </c>
      <c r="FC8" s="1">
        <f>AVERAGE(FC$3:FC$5)</f>
        <v>0</v>
      </c>
      <c r="FD8" s="1"/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>
        <f>AVERAGE(FP$3:FP$5)</f>
        <v>0</v>
      </c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>
        <f>AVERAGE(FW$3:FW$5)</f>
        <v>0</v>
      </c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>
        <f>AVERAGE(GK$3:GK$5)</f>
        <v>0</v>
      </c>
      <c r="GL8" s="1">
        <f>AVERAGE(GL$3:GL$5)</f>
        <v>0</v>
      </c>
      <c r="GM8" s="1">
        <f>AVERAGE(GM$3:GM$5)</f>
        <v>0</v>
      </c>
      <c r="GN8" s="1"/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>
        <f>AVERAGE(GR$3:GR$5)</f>
        <v>0</v>
      </c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>
        <f>AVERAGE(HT$3:HT$5)</f>
        <v>0</v>
      </c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/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>
        <f>AVERAGE(IH$3:IH$5)</f>
        <v>0</v>
      </c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>
        <f>AVERAGE(IO$3:IO$5)</f>
        <v>0</v>
      </c>
      <c r="IP8" s="1"/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>
        <f>AVERAGE(IV$3:IV$5)</f>
        <v>0</v>
      </c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>
        <f>AVERAGE(JC$3:JC$5)</f>
        <v>0</v>
      </c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/>
      <c r="JI8" s="1">
        <f>AVERAGE(JI$3:JI$5)</f>
        <v>0</v>
      </c>
      <c r="JJ8" s="1">
        <f>AVERAGE(JJ$3:JJ$5)</f>
        <v>0</v>
      </c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>
        <f>AVERAGE(JQ$3:JQ$5)</f>
        <v>0</v>
      </c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>
        <f>AVERAGE(JX$3:JX$5)</f>
        <v>0</v>
      </c>
      <c r="JY8" s="1">
        <f>AVERAGE(JY$3:JY$5)</f>
        <v>0</v>
      </c>
      <c r="JZ8" s="1"/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>
        <f>AVERAGE(KE$3:KE$5)</f>
        <v>0</v>
      </c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>
        <f>AVERAGE(KL$3:KL$5)</f>
        <v>0</v>
      </c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>
        <f>AVERAGE(KS$3:KS$5)</f>
        <v>0</v>
      </c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>
        <f>AVERAGE(KZ$3:KZ$5)</f>
        <v>0</v>
      </c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>
        <f>AVERAGE(LG$3:LG$5)</f>
        <v>0</v>
      </c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>
        <f>AVERAGE(LN$3:LN$5)</f>
        <v>0</v>
      </c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>
        <f>AVERAGE(LU$3:LU$5)</f>
        <v>0</v>
      </c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>
        <f>AVERAGE(MB$3:MB$5)</f>
        <v>0</v>
      </c>
    </row>
    <row r="9" spans="1:340">
      <c r="A9" s="1" t="s">
        <v>9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/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/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>
        <f>STDEV(AM$3:AM$5)</f>
        <v>0</v>
      </c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/>
      <c r="BA9" s="1">
        <f>STDEV(BA$3:BA$5)</f>
        <v>0</v>
      </c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>
        <f>STDEV(BO$3:BO$5)</f>
        <v>0</v>
      </c>
      <c r="BP9" s="1">
        <f>STDEV(BP$3:BP$5)</f>
        <v>0</v>
      </c>
      <c r="BQ9" s="1">
        <f>STDEV(BQ$3:BQ$5)</f>
        <v>0</v>
      </c>
      <c r="BR9" s="1"/>
      <c r="BS9" s="1">
        <f>STDEV(BS$3:BS$5)</f>
        <v>0</v>
      </c>
      <c r="BT9" s="1">
        <f>STDEV(BT$3:BT$5)</f>
        <v>0</v>
      </c>
      <c r="BU9" s="1">
        <f>STDEV(BU$3:BU$5)</f>
        <v>0</v>
      </c>
      <c r="BV9" s="1">
        <f>STDEV(BV$3:BV$5)</f>
        <v>0</v>
      </c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>
        <f>STDEV(CC$3:CC$5)</f>
        <v>0</v>
      </c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>
        <f>STDEV(CQ$3:CQ$5)</f>
        <v>0</v>
      </c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>
        <f>STDEV(CX$3:CX$5)</f>
        <v>0</v>
      </c>
      <c r="CY9" s="1">
        <f>STDEV(CY$3:CY$5)</f>
        <v>0</v>
      </c>
      <c r="CZ9" s="1">
        <f>STDEV(CZ$3:CZ$5)</f>
        <v>0</v>
      </c>
      <c r="DA9" s="1">
        <f>STDEV(DA$3:DA$5)</f>
        <v>0</v>
      </c>
      <c r="DB9" s="1"/>
      <c r="DC9" s="1">
        <f>STDEV(DC$3:DC$5)</f>
        <v>0</v>
      </c>
      <c r="DD9" s="1">
        <f>STDEV(DD$3:DD$5)</f>
        <v>0</v>
      </c>
      <c r="DE9" s="1">
        <f>STDEV(DE$3:DE$5)</f>
        <v>0</v>
      </c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>
        <f>STDEV(DL$3:DL$5)</f>
        <v>0</v>
      </c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>
        <f>STDEV(DZ$3:DZ$5)</f>
        <v>0</v>
      </c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>
        <f>STDEV(EG$3:EG$5)</f>
        <v>0</v>
      </c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/>
      <c r="EM9" s="1">
        <f>STDEV(EM$3:EM$5)</f>
        <v>0</v>
      </c>
      <c r="EN9" s="1">
        <f>STDEV(EN$3:EN$5)</f>
        <v>0</v>
      </c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>
        <f>STDEV(EU$3:EU$5)</f>
        <v>0</v>
      </c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>
        <f>STDEV(FB$3:FB$5)</f>
        <v>0</v>
      </c>
      <c r="FC9" s="1">
        <f>STDEV(FC$3:FC$5)</f>
        <v>0</v>
      </c>
      <c r="FD9" s="1"/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>
        <f>STDEV(FI$3:FI$5)</f>
        <v>0</v>
      </c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>
        <f>STDEV(FP$3:FP$5)</f>
        <v>0</v>
      </c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>
        <f>STDEV(FW$3:FW$5)</f>
        <v>0</v>
      </c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>
        <f>STDEV(GD$3:GD$5)</f>
        <v>0</v>
      </c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>
        <f>STDEV(GK$3:GK$5)</f>
        <v>0</v>
      </c>
      <c r="GL9" s="1">
        <f>STDEV(GL$3:GL$5)</f>
        <v>0</v>
      </c>
      <c r="GM9" s="1">
        <f>STDEV(GM$3:GM$5)</f>
        <v>0</v>
      </c>
      <c r="GN9" s="1"/>
      <c r="GO9" s="1">
        <f>STDEV(GO$3:GO$5)</f>
        <v>0</v>
      </c>
      <c r="GP9" s="1">
        <f>STDEV(GP$3:GP$5)</f>
        <v>0</v>
      </c>
      <c r="GQ9" s="1">
        <f>STDEV(GQ$3:GQ$5)</f>
        <v>0</v>
      </c>
      <c r="GR9" s="1">
        <f>STDEV(GR$3:GR$5)</f>
        <v>0</v>
      </c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>
        <f>STDEV(GY$3:GY$5)</f>
        <v>0</v>
      </c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>
        <f>STDEV(HM$3:HM$5)</f>
        <v>0</v>
      </c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>
        <f>STDEV(HT$3:HT$5)</f>
        <v>0</v>
      </c>
      <c r="HU9" s="1">
        <f>STDEV(HU$3:HU$5)</f>
        <v>0</v>
      </c>
      <c r="HV9" s="1">
        <f>STDEV(HV$3:HV$5)</f>
        <v>0</v>
      </c>
      <c r="HW9" s="1">
        <f>STDEV(HW$3:HW$5)</f>
        <v>0</v>
      </c>
      <c r="HX9" s="1"/>
      <c r="HY9" s="1">
        <f>STDEV(HY$3:HY$5)</f>
        <v>0</v>
      </c>
      <c r="HZ9" s="1">
        <f>STDEV(HZ$3:HZ$5)</f>
        <v>0</v>
      </c>
      <c r="IA9" s="1">
        <f>STDEV(IA$3:IA$5)</f>
        <v>0</v>
      </c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>
        <f>STDEV(IH$3:IH$5)</f>
        <v>0</v>
      </c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>
        <f>STDEV(IO$3:IO$5)</f>
        <v>0</v>
      </c>
      <c r="IP9" s="1"/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>
        <f>STDEV(IV$3:IV$5)</f>
        <v>0</v>
      </c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>
        <f>STDEV(JC$3:JC$5)</f>
        <v>0</v>
      </c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/>
      <c r="JI9" s="1">
        <f>STDEV(JI$3:JI$5)</f>
        <v>0</v>
      </c>
      <c r="JJ9" s="1">
        <f>STDEV(JJ$3:JJ$5)</f>
        <v>0</v>
      </c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>
        <f>STDEV(JQ$3:JQ$5)</f>
        <v>0</v>
      </c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>
        <f>STDEV(JX$3:JX$5)</f>
        <v>0</v>
      </c>
      <c r="JY9" s="1">
        <f>STDEV(JY$3:JY$5)</f>
        <v>0</v>
      </c>
      <c r="JZ9" s="1"/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>
        <f>STDEV(KE$3:KE$5)</f>
        <v>0</v>
      </c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>
        <f>STDEV(KL$3:KL$5)</f>
        <v>0</v>
      </c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>
        <f>STDEV(KS$3:KS$5)</f>
        <v>0</v>
      </c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>
        <f>STDEV(KZ$3:KZ$5)</f>
        <v>0</v>
      </c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>
        <f>STDEV(LG$3:LG$5)</f>
        <v>0</v>
      </c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>
        <f>STDEV(LN$3:LN$5)</f>
        <v>0</v>
      </c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>
        <f>STDEV(LU$3:LU$5)</f>
        <v>0</v>
      </c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>
        <f>STDEV(MB$3:MB$5)</f>
        <v>0</v>
      </c>
    </row>
    <row r="10" spans="1:340">
      <c r="A10" s="1" t="s">
        <v>10</v>
      </c>
      <c r="B10" s="1">
        <f>SUMPRODUCT(--(B$3:B$5-$KD$3:$KD$5)^2)^0.5</f>
        <v>0</v>
      </c>
      <c r="C10" s="1">
        <f>SUMPRODUCT(--(C$3:C$5-$KE$3:$KE$5)^2)^0.5</f>
        <v>0</v>
      </c>
      <c r="D10" s="1">
        <f>SUMPRODUCT(--(D$3:D$5-$KF$3:$KF$5)^2)^0.5</f>
        <v>0</v>
      </c>
      <c r="E10" s="1">
        <f>SUMPRODUCT(--(E$3:E$5-$KG$3:$KG$5)^2)^0.5</f>
        <v>0</v>
      </c>
      <c r="F10" s="1">
        <f>SUMPRODUCT(--(F$3:F$5-$KH$3:$KH$5)^2)^0.5</f>
        <v>0</v>
      </c>
      <c r="G10" s="1">
        <f>SUMPRODUCT(--(G$3:G$5-$KI$3:$KI$5)^2)^0.5</f>
        <v>0</v>
      </c>
      <c r="H10" s="1">
        <f>SUMPRODUCT(--(H$3:H$5-$KJ$3:$KJ$5)^2)^0.5</f>
        <v>0</v>
      </c>
      <c r="I10" s="1">
        <f>SUMPRODUCT(--(I$3:I$5-$KK$3:$KK$5)^2)^0.5</f>
        <v>0</v>
      </c>
      <c r="J10" s="1">
        <f>SUMPRODUCT(--(J$3:J$5-$KL$3:$KL$5)^2)^0.5</f>
        <v>0</v>
      </c>
      <c r="K10" s="1">
        <f>SUMPRODUCT(--(K$3:K$5-$KM$3:$KM$5)^2)^0.5</f>
        <v>0</v>
      </c>
      <c r="L10" s="1">
        <f>SUMPRODUCT(--(L$3:L$5-$KN$3:$KN$5)^2)^0.5</f>
        <v>0</v>
      </c>
      <c r="M10" s="1">
        <f>SUMPRODUCT(--(M$3:M$5-$KO$3:$KO$5)^2)^0.5</f>
        <v>0</v>
      </c>
      <c r="N10" s="1">
        <f>SUMPRODUCT(--(N$3:N$5-$KP$3:$KP$5)^2)^0.5</f>
        <v>0</v>
      </c>
      <c r="O10" s="1">
        <f>SUMPRODUCT(--(O$3:O$5-$KQ$3:$KQ$5)^2)^0.5</f>
        <v>0</v>
      </c>
      <c r="P10" s="1"/>
      <c r="Q10" s="1">
        <f>SUMPRODUCT(--(Q$3:Q$5-$KR$3:$KR$5)^2)^0.5</f>
        <v>0</v>
      </c>
      <c r="R10" s="1">
        <f>SUMPRODUCT(--(R$3:R$5-$KS$3:$KS$5)^2)^0.5</f>
        <v>0</v>
      </c>
      <c r="S10" s="1">
        <f>SUMPRODUCT(--(S$3:S$5-$KT$3:$KT$5)^2)^0.5</f>
        <v>0</v>
      </c>
      <c r="T10" s="1">
        <f>SUMPRODUCT(--(T$3:T$5-$KD$3:$KD$5)^2)^0.5</f>
        <v>0</v>
      </c>
      <c r="U10" s="1">
        <f>SUMPRODUCT(--(U$3:U$5-$KE$3:$KE$5)^2)^0.5</f>
        <v>0</v>
      </c>
      <c r="V10" s="1">
        <f>SUMPRODUCT(--(V$3:V$5-$KF$3:$KF$5)^2)^0.5</f>
        <v>0</v>
      </c>
      <c r="W10" s="1">
        <f>SUMPRODUCT(--(W$3:W$5-$KG$3:$KG$5)^2)^0.5</f>
        <v>0</v>
      </c>
      <c r="X10" s="1">
        <f>SUMPRODUCT(--(X$3:X$5-$KH$3:$KH$5)^2)^0.5</f>
        <v>0</v>
      </c>
      <c r="Y10" s="1">
        <f>SUMPRODUCT(--(Y$3:Y$5-$KI$3:$KI$5)^2)^0.5</f>
        <v>0</v>
      </c>
      <c r="Z10" s="1">
        <f>SUMPRODUCT(--(Z$3:Z$5-$KJ$3:$KJ$5)^2)^0.5</f>
        <v>0</v>
      </c>
      <c r="AA10" s="1">
        <f>SUMPRODUCT(--(AA$3:AA$5-$KK$3:$KK$5)^2)^0.5</f>
        <v>0</v>
      </c>
      <c r="AB10" s="1">
        <f>SUMPRODUCT(--(AB$3:AB$5-$KL$3:$KL$5)^2)^0.5</f>
        <v>0</v>
      </c>
      <c r="AC10" s="1">
        <f>SUMPRODUCT(--(AC$3:AC$5-$KM$3:$KM$5)^2)^0.5</f>
        <v>0</v>
      </c>
      <c r="AD10" s="1">
        <f>SUMPRODUCT(--(AD$3:AD$5-$KN$3:$KN$5)^2)^0.5</f>
        <v>0</v>
      </c>
      <c r="AE10" s="1">
        <f>SUMPRODUCT(--(AE$3:AE$5-$KO$3:$KO$5)^2)^0.5</f>
        <v>0</v>
      </c>
      <c r="AF10" s="1">
        <f>SUMPRODUCT(--(AF$3:AF$5-$KP$3:$KP$5)^2)^0.5</f>
        <v>0</v>
      </c>
      <c r="AG10" s="1">
        <f>SUMPRODUCT(--(AG$3:AG$5-$KQ$3:$KQ$5)^2)^0.5</f>
        <v>0</v>
      </c>
      <c r="AH10" s="1"/>
      <c r="AI10" s="1">
        <f>SUMPRODUCT(--(AI$3:AI$5-$KR$3:$KR$5)^2)^0.5</f>
        <v>0</v>
      </c>
      <c r="AJ10" s="1">
        <f>SUMPRODUCT(--(AJ$3:AJ$5-$KS$3:$KS$5)^2)^0.5</f>
        <v>0</v>
      </c>
      <c r="AK10" s="1">
        <f>SUMPRODUCT(--(AK$3:AK$5-$KT$3:$KT$5)^2)^0.5</f>
        <v>0</v>
      </c>
      <c r="AL10" s="1">
        <f>SUMPRODUCT(--(AL$3:AL$5-$KD$3:$KD$5)^2)^0.5</f>
        <v>0</v>
      </c>
      <c r="AM10" s="1">
        <f>SUMPRODUCT(--(AM$3:AM$5-$KE$3:$KE$5)^2)^0.5</f>
        <v>0</v>
      </c>
      <c r="AN10" s="1">
        <f>SUMPRODUCT(--(AN$3:AN$5-$KF$3:$KF$5)^2)^0.5</f>
        <v>0</v>
      </c>
      <c r="AO10" s="1">
        <f>SUMPRODUCT(--(AO$3:AO$5-$KG$3:$KG$5)^2)^0.5</f>
        <v>0</v>
      </c>
      <c r="AP10" s="1">
        <f>SUMPRODUCT(--(AP$3:AP$5-$KH$3:$KH$5)^2)^0.5</f>
        <v>0</v>
      </c>
      <c r="AQ10" s="1">
        <f>SUMPRODUCT(--(AQ$3:AQ$5-$KI$3:$KI$5)^2)^0.5</f>
        <v>0</v>
      </c>
      <c r="AR10" s="1">
        <f>SUMPRODUCT(--(AR$3:AR$5-$KJ$3:$KJ$5)^2)^0.5</f>
        <v>0</v>
      </c>
      <c r="AS10" s="1">
        <f>SUMPRODUCT(--(AS$3:AS$5-$KK$3:$KK$5)^2)^0.5</f>
        <v>0</v>
      </c>
      <c r="AT10" s="1">
        <f>SUMPRODUCT(--(AT$3:AT$5-$KL$3:$KL$5)^2)^0.5</f>
        <v>0</v>
      </c>
      <c r="AU10" s="1">
        <f>SUMPRODUCT(--(AU$3:AU$5-$KM$3:$KM$5)^2)^0.5</f>
        <v>0</v>
      </c>
      <c r="AV10" s="1">
        <f>SUMPRODUCT(--(AV$3:AV$5-$KN$3:$KN$5)^2)^0.5</f>
        <v>0</v>
      </c>
      <c r="AW10" s="1">
        <f>SUMPRODUCT(--(AW$3:AW$5-$KO$3:$KO$5)^2)^0.5</f>
        <v>0</v>
      </c>
      <c r="AX10" s="1">
        <f>SUMPRODUCT(--(AX$3:AX$5-$KP$3:$KP$5)^2)^0.5</f>
        <v>0</v>
      </c>
      <c r="AY10" s="1">
        <f>SUMPRODUCT(--(AY$3:AY$5-$KQ$3:$KQ$5)^2)^0.5</f>
        <v>0</v>
      </c>
      <c r="AZ10" s="1"/>
      <c r="BA10" s="1">
        <f>SUMPRODUCT(--(BA$3:BA$5-$KR$3:$KR$5)^2)^0.5</f>
        <v>0</v>
      </c>
      <c r="BB10" s="1">
        <f>SUMPRODUCT(--(BB$3:BB$5-$KS$3:$KS$5)^2)^0.5</f>
        <v>0</v>
      </c>
      <c r="BC10" s="1">
        <f>SUMPRODUCT(--(BC$3:BC$5-$KT$3:$KT$5)^2)^0.5</f>
        <v>0</v>
      </c>
      <c r="BD10" s="1">
        <f>SUMPRODUCT(--(BD$3:BD$5-$KD$3:$KD$5)^2)^0.5</f>
        <v>0</v>
      </c>
      <c r="BE10" s="1">
        <f>SUMPRODUCT(--(BE$3:BE$5-$KE$3:$KE$5)^2)^0.5</f>
        <v>0</v>
      </c>
      <c r="BF10" s="1">
        <f>SUMPRODUCT(--(BF$3:BF$5-$KF$3:$KF$5)^2)^0.5</f>
        <v>0</v>
      </c>
      <c r="BG10" s="1">
        <f>SUMPRODUCT(--(BG$3:BG$5-$KG$3:$KG$5)^2)^0.5</f>
        <v>0</v>
      </c>
      <c r="BH10" s="1">
        <f>SUMPRODUCT(--(BH$3:BH$5-$KH$3:$KH$5)^2)^0.5</f>
        <v>0</v>
      </c>
      <c r="BI10" s="1">
        <f>SUMPRODUCT(--(BI$3:BI$5-$KI$3:$KI$5)^2)^0.5</f>
        <v>0</v>
      </c>
      <c r="BJ10" s="1">
        <f>SUMPRODUCT(--(BJ$3:BJ$5-$KJ$3:$KJ$5)^2)^0.5</f>
        <v>0</v>
      </c>
      <c r="BK10" s="1">
        <f>SUMPRODUCT(--(BK$3:BK$5-$KK$3:$KK$5)^2)^0.5</f>
        <v>0</v>
      </c>
      <c r="BL10" s="1">
        <f>SUMPRODUCT(--(BL$3:BL$5-$KL$3:$KL$5)^2)^0.5</f>
        <v>0</v>
      </c>
      <c r="BM10" s="1">
        <f>SUMPRODUCT(--(BM$3:BM$5-$KM$3:$KM$5)^2)^0.5</f>
        <v>0</v>
      </c>
      <c r="BN10" s="1">
        <f>SUMPRODUCT(--(BN$3:BN$5-$KN$3:$KN$5)^2)^0.5</f>
        <v>0</v>
      </c>
      <c r="BO10" s="1">
        <f>SUMPRODUCT(--(BO$3:BO$5-$KO$3:$KO$5)^2)^0.5</f>
        <v>0</v>
      </c>
      <c r="BP10" s="1">
        <f>SUMPRODUCT(--(BP$3:BP$5-$KP$3:$KP$5)^2)^0.5</f>
        <v>0</v>
      </c>
      <c r="BQ10" s="1">
        <f>SUMPRODUCT(--(BQ$3:BQ$5-$KQ$3:$KQ$5)^2)^0.5</f>
        <v>0</v>
      </c>
      <c r="BR10" s="1"/>
      <c r="BS10" s="1">
        <f>SUMPRODUCT(--(BS$3:BS$5-$KR$3:$KR$5)^2)^0.5</f>
        <v>0</v>
      </c>
      <c r="BT10" s="1">
        <f>SUMPRODUCT(--(BT$3:BT$5-$KS$3:$KS$5)^2)^0.5</f>
        <v>0</v>
      </c>
      <c r="BU10" s="1">
        <f>SUMPRODUCT(--(BU$3:BU$5-$KT$3:$KT$5)^2)^0.5</f>
        <v>0</v>
      </c>
      <c r="BV10" s="1">
        <f>SUMPRODUCT(--(BV$3:BV$5-$KD$3:$KD$5)^2)^0.5</f>
        <v>0</v>
      </c>
      <c r="BW10" s="1">
        <f>SUMPRODUCT(--(BW$3:BW$5-$KE$3:$KE$5)^2)^0.5</f>
        <v>0</v>
      </c>
      <c r="BX10" s="1">
        <f>SUMPRODUCT(--(BX$3:BX$5-$KF$3:$KF$5)^2)^0.5</f>
        <v>0</v>
      </c>
      <c r="BY10" s="1">
        <f>SUMPRODUCT(--(BY$3:BY$5-$KG$3:$KG$5)^2)^0.5</f>
        <v>0</v>
      </c>
      <c r="BZ10" s="1">
        <f>SUMPRODUCT(--(BZ$3:BZ$5-$KH$3:$KH$5)^2)^0.5</f>
        <v>0</v>
      </c>
      <c r="CA10" s="1">
        <f>SUMPRODUCT(--(CA$3:CA$5-$KI$3:$KI$5)^2)^0.5</f>
        <v>0</v>
      </c>
      <c r="CB10" s="1">
        <f>SUMPRODUCT(--(CB$3:CB$5-$KJ$3:$KJ$5)^2)^0.5</f>
        <v>0</v>
      </c>
      <c r="CC10" s="1">
        <f>SUMPRODUCT(--(CC$3:CC$5-$KK$3:$KK$5)^2)^0.5</f>
        <v>0</v>
      </c>
      <c r="CD10" s="1">
        <f>SUMPRODUCT(--(CD$3:CD$5-$KL$3:$KL$5)^2)^0.5</f>
        <v>0</v>
      </c>
      <c r="CE10" s="1">
        <f>SUMPRODUCT(--(CE$3:CE$5-$KM$3:$KM$5)^2)^0.5</f>
        <v>0</v>
      </c>
      <c r="CF10" s="1">
        <f>SUMPRODUCT(--(CF$3:CF$5-$KN$3:$KN$5)^2)^0.5</f>
        <v>0</v>
      </c>
      <c r="CG10" s="1">
        <f>SUMPRODUCT(--(CG$3:CG$5-$KO$3:$KO$5)^2)^0.5</f>
        <v>0</v>
      </c>
      <c r="CH10" s="1">
        <f>SUMPRODUCT(--(CH$3:CH$5-$KP$3:$KP$5)^2)^0.5</f>
        <v>0</v>
      </c>
      <c r="CI10" s="1">
        <f>SUMPRODUCT(--(CI$3:CI$5-$KQ$3:$KQ$5)^2)^0.5</f>
        <v>0</v>
      </c>
      <c r="CJ10" s="1"/>
      <c r="CK10" s="1">
        <f>SUMPRODUCT(--(CK$3:CK$5-$KR$3:$KR$5)^2)^0.5</f>
        <v>0</v>
      </c>
      <c r="CL10" s="1">
        <f>SUMPRODUCT(--(CL$3:CL$5-$KS$3:$KS$5)^2)^0.5</f>
        <v>0</v>
      </c>
      <c r="CM10" s="1">
        <f>SUMPRODUCT(--(CM$3:CM$5-$KT$3:$KT$5)^2)^0.5</f>
        <v>0</v>
      </c>
      <c r="CN10" s="1">
        <f>SUMPRODUCT(--(CN$3:CN$5-$KD$3:$KD$5)^2)^0.5</f>
        <v>0</v>
      </c>
      <c r="CO10" s="1">
        <f>SUMPRODUCT(--(CO$3:CO$5-$KE$3:$KE$5)^2)^0.5</f>
        <v>0</v>
      </c>
      <c r="CP10" s="1">
        <f>SUMPRODUCT(--(CP$3:CP$5-$KF$3:$KF$5)^2)^0.5</f>
        <v>0</v>
      </c>
      <c r="CQ10" s="1">
        <f>SUMPRODUCT(--(CQ$3:CQ$5-$KG$3:$KG$5)^2)^0.5</f>
        <v>0</v>
      </c>
      <c r="CR10" s="1">
        <f>SUMPRODUCT(--(CR$3:CR$5-$KH$3:$KH$5)^2)^0.5</f>
        <v>0</v>
      </c>
      <c r="CS10" s="1">
        <f>SUMPRODUCT(--(CS$3:CS$5-$KI$3:$KI$5)^2)^0.5</f>
        <v>0</v>
      </c>
      <c r="CT10" s="1">
        <f>SUMPRODUCT(--(CT$3:CT$5-$KJ$3:$KJ$5)^2)^0.5</f>
        <v>0</v>
      </c>
      <c r="CU10" s="1">
        <f>SUMPRODUCT(--(CU$3:CU$5-$KK$3:$KK$5)^2)^0.5</f>
        <v>0</v>
      </c>
      <c r="CV10" s="1">
        <f>SUMPRODUCT(--(CV$3:CV$5-$KL$3:$KL$5)^2)^0.5</f>
        <v>0</v>
      </c>
      <c r="CW10" s="1">
        <f>SUMPRODUCT(--(CW$3:CW$5-$KM$3:$KM$5)^2)^0.5</f>
        <v>0</v>
      </c>
      <c r="CX10" s="1">
        <f>SUMPRODUCT(--(CX$3:CX$5-$KN$3:$KN$5)^2)^0.5</f>
        <v>0</v>
      </c>
      <c r="CY10" s="1">
        <f>SUMPRODUCT(--(CY$3:CY$5-$KO$3:$KO$5)^2)^0.5</f>
        <v>0</v>
      </c>
      <c r="CZ10" s="1">
        <f>SUMPRODUCT(--(CZ$3:CZ$5-$KP$3:$KP$5)^2)^0.5</f>
        <v>0</v>
      </c>
      <c r="DA10" s="1">
        <f>SUMPRODUCT(--(DA$3:DA$5-$KQ$3:$KQ$5)^2)^0.5</f>
        <v>0</v>
      </c>
      <c r="DB10" s="1"/>
      <c r="DC10" s="1">
        <f>SUMPRODUCT(--(DC$3:DC$5-$KR$3:$KR$5)^2)^0.5</f>
        <v>0</v>
      </c>
      <c r="DD10" s="1">
        <f>SUMPRODUCT(--(DD$3:DD$5-$KS$3:$KS$5)^2)^0.5</f>
        <v>0</v>
      </c>
      <c r="DE10" s="1">
        <f>SUMPRODUCT(--(DE$3:DE$5-$KT$3:$KT$5)^2)^0.5</f>
        <v>0</v>
      </c>
      <c r="DF10" s="1">
        <f>SUMPRODUCT(--(DF$3:DF$5-$KD$3:$KD$5)^2)^0.5</f>
        <v>0</v>
      </c>
      <c r="DG10" s="1">
        <f>SUMPRODUCT(--(DG$3:DG$5-$KE$3:$KE$5)^2)^0.5</f>
        <v>0</v>
      </c>
      <c r="DH10" s="1">
        <f>SUMPRODUCT(--(DH$3:DH$5-$KF$3:$KF$5)^2)^0.5</f>
        <v>0</v>
      </c>
      <c r="DI10" s="1">
        <f>SUMPRODUCT(--(DI$3:DI$5-$KG$3:$KG$5)^2)^0.5</f>
        <v>0</v>
      </c>
      <c r="DJ10" s="1">
        <f>SUMPRODUCT(--(DJ$3:DJ$5-$KH$3:$KH$5)^2)^0.5</f>
        <v>0</v>
      </c>
      <c r="DK10" s="1">
        <f>SUMPRODUCT(--(DK$3:DK$5-$KI$3:$KI$5)^2)^0.5</f>
        <v>0</v>
      </c>
      <c r="DL10" s="1">
        <f>SUMPRODUCT(--(DL$3:DL$5-$KJ$3:$KJ$5)^2)^0.5</f>
        <v>0</v>
      </c>
      <c r="DM10" s="1">
        <f>SUMPRODUCT(--(DM$3:DM$5-$KK$3:$KK$5)^2)^0.5</f>
        <v>0</v>
      </c>
      <c r="DN10" s="1">
        <f>SUMPRODUCT(--(DN$3:DN$5-$KL$3:$KL$5)^2)^0.5</f>
        <v>0</v>
      </c>
      <c r="DO10" s="1">
        <f>SUMPRODUCT(--(DO$3:DO$5-$KM$3:$KM$5)^2)^0.5</f>
        <v>0</v>
      </c>
      <c r="DP10" s="1">
        <f>SUMPRODUCT(--(DP$3:DP$5-$KN$3:$KN$5)^2)^0.5</f>
        <v>0</v>
      </c>
      <c r="DQ10" s="1">
        <f>SUMPRODUCT(--(DQ$3:DQ$5-$KO$3:$KO$5)^2)^0.5</f>
        <v>0</v>
      </c>
      <c r="DR10" s="1">
        <f>SUMPRODUCT(--(DR$3:DR$5-$KP$3:$KP$5)^2)^0.5</f>
        <v>0</v>
      </c>
      <c r="DS10" s="1">
        <f>SUMPRODUCT(--(DS$3:DS$5-$KQ$3:$KQ$5)^2)^0.5</f>
        <v>0</v>
      </c>
      <c r="DT10" s="1"/>
      <c r="DU10" s="1">
        <f>SUMPRODUCT(--(DU$3:DU$5-$KR$3:$KR$5)^2)^0.5</f>
        <v>0</v>
      </c>
      <c r="DV10" s="1">
        <f>SUMPRODUCT(--(DV$3:DV$5-$KS$3:$KS$5)^2)^0.5</f>
        <v>0</v>
      </c>
      <c r="DW10" s="1">
        <f>SUMPRODUCT(--(DW$3:DW$5-$KT$3:$KT$5)^2)^0.5</f>
        <v>0</v>
      </c>
      <c r="DX10" s="1">
        <f>SUMPRODUCT(--(DX$3:DX$5-$KD$3:$KD$5)^2)^0.5</f>
        <v>0</v>
      </c>
      <c r="DY10" s="1">
        <f>SUMPRODUCT(--(DY$3:DY$5-$KE$3:$KE$5)^2)^0.5</f>
        <v>0</v>
      </c>
      <c r="DZ10" s="1">
        <f>SUMPRODUCT(--(DZ$3:DZ$5-$KF$3:$KF$5)^2)^0.5</f>
        <v>0</v>
      </c>
      <c r="EA10" s="1">
        <f>SUMPRODUCT(--(EA$3:EA$5-$KG$3:$KG$5)^2)^0.5</f>
        <v>0</v>
      </c>
      <c r="EB10" s="1">
        <f>SUMPRODUCT(--(EB$3:EB$5-$KH$3:$KH$5)^2)^0.5</f>
        <v>0</v>
      </c>
      <c r="EC10" s="1">
        <f>SUMPRODUCT(--(EC$3:EC$5-$KI$3:$KI$5)^2)^0.5</f>
        <v>0</v>
      </c>
      <c r="ED10" s="1">
        <f>SUMPRODUCT(--(ED$3:ED$5-$KJ$3:$KJ$5)^2)^0.5</f>
        <v>0</v>
      </c>
      <c r="EE10" s="1">
        <f>SUMPRODUCT(--(EE$3:EE$5-$KK$3:$KK$5)^2)^0.5</f>
        <v>0</v>
      </c>
      <c r="EF10" s="1">
        <f>SUMPRODUCT(--(EF$3:EF$5-$KL$3:$KL$5)^2)^0.5</f>
        <v>0</v>
      </c>
      <c r="EG10" s="1">
        <f>SUMPRODUCT(--(EG$3:EG$5-$KM$3:$KM$5)^2)^0.5</f>
        <v>0</v>
      </c>
      <c r="EH10" s="1">
        <f>SUMPRODUCT(--(EH$3:EH$5-$KN$3:$KN$5)^2)^0.5</f>
        <v>0</v>
      </c>
      <c r="EI10" s="1">
        <f>SUMPRODUCT(--(EI$3:EI$5-$KO$3:$KO$5)^2)^0.5</f>
        <v>0</v>
      </c>
      <c r="EJ10" s="1">
        <f>SUMPRODUCT(--(EJ$3:EJ$5-$KP$3:$KP$5)^2)^0.5</f>
        <v>0</v>
      </c>
      <c r="EK10" s="1">
        <f>SUMPRODUCT(--(EK$3:EK$5-$KQ$3:$KQ$5)^2)^0.5</f>
        <v>0</v>
      </c>
      <c r="EL10" s="1"/>
      <c r="EM10" s="1">
        <f>SUMPRODUCT(--(EM$3:EM$5-$KR$3:$KR$5)^2)^0.5</f>
        <v>0</v>
      </c>
      <c r="EN10" s="1">
        <f>SUMPRODUCT(--(EN$3:EN$5-$KS$3:$KS$5)^2)^0.5</f>
        <v>0</v>
      </c>
      <c r="EO10" s="1">
        <f>SUMPRODUCT(--(EO$3:EO$5-$KT$3:$KT$5)^2)^0.5</f>
        <v>0</v>
      </c>
      <c r="EP10" s="1">
        <f>SUMPRODUCT(--(EP$3:EP$5-$KD$3:$KD$5)^2)^0.5</f>
        <v>0</v>
      </c>
      <c r="EQ10" s="1">
        <f>SUMPRODUCT(--(EQ$3:EQ$5-$KE$3:$KE$5)^2)^0.5</f>
        <v>0</v>
      </c>
      <c r="ER10" s="1">
        <f>SUMPRODUCT(--(ER$3:ER$5-$KF$3:$KF$5)^2)^0.5</f>
        <v>0</v>
      </c>
      <c r="ES10" s="1">
        <f>SUMPRODUCT(--(ES$3:ES$5-$KG$3:$KG$5)^2)^0.5</f>
        <v>0</v>
      </c>
      <c r="ET10" s="1">
        <f>SUMPRODUCT(--(ET$3:ET$5-$KH$3:$KH$5)^2)^0.5</f>
        <v>0</v>
      </c>
      <c r="EU10" s="1">
        <f>SUMPRODUCT(--(EU$3:EU$5-$KI$3:$KI$5)^2)^0.5</f>
        <v>0</v>
      </c>
      <c r="EV10" s="1">
        <f>SUMPRODUCT(--(EV$3:EV$5-$KJ$3:$KJ$5)^2)^0.5</f>
        <v>0</v>
      </c>
      <c r="EW10" s="1">
        <f>SUMPRODUCT(--(EW$3:EW$5-$KK$3:$KK$5)^2)^0.5</f>
        <v>0</v>
      </c>
      <c r="EX10" s="1">
        <f>SUMPRODUCT(--(EX$3:EX$5-$KL$3:$KL$5)^2)^0.5</f>
        <v>0</v>
      </c>
      <c r="EY10" s="1">
        <f>SUMPRODUCT(--(EY$3:EY$5-$KM$3:$KM$5)^2)^0.5</f>
        <v>0</v>
      </c>
      <c r="EZ10" s="1">
        <f>SUMPRODUCT(--(EZ$3:EZ$5-$KN$3:$KN$5)^2)^0.5</f>
        <v>0</v>
      </c>
      <c r="FA10" s="1">
        <f>SUMPRODUCT(--(FA$3:FA$5-$KO$3:$KO$5)^2)^0.5</f>
        <v>0</v>
      </c>
      <c r="FB10" s="1">
        <f>SUMPRODUCT(--(FB$3:FB$5-$KP$3:$KP$5)^2)^0.5</f>
        <v>0</v>
      </c>
      <c r="FC10" s="1">
        <f>SUMPRODUCT(--(FC$3:FC$5-$KQ$3:$KQ$5)^2)^0.5</f>
        <v>0</v>
      </c>
      <c r="FD10" s="1"/>
      <c r="FE10" s="1">
        <f>SUMPRODUCT(--(FE$3:FE$5-$KR$3:$KR$5)^2)^0.5</f>
        <v>0</v>
      </c>
      <c r="FF10" s="1">
        <f>SUMPRODUCT(--(FF$3:FF$5-$KS$3:$KS$5)^2)^0.5</f>
        <v>0</v>
      </c>
      <c r="FG10" s="1">
        <f>SUMPRODUCT(--(FG$3:FG$5-$KT$3:$KT$5)^2)^0.5</f>
        <v>0</v>
      </c>
      <c r="FH10" s="1">
        <f>SUMPRODUCT(--(FH$3:FH$5-$KD$3:$KD$5)^2)^0.5</f>
        <v>0</v>
      </c>
      <c r="FI10" s="1">
        <f>SUMPRODUCT(--(FI$3:FI$5-$KE$3:$KE$5)^2)^0.5</f>
        <v>0</v>
      </c>
      <c r="FJ10" s="1">
        <f>SUMPRODUCT(--(FJ$3:FJ$5-$KF$3:$KF$5)^2)^0.5</f>
        <v>0</v>
      </c>
      <c r="FK10" s="1">
        <f>SUMPRODUCT(--(FK$3:FK$5-$KG$3:$KG$5)^2)^0.5</f>
        <v>0</v>
      </c>
      <c r="FL10" s="1">
        <f>SUMPRODUCT(--(FL$3:FL$5-$KH$3:$KH$5)^2)^0.5</f>
        <v>0</v>
      </c>
      <c r="FM10" s="1">
        <f>SUMPRODUCT(--(FM$3:FM$5-$KI$3:$KI$5)^2)^0.5</f>
        <v>0</v>
      </c>
      <c r="FN10" s="1">
        <f>SUMPRODUCT(--(FN$3:FN$5-$KJ$3:$KJ$5)^2)^0.5</f>
        <v>0</v>
      </c>
      <c r="FO10" s="1">
        <f>SUMPRODUCT(--(FO$3:FO$5-$KK$3:$KK$5)^2)^0.5</f>
        <v>0</v>
      </c>
      <c r="FP10" s="1">
        <f>SUMPRODUCT(--(FP$3:FP$5-$KL$3:$KL$5)^2)^0.5</f>
        <v>0</v>
      </c>
      <c r="FQ10" s="1">
        <f>SUMPRODUCT(--(FQ$3:FQ$5-$KM$3:$KM$5)^2)^0.5</f>
        <v>0</v>
      </c>
      <c r="FR10" s="1">
        <f>SUMPRODUCT(--(FR$3:FR$5-$KN$3:$KN$5)^2)^0.5</f>
        <v>0</v>
      </c>
      <c r="FS10" s="1">
        <f>SUMPRODUCT(--(FS$3:FS$5-$KO$3:$KO$5)^2)^0.5</f>
        <v>0</v>
      </c>
      <c r="FT10" s="1">
        <f>SUMPRODUCT(--(FT$3:FT$5-$KP$3:$KP$5)^2)^0.5</f>
        <v>0</v>
      </c>
      <c r="FU10" s="1">
        <f>SUMPRODUCT(--(FU$3:FU$5-$KQ$3:$KQ$5)^2)^0.5</f>
        <v>0</v>
      </c>
      <c r="FV10" s="1"/>
      <c r="FW10" s="1">
        <f>SUMPRODUCT(--(FW$3:FW$5-$KR$3:$KR$5)^2)^0.5</f>
        <v>0</v>
      </c>
      <c r="FX10" s="1">
        <f>SUMPRODUCT(--(FX$3:FX$5-$KS$3:$KS$5)^2)^0.5</f>
        <v>0</v>
      </c>
      <c r="FY10" s="1">
        <f>SUMPRODUCT(--(FY$3:FY$5-$KT$3:$KT$5)^2)^0.5</f>
        <v>0</v>
      </c>
      <c r="FZ10" s="1">
        <f>SUMPRODUCT(--(FZ$3:FZ$5-$KD$3:$KD$5)^2)^0.5</f>
        <v>0</v>
      </c>
      <c r="GA10" s="1">
        <f>SUMPRODUCT(--(GA$3:GA$5-$KE$3:$KE$5)^2)^0.5</f>
        <v>0</v>
      </c>
      <c r="GB10" s="1">
        <f>SUMPRODUCT(--(GB$3:GB$5-$KF$3:$KF$5)^2)^0.5</f>
        <v>0</v>
      </c>
      <c r="GC10" s="1">
        <f>SUMPRODUCT(--(GC$3:GC$5-$KG$3:$KG$5)^2)^0.5</f>
        <v>0</v>
      </c>
      <c r="GD10" s="1">
        <f>SUMPRODUCT(--(GD$3:GD$5-$KH$3:$KH$5)^2)^0.5</f>
        <v>0</v>
      </c>
      <c r="GE10" s="1">
        <f>SUMPRODUCT(--(GE$3:GE$5-$KI$3:$KI$5)^2)^0.5</f>
        <v>0</v>
      </c>
      <c r="GF10" s="1">
        <f>SUMPRODUCT(--(GF$3:GF$5-$KJ$3:$KJ$5)^2)^0.5</f>
        <v>0</v>
      </c>
      <c r="GG10" s="1">
        <f>SUMPRODUCT(--(GG$3:GG$5-$KK$3:$KK$5)^2)^0.5</f>
        <v>0</v>
      </c>
      <c r="GH10" s="1">
        <f>SUMPRODUCT(--(GH$3:GH$5-$KL$3:$KL$5)^2)^0.5</f>
        <v>0</v>
      </c>
      <c r="GI10" s="1">
        <f>SUMPRODUCT(--(GI$3:GI$5-$KM$3:$KM$5)^2)^0.5</f>
        <v>0</v>
      </c>
      <c r="GJ10" s="1">
        <f>SUMPRODUCT(--(GJ$3:GJ$5-$KN$3:$KN$5)^2)^0.5</f>
        <v>0</v>
      </c>
      <c r="GK10" s="1">
        <f>SUMPRODUCT(--(GK$3:GK$5-$KO$3:$KO$5)^2)^0.5</f>
        <v>0</v>
      </c>
      <c r="GL10" s="1">
        <f>SUMPRODUCT(--(GL$3:GL$5-$KP$3:$KP$5)^2)^0.5</f>
        <v>0</v>
      </c>
      <c r="GM10" s="1">
        <f>SUMPRODUCT(--(GM$3:GM$5-$KQ$3:$KQ$5)^2)^0.5</f>
        <v>0</v>
      </c>
      <c r="GN10" s="1"/>
      <c r="GO10" s="1">
        <f>SUMPRODUCT(--(GO$3:GO$5-$KR$3:$KR$5)^2)^0.5</f>
        <v>0</v>
      </c>
      <c r="GP10" s="1">
        <f>SUMPRODUCT(--(GP$3:GP$5-$KS$3:$KS$5)^2)^0.5</f>
        <v>0</v>
      </c>
      <c r="GQ10" s="1">
        <f>SUMPRODUCT(--(GQ$3:GQ$5-$KT$3:$KT$5)^2)^0.5</f>
        <v>0</v>
      </c>
      <c r="GR10" s="1">
        <f>SUMPRODUCT(--(GR$3:GR$5-$KD$3:$KD$5)^2)^0.5</f>
        <v>0</v>
      </c>
      <c r="GS10" s="1">
        <f>SUMPRODUCT(--(GS$3:GS$5-$KE$3:$KE$5)^2)^0.5</f>
        <v>0</v>
      </c>
      <c r="GT10" s="1">
        <f>SUMPRODUCT(--(GT$3:GT$5-$KF$3:$KF$5)^2)^0.5</f>
        <v>0</v>
      </c>
      <c r="GU10" s="1">
        <f>SUMPRODUCT(--(GU$3:GU$5-$KG$3:$KG$5)^2)^0.5</f>
        <v>0</v>
      </c>
      <c r="GV10" s="1">
        <f>SUMPRODUCT(--(GV$3:GV$5-$KH$3:$KH$5)^2)^0.5</f>
        <v>0</v>
      </c>
      <c r="GW10" s="1">
        <f>SUMPRODUCT(--(GW$3:GW$5-$KI$3:$KI$5)^2)^0.5</f>
        <v>0</v>
      </c>
      <c r="GX10" s="1">
        <f>SUMPRODUCT(--(GX$3:GX$5-$KJ$3:$KJ$5)^2)^0.5</f>
        <v>0</v>
      </c>
      <c r="GY10" s="1">
        <f>SUMPRODUCT(--(GY$3:GY$5-$KK$3:$KK$5)^2)^0.5</f>
        <v>0</v>
      </c>
      <c r="GZ10" s="1">
        <f>SUMPRODUCT(--(GZ$3:GZ$5-$KL$3:$KL$5)^2)^0.5</f>
        <v>0</v>
      </c>
      <c r="HA10" s="1">
        <f>SUMPRODUCT(--(HA$3:HA$5-$KM$3:$KM$5)^2)^0.5</f>
        <v>0</v>
      </c>
      <c r="HB10" s="1">
        <f>SUMPRODUCT(--(HB$3:HB$5-$KN$3:$KN$5)^2)^0.5</f>
        <v>0</v>
      </c>
      <c r="HC10" s="1">
        <f>SUMPRODUCT(--(HC$3:HC$5-$KO$3:$KO$5)^2)^0.5</f>
        <v>0</v>
      </c>
      <c r="HD10" s="1">
        <f>SUMPRODUCT(--(HD$3:HD$5-$KP$3:$KP$5)^2)^0.5</f>
        <v>0</v>
      </c>
      <c r="HE10" s="1">
        <f>SUMPRODUCT(--(HE$3:HE$5-$KQ$3:$KQ$5)^2)^0.5</f>
        <v>0</v>
      </c>
      <c r="HF10" s="1"/>
      <c r="HG10" s="1">
        <f>SUMPRODUCT(--(HG$3:HG$5-$KR$3:$KR$5)^2)^0.5</f>
        <v>0</v>
      </c>
      <c r="HH10" s="1">
        <f>SUMPRODUCT(--(HH$3:HH$5-$KS$3:$KS$5)^2)^0.5</f>
        <v>0</v>
      </c>
      <c r="HI10" s="1">
        <f>SUMPRODUCT(--(HI$3:HI$5-$KT$3:$KT$5)^2)^0.5</f>
        <v>0</v>
      </c>
      <c r="HJ10" s="1">
        <f>SUMPRODUCT(--(HJ$3:HJ$5-$KD$3:$KD$5)^2)^0.5</f>
        <v>0</v>
      </c>
      <c r="HK10" s="1">
        <f>SUMPRODUCT(--(HK$3:HK$5-$KE$3:$KE$5)^2)^0.5</f>
        <v>0</v>
      </c>
      <c r="HL10" s="1">
        <f>SUMPRODUCT(--(HL$3:HL$5-$KF$3:$KF$5)^2)^0.5</f>
        <v>0</v>
      </c>
      <c r="HM10" s="1">
        <f>SUMPRODUCT(--(HM$3:HM$5-$KG$3:$KG$5)^2)^0.5</f>
        <v>0</v>
      </c>
      <c r="HN10" s="1">
        <f>SUMPRODUCT(--(HN$3:HN$5-$KH$3:$KH$5)^2)^0.5</f>
        <v>0</v>
      </c>
      <c r="HO10" s="1">
        <f>SUMPRODUCT(--(HO$3:HO$5-$KI$3:$KI$5)^2)^0.5</f>
        <v>0</v>
      </c>
      <c r="HP10" s="1">
        <f>SUMPRODUCT(--(HP$3:HP$5-$KJ$3:$KJ$5)^2)^0.5</f>
        <v>0</v>
      </c>
      <c r="HQ10" s="1">
        <f>SUMPRODUCT(--(HQ$3:HQ$5-$KK$3:$KK$5)^2)^0.5</f>
        <v>0</v>
      </c>
      <c r="HR10" s="1">
        <f>SUMPRODUCT(--(HR$3:HR$5-$KL$3:$KL$5)^2)^0.5</f>
        <v>0</v>
      </c>
      <c r="HS10" s="1">
        <f>SUMPRODUCT(--(HS$3:HS$5-$KM$3:$KM$5)^2)^0.5</f>
        <v>0</v>
      </c>
      <c r="HT10" s="1">
        <f>SUMPRODUCT(--(HT$3:HT$5-$KN$3:$KN$5)^2)^0.5</f>
        <v>0</v>
      </c>
      <c r="HU10" s="1">
        <f>SUMPRODUCT(--(HU$3:HU$5-$KO$3:$KO$5)^2)^0.5</f>
        <v>0</v>
      </c>
      <c r="HV10" s="1">
        <f>SUMPRODUCT(--(HV$3:HV$5-$KP$3:$KP$5)^2)^0.5</f>
        <v>0</v>
      </c>
      <c r="HW10" s="1">
        <f>SUMPRODUCT(--(HW$3:HW$5-$KQ$3:$KQ$5)^2)^0.5</f>
        <v>0</v>
      </c>
      <c r="HX10" s="1"/>
      <c r="HY10" s="1">
        <f>SUMPRODUCT(--(HY$3:HY$5-$KR$3:$KR$5)^2)^0.5</f>
        <v>0</v>
      </c>
      <c r="HZ10" s="1">
        <f>SUMPRODUCT(--(HZ$3:HZ$5-$KS$3:$KS$5)^2)^0.5</f>
        <v>0</v>
      </c>
      <c r="IA10" s="1">
        <f>SUMPRODUCT(--(IA$3:IA$5-$KT$3:$KT$5)^2)^0.5</f>
        <v>0</v>
      </c>
      <c r="IB10" s="1">
        <f>SUMPRODUCT(--(IB$3:IB$5-$KD$3:$KD$5)^2)^0.5</f>
        <v>0</v>
      </c>
      <c r="IC10" s="1">
        <f>SUMPRODUCT(--(IC$3:IC$5-$KE$3:$KE$5)^2)^0.5</f>
        <v>0</v>
      </c>
      <c r="ID10" s="1">
        <f>SUMPRODUCT(--(ID$3:ID$5-$KF$3:$KF$5)^2)^0.5</f>
        <v>0</v>
      </c>
      <c r="IE10" s="1">
        <f>SUMPRODUCT(--(IE$3:IE$5-$KG$3:$KG$5)^2)^0.5</f>
        <v>0</v>
      </c>
      <c r="IF10" s="1">
        <f>SUMPRODUCT(--(IF$3:IF$5-$KH$3:$KH$5)^2)^0.5</f>
        <v>0</v>
      </c>
      <c r="IG10" s="1">
        <f>SUMPRODUCT(--(IG$3:IG$5-$KI$3:$KI$5)^2)^0.5</f>
        <v>0</v>
      </c>
      <c r="IH10" s="1">
        <f>SUMPRODUCT(--(IH$3:IH$5-$KJ$3:$KJ$5)^2)^0.5</f>
        <v>0</v>
      </c>
      <c r="II10" s="1">
        <f>SUMPRODUCT(--(II$3:II$5-$KK$3:$KK$5)^2)^0.5</f>
        <v>0</v>
      </c>
      <c r="IJ10" s="1">
        <f>SUMPRODUCT(--(IJ$3:IJ$5-$KL$3:$KL$5)^2)^0.5</f>
        <v>0</v>
      </c>
      <c r="IK10" s="1">
        <f>SUMPRODUCT(--(IK$3:IK$5-$KM$3:$KM$5)^2)^0.5</f>
        <v>0</v>
      </c>
      <c r="IL10" s="1">
        <f>SUMPRODUCT(--(IL$3:IL$5-$KN$3:$KN$5)^2)^0.5</f>
        <v>0</v>
      </c>
      <c r="IM10" s="1">
        <f>SUMPRODUCT(--(IM$3:IM$5-$KO$3:$KO$5)^2)^0.5</f>
        <v>0</v>
      </c>
      <c r="IN10" s="1">
        <f>SUMPRODUCT(--(IN$3:IN$5-$KP$3:$KP$5)^2)^0.5</f>
        <v>0</v>
      </c>
      <c r="IO10" s="1">
        <f>SUMPRODUCT(--(IO$3:IO$5-$KQ$3:$KQ$5)^2)^0.5</f>
        <v>0</v>
      </c>
      <c r="IP10" s="1"/>
      <c r="IQ10" s="1">
        <f>SUMPRODUCT(--(IQ$3:IQ$5-$KR$3:$KR$5)^2)^0.5</f>
        <v>0</v>
      </c>
      <c r="IR10" s="1">
        <f>SUMPRODUCT(--(IR$3:IR$5-$KS$3:$KS$5)^2)^0.5</f>
        <v>0</v>
      </c>
      <c r="IS10" s="1">
        <f>SUMPRODUCT(--(IS$3:IS$5-$KT$3:$KT$5)^2)^0.5</f>
        <v>0</v>
      </c>
      <c r="IT10" s="1">
        <f>SUMPRODUCT(--(IT$3:IT$5-$KD$3:$KD$5)^2)^0.5</f>
        <v>0</v>
      </c>
      <c r="IU10" s="1">
        <f>SUMPRODUCT(--(IU$3:IU$5-$KE$3:$KE$5)^2)^0.5</f>
        <v>0</v>
      </c>
      <c r="IV10" s="1">
        <f>SUMPRODUCT(--(IV$3:IV$5-$KF$3:$KF$5)^2)^0.5</f>
        <v>0</v>
      </c>
      <c r="IW10" s="1">
        <f>SUMPRODUCT(--(IW$3:IW$5-$KG$3:$KG$5)^2)^0.5</f>
        <v>0</v>
      </c>
      <c r="IX10" s="1">
        <f>SUMPRODUCT(--(IX$3:IX$5-$KH$3:$KH$5)^2)^0.5</f>
        <v>0</v>
      </c>
      <c r="IY10" s="1">
        <f>SUMPRODUCT(--(IY$3:IY$5-$KI$3:$KI$5)^2)^0.5</f>
        <v>0</v>
      </c>
      <c r="IZ10" s="1">
        <f>SUMPRODUCT(--(IZ$3:IZ$5-$KJ$3:$KJ$5)^2)^0.5</f>
        <v>0</v>
      </c>
      <c r="JA10" s="1">
        <f>SUMPRODUCT(--(JA$3:JA$5-$KK$3:$KK$5)^2)^0.5</f>
        <v>0</v>
      </c>
      <c r="JB10" s="1">
        <f>SUMPRODUCT(--(JB$3:JB$5-$KL$3:$KL$5)^2)^0.5</f>
        <v>0</v>
      </c>
      <c r="JC10" s="1">
        <f>SUMPRODUCT(--(JC$3:JC$5-$KM$3:$KM$5)^2)^0.5</f>
        <v>0</v>
      </c>
      <c r="JD10" s="1">
        <f>SUMPRODUCT(--(JD$3:JD$5-$KN$3:$KN$5)^2)^0.5</f>
        <v>0</v>
      </c>
      <c r="JE10" s="1">
        <f>SUMPRODUCT(--(JE$3:JE$5-$KO$3:$KO$5)^2)^0.5</f>
        <v>0</v>
      </c>
      <c r="JF10" s="1">
        <f>SUMPRODUCT(--(JF$3:JF$5-$KP$3:$KP$5)^2)^0.5</f>
        <v>0</v>
      </c>
      <c r="JG10" s="1">
        <f>SUMPRODUCT(--(JG$3:JG$5-$KQ$3:$KQ$5)^2)^0.5</f>
        <v>0</v>
      </c>
      <c r="JH10" s="1"/>
      <c r="JI10" s="1">
        <f>SUMPRODUCT(--(JI$3:JI$5-$KR$3:$KR$5)^2)^0.5</f>
        <v>0</v>
      </c>
      <c r="JJ10" s="1">
        <f>SUMPRODUCT(--(JJ$3:JJ$5-$KS$3:$KS$5)^2)^0.5</f>
        <v>0</v>
      </c>
      <c r="JK10" s="1">
        <f>SUMPRODUCT(--(JK$3:JK$5-$KT$3:$KT$5)^2)^0.5</f>
        <v>0</v>
      </c>
      <c r="JL10" s="1">
        <f>SUMPRODUCT(--(JL$3:JL$5-$KD$3:$KD$5)^2)^0.5</f>
        <v>0</v>
      </c>
      <c r="JM10" s="1">
        <f>SUMPRODUCT(--(JM$3:JM$5-$KE$3:$KE$5)^2)^0.5</f>
        <v>0</v>
      </c>
      <c r="JN10" s="1">
        <f>SUMPRODUCT(--(JN$3:JN$5-$KF$3:$KF$5)^2)^0.5</f>
        <v>0</v>
      </c>
      <c r="JO10" s="1">
        <f>SUMPRODUCT(--(JO$3:JO$5-$KG$3:$KG$5)^2)^0.5</f>
        <v>0</v>
      </c>
      <c r="JP10" s="1">
        <f>SUMPRODUCT(--(JP$3:JP$5-$KH$3:$KH$5)^2)^0.5</f>
        <v>0</v>
      </c>
      <c r="JQ10" s="1">
        <f>SUMPRODUCT(--(JQ$3:JQ$5-$KI$3:$KI$5)^2)^0.5</f>
        <v>0</v>
      </c>
      <c r="JR10" s="1">
        <f>SUMPRODUCT(--(JR$3:JR$5-$KJ$3:$KJ$5)^2)^0.5</f>
        <v>0</v>
      </c>
      <c r="JS10" s="1">
        <f>SUMPRODUCT(--(JS$3:JS$5-$KK$3:$KK$5)^2)^0.5</f>
        <v>0</v>
      </c>
      <c r="JT10" s="1">
        <f>SUMPRODUCT(--(JT$3:JT$5-$KL$3:$KL$5)^2)^0.5</f>
        <v>0</v>
      </c>
      <c r="JU10" s="1">
        <f>SUMPRODUCT(--(JU$3:JU$5-$KM$3:$KM$5)^2)^0.5</f>
        <v>0</v>
      </c>
      <c r="JV10" s="1">
        <f>SUMPRODUCT(--(JV$3:JV$5-$KN$3:$KN$5)^2)^0.5</f>
        <v>0</v>
      </c>
      <c r="JW10" s="1">
        <f>SUMPRODUCT(--(JW$3:JW$5-$KO$3:$KO$5)^2)^0.5</f>
        <v>0</v>
      </c>
      <c r="JX10" s="1">
        <f>SUMPRODUCT(--(JX$3:JX$5-$KP$3:$KP$5)^2)^0.5</f>
        <v>0</v>
      </c>
      <c r="JY10" s="1">
        <f>SUMPRODUCT(--(JY$3:JY$5-$KQ$3:$KQ$5)^2)^0.5</f>
        <v>0</v>
      </c>
      <c r="JZ10" s="1"/>
      <c r="KA10" s="1">
        <f>SUMPRODUCT(--(KA$3:KA$5-$KR$3:$KR$5)^2)^0.5</f>
        <v>0</v>
      </c>
      <c r="KB10" s="1">
        <f>SUMPRODUCT(--(KB$3:KB$5-$KS$3:$KS$5)^2)^0.5</f>
        <v>0</v>
      </c>
      <c r="KC10" s="1">
        <f>SUMPRODUCT(--(KC$3:KC$5-$KT$3:$KT$5)^2)^0.5</f>
        <v>0</v>
      </c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</row>
    <row r="11" spans="1:340">
      <c r="A11" s="1" t="s">
        <v>11</v>
      </c>
      <c r="B11" s="1">
        <f>SUMPRODUCT(NOT(ISBLANK(B$3:B$5))*(B$3:B$5=$KD$3:$KD$5))</f>
        <v>0</v>
      </c>
      <c r="C11" s="1">
        <f>SUMPRODUCT(NOT(ISBLANK(C$3:C$5))*(C$3:C$5=$KE$3:$KE$5))</f>
        <v>0</v>
      </c>
      <c r="D11" s="1">
        <f>SUMPRODUCT(NOT(ISBLANK(D$3:D$5))*(D$3:D$5=$KF$3:$KF$5))</f>
        <v>0</v>
      </c>
      <c r="E11" s="1">
        <f>SUMPRODUCT(NOT(ISBLANK(E$3:E$5))*(E$3:E$5=$KG$3:$KG$5))</f>
        <v>0</v>
      </c>
      <c r="F11" s="1">
        <f>SUMPRODUCT(NOT(ISBLANK(F$3:F$5))*(F$3:F$5=$KH$3:$KH$5))</f>
        <v>0</v>
      </c>
      <c r="G11" s="1">
        <f>SUMPRODUCT(NOT(ISBLANK(G$3:G$5))*(G$3:G$5=$KI$3:$KI$5))</f>
        <v>0</v>
      </c>
      <c r="H11" s="1">
        <f>SUMPRODUCT(NOT(ISBLANK(H$3:H$5))*(H$3:H$5=$KJ$3:$KJ$5))</f>
        <v>0</v>
      </c>
      <c r="I11" s="1">
        <f>SUMPRODUCT(NOT(ISBLANK(I$3:I$5))*(I$3:I$5=$KK$3:$KK$5))</f>
        <v>0</v>
      </c>
      <c r="J11" s="1">
        <f>SUMPRODUCT(NOT(ISBLANK(J$3:J$5))*(J$3:J$5=$KL$3:$KL$5))</f>
        <v>0</v>
      </c>
      <c r="K11" s="1">
        <f>SUMPRODUCT(NOT(ISBLANK(K$3:K$5))*(K$3:K$5=$KM$3:$KM$5))</f>
        <v>0</v>
      </c>
      <c r="L11" s="1">
        <f>SUMPRODUCT(NOT(ISBLANK(L$3:L$5))*(L$3:L$5=$KN$3:$KN$5))</f>
        <v>0</v>
      </c>
      <c r="M11" s="1">
        <f>SUMPRODUCT(NOT(ISBLANK(M$3:M$5))*(M$3:M$5=$KO$3:$KO$5))</f>
        <v>0</v>
      </c>
      <c r="N11" s="1">
        <f>SUMPRODUCT(NOT(ISBLANK(N$3:N$5))*(N$3:N$5=$KP$3:$KP$5))</f>
        <v>0</v>
      </c>
      <c r="O11" s="1">
        <f>SUMPRODUCT(NOT(ISBLANK(O$3:O$5))*(O$3:O$5=$KQ$3:$KQ$5))</f>
        <v>0</v>
      </c>
      <c r="P11" s="1"/>
      <c r="Q11" s="1">
        <f>SUMPRODUCT(NOT(ISBLANK(Q$3:Q$5))*(Q$3:Q$5=$KR$3:$KR$5))</f>
        <v>0</v>
      </c>
      <c r="R11" s="1">
        <f>SUMPRODUCT(NOT(ISBLANK(R$3:R$5))*(R$3:R$5=$KS$3:$KS$5))</f>
        <v>0</v>
      </c>
      <c r="S11" s="1">
        <f>SUMPRODUCT(NOT(ISBLANK(S$3:S$5))*(S$3:S$5=$KT$3:$KT$5))</f>
        <v>0</v>
      </c>
      <c r="T11" s="1">
        <f>SUMPRODUCT(NOT(ISBLANK(T$3:T$5))*(T$3:T$5=$KD$3:$KD$5))</f>
        <v>0</v>
      </c>
      <c r="U11" s="1">
        <f>SUMPRODUCT(NOT(ISBLANK(U$3:U$5))*(U$3:U$5=$KE$3:$KE$5))</f>
        <v>0</v>
      </c>
      <c r="V11" s="1">
        <f>SUMPRODUCT(NOT(ISBLANK(V$3:V$5))*(V$3:V$5=$KF$3:$KF$5))</f>
        <v>0</v>
      </c>
      <c r="W11" s="1">
        <f>SUMPRODUCT(NOT(ISBLANK(W$3:W$5))*(W$3:W$5=$KG$3:$KG$5))</f>
        <v>0</v>
      </c>
      <c r="X11" s="1">
        <f>SUMPRODUCT(NOT(ISBLANK(X$3:X$5))*(X$3:X$5=$KH$3:$KH$5))</f>
        <v>0</v>
      </c>
      <c r="Y11" s="1">
        <f>SUMPRODUCT(NOT(ISBLANK(Y$3:Y$5))*(Y$3:Y$5=$KI$3:$KI$5))</f>
        <v>0</v>
      </c>
      <c r="Z11" s="1">
        <f>SUMPRODUCT(NOT(ISBLANK(Z$3:Z$5))*(Z$3:Z$5=$KJ$3:$KJ$5))</f>
        <v>0</v>
      </c>
      <c r="AA11" s="1">
        <f>SUMPRODUCT(NOT(ISBLANK(AA$3:AA$5))*(AA$3:AA$5=$KK$3:$KK$5))</f>
        <v>0</v>
      </c>
      <c r="AB11" s="1">
        <f>SUMPRODUCT(NOT(ISBLANK(AB$3:AB$5))*(AB$3:AB$5=$KL$3:$KL$5))</f>
        <v>0</v>
      </c>
      <c r="AC11" s="1">
        <f>SUMPRODUCT(NOT(ISBLANK(AC$3:AC$5))*(AC$3:AC$5=$KM$3:$KM$5))</f>
        <v>0</v>
      </c>
      <c r="AD11" s="1">
        <f>SUMPRODUCT(NOT(ISBLANK(AD$3:AD$5))*(AD$3:AD$5=$KN$3:$KN$5))</f>
        <v>0</v>
      </c>
      <c r="AE11" s="1">
        <f>SUMPRODUCT(NOT(ISBLANK(AE$3:AE$5))*(AE$3:AE$5=$KO$3:$KO$5))</f>
        <v>0</v>
      </c>
      <c r="AF11" s="1">
        <f>SUMPRODUCT(NOT(ISBLANK(AF$3:AF$5))*(AF$3:AF$5=$KP$3:$KP$5))</f>
        <v>0</v>
      </c>
      <c r="AG11" s="1">
        <f>SUMPRODUCT(NOT(ISBLANK(AG$3:AG$5))*(AG$3:AG$5=$KQ$3:$KQ$5))</f>
        <v>0</v>
      </c>
      <c r="AH11" s="1"/>
      <c r="AI11" s="1">
        <f>SUMPRODUCT(NOT(ISBLANK(AI$3:AI$5))*(AI$3:AI$5=$KR$3:$KR$5))</f>
        <v>0</v>
      </c>
      <c r="AJ11" s="1">
        <f>SUMPRODUCT(NOT(ISBLANK(AJ$3:AJ$5))*(AJ$3:AJ$5=$KS$3:$KS$5))</f>
        <v>0</v>
      </c>
      <c r="AK11" s="1">
        <f>SUMPRODUCT(NOT(ISBLANK(AK$3:AK$5))*(AK$3:AK$5=$KT$3:$KT$5))</f>
        <v>0</v>
      </c>
      <c r="AL11" s="1">
        <f>SUMPRODUCT(NOT(ISBLANK(AL$3:AL$5))*(AL$3:AL$5=$KD$3:$KD$5))</f>
        <v>0</v>
      </c>
      <c r="AM11" s="1">
        <f>SUMPRODUCT(NOT(ISBLANK(AM$3:AM$5))*(AM$3:AM$5=$KE$3:$KE$5))</f>
        <v>0</v>
      </c>
      <c r="AN11" s="1">
        <f>SUMPRODUCT(NOT(ISBLANK(AN$3:AN$5))*(AN$3:AN$5=$KF$3:$KF$5))</f>
        <v>0</v>
      </c>
      <c r="AO11" s="1">
        <f>SUMPRODUCT(NOT(ISBLANK(AO$3:AO$5))*(AO$3:AO$5=$KG$3:$KG$5))</f>
        <v>0</v>
      </c>
      <c r="AP11" s="1">
        <f>SUMPRODUCT(NOT(ISBLANK(AP$3:AP$5))*(AP$3:AP$5=$KH$3:$KH$5))</f>
        <v>0</v>
      </c>
      <c r="AQ11" s="1">
        <f>SUMPRODUCT(NOT(ISBLANK(AQ$3:AQ$5))*(AQ$3:AQ$5=$KI$3:$KI$5))</f>
        <v>0</v>
      </c>
      <c r="AR11" s="1">
        <f>SUMPRODUCT(NOT(ISBLANK(AR$3:AR$5))*(AR$3:AR$5=$KJ$3:$KJ$5))</f>
        <v>0</v>
      </c>
      <c r="AS11" s="1">
        <f>SUMPRODUCT(NOT(ISBLANK(AS$3:AS$5))*(AS$3:AS$5=$KK$3:$KK$5))</f>
        <v>0</v>
      </c>
      <c r="AT11" s="1">
        <f>SUMPRODUCT(NOT(ISBLANK(AT$3:AT$5))*(AT$3:AT$5=$KL$3:$KL$5))</f>
        <v>0</v>
      </c>
      <c r="AU11" s="1">
        <f>SUMPRODUCT(NOT(ISBLANK(AU$3:AU$5))*(AU$3:AU$5=$KM$3:$KM$5))</f>
        <v>0</v>
      </c>
      <c r="AV11" s="1">
        <f>SUMPRODUCT(NOT(ISBLANK(AV$3:AV$5))*(AV$3:AV$5=$KN$3:$KN$5))</f>
        <v>0</v>
      </c>
      <c r="AW11" s="1">
        <f>SUMPRODUCT(NOT(ISBLANK(AW$3:AW$5))*(AW$3:AW$5=$KO$3:$KO$5))</f>
        <v>0</v>
      </c>
      <c r="AX11" s="1">
        <f>SUMPRODUCT(NOT(ISBLANK(AX$3:AX$5))*(AX$3:AX$5=$KP$3:$KP$5))</f>
        <v>0</v>
      </c>
      <c r="AY11" s="1">
        <f>SUMPRODUCT(NOT(ISBLANK(AY$3:AY$5))*(AY$3:AY$5=$KQ$3:$KQ$5))</f>
        <v>0</v>
      </c>
      <c r="AZ11" s="1"/>
      <c r="BA11" s="1">
        <f>SUMPRODUCT(NOT(ISBLANK(BA$3:BA$5))*(BA$3:BA$5=$KR$3:$KR$5))</f>
        <v>0</v>
      </c>
      <c r="BB11" s="1">
        <f>SUMPRODUCT(NOT(ISBLANK(BB$3:BB$5))*(BB$3:BB$5=$KS$3:$KS$5))</f>
        <v>0</v>
      </c>
      <c r="BC11" s="1">
        <f>SUMPRODUCT(NOT(ISBLANK(BC$3:BC$5))*(BC$3:BC$5=$KT$3:$KT$5))</f>
        <v>0</v>
      </c>
      <c r="BD11" s="1">
        <f>SUMPRODUCT(NOT(ISBLANK(BD$3:BD$5))*(BD$3:BD$5=$KD$3:$KD$5))</f>
        <v>0</v>
      </c>
      <c r="BE11" s="1">
        <f>SUMPRODUCT(NOT(ISBLANK(BE$3:BE$5))*(BE$3:BE$5=$KE$3:$KE$5))</f>
        <v>0</v>
      </c>
      <c r="BF11" s="1">
        <f>SUMPRODUCT(NOT(ISBLANK(BF$3:BF$5))*(BF$3:BF$5=$KF$3:$KF$5))</f>
        <v>0</v>
      </c>
      <c r="BG11" s="1">
        <f>SUMPRODUCT(NOT(ISBLANK(BG$3:BG$5))*(BG$3:BG$5=$KG$3:$KG$5))</f>
        <v>0</v>
      </c>
      <c r="BH11" s="1">
        <f>SUMPRODUCT(NOT(ISBLANK(BH$3:BH$5))*(BH$3:BH$5=$KH$3:$KH$5))</f>
        <v>0</v>
      </c>
      <c r="BI11" s="1">
        <f>SUMPRODUCT(NOT(ISBLANK(BI$3:BI$5))*(BI$3:BI$5=$KI$3:$KI$5))</f>
        <v>0</v>
      </c>
      <c r="BJ11" s="1">
        <f>SUMPRODUCT(NOT(ISBLANK(BJ$3:BJ$5))*(BJ$3:BJ$5=$KJ$3:$KJ$5))</f>
        <v>0</v>
      </c>
      <c r="BK11" s="1">
        <f>SUMPRODUCT(NOT(ISBLANK(BK$3:BK$5))*(BK$3:BK$5=$KK$3:$KK$5))</f>
        <v>0</v>
      </c>
      <c r="BL11" s="1">
        <f>SUMPRODUCT(NOT(ISBLANK(BL$3:BL$5))*(BL$3:BL$5=$KL$3:$KL$5))</f>
        <v>0</v>
      </c>
      <c r="BM11" s="1">
        <f>SUMPRODUCT(NOT(ISBLANK(BM$3:BM$5))*(BM$3:BM$5=$KM$3:$KM$5))</f>
        <v>0</v>
      </c>
      <c r="BN11" s="1">
        <f>SUMPRODUCT(NOT(ISBLANK(BN$3:BN$5))*(BN$3:BN$5=$KN$3:$KN$5))</f>
        <v>0</v>
      </c>
      <c r="BO11" s="1">
        <f>SUMPRODUCT(NOT(ISBLANK(BO$3:BO$5))*(BO$3:BO$5=$KO$3:$KO$5))</f>
        <v>0</v>
      </c>
      <c r="BP11" s="1">
        <f>SUMPRODUCT(NOT(ISBLANK(BP$3:BP$5))*(BP$3:BP$5=$KP$3:$KP$5))</f>
        <v>0</v>
      </c>
      <c r="BQ11" s="1">
        <f>SUMPRODUCT(NOT(ISBLANK(BQ$3:BQ$5))*(BQ$3:BQ$5=$KQ$3:$KQ$5))</f>
        <v>0</v>
      </c>
      <c r="BR11" s="1"/>
      <c r="BS11" s="1">
        <f>SUMPRODUCT(NOT(ISBLANK(BS$3:BS$5))*(BS$3:BS$5=$KR$3:$KR$5))</f>
        <v>0</v>
      </c>
      <c r="BT11" s="1">
        <f>SUMPRODUCT(NOT(ISBLANK(BT$3:BT$5))*(BT$3:BT$5=$KS$3:$KS$5))</f>
        <v>0</v>
      </c>
      <c r="BU11" s="1">
        <f>SUMPRODUCT(NOT(ISBLANK(BU$3:BU$5))*(BU$3:BU$5=$KT$3:$KT$5))</f>
        <v>0</v>
      </c>
      <c r="BV11" s="1">
        <f>SUMPRODUCT(NOT(ISBLANK(BV$3:BV$5))*(BV$3:BV$5=$KD$3:$KD$5))</f>
        <v>0</v>
      </c>
      <c r="BW11" s="1">
        <f>SUMPRODUCT(NOT(ISBLANK(BW$3:BW$5))*(BW$3:BW$5=$KE$3:$KE$5))</f>
        <v>0</v>
      </c>
      <c r="BX11" s="1">
        <f>SUMPRODUCT(NOT(ISBLANK(BX$3:BX$5))*(BX$3:BX$5=$KF$3:$KF$5))</f>
        <v>0</v>
      </c>
      <c r="BY11" s="1">
        <f>SUMPRODUCT(NOT(ISBLANK(BY$3:BY$5))*(BY$3:BY$5=$KG$3:$KG$5))</f>
        <v>0</v>
      </c>
      <c r="BZ11" s="1">
        <f>SUMPRODUCT(NOT(ISBLANK(BZ$3:BZ$5))*(BZ$3:BZ$5=$KH$3:$KH$5))</f>
        <v>0</v>
      </c>
      <c r="CA11" s="1">
        <f>SUMPRODUCT(NOT(ISBLANK(CA$3:CA$5))*(CA$3:CA$5=$KI$3:$KI$5))</f>
        <v>0</v>
      </c>
      <c r="CB11" s="1">
        <f>SUMPRODUCT(NOT(ISBLANK(CB$3:CB$5))*(CB$3:CB$5=$KJ$3:$KJ$5))</f>
        <v>0</v>
      </c>
      <c r="CC11" s="1">
        <f>SUMPRODUCT(NOT(ISBLANK(CC$3:CC$5))*(CC$3:CC$5=$KK$3:$KK$5))</f>
        <v>0</v>
      </c>
      <c r="CD11" s="1">
        <f>SUMPRODUCT(NOT(ISBLANK(CD$3:CD$5))*(CD$3:CD$5=$KL$3:$KL$5))</f>
        <v>0</v>
      </c>
      <c r="CE11" s="1">
        <f>SUMPRODUCT(NOT(ISBLANK(CE$3:CE$5))*(CE$3:CE$5=$KM$3:$KM$5))</f>
        <v>0</v>
      </c>
      <c r="CF11" s="1">
        <f>SUMPRODUCT(NOT(ISBLANK(CF$3:CF$5))*(CF$3:CF$5=$KN$3:$KN$5))</f>
        <v>0</v>
      </c>
      <c r="CG11" s="1">
        <f>SUMPRODUCT(NOT(ISBLANK(CG$3:CG$5))*(CG$3:CG$5=$KO$3:$KO$5))</f>
        <v>0</v>
      </c>
      <c r="CH11" s="1">
        <f>SUMPRODUCT(NOT(ISBLANK(CH$3:CH$5))*(CH$3:CH$5=$KP$3:$KP$5))</f>
        <v>0</v>
      </c>
      <c r="CI11" s="1">
        <f>SUMPRODUCT(NOT(ISBLANK(CI$3:CI$5))*(CI$3:CI$5=$KQ$3:$KQ$5))</f>
        <v>0</v>
      </c>
      <c r="CJ11" s="1"/>
      <c r="CK11" s="1">
        <f>SUMPRODUCT(NOT(ISBLANK(CK$3:CK$5))*(CK$3:CK$5=$KR$3:$KR$5))</f>
        <v>0</v>
      </c>
      <c r="CL11" s="1">
        <f>SUMPRODUCT(NOT(ISBLANK(CL$3:CL$5))*(CL$3:CL$5=$KS$3:$KS$5))</f>
        <v>0</v>
      </c>
      <c r="CM11" s="1">
        <f>SUMPRODUCT(NOT(ISBLANK(CM$3:CM$5))*(CM$3:CM$5=$KT$3:$KT$5))</f>
        <v>0</v>
      </c>
      <c r="CN11" s="1">
        <f>SUMPRODUCT(NOT(ISBLANK(CN$3:CN$5))*(CN$3:CN$5=$KD$3:$KD$5))</f>
        <v>0</v>
      </c>
      <c r="CO11" s="1">
        <f>SUMPRODUCT(NOT(ISBLANK(CO$3:CO$5))*(CO$3:CO$5=$KE$3:$KE$5))</f>
        <v>0</v>
      </c>
      <c r="CP11" s="1">
        <f>SUMPRODUCT(NOT(ISBLANK(CP$3:CP$5))*(CP$3:CP$5=$KF$3:$KF$5))</f>
        <v>0</v>
      </c>
      <c r="CQ11" s="1">
        <f>SUMPRODUCT(NOT(ISBLANK(CQ$3:CQ$5))*(CQ$3:CQ$5=$KG$3:$KG$5))</f>
        <v>0</v>
      </c>
      <c r="CR11" s="1">
        <f>SUMPRODUCT(NOT(ISBLANK(CR$3:CR$5))*(CR$3:CR$5=$KH$3:$KH$5))</f>
        <v>0</v>
      </c>
      <c r="CS11" s="1">
        <f>SUMPRODUCT(NOT(ISBLANK(CS$3:CS$5))*(CS$3:CS$5=$KI$3:$KI$5))</f>
        <v>0</v>
      </c>
      <c r="CT11" s="1">
        <f>SUMPRODUCT(NOT(ISBLANK(CT$3:CT$5))*(CT$3:CT$5=$KJ$3:$KJ$5))</f>
        <v>0</v>
      </c>
      <c r="CU11" s="1">
        <f>SUMPRODUCT(NOT(ISBLANK(CU$3:CU$5))*(CU$3:CU$5=$KK$3:$KK$5))</f>
        <v>0</v>
      </c>
      <c r="CV11" s="1">
        <f>SUMPRODUCT(NOT(ISBLANK(CV$3:CV$5))*(CV$3:CV$5=$KL$3:$KL$5))</f>
        <v>0</v>
      </c>
      <c r="CW11" s="1">
        <f>SUMPRODUCT(NOT(ISBLANK(CW$3:CW$5))*(CW$3:CW$5=$KM$3:$KM$5))</f>
        <v>0</v>
      </c>
      <c r="CX11" s="1">
        <f>SUMPRODUCT(NOT(ISBLANK(CX$3:CX$5))*(CX$3:CX$5=$KN$3:$KN$5))</f>
        <v>0</v>
      </c>
      <c r="CY11" s="1">
        <f>SUMPRODUCT(NOT(ISBLANK(CY$3:CY$5))*(CY$3:CY$5=$KO$3:$KO$5))</f>
        <v>0</v>
      </c>
      <c r="CZ11" s="1">
        <f>SUMPRODUCT(NOT(ISBLANK(CZ$3:CZ$5))*(CZ$3:CZ$5=$KP$3:$KP$5))</f>
        <v>0</v>
      </c>
      <c r="DA11" s="1">
        <f>SUMPRODUCT(NOT(ISBLANK(DA$3:DA$5))*(DA$3:DA$5=$KQ$3:$KQ$5))</f>
        <v>0</v>
      </c>
      <c r="DB11" s="1"/>
      <c r="DC11" s="1">
        <f>SUMPRODUCT(NOT(ISBLANK(DC$3:DC$5))*(DC$3:DC$5=$KR$3:$KR$5))</f>
        <v>0</v>
      </c>
      <c r="DD11" s="1">
        <f>SUMPRODUCT(NOT(ISBLANK(DD$3:DD$5))*(DD$3:DD$5=$KS$3:$KS$5))</f>
        <v>0</v>
      </c>
      <c r="DE11" s="1">
        <f>SUMPRODUCT(NOT(ISBLANK(DE$3:DE$5))*(DE$3:DE$5=$KT$3:$KT$5))</f>
        <v>0</v>
      </c>
      <c r="DF11" s="1">
        <f>SUMPRODUCT(NOT(ISBLANK(DF$3:DF$5))*(DF$3:DF$5=$KD$3:$KD$5))</f>
        <v>0</v>
      </c>
      <c r="DG11" s="1">
        <f>SUMPRODUCT(NOT(ISBLANK(DG$3:DG$5))*(DG$3:DG$5=$KE$3:$KE$5))</f>
        <v>0</v>
      </c>
      <c r="DH11" s="1">
        <f>SUMPRODUCT(NOT(ISBLANK(DH$3:DH$5))*(DH$3:DH$5=$KF$3:$KF$5))</f>
        <v>0</v>
      </c>
      <c r="DI11" s="1">
        <f>SUMPRODUCT(NOT(ISBLANK(DI$3:DI$5))*(DI$3:DI$5=$KG$3:$KG$5))</f>
        <v>0</v>
      </c>
      <c r="DJ11" s="1">
        <f>SUMPRODUCT(NOT(ISBLANK(DJ$3:DJ$5))*(DJ$3:DJ$5=$KH$3:$KH$5))</f>
        <v>0</v>
      </c>
      <c r="DK11" s="1">
        <f>SUMPRODUCT(NOT(ISBLANK(DK$3:DK$5))*(DK$3:DK$5=$KI$3:$KI$5))</f>
        <v>0</v>
      </c>
      <c r="DL11" s="1">
        <f>SUMPRODUCT(NOT(ISBLANK(DL$3:DL$5))*(DL$3:DL$5=$KJ$3:$KJ$5))</f>
        <v>0</v>
      </c>
      <c r="DM11" s="1">
        <f>SUMPRODUCT(NOT(ISBLANK(DM$3:DM$5))*(DM$3:DM$5=$KK$3:$KK$5))</f>
        <v>0</v>
      </c>
      <c r="DN11" s="1">
        <f>SUMPRODUCT(NOT(ISBLANK(DN$3:DN$5))*(DN$3:DN$5=$KL$3:$KL$5))</f>
        <v>0</v>
      </c>
      <c r="DO11" s="1">
        <f>SUMPRODUCT(NOT(ISBLANK(DO$3:DO$5))*(DO$3:DO$5=$KM$3:$KM$5))</f>
        <v>0</v>
      </c>
      <c r="DP11" s="1">
        <f>SUMPRODUCT(NOT(ISBLANK(DP$3:DP$5))*(DP$3:DP$5=$KN$3:$KN$5))</f>
        <v>0</v>
      </c>
      <c r="DQ11" s="1">
        <f>SUMPRODUCT(NOT(ISBLANK(DQ$3:DQ$5))*(DQ$3:DQ$5=$KO$3:$KO$5))</f>
        <v>0</v>
      </c>
      <c r="DR11" s="1">
        <f>SUMPRODUCT(NOT(ISBLANK(DR$3:DR$5))*(DR$3:DR$5=$KP$3:$KP$5))</f>
        <v>0</v>
      </c>
      <c r="DS11" s="1">
        <f>SUMPRODUCT(NOT(ISBLANK(DS$3:DS$5))*(DS$3:DS$5=$KQ$3:$KQ$5))</f>
        <v>0</v>
      </c>
      <c r="DT11" s="1"/>
      <c r="DU11" s="1">
        <f>SUMPRODUCT(NOT(ISBLANK(DU$3:DU$5))*(DU$3:DU$5=$KR$3:$KR$5))</f>
        <v>0</v>
      </c>
      <c r="DV11" s="1">
        <f>SUMPRODUCT(NOT(ISBLANK(DV$3:DV$5))*(DV$3:DV$5=$KS$3:$KS$5))</f>
        <v>0</v>
      </c>
      <c r="DW11" s="1">
        <f>SUMPRODUCT(NOT(ISBLANK(DW$3:DW$5))*(DW$3:DW$5=$KT$3:$KT$5))</f>
        <v>0</v>
      </c>
      <c r="DX11" s="1">
        <f>SUMPRODUCT(NOT(ISBLANK(DX$3:DX$5))*(DX$3:DX$5=$KD$3:$KD$5))</f>
        <v>0</v>
      </c>
      <c r="DY11" s="1">
        <f>SUMPRODUCT(NOT(ISBLANK(DY$3:DY$5))*(DY$3:DY$5=$KE$3:$KE$5))</f>
        <v>0</v>
      </c>
      <c r="DZ11" s="1">
        <f>SUMPRODUCT(NOT(ISBLANK(DZ$3:DZ$5))*(DZ$3:DZ$5=$KF$3:$KF$5))</f>
        <v>0</v>
      </c>
      <c r="EA11" s="1">
        <f>SUMPRODUCT(NOT(ISBLANK(EA$3:EA$5))*(EA$3:EA$5=$KG$3:$KG$5))</f>
        <v>0</v>
      </c>
      <c r="EB11" s="1">
        <f>SUMPRODUCT(NOT(ISBLANK(EB$3:EB$5))*(EB$3:EB$5=$KH$3:$KH$5))</f>
        <v>0</v>
      </c>
      <c r="EC11" s="1">
        <f>SUMPRODUCT(NOT(ISBLANK(EC$3:EC$5))*(EC$3:EC$5=$KI$3:$KI$5))</f>
        <v>0</v>
      </c>
      <c r="ED11" s="1">
        <f>SUMPRODUCT(NOT(ISBLANK(ED$3:ED$5))*(ED$3:ED$5=$KJ$3:$KJ$5))</f>
        <v>0</v>
      </c>
      <c r="EE11" s="1">
        <f>SUMPRODUCT(NOT(ISBLANK(EE$3:EE$5))*(EE$3:EE$5=$KK$3:$KK$5))</f>
        <v>0</v>
      </c>
      <c r="EF11" s="1">
        <f>SUMPRODUCT(NOT(ISBLANK(EF$3:EF$5))*(EF$3:EF$5=$KL$3:$KL$5))</f>
        <v>0</v>
      </c>
      <c r="EG11" s="1">
        <f>SUMPRODUCT(NOT(ISBLANK(EG$3:EG$5))*(EG$3:EG$5=$KM$3:$KM$5))</f>
        <v>0</v>
      </c>
      <c r="EH11" s="1">
        <f>SUMPRODUCT(NOT(ISBLANK(EH$3:EH$5))*(EH$3:EH$5=$KN$3:$KN$5))</f>
        <v>0</v>
      </c>
      <c r="EI11" s="1">
        <f>SUMPRODUCT(NOT(ISBLANK(EI$3:EI$5))*(EI$3:EI$5=$KO$3:$KO$5))</f>
        <v>0</v>
      </c>
      <c r="EJ11" s="1">
        <f>SUMPRODUCT(NOT(ISBLANK(EJ$3:EJ$5))*(EJ$3:EJ$5=$KP$3:$KP$5))</f>
        <v>0</v>
      </c>
      <c r="EK11" s="1">
        <f>SUMPRODUCT(NOT(ISBLANK(EK$3:EK$5))*(EK$3:EK$5=$KQ$3:$KQ$5))</f>
        <v>0</v>
      </c>
      <c r="EL11" s="1"/>
      <c r="EM11" s="1">
        <f>SUMPRODUCT(NOT(ISBLANK(EM$3:EM$5))*(EM$3:EM$5=$KR$3:$KR$5))</f>
        <v>0</v>
      </c>
      <c r="EN11" s="1">
        <f>SUMPRODUCT(NOT(ISBLANK(EN$3:EN$5))*(EN$3:EN$5=$KS$3:$KS$5))</f>
        <v>0</v>
      </c>
      <c r="EO11" s="1">
        <f>SUMPRODUCT(NOT(ISBLANK(EO$3:EO$5))*(EO$3:EO$5=$KT$3:$KT$5))</f>
        <v>0</v>
      </c>
      <c r="EP11" s="1">
        <f>SUMPRODUCT(NOT(ISBLANK(EP$3:EP$5))*(EP$3:EP$5=$KD$3:$KD$5))</f>
        <v>0</v>
      </c>
      <c r="EQ11" s="1">
        <f>SUMPRODUCT(NOT(ISBLANK(EQ$3:EQ$5))*(EQ$3:EQ$5=$KE$3:$KE$5))</f>
        <v>0</v>
      </c>
      <c r="ER11" s="1">
        <f>SUMPRODUCT(NOT(ISBLANK(ER$3:ER$5))*(ER$3:ER$5=$KF$3:$KF$5))</f>
        <v>0</v>
      </c>
      <c r="ES11" s="1">
        <f>SUMPRODUCT(NOT(ISBLANK(ES$3:ES$5))*(ES$3:ES$5=$KG$3:$KG$5))</f>
        <v>0</v>
      </c>
      <c r="ET11" s="1">
        <f>SUMPRODUCT(NOT(ISBLANK(ET$3:ET$5))*(ET$3:ET$5=$KH$3:$KH$5))</f>
        <v>0</v>
      </c>
      <c r="EU11" s="1">
        <f>SUMPRODUCT(NOT(ISBLANK(EU$3:EU$5))*(EU$3:EU$5=$KI$3:$KI$5))</f>
        <v>0</v>
      </c>
      <c r="EV11" s="1">
        <f>SUMPRODUCT(NOT(ISBLANK(EV$3:EV$5))*(EV$3:EV$5=$KJ$3:$KJ$5))</f>
        <v>0</v>
      </c>
      <c r="EW11" s="1">
        <f>SUMPRODUCT(NOT(ISBLANK(EW$3:EW$5))*(EW$3:EW$5=$KK$3:$KK$5))</f>
        <v>0</v>
      </c>
      <c r="EX11" s="1">
        <f>SUMPRODUCT(NOT(ISBLANK(EX$3:EX$5))*(EX$3:EX$5=$KL$3:$KL$5))</f>
        <v>0</v>
      </c>
      <c r="EY11" s="1">
        <f>SUMPRODUCT(NOT(ISBLANK(EY$3:EY$5))*(EY$3:EY$5=$KM$3:$KM$5))</f>
        <v>0</v>
      </c>
      <c r="EZ11" s="1">
        <f>SUMPRODUCT(NOT(ISBLANK(EZ$3:EZ$5))*(EZ$3:EZ$5=$KN$3:$KN$5))</f>
        <v>0</v>
      </c>
      <c r="FA11" s="1">
        <f>SUMPRODUCT(NOT(ISBLANK(FA$3:FA$5))*(FA$3:FA$5=$KO$3:$KO$5))</f>
        <v>0</v>
      </c>
      <c r="FB11" s="1">
        <f>SUMPRODUCT(NOT(ISBLANK(FB$3:FB$5))*(FB$3:FB$5=$KP$3:$KP$5))</f>
        <v>0</v>
      </c>
      <c r="FC11" s="1">
        <f>SUMPRODUCT(NOT(ISBLANK(FC$3:FC$5))*(FC$3:FC$5=$KQ$3:$KQ$5))</f>
        <v>0</v>
      </c>
      <c r="FD11" s="1"/>
      <c r="FE11" s="1">
        <f>SUMPRODUCT(NOT(ISBLANK(FE$3:FE$5))*(FE$3:FE$5=$KR$3:$KR$5))</f>
        <v>0</v>
      </c>
      <c r="FF11" s="1">
        <f>SUMPRODUCT(NOT(ISBLANK(FF$3:FF$5))*(FF$3:FF$5=$KS$3:$KS$5))</f>
        <v>0</v>
      </c>
      <c r="FG11" s="1">
        <f>SUMPRODUCT(NOT(ISBLANK(FG$3:FG$5))*(FG$3:FG$5=$KT$3:$KT$5))</f>
        <v>0</v>
      </c>
      <c r="FH11" s="1">
        <f>SUMPRODUCT(NOT(ISBLANK(FH$3:FH$5))*(FH$3:FH$5=$KD$3:$KD$5))</f>
        <v>0</v>
      </c>
      <c r="FI11" s="1">
        <f>SUMPRODUCT(NOT(ISBLANK(FI$3:FI$5))*(FI$3:FI$5=$KE$3:$KE$5))</f>
        <v>0</v>
      </c>
      <c r="FJ11" s="1">
        <f>SUMPRODUCT(NOT(ISBLANK(FJ$3:FJ$5))*(FJ$3:FJ$5=$KF$3:$KF$5))</f>
        <v>0</v>
      </c>
      <c r="FK11" s="1">
        <f>SUMPRODUCT(NOT(ISBLANK(FK$3:FK$5))*(FK$3:FK$5=$KG$3:$KG$5))</f>
        <v>0</v>
      </c>
      <c r="FL11" s="1">
        <f>SUMPRODUCT(NOT(ISBLANK(FL$3:FL$5))*(FL$3:FL$5=$KH$3:$KH$5))</f>
        <v>0</v>
      </c>
      <c r="FM11" s="1">
        <f>SUMPRODUCT(NOT(ISBLANK(FM$3:FM$5))*(FM$3:FM$5=$KI$3:$KI$5))</f>
        <v>0</v>
      </c>
      <c r="FN11" s="1">
        <f>SUMPRODUCT(NOT(ISBLANK(FN$3:FN$5))*(FN$3:FN$5=$KJ$3:$KJ$5))</f>
        <v>0</v>
      </c>
      <c r="FO11" s="1">
        <f>SUMPRODUCT(NOT(ISBLANK(FO$3:FO$5))*(FO$3:FO$5=$KK$3:$KK$5))</f>
        <v>0</v>
      </c>
      <c r="FP11" s="1">
        <f>SUMPRODUCT(NOT(ISBLANK(FP$3:FP$5))*(FP$3:FP$5=$KL$3:$KL$5))</f>
        <v>0</v>
      </c>
      <c r="FQ11" s="1">
        <f>SUMPRODUCT(NOT(ISBLANK(FQ$3:FQ$5))*(FQ$3:FQ$5=$KM$3:$KM$5))</f>
        <v>0</v>
      </c>
      <c r="FR11" s="1">
        <f>SUMPRODUCT(NOT(ISBLANK(FR$3:FR$5))*(FR$3:FR$5=$KN$3:$KN$5))</f>
        <v>0</v>
      </c>
      <c r="FS11" s="1">
        <f>SUMPRODUCT(NOT(ISBLANK(FS$3:FS$5))*(FS$3:FS$5=$KO$3:$KO$5))</f>
        <v>0</v>
      </c>
      <c r="FT11" s="1">
        <f>SUMPRODUCT(NOT(ISBLANK(FT$3:FT$5))*(FT$3:FT$5=$KP$3:$KP$5))</f>
        <v>0</v>
      </c>
      <c r="FU11" s="1">
        <f>SUMPRODUCT(NOT(ISBLANK(FU$3:FU$5))*(FU$3:FU$5=$KQ$3:$KQ$5))</f>
        <v>0</v>
      </c>
      <c r="FV11" s="1"/>
      <c r="FW11" s="1">
        <f>SUMPRODUCT(NOT(ISBLANK(FW$3:FW$5))*(FW$3:FW$5=$KR$3:$KR$5))</f>
        <v>0</v>
      </c>
      <c r="FX11" s="1">
        <f>SUMPRODUCT(NOT(ISBLANK(FX$3:FX$5))*(FX$3:FX$5=$KS$3:$KS$5))</f>
        <v>0</v>
      </c>
      <c r="FY11" s="1">
        <f>SUMPRODUCT(NOT(ISBLANK(FY$3:FY$5))*(FY$3:FY$5=$KT$3:$KT$5))</f>
        <v>0</v>
      </c>
      <c r="FZ11" s="1">
        <f>SUMPRODUCT(NOT(ISBLANK(FZ$3:FZ$5))*(FZ$3:FZ$5=$KD$3:$KD$5))</f>
        <v>0</v>
      </c>
      <c r="GA11" s="1">
        <f>SUMPRODUCT(NOT(ISBLANK(GA$3:GA$5))*(GA$3:GA$5=$KE$3:$KE$5))</f>
        <v>0</v>
      </c>
      <c r="GB11" s="1">
        <f>SUMPRODUCT(NOT(ISBLANK(GB$3:GB$5))*(GB$3:GB$5=$KF$3:$KF$5))</f>
        <v>0</v>
      </c>
      <c r="GC11" s="1">
        <f>SUMPRODUCT(NOT(ISBLANK(GC$3:GC$5))*(GC$3:GC$5=$KG$3:$KG$5))</f>
        <v>0</v>
      </c>
      <c r="GD11" s="1">
        <f>SUMPRODUCT(NOT(ISBLANK(GD$3:GD$5))*(GD$3:GD$5=$KH$3:$KH$5))</f>
        <v>0</v>
      </c>
      <c r="GE11" s="1">
        <f>SUMPRODUCT(NOT(ISBLANK(GE$3:GE$5))*(GE$3:GE$5=$KI$3:$KI$5))</f>
        <v>0</v>
      </c>
      <c r="GF11" s="1">
        <f>SUMPRODUCT(NOT(ISBLANK(GF$3:GF$5))*(GF$3:GF$5=$KJ$3:$KJ$5))</f>
        <v>0</v>
      </c>
      <c r="GG11" s="1">
        <f>SUMPRODUCT(NOT(ISBLANK(GG$3:GG$5))*(GG$3:GG$5=$KK$3:$KK$5))</f>
        <v>0</v>
      </c>
      <c r="GH11" s="1">
        <f>SUMPRODUCT(NOT(ISBLANK(GH$3:GH$5))*(GH$3:GH$5=$KL$3:$KL$5))</f>
        <v>0</v>
      </c>
      <c r="GI11" s="1">
        <f>SUMPRODUCT(NOT(ISBLANK(GI$3:GI$5))*(GI$3:GI$5=$KM$3:$KM$5))</f>
        <v>0</v>
      </c>
      <c r="GJ11" s="1">
        <f>SUMPRODUCT(NOT(ISBLANK(GJ$3:GJ$5))*(GJ$3:GJ$5=$KN$3:$KN$5))</f>
        <v>0</v>
      </c>
      <c r="GK11" s="1">
        <f>SUMPRODUCT(NOT(ISBLANK(GK$3:GK$5))*(GK$3:GK$5=$KO$3:$KO$5))</f>
        <v>0</v>
      </c>
      <c r="GL11" s="1">
        <f>SUMPRODUCT(NOT(ISBLANK(GL$3:GL$5))*(GL$3:GL$5=$KP$3:$KP$5))</f>
        <v>0</v>
      </c>
      <c r="GM11" s="1">
        <f>SUMPRODUCT(NOT(ISBLANK(GM$3:GM$5))*(GM$3:GM$5=$KQ$3:$KQ$5))</f>
        <v>0</v>
      </c>
      <c r="GN11" s="1"/>
      <c r="GO11" s="1">
        <f>SUMPRODUCT(NOT(ISBLANK(GO$3:GO$5))*(GO$3:GO$5=$KR$3:$KR$5))</f>
        <v>0</v>
      </c>
      <c r="GP11" s="1">
        <f>SUMPRODUCT(NOT(ISBLANK(GP$3:GP$5))*(GP$3:GP$5=$KS$3:$KS$5))</f>
        <v>0</v>
      </c>
      <c r="GQ11" s="1">
        <f>SUMPRODUCT(NOT(ISBLANK(GQ$3:GQ$5))*(GQ$3:GQ$5=$KT$3:$KT$5))</f>
        <v>0</v>
      </c>
      <c r="GR11" s="1">
        <f>SUMPRODUCT(NOT(ISBLANK(GR$3:GR$5))*(GR$3:GR$5=$KD$3:$KD$5))</f>
        <v>0</v>
      </c>
      <c r="GS11" s="1">
        <f>SUMPRODUCT(NOT(ISBLANK(GS$3:GS$5))*(GS$3:GS$5=$KE$3:$KE$5))</f>
        <v>0</v>
      </c>
      <c r="GT11" s="1">
        <f>SUMPRODUCT(NOT(ISBLANK(GT$3:GT$5))*(GT$3:GT$5=$KF$3:$KF$5))</f>
        <v>0</v>
      </c>
      <c r="GU11" s="1">
        <f>SUMPRODUCT(NOT(ISBLANK(GU$3:GU$5))*(GU$3:GU$5=$KG$3:$KG$5))</f>
        <v>0</v>
      </c>
      <c r="GV11" s="1">
        <f>SUMPRODUCT(NOT(ISBLANK(GV$3:GV$5))*(GV$3:GV$5=$KH$3:$KH$5))</f>
        <v>0</v>
      </c>
      <c r="GW11" s="1">
        <f>SUMPRODUCT(NOT(ISBLANK(GW$3:GW$5))*(GW$3:GW$5=$KI$3:$KI$5))</f>
        <v>0</v>
      </c>
      <c r="GX11" s="1">
        <f>SUMPRODUCT(NOT(ISBLANK(GX$3:GX$5))*(GX$3:GX$5=$KJ$3:$KJ$5))</f>
        <v>0</v>
      </c>
      <c r="GY11" s="1">
        <f>SUMPRODUCT(NOT(ISBLANK(GY$3:GY$5))*(GY$3:GY$5=$KK$3:$KK$5))</f>
        <v>0</v>
      </c>
      <c r="GZ11" s="1">
        <f>SUMPRODUCT(NOT(ISBLANK(GZ$3:GZ$5))*(GZ$3:GZ$5=$KL$3:$KL$5))</f>
        <v>0</v>
      </c>
      <c r="HA11" s="1">
        <f>SUMPRODUCT(NOT(ISBLANK(HA$3:HA$5))*(HA$3:HA$5=$KM$3:$KM$5))</f>
        <v>0</v>
      </c>
      <c r="HB11" s="1">
        <f>SUMPRODUCT(NOT(ISBLANK(HB$3:HB$5))*(HB$3:HB$5=$KN$3:$KN$5))</f>
        <v>0</v>
      </c>
      <c r="HC11" s="1">
        <f>SUMPRODUCT(NOT(ISBLANK(HC$3:HC$5))*(HC$3:HC$5=$KO$3:$KO$5))</f>
        <v>0</v>
      </c>
      <c r="HD11" s="1">
        <f>SUMPRODUCT(NOT(ISBLANK(HD$3:HD$5))*(HD$3:HD$5=$KP$3:$KP$5))</f>
        <v>0</v>
      </c>
      <c r="HE11" s="1">
        <f>SUMPRODUCT(NOT(ISBLANK(HE$3:HE$5))*(HE$3:HE$5=$KQ$3:$KQ$5))</f>
        <v>0</v>
      </c>
      <c r="HF11" s="1"/>
      <c r="HG11" s="1">
        <f>SUMPRODUCT(NOT(ISBLANK(HG$3:HG$5))*(HG$3:HG$5=$KR$3:$KR$5))</f>
        <v>0</v>
      </c>
      <c r="HH11" s="1">
        <f>SUMPRODUCT(NOT(ISBLANK(HH$3:HH$5))*(HH$3:HH$5=$KS$3:$KS$5))</f>
        <v>0</v>
      </c>
      <c r="HI11" s="1">
        <f>SUMPRODUCT(NOT(ISBLANK(HI$3:HI$5))*(HI$3:HI$5=$KT$3:$KT$5))</f>
        <v>0</v>
      </c>
      <c r="HJ11" s="1">
        <f>SUMPRODUCT(NOT(ISBLANK(HJ$3:HJ$5))*(HJ$3:HJ$5=$KD$3:$KD$5))</f>
        <v>0</v>
      </c>
      <c r="HK11" s="1">
        <f>SUMPRODUCT(NOT(ISBLANK(HK$3:HK$5))*(HK$3:HK$5=$KE$3:$KE$5))</f>
        <v>0</v>
      </c>
      <c r="HL11" s="1">
        <f>SUMPRODUCT(NOT(ISBLANK(HL$3:HL$5))*(HL$3:HL$5=$KF$3:$KF$5))</f>
        <v>0</v>
      </c>
      <c r="HM11" s="1">
        <f>SUMPRODUCT(NOT(ISBLANK(HM$3:HM$5))*(HM$3:HM$5=$KG$3:$KG$5))</f>
        <v>0</v>
      </c>
      <c r="HN11" s="1">
        <f>SUMPRODUCT(NOT(ISBLANK(HN$3:HN$5))*(HN$3:HN$5=$KH$3:$KH$5))</f>
        <v>0</v>
      </c>
      <c r="HO11" s="1">
        <f>SUMPRODUCT(NOT(ISBLANK(HO$3:HO$5))*(HO$3:HO$5=$KI$3:$KI$5))</f>
        <v>0</v>
      </c>
      <c r="HP11" s="1">
        <f>SUMPRODUCT(NOT(ISBLANK(HP$3:HP$5))*(HP$3:HP$5=$KJ$3:$KJ$5))</f>
        <v>0</v>
      </c>
      <c r="HQ11" s="1">
        <f>SUMPRODUCT(NOT(ISBLANK(HQ$3:HQ$5))*(HQ$3:HQ$5=$KK$3:$KK$5))</f>
        <v>0</v>
      </c>
      <c r="HR11" s="1">
        <f>SUMPRODUCT(NOT(ISBLANK(HR$3:HR$5))*(HR$3:HR$5=$KL$3:$KL$5))</f>
        <v>0</v>
      </c>
      <c r="HS11" s="1">
        <f>SUMPRODUCT(NOT(ISBLANK(HS$3:HS$5))*(HS$3:HS$5=$KM$3:$KM$5))</f>
        <v>0</v>
      </c>
      <c r="HT11" s="1">
        <f>SUMPRODUCT(NOT(ISBLANK(HT$3:HT$5))*(HT$3:HT$5=$KN$3:$KN$5))</f>
        <v>0</v>
      </c>
      <c r="HU11" s="1">
        <f>SUMPRODUCT(NOT(ISBLANK(HU$3:HU$5))*(HU$3:HU$5=$KO$3:$KO$5))</f>
        <v>0</v>
      </c>
      <c r="HV11" s="1">
        <f>SUMPRODUCT(NOT(ISBLANK(HV$3:HV$5))*(HV$3:HV$5=$KP$3:$KP$5))</f>
        <v>0</v>
      </c>
      <c r="HW11" s="1">
        <f>SUMPRODUCT(NOT(ISBLANK(HW$3:HW$5))*(HW$3:HW$5=$KQ$3:$KQ$5))</f>
        <v>0</v>
      </c>
      <c r="HX11" s="1"/>
      <c r="HY11" s="1">
        <f>SUMPRODUCT(NOT(ISBLANK(HY$3:HY$5))*(HY$3:HY$5=$KR$3:$KR$5))</f>
        <v>0</v>
      </c>
      <c r="HZ11" s="1">
        <f>SUMPRODUCT(NOT(ISBLANK(HZ$3:HZ$5))*(HZ$3:HZ$5=$KS$3:$KS$5))</f>
        <v>0</v>
      </c>
      <c r="IA11" s="1">
        <f>SUMPRODUCT(NOT(ISBLANK(IA$3:IA$5))*(IA$3:IA$5=$KT$3:$KT$5))</f>
        <v>0</v>
      </c>
      <c r="IB11" s="1">
        <f>SUMPRODUCT(NOT(ISBLANK(IB$3:IB$5))*(IB$3:IB$5=$KD$3:$KD$5))</f>
        <v>0</v>
      </c>
      <c r="IC11" s="1">
        <f>SUMPRODUCT(NOT(ISBLANK(IC$3:IC$5))*(IC$3:IC$5=$KE$3:$KE$5))</f>
        <v>0</v>
      </c>
      <c r="ID11" s="1">
        <f>SUMPRODUCT(NOT(ISBLANK(ID$3:ID$5))*(ID$3:ID$5=$KF$3:$KF$5))</f>
        <v>0</v>
      </c>
      <c r="IE11" s="1">
        <f>SUMPRODUCT(NOT(ISBLANK(IE$3:IE$5))*(IE$3:IE$5=$KG$3:$KG$5))</f>
        <v>0</v>
      </c>
      <c r="IF11" s="1">
        <f>SUMPRODUCT(NOT(ISBLANK(IF$3:IF$5))*(IF$3:IF$5=$KH$3:$KH$5))</f>
        <v>0</v>
      </c>
      <c r="IG11" s="1">
        <f>SUMPRODUCT(NOT(ISBLANK(IG$3:IG$5))*(IG$3:IG$5=$KI$3:$KI$5))</f>
        <v>0</v>
      </c>
      <c r="IH11" s="1">
        <f>SUMPRODUCT(NOT(ISBLANK(IH$3:IH$5))*(IH$3:IH$5=$KJ$3:$KJ$5))</f>
        <v>0</v>
      </c>
      <c r="II11" s="1">
        <f>SUMPRODUCT(NOT(ISBLANK(II$3:II$5))*(II$3:II$5=$KK$3:$KK$5))</f>
        <v>0</v>
      </c>
      <c r="IJ11" s="1">
        <f>SUMPRODUCT(NOT(ISBLANK(IJ$3:IJ$5))*(IJ$3:IJ$5=$KL$3:$KL$5))</f>
        <v>0</v>
      </c>
      <c r="IK11" s="1">
        <f>SUMPRODUCT(NOT(ISBLANK(IK$3:IK$5))*(IK$3:IK$5=$KM$3:$KM$5))</f>
        <v>0</v>
      </c>
      <c r="IL11" s="1">
        <f>SUMPRODUCT(NOT(ISBLANK(IL$3:IL$5))*(IL$3:IL$5=$KN$3:$KN$5))</f>
        <v>0</v>
      </c>
      <c r="IM11" s="1">
        <f>SUMPRODUCT(NOT(ISBLANK(IM$3:IM$5))*(IM$3:IM$5=$KO$3:$KO$5))</f>
        <v>0</v>
      </c>
      <c r="IN11" s="1">
        <f>SUMPRODUCT(NOT(ISBLANK(IN$3:IN$5))*(IN$3:IN$5=$KP$3:$KP$5))</f>
        <v>0</v>
      </c>
      <c r="IO11" s="1">
        <f>SUMPRODUCT(NOT(ISBLANK(IO$3:IO$5))*(IO$3:IO$5=$KQ$3:$KQ$5))</f>
        <v>0</v>
      </c>
      <c r="IP11" s="1"/>
      <c r="IQ11" s="1">
        <f>SUMPRODUCT(NOT(ISBLANK(IQ$3:IQ$5))*(IQ$3:IQ$5=$KR$3:$KR$5))</f>
        <v>0</v>
      </c>
      <c r="IR11" s="1">
        <f>SUMPRODUCT(NOT(ISBLANK(IR$3:IR$5))*(IR$3:IR$5=$KS$3:$KS$5))</f>
        <v>0</v>
      </c>
      <c r="IS11" s="1">
        <f>SUMPRODUCT(NOT(ISBLANK(IS$3:IS$5))*(IS$3:IS$5=$KT$3:$KT$5))</f>
        <v>0</v>
      </c>
      <c r="IT11" s="1">
        <f>SUMPRODUCT(NOT(ISBLANK(IT$3:IT$5))*(IT$3:IT$5=$KD$3:$KD$5))</f>
        <v>0</v>
      </c>
      <c r="IU11" s="1">
        <f>SUMPRODUCT(NOT(ISBLANK(IU$3:IU$5))*(IU$3:IU$5=$KE$3:$KE$5))</f>
        <v>0</v>
      </c>
      <c r="IV11" s="1">
        <f>SUMPRODUCT(NOT(ISBLANK(IV$3:IV$5))*(IV$3:IV$5=$KF$3:$KF$5))</f>
        <v>0</v>
      </c>
      <c r="IW11" s="1">
        <f>SUMPRODUCT(NOT(ISBLANK(IW$3:IW$5))*(IW$3:IW$5=$KG$3:$KG$5))</f>
        <v>0</v>
      </c>
      <c r="IX11" s="1">
        <f>SUMPRODUCT(NOT(ISBLANK(IX$3:IX$5))*(IX$3:IX$5=$KH$3:$KH$5))</f>
        <v>0</v>
      </c>
      <c r="IY11" s="1">
        <f>SUMPRODUCT(NOT(ISBLANK(IY$3:IY$5))*(IY$3:IY$5=$KI$3:$KI$5))</f>
        <v>0</v>
      </c>
      <c r="IZ11" s="1">
        <f>SUMPRODUCT(NOT(ISBLANK(IZ$3:IZ$5))*(IZ$3:IZ$5=$KJ$3:$KJ$5))</f>
        <v>0</v>
      </c>
      <c r="JA11" s="1">
        <f>SUMPRODUCT(NOT(ISBLANK(JA$3:JA$5))*(JA$3:JA$5=$KK$3:$KK$5))</f>
        <v>0</v>
      </c>
      <c r="JB11" s="1">
        <f>SUMPRODUCT(NOT(ISBLANK(JB$3:JB$5))*(JB$3:JB$5=$KL$3:$KL$5))</f>
        <v>0</v>
      </c>
      <c r="JC11" s="1">
        <f>SUMPRODUCT(NOT(ISBLANK(JC$3:JC$5))*(JC$3:JC$5=$KM$3:$KM$5))</f>
        <v>0</v>
      </c>
      <c r="JD11" s="1">
        <f>SUMPRODUCT(NOT(ISBLANK(JD$3:JD$5))*(JD$3:JD$5=$KN$3:$KN$5))</f>
        <v>0</v>
      </c>
      <c r="JE11" s="1">
        <f>SUMPRODUCT(NOT(ISBLANK(JE$3:JE$5))*(JE$3:JE$5=$KO$3:$KO$5))</f>
        <v>0</v>
      </c>
      <c r="JF11" s="1">
        <f>SUMPRODUCT(NOT(ISBLANK(JF$3:JF$5))*(JF$3:JF$5=$KP$3:$KP$5))</f>
        <v>0</v>
      </c>
      <c r="JG11" s="1">
        <f>SUMPRODUCT(NOT(ISBLANK(JG$3:JG$5))*(JG$3:JG$5=$KQ$3:$KQ$5))</f>
        <v>0</v>
      </c>
      <c r="JH11" s="1"/>
      <c r="JI11" s="1">
        <f>SUMPRODUCT(NOT(ISBLANK(JI$3:JI$5))*(JI$3:JI$5=$KR$3:$KR$5))</f>
        <v>0</v>
      </c>
      <c r="JJ11" s="1">
        <f>SUMPRODUCT(NOT(ISBLANK(JJ$3:JJ$5))*(JJ$3:JJ$5=$KS$3:$KS$5))</f>
        <v>0</v>
      </c>
      <c r="JK11" s="1">
        <f>SUMPRODUCT(NOT(ISBLANK(JK$3:JK$5))*(JK$3:JK$5=$KT$3:$KT$5))</f>
        <v>0</v>
      </c>
      <c r="JL11" s="1">
        <f>SUMPRODUCT(NOT(ISBLANK(JL$3:JL$5))*(JL$3:JL$5=$KD$3:$KD$5))</f>
        <v>0</v>
      </c>
      <c r="JM11" s="1">
        <f>SUMPRODUCT(NOT(ISBLANK(JM$3:JM$5))*(JM$3:JM$5=$KE$3:$KE$5))</f>
        <v>0</v>
      </c>
      <c r="JN11" s="1">
        <f>SUMPRODUCT(NOT(ISBLANK(JN$3:JN$5))*(JN$3:JN$5=$KF$3:$KF$5))</f>
        <v>0</v>
      </c>
      <c r="JO11" s="1">
        <f>SUMPRODUCT(NOT(ISBLANK(JO$3:JO$5))*(JO$3:JO$5=$KG$3:$KG$5))</f>
        <v>0</v>
      </c>
      <c r="JP11" s="1">
        <f>SUMPRODUCT(NOT(ISBLANK(JP$3:JP$5))*(JP$3:JP$5=$KH$3:$KH$5))</f>
        <v>0</v>
      </c>
      <c r="JQ11" s="1">
        <f>SUMPRODUCT(NOT(ISBLANK(JQ$3:JQ$5))*(JQ$3:JQ$5=$KI$3:$KI$5))</f>
        <v>0</v>
      </c>
      <c r="JR11" s="1">
        <f>SUMPRODUCT(NOT(ISBLANK(JR$3:JR$5))*(JR$3:JR$5=$KJ$3:$KJ$5))</f>
        <v>0</v>
      </c>
      <c r="JS11" s="1">
        <f>SUMPRODUCT(NOT(ISBLANK(JS$3:JS$5))*(JS$3:JS$5=$KK$3:$KK$5))</f>
        <v>0</v>
      </c>
      <c r="JT11" s="1">
        <f>SUMPRODUCT(NOT(ISBLANK(JT$3:JT$5))*(JT$3:JT$5=$KL$3:$KL$5))</f>
        <v>0</v>
      </c>
      <c r="JU11" s="1">
        <f>SUMPRODUCT(NOT(ISBLANK(JU$3:JU$5))*(JU$3:JU$5=$KM$3:$KM$5))</f>
        <v>0</v>
      </c>
      <c r="JV11" s="1">
        <f>SUMPRODUCT(NOT(ISBLANK(JV$3:JV$5))*(JV$3:JV$5=$KN$3:$KN$5))</f>
        <v>0</v>
      </c>
      <c r="JW11" s="1">
        <f>SUMPRODUCT(NOT(ISBLANK(JW$3:JW$5))*(JW$3:JW$5=$KO$3:$KO$5))</f>
        <v>0</v>
      </c>
      <c r="JX11" s="1">
        <f>SUMPRODUCT(NOT(ISBLANK(JX$3:JX$5))*(JX$3:JX$5=$KP$3:$KP$5))</f>
        <v>0</v>
      </c>
      <c r="JY11" s="1">
        <f>SUMPRODUCT(NOT(ISBLANK(JY$3:JY$5))*(JY$3:JY$5=$KQ$3:$KQ$5))</f>
        <v>0</v>
      </c>
      <c r="JZ11" s="1"/>
      <c r="KA11" s="1">
        <f>SUMPRODUCT(NOT(ISBLANK(KA$3:KA$5))*(KA$3:KA$5=$KR$3:$KR$5))</f>
        <v>0</v>
      </c>
      <c r="KB11" s="1">
        <f>SUMPRODUCT(NOT(ISBLANK(KB$3:KB$5))*(KB$3:KB$5=$KS$3:$KS$5))</f>
        <v>0</v>
      </c>
      <c r="KC11" s="1">
        <f>SUMPRODUCT(NOT(ISBLANK(KC$3:KC$5))*(KC$3:KC$5=$KT$3:$KT$5))</f>
        <v>0</v>
      </c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</row>
    <row r="12" spans="1:340">
      <c r="A12" s="1" t="s">
        <v>12</v>
      </c>
      <c r="B12" s="1">
        <f>SUMPRODUCT(NOT(ISBLANK(B$3:B$5))*(B$3:B$5&lt;$KU$3:$KU$5))</f>
        <v>0</v>
      </c>
      <c r="C12" s="1">
        <f>SUMPRODUCT(NOT(ISBLANK(C$3:C$5))*(C$3:C$5&lt;$KV$3:$KV$5))</f>
        <v>0</v>
      </c>
      <c r="D12" s="1">
        <f>SUMPRODUCT(NOT(ISBLANK(D$3:D$5))*(D$3:D$5&lt;$KW$3:$KW$5))</f>
        <v>0</v>
      </c>
      <c r="E12" s="1">
        <f>SUMPRODUCT(NOT(ISBLANK(E$3:E$5))*(E$3:E$5&lt;$KX$3:$KX$5))</f>
        <v>0</v>
      </c>
      <c r="F12" s="1">
        <f>SUMPRODUCT(NOT(ISBLANK(F$3:F$5))*(F$3:F$5&lt;$KY$3:$KY$5))</f>
        <v>0</v>
      </c>
      <c r="G12" s="1">
        <f>SUMPRODUCT(NOT(ISBLANK(G$3:G$5))*(G$3:G$5&lt;$KZ$3:$KZ$5))</f>
        <v>0</v>
      </c>
      <c r="H12" s="1">
        <f>SUMPRODUCT(NOT(ISBLANK(H$3:H$5))*(H$3:H$5&lt;$LA$3:$LA$5))</f>
        <v>0</v>
      </c>
      <c r="I12" s="1">
        <f>SUMPRODUCT(NOT(ISBLANK(I$3:I$5))*(I$3:I$5&lt;$LB$3:$LB$5))</f>
        <v>0</v>
      </c>
      <c r="J12" s="1">
        <f>SUMPRODUCT(NOT(ISBLANK(J$3:J$5))*(J$3:J$5&lt;$LC$3:$LC$5))</f>
        <v>0</v>
      </c>
      <c r="K12" s="1">
        <f>SUMPRODUCT(NOT(ISBLANK(K$3:K$5))*(K$3:K$5&lt;$LD$3:$LD$5))</f>
        <v>0</v>
      </c>
      <c r="L12" s="1">
        <f>SUMPRODUCT(NOT(ISBLANK(L$3:L$5))*(L$3:L$5&lt;$LE$3:$LE$5))</f>
        <v>0</v>
      </c>
      <c r="M12" s="1">
        <f>SUMPRODUCT(NOT(ISBLANK(M$3:M$5))*(M$3:M$5&lt;$LF$3:$LF$5))</f>
        <v>0</v>
      </c>
      <c r="N12" s="1">
        <f>SUMPRODUCT(NOT(ISBLANK(N$3:N$5))*(N$3:N$5&lt;$LG$3:$LG$5))</f>
        <v>0</v>
      </c>
      <c r="O12" s="1">
        <f>SUMPRODUCT(NOT(ISBLANK(O$3:O$5))*(O$3:O$5&lt;$LH$3:$LH$5))</f>
        <v>0</v>
      </c>
      <c r="P12" s="1"/>
      <c r="Q12" s="1">
        <f>SUMPRODUCT(NOT(ISBLANK(Q$3:Q$5))*(Q$3:Q$5&lt;$LI$3:$LI$5))</f>
        <v>0</v>
      </c>
      <c r="R12" s="1">
        <f>SUMPRODUCT(NOT(ISBLANK(R$3:R$5))*(R$3:R$5&lt;$LJ$3:$LJ$5))</f>
        <v>0</v>
      </c>
      <c r="S12" s="1">
        <f>SUMPRODUCT(NOT(ISBLANK(S$3:S$5))*(S$3:S$5&lt;$LK$3:$LK$5))</f>
        <v>0</v>
      </c>
      <c r="T12" s="1">
        <f>SUMPRODUCT(NOT(ISBLANK(T$3:T$5))*(T$3:T$5&lt;$KU$3:$KU$5))</f>
        <v>0</v>
      </c>
      <c r="U12" s="1">
        <f>SUMPRODUCT(NOT(ISBLANK(U$3:U$5))*(U$3:U$5&lt;$KV$3:$KV$5))</f>
        <v>0</v>
      </c>
      <c r="V12" s="1">
        <f>SUMPRODUCT(NOT(ISBLANK(V$3:V$5))*(V$3:V$5&lt;$KW$3:$KW$5))</f>
        <v>0</v>
      </c>
      <c r="W12" s="1">
        <f>SUMPRODUCT(NOT(ISBLANK(W$3:W$5))*(W$3:W$5&lt;$KX$3:$KX$5))</f>
        <v>0</v>
      </c>
      <c r="X12" s="1">
        <f>SUMPRODUCT(NOT(ISBLANK(X$3:X$5))*(X$3:X$5&lt;$KY$3:$KY$5))</f>
        <v>0</v>
      </c>
      <c r="Y12" s="1">
        <f>SUMPRODUCT(NOT(ISBLANK(Y$3:Y$5))*(Y$3:Y$5&lt;$KZ$3:$KZ$5))</f>
        <v>0</v>
      </c>
      <c r="Z12" s="1">
        <f>SUMPRODUCT(NOT(ISBLANK(Z$3:Z$5))*(Z$3:Z$5&lt;$LA$3:$LA$5))</f>
        <v>0</v>
      </c>
      <c r="AA12" s="1">
        <f>SUMPRODUCT(NOT(ISBLANK(AA$3:AA$5))*(AA$3:AA$5&lt;$LB$3:$LB$5))</f>
        <v>0</v>
      </c>
      <c r="AB12" s="1">
        <f>SUMPRODUCT(NOT(ISBLANK(AB$3:AB$5))*(AB$3:AB$5&lt;$LC$3:$LC$5))</f>
        <v>0</v>
      </c>
      <c r="AC12" s="1">
        <f>SUMPRODUCT(NOT(ISBLANK(AC$3:AC$5))*(AC$3:AC$5&lt;$LD$3:$LD$5))</f>
        <v>0</v>
      </c>
      <c r="AD12" s="1">
        <f>SUMPRODUCT(NOT(ISBLANK(AD$3:AD$5))*(AD$3:AD$5&lt;$LE$3:$LE$5))</f>
        <v>0</v>
      </c>
      <c r="AE12" s="1">
        <f>SUMPRODUCT(NOT(ISBLANK(AE$3:AE$5))*(AE$3:AE$5&lt;$LF$3:$LF$5))</f>
        <v>0</v>
      </c>
      <c r="AF12" s="1">
        <f>SUMPRODUCT(NOT(ISBLANK(AF$3:AF$5))*(AF$3:AF$5&lt;$LG$3:$LG$5))</f>
        <v>0</v>
      </c>
      <c r="AG12" s="1">
        <f>SUMPRODUCT(NOT(ISBLANK(AG$3:AG$5))*(AG$3:AG$5&lt;$LH$3:$LH$5))</f>
        <v>0</v>
      </c>
      <c r="AH12" s="1"/>
      <c r="AI12" s="1">
        <f>SUMPRODUCT(NOT(ISBLANK(AI$3:AI$5))*(AI$3:AI$5&lt;$LI$3:$LI$5))</f>
        <v>0</v>
      </c>
      <c r="AJ12" s="1">
        <f>SUMPRODUCT(NOT(ISBLANK(AJ$3:AJ$5))*(AJ$3:AJ$5&lt;$LJ$3:$LJ$5))</f>
        <v>0</v>
      </c>
      <c r="AK12" s="1">
        <f>SUMPRODUCT(NOT(ISBLANK(AK$3:AK$5))*(AK$3:AK$5&lt;$LK$3:$LK$5))</f>
        <v>0</v>
      </c>
      <c r="AL12" s="1">
        <f>SUMPRODUCT(NOT(ISBLANK(AL$3:AL$5))*(AL$3:AL$5&lt;$KU$3:$KU$5))</f>
        <v>0</v>
      </c>
      <c r="AM12" s="1">
        <f>SUMPRODUCT(NOT(ISBLANK(AM$3:AM$5))*(AM$3:AM$5&lt;$KV$3:$KV$5))</f>
        <v>0</v>
      </c>
      <c r="AN12" s="1">
        <f>SUMPRODUCT(NOT(ISBLANK(AN$3:AN$5))*(AN$3:AN$5&lt;$KW$3:$KW$5))</f>
        <v>0</v>
      </c>
      <c r="AO12" s="1">
        <f>SUMPRODUCT(NOT(ISBLANK(AO$3:AO$5))*(AO$3:AO$5&lt;$KX$3:$KX$5))</f>
        <v>0</v>
      </c>
      <c r="AP12" s="1">
        <f>SUMPRODUCT(NOT(ISBLANK(AP$3:AP$5))*(AP$3:AP$5&lt;$KY$3:$KY$5))</f>
        <v>0</v>
      </c>
      <c r="AQ12" s="1">
        <f>SUMPRODUCT(NOT(ISBLANK(AQ$3:AQ$5))*(AQ$3:AQ$5&lt;$KZ$3:$KZ$5))</f>
        <v>0</v>
      </c>
      <c r="AR12" s="1">
        <f>SUMPRODUCT(NOT(ISBLANK(AR$3:AR$5))*(AR$3:AR$5&lt;$LA$3:$LA$5))</f>
        <v>0</v>
      </c>
      <c r="AS12" s="1">
        <f>SUMPRODUCT(NOT(ISBLANK(AS$3:AS$5))*(AS$3:AS$5&lt;$LB$3:$LB$5))</f>
        <v>0</v>
      </c>
      <c r="AT12" s="1">
        <f>SUMPRODUCT(NOT(ISBLANK(AT$3:AT$5))*(AT$3:AT$5&lt;$LC$3:$LC$5))</f>
        <v>0</v>
      </c>
      <c r="AU12" s="1">
        <f>SUMPRODUCT(NOT(ISBLANK(AU$3:AU$5))*(AU$3:AU$5&lt;$LD$3:$LD$5))</f>
        <v>0</v>
      </c>
      <c r="AV12" s="1">
        <f>SUMPRODUCT(NOT(ISBLANK(AV$3:AV$5))*(AV$3:AV$5&lt;$LE$3:$LE$5))</f>
        <v>0</v>
      </c>
      <c r="AW12" s="1">
        <f>SUMPRODUCT(NOT(ISBLANK(AW$3:AW$5))*(AW$3:AW$5&lt;$LF$3:$LF$5))</f>
        <v>0</v>
      </c>
      <c r="AX12" s="1">
        <f>SUMPRODUCT(NOT(ISBLANK(AX$3:AX$5))*(AX$3:AX$5&lt;$LG$3:$LG$5))</f>
        <v>0</v>
      </c>
      <c r="AY12" s="1">
        <f>SUMPRODUCT(NOT(ISBLANK(AY$3:AY$5))*(AY$3:AY$5&lt;$LH$3:$LH$5))</f>
        <v>0</v>
      </c>
      <c r="AZ12" s="1"/>
      <c r="BA12" s="1">
        <f>SUMPRODUCT(NOT(ISBLANK(BA$3:BA$5))*(BA$3:BA$5&lt;$LI$3:$LI$5))</f>
        <v>0</v>
      </c>
      <c r="BB12" s="1">
        <f>SUMPRODUCT(NOT(ISBLANK(BB$3:BB$5))*(BB$3:BB$5&lt;$LJ$3:$LJ$5))</f>
        <v>0</v>
      </c>
      <c r="BC12" s="1">
        <f>SUMPRODUCT(NOT(ISBLANK(BC$3:BC$5))*(BC$3:BC$5&lt;$LK$3:$LK$5))</f>
        <v>0</v>
      </c>
      <c r="BD12" s="1">
        <f>SUMPRODUCT(NOT(ISBLANK(BD$3:BD$5))*(BD$3:BD$5&lt;$KU$3:$KU$5))</f>
        <v>0</v>
      </c>
      <c r="BE12" s="1">
        <f>SUMPRODUCT(NOT(ISBLANK(BE$3:BE$5))*(BE$3:BE$5&lt;$KV$3:$KV$5))</f>
        <v>0</v>
      </c>
      <c r="BF12" s="1">
        <f>SUMPRODUCT(NOT(ISBLANK(BF$3:BF$5))*(BF$3:BF$5&lt;$KW$3:$KW$5))</f>
        <v>0</v>
      </c>
      <c r="BG12" s="1">
        <f>SUMPRODUCT(NOT(ISBLANK(BG$3:BG$5))*(BG$3:BG$5&lt;$KX$3:$KX$5))</f>
        <v>0</v>
      </c>
      <c r="BH12" s="1">
        <f>SUMPRODUCT(NOT(ISBLANK(BH$3:BH$5))*(BH$3:BH$5&lt;$KY$3:$KY$5))</f>
        <v>0</v>
      </c>
      <c r="BI12" s="1">
        <f>SUMPRODUCT(NOT(ISBLANK(BI$3:BI$5))*(BI$3:BI$5&lt;$KZ$3:$KZ$5))</f>
        <v>0</v>
      </c>
      <c r="BJ12" s="1">
        <f>SUMPRODUCT(NOT(ISBLANK(BJ$3:BJ$5))*(BJ$3:BJ$5&lt;$LA$3:$LA$5))</f>
        <v>0</v>
      </c>
      <c r="BK12" s="1">
        <f>SUMPRODUCT(NOT(ISBLANK(BK$3:BK$5))*(BK$3:BK$5&lt;$LB$3:$LB$5))</f>
        <v>0</v>
      </c>
      <c r="BL12" s="1">
        <f>SUMPRODUCT(NOT(ISBLANK(BL$3:BL$5))*(BL$3:BL$5&lt;$LC$3:$LC$5))</f>
        <v>0</v>
      </c>
      <c r="BM12" s="1">
        <f>SUMPRODUCT(NOT(ISBLANK(BM$3:BM$5))*(BM$3:BM$5&lt;$LD$3:$LD$5))</f>
        <v>0</v>
      </c>
      <c r="BN12" s="1">
        <f>SUMPRODUCT(NOT(ISBLANK(BN$3:BN$5))*(BN$3:BN$5&lt;$LE$3:$LE$5))</f>
        <v>0</v>
      </c>
      <c r="BO12" s="1">
        <f>SUMPRODUCT(NOT(ISBLANK(BO$3:BO$5))*(BO$3:BO$5&lt;$LF$3:$LF$5))</f>
        <v>0</v>
      </c>
      <c r="BP12" s="1">
        <f>SUMPRODUCT(NOT(ISBLANK(BP$3:BP$5))*(BP$3:BP$5&lt;$LG$3:$LG$5))</f>
        <v>0</v>
      </c>
      <c r="BQ12" s="1">
        <f>SUMPRODUCT(NOT(ISBLANK(BQ$3:BQ$5))*(BQ$3:BQ$5&lt;$LH$3:$LH$5))</f>
        <v>0</v>
      </c>
      <c r="BR12" s="1"/>
      <c r="BS12" s="1">
        <f>SUMPRODUCT(NOT(ISBLANK(BS$3:BS$5))*(BS$3:BS$5&lt;$LI$3:$LI$5))</f>
        <v>0</v>
      </c>
      <c r="BT12" s="1">
        <f>SUMPRODUCT(NOT(ISBLANK(BT$3:BT$5))*(BT$3:BT$5&lt;$LJ$3:$LJ$5))</f>
        <v>0</v>
      </c>
      <c r="BU12" s="1">
        <f>SUMPRODUCT(NOT(ISBLANK(BU$3:BU$5))*(BU$3:BU$5&lt;$LK$3:$LK$5))</f>
        <v>0</v>
      </c>
      <c r="BV12" s="1">
        <f>SUMPRODUCT(NOT(ISBLANK(BV$3:BV$5))*(BV$3:BV$5&lt;$KU$3:$KU$5))</f>
        <v>0</v>
      </c>
      <c r="BW12" s="1">
        <f>SUMPRODUCT(NOT(ISBLANK(BW$3:BW$5))*(BW$3:BW$5&lt;$KV$3:$KV$5))</f>
        <v>0</v>
      </c>
      <c r="BX12" s="1">
        <f>SUMPRODUCT(NOT(ISBLANK(BX$3:BX$5))*(BX$3:BX$5&lt;$KW$3:$KW$5))</f>
        <v>0</v>
      </c>
      <c r="BY12" s="1">
        <f>SUMPRODUCT(NOT(ISBLANK(BY$3:BY$5))*(BY$3:BY$5&lt;$KX$3:$KX$5))</f>
        <v>0</v>
      </c>
      <c r="BZ12" s="1">
        <f>SUMPRODUCT(NOT(ISBLANK(BZ$3:BZ$5))*(BZ$3:BZ$5&lt;$KY$3:$KY$5))</f>
        <v>0</v>
      </c>
      <c r="CA12" s="1">
        <f>SUMPRODUCT(NOT(ISBLANK(CA$3:CA$5))*(CA$3:CA$5&lt;$KZ$3:$KZ$5))</f>
        <v>0</v>
      </c>
      <c r="CB12" s="1">
        <f>SUMPRODUCT(NOT(ISBLANK(CB$3:CB$5))*(CB$3:CB$5&lt;$LA$3:$LA$5))</f>
        <v>0</v>
      </c>
      <c r="CC12" s="1">
        <f>SUMPRODUCT(NOT(ISBLANK(CC$3:CC$5))*(CC$3:CC$5&lt;$LB$3:$LB$5))</f>
        <v>0</v>
      </c>
      <c r="CD12" s="1">
        <f>SUMPRODUCT(NOT(ISBLANK(CD$3:CD$5))*(CD$3:CD$5&lt;$LC$3:$LC$5))</f>
        <v>0</v>
      </c>
      <c r="CE12" s="1">
        <f>SUMPRODUCT(NOT(ISBLANK(CE$3:CE$5))*(CE$3:CE$5&lt;$LD$3:$LD$5))</f>
        <v>0</v>
      </c>
      <c r="CF12" s="1">
        <f>SUMPRODUCT(NOT(ISBLANK(CF$3:CF$5))*(CF$3:CF$5&lt;$LE$3:$LE$5))</f>
        <v>0</v>
      </c>
      <c r="CG12" s="1">
        <f>SUMPRODUCT(NOT(ISBLANK(CG$3:CG$5))*(CG$3:CG$5&lt;$LF$3:$LF$5))</f>
        <v>0</v>
      </c>
      <c r="CH12" s="1">
        <f>SUMPRODUCT(NOT(ISBLANK(CH$3:CH$5))*(CH$3:CH$5&lt;$LG$3:$LG$5))</f>
        <v>0</v>
      </c>
      <c r="CI12" s="1">
        <f>SUMPRODUCT(NOT(ISBLANK(CI$3:CI$5))*(CI$3:CI$5&lt;$LH$3:$LH$5))</f>
        <v>0</v>
      </c>
      <c r="CJ12" s="1"/>
      <c r="CK12" s="1">
        <f>SUMPRODUCT(NOT(ISBLANK(CK$3:CK$5))*(CK$3:CK$5&lt;$LI$3:$LI$5))</f>
        <v>0</v>
      </c>
      <c r="CL12" s="1">
        <f>SUMPRODUCT(NOT(ISBLANK(CL$3:CL$5))*(CL$3:CL$5&lt;$LJ$3:$LJ$5))</f>
        <v>0</v>
      </c>
      <c r="CM12" s="1">
        <f>SUMPRODUCT(NOT(ISBLANK(CM$3:CM$5))*(CM$3:CM$5&lt;$LK$3:$LK$5))</f>
        <v>0</v>
      </c>
      <c r="CN12" s="1">
        <f>SUMPRODUCT(NOT(ISBLANK(CN$3:CN$5))*(CN$3:CN$5&lt;$KU$3:$KU$5))</f>
        <v>0</v>
      </c>
      <c r="CO12" s="1">
        <f>SUMPRODUCT(NOT(ISBLANK(CO$3:CO$5))*(CO$3:CO$5&lt;$KV$3:$KV$5))</f>
        <v>0</v>
      </c>
      <c r="CP12" s="1">
        <f>SUMPRODUCT(NOT(ISBLANK(CP$3:CP$5))*(CP$3:CP$5&lt;$KW$3:$KW$5))</f>
        <v>0</v>
      </c>
      <c r="CQ12" s="1">
        <f>SUMPRODUCT(NOT(ISBLANK(CQ$3:CQ$5))*(CQ$3:CQ$5&lt;$KX$3:$KX$5))</f>
        <v>0</v>
      </c>
      <c r="CR12" s="1">
        <f>SUMPRODUCT(NOT(ISBLANK(CR$3:CR$5))*(CR$3:CR$5&lt;$KY$3:$KY$5))</f>
        <v>0</v>
      </c>
      <c r="CS12" s="1">
        <f>SUMPRODUCT(NOT(ISBLANK(CS$3:CS$5))*(CS$3:CS$5&lt;$KZ$3:$KZ$5))</f>
        <v>0</v>
      </c>
      <c r="CT12" s="1">
        <f>SUMPRODUCT(NOT(ISBLANK(CT$3:CT$5))*(CT$3:CT$5&lt;$LA$3:$LA$5))</f>
        <v>0</v>
      </c>
      <c r="CU12" s="1">
        <f>SUMPRODUCT(NOT(ISBLANK(CU$3:CU$5))*(CU$3:CU$5&lt;$LB$3:$LB$5))</f>
        <v>0</v>
      </c>
      <c r="CV12" s="1">
        <f>SUMPRODUCT(NOT(ISBLANK(CV$3:CV$5))*(CV$3:CV$5&lt;$LC$3:$LC$5))</f>
        <v>0</v>
      </c>
      <c r="CW12" s="1">
        <f>SUMPRODUCT(NOT(ISBLANK(CW$3:CW$5))*(CW$3:CW$5&lt;$LD$3:$LD$5))</f>
        <v>0</v>
      </c>
      <c r="CX12" s="1">
        <f>SUMPRODUCT(NOT(ISBLANK(CX$3:CX$5))*(CX$3:CX$5&lt;$LE$3:$LE$5))</f>
        <v>0</v>
      </c>
      <c r="CY12" s="1">
        <f>SUMPRODUCT(NOT(ISBLANK(CY$3:CY$5))*(CY$3:CY$5&lt;$LF$3:$LF$5))</f>
        <v>0</v>
      </c>
      <c r="CZ12" s="1">
        <f>SUMPRODUCT(NOT(ISBLANK(CZ$3:CZ$5))*(CZ$3:CZ$5&lt;$LG$3:$LG$5))</f>
        <v>0</v>
      </c>
      <c r="DA12" s="1">
        <f>SUMPRODUCT(NOT(ISBLANK(DA$3:DA$5))*(DA$3:DA$5&lt;$LH$3:$LH$5))</f>
        <v>0</v>
      </c>
      <c r="DB12" s="1"/>
      <c r="DC12" s="1">
        <f>SUMPRODUCT(NOT(ISBLANK(DC$3:DC$5))*(DC$3:DC$5&lt;$LI$3:$LI$5))</f>
        <v>0</v>
      </c>
      <c r="DD12" s="1">
        <f>SUMPRODUCT(NOT(ISBLANK(DD$3:DD$5))*(DD$3:DD$5&lt;$LJ$3:$LJ$5))</f>
        <v>0</v>
      </c>
      <c r="DE12" s="1">
        <f>SUMPRODUCT(NOT(ISBLANK(DE$3:DE$5))*(DE$3:DE$5&lt;$LK$3:$LK$5))</f>
        <v>0</v>
      </c>
      <c r="DF12" s="1">
        <f>SUMPRODUCT(NOT(ISBLANK(DF$3:DF$5))*(DF$3:DF$5&lt;$KU$3:$KU$5))</f>
        <v>0</v>
      </c>
      <c r="DG12" s="1">
        <f>SUMPRODUCT(NOT(ISBLANK(DG$3:DG$5))*(DG$3:DG$5&lt;$KV$3:$KV$5))</f>
        <v>0</v>
      </c>
      <c r="DH12" s="1">
        <f>SUMPRODUCT(NOT(ISBLANK(DH$3:DH$5))*(DH$3:DH$5&lt;$KW$3:$KW$5))</f>
        <v>0</v>
      </c>
      <c r="DI12" s="1">
        <f>SUMPRODUCT(NOT(ISBLANK(DI$3:DI$5))*(DI$3:DI$5&lt;$KX$3:$KX$5))</f>
        <v>0</v>
      </c>
      <c r="DJ12" s="1">
        <f>SUMPRODUCT(NOT(ISBLANK(DJ$3:DJ$5))*(DJ$3:DJ$5&lt;$KY$3:$KY$5))</f>
        <v>0</v>
      </c>
      <c r="DK12" s="1">
        <f>SUMPRODUCT(NOT(ISBLANK(DK$3:DK$5))*(DK$3:DK$5&lt;$KZ$3:$KZ$5))</f>
        <v>0</v>
      </c>
      <c r="DL12" s="1">
        <f>SUMPRODUCT(NOT(ISBLANK(DL$3:DL$5))*(DL$3:DL$5&lt;$LA$3:$LA$5))</f>
        <v>0</v>
      </c>
      <c r="DM12" s="1">
        <f>SUMPRODUCT(NOT(ISBLANK(DM$3:DM$5))*(DM$3:DM$5&lt;$LB$3:$LB$5))</f>
        <v>0</v>
      </c>
      <c r="DN12" s="1">
        <f>SUMPRODUCT(NOT(ISBLANK(DN$3:DN$5))*(DN$3:DN$5&lt;$LC$3:$LC$5))</f>
        <v>0</v>
      </c>
      <c r="DO12" s="1">
        <f>SUMPRODUCT(NOT(ISBLANK(DO$3:DO$5))*(DO$3:DO$5&lt;$LD$3:$LD$5))</f>
        <v>0</v>
      </c>
      <c r="DP12" s="1">
        <f>SUMPRODUCT(NOT(ISBLANK(DP$3:DP$5))*(DP$3:DP$5&lt;$LE$3:$LE$5))</f>
        <v>0</v>
      </c>
      <c r="DQ12" s="1">
        <f>SUMPRODUCT(NOT(ISBLANK(DQ$3:DQ$5))*(DQ$3:DQ$5&lt;$LF$3:$LF$5))</f>
        <v>0</v>
      </c>
      <c r="DR12" s="1">
        <f>SUMPRODUCT(NOT(ISBLANK(DR$3:DR$5))*(DR$3:DR$5&lt;$LG$3:$LG$5))</f>
        <v>0</v>
      </c>
      <c r="DS12" s="1">
        <f>SUMPRODUCT(NOT(ISBLANK(DS$3:DS$5))*(DS$3:DS$5&lt;$LH$3:$LH$5))</f>
        <v>0</v>
      </c>
      <c r="DT12" s="1"/>
      <c r="DU12" s="1">
        <f>SUMPRODUCT(NOT(ISBLANK(DU$3:DU$5))*(DU$3:DU$5&lt;$LI$3:$LI$5))</f>
        <v>0</v>
      </c>
      <c r="DV12" s="1">
        <f>SUMPRODUCT(NOT(ISBLANK(DV$3:DV$5))*(DV$3:DV$5&lt;$LJ$3:$LJ$5))</f>
        <v>0</v>
      </c>
      <c r="DW12" s="1">
        <f>SUMPRODUCT(NOT(ISBLANK(DW$3:DW$5))*(DW$3:DW$5&lt;$LK$3:$LK$5))</f>
        <v>0</v>
      </c>
      <c r="DX12" s="1">
        <f>SUMPRODUCT(NOT(ISBLANK(DX$3:DX$5))*(DX$3:DX$5&lt;$KU$3:$KU$5))</f>
        <v>0</v>
      </c>
      <c r="DY12" s="1">
        <f>SUMPRODUCT(NOT(ISBLANK(DY$3:DY$5))*(DY$3:DY$5&lt;$KV$3:$KV$5))</f>
        <v>0</v>
      </c>
      <c r="DZ12" s="1">
        <f>SUMPRODUCT(NOT(ISBLANK(DZ$3:DZ$5))*(DZ$3:DZ$5&lt;$KW$3:$KW$5))</f>
        <v>0</v>
      </c>
      <c r="EA12" s="1">
        <f>SUMPRODUCT(NOT(ISBLANK(EA$3:EA$5))*(EA$3:EA$5&lt;$KX$3:$KX$5))</f>
        <v>0</v>
      </c>
      <c r="EB12" s="1">
        <f>SUMPRODUCT(NOT(ISBLANK(EB$3:EB$5))*(EB$3:EB$5&lt;$KY$3:$KY$5))</f>
        <v>0</v>
      </c>
      <c r="EC12" s="1">
        <f>SUMPRODUCT(NOT(ISBLANK(EC$3:EC$5))*(EC$3:EC$5&lt;$KZ$3:$KZ$5))</f>
        <v>0</v>
      </c>
      <c r="ED12" s="1">
        <f>SUMPRODUCT(NOT(ISBLANK(ED$3:ED$5))*(ED$3:ED$5&lt;$LA$3:$LA$5))</f>
        <v>0</v>
      </c>
      <c r="EE12" s="1">
        <f>SUMPRODUCT(NOT(ISBLANK(EE$3:EE$5))*(EE$3:EE$5&lt;$LB$3:$LB$5))</f>
        <v>0</v>
      </c>
      <c r="EF12" s="1">
        <f>SUMPRODUCT(NOT(ISBLANK(EF$3:EF$5))*(EF$3:EF$5&lt;$LC$3:$LC$5))</f>
        <v>0</v>
      </c>
      <c r="EG12" s="1">
        <f>SUMPRODUCT(NOT(ISBLANK(EG$3:EG$5))*(EG$3:EG$5&lt;$LD$3:$LD$5))</f>
        <v>0</v>
      </c>
      <c r="EH12" s="1">
        <f>SUMPRODUCT(NOT(ISBLANK(EH$3:EH$5))*(EH$3:EH$5&lt;$LE$3:$LE$5))</f>
        <v>0</v>
      </c>
      <c r="EI12" s="1">
        <f>SUMPRODUCT(NOT(ISBLANK(EI$3:EI$5))*(EI$3:EI$5&lt;$LF$3:$LF$5))</f>
        <v>0</v>
      </c>
      <c r="EJ12" s="1">
        <f>SUMPRODUCT(NOT(ISBLANK(EJ$3:EJ$5))*(EJ$3:EJ$5&lt;$LG$3:$LG$5))</f>
        <v>0</v>
      </c>
      <c r="EK12" s="1">
        <f>SUMPRODUCT(NOT(ISBLANK(EK$3:EK$5))*(EK$3:EK$5&lt;$LH$3:$LH$5))</f>
        <v>0</v>
      </c>
      <c r="EL12" s="1"/>
      <c r="EM12" s="1">
        <f>SUMPRODUCT(NOT(ISBLANK(EM$3:EM$5))*(EM$3:EM$5&lt;$LI$3:$LI$5))</f>
        <v>0</v>
      </c>
      <c r="EN12" s="1">
        <f>SUMPRODUCT(NOT(ISBLANK(EN$3:EN$5))*(EN$3:EN$5&lt;$LJ$3:$LJ$5))</f>
        <v>0</v>
      </c>
      <c r="EO12" s="1">
        <f>SUMPRODUCT(NOT(ISBLANK(EO$3:EO$5))*(EO$3:EO$5&lt;$LK$3:$LK$5))</f>
        <v>0</v>
      </c>
      <c r="EP12" s="1">
        <f>SUMPRODUCT(NOT(ISBLANK(EP$3:EP$5))*(EP$3:EP$5&lt;$KU$3:$KU$5))</f>
        <v>0</v>
      </c>
      <c r="EQ12" s="1">
        <f>SUMPRODUCT(NOT(ISBLANK(EQ$3:EQ$5))*(EQ$3:EQ$5&lt;$KV$3:$KV$5))</f>
        <v>0</v>
      </c>
      <c r="ER12" s="1">
        <f>SUMPRODUCT(NOT(ISBLANK(ER$3:ER$5))*(ER$3:ER$5&lt;$KW$3:$KW$5))</f>
        <v>0</v>
      </c>
      <c r="ES12" s="1">
        <f>SUMPRODUCT(NOT(ISBLANK(ES$3:ES$5))*(ES$3:ES$5&lt;$KX$3:$KX$5))</f>
        <v>0</v>
      </c>
      <c r="ET12" s="1">
        <f>SUMPRODUCT(NOT(ISBLANK(ET$3:ET$5))*(ET$3:ET$5&lt;$KY$3:$KY$5))</f>
        <v>0</v>
      </c>
      <c r="EU12" s="1">
        <f>SUMPRODUCT(NOT(ISBLANK(EU$3:EU$5))*(EU$3:EU$5&lt;$KZ$3:$KZ$5))</f>
        <v>0</v>
      </c>
      <c r="EV12" s="1">
        <f>SUMPRODUCT(NOT(ISBLANK(EV$3:EV$5))*(EV$3:EV$5&lt;$LA$3:$LA$5))</f>
        <v>0</v>
      </c>
      <c r="EW12" s="1">
        <f>SUMPRODUCT(NOT(ISBLANK(EW$3:EW$5))*(EW$3:EW$5&lt;$LB$3:$LB$5))</f>
        <v>0</v>
      </c>
      <c r="EX12" s="1">
        <f>SUMPRODUCT(NOT(ISBLANK(EX$3:EX$5))*(EX$3:EX$5&lt;$LC$3:$LC$5))</f>
        <v>0</v>
      </c>
      <c r="EY12" s="1">
        <f>SUMPRODUCT(NOT(ISBLANK(EY$3:EY$5))*(EY$3:EY$5&lt;$LD$3:$LD$5))</f>
        <v>0</v>
      </c>
      <c r="EZ12" s="1">
        <f>SUMPRODUCT(NOT(ISBLANK(EZ$3:EZ$5))*(EZ$3:EZ$5&lt;$LE$3:$LE$5))</f>
        <v>0</v>
      </c>
      <c r="FA12" s="1">
        <f>SUMPRODUCT(NOT(ISBLANK(FA$3:FA$5))*(FA$3:FA$5&lt;$LF$3:$LF$5))</f>
        <v>0</v>
      </c>
      <c r="FB12" s="1">
        <f>SUMPRODUCT(NOT(ISBLANK(FB$3:FB$5))*(FB$3:FB$5&lt;$LG$3:$LG$5))</f>
        <v>0</v>
      </c>
      <c r="FC12" s="1">
        <f>SUMPRODUCT(NOT(ISBLANK(FC$3:FC$5))*(FC$3:FC$5&lt;$LH$3:$LH$5))</f>
        <v>0</v>
      </c>
      <c r="FD12" s="1"/>
      <c r="FE12" s="1">
        <f>SUMPRODUCT(NOT(ISBLANK(FE$3:FE$5))*(FE$3:FE$5&lt;$LI$3:$LI$5))</f>
        <v>0</v>
      </c>
      <c r="FF12" s="1">
        <f>SUMPRODUCT(NOT(ISBLANK(FF$3:FF$5))*(FF$3:FF$5&lt;$LJ$3:$LJ$5))</f>
        <v>0</v>
      </c>
      <c r="FG12" s="1">
        <f>SUMPRODUCT(NOT(ISBLANK(FG$3:FG$5))*(FG$3:FG$5&lt;$LK$3:$LK$5))</f>
        <v>0</v>
      </c>
      <c r="FH12" s="1">
        <f>SUMPRODUCT(NOT(ISBLANK(FH$3:FH$5))*(FH$3:FH$5&lt;$KU$3:$KU$5))</f>
        <v>0</v>
      </c>
      <c r="FI12" s="1">
        <f>SUMPRODUCT(NOT(ISBLANK(FI$3:FI$5))*(FI$3:FI$5&lt;$KV$3:$KV$5))</f>
        <v>0</v>
      </c>
      <c r="FJ12" s="1">
        <f>SUMPRODUCT(NOT(ISBLANK(FJ$3:FJ$5))*(FJ$3:FJ$5&lt;$KW$3:$KW$5))</f>
        <v>0</v>
      </c>
      <c r="FK12" s="1">
        <f>SUMPRODUCT(NOT(ISBLANK(FK$3:FK$5))*(FK$3:FK$5&lt;$KX$3:$KX$5))</f>
        <v>0</v>
      </c>
      <c r="FL12" s="1">
        <f>SUMPRODUCT(NOT(ISBLANK(FL$3:FL$5))*(FL$3:FL$5&lt;$KY$3:$KY$5))</f>
        <v>0</v>
      </c>
      <c r="FM12" s="1">
        <f>SUMPRODUCT(NOT(ISBLANK(FM$3:FM$5))*(FM$3:FM$5&lt;$KZ$3:$KZ$5))</f>
        <v>0</v>
      </c>
      <c r="FN12" s="1">
        <f>SUMPRODUCT(NOT(ISBLANK(FN$3:FN$5))*(FN$3:FN$5&lt;$LA$3:$LA$5))</f>
        <v>0</v>
      </c>
      <c r="FO12" s="1">
        <f>SUMPRODUCT(NOT(ISBLANK(FO$3:FO$5))*(FO$3:FO$5&lt;$LB$3:$LB$5))</f>
        <v>0</v>
      </c>
      <c r="FP12" s="1">
        <f>SUMPRODUCT(NOT(ISBLANK(FP$3:FP$5))*(FP$3:FP$5&lt;$LC$3:$LC$5))</f>
        <v>0</v>
      </c>
      <c r="FQ12" s="1">
        <f>SUMPRODUCT(NOT(ISBLANK(FQ$3:FQ$5))*(FQ$3:FQ$5&lt;$LD$3:$LD$5))</f>
        <v>0</v>
      </c>
      <c r="FR12" s="1">
        <f>SUMPRODUCT(NOT(ISBLANK(FR$3:FR$5))*(FR$3:FR$5&lt;$LE$3:$LE$5))</f>
        <v>0</v>
      </c>
      <c r="FS12" s="1">
        <f>SUMPRODUCT(NOT(ISBLANK(FS$3:FS$5))*(FS$3:FS$5&lt;$LF$3:$LF$5))</f>
        <v>0</v>
      </c>
      <c r="FT12" s="1">
        <f>SUMPRODUCT(NOT(ISBLANK(FT$3:FT$5))*(FT$3:FT$5&lt;$LG$3:$LG$5))</f>
        <v>0</v>
      </c>
      <c r="FU12" s="1">
        <f>SUMPRODUCT(NOT(ISBLANK(FU$3:FU$5))*(FU$3:FU$5&lt;$LH$3:$LH$5))</f>
        <v>0</v>
      </c>
      <c r="FV12" s="1"/>
      <c r="FW12" s="1">
        <f>SUMPRODUCT(NOT(ISBLANK(FW$3:FW$5))*(FW$3:FW$5&lt;$LI$3:$LI$5))</f>
        <v>0</v>
      </c>
      <c r="FX12" s="1">
        <f>SUMPRODUCT(NOT(ISBLANK(FX$3:FX$5))*(FX$3:FX$5&lt;$LJ$3:$LJ$5))</f>
        <v>0</v>
      </c>
      <c r="FY12" s="1">
        <f>SUMPRODUCT(NOT(ISBLANK(FY$3:FY$5))*(FY$3:FY$5&lt;$LK$3:$LK$5))</f>
        <v>0</v>
      </c>
      <c r="FZ12" s="1">
        <f>SUMPRODUCT(NOT(ISBLANK(FZ$3:FZ$5))*(FZ$3:FZ$5&lt;$KU$3:$KU$5))</f>
        <v>0</v>
      </c>
      <c r="GA12" s="1">
        <f>SUMPRODUCT(NOT(ISBLANK(GA$3:GA$5))*(GA$3:GA$5&lt;$KV$3:$KV$5))</f>
        <v>0</v>
      </c>
      <c r="GB12" s="1">
        <f>SUMPRODUCT(NOT(ISBLANK(GB$3:GB$5))*(GB$3:GB$5&lt;$KW$3:$KW$5))</f>
        <v>0</v>
      </c>
      <c r="GC12" s="1">
        <f>SUMPRODUCT(NOT(ISBLANK(GC$3:GC$5))*(GC$3:GC$5&lt;$KX$3:$KX$5))</f>
        <v>0</v>
      </c>
      <c r="GD12" s="1">
        <f>SUMPRODUCT(NOT(ISBLANK(GD$3:GD$5))*(GD$3:GD$5&lt;$KY$3:$KY$5))</f>
        <v>0</v>
      </c>
      <c r="GE12" s="1">
        <f>SUMPRODUCT(NOT(ISBLANK(GE$3:GE$5))*(GE$3:GE$5&lt;$KZ$3:$KZ$5))</f>
        <v>0</v>
      </c>
      <c r="GF12" s="1">
        <f>SUMPRODUCT(NOT(ISBLANK(GF$3:GF$5))*(GF$3:GF$5&lt;$LA$3:$LA$5))</f>
        <v>0</v>
      </c>
      <c r="GG12" s="1">
        <f>SUMPRODUCT(NOT(ISBLANK(GG$3:GG$5))*(GG$3:GG$5&lt;$LB$3:$LB$5))</f>
        <v>0</v>
      </c>
      <c r="GH12" s="1">
        <f>SUMPRODUCT(NOT(ISBLANK(GH$3:GH$5))*(GH$3:GH$5&lt;$LC$3:$LC$5))</f>
        <v>0</v>
      </c>
      <c r="GI12" s="1">
        <f>SUMPRODUCT(NOT(ISBLANK(GI$3:GI$5))*(GI$3:GI$5&lt;$LD$3:$LD$5))</f>
        <v>0</v>
      </c>
      <c r="GJ12" s="1">
        <f>SUMPRODUCT(NOT(ISBLANK(GJ$3:GJ$5))*(GJ$3:GJ$5&lt;$LE$3:$LE$5))</f>
        <v>0</v>
      </c>
      <c r="GK12" s="1">
        <f>SUMPRODUCT(NOT(ISBLANK(GK$3:GK$5))*(GK$3:GK$5&lt;$LF$3:$LF$5))</f>
        <v>0</v>
      </c>
      <c r="GL12" s="1">
        <f>SUMPRODUCT(NOT(ISBLANK(GL$3:GL$5))*(GL$3:GL$5&lt;$LG$3:$LG$5))</f>
        <v>0</v>
      </c>
      <c r="GM12" s="1">
        <f>SUMPRODUCT(NOT(ISBLANK(GM$3:GM$5))*(GM$3:GM$5&lt;$LH$3:$LH$5))</f>
        <v>0</v>
      </c>
      <c r="GN12" s="1"/>
      <c r="GO12" s="1">
        <f>SUMPRODUCT(NOT(ISBLANK(GO$3:GO$5))*(GO$3:GO$5&lt;$LI$3:$LI$5))</f>
        <v>0</v>
      </c>
      <c r="GP12" s="1">
        <f>SUMPRODUCT(NOT(ISBLANK(GP$3:GP$5))*(GP$3:GP$5&lt;$LJ$3:$LJ$5))</f>
        <v>0</v>
      </c>
      <c r="GQ12" s="1">
        <f>SUMPRODUCT(NOT(ISBLANK(GQ$3:GQ$5))*(GQ$3:GQ$5&lt;$LK$3:$LK$5))</f>
        <v>0</v>
      </c>
      <c r="GR12" s="1">
        <f>SUMPRODUCT(NOT(ISBLANK(GR$3:GR$5))*(GR$3:GR$5&lt;$KU$3:$KU$5))</f>
        <v>0</v>
      </c>
      <c r="GS12" s="1">
        <f>SUMPRODUCT(NOT(ISBLANK(GS$3:GS$5))*(GS$3:GS$5&lt;$KV$3:$KV$5))</f>
        <v>0</v>
      </c>
      <c r="GT12" s="1">
        <f>SUMPRODUCT(NOT(ISBLANK(GT$3:GT$5))*(GT$3:GT$5&lt;$KW$3:$KW$5))</f>
        <v>0</v>
      </c>
      <c r="GU12" s="1">
        <f>SUMPRODUCT(NOT(ISBLANK(GU$3:GU$5))*(GU$3:GU$5&lt;$KX$3:$KX$5))</f>
        <v>0</v>
      </c>
      <c r="GV12" s="1">
        <f>SUMPRODUCT(NOT(ISBLANK(GV$3:GV$5))*(GV$3:GV$5&lt;$KY$3:$KY$5))</f>
        <v>0</v>
      </c>
      <c r="GW12" s="1">
        <f>SUMPRODUCT(NOT(ISBLANK(GW$3:GW$5))*(GW$3:GW$5&lt;$KZ$3:$KZ$5))</f>
        <v>0</v>
      </c>
      <c r="GX12" s="1">
        <f>SUMPRODUCT(NOT(ISBLANK(GX$3:GX$5))*(GX$3:GX$5&lt;$LA$3:$LA$5))</f>
        <v>0</v>
      </c>
      <c r="GY12" s="1">
        <f>SUMPRODUCT(NOT(ISBLANK(GY$3:GY$5))*(GY$3:GY$5&lt;$LB$3:$LB$5))</f>
        <v>0</v>
      </c>
      <c r="GZ12" s="1">
        <f>SUMPRODUCT(NOT(ISBLANK(GZ$3:GZ$5))*(GZ$3:GZ$5&lt;$LC$3:$LC$5))</f>
        <v>0</v>
      </c>
      <c r="HA12" s="1">
        <f>SUMPRODUCT(NOT(ISBLANK(HA$3:HA$5))*(HA$3:HA$5&lt;$LD$3:$LD$5))</f>
        <v>0</v>
      </c>
      <c r="HB12" s="1">
        <f>SUMPRODUCT(NOT(ISBLANK(HB$3:HB$5))*(HB$3:HB$5&lt;$LE$3:$LE$5))</f>
        <v>0</v>
      </c>
      <c r="HC12" s="1">
        <f>SUMPRODUCT(NOT(ISBLANK(HC$3:HC$5))*(HC$3:HC$5&lt;$LF$3:$LF$5))</f>
        <v>0</v>
      </c>
      <c r="HD12" s="1">
        <f>SUMPRODUCT(NOT(ISBLANK(HD$3:HD$5))*(HD$3:HD$5&lt;$LG$3:$LG$5))</f>
        <v>0</v>
      </c>
      <c r="HE12" s="1">
        <f>SUMPRODUCT(NOT(ISBLANK(HE$3:HE$5))*(HE$3:HE$5&lt;$LH$3:$LH$5))</f>
        <v>0</v>
      </c>
      <c r="HF12" s="1"/>
      <c r="HG12" s="1">
        <f>SUMPRODUCT(NOT(ISBLANK(HG$3:HG$5))*(HG$3:HG$5&lt;$LI$3:$LI$5))</f>
        <v>0</v>
      </c>
      <c r="HH12" s="1">
        <f>SUMPRODUCT(NOT(ISBLANK(HH$3:HH$5))*(HH$3:HH$5&lt;$LJ$3:$LJ$5))</f>
        <v>0</v>
      </c>
      <c r="HI12" s="1">
        <f>SUMPRODUCT(NOT(ISBLANK(HI$3:HI$5))*(HI$3:HI$5&lt;$LK$3:$LK$5))</f>
        <v>0</v>
      </c>
      <c r="HJ12" s="1">
        <f>SUMPRODUCT(NOT(ISBLANK(HJ$3:HJ$5))*(HJ$3:HJ$5&lt;$KU$3:$KU$5))</f>
        <v>0</v>
      </c>
      <c r="HK12" s="1">
        <f>SUMPRODUCT(NOT(ISBLANK(HK$3:HK$5))*(HK$3:HK$5&lt;$KV$3:$KV$5))</f>
        <v>0</v>
      </c>
      <c r="HL12" s="1">
        <f>SUMPRODUCT(NOT(ISBLANK(HL$3:HL$5))*(HL$3:HL$5&lt;$KW$3:$KW$5))</f>
        <v>0</v>
      </c>
      <c r="HM12" s="1">
        <f>SUMPRODUCT(NOT(ISBLANK(HM$3:HM$5))*(HM$3:HM$5&lt;$KX$3:$KX$5))</f>
        <v>0</v>
      </c>
      <c r="HN12" s="1">
        <f>SUMPRODUCT(NOT(ISBLANK(HN$3:HN$5))*(HN$3:HN$5&lt;$KY$3:$KY$5))</f>
        <v>0</v>
      </c>
      <c r="HO12" s="1">
        <f>SUMPRODUCT(NOT(ISBLANK(HO$3:HO$5))*(HO$3:HO$5&lt;$KZ$3:$KZ$5))</f>
        <v>0</v>
      </c>
      <c r="HP12" s="1">
        <f>SUMPRODUCT(NOT(ISBLANK(HP$3:HP$5))*(HP$3:HP$5&lt;$LA$3:$LA$5))</f>
        <v>0</v>
      </c>
      <c r="HQ12" s="1">
        <f>SUMPRODUCT(NOT(ISBLANK(HQ$3:HQ$5))*(HQ$3:HQ$5&lt;$LB$3:$LB$5))</f>
        <v>0</v>
      </c>
      <c r="HR12" s="1">
        <f>SUMPRODUCT(NOT(ISBLANK(HR$3:HR$5))*(HR$3:HR$5&lt;$LC$3:$LC$5))</f>
        <v>0</v>
      </c>
      <c r="HS12" s="1">
        <f>SUMPRODUCT(NOT(ISBLANK(HS$3:HS$5))*(HS$3:HS$5&lt;$LD$3:$LD$5))</f>
        <v>0</v>
      </c>
      <c r="HT12" s="1">
        <f>SUMPRODUCT(NOT(ISBLANK(HT$3:HT$5))*(HT$3:HT$5&lt;$LE$3:$LE$5))</f>
        <v>0</v>
      </c>
      <c r="HU12" s="1">
        <f>SUMPRODUCT(NOT(ISBLANK(HU$3:HU$5))*(HU$3:HU$5&lt;$LF$3:$LF$5))</f>
        <v>0</v>
      </c>
      <c r="HV12" s="1">
        <f>SUMPRODUCT(NOT(ISBLANK(HV$3:HV$5))*(HV$3:HV$5&lt;$LG$3:$LG$5))</f>
        <v>0</v>
      </c>
      <c r="HW12" s="1">
        <f>SUMPRODUCT(NOT(ISBLANK(HW$3:HW$5))*(HW$3:HW$5&lt;$LH$3:$LH$5))</f>
        <v>0</v>
      </c>
      <c r="HX12" s="1"/>
      <c r="HY12" s="1">
        <f>SUMPRODUCT(NOT(ISBLANK(HY$3:HY$5))*(HY$3:HY$5&lt;$LI$3:$LI$5))</f>
        <v>0</v>
      </c>
      <c r="HZ12" s="1">
        <f>SUMPRODUCT(NOT(ISBLANK(HZ$3:HZ$5))*(HZ$3:HZ$5&lt;$LJ$3:$LJ$5))</f>
        <v>0</v>
      </c>
      <c r="IA12" s="1">
        <f>SUMPRODUCT(NOT(ISBLANK(IA$3:IA$5))*(IA$3:IA$5&lt;$LK$3:$LK$5))</f>
        <v>0</v>
      </c>
      <c r="IB12" s="1">
        <f>SUMPRODUCT(NOT(ISBLANK(IB$3:IB$5))*(IB$3:IB$5&lt;$KU$3:$KU$5))</f>
        <v>0</v>
      </c>
      <c r="IC12" s="1">
        <f>SUMPRODUCT(NOT(ISBLANK(IC$3:IC$5))*(IC$3:IC$5&lt;$KV$3:$KV$5))</f>
        <v>0</v>
      </c>
      <c r="ID12" s="1">
        <f>SUMPRODUCT(NOT(ISBLANK(ID$3:ID$5))*(ID$3:ID$5&lt;$KW$3:$KW$5))</f>
        <v>0</v>
      </c>
      <c r="IE12" s="1">
        <f>SUMPRODUCT(NOT(ISBLANK(IE$3:IE$5))*(IE$3:IE$5&lt;$KX$3:$KX$5))</f>
        <v>0</v>
      </c>
      <c r="IF12" s="1">
        <f>SUMPRODUCT(NOT(ISBLANK(IF$3:IF$5))*(IF$3:IF$5&lt;$KY$3:$KY$5))</f>
        <v>0</v>
      </c>
      <c r="IG12" s="1">
        <f>SUMPRODUCT(NOT(ISBLANK(IG$3:IG$5))*(IG$3:IG$5&lt;$KZ$3:$KZ$5))</f>
        <v>0</v>
      </c>
      <c r="IH12" s="1">
        <f>SUMPRODUCT(NOT(ISBLANK(IH$3:IH$5))*(IH$3:IH$5&lt;$LA$3:$LA$5))</f>
        <v>0</v>
      </c>
      <c r="II12" s="1">
        <f>SUMPRODUCT(NOT(ISBLANK(II$3:II$5))*(II$3:II$5&lt;$LB$3:$LB$5))</f>
        <v>0</v>
      </c>
      <c r="IJ12" s="1">
        <f>SUMPRODUCT(NOT(ISBLANK(IJ$3:IJ$5))*(IJ$3:IJ$5&lt;$LC$3:$LC$5))</f>
        <v>0</v>
      </c>
      <c r="IK12" s="1">
        <f>SUMPRODUCT(NOT(ISBLANK(IK$3:IK$5))*(IK$3:IK$5&lt;$LD$3:$LD$5))</f>
        <v>0</v>
      </c>
      <c r="IL12" s="1">
        <f>SUMPRODUCT(NOT(ISBLANK(IL$3:IL$5))*(IL$3:IL$5&lt;$LE$3:$LE$5))</f>
        <v>0</v>
      </c>
      <c r="IM12" s="1">
        <f>SUMPRODUCT(NOT(ISBLANK(IM$3:IM$5))*(IM$3:IM$5&lt;$LF$3:$LF$5))</f>
        <v>0</v>
      </c>
      <c r="IN12" s="1">
        <f>SUMPRODUCT(NOT(ISBLANK(IN$3:IN$5))*(IN$3:IN$5&lt;$LG$3:$LG$5))</f>
        <v>0</v>
      </c>
      <c r="IO12" s="1">
        <f>SUMPRODUCT(NOT(ISBLANK(IO$3:IO$5))*(IO$3:IO$5&lt;$LH$3:$LH$5))</f>
        <v>0</v>
      </c>
      <c r="IP12" s="1"/>
      <c r="IQ12" s="1">
        <f>SUMPRODUCT(NOT(ISBLANK(IQ$3:IQ$5))*(IQ$3:IQ$5&lt;$LI$3:$LI$5))</f>
        <v>0</v>
      </c>
      <c r="IR12" s="1">
        <f>SUMPRODUCT(NOT(ISBLANK(IR$3:IR$5))*(IR$3:IR$5&lt;$LJ$3:$LJ$5))</f>
        <v>0</v>
      </c>
      <c r="IS12" s="1">
        <f>SUMPRODUCT(NOT(ISBLANK(IS$3:IS$5))*(IS$3:IS$5&lt;$LK$3:$LK$5))</f>
        <v>0</v>
      </c>
      <c r="IT12" s="1">
        <f>SUMPRODUCT(NOT(ISBLANK(IT$3:IT$5))*(IT$3:IT$5&lt;$KU$3:$KU$5))</f>
        <v>0</v>
      </c>
      <c r="IU12" s="1">
        <f>SUMPRODUCT(NOT(ISBLANK(IU$3:IU$5))*(IU$3:IU$5&lt;$KV$3:$KV$5))</f>
        <v>0</v>
      </c>
      <c r="IV12" s="1">
        <f>SUMPRODUCT(NOT(ISBLANK(IV$3:IV$5))*(IV$3:IV$5&lt;$KW$3:$KW$5))</f>
        <v>0</v>
      </c>
      <c r="IW12" s="1">
        <f>SUMPRODUCT(NOT(ISBLANK(IW$3:IW$5))*(IW$3:IW$5&lt;$KX$3:$KX$5))</f>
        <v>0</v>
      </c>
      <c r="IX12" s="1">
        <f>SUMPRODUCT(NOT(ISBLANK(IX$3:IX$5))*(IX$3:IX$5&lt;$KY$3:$KY$5))</f>
        <v>0</v>
      </c>
      <c r="IY12" s="1">
        <f>SUMPRODUCT(NOT(ISBLANK(IY$3:IY$5))*(IY$3:IY$5&lt;$KZ$3:$KZ$5))</f>
        <v>0</v>
      </c>
      <c r="IZ12" s="1">
        <f>SUMPRODUCT(NOT(ISBLANK(IZ$3:IZ$5))*(IZ$3:IZ$5&lt;$LA$3:$LA$5))</f>
        <v>0</v>
      </c>
      <c r="JA12" s="1">
        <f>SUMPRODUCT(NOT(ISBLANK(JA$3:JA$5))*(JA$3:JA$5&lt;$LB$3:$LB$5))</f>
        <v>0</v>
      </c>
      <c r="JB12" s="1">
        <f>SUMPRODUCT(NOT(ISBLANK(JB$3:JB$5))*(JB$3:JB$5&lt;$LC$3:$LC$5))</f>
        <v>0</v>
      </c>
      <c r="JC12" s="1">
        <f>SUMPRODUCT(NOT(ISBLANK(JC$3:JC$5))*(JC$3:JC$5&lt;$LD$3:$LD$5))</f>
        <v>0</v>
      </c>
      <c r="JD12" s="1">
        <f>SUMPRODUCT(NOT(ISBLANK(JD$3:JD$5))*(JD$3:JD$5&lt;$LE$3:$LE$5))</f>
        <v>0</v>
      </c>
      <c r="JE12" s="1">
        <f>SUMPRODUCT(NOT(ISBLANK(JE$3:JE$5))*(JE$3:JE$5&lt;$LF$3:$LF$5))</f>
        <v>0</v>
      </c>
      <c r="JF12" s="1">
        <f>SUMPRODUCT(NOT(ISBLANK(JF$3:JF$5))*(JF$3:JF$5&lt;$LG$3:$LG$5))</f>
        <v>0</v>
      </c>
      <c r="JG12" s="1">
        <f>SUMPRODUCT(NOT(ISBLANK(JG$3:JG$5))*(JG$3:JG$5&lt;$LH$3:$LH$5))</f>
        <v>0</v>
      </c>
      <c r="JH12" s="1"/>
      <c r="JI12" s="1">
        <f>SUMPRODUCT(NOT(ISBLANK(JI$3:JI$5))*(JI$3:JI$5&lt;$LI$3:$LI$5))</f>
        <v>0</v>
      </c>
      <c r="JJ12" s="1">
        <f>SUMPRODUCT(NOT(ISBLANK(JJ$3:JJ$5))*(JJ$3:JJ$5&lt;$LJ$3:$LJ$5))</f>
        <v>0</v>
      </c>
      <c r="JK12" s="1">
        <f>SUMPRODUCT(NOT(ISBLANK(JK$3:JK$5))*(JK$3:JK$5&lt;$LK$3:$LK$5))</f>
        <v>0</v>
      </c>
      <c r="JL12" s="1">
        <f>SUMPRODUCT(NOT(ISBLANK(JL$3:JL$5))*(JL$3:JL$5&lt;$KU$3:$KU$5))</f>
        <v>0</v>
      </c>
      <c r="JM12" s="1">
        <f>SUMPRODUCT(NOT(ISBLANK(JM$3:JM$5))*(JM$3:JM$5&lt;$KV$3:$KV$5))</f>
        <v>0</v>
      </c>
      <c r="JN12" s="1">
        <f>SUMPRODUCT(NOT(ISBLANK(JN$3:JN$5))*(JN$3:JN$5&lt;$KW$3:$KW$5))</f>
        <v>0</v>
      </c>
      <c r="JO12" s="1">
        <f>SUMPRODUCT(NOT(ISBLANK(JO$3:JO$5))*(JO$3:JO$5&lt;$KX$3:$KX$5))</f>
        <v>0</v>
      </c>
      <c r="JP12" s="1">
        <f>SUMPRODUCT(NOT(ISBLANK(JP$3:JP$5))*(JP$3:JP$5&lt;$KY$3:$KY$5))</f>
        <v>0</v>
      </c>
      <c r="JQ12" s="1">
        <f>SUMPRODUCT(NOT(ISBLANK(JQ$3:JQ$5))*(JQ$3:JQ$5&lt;$KZ$3:$KZ$5))</f>
        <v>0</v>
      </c>
      <c r="JR12" s="1">
        <f>SUMPRODUCT(NOT(ISBLANK(JR$3:JR$5))*(JR$3:JR$5&lt;$LA$3:$LA$5))</f>
        <v>0</v>
      </c>
      <c r="JS12" s="1">
        <f>SUMPRODUCT(NOT(ISBLANK(JS$3:JS$5))*(JS$3:JS$5&lt;$LB$3:$LB$5))</f>
        <v>0</v>
      </c>
      <c r="JT12" s="1">
        <f>SUMPRODUCT(NOT(ISBLANK(JT$3:JT$5))*(JT$3:JT$5&lt;$LC$3:$LC$5))</f>
        <v>0</v>
      </c>
      <c r="JU12" s="1">
        <f>SUMPRODUCT(NOT(ISBLANK(JU$3:JU$5))*(JU$3:JU$5&lt;$LD$3:$LD$5))</f>
        <v>0</v>
      </c>
      <c r="JV12" s="1">
        <f>SUMPRODUCT(NOT(ISBLANK(JV$3:JV$5))*(JV$3:JV$5&lt;$LE$3:$LE$5))</f>
        <v>0</v>
      </c>
      <c r="JW12" s="1">
        <f>SUMPRODUCT(NOT(ISBLANK(JW$3:JW$5))*(JW$3:JW$5&lt;$LF$3:$LF$5))</f>
        <v>0</v>
      </c>
      <c r="JX12" s="1">
        <f>SUMPRODUCT(NOT(ISBLANK(JX$3:JX$5))*(JX$3:JX$5&lt;$LG$3:$LG$5))</f>
        <v>0</v>
      </c>
      <c r="JY12" s="1">
        <f>SUMPRODUCT(NOT(ISBLANK(JY$3:JY$5))*(JY$3:JY$5&lt;$LH$3:$LH$5))</f>
        <v>0</v>
      </c>
      <c r="JZ12" s="1"/>
      <c r="KA12" s="1">
        <f>SUMPRODUCT(NOT(ISBLANK(KA$3:KA$5))*(KA$3:KA$5&lt;$LI$3:$LI$5))</f>
        <v>0</v>
      </c>
      <c r="KB12" s="1">
        <f>SUMPRODUCT(NOT(ISBLANK(KB$3:KB$5))*(KB$3:KB$5&lt;$LJ$3:$LJ$5))</f>
        <v>0</v>
      </c>
      <c r="KC12" s="1">
        <f>SUMPRODUCT(NOT(ISBLANK(KC$3:KC$5))*(KC$3:KC$5&lt;$LK$3:$LK$5))</f>
        <v>0</v>
      </c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</row>
    <row r="13" spans="1:340">
      <c r="A13" s="1" t="s">
        <v>13</v>
      </c>
      <c r="B13" s="1">
        <f>SUMPRODUCT((NOT(ISBLANK(B$3:B$5))*(B$3:B$5&gt;$KU$3:$KU$5))+ISBLANK(B$3:B$5))</f>
        <v>0</v>
      </c>
      <c r="C13" s="1">
        <f>SUMPRODUCT((NOT(ISBLANK(C$3:C$5))*(C$3:C$5&gt;$KV$3:$KV$5))+ISBLANK(C$3:C$5))</f>
        <v>0</v>
      </c>
      <c r="D13" s="1">
        <f>SUMPRODUCT((NOT(ISBLANK(D$3:D$5))*(D$3:D$5&gt;$KW$3:$KW$5))+ISBLANK(D$3:D$5))</f>
        <v>0</v>
      </c>
      <c r="E13" s="1">
        <f>SUMPRODUCT((NOT(ISBLANK(E$3:E$5))*(E$3:E$5&gt;$KX$3:$KX$5))+ISBLANK(E$3:E$5))</f>
        <v>0</v>
      </c>
      <c r="F13" s="1">
        <f>SUMPRODUCT((NOT(ISBLANK(F$3:F$5))*(F$3:F$5&gt;$KY$3:$KY$5))+ISBLANK(F$3:F$5))</f>
        <v>0</v>
      </c>
      <c r="G13" s="1">
        <f>SUMPRODUCT((NOT(ISBLANK(G$3:G$5))*(G$3:G$5&gt;$KZ$3:$KZ$5))+ISBLANK(G$3:G$5))</f>
        <v>0</v>
      </c>
      <c r="H13" s="1">
        <f>SUMPRODUCT((NOT(ISBLANK(H$3:H$5))*(H$3:H$5&gt;$LA$3:$LA$5))+ISBLANK(H$3:H$5))</f>
        <v>0</v>
      </c>
      <c r="I13" s="1">
        <f>SUMPRODUCT((NOT(ISBLANK(I$3:I$5))*(I$3:I$5&gt;$LB$3:$LB$5))+ISBLANK(I$3:I$5))</f>
        <v>0</v>
      </c>
      <c r="J13" s="1">
        <f>SUMPRODUCT((NOT(ISBLANK(J$3:J$5))*(J$3:J$5&gt;$LC$3:$LC$5))+ISBLANK(J$3:J$5))</f>
        <v>0</v>
      </c>
      <c r="K13" s="1">
        <f>SUMPRODUCT((NOT(ISBLANK(K$3:K$5))*(K$3:K$5&gt;$LD$3:$LD$5))+ISBLANK(K$3:K$5))</f>
        <v>0</v>
      </c>
      <c r="L13" s="1">
        <f>SUMPRODUCT((NOT(ISBLANK(L$3:L$5))*(L$3:L$5&gt;$LE$3:$LE$5))+ISBLANK(L$3:L$5))</f>
        <v>0</v>
      </c>
      <c r="M13" s="1">
        <f>SUMPRODUCT((NOT(ISBLANK(M$3:M$5))*(M$3:M$5&gt;$LF$3:$LF$5))+ISBLANK(M$3:M$5))</f>
        <v>0</v>
      </c>
      <c r="N13" s="1">
        <f>SUMPRODUCT((NOT(ISBLANK(N$3:N$5))*(N$3:N$5&gt;$LG$3:$LG$5))+ISBLANK(N$3:N$5))</f>
        <v>0</v>
      </c>
      <c r="O13" s="1">
        <f>SUMPRODUCT((NOT(ISBLANK(O$3:O$5))*(O$3:O$5&gt;$LH$3:$LH$5))+ISBLANK(O$3:O$5))</f>
        <v>0</v>
      </c>
      <c r="P13" s="1"/>
      <c r="Q13" s="1">
        <f>SUMPRODUCT((NOT(ISBLANK(Q$3:Q$5))*(Q$3:Q$5&gt;$LI$3:$LI$5))+ISBLANK(Q$3:Q$5))</f>
        <v>0</v>
      </c>
      <c r="R13" s="1">
        <f>SUMPRODUCT((NOT(ISBLANK(R$3:R$5))*(R$3:R$5&gt;$LJ$3:$LJ$5))+ISBLANK(R$3:R$5))</f>
        <v>0</v>
      </c>
      <c r="S13" s="1">
        <f>SUMPRODUCT((NOT(ISBLANK(S$3:S$5))*(S$3:S$5&gt;$LK$3:$LK$5))+ISBLANK(S$3:S$5))</f>
        <v>0</v>
      </c>
      <c r="T13" s="1">
        <f>SUMPRODUCT((NOT(ISBLANK(T$3:T$5))*(T$3:T$5&gt;$KU$3:$KU$5))+ISBLANK(T$3:T$5))</f>
        <v>0</v>
      </c>
      <c r="U13" s="1">
        <f>SUMPRODUCT((NOT(ISBLANK(U$3:U$5))*(U$3:U$5&gt;$KV$3:$KV$5))+ISBLANK(U$3:U$5))</f>
        <v>0</v>
      </c>
      <c r="V13" s="1">
        <f>SUMPRODUCT((NOT(ISBLANK(V$3:V$5))*(V$3:V$5&gt;$KW$3:$KW$5))+ISBLANK(V$3:V$5))</f>
        <v>0</v>
      </c>
      <c r="W13" s="1">
        <f>SUMPRODUCT((NOT(ISBLANK(W$3:W$5))*(W$3:W$5&gt;$KX$3:$KX$5))+ISBLANK(W$3:W$5))</f>
        <v>0</v>
      </c>
      <c r="X13" s="1">
        <f>SUMPRODUCT((NOT(ISBLANK(X$3:X$5))*(X$3:X$5&gt;$KY$3:$KY$5))+ISBLANK(X$3:X$5))</f>
        <v>0</v>
      </c>
      <c r="Y13" s="1">
        <f>SUMPRODUCT((NOT(ISBLANK(Y$3:Y$5))*(Y$3:Y$5&gt;$KZ$3:$KZ$5))+ISBLANK(Y$3:Y$5))</f>
        <v>0</v>
      </c>
      <c r="Z13" s="1">
        <f>SUMPRODUCT((NOT(ISBLANK(Z$3:Z$5))*(Z$3:Z$5&gt;$LA$3:$LA$5))+ISBLANK(Z$3:Z$5))</f>
        <v>0</v>
      </c>
      <c r="AA13" s="1">
        <f>SUMPRODUCT((NOT(ISBLANK(AA$3:AA$5))*(AA$3:AA$5&gt;$LB$3:$LB$5))+ISBLANK(AA$3:AA$5))</f>
        <v>0</v>
      </c>
      <c r="AB13" s="1">
        <f>SUMPRODUCT((NOT(ISBLANK(AB$3:AB$5))*(AB$3:AB$5&gt;$LC$3:$LC$5))+ISBLANK(AB$3:AB$5))</f>
        <v>0</v>
      </c>
      <c r="AC13" s="1">
        <f>SUMPRODUCT((NOT(ISBLANK(AC$3:AC$5))*(AC$3:AC$5&gt;$LD$3:$LD$5))+ISBLANK(AC$3:AC$5))</f>
        <v>0</v>
      </c>
      <c r="AD13" s="1">
        <f>SUMPRODUCT((NOT(ISBLANK(AD$3:AD$5))*(AD$3:AD$5&gt;$LE$3:$LE$5))+ISBLANK(AD$3:AD$5))</f>
        <v>0</v>
      </c>
      <c r="AE13" s="1">
        <f>SUMPRODUCT((NOT(ISBLANK(AE$3:AE$5))*(AE$3:AE$5&gt;$LF$3:$LF$5))+ISBLANK(AE$3:AE$5))</f>
        <v>0</v>
      </c>
      <c r="AF13" s="1">
        <f>SUMPRODUCT((NOT(ISBLANK(AF$3:AF$5))*(AF$3:AF$5&gt;$LG$3:$LG$5))+ISBLANK(AF$3:AF$5))</f>
        <v>0</v>
      </c>
      <c r="AG13" s="1">
        <f>SUMPRODUCT((NOT(ISBLANK(AG$3:AG$5))*(AG$3:AG$5&gt;$LH$3:$LH$5))+ISBLANK(AG$3:AG$5))</f>
        <v>0</v>
      </c>
      <c r="AH13" s="1"/>
      <c r="AI13" s="1">
        <f>SUMPRODUCT((NOT(ISBLANK(AI$3:AI$5))*(AI$3:AI$5&gt;$LI$3:$LI$5))+ISBLANK(AI$3:AI$5))</f>
        <v>0</v>
      </c>
      <c r="AJ13" s="1">
        <f>SUMPRODUCT((NOT(ISBLANK(AJ$3:AJ$5))*(AJ$3:AJ$5&gt;$LJ$3:$LJ$5))+ISBLANK(AJ$3:AJ$5))</f>
        <v>0</v>
      </c>
      <c r="AK13" s="1">
        <f>SUMPRODUCT((NOT(ISBLANK(AK$3:AK$5))*(AK$3:AK$5&gt;$LK$3:$LK$5))+ISBLANK(AK$3:AK$5))</f>
        <v>0</v>
      </c>
      <c r="AL13" s="1">
        <f>SUMPRODUCT((NOT(ISBLANK(AL$3:AL$5))*(AL$3:AL$5&gt;$KU$3:$KU$5))+ISBLANK(AL$3:AL$5))</f>
        <v>0</v>
      </c>
      <c r="AM13" s="1">
        <f>SUMPRODUCT((NOT(ISBLANK(AM$3:AM$5))*(AM$3:AM$5&gt;$KV$3:$KV$5))+ISBLANK(AM$3:AM$5))</f>
        <v>0</v>
      </c>
      <c r="AN13" s="1">
        <f>SUMPRODUCT((NOT(ISBLANK(AN$3:AN$5))*(AN$3:AN$5&gt;$KW$3:$KW$5))+ISBLANK(AN$3:AN$5))</f>
        <v>0</v>
      </c>
      <c r="AO13" s="1">
        <f>SUMPRODUCT((NOT(ISBLANK(AO$3:AO$5))*(AO$3:AO$5&gt;$KX$3:$KX$5))+ISBLANK(AO$3:AO$5))</f>
        <v>0</v>
      </c>
      <c r="AP13" s="1">
        <f>SUMPRODUCT((NOT(ISBLANK(AP$3:AP$5))*(AP$3:AP$5&gt;$KY$3:$KY$5))+ISBLANK(AP$3:AP$5))</f>
        <v>0</v>
      </c>
      <c r="AQ13" s="1">
        <f>SUMPRODUCT((NOT(ISBLANK(AQ$3:AQ$5))*(AQ$3:AQ$5&gt;$KZ$3:$KZ$5))+ISBLANK(AQ$3:AQ$5))</f>
        <v>0</v>
      </c>
      <c r="AR13" s="1">
        <f>SUMPRODUCT((NOT(ISBLANK(AR$3:AR$5))*(AR$3:AR$5&gt;$LA$3:$LA$5))+ISBLANK(AR$3:AR$5))</f>
        <v>0</v>
      </c>
      <c r="AS13" s="1">
        <f>SUMPRODUCT((NOT(ISBLANK(AS$3:AS$5))*(AS$3:AS$5&gt;$LB$3:$LB$5))+ISBLANK(AS$3:AS$5))</f>
        <v>0</v>
      </c>
      <c r="AT13" s="1">
        <f>SUMPRODUCT((NOT(ISBLANK(AT$3:AT$5))*(AT$3:AT$5&gt;$LC$3:$LC$5))+ISBLANK(AT$3:AT$5))</f>
        <v>0</v>
      </c>
      <c r="AU13" s="1">
        <f>SUMPRODUCT((NOT(ISBLANK(AU$3:AU$5))*(AU$3:AU$5&gt;$LD$3:$LD$5))+ISBLANK(AU$3:AU$5))</f>
        <v>0</v>
      </c>
      <c r="AV13" s="1">
        <f>SUMPRODUCT((NOT(ISBLANK(AV$3:AV$5))*(AV$3:AV$5&gt;$LE$3:$LE$5))+ISBLANK(AV$3:AV$5))</f>
        <v>0</v>
      </c>
      <c r="AW13" s="1">
        <f>SUMPRODUCT((NOT(ISBLANK(AW$3:AW$5))*(AW$3:AW$5&gt;$LF$3:$LF$5))+ISBLANK(AW$3:AW$5))</f>
        <v>0</v>
      </c>
      <c r="AX13" s="1">
        <f>SUMPRODUCT((NOT(ISBLANK(AX$3:AX$5))*(AX$3:AX$5&gt;$LG$3:$LG$5))+ISBLANK(AX$3:AX$5))</f>
        <v>0</v>
      </c>
      <c r="AY13" s="1">
        <f>SUMPRODUCT((NOT(ISBLANK(AY$3:AY$5))*(AY$3:AY$5&gt;$LH$3:$LH$5))+ISBLANK(AY$3:AY$5))</f>
        <v>0</v>
      </c>
      <c r="AZ13" s="1"/>
      <c r="BA13" s="1">
        <f>SUMPRODUCT((NOT(ISBLANK(BA$3:BA$5))*(BA$3:BA$5&gt;$LI$3:$LI$5))+ISBLANK(BA$3:BA$5))</f>
        <v>0</v>
      </c>
      <c r="BB13" s="1">
        <f>SUMPRODUCT((NOT(ISBLANK(BB$3:BB$5))*(BB$3:BB$5&gt;$LJ$3:$LJ$5))+ISBLANK(BB$3:BB$5))</f>
        <v>0</v>
      </c>
      <c r="BC13" s="1">
        <f>SUMPRODUCT((NOT(ISBLANK(BC$3:BC$5))*(BC$3:BC$5&gt;$LK$3:$LK$5))+ISBLANK(BC$3:BC$5))</f>
        <v>0</v>
      </c>
      <c r="BD13" s="1">
        <f>SUMPRODUCT((NOT(ISBLANK(BD$3:BD$5))*(BD$3:BD$5&gt;$KU$3:$KU$5))+ISBLANK(BD$3:BD$5))</f>
        <v>0</v>
      </c>
      <c r="BE13" s="1">
        <f>SUMPRODUCT((NOT(ISBLANK(BE$3:BE$5))*(BE$3:BE$5&gt;$KV$3:$KV$5))+ISBLANK(BE$3:BE$5))</f>
        <v>0</v>
      </c>
      <c r="BF13" s="1">
        <f>SUMPRODUCT((NOT(ISBLANK(BF$3:BF$5))*(BF$3:BF$5&gt;$KW$3:$KW$5))+ISBLANK(BF$3:BF$5))</f>
        <v>0</v>
      </c>
      <c r="BG13" s="1">
        <f>SUMPRODUCT((NOT(ISBLANK(BG$3:BG$5))*(BG$3:BG$5&gt;$KX$3:$KX$5))+ISBLANK(BG$3:BG$5))</f>
        <v>0</v>
      </c>
      <c r="BH13" s="1">
        <f>SUMPRODUCT((NOT(ISBLANK(BH$3:BH$5))*(BH$3:BH$5&gt;$KY$3:$KY$5))+ISBLANK(BH$3:BH$5))</f>
        <v>0</v>
      </c>
      <c r="BI13" s="1">
        <f>SUMPRODUCT((NOT(ISBLANK(BI$3:BI$5))*(BI$3:BI$5&gt;$KZ$3:$KZ$5))+ISBLANK(BI$3:BI$5))</f>
        <v>0</v>
      </c>
      <c r="BJ13" s="1">
        <f>SUMPRODUCT((NOT(ISBLANK(BJ$3:BJ$5))*(BJ$3:BJ$5&gt;$LA$3:$LA$5))+ISBLANK(BJ$3:BJ$5))</f>
        <v>0</v>
      </c>
      <c r="BK13" s="1">
        <f>SUMPRODUCT((NOT(ISBLANK(BK$3:BK$5))*(BK$3:BK$5&gt;$LB$3:$LB$5))+ISBLANK(BK$3:BK$5))</f>
        <v>0</v>
      </c>
      <c r="BL13" s="1">
        <f>SUMPRODUCT((NOT(ISBLANK(BL$3:BL$5))*(BL$3:BL$5&gt;$LC$3:$LC$5))+ISBLANK(BL$3:BL$5))</f>
        <v>0</v>
      </c>
      <c r="BM13" s="1">
        <f>SUMPRODUCT((NOT(ISBLANK(BM$3:BM$5))*(BM$3:BM$5&gt;$LD$3:$LD$5))+ISBLANK(BM$3:BM$5))</f>
        <v>0</v>
      </c>
      <c r="BN13" s="1">
        <f>SUMPRODUCT((NOT(ISBLANK(BN$3:BN$5))*(BN$3:BN$5&gt;$LE$3:$LE$5))+ISBLANK(BN$3:BN$5))</f>
        <v>0</v>
      </c>
      <c r="BO13" s="1">
        <f>SUMPRODUCT((NOT(ISBLANK(BO$3:BO$5))*(BO$3:BO$5&gt;$LF$3:$LF$5))+ISBLANK(BO$3:BO$5))</f>
        <v>0</v>
      </c>
      <c r="BP13" s="1">
        <f>SUMPRODUCT((NOT(ISBLANK(BP$3:BP$5))*(BP$3:BP$5&gt;$LG$3:$LG$5))+ISBLANK(BP$3:BP$5))</f>
        <v>0</v>
      </c>
      <c r="BQ13" s="1">
        <f>SUMPRODUCT((NOT(ISBLANK(BQ$3:BQ$5))*(BQ$3:BQ$5&gt;$LH$3:$LH$5))+ISBLANK(BQ$3:BQ$5))</f>
        <v>0</v>
      </c>
      <c r="BR13" s="1"/>
      <c r="BS13" s="1">
        <f>SUMPRODUCT((NOT(ISBLANK(BS$3:BS$5))*(BS$3:BS$5&gt;$LI$3:$LI$5))+ISBLANK(BS$3:BS$5))</f>
        <v>0</v>
      </c>
      <c r="BT13" s="1">
        <f>SUMPRODUCT((NOT(ISBLANK(BT$3:BT$5))*(BT$3:BT$5&gt;$LJ$3:$LJ$5))+ISBLANK(BT$3:BT$5))</f>
        <v>0</v>
      </c>
      <c r="BU13" s="1">
        <f>SUMPRODUCT((NOT(ISBLANK(BU$3:BU$5))*(BU$3:BU$5&gt;$LK$3:$LK$5))+ISBLANK(BU$3:BU$5))</f>
        <v>0</v>
      </c>
      <c r="BV13" s="1">
        <f>SUMPRODUCT((NOT(ISBLANK(BV$3:BV$5))*(BV$3:BV$5&gt;$KU$3:$KU$5))+ISBLANK(BV$3:BV$5))</f>
        <v>0</v>
      </c>
      <c r="BW13" s="1">
        <f>SUMPRODUCT((NOT(ISBLANK(BW$3:BW$5))*(BW$3:BW$5&gt;$KV$3:$KV$5))+ISBLANK(BW$3:BW$5))</f>
        <v>0</v>
      </c>
      <c r="BX13" s="1">
        <f>SUMPRODUCT((NOT(ISBLANK(BX$3:BX$5))*(BX$3:BX$5&gt;$KW$3:$KW$5))+ISBLANK(BX$3:BX$5))</f>
        <v>0</v>
      </c>
      <c r="BY13" s="1">
        <f>SUMPRODUCT((NOT(ISBLANK(BY$3:BY$5))*(BY$3:BY$5&gt;$KX$3:$KX$5))+ISBLANK(BY$3:BY$5))</f>
        <v>0</v>
      </c>
      <c r="BZ13" s="1">
        <f>SUMPRODUCT((NOT(ISBLANK(BZ$3:BZ$5))*(BZ$3:BZ$5&gt;$KY$3:$KY$5))+ISBLANK(BZ$3:BZ$5))</f>
        <v>0</v>
      </c>
      <c r="CA13" s="1">
        <f>SUMPRODUCT((NOT(ISBLANK(CA$3:CA$5))*(CA$3:CA$5&gt;$KZ$3:$KZ$5))+ISBLANK(CA$3:CA$5))</f>
        <v>0</v>
      </c>
      <c r="CB13" s="1">
        <f>SUMPRODUCT((NOT(ISBLANK(CB$3:CB$5))*(CB$3:CB$5&gt;$LA$3:$LA$5))+ISBLANK(CB$3:CB$5))</f>
        <v>0</v>
      </c>
      <c r="CC13" s="1">
        <f>SUMPRODUCT((NOT(ISBLANK(CC$3:CC$5))*(CC$3:CC$5&gt;$LB$3:$LB$5))+ISBLANK(CC$3:CC$5))</f>
        <v>0</v>
      </c>
      <c r="CD13" s="1">
        <f>SUMPRODUCT((NOT(ISBLANK(CD$3:CD$5))*(CD$3:CD$5&gt;$LC$3:$LC$5))+ISBLANK(CD$3:CD$5))</f>
        <v>0</v>
      </c>
      <c r="CE13" s="1">
        <f>SUMPRODUCT((NOT(ISBLANK(CE$3:CE$5))*(CE$3:CE$5&gt;$LD$3:$LD$5))+ISBLANK(CE$3:CE$5))</f>
        <v>0</v>
      </c>
      <c r="CF13" s="1">
        <f>SUMPRODUCT((NOT(ISBLANK(CF$3:CF$5))*(CF$3:CF$5&gt;$LE$3:$LE$5))+ISBLANK(CF$3:CF$5))</f>
        <v>0</v>
      </c>
      <c r="CG13" s="1">
        <f>SUMPRODUCT((NOT(ISBLANK(CG$3:CG$5))*(CG$3:CG$5&gt;$LF$3:$LF$5))+ISBLANK(CG$3:CG$5))</f>
        <v>0</v>
      </c>
      <c r="CH13" s="1">
        <f>SUMPRODUCT((NOT(ISBLANK(CH$3:CH$5))*(CH$3:CH$5&gt;$LG$3:$LG$5))+ISBLANK(CH$3:CH$5))</f>
        <v>0</v>
      </c>
      <c r="CI13" s="1">
        <f>SUMPRODUCT((NOT(ISBLANK(CI$3:CI$5))*(CI$3:CI$5&gt;$LH$3:$LH$5))+ISBLANK(CI$3:CI$5))</f>
        <v>0</v>
      </c>
      <c r="CJ13" s="1"/>
      <c r="CK13" s="1">
        <f>SUMPRODUCT((NOT(ISBLANK(CK$3:CK$5))*(CK$3:CK$5&gt;$LI$3:$LI$5))+ISBLANK(CK$3:CK$5))</f>
        <v>0</v>
      </c>
      <c r="CL13" s="1">
        <f>SUMPRODUCT((NOT(ISBLANK(CL$3:CL$5))*(CL$3:CL$5&gt;$LJ$3:$LJ$5))+ISBLANK(CL$3:CL$5))</f>
        <v>0</v>
      </c>
      <c r="CM13" s="1">
        <f>SUMPRODUCT((NOT(ISBLANK(CM$3:CM$5))*(CM$3:CM$5&gt;$LK$3:$LK$5))+ISBLANK(CM$3:CM$5))</f>
        <v>0</v>
      </c>
      <c r="CN13" s="1">
        <f>SUMPRODUCT((NOT(ISBLANK(CN$3:CN$5))*(CN$3:CN$5&gt;$KU$3:$KU$5))+ISBLANK(CN$3:CN$5))</f>
        <v>0</v>
      </c>
      <c r="CO13" s="1">
        <f>SUMPRODUCT((NOT(ISBLANK(CO$3:CO$5))*(CO$3:CO$5&gt;$KV$3:$KV$5))+ISBLANK(CO$3:CO$5))</f>
        <v>0</v>
      </c>
      <c r="CP13" s="1">
        <f>SUMPRODUCT((NOT(ISBLANK(CP$3:CP$5))*(CP$3:CP$5&gt;$KW$3:$KW$5))+ISBLANK(CP$3:CP$5))</f>
        <v>0</v>
      </c>
      <c r="CQ13" s="1">
        <f>SUMPRODUCT((NOT(ISBLANK(CQ$3:CQ$5))*(CQ$3:CQ$5&gt;$KX$3:$KX$5))+ISBLANK(CQ$3:CQ$5))</f>
        <v>0</v>
      </c>
      <c r="CR13" s="1">
        <f>SUMPRODUCT((NOT(ISBLANK(CR$3:CR$5))*(CR$3:CR$5&gt;$KY$3:$KY$5))+ISBLANK(CR$3:CR$5))</f>
        <v>0</v>
      </c>
      <c r="CS13" s="1">
        <f>SUMPRODUCT((NOT(ISBLANK(CS$3:CS$5))*(CS$3:CS$5&gt;$KZ$3:$KZ$5))+ISBLANK(CS$3:CS$5))</f>
        <v>0</v>
      </c>
      <c r="CT13" s="1">
        <f>SUMPRODUCT((NOT(ISBLANK(CT$3:CT$5))*(CT$3:CT$5&gt;$LA$3:$LA$5))+ISBLANK(CT$3:CT$5))</f>
        <v>0</v>
      </c>
      <c r="CU13" s="1">
        <f>SUMPRODUCT((NOT(ISBLANK(CU$3:CU$5))*(CU$3:CU$5&gt;$LB$3:$LB$5))+ISBLANK(CU$3:CU$5))</f>
        <v>0</v>
      </c>
      <c r="CV13" s="1">
        <f>SUMPRODUCT((NOT(ISBLANK(CV$3:CV$5))*(CV$3:CV$5&gt;$LC$3:$LC$5))+ISBLANK(CV$3:CV$5))</f>
        <v>0</v>
      </c>
      <c r="CW13" s="1">
        <f>SUMPRODUCT((NOT(ISBLANK(CW$3:CW$5))*(CW$3:CW$5&gt;$LD$3:$LD$5))+ISBLANK(CW$3:CW$5))</f>
        <v>0</v>
      </c>
      <c r="CX13" s="1">
        <f>SUMPRODUCT((NOT(ISBLANK(CX$3:CX$5))*(CX$3:CX$5&gt;$LE$3:$LE$5))+ISBLANK(CX$3:CX$5))</f>
        <v>0</v>
      </c>
      <c r="CY13" s="1">
        <f>SUMPRODUCT((NOT(ISBLANK(CY$3:CY$5))*(CY$3:CY$5&gt;$LF$3:$LF$5))+ISBLANK(CY$3:CY$5))</f>
        <v>0</v>
      </c>
      <c r="CZ13" s="1">
        <f>SUMPRODUCT((NOT(ISBLANK(CZ$3:CZ$5))*(CZ$3:CZ$5&gt;$LG$3:$LG$5))+ISBLANK(CZ$3:CZ$5))</f>
        <v>0</v>
      </c>
      <c r="DA13" s="1">
        <f>SUMPRODUCT((NOT(ISBLANK(DA$3:DA$5))*(DA$3:DA$5&gt;$LH$3:$LH$5))+ISBLANK(DA$3:DA$5))</f>
        <v>0</v>
      </c>
      <c r="DB13" s="1"/>
      <c r="DC13" s="1">
        <f>SUMPRODUCT((NOT(ISBLANK(DC$3:DC$5))*(DC$3:DC$5&gt;$LI$3:$LI$5))+ISBLANK(DC$3:DC$5))</f>
        <v>0</v>
      </c>
      <c r="DD13" s="1">
        <f>SUMPRODUCT((NOT(ISBLANK(DD$3:DD$5))*(DD$3:DD$5&gt;$LJ$3:$LJ$5))+ISBLANK(DD$3:DD$5))</f>
        <v>0</v>
      </c>
      <c r="DE13" s="1">
        <f>SUMPRODUCT((NOT(ISBLANK(DE$3:DE$5))*(DE$3:DE$5&gt;$LK$3:$LK$5))+ISBLANK(DE$3:DE$5))</f>
        <v>0</v>
      </c>
      <c r="DF13" s="1">
        <f>SUMPRODUCT((NOT(ISBLANK(DF$3:DF$5))*(DF$3:DF$5&gt;$KU$3:$KU$5))+ISBLANK(DF$3:DF$5))</f>
        <v>0</v>
      </c>
      <c r="DG13" s="1">
        <f>SUMPRODUCT((NOT(ISBLANK(DG$3:DG$5))*(DG$3:DG$5&gt;$KV$3:$KV$5))+ISBLANK(DG$3:DG$5))</f>
        <v>0</v>
      </c>
      <c r="DH13" s="1">
        <f>SUMPRODUCT((NOT(ISBLANK(DH$3:DH$5))*(DH$3:DH$5&gt;$KW$3:$KW$5))+ISBLANK(DH$3:DH$5))</f>
        <v>0</v>
      </c>
      <c r="DI13" s="1">
        <f>SUMPRODUCT((NOT(ISBLANK(DI$3:DI$5))*(DI$3:DI$5&gt;$KX$3:$KX$5))+ISBLANK(DI$3:DI$5))</f>
        <v>0</v>
      </c>
      <c r="DJ13" s="1">
        <f>SUMPRODUCT((NOT(ISBLANK(DJ$3:DJ$5))*(DJ$3:DJ$5&gt;$KY$3:$KY$5))+ISBLANK(DJ$3:DJ$5))</f>
        <v>0</v>
      </c>
      <c r="DK13" s="1">
        <f>SUMPRODUCT((NOT(ISBLANK(DK$3:DK$5))*(DK$3:DK$5&gt;$KZ$3:$KZ$5))+ISBLANK(DK$3:DK$5))</f>
        <v>0</v>
      </c>
      <c r="DL13" s="1">
        <f>SUMPRODUCT((NOT(ISBLANK(DL$3:DL$5))*(DL$3:DL$5&gt;$LA$3:$LA$5))+ISBLANK(DL$3:DL$5))</f>
        <v>0</v>
      </c>
      <c r="DM13" s="1">
        <f>SUMPRODUCT((NOT(ISBLANK(DM$3:DM$5))*(DM$3:DM$5&gt;$LB$3:$LB$5))+ISBLANK(DM$3:DM$5))</f>
        <v>0</v>
      </c>
      <c r="DN13" s="1">
        <f>SUMPRODUCT((NOT(ISBLANK(DN$3:DN$5))*(DN$3:DN$5&gt;$LC$3:$LC$5))+ISBLANK(DN$3:DN$5))</f>
        <v>0</v>
      </c>
      <c r="DO13" s="1">
        <f>SUMPRODUCT((NOT(ISBLANK(DO$3:DO$5))*(DO$3:DO$5&gt;$LD$3:$LD$5))+ISBLANK(DO$3:DO$5))</f>
        <v>0</v>
      </c>
      <c r="DP13" s="1">
        <f>SUMPRODUCT((NOT(ISBLANK(DP$3:DP$5))*(DP$3:DP$5&gt;$LE$3:$LE$5))+ISBLANK(DP$3:DP$5))</f>
        <v>0</v>
      </c>
      <c r="DQ13" s="1">
        <f>SUMPRODUCT((NOT(ISBLANK(DQ$3:DQ$5))*(DQ$3:DQ$5&gt;$LF$3:$LF$5))+ISBLANK(DQ$3:DQ$5))</f>
        <v>0</v>
      </c>
      <c r="DR13" s="1">
        <f>SUMPRODUCT((NOT(ISBLANK(DR$3:DR$5))*(DR$3:DR$5&gt;$LG$3:$LG$5))+ISBLANK(DR$3:DR$5))</f>
        <v>0</v>
      </c>
      <c r="DS13" s="1">
        <f>SUMPRODUCT((NOT(ISBLANK(DS$3:DS$5))*(DS$3:DS$5&gt;$LH$3:$LH$5))+ISBLANK(DS$3:DS$5))</f>
        <v>0</v>
      </c>
      <c r="DT13" s="1"/>
      <c r="DU13" s="1">
        <f>SUMPRODUCT((NOT(ISBLANK(DU$3:DU$5))*(DU$3:DU$5&gt;$LI$3:$LI$5))+ISBLANK(DU$3:DU$5))</f>
        <v>0</v>
      </c>
      <c r="DV13" s="1">
        <f>SUMPRODUCT((NOT(ISBLANK(DV$3:DV$5))*(DV$3:DV$5&gt;$LJ$3:$LJ$5))+ISBLANK(DV$3:DV$5))</f>
        <v>0</v>
      </c>
      <c r="DW13" s="1">
        <f>SUMPRODUCT((NOT(ISBLANK(DW$3:DW$5))*(DW$3:DW$5&gt;$LK$3:$LK$5))+ISBLANK(DW$3:DW$5))</f>
        <v>0</v>
      </c>
      <c r="DX13" s="1">
        <f>SUMPRODUCT((NOT(ISBLANK(DX$3:DX$5))*(DX$3:DX$5&gt;$KU$3:$KU$5))+ISBLANK(DX$3:DX$5))</f>
        <v>0</v>
      </c>
      <c r="DY13" s="1">
        <f>SUMPRODUCT((NOT(ISBLANK(DY$3:DY$5))*(DY$3:DY$5&gt;$KV$3:$KV$5))+ISBLANK(DY$3:DY$5))</f>
        <v>0</v>
      </c>
      <c r="DZ13" s="1">
        <f>SUMPRODUCT((NOT(ISBLANK(DZ$3:DZ$5))*(DZ$3:DZ$5&gt;$KW$3:$KW$5))+ISBLANK(DZ$3:DZ$5))</f>
        <v>0</v>
      </c>
      <c r="EA13" s="1">
        <f>SUMPRODUCT((NOT(ISBLANK(EA$3:EA$5))*(EA$3:EA$5&gt;$KX$3:$KX$5))+ISBLANK(EA$3:EA$5))</f>
        <v>0</v>
      </c>
      <c r="EB13" s="1">
        <f>SUMPRODUCT((NOT(ISBLANK(EB$3:EB$5))*(EB$3:EB$5&gt;$KY$3:$KY$5))+ISBLANK(EB$3:EB$5))</f>
        <v>0</v>
      </c>
      <c r="EC13" s="1">
        <f>SUMPRODUCT((NOT(ISBLANK(EC$3:EC$5))*(EC$3:EC$5&gt;$KZ$3:$KZ$5))+ISBLANK(EC$3:EC$5))</f>
        <v>0</v>
      </c>
      <c r="ED13" s="1">
        <f>SUMPRODUCT((NOT(ISBLANK(ED$3:ED$5))*(ED$3:ED$5&gt;$LA$3:$LA$5))+ISBLANK(ED$3:ED$5))</f>
        <v>0</v>
      </c>
      <c r="EE13" s="1">
        <f>SUMPRODUCT((NOT(ISBLANK(EE$3:EE$5))*(EE$3:EE$5&gt;$LB$3:$LB$5))+ISBLANK(EE$3:EE$5))</f>
        <v>0</v>
      </c>
      <c r="EF13" s="1">
        <f>SUMPRODUCT((NOT(ISBLANK(EF$3:EF$5))*(EF$3:EF$5&gt;$LC$3:$LC$5))+ISBLANK(EF$3:EF$5))</f>
        <v>0</v>
      </c>
      <c r="EG13" s="1">
        <f>SUMPRODUCT((NOT(ISBLANK(EG$3:EG$5))*(EG$3:EG$5&gt;$LD$3:$LD$5))+ISBLANK(EG$3:EG$5))</f>
        <v>0</v>
      </c>
      <c r="EH13" s="1">
        <f>SUMPRODUCT((NOT(ISBLANK(EH$3:EH$5))*(EH$3:EH$5&gt;$LE$3:$LE$5))+ISBLANK(EH$3:EH$5))</f>
        <v>0</v>
      </c>
      <c r="EI13" s="1">
        <f>SUMPRODUCT((NOT(ISBLANK(EI$3:EI$5))*(EI$3:EI$5&gt;$LF$3:$LF$5))+ISBLANK(EI$3:EI$5))</f>
        <v>0</v>
      </c>
      <c r="EJ13" s="1">
        <f>SUMPRODUCT((NOT(ISBLANK(EJ$3:EJ$5))*(EJ$3:EJ$5&gt;$LG$3:$LG$5))+ISBLANK(EJ$3:EJ$5))</f>
        <v>0</v>
      </c>
      <c r="EK13" s="1">
        <f>SUMPRODUCT((NOT(ISBLANK(EK$3:EK$5))*(EK$3:EK$5&gt;$LH$3:$LH$5))+ISBLANK(EK$3:EK$5))</f>
        <v>0</v>
      </c>
      <c r="EL13" s="1"/>
      <c r="EM13" s="1">
        <f>SUMPRODUCT((NOT(ISBLANK(EM$3:EM$5))*(EM$3:EM$5&gt;$LI$3:$LI$5))+ISBLANK(EM$3:EM$5))</f>
        <v>0</v>
      </c>
      <c r="EN13" s="1">
        <f>SUMPRODUCT((NOT(ISBLANK(EN$3:EN$5))*(EN$3:EN$5&gt;$LJ$3:$LJ$5))+ISBLANK(EN$3:EN$5))</f>
        <v>0</v>
      </c>
      <c r="EO13" s="1">
        <f>SUMPRODUCT((NOT(ISBLANK(EO$3:EO$5))*(EO$3:EO$5&gt;$LK$3:$LK$5))+ISBLANK(EO$3:EO$5))</f>
        <v>0</v>
      </c>
      <c r="EP13" s="1">
        <f>SUMPRODUCT((NOT(ISBLANK(EP$3:EP$5))*(EP$3:EP$5&gt;$KU$3:$KU$5))+ISBLANK(EP$3:EP$5))</f>
        <v>0</v>
      </c>
      <c r="EQ13" s="1">
        <f>SUMPRODUCT((NOT(ISBLANK(EQ$3:EQ$5))*(EQ$3:EQ$5&gt;$KV$3:$KV$5))+ISBLANK(EQ$3:EQ$5))</f>
        <v>0</v>
      </c>
      <c r="ER13" s="1">
        <f>SUMPRODUCT((NOT(ISBLANK(ER$3:ER$5))*(ER$3:ER$5&gt;$KW$3:$KW$5))+ISBLANK(ER$3:ER$5))</f>
        <v>0</v>
      </c>
      <c r="ES13" s="1">
        <f>SUMPRODUCT((NOT(ISBLANK(ES$3:ES$5))*(ES$3:ES$5&gt;$KX$3:$KX$5))+ISBLANK(ES$3:ES$5))</f>
        <v>0</v>
      </c>
      <c r="ET13" s="1">
        <f>SUMPRODUCT((NOT(ISBLANK(ET$3:ET$5))*(ET$3:ET$5&gt;$KY$3:$KY$5))+ISBLANK(ET$3:ET$5))</f>
        <v>0</v>
      </c>
      <c r="EU13" s="1">
        <f>SUMPRODUCT((NOT(ISBLANK(EU$3:EU$5))*(EU$3:EU$5&gt;$KZ$3:$KZ$5))+ISBLANK(EU$3:EU$5))</f>
        <v>0</v>
      </c>
      <c r="EV13" s="1">
        <f>SUMPRODUCT((NOT(ISBLANK(EV$3:EV$5))*(EV$3:EV$5&gt;$LA$3:$LA$5))+ISBLANK(EV$3:EV$5))</f>
        <v>0</v>
      </c>
      <c r="EW13" s="1">
        <f>SUMPRODUCT((NOT(ISBLANK(EW$3:EW$5))*(EW$3:EW$5&gt;$LB$3:$LB$5))+ISBLANK(EW$3:EW$5))</f>
        <v>0</v>
      </c>
      <c r="EX13" s="1">
        <f>SUMPRODUCT((NOT(ISBLANK(EX$3:EX$5))*(EX$3:EX$5&gt;$LC$3:$LC$5))+ISBLANK(EX$3:EX$5))</f>
        <v>0</v>
      </c>
      <c r="EY13" s="1">
        <f>SUMPRODUCT((NOT(ISBLANK(EY$3:EY$5))*(EY$3:EY$5&gt;$LD$3:$LD$5))+ISBLANK(EY$3:EY$5))</f>
        <v>0</v>
      </c>
      <c r="EZ13" s="1">
        <f>SUMPRODUCT((NOT(ISBLANK(EZ$3:EZ$5))*(EZ$3:EZ$5&gt;$LE$3:$LE$5))+ISBLANK(EZ$3:EZ$5))</f>
        <v>0</v>
      </c>
      <c r="FA13" s="1">
        <f>SUMPRODUCT((NOT(ISBLANK(FA$3:FA$5))*(FA$3:FA$5&gt;$LF$3:$LF$5))+ISBLANK(FA$3:FA$5))</f>
        <v>0</v>
      </c>
      <c r="FB13" s="1">
        <f>SUMPRODUCT((NOT(ISBLANK(FB$3:FB$5))*(FB$3:FB$5&gt;$LG$3:$LG$5))+ISBLANK(FB$3:FB$5))</f>
        <v>0</v>
      </c>
      <c r="FC13" s="1">
        <f>SUMPRODUCT((NOT(ISBLANK(FC$3:FC$5))*(FC$3:FC$5&gt;$LH$3:$LH$5))+ISBLANK(FC$3:FC$5))</f>
        <v>0</v>
      </c>
      <c r="FD13" s="1"/>
      <c r="FE13" s="1">
        <f>SUMPRODUCT((NOT(ISBLANK(FE$3:FE$5))*(FE$3:FE$5&gt;$LI$3:$LI$5))+ISBLANK(FE$3:FE$5))</f>
        <v>0</v>
      </c>
      <c r="FF13" s="1">
        <f>SUMPRODUCT((NOT(ISBLANK(FF$3:FF$5))*(FF$3:FF$5&gt;$LJ$3:$LJ$5))+ISBLANK(FF$3:FF$5))</f>
        <v>0</v>
      </c>
      <c r="FG13" s="1">
        <f>SUMPRODUCT((NOT(ISBLANK(FG$3:FG$5))*(FG$3:FG$5&gt;$LK$3:$LK$5))+ISBLANK(FG$3:FG$5))</f>
        <v>0</v>
      </c>
      <c r="FH13" s="1">
        <f>SUMPRODUCT((NOT(ISBLANK(FH$3:FH$5))*(FH$3:FH$5&gt;$KU$3:$KU$5))+ISBLANK(FH$3:FH$5))</f>
        <v>0</v>
      </c>
      <c r="FI13" s="1">
        <f>SUMPRODUCT((NOT(ISBLANK(FI$3:FI$5))*(FI$3:FI$5&gt;$KV$3:$KV$5))+ISBLANK(FI$3:FI$5))</f>
        <v>0</v>
      </c>
      <c r="FJ13" s="1">
        <f>SUMPRODUCT((NOT(ISBLANK(FJ$3:FJ$5))*(FJ$3:FJ$5&gt;$KW$3:$KW$5))+ISBLANK(FJ$3:FJ$5))</f>
        <v>0</v>
      </c>
      <c r="FK13" s="1">
        <f>SUMPRODUCT((NOT(ISBLANK(FK$3:FK$5))*(FK$3:FK$5&gt;$KX$3:$KX$5))+ISBLANK(FK$3:FK$5))</f>
        <v>0</v>
      </c>
      <c r="FL13" s="1">
        <f>SUMPRODUCT((NOT(ISBLANK(FL$3:FL$5))*(FL$3:FL$5&gt;$KY$3:$KY$5))+ISBLANK(FL$3:FL$5))</f>
        <v>0</v>
      </c>
      <c r="FM13" s="1">
        <f>SUMPRODUCT((NOT(ISBLANK(FM$3:FM$5))*(FM$3:FM$5&gt;$KZ$3:$KZ$5))+ISBLANK(FM$3:FM$5))</f>
        <v>0</v>
      </c>
      <c r="FN13" s="1">
        <f>SUMPRODUCT((NOT(ISBLANK(FN$3:FN$5))*(FN$3:FN$5&gt;$LA$3:$LA$5))+ISBLANK(FN$3:FN$5))</f>
        <v>0</v>
      </c>
      <c r="FO13" s="1">
        <f>SUMPRODUCT((NOT(ISBLANK(FO$3:FO$5))*(FO$3:FO$5&gt;$LB$3:$LB$5))+ISBLANK(FO$3:FO$5))</f>
        <v>0</v>
      </c>
      <c r="FP13" s="1">
        <f>SUMPRODUCT((NOT(ISBLANK(FP$3:FP$5))*(FP$3:FP$5&gt;$LC$3:$LC$5))+ISBLANK(FP$3:FP$5))</f>
        <v>0</v>
      </c>
      <c r="FQ13" s="1">
        <f>SUMPRODUCT((NOT(ISBLANK(FQ$3:FQ$5))*(FQ$3:FQ$5&gt;$LD$3:$LD$5))+ISBLANK(FQ$3:FQ$5))</f>
        <v>0</v>
      </c>
      <c r="FR13" s="1">
        <f>SUMPRODUCT((NOT(ISBLANK(FR$3:FR$5))*(FR$3:FR$5&gt;$LE$3:$LE$5))+ISBLANK(FR$3:FR$5))</f>
        <v>0</v>
      </c>
      <c r="FS13" s="1">
        <f>SUMPRODUCT((NOT(ISBLANK(FS$3:FS$5))*(FS$3:FS$5&gt;$LF$3:$LF$5))+ISBLANK(FS$3:FS$5))</f>
        <v>0</v>
      </c>
      <c r="FT13" s="1">
        <f>SUMPRODUCT((NOT(ISBLANK(FT$3:FT$5))*(FT$3:FT$5&gt;$LG$3:$LG$5))+ISBLANK(FT$3:FT$5))</f>
        <v>0</v>
      </c>
      <c r="FU13" s="1">
        <f>SUMPRODUCT((NOT(ISBLANK(FU$3:FU$5))*(FU$3:FU$5&gt;$LH$3:$LH$5))+ISBLANK(FU$3:FU$5))</f>
        <v>0</v>
      </c>
      <c r="FV13" s="1"/>
      <c r="FW13" s="1">
        <f>SUMPRODUCT((NOT(ISBLANK(FW$3:FW$5))*(FW$3:FW$5&gt;$LI$3:$LI$5))+ISBLANK(FW$3:FW$5))</f>
        <v>0</v>
      </c>
      <c r="FX13" s="1">
        <f>SUMPRODUCT((NOT(ISBLANK(FX$3:FX$5))*(FX$3:FX$5&gt;$LJ$3:$LJ$5))+ISBLANK(FX$3:FX$5))</f>
        <v>0</v>
      </c>
      <c r="FY13" s="1">
        <f>SUMPRODUCT((NOT(ISBLANK(FY$3:FY$5))*(FY$3:FY$5&gt;$LK$3:$LK$5))+ISBLANK(FY$3:FY$5))</f>
        <v>0</v>
      </c>
      <c r="FZ13" s="1">
        <f>SUMPRODUCT((NOT(ISBLANK(FZ$3:FZ$5))*(FZ$3:FZ$5&gt;$KU$3:$KU$5))+ISBLANK(FZ$3:FZ$5))</f>
        <v>0</v>
      </c>
      <c r="GA13" s="1">
        <f>SUMPRODUCT((NOT(ISBLANK(GA$3:GA$5))*(GA$3:GA$5&gt;$KV$3:$KV$5))+ISBLANK(GA$3:GA$5))</f>
        <v>0</v>
      </c>
      <c r="GB13" s="1">
        <f>SUMPRODUCT((NOT(ISBLANK(GB$3:GB$5))*(GB$3:GB$5&gt;$KW$3:$KW$5))+ISBLANK(GB$3:GB$5))</f>
        <v>0</v>
      </c>
      <c r="GC13" s="1">
        <f>SUMPRODUCT((NOT(ISBLANK(GC$3:GC$5))*(GC$3:GC$5&gt;$KX$3:$KX$5))+ISBLANK(GC$3:GC$5))</f>
        <v>0</v>
      </c>
      <c r="GD13" s="1">
        <f>SUMPRODUCT((NOT(ISBLANK(GD$3:GD$5))*(GD$3:GD$5&gt;$KY$3:$KY$5))+ISBLANK(GD$3:GD$5))</f>
        <v>0</v>
      </c>
      <c r="GE13" s="1">
        <f>SUMPRODUCT((NOT(ISBLANK(GE$3:GE$5))*(GE$3:GE$5&gt;$KZ$3:$KZ$5))+ISBLANK(GE$3:GE$5))</f>
        <v>0</v>
      </c>
      <c r="GF13" s="1">
        <f>SUMPRODUCT((NOT(ISBLANK(GF$3:GF$5))*(GF$3:GF$5&gt;$LA$3:$LA$5))+ISBLANK(GF$3:GF$5))</f>
        <v>0</v>
      </c>
      <c r="GG13" s="1">
        <f>SUMPRODUCT((NOT(ISBLANK(GG$3:GG$5))*(GG$3:GG$5&gt;$LB$3:$LB$5))+ISBLANK(GG$3:GG$5))</f>
        <v>0</v>
      </c>
      <c r="GH13" s="1">
        <f>SUMPRODUCT((NOT(ISBLANK(GH$3:GH$5))*(GH$3:GH$5&gt;$LC$3:$LC$5))+ISBLANK(GH$3:GH$5))</f>
        <v>0</v>
      </c>
      <c r="GI13" s="1">
        <f>SUMPRODUCT((NOT(ISBLANK(GI$3:GI$5))*(GI$3:GI$5&gt;$LD$3:$LD$5))+ISBLANK(GI$3:GI$5))</f>
        <v>0</v>
      </c>
      <c r="GJ13" s="1">
        <f>SUMPRODUCT((NOT(ISBLANK(GJ$3:GJ$5))*(GJ$3:GJ$5&gt;$LE$3:$LE$5))+ISBLANK(GJ$3:GJ$5))</f>
        <v>0</v>
      </c>
      <c r="GK13" s="1">
        <f>SUMPRODUCT((NOT(ISBLANK(GK$3:GK$5))*(GK$3:GK$5&gt;$LF$3:$LF$5))+ISBLANK(GK$3:GK$5))</f>
        <v>0</v>
      </c>
      <c r="GL13" s="1">
        <f>SUMPRODUCT((NOT(ISBLANK(GL$3:GL$5))*(GL$3:GL$5&gt;$LG$3:$LG$5))+ISBLANK(GL$3:GL$5))</f>
        <v>0</v>
      </c>
      <c r="GM13" s="1">
        <f>SUMPRODUCT((NOT(ISBLANK(GM$3:GM$5))*(GM$3:GM$5&gt;$LH$3:$LH$5))+ISBLANK(GM$3:GM$5))</f>
        <v>0</v>
      </c>
      <c r="GN13" s="1"/>
      <c r="GO13" s="1">
        <f>SUMPRODUCT((NOT(ISBLANK(GO$3:GO$5))*(GO$3:GO$5&gt;$LI$3:$LI$5))+ISBLANK(GO$3:GO$5))</f>
        <v>0</v>
      </c>
      <c r="GP13" s="1">
        <f>SUMPRODUCT((NOT(ISBLANK(GP$3:GP$5))*(GP$3:GP$5&gt;$LJ$3:$LJ$5))+ISBLANK(GP$3:GP$5))</f>
        <v>0</v>
      </c>
      <c r="GQ13" s="1">
        <f>SUMPRODUCT((NOT(ISBLANK(GQ$3:GQ$5))*(GQ$3:GQ$5&gt;$LK$3:$LK$5))+ISBLANK(GQ$3:GQ$5))</f>
        <v>0</v>
      </c>
      <c r="GR13" s="1">
        <f>SUMPRODUCT((NOT(ISBLANK(GR$3:GR$5))*(GR$3:GR$5&gt;$KU$3:$KU$5))+ISBLANK(GR$3:GR$5))</f>
        <v>0</v>
      </c>
      <c r="GS13" s="1">
        <f>SUMPRODUCT((NOT(ISBLANK(GS$3:GS$5))*(GS$3:GS$5&gt;$KV$3:$KV$5))+ISBLANK(GS$3:GS$5))</f>
        <v>0</v>
      </c>
      <c r="GT13" s="1">
        <f>SUMPRODUCT((NOT(ISBLANK(GT$3:GT$5))*(GT$3:GT$5&gt;$KW$3:$KW$5))+ISBLANK(GT$3:GT$5))</f>
        <v>0</v>
      </c>
      <c r="GU13" s="1">
        <f>SUMPRODUCT((NOT(ISBLANK(GU$3:GU$5))*(GU$3:GU$5&gt;$KX$3:$KX$5))+ISBLANK(GU$3:GU$5))</f>
        <v>0</v>
      </c>
      <c r="GV13" s="1">
        <f>SUMPRODUCT((NOT(ISBLANK(GV$3:GV$5))*(GV$3:GV$5&gt;$KY$3:$KY$5))+ISBLANK(GV$3:GV$5))</f>
        <v>0</v>
      </c>
      <c r="GW13" s="1">
        <f>SUMPRODUCT((NOT(ISBLANK(GW$3:GW$5))*(GW$3:GW$5&gt;$KZ$3:$KZ$5))+ISBLANK(GW$3:GW$5))</f>
        <v>0</v>
      </c>
      <c r="GX13" s="1">
        <f>SUMPRODUCT((NOT(ISBLANK(GX$3:GX$5))*(GX$3:GX$5&gt;$LA$3:$LA$5))+ISBLANK(GX$3:GX$5))</f>
        <v>0</v>
      </c>
      <c r="GY13" s="1">
        <f>SUMPRODUCT((NOT(ISBLANK(GY$3:GY$5))*(GY$3:GY$5&gt;$LB$3:$LB$5))+ISBLANK(GY$3:GY$5))</f>
        <v>0</v>
      </c>
      <c r="GZ13" s="1">
        <f>SUMPRODUCT((NOT(ISBLANK(GZ$3:GZ$5))*(GZ$3:GZ$5&gt;$LC$3:$LC$5))+ISBLANK(GZ$3:GZ$5))</f>
        <v>0</v>
      </c>
      <c r="HA13" s="1">
        <f>SUMPRODUCT((NOT(ISBLANK(HA$3:HA$5))*(HA$3:HA$5&gt;$LD$3:$LD$5))+ISBLANK(HA$3:HA$5))</f>
        <v>0</v>
      </c>
      <c r="HB13" s="1">
        <f>SUMPRODUCT((NOT(ISBLANK(HB$3:HB$5))*(HB$3:HB$5&gt;$LE$3:$LE$5))+ISBLANK(HB$3:HB$5))</f>
        <v>0</v>
      </c>
      <c r="HC13" s="1">
        <f>SUMPRODUCT((NOT(ISBLANK(HC$3:HC$5))*(HC$3:HC$5&gt;$LF$3:$LF$5))+ISBLANK(HC$3:HC$5))</f>
        <v>0</v>
      </c>
      <c r="HD13" s="1">
        <f>SUMPRODUCT((NOT(ISBLANK(HD$3:HD$5))*(HD$3:HD$5&gt;$LG$3:$LG$5))+ISBLANK(HD$3:HD$5))</f>
        <v>0</v>
      </c>
      <c r="HE13" s="1">
        <f>SUMPRODUCT((NOT(ISBLANK(HE$3:HE$5))*(HE$3:HE$5&gt;$LH$3:$LH$5))+ISBLANK(HE$3:HE$5))</f>
        <v>0</v>
      </c>
      <c r="HF13" s="1"/>
      <c r="HG13" s="1">
        <f>SUMPRODUCT((NOT(ISBLANK(HG$3:HG$5))*(HG$3:HG$5&gt;$LI$3:$LI$5))+ISBLANK(HG$3:HG$5))</f>
        <v>0</v>
      </c>
      <c r="HH13" s="1">
        <f>SUMPRODUCT((NOT(ISBLANK(HH$3:HH$5))*(HH$3:HH$5&gt;$LJ$3:$LJ$5))+ISBLANK(HH$3:HH$5))</f>
        <v>0</v>
      </c>
      <c r="HI13" s="1">
        <f>SUMPRODUCT((NOT(ISBLANK(HI$3:HI$5))*(HI$3:HI$5&gt;$LK$3:$LK$5))+ISBLANK(HI$3:HI$5))</f>
        <v>0</v>
      </c>
      <c r="HJ13" s="1">
        <f>SUMPRODUCT((NOT(ISBLANK(HJ$3:HJ$5))*(HJ$3:HJ$5&gt;$KU$3:$KU$5))+ISBLANK(HJ$3:HJ$5))</f>
        <v>0</v>
      </c>
      <c r="HK13" s="1">
        <f>SUMPRODUCT((NOT(ISBLANK(HK$3:HK$5))*(HK$3:HK$5&gt;$KV$3:$KV$5))+ISBLANK(HK$3:HK$5))</f>
        <v>0</v>
      </c>
      <c r="HL13" s="1">
        <f>SUMPRODUCT((NOT(ISBLANK(HL$3:HL$5))*(HL$3:HL$5&gt;$KW$3:$KW$5))+ISBLANK(HL$3:HL$5))</f>
        <v>0</v>
      </c>
      <c r="HM13" s="1">
        <f>SUMPRODUCT((NOT(ISBLANK(HM$3:HM$5))*(HM$3:HM$5&gt;$KX$3:$KX$5))+ISBLANK(HM$3:HM$5))</f>
        <v>0</v>
      </c>
      <c r="HN13" s="1">
        <f>SUMPRODUCT((NOT(ISBLANK(HN$3:HN$5))*(HN$3:HN$5&gt;$KY$3:$KY$5))+ISBLANK(HN$3:HN$5))</f>
        <v>0</v>
      </c>
      <c r="HO13" s="1">
        <f>SUMPRODUCT((NOT(ISBLANK(HO$3:HO$5))*(HO$3:HO$5&gt;$KZ$3:$KZ$5))+ISBLANK(HO$3:HO$5))</f>
        <v>0</v>
      </c>
      <c r="HP13" s="1">
        <f>SUMPRODUCT((NOT(ISBLANK(HP$3:HP$5))*(HP$3:HP$5&gt;$LA$3:$LA$5))+ISBLANK(HP$3:HP$5))</f>
        <v>0</v>
      </c>
      <c r="HQ13" s="1">
        <f>SUMPRODUCT((NOT(ISBLANK(HQ$3:HQ$5))*(HQ$3:HQ$5&gt;$LB$3:$LB$5))+ISBLANK(HQ$3:HQ$5))</f>
        <v>0</v>
      </c>
      <c r="HR13" s="1">
        <f>SUMPRODUCT((NOT(ISBLANK(HR$3:HR$5))*(HR$3:HR$5&gt;$LC$3:$LC$5))+ISBLANK(HR$3:HR$5))</f>
        <v>0</v>
      </c>
      <c r="HS13" s="1">
        <f>SUMPRODUCT((NOT(ISBLANK(HS$3:HS$5))*(HS$3:HS$5&gt;$LD$3:$LD$5))+ISBLANK(HS$3:HS$5))</f>
        <v>0</v>
      </c>
      <c r="HT13" s="1">
        <f>SUMPRODUCT((NOT(ISBLANK(HT$3:HT$5))*(HT$3:HT$5&gt;$LE$3:$LE$5))+ISBLANK(HT$3:HT$5))</f>
        <v>0</v>
      </c>
      <c r="HU13" s="1">
        <f>SUMPRODUCT((NOT(ISBLANK(HU$3:HU$5))*(HU$3:HU$5&gt;$LF$3:$LF$5))+ISBLANK(HU$3:HU$5))</f>
        <v>0</v>
      </c>
      <c r="HV13" s="1">
        <f>SUMPRODUCT((NOT(ISBLANK(HV$3:HV$5))*(HV$3:HV$5&gt;$LG$3:$LG$5))+ISBLANK(HV$3:HV$5))</f>
        <v>0</v>
      </c>
      <c r="HW13" s="1">
        <f>SUMPRODUCT((NOT(ISBLANK(HW$3:HW$5))*(HW$3:HW$5&gt;$LH$3:$LH$5))+ISBLANK(HW$3:HW$5))</f>
        <v>0</v>
      </c>
      <c r="HX13" s="1"/>
      <c r="HY13" s="1">
        <f>SUMPRODUCT((NOT(ISBLANK(HY$3:HY$5))*(HY$3:HY$5&gt;$LI$3:$LI$5))+ISBLANK(HY$3:HY$5))</f>
        <v>0</v>
      </c>
      <c r="HZ13" s="1">
        <f>SUMPRODUCT((NOT(ISBLANK(HZ$3:HZ$5))*(HZ$3:HZ$5&gt;$LJ$3:$LJ$5))+ISBLANK(HZ$3:HZ$5))</f>
        <v>0</v>
      </c>
      <c r="IA13" s="1">
        <f>SUMPRODUCT((NOT(ISBLANK(IA$3:IA$5))*(IA$3:IA$5&gt;$LK$3:$LK$5))+ISBLANK(IA$3:IA$5))</f>
        <v>0</v>
      </c>
      <c r="IB13" s="1">
        <f>SUMPRODUCT((NOT(ISBLANK(IB$3:IB$5))*(IB$3:IB$5&gt;$KU$3:$KU$5))+ISBLANK(IB$3:IB$5))</f>
        <v>0</v>
      </c>
      <c r="IC13" s="1">
        <f>SUMPRODUCT((NOT(ISBLANK(IC$3:IC$5))*(IC$3:IC$5&gt;$KV$3:$KV$5))+ISBLANK(IC$3:IC$5))</f>
        <v>0</v>
      </c>
      <c r="ID13" s="1">
        <f>SUMPRODUCT((NOT(ISBLANK(ID$3:ID$5))*(ID$3:ID$5&gt;$KW$3:$KW$5))+ISBLANK(ID$3:ID$5))</f>
        <v>0</v>
      </c>
      <c r="IE13" s="1">
        <f>SUMPRODUCT((NOT(ISBLANK(IE$3:IE$5))*(IE$3:IE$5&gt;$KX$3:$KX$5))+ISBLANK(IE$3:IE$5))</f>
        <v>0</v>
      </c>
      <c r="IF13" s="1">
        <f>SUMPRODUCT((NOT(ISBLANK(IF$3:IF$5))*(IF$3:IF$5&gt;$KY$3:$KY$5))+ISBLANK(IF$3:IF$5))</f>
        <v>0</v>
      </c>
      <c r="IG13" s="1">
        <f>SUMPRODUCT((NOT(ISBLANK(IG$3:IG$5))*(IG$3:IG$5&gt;$KZ$3:$KZ$5))+ISBLANK(IG$3:IG$5))</f>
        <v>0</v>
      </c>
      <c r="IH13" s="1">
        <f>SUMPRODUCT((NOT(ISBLANK(IH$3:IH$5))*(IH$3:IH$5&gt;$LA$3:$LA$5))+ISBLANK(IH$3:IH$5))</f>
        <v>0</v>
      </c>
      <c r="II13" s="1">
        <f>SUMPRODUCT((NOT(ISBLANK(II$3:II$5))*(II$3:II$5&gt;$LB$3:$LB$5))+ISBLANK(II$3:II$5))</f>
        <v>0</v>
      </c>
      <c r="IJ13" s="1">
        <f>SUMPRODUCT((NOT(ISBLANK(IJ$3:IJ$5))*(IJ$3:IJ$5&gt;$LC$3:$LC$5))+ISBLANK(IJ$3:IJ$5))</f>
        <v>0</v>
      </c>
      <c r="IK13" s="1">
        <f>SUMPRODUCT((NOT(ISBLANK(IK$3:IK$5))*(IK$3:IK$5&gt;$LD$3:$LD$5))+ISBLANK(IK$3:IK$5))</f>
        <v>0</v>
      </c>
      <c r="IL13" s="1">
        <f>SUMPRODUCT((NOT(ISBLANK(IL$3:IL$5))*(IL$3:IL$5&gt;$LE$3:$LE$5))+ISBLANK(IL$3:IL$5))</f>
        <v>0</v>
      </c>
      <c r="IM13" s="1">
        <f>SUMPRODUCT((NOT(ISBLANK(IM$3:IM$5))*(IM$3:IM$5&gt;$LF$3:$LF$5))+ISBLANK(IM$3:IM$5))</f>
        <v>0</v>
      </c>
      <c r="IN13" s="1">
        <f>SUMPRODUCT((NOT(ISBLANK(IN$3:IN$5))*(IN$3:IN$5&gt;$LG$3:$LG$5))+ISBLANK(IN$3:IN$5))</f>
        <v>0</v>
      </c>
      <c r="IO13" s="1">
        <f>SUMPRODUCT((NOT(ISBLANK(IO$3:IO$5))*(IO$3:IO$5&gt;$LH$3:$LH$5))+ISBLANK(IO$3:IO$5))</f>
        <v>0</v>
      </c>
      <c r="IP13" s="1"/>
      <c r="IQ13" s="1">
        <f>SUMPRODUCT((NOT(ISBLANK(IQ$3:IQ$5))*(IQ$3:IQ$5&gt;$LI$3:$LI$5))+ISBLANK(IQ$3:IQ$5))</f>
        <v>0</v>
      </c>
      <c r="IR13" s="1">
        <f>SUMPRODUCT((NOT(ISBLANK(IR$3:IR$5))*(IR$3:IR$5&gt;$LJ$3:$LJ$5))+ISBLANK(IR$3:IR$5))</f>
        <v>0</v>
      </c>
      <c r="IS13" s="1">
        <f>SUMPRODUCT((NOT(ISBLANK(IS$3:IS$5))*(IS$3:IS$5&gt;$LK$3:$LK$5))+ISBLANK(IS$3:IS$5))</f>
        <v>0</v>
      </c>
      <c r="IT13" s="1">
        <f>SUMPRODUCT((NOT(ISBLANK(IT$3:IT$5))*(IT$3:IT$5&gt;$KU$3:$KU$5))+ISBLANK(IT$3:IT$5))</f>
        <v>0</v>
      </c>
      <c r="IU13" s="1">
        <f>SUMPRODUCT((NOT(ISBLANK(IU$3:IU$5))*(IU$3:IU$5&gt;$KV$3:$KV$5))+ISBLANK(IU$3:IU$5))</f>
        <v>0</v>
      </c>
      <c r="IV13" s="1">
        <f>SUMPRODUCT((NOT(ISBLANK(IV$3:IV$5))*(IV$3:IV$5&gt;$KW$3:$KW$5))+ISBLANK(IV$3:IV$5))</f>
        <v>0</v>
      </c>
      <c r="IW13" s="1">
        <f>SUMPRODUCT((NOT(ISBLANK(IW$3:IW$5))*(IW$3:IW$5&gt;$KX$3:$KX$5))+ISBLANK(IW$3:IW$5))</f>
        <v>0</v>
      </c>
      <c r="IX13" s="1">
        <f>SUMPRODUCT((NOT(ISBLANK(IX$3:IX$5))*(IX$3:IX$5&gt;$KY$3:$KY$5))+ISBLANK(IX$3:IX$5))</f>
        <v>0</v>
      </c>
      <c r="IY13" s="1">
        <f>SUMPRODUCT((NOT(ISBLANK(IY$3:IY$5))*(IY$3:IY$5&gt;$KZ$3:$KZ$5))+ISBLANK(IY$3:IY$5))</f>
        <v>0</v>
      </c>
      <c r="IZ13" s="1">
        <f>SUMPRODUCT((NOT(ISBLANK(IZ$3:IZ$5))*(IZ$3:IZ$5&gt;$LA$3:$LA$5))+ISBLANK(IZ$3:IZ$5))</f>
        <v>0</v>
      </c>
      <c r="JA13" s="1">
        <f>SUMPRODUCT((NOT(ISBLANK(JA$3:JA$5))*(JA$3:JA$5&gt;$LB$3:$LB$5))+ISBLANK(JA$3:JA$5))</f>
        <v>0</v>
      </c>
      <c r="JB13" s="1">
        <f>SUMPRODUCT((NOT(ISBLANK(JB$3:JB$5))*(JB$3:JB$5&gt;$LC$3:$LC$5))+ISBLANK(JB$3:JB$5))</f>
        <v>0</v>
      </c>
      <c r="JC13" s="1">
        <f>SUMPRODUCT((NOT(ISBLANK(JC$3:JC$5))*(JC$3:JC$5&gt;$LD$3:$LD$5))+ISBLANK(JC$3:JC$5))</f>
        <v>0</v>
      </c>
      <c r="JD13" s="1">
        <f>SUMPRODUCT((NOT(ISBLANK(JD$3:JD$5))*(JD$3:JD$5&gt;$LE$3:$LE$5))+ISBLANK(JD$3:JD$5))</f>
        <v>0</v>
      </c>
      <c r="JE13" s="1">
        <f>SUMPRODUCT((NOT(ISBLANK(JE$3:JE$5))*(JE$3:JE$5&gt;$LF$3:$LF$5))+ISBLANK(JE$3:JE$5))</f>
        <v>0</v>
      </c>
      <c r="JF13" s="1">
        <f>SUMPRODUCT((NOT(ISBLANK(JF$3:JF$5))*(JF$3:JF$5&gt;$LG$3:$LG$5))+ISBLANK(JF$3:JF$5))</f>
        <v>0</v>
      </c>
      <c r="JG13" s="1">
        <f>SUMPRODUCT((NOT(ISBLANK(JG$3:JG$5))*(JG$3:JG$5&gt;$LH$3:$LH$5))+ISBLANK(JG$3:JG$5))</f>
        <v>0</v>
      </c>
      <c r="JH13" s="1"/>
      <c r="JI13" s="1">
        <f>SUMPRODUCT((NOT(ISBLANK(JI$3:JI$5))*(JI$3:JI$5&gt;$LI$3:$LI$5))+ISBLANK(JI$3:JI$5))</f>
        <v>0</v>
      </c>
      <c r="JJ13" s="1">
        <f>SUMPRODUCT((NOT(ISBLANK(JJ$3:JJ$5))*(JJ$3:JJ$5&gt;$LJ$3:$LJ$5))+ISBLANK(JJ$3:JJ$5))</f>
        <v>0</v>
      </c>
      <c r="JK13" s="1">
        <f>SUMPRODUCT((NOT(ISBLANK(JK$3:JK$5))*(JK$3:JK$5&gt;$LK$3:$LK$5))+ISBLANK(JK$3:JK$5))</f>
        <v>0</v>
      </c>
      <c r="JL13" s="1">
        <f>SUMPRODUCT((NOT(ISBLANK(JL$3:JL$5))*(JL$3:JL$5&gt;$KU$3:$KU$5))+ISBLANK(JL$3:JL$5))</f>
        <v>0</v>
      </c>
      <c r="JM13" s="1">
        <f>SUMPRODUCT((NOT(ISBLANK(JM$3:JM$5))*(JM$3:JM$5&gt;$KV$3:$KV$5))+ISBLANK(JM$3:JM$5))</f>
        <v>0</v>
      </c>
      <c r="JN13" s="1">
        <f>SUMPRODUCT((NOT(ISBLANK(JN$3:JN$5))*(JN$3:JN$5&gt;$KW$3:$KW$5))+ISBLANK(JN$3:JN$5))</f>
        <v>0</v>
      </c>
      <c r="JO13" s="1">
        <f>SUMPRODUCT((NOT(ISBLANK(JO$3:JO$5))*(JO$3:JO$5&gt;$KX$3:$KX$5))+ISBLANK(JO$3:JO$5))</f>
        <v>0</v>
      </c>
      <c r="JP13" s="1">
        <f>SUMPRODUCT((NOT(ISBLANK(JP$3:JP$5))*(JP$3:JP$5&gt;$KY$3:$KY$5))+ISBLANK(JP$3:JP$5))</f>
        <v>0</v>
      </c>
      <c r="JQ13" s="1">
        <f>SUMPRODUCT((NOT(ISBLANK(JQ$3:JQ$5))*(JQ$3:JQ$5&gt;$KZ$3:$KZ$5))+ISBLANK(JQ$3:JQ$5))</f>
        <v>0</v>
      </c>
      <c r="JR13" s="1">
        <f>SUMPRODUCT((NOT(ISBLANK(JR$3:JR$5))*(JR$3:JR$5&gt;$LA$3:$LA$5))+ISBLANK(JR$3:JR$5))</f>
        <v>0</v>
      </c>
      <c r="JS13" s="1">
        <f>SUMPRODUCT((NOT(ISBLANK(JS$3:JS$5))*(JS$3:JS$5&gt;$LB$3:$LB$5))+ISBLANK(JS$3:JS$5))</f>
        <v>0</v>
      </c>
      <c r="JT13" s="1">
        <f>SUMPRODUCT((NOT(ISBLANK(JT$3:JT$5))*(JT$3:JT$5&gt;$LC$3:$LC$5))+ISBLANK(JT$3:JT$5))</f>
        <v>0</v>
      </c>
      <c r="JU13" s="1">
        <f>SUMPRODUCT((NOT(ISBLANK(JU$3:JU$5))*(JU$3:JU$5&gt;$LD$3:$LD$5))+ISBLANK(JU$3:JU$5))</f>
        <v>0</v>
      </c>
      <c r="JV13" s="1">
        <f>SUMPRODUCT((NOT(ISBLANK(JV$3:JV$5))*(JV$3:JV$5&gt;$LE$3:$LE$5))+ISBLANK(JV$3:JV$5))</f>
        <v>0</v>
      </c>
      <c r="JW13" s="1">
        <f>SUMPRODUCT((NOT(ISBLANK(JW$3:JW$5))*(JW$3:JW$5&gt;$LF$3:$LF$5))+ISBLANK(JW$3:JW$5))</f>
        <v>0</v>
      </c>
      <c r="JX13" s="1">
        <f>SUMPRODUCT((NOT(ISBLANK(JX$3:JX$5))*(JX$3:JX$5&gt;$LG$3:$LG$5))+ISBLANK(JX$3:JX$5))</f>
        <v>0</v>
      </c>
      <c r="JY13" s="1">
        <f>SUMPRODUCT((NOT(ISBLANK(JY$3:JY$5))*(JY$3:JY$5&gt;$LH$3:$LH$5))+ISBLANK(JY$3:JY$5))</f>
        <v>0</v>
      </c>
      <c r="JZ13" s="1"/>
      <c r="KA13" s="1">
        <f>SUMPRODUCT((NOT(ISBLANK(KA$3:KA$5))*(KA$3:KA$5&gt;$LI$3:$LI$5))+ISBLANK(KA$3:KA$5))</f>
        <v>0</v>
      </c>
      <c r="KB13" s="1">
        <f>SUMPRODUCT((NOT(ISBLANK(KB$3:KB$5))*(KB$3:KB$5&gt;$LJ$3:$LJ$5))+ISBLANK(KB$3:KB$5))</f>
        <v>0</v>
      </c>
      <c r="KC13" s="1">
        <f>SUMPRODUCT((NOT(ISBLANK(KC$3:KC$5))*(KC$3:KC$5&gt;$LK$3:$LK$5))+ISBLANK(KC$3:KC$5))</f>
        <v>0</v>
      </c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</row>
    <row r="14" spans="1:340">
      <c r="A14" s="1" t="s">
        <v>14</v>
      </c>
      <c r="B14" s="1">
        <f>SUMPRODUCT((NOT(ISBLANK(B$3:B$5))*(B$3:B$5=$LL$3:$LL$5))+ISBLANK(B$3:B$5))</f>
        <v>0</v>
      </c>
      <c r="C14" s="1">
        <f>SUMPRODUCT((NOT(ISBLANK(C$3:C$5))*(C$3:C$5=$LM$3:$LM$5))+ISBLANK(C$3:C$5))</f>
        <v>0</v>
      </c>
      <c r="D14" s="1">
        <f>SUMPRODUCT((NOT(ISBLANK(D$3:D$5))*(D$3:D$5=$LN$3:$LN$5))+ISBLANK(D$3:D$5))</f>
        <v>0</v>
      </c>
      <c r="E14" s="1">
        <f>SUMPRODUCT((NOT(ISBLANK(E$3:E$5))*(E$3:E$5=$LO$3:$LO$5))+ISBLANK(E$3:E$5))</f>
        <v>0</v>
      </c>
      <c r="F14" s="1">
        <f>SUMPRODUCT((NOT(ISBLANK(F$3:F$5))*(F$3:F$5=$LP$3:$LP$5))+ISBLANK(F$3:F$5))</f>
        <v>0</v>
      </c>
      <c r="G14" s="1">
        <f>SUMPRODUCT((NOT(ISBLANK(G$3:G$5))*(G$3:G$5=$LQ$3:$LQ$5))+ISBLANK(G$3:G$5))</f>
        <v>0</v>
      </c>
      <c r="H14" s="1">
        <f>SUMPRODUCT((NOT(ISBLANK(H$3:H$5))*(H$3:H$5=$LR$3:$LR$5))+ISBLANK(H$3:H$5))</f>
        <v>0</v>
      </c>
      <c r="I14" s="1">
        <f>SUMPRODUCT((NOT(ISBLANK(I$3:I$5))*(I$3:I$5=$LS$3:$LS$5))+ISBLANK(I$3:I$5))</f>
        <v>0</v>
      </c>
      <c r="J14" s="1">
        <f>SUMPRODUCT((NOT(ISBLANK(J$3:J$5))*(J$3:J$5=$LT$3:$LT$5))+ISBLANK(J$3:J$5))</f>
        <v>0</v>
      </c>
      <c r="K14" s="1">
        <f>SUMPRODUCT((NOT(ISBLANK(K$3:K$5))*(K$3:K$5=$LU$3:$LU$5))+ISBLANK(K$3:K$5))</f>
        <v>0</v>
      </c>
      <c r="L14" s="1">
        <f>SUMPRODUCT((NOT(ISBLANK(L$3:L$5))*(L$3:L$5=$LV$3:$LV$5))+ISBLANK(L$3:L$5))</f>
        <v>0</v>
      </c>
      <c r="M14" s="1">
        <f>SUMPRODUCT((NOT(ISBLANK(M$3:M$5))*(M$3:M$5=$LW$3:$LW$5))+ISBLANK(M$3:M$5))</f>
        <v>0</v>
      </c>
      <c r="N14" s="1">
        <f>SUMPRODUCT((NOT(ISBLANK(N$3:N$5))*(N$3:N$5=$LX$3:$LX$5))+ISBLANK(N$3:N$5))</f>
        <v>0</v>
      </c>
      <c r="O14" s="1">
        <f>SUMPRODUCT((NOT(ISBLANK(O$3:O$5))*(O$3:O$5=$LY$3:$LY$5))+ISBLANK(O$3:O$5))</f>
        <v>0</v>
      </c>
      <c r="P14" s="1"/>
      <c r="Q14" s="1">
        <f>SUMPRODUCT((NOT(ISBLANK(Q$3:Q$5))*(Q$3:Q$5=$LZ$3:$LZ$5))+ISBLANK(Q$3:Q$5))</f>
        <v>0</v>
      </c>
      <c r="R14" s="1">
        <f>SUMPRODUCT((NOT(ISBLANK(R$3:R$5))*(R$3:R$5=$MA$3:$MA$5))+ISBLANK(R$3:R$5))</f>
        <v>0</v>
      </c>
      <c r="S14" s="1">
        <f>SUMPRODUCT((NOT(ISBLANK(S$3:S$5))*(S$3:S$5=$MB$3:$MB$5))+ISBLANK(S$3:S$5))</f>
        <v>0</v>
      </c>
      <c r="T14" s="1">
        <f>SUMPRODUCT((NOT(ISBLANK(T$3:T$5))*(T$3:T$5=$LL$3:$LL$5))+ISBLANK(T$3:T$5))</f>
        <v>0</v>
      </c>
      <c r="U14" s="1">
        <f>SUMPRODUCT((NOT(ISBLANK(U$3:U$5))*(U$3:U$5=$LM$3:$LM$5))+ISBLANK(U$3:U$5))</f>
        <v>0</v>
      </c>
      <c r="V14" s="1">
        <f>SUMPRODUCT((NOT(ISBLANK(V$3:V$5))*(V$3:V$5=$LN$3:$LN$5))+ISBLANK(V$3:V$5))</f>
        <v>0</v>
      </c>
      <c r="W14" s="1">
        <f>SUMPRODUCT((NOT(ISBLANK(W$3:W$5))*(W$3:W$5=$LO$3:$LO$5))+ISBLANK(W$3:W$5))</f>
        <v>0</v>
      </c>
      <c r="X14" s="1">
        <f>SUMPRODUCT((NOT(ISBLANK(X$3:X$5))*(X$3:X$5=$LP$3:$LP$5))+ISBLANK(X$3:X$5))</f>
        <v>0</v>
      </c>
      <c r="Y14" s="1">
        <f>SUMPRODUCT((NOT(ISBLANK(Y$3:Y$5))*(Y$3:Y$5=$LQ$3:$LQ$5))+ISBLANK(Y$3:Y$5))</f>
        <v>0</v>
      </c>
      <c r="Z14" s="1">
        <f>SUMPRODUCT((NOT(ISBLANK(Z$3:Z$5))*(Z$3:Z$5=$LR$3:$LR$5))+ISBLANK(Z$3:Z$5))</f>
        <v>0</v>
      </c>
      <c r="AA14" s="1">
        <f>SUMPRODUCT((NOT(ISBLANK(AA$3:AA$5))*(AA$3:AA$5=$LS$3:$LS$5))+ISBLANK(AA$3:AA$5))</f>
        <v>0</v>
      </c>
      <c r="AB14" s="1">
        <f>SUMPRODUCT((NOT(ISBLANK(AB$3:AB$5))*(AB$3:AB$5=$LT$3:$LT$5))+ISBLANK(AB$3:AB$5))</f>
        <v>0</v>
      </c>
      <c r="AC14" s="1">
        <f>SUMPRODUCT((NOT(ISBLANK(AC$3:AC$5))*(AC$3:AC$5=$LU$3:$LU$5))+ISBLANK(AC$3:AC$5))</f>
        <v>0</v>
      </c>
      <c r="AD14" s="1">
        <f>SUMPRODUCT((NOT(ISBLANK(AD$3:AD$5))*(AD$3:AD$5=$LV$3:$LV$5))+ISBLANK(AD$3:AD$5))</f>
        <v>0</v>
      </c>
      <c r="AE14" s="1">
        <f>SUMPRODUCT((NOT(ISBLANK(AE$3:AE$5))*(AE$3:AE$5=$LW$3:$LW$5))+ISBLANK(AE$3:AE$5))</f>
        <v>0</v>
      </c>
      <c r="AF14" s="1">
        <f>SUMPRODUCT((NOT(ISBLANK(AF$3:AF$5))*(AF$3:AF$5=$LX$3:$LX$5))+ISBLANK(AF$3:AF$5))</f>
        <v>0</v>
      </c>
      <c r="AG14" s="1">
        <f>SUMPRODUCT((NOT(ISBLANK(AG$3:AG$5))*(AG$3:AG$5=$LY$3:$LY$5))+ISBLANK(AG$3:AG$5))</f>
        <v>0</v>
      </c>
      <c r="AH14" s="1"/>
      <c r="AI14" s="1">
        <f>SUMPRODUCT((NOT(ISBLANK(AI$3:AI$5))*(AI$3:AI$5=$LZ$3:$LZ$5))+ISBLANK(AI$3:AI$5))</f>
        <v>0</v>
      </c>
      <c r="AJ14" s="1">
        <f>SUMPRODUCT((NOT(ISBLANK(AJ$3:AJ$5))*(AJ$3:AJ$5=$MA$3:$MA$5))+ISBLANK(AJ$3:AJ$5))</f>
        <v>0</v>
      </c>
      <c r="AK14" s="1">
        <f>SUMPRODUCT((NOT(ISBLANK(AK$3:AK$5))*(AK$3:AK$5=$MB$3:$MB$5))+ISBLANK(AK$3:AK$5))</f>
        <v>0</v>
      </c>
      <c r="AL14" s="1">
        <f>SUMPRODUCT((NOT(ISBLANK(AL$3:AL$5))*(AL$3:AL$5=$LL$3:$LL$5))+ISBLANK(AL$3:AL$5))</f>
        <v>0</v>
      </c>
      <c r="AM14" s="1">
        <f>SUMPRODUCT((NOT(ISBLANK(AM$3:AM$5))*(AM$3:AM$5=$LM$3:$LM$5))+ISBLANK(AM$3:AM$5))</f>
        <v>0</v>
      </c>
      <c r="AN14" s="1">
        <f>SUMPRODUCT((NOT(ISBLANK(AN$3:AN$5))*(AN$3:AN$5=$LN$3:$LN$5))+ISBLANK(AN$3:AN$5))</f>
        <v>0</v>
      </c>
      <c r="AO14" s="1">
        <f>SUMPRODUCT((NOT(ISBLANK(AO$3:AO$5))*(AO$3:AO$5=$LO$3:$LO$5))+ISBLANK(AO$3:AO$5))</f>
        <v>0</v>
      </c>
      <c r="AP14" s="1">
        <f>SUMPRODUCT((NOT(ISBLANK(AP$3:AP$5))*(AP$3:AP$5=$LP$3:$LP$5))+ISBLANK(AP$3:AP$5))</f>
        <v>0</v>
      </c>
      <c r="AQ14" s="1">
        <f>SUMPRODUCT((NOT(ISBLANK(AQ$3:AQ$5))*(AQ$3:AQ$5=$LQ$3:$LQ$5))+ISBLANK(AQ$3:AQ$5))</f>
        <v>0</v>
      </c>
      <c r="AR14" s="1">
        <f>SUMPRODUCT((NOT(ISBLANK(AR$3:AR$5))*(AR$3:AR$5=$LR$3:$LR$5))+ISBLANK(AR$3:AR$5))</f>
        <v>0</v>
      </c>
      <c r="AS14" s="1">
        <f>SUMPRODUCT((NOT(ISBLANK(AS$3:AS$5))*(AS$3:AS$5=$LS$3:$LS$5))+ISBLANK(AS$3:AS$5))</f>
        <v>0</v>
      </c>
      <c r="AT14" s="1">
        <f>SUMPRODUCT((NOT(ISBLANK(AT$3:AT$5))*(AT$3:AT$5=$LT$3:$LT$5))+ISBLANK(AT$3:AT$5))</f>
        <v>0</v>
      </c>
      <c r="AU14" s="1">
        <f>SUMPRODUCT((NOT(ISBLANK(AU$3:AU$5))*(AU$3:AU$5=$LU$3:$LU$5))+ISBLANK(AU$3:AU$5))</f>
        <v>0</v>
      </c>
      <c r="AV14" s="1">
        <f>SUMPRODUCT((NOT(ISBLANK(AV$3:AV$5))*(AV$3:AV$5=$LV$3:$LV$5))+ISBLANK(AV$3:AV$5))</f>
        <v>0</v>
      </c>
      <c r="AW14" s="1">
        <f>SUMPRODUCT((NOT(ISBLANK(AW$3:AW$5))*(AW$3:AW$5=$LW$3:$LW$5))+ISBLANK(AW$3:AW$5))</f>
        <v>0</v>
      </c>
      <c r="AX14" s="1">
        <f>SUMPRODUCT((NOT(ISBLANK(AX$3:AX$5))*(AX$3:AX$5=$LX$3:$LX$5))+ISBLANK(AX$3:AX$5))</f>
        <v>0</v>
      </c>
      <c r="AY14" s="1">
        <f>SUMPRODUCT((NOT(ISBLANK(AY$3:AY$5))*(AY$3:AY$5=$LY$3:$LY$5))+ISBLANK(AY$3:AY$5))</f>
        <v>0</v>
      </c>
      <c r="AZ14" s="1"/>
      <c r="BA14" s="1">
        <f>SUMPRODUCT((NOT(ISBLANK(BA$3:BA$5))*(BA$3:BA$5=$LZ$3:$LZ$5))+ISBLANK(BA$3:BA$5))</f>
        <v>0</v>
      </c>
      <c r="BB14" s="1">
        <f>SUMPRODUCT((NOT(ISBLANK(BB$3:BB$5))*(BB$3:BB$5=$MA$3:$MA$5))+ISBLANK(BB$3:BB$5))</f>
        <v>0</v>
      </c>
      <c r="BC14" s="1">
        <f>SUMPRODUCT((NOT(ISBLANK(BC$3:BC$5))*(BC$3:BC$5=$MB$3:$MB$5))+ISBLANK(BC$3:BC$5))</f>
        <v>0</v>
      </c>
      <c r="BD14" s="1">
        <f>SUMPRODUCT((NOT(ISBLANK(BD$3:BD$5))*(BD$3:BD$5=$LL$3:$LL$5))+ISBLANK(BD$3:BD$5))</f>
        <v>0</v>
      </c>
      <c r="BE14" s="1">
        <f>SUMPRODUCT((NOT(ISBLANK(BE$3:BE$5))*(BE$3:BE$5=$LM$3:$LM$5))+ISBLANK(BE$3:BE$5))</f>
        <v>0</v>
      </c>
      <c r="BF14" s="1">
        <f>SUMPRODUCT((NOT(ISBLANK(BF$3:BF$5))*(BF$3:BF$5=$LN$3:$LN$5))+ISBLANK(BF$3:BF$5))</f>
        <v>0</v>
      </c>
      <c r="BG14" s="1">
        <f>SUMPRODUCT((NOT(ISBLANK(BG$3:BG$5))*(BG$3:BG$5=$LO$3:$LO$5))+ISBLANK(BG$3:BG$5))</f>
        <v>0</v>
      </c>
      <c r="BH14" s="1">
        <f>SUMPRODUCT((NOT(ISBLANK(BH$3:BH$5))*(BH$3:BH$5=$LP$3:$LP$5))+ISBLANK(BH$3:BH$5))</f>
        <v>0</v>
      </c>
      <c r="BI14" s="1">
        <f>SUMPRODUCT((NOT(ISBLANK(BI$3:BI$5))*(BI$3:BI$5=$LQ$3:$LQ$5))+ISBLANK(BI$3:BI$5))</f>
        <v>0</v>
      </c>
      <c r="BJ14" s="1">
        <f>SUMPRODUCT((NOT(ISBLANK(BJ$3:BJ$5))*(BJ$3:BJ$5=$LR$3:$LR$5))+ISBLANK(BJ$3:BJ$5))</f>
        <v>0</v>
      </c>
      <c r="BK14" s="1">
        <f>SUMPRODUCT((NOT(ISBLANK(BK$3:BK$5))*(BK$3:BK$5=$LS$3:$LS$5))+ISBLANK(BK$3:BK$5))</f>
        <v>0</v>
      </c>
      <c r="BL14" s="1">
        <f>SUMPRODUCT((NOT(ISBLANK(BL$3:BL$5))*(BL$3:BL$5=$LT$3:$LT$5))+ISBLANK(BL$3:BL$5))</f>
        <v>0</v>
      </c>
      <c r="BM14" s="1">
        <f>SUMPRODUCT((NOT(ISBLANK(BM$3:BM$5))*(BM$3:BM$5=$LU$3:$LU$5))+ISBLANK(BM$3:BM$5))</f>
        <v>0</v>
      </c>
      <c r="BN14" s="1">
        <f>SUMPRODUCT((NOT(ISBLANK(BN$3:BN$5))*(BN$3:BN$5=$LV$3:$LV$5))+ISBLANK(BN$3:BN$5))</f>
        <v>0</v>
      </c>
      <c r="BO14" s="1">
        <f>SUMPRODUCT((NOT(ISBLANK(BO$3:BO$5))*(BO$3:BO$5=$LW$3:$LW$5))+ISBLANK(BO$3:BO$5))</f>
        <v>0</v>
      </c>
      <c r="BP14" s="1">
        <f>SUMPRODUCT((NOT(ISBLANK(BP$3:BP$5))*(BP$3:BP$5=$LX$3:$LX$5))+ISBLANK(BP$3:BP$5))</f>
        <v>0</v>
      </c>
      <c r="BQ14" s="1">
        <f>SUMPRODUCT((NOT(ISBLANK(BQ$3:BQ$5))*(BQ$3:BQ$5=$LY$3:$LY$5))+ISBLANK(BQ$3:BQ$5))</f>
        <v>0</v>
      </c>
      <c r="BR14" s="1"/>
      <c r="BS14" s="1">
        <f>SUMPRODUCT((NOT(ISBLANK(BS$3:BS$5))*(BS$3:BS$5=$LZ$3:$LZ$5))+ISBLANK(BS$3:BS$5))</f>
        <v>0</v>
      </c>
      <c r="BT14" s="1">
        <f>SUMPRODUCT((NOT(ISBLANK(BT$3:BT$5))*(BT$3:BT$5=$MA$3:$MA$5))+ISBLANK(BT$3:BT$5))</f>
        <v>0</v>
      </c>
      <c r="BU14" s="1">
        <f>SUMPRODUCT((NOT(ISBLANK(BU$3:BU$5))*(BU$3:BU$5=$MB$3:$MB$5))+ISBLANK(BU$3:BU$5))</f>
        <v>0</v>
      </c>
      <c r="BV14" s="1">
        <f>SUMPRODUCT((NOT(ISBLANK(BV$3:BV$5))*(BV$3:BV$5=$LL$3:$LL$5))+ISBLANK(BV$3:BV$5))</f>
        <v>0</v>
      </c>
      <c r="BW14" s="1">
        <f>SUMPRODUCT((NOT(ISBLANK(BW$3:BW$5))*(BW$3:BW$5=$LM$3:$LM$5))+ISBLANK(BW$3:BW$5))</f>
        <v>0</v>
      </c>
      <c r="BX14" s="1">
        <f>SUMPRODUCT((NOT(ISBLANK(BX$3:BX$5))*(BX$3:BX$5=$LN$3:$LN$5))+ISBLANK(BX$3:BX$5))</f>
        <v>0</v>
      </c>
      <c r="BY14" s="1">
        <f>SUMPRODUCT((NOT(ISBLANK(BY$3:BY$5))*(BY$3:BY$5=$LO$3:$LO$5))+ISBLANK(BY$3:BY$5))</f>
        <v>0</v>
      </c>
      <c r="BZ14" s="1">
        <f>SUMPRODUCT((NOT(ISBLANK(BZ$3:BZ$5))*(BZ$3:BZ$5=$LP$3:$LP$5))+ISBLANK(BZ$3:BZ$5))</f>
        <v>0</v>
      </c>
      <c r="CA14" s="1">
        <f>SUMPRODUCT((NOT(ISBLANK(CA$3:CA$5))*(CA$3:CA$5=$LQ$3:$LQ$5))+ISBLANK(CA$3:CA$5))</f>
        <v>0</v>
      </c>
      <c r="CB14" s="1">
        <f>SUMPRODUCT((NOT(ISBLANK(CB$3:CB$5))*(CB$3:CB$5=$LR$3:$LR$5))+ISBLANK(CB$3:CB$5))</f>
        <v>0</v>
      </c>
      <c r="CC14" s="1">
        <f>SUMPRODUCT((NOT(ISBLANK(CC$3:CC$5))*(CC$3:CC$5=$LS$3:$LS$5))+ISBLANK(CC$3:CC$5))</f>
        <v>0</v>
      </c>
      <c r="CD14" s="1">
        <f>SUMPRODUCT((NOT(ISBLANK(CD$3:CD$5))*(CD$3:CD$5=$LT$3:$LT$5))+ISBLANK(CD$3:CD$5))</f>
        <v>0</v>
      </c>
      <c r="CE14" s="1">
        <f>SUMPRODUCT((NOT(ISBLANK(CE$3:CE$5))*(CE$3:CE$5=$LU$3:$LU$5))+ISBLANK(CE$3:CE$5))</f>
        <v>0</v>
      </c>
      <c r="CF14" s="1">
        <f>SUMPRODUCT((NOT(ISBLANK(CF$3:CF$5))*(CF$3:CF$5=$LV$3:$LV$5))+ISBLANK(CF$3:CF$5))</f>
        <v>0</v>
      </c>
      <c r="CG14" s="1">
        <f>SUMPRODUCT((NOT(ISBLANK(CG$3:CG$5))*(CG$3:CG$5=$LW$3:$LW$5))+ISBLANK(CG$3:CG$5))</f>
        <v>0</v>
      </c>
      <c r="CH14" s="1">
        <f>SUMPRODUCT((NOT(ISBLANK(CH$3:CH$5))*(CH$3:CH$5=$LX$3:$LX$5))+ISBLANK(CH$3:CH$5))</f>
        <v>0</v>
      </c>
      <c r="CI14" s="1">
        <f>SUMPRODUCT((NOT(ISBLANK(CI$3:CI$5))*(CI$3:CI$5=$LY$3:$LY$5))+ISBLANK(CI$3:CI$5))</f>
        <v>0</v>
      </c>
      <c r="CJ14" s="1"/>
      <c r="CK14" s="1">
        <f>SUMPRODUCT((NOT(ISBLANK(CK$3:CK$5))*(CK$3:CK$5=$LZ$3:$LZ$5))+ISBLANK(CK$3:CK$5))</f>
        <v>0</v>
      </c>
      <c r="CL14" s="1">
        <f>SUMPRODUCT((NOT(ISBLANK(CL$3:CL$5))*(CL$3:CL$5=$MA$3:$MA$5))+ISBLANK(CL$3:CL$5))</f>
        <v>0</v>
      </c>
      <c r="CM14" s="1">
        <f>SUMPRODUCT((NOT(ISBLANK(CM$3:CM$5))*(CM$3:CM$5=$MB$3:$MB$5))+ISBLANK(CM$3:CM$5))</f>
        <v>0</v>
      </c>
      <c r="CN14" s="1">
        <f>SUMPRODUCT((NOT(ISBLANK(CN$3:CN$5))*(CN$3:CN$5=$LL$3:$LL$5))+ISBLANK(CN$3:CN$5))</f>
        <v>0</v>
      </c>
      <c r="CO14" s="1">
        <f>SUMPRODUCT((NOT(ISBLANK(CO$3:CO$5))*(CO$3:CO$5=$LM$3:$LM$5))+ISBLANK(CO$3:CO$5))</f>
        <v>0</v>
      </c>
      <c r="CP14" s="1">
        <f>SUMPRODUCT((NOT(ISBLANK(CP$3:CP$5))*(CP$3:CP$5=$LN$3:$LN$5))+ISBLANK(CP$3:CP$5))</f>
        <v>0</v>
      </c>
      <c r="CQ14" s="1">
        <f>SUMPRODUCT((NOT(ISBLANK(CQ$3:CQ$5))*(CQ$3:CQ$5=$LO$3:$LO$5))+ISBLANK(CQ$3:CQ$5))</f>
        <v>0</v>
      </c>
      <c r="CR14" s="1">
        <f>SUMPRODUCT((NOT(ISBLANK(CR$3:CR$5))*(CR$3:CR$5=$LP$3:$LP$5))+ISBLANK(CR$3:CR$5))</f>
        <v>0</v>
      </c>
      <c r="CS14" s="1">
        <f>SUMPRODUCT((NOT(ISBLANK(CS$3:CS$5))*(CS$3:CS$5=$LQ$3:$LQ$5))+ISBLANK(CS$3:CS$5))</f>
        <v>0</v>
      </c>
      <c r="CT14" s="1">
        <f>SUMPRODUCT((NOT(ISBLANK(CT$3:CT$5))*(CT$3:CT$5=$LR$3:$LR$5))+ISBLANK(CT$3:CT$5))</f>
        <v>0</v>
      </c>
      <c r="CU14" s="1">
        <f>SUMPRODUCT((NOT(ISBLANK(CU$3:CU$5))*(CU$3:CU$5=$LS$3:$LS$5))+ISBLANK(CU$3:CU$5))</f>
        <v>0</v>
      </c>
      <c r="CV14" s="1">
        <f>SUMPRODUCT((NOT(ISBLANK(CV$3:CV$5))*(CV$3:CV$5=$LT$3:$LT$5))+ISBLANK(CV$3:CV$5))</f>
        <v>0</v>
      </c>
      <c r="CW14" s="1">
        <f>SUMPRODUCT((NOT(ISBLANK(CW$3:CW$5))*(CW$3:CW$5=$LU$3:$LU$5))+ISBLANK(CW$3:CW$5))</f>
        <v>0</v>
      </c>
      <c r="CX14" s="1">
        <f>SUMPRODUCT((NOT(ISBLANK(CX$3:CX$5))*(CX$3:CX$5=$LV$3:$LV$5))+ISBLANK(CX$3:CX$5))</f>
        <v>0</v>
      </c>
      <c r="CY14" s="1">
        <f>SUMPRODUCT((NOT(ISBLANK(CY$3:CY$5))*(CY$3:CY$5=$LW$3:$LW$5))+ISBLANK(CY$3:CY$5))</f>
        <v>0</v>
      </c>
      <c r="CZ14" s="1">
        <f>SUMPRODUCT((NOT(ISBLANK(CZ$3:CZ$5))*(CZ$3:CZ$5=$LX$3:$LX$5))+ISBLANK(CZ$3:CZ$5))</f>
        <v>0</v>
      </c>
      <c r="DA14" s="1">
        <f>SUMPRODUCT((NOT(ISBLANK(DA$3:DA$5))*(DA$3:DA$5=$LY$3:$LY$5))+ISBLANK(DA$3:DA$5))</f>
        <v>0</v>
      </c>
      <c r="DB14" s="1"/>
      <c r="DC14" s="1">
        <f>SUMPRODUCT((NOT(ISBLANK(DC$3:DC$5))*(DC$3:DC$5=$LZ$3:$LZ$5))+ISBLANK(DC$3:DC$5))</f>
        <v>0</v>
      </c>
      <c r="DD14" s="1">
        <f>SUMPRODUCT((NOT(ISBLANK(DD$3:DD$5))*(DD$3:DD$5=$MA$3:$MA$5))+ISBLANK(DD$3:DD$5))</f>
        <v>0</v>
      </c>
      <c r="DE14" s="1">
        <f>SUMPRODUCT((NOT(ISBLANK(DE$3:DE$5))*(DE$3:DE$5=$MB$3:$MB$5))+ISBLANK(DE$3:DE$5))</f>
        <v>0</v>
      </c>
      <c r="DF14" s="1">
        <f>SUMPRODUCT((NOT(ISBLANK(DF$3:DF$5))*(DF$3:DF$5=$LL$3:$LL$5))+ISBLANK(DF$3:DF$5))</f>
        <v>0</v>
      </c>
      <c r="DG14" s="1">
        <f>SUMPRODUCT((NOT(ISBLANK(DG$3:DG$5))*(DG$3:DG$5=$LM$3:$LM$5))+ISBLANK(DG$3:DG$5))</f>
        <v>0</v>
      </c>
      <c r="DH14" s="1">
        <f>SUMPRODUCT((NOT(ISBLANK(DH$3:DH$5))*(DH$3:DH$5=$LN$3:$LN$5))+ISBLANK(DH$3:DH$5))</f>
        <v>0</v>
      </c>
      <c r="DI14" s="1">
        <f>SUMPRODUCT((NOT(ISBLANK(DI$3:DI$5))*(DI$3:DI$5=$LO$3:$LO$5))+ISBLANK(DI$3:DI$5))</f>
        <v>0</v>
      </c>
      <c r="DJ14" s="1">
        <f>SUMPRODUCT((NOT(ISBLANK(DJ$3:DJ$5))*(DJ$3:DJ$5=$LP$3:$LP$5))+ISBLANK(DJ$3:DJ$5))</f>
        <v>0</v>
      </c>
      <c r="DK14" s="1">
        <f>SUMPRODUCT((NOT(ISBLANK(DK$3:DK$5))*(DK$3:DK$5=$LQ$3:$LQ$5))+ISBLANK(DK$3:DK$5))</f>
        <v>0</v>
      </c>
      <c r="DL14" s="1">
        <f>SUMPRODUCT((NOT(ISBLANK(DL$3:DL$5))*(DL$3:DL$5=$LR$3:$LR$5))+ISBLANK(DL$3:DL$5))</f>
        <v>0</v>
      </c>
      <c r="DM14" s="1">
        <f>SUMPRODUCT((NOT(ISBLANK(DM$3:DM$5))*(DM$3:DM$5=$LS$3:$LS$5))+ISBLANK(DM$3:DM$5))</f>
        <v>0</v>
      </c>
      <c r="DN14" s="1">
        <f>SUMPRODUCT((NOT(ISBLANK(DN$3:DN$5))*(DN$3:DN$5=$LT$3:$LT$5))+ISBLANK(DN$3:DN$5))</f>
        <v>0</v>
      </c>
      <c r="DO14" s="1">
        <f>SUMPRODUCT((NOT(ISBLANK(DO$3:DO$5))*(DO$3:DO$5=$LU$3:$LU$5))+ISBLANK(DO$3:DO$5))</f>
        <v>0</v>
      </c>
      <c r="DP14" s="1">
        <f>SUMPRODUCT((NOT(ISBLANK(DP$3:DP$5))*(DP$3:DP$5=$LV$3:$LV$5))+ISBLANK(DP$3:DP$5))</f>
        <v>0</v>
      </c>
      <c r="DQ14" s="1">
        <f>SUMPRODUCT((NOT(ISBLANK(DQ$3:DQ$5))*(DQ$3:DQ$5=$LW$3:$LW$5))+ISBLANK(DQ$3:DQ$5))</f>
        <v>0</v>
      </c>
      <c r="DR14" s="1">
        <f>SUMPRODUCT((NOT(ISBLANK(DR$3:DR$5))*(DR$3:DR$5=$LX$3:$LX$5))+ISBLANK(DR$3:DR$5))</f>
        <v>0</v>
      </c>
      <c r="DS14" s="1">
        <f>SUMPRODUCT((NOT(ISBLANK(DS$3:DS$5))*(DS$3:DS$5=$LY$3:$LY$5))+ISBLANK(DS$3:DS$5))</f>
        <v>0</v>
      </c>
      <c r="DT14" s="1"/>
      <c r="DU14" s="1">
        <f>SUMPRODUCT((NOT(ISBLANK(DU$3:DU$5))*(DU$3:DU$5=$LZ$3:$LZ$5))+ISBLANK(DU$3:DU$5))</f>
        <v>0</v>
      </c>
      <c r="DV14" s="1">
        <f>SUMPRODUCT((NOT(ISBLANK(DV$3:DV$5))*(DV$3:DV$5=$MA$3:$MA$5))+ISBLANK(DV$3:DV$5))</f>
        <v>0</v>
      </c>
      <c r="DW14" s="1">
        <f>SUMPRODUCT((NOT(ISBLANK(DW$3:DW$5))*(DW$3:DW$5=$MB$3:$MB$5))+ISBLANK(DW$3:DW$5))</f>
        <v>0</v>
      </c>
      <c r="DX14" s="1">
        <f>SUMPRODUCT((NOT(ISBLANK(DX$3:DX$5))*(DX$3:DX$5=$LL$3:$LL$5))+ISBLANK(DX$3:DX$5))</f>
        <v>0</v>
      </c>
      <c r="DY14" s="1">
        <f>SUMPRODUCT((NOT(ISBLANK(DY$3:DY$5))*(DY$3:DY$5=$LM$3:$LM$5))+ISBLANK(DY$3:DY$5))</f>
        <v>0</v>
      </c>
      <c r="DZ14" s="1">
        <f>SUMPRODUCT((NOT(ISBLANK(DZ$3:DZ$5))*(DZ$3:DZ$5=$LN$3:$LN$5))+ISBLANK(DZ$3:DZ$5))</f>
        <v>0</v>
      </c>
      <c r="EA14" s="1">
        <f>SUMPRODUCT((NOT(ISBLANK(EA$3:EA$5))*(EA$3:EA$5=$LO$3:$LO$5))+ISBLANK(EA$3:EA$5))</f>
        <v>0</v>
      </c>
      <c r="EB14" s="1">
        <f>SUMPRODUCT((NOT(ISBLANK(EB$3:EB$5))*(EB$3:EB$5=$LP$3:$LP$5))+ISBLANK(EB$3:EB$5))</f>
        <v>0</v>
      </c>
      <c r="EC14" s="1">
        <f>SUMPRODUCT((NOT(ISBLANK(EC$3:EC$5))*(EC$3:EC$5=$LQ$3:$LQ$5))+ISBLANK(EC$3:EC$5))</f>
        <v>0</v>
      </c>
      <c r="ED14" s="1">
        <f>SUMPRODUCT((NOT(ISBLANK(ED$3:ED$5))*(ED$3:ED$5=$LR$3:$LR$5))+ISBLANK(ED$3:ED$5))</f>
        <v>0</v>
      </c>
      <c r="EE14" s="1">
        <f>SUMPRODUCT((NOT(ISBLANK(EE$3:EE$5))*(EE$3:EE$5=$LS$3:$LS$5))+ISBLANK(EE$3:EE$5))</f>
        <v>0</v>
      </c>
      <c r="EF14" s="1">
        <f>SUMPRODUCT((NOT(ISBLANK(EF$3:EF$5))*(EF$3:EF$5=$LT$3:$LT$5))+ISBLANK(EF$3:EF$5))</f>
        <v>0</v>
      </c>
      <c r="EG14" s="1">
        <f>SUMPRODUCT((NOT(ISBLANK(EG$3:EG$5))*(EG$3:EG$5=$LU$3:$LU$5))+ISBLANK(EG$3:EG$5))</f>
        <v>0</v>
      </c>
      <c r="EH14" s="1">
        <f>SUMPRODUCT((NOT(ISBLANK(EH$3:EH$5))*(EH$3:EH$5=$LV$3:$LV$5))+ISBLANK(EH$3:EH$5))</f>
        <v>0</v>
      </c>
      <c r="EI14" s="1">
        <f>SUMPRODUCT((NOT(ISBLANK(EI$3:EI$5))*(EI$3:EI$5=$LW$3:$LW$5))+ISBLANK(EI$3:EI$5))</f>
        <v>0</v>
      </c>
      <c r="EJ14" s="1">
        <f>SUMPRODUCT((NOT(ISBLANK(EJ$3:EJ$5))*(EJ$3:EJ$5=$LX$3:$LX$5))+ISBLANK(EJ$3:EJ$5))</f>
        <v>0</v>
      </c>
      <c r="EK14" s="1">
        <f>SUMPRODUCT((NOT(ISBLANK(EK$3:EK$5))*(EK$3:EK$5=$LY$3:$LY$5))+ISBLANK(EK$3:EK$5))</f>
        <v>0</v>
      </c>
      <c r="EL14" s="1"/>
      <c r="EM14" s="1">
        <f>SUMPRODUCT((NOT(ISBLANK(EM$3:EM$5))*(EM$3:EM$5=$LZ$3:$LZ$5))+ISBLANK(EM$3:EM$5))</f>
        <v>0</v>
      </c>
      <c r="EN14" s="1">
        <f>SUMPRODUCT((NOT(ISBLANK(EN$3:EN$5))*(EN$3:EN$5=$MA$3:$MA$5))+ISBLANK(EN$3:EN$5))</f>
        <v>0</v>
      </c>
      <c r="EO14" s="1">
        <f>SUMPRODUCT((NOT(ISBLANK(EO$3:EO$5))*(EO$3:EO$5=$MB$3:$MB$5))+ISBLANK(EO$3:EO$5))</f>
        <v>0</v>
      </c>
      <c r="EP14" s="1">
        <f>SUMPRODUCT((NOT(ISBLANK(EP$3:EP$5))*(EP$3:EP$5=$LL$3:$LL$5))+ISBLANK(EP$3:EP$5))</f>
        <v>0</v>
      </c>
      <c r="EQ14" s="1">
        <f>SUMPRODUCT((NOT(ISBLANK(EQ$3:EQ$5))*(EQ$3:EQ$5=$LM$3:$LM$5))+ISBLANK(EQ$3:EQ$5))</f>
        <v>0</v>
      </c>
      <c r="ER14" s="1">
        <f>SUMPRODUCT((NOT(ISBLANK(ER$3:ER$5))*(ER$3:ER$5=$LN$3:$LN$5))+ISBLANK(ER$3:ER$5))</f>
        <v>0</v>
      </c>
      <c r="ES14" s="1">
        <f>SUMPRODUCT((NOT(ISBLANK(ES$3:ES$5))*(ES$3:ES$5=$LO$3:$LO$5))+ISBLANK(ES$3:ES$5))</f>
        <v>0</v>
      </c>
      <c r="ET14" s="1">
        <f>SUMPRODUCT((NOT(ISBLANK(ET$3:ET$5))*(ET$3:ET$5=$LP$3:$LP$5))+ISBLANK(ET$3:ET$5))</f>
        <v>0</v>
      </c>
      <c r="EU14" s="1">
        <f>SUMPRODUCT((NOT(ISBLANK(EU$3:EU$5))*(EU$3:EU$5=$LQ$3:$LQ$5))+ISBLANK(EU$3:EU$5))</f>
        <v>0</v>
      </c>
      <c r="EV14" s="1">
        <f>SUMPRODUCT((NOT(ISBLANK(EV$3:EV$5))*(EV$3:EV$5=$LR$3:$LR$5))+ISBLANK(EV$3:EV$5))</f>
        <v>0</v>
      </c>
      <c r="EW14" s="1">
        <f>SUMPRODUCT((NOT(ISBLANK(EW$3:EW$5))*(EW$3:EW$5=$LS$3:$LS$5))+ISBLANK(EW$3:EW$5))</f>
        <v>0</v>
      </c>
      <c r="EX14" s="1">
        <f>SUMPRODUCT((NOT(ISBLANK(EX$3:EX$5))*(EX$3:EX$5=$LT$3:$LT$5))+ISBLANK(EX$3:EX$5))</f>
        <v>0</v>
      </c>
      <c r="EY14" s="1">
        <f>SUMPRODUCT((NOT(ISBLANK(EY$3:EY$5))*(EY$3:EY$5=$LU$3:$LU$5))+ISBLANK(EY$3:EY$5))</f>
        <v>0</v>
      </c>
      <c r="EZ14" s="1">
        <f>SUMPRODUCT((NOT(ISBLANK(EZ$3:EZ$5))*(EZ$3:EZ$5=$LV$3:$LV$5))+ISBLANK(EZ$3:EZ$5))</f>
        <v>0</v>
      </c>
      <c r="FA14" s="1">
        <f>SUMPRODUCT((NOT(ISBLANK(FA$3:FA$5))*(FA$3:FA$5=$LW$3:$LW$5))+ISBLANK(FA$3:FA$5))</f>
        <v>0</v>
      </c>
      <c r="FB14" s="1">
        <f>SUMPRODUCT((NOT(ISBLANK(FB$3:FB$5))*(FB$3:FB$5=$LX$3:$LX$5))+ISBLANK(FB$3:FB$5))</f>
        <v>0</v>
      </c>
      <c r="FC14" s="1">
        <f>SUMPRODUCT((NOT(ISBLANK(FC$3:FC$5))*(FC$3:FC$5=$LY$3:$LY$5))+ISBLANK(FC$3:FC$5))</f>
        <v>0</v>
      </c>
      <c r="FD14" s="1"/>
      <c r="FE14" s="1">
        <f>SUMPRODUCT((NOT(ISBLANK(FE$3:FE$5))*(FE$3:FE$5=$LZ$3:$LZ$5))+ISBLANK(FE$3:FE$5))</f>
        <v>0</v>
      </c>
      <c r="FF14" s="1">
        <f>SUMPRODUCT((NOT(ISBLANK(FF$3:FF$5))*(FF$3:FF$5=$MA$3:$MA$5))+ISBLANK(FF$3:FF$5))</f>
        <v>0</v>
      </c>
      <c r="FG14" s="1">
        <f>SUMPRODUCT((NOT(ISBLANK(FG$3:FG$5))*(FG$3:FG$5=$MB$3:$MB$5))+ISBLANK(FG$3:FG$5))</f>
        <v>0</v>
      </c>
      <c r="FH14" s="1">
        <f>SUMPRODUCT((NOT(ISBLANK(FH$3:FH$5))*(FH$3:FH$5=$LL$3:$LL$5))+ISBLANK(FH$3:FH$5))</f>
        <v>0</v>
      </c>
      <c r="FI14" s="1">
        <f>SUMPRODUCT((NOT(ISBLANK(FI$3:FI$5))*(FI$3:FI$5=$LM$3:$LM$5))+ISBLANK(FI$3:FI$5))</f>
        <v>0</v>
      </c>
      <c r="FJ14" s="1">
        <f>SUMPRODUCT((NOT(ISBLANK(FJ$3:FJ$5))*(FJ$3:FJ$5=$LN$3:$LN$5))+ISBLANK(FJ$3:FJ$5))</f>
        <v>0</v>
      </c>
      <c r="FK14" s="1">
        <f>SUMPRODUCT((NOT(ISBLANK(FK$3:FK$5))*(FK$3:FK$5=$LO$3:$LO$5))+ISBLANK(FK$3:FK$5))</f>
        <v>0</v>
      </c>
      <c r="FL14" s="1">
        <f>SUMPRODUCT((NOT(ISBLANK(FL$3:FL$5))*(FL$3:FL$5=$LP$3:$LP$5))+ISBLANK(FL$3:FL$5))</f>
        <v>0</v>
      </c>
      <c r="FM14" s="1">
        <f>SUMPRODUCT((NOT(ISBLANK(FM$3:FM$5))*(FM$3:FM$5=$LQ$3:$LQ$5))+ISBLANK(FM$3:FM$5))</f>
        <v>0</v>
      </c>
      <c r="FN14" s="1">
        <f>SUMPRODUCT((NOT(ISBLANK(FN$3:FN$5))*(FN$3:FN$5=$LR$3:$LR$5))+ISBLANK(FN$3:FN$5))</f>
        <v>0</v>
      </c>
      <c r="FO14" s="1">
        <f>SUMPRODUCT((NOT(ISBLANK(FO$3:FO$5))*(FO$3:FO$5=$LS$3:$LS$5))+ISBLANK(FO$3:FO$5))</f>
        <v>0</v>
      </c>
      <c r="FP14" s="1">
        <f>SUMPRODUCT((NOT(ISBLANK(FP$3:FP$5))*(FP$3:FP$5=$LT$3:$LT$5))+ISBLANK(FP$3:FP$5))</f>
        <v>0</v>
      </c>
      <c r="FQ14" s="1">
        <f>SUMPRODUCT((NOT(ISBLANK(FQ$3:FQ$5))*(FQ$3:FQ$5=$LU$3:$LU$5))+ISBLANK(FQ$3:FQ$5))</f>
        <v>0</v>
      </c>
      <c r="FR14" s="1">
        <f>SUMPRODUCT((NOT(ISBLANK(FR$3:FR$5))*(FR$3:FR$5=$LV$3:$LV$5))+ISBLANK(FR$3:FR$5))</f>
        <v>0</v>
      </c>
      <c r="FS14" s="1">
        <f>SUMPRODUCT((NOT(ISBLANK(FS$3:FS$5))*(FS$3:FS$5=$LW$3:$LW$5))+ISBLANK(FS$3:FS$5))</f>
        <v>0</v>
      </c>
      <c r="FT14" s="1">
        <f>SUMPRODUCT((NOT(ISBLANK(FT$3:FT$5))*(FT$3:FT$5=$LX$3:$LX$5))+ISBLANK(FT$3:FT$5))</f>
        <v>0</v>
      </c>
      <c r="FU14" s="1">
        <f>SUMPRODUCT((NOT(ISBLANK(FU$3:FU$5))*(FU$3:FU$5=$LY$3:$LY$5))+ISBLANK(FU$3:FU$5))</f>
        <v>0</v>
      </c>
      <c r="FV14" s="1"/>
      <c r="FW14" s="1">
        <f>SUMPRODUCT((NOT(ISBLANK(FW$3:FW$5))*(FW$3:FW$5=$LZ$3:$LZ$5))+ISBLANK(FW$3:FW$5))</f>
        <v>0</v>
      </c>
      <c r="FX14" s="1">
        <f>SUMPRODUCT((NOT(ISBLANK(FX$3:FX$5))*(FX$3:FX$5=$MA$3:$MA$5))+ISBLANK(FX$3:FX$5))</f>
        <v>0</v>
      </c>
      <c r="FY14" s="1">
        <f>SUMPRODUCT((NOT(ISBLANK(FY$3:FY$5))*(FY$3:FY$5=$MB$3:$MB$5))+ISBLANK(FY$3:FY$5))</f>
        <v>0</v>
      </c>
      <c r="FZ14" s="1">
        <f>SUMPRODUCT((NOT(ISBLANK(FZ$3:FZ$5))*(FZ$3:FZ$5=$LL$3:$LL$5))+ISBLANK(FZ$3:FZ$5))</f>
        <v>0</v>
      </c>
      <c r="GA14" s="1">
        <f>SUMPRODUCT((NOT(ISBLANK(GA$3:GA$5))*(GA$3:GA$5=$LM$3:$LM$5))+ISBLANK(GA$3:GA$5))</f>
        <v>0</v>
      </c>
      <c r="GB14" s="1">
        <f>SUMPRODUCT((NOT(ISBLANK(GB$3:GB$5))*(GB$3:GB$5=$LN$3:$LN$5))+ISBLANK(GB$3:GB$5))</f>
        <v>0</v>
      </c>
      <c r="GC14" s="1">
        <f>SUMPRODUCT((NOT(ISBLANK(GC$3:GC$5))*(GC$3:GC$5=$LO$3:$LO$5))+ISBLANK(GC$3:GC$5))</f>
        <v>0</v>
      </c>
      <c r="GD14" s="1">
        <f>SUMPRODUCT((NOT(ISBLANK(GD$3:GD$5))*(GD$3:GD$5=$LP$3:$LP$5))+ISBLANK(GD$3:GD$5))</f>
        <v>0</v>
      </c>
      <c r="GE14" s="1">
        <f>SUMPRODUCT((NOT(ISBLANK(GE$3:GE$5))*(GE$3:GE$5=$LQ$3:$LQ$5))+ISBLANK(GE$3:GE$5))</f>
        <v>0</v>
      </c>
      <c r="GF14" s="1">
        <f>SUMPRODUCT((NOT(ISBLANK(GF$3:GF$5))*(GF$3:GF$5=$LR$3:$LR$5))+ISBLANK(GF$3:GF$5))</f>
        <v>0</v>
      </c>
      <c r="GG14" s="1">
        <f>SUMPRODUCT((NOT(ISBLANK(GG$3:GG$5))*(GG$3:GG$5=$LS$3:$LS$5))+ISBLANK(GG$3:GG$5))</f>
        <v>0</v>
      </c>
      <c r="GH14" s="1">
        <f>SUMPRODUCT((NOT(ISBLANK(GH$3:GH$5))*(GH$3:GH$5=$LT$3:$LT$5))+ISBLANK(GH$3:GH$5))</f>
        <v>0</v>
      </c>
      <c r="GI14" s="1">
        <f>SUMPRODUCT((NOT(ISBLANK(GI$3:GI$5))*(GI$3:GI$5=$LU$3:$LU$5))+ISBLANK(GI$3:GI$5))</f>
        <v>0</v>
      </c>
      <c r="GJ14" s="1">
        <f>SUMPRODUCT((NOT(ISBLANK(GJ$3:GJ$5))*(GJ$3:GJ$5=$LV$3:$LV$5))+ISBLANK(GJ$3:GJ$5))</f>
        <v>0</v>
      </c>
      <c r="GK14" s="1">
        <f>SUMPRODUCT((NOT(ISBLANK(GK$3:GK$5))*(GK$3:GK$5=$LW$3:$LW$5))+ISBLANK(GK$3:GK$5))</f>
        <v>0</v>
      </c>
      <c r="GL14" s="1">
        <f>SUMPRODUCT((NOT(ISBLANK(GL$3:GL$5))*(GL$3:GL$5=$LX$3:$LX$5))+ISBLANK(GL$3:GL$5))</f>
        <v>0</v>
      </c>
      <c r="GM14" s="1">
        <f>SUMPRODUCT((NOT(ISBLANK(GM$3:GM$5))*(GM$3:GM$5=$LY$3:$LY$5))+ISBLANK(GM$3:GM$5))</f>
        <v>0</v>
      </c>
      <c r="GN14" s="1"/>
      <c r="GO14" s="1">
        <f>SUMPRODUCT((NOT(ISBLANK(GO$3:GO$5))*(GO$3:GO$5=$LZ$3:$LZ$5))+ISBLANK(GO$3:GO$5))</f>
        <v>0</v>
      </c>
      <c r="GP14" s="1">
        <f>SUMPRODUCT((NOT(ISBLANK(GP$3:GP$5))*(GP$3:GP$5=$MA$3:$MA$5))+ISBLANK(GP$3:GP$5))</f>
        <v>0</v>
      </c>
      <c r="GQ14" s="1">
        <f>SUMPRODUCT((NOT(ISBLANK(GQ$3:GQ$5))*(GQ$3:GQ$5=$MB$3:$MB$5))+ISBLANK(GQ$3:GQ$5))</f>
        <v>0</v>
      </c>
      <c r="GR14" s="1">
        <f>SUMPRODUCT((NOT(ISBLANK(GR$3:GR$5))*(GR$3:GR$5=$LL$3:$LL$5))+ISBLANK(GR$3:GR$5))</f>
        <v>0</v>
      </c>
      <c r="GS14" s="1">
        <f>SUMPRODUCT((NOT(ISBLANK(GS$3:GS$5))*(GS$3:GS$5=$LM$3:$LM$5))+ISBLANK(GS$3:GS$5))</f>
        <v>0</v>
      </c>
      <c r="GT14" s="1">
        <f>SUMPRODUCT((NOT(ISBLANK(GT$3:GT$5))*(GT$3:GT$5=$LN$3:$LN$5))+ISBLANK(GT$3:GT$5))</f>
        <v>0</v>
      </c>
      <c r="GU14" s="1">
        <f>SUMPRODUCT((NOT(ISBLANK(GU$3:GU$5))*(GU$3:GU$5=$LO$3:$LO$5))+ISBLANK(GU$3:GU$5))</f>
        <v>0</v>
      </c>
      <c r="GV14" s="1">
        <f>SUMPRODUCT((NOT(ISBLANK(GV$3:GV$5))*(GV$3:GV$5=$LP$3:$LP$5))+ISBLANK(GV$3:GV$5))</f>
        <v>0</v>
      </c>
      <c r="GW14" s="1">
        <f>SUMPRODUCT((NOT(ISBLANK(GW$3:GW$5))*(GW$3:GW$5=$LQ$3:$LQ$5))+ISBLANK(GW$3:GW$5))</f>
        <v>0</v>
      </c>
      <c r="GX14" s="1">
        <f>SUMPRODUCT((NOT(ISBLANK(GX$3:GX$5))*(GX$3:GX$5=$LR$3:$LR$5))+ISBLANK(GX$3:GX$5))</f>
        <v>0</v>
      </c>
      <c r="GY14" s="1">
        <f>SUMPRODUCT((NOT(ISBLANK(GY$3:GY$5))*(GY$3:GY$5=$LS$3:$LS$5))+ISBLANK(GY$3:GY$5))</f>
        <v>0</v>
      </c>
      <c r="GZ14" s="1">
        <f>SUMPRODUCT((NOT(ISBLANK(GZ$3:GZ$5))*(GZ$3:GZ$5=$LT$3:$LT$5))+ISBLANK(GZ$3:GZ$5))</f>
        <v>0</v>
      </c>
      <c r="HA14" s="1">
        <f>SUMPRODUCT((NOT(ISBLANK(HA$3:HA$5))*(HA$3:HA$5=$LU$3:$LU$5))+ISBLANK(HA$3:HA$5))</f>
        <v>0</v>
      </c>
      <c r="HB14" s="1">
        <f>SUMPRODUCT((NOT(ISBLANK(HB$3:HB$5))*(HB$3:HB$5=$LV$3:$LV$5))+ISBLANK(HB$3:HB$5))</f>
        <v>0</v>
      </c>
      <c r="HC14" s="1">
        <f>SUMPRODUCT((NOT(ISBLANK(HC$3:HC$5))*(HC$3:HC$5=$LW$3:$LW$5))+ISBLANK(HC$3:HC$5))</f>
        <v>0</v>
      </c>
      <c r="HD14" s="1">
        <f>SUMPRODUCT((NOT(ISBLANK(HD$3:HD$5))*(HD$3:HD$5=$LX$3:$LX$5))+ISBLANK(HD$3:HD$5))</f>
        <v>0</v>
      </c>
      <c r="HE14" s="1">
        <f>SUMPRODUCT((NOT(ISBLANK(HE$3:HE$5))*(HE$3:HE$5=$LY$3:$LY$5))+ISBLANK(HE$3:HE$5))</f>
        <v>0</v>
      </c>
      <c r="HF14" s="1"/>
      <c r="HG14" s="1">
        <f>SUMPRODUCT((NOT(ISBLANK(HG$3:HG$5))*(HG$3:HG$5=$LZ$3:$LZ$5))+ISBLANK(HG$3:HG$5))</f>
        <v>0</v>
      </c>
      <c r="HH14" s="1">
        <f>SUMPRODUCT((NOT(ISBLANK(HH$3:HH$5))*(HH$3:HH$5=$MA$3:$MA$5))+ISBLANK(HH$3:HH$5))</f>
        <v>0</v>
      </c>
      <c r="HI14" s="1">
        <f>SUMPRODUCT((NOT(ISBLANK(HI$3:HI$5))*(HI$3:HI$5=$MB$3:$MB$5))+ISBLANK(HI$3:HI$5))</f>
        <v>0</v>
      </c>
      <c r="HJ14" s="1">
        <f>SUMPRODUCT((NOT(ISBLANK(HJ$3:HJ$5))*(HJ$3:HJ$5=$LL$3:$LL$5))+ISBLANK(HJ$3:HJ$5))</f>
        <v>0</v>
      </c>
      <c r="HK14" s="1">
        <f>SUMPRODUCT((NOT(ISBLANK(HK$3:HK$5))*(HK$3:HK$5=$LM$3:$LM$5))+ISBLANK(HK$3:HK$5))</f>
        <v>0</v>
      </c>
      <c r="HL14" s="1">
        <f>SUMPRODUCT((NOT(ISBLANK(HL$3:HL$5))*(HL$3:HL$5=$LN$3:$LN$5))+ISBLANK(HL$3:HL$5))</f>
        <v>0</v>
      </c>
      <c r="HM14" s="1">
        <f>SUMPRODUCT((NOT(ISBLANK(HM$3:HM$5))*(HM$3:HM$5=$LO$3:$LO$5))+ISBLANK(HM$3:HM$5))</f>
        <v>0</v>
      </c>
      <c r="HN14" s="1">
        <f>SUMPRODUCT((NOT(ISBLANK(HN$3:HN$5))*(HN$3:HN$5=$LP$3:$LP$5))+ISBLANK(HN$3:HN$5))</f>
        <v>0</v>
      </c>
      <c r="HO14" s="1">
        <f>SUMPRODUCT((NOT(ISBLANK(HO$3:HO$5))*(HO$3:HO$5=$LQ$3:$LQ$5))+ISBLANK(HO$3:HO$5))</f>
        <v>0</v>
      </c>
      <c r="HP14" s="1">
        <f>SUMPRODUCT((NOT(ISBLANK(HP$3:HP$5))*(HP$3:HP$5=$LR$3:$LR$5))+ISBLANK(HP$3:HP$5))</f>
        <v>0</v>
      </c>
      <c r="HQ14" s="1">
        <f>SUMPRODUCT((NOT(ISBLANK(HQ$3:HQ$5))*(HQ$3:HQ$5=$LS$3:$LS$5))+ISBLANK(HQ$3:HQ$5))</f>
        <v>0</v>
      </c>
      <c r="HR14" s="1">
        <f>SUMPRODUCT((NOT(ISBLANK(HR$3:HR$5))*(HR$3:HR$5=$LT$3:$LT$5))+ISBLANK(HR$3:HR$5))</f>
        <v>0</v>
      </c>
      <c r="HS14" s="1">
        <f>SUMPRODUCT((NOT(ISBLANK(HS$3:HS$5))*(HS$3:HS$5=$LU$3:$LU$5))+ISBLANK(HS$3:HS$5))</f>
        <v>0</v>
      </c>
      <c r="HT14" s="1">
        <f>SUMPRODUCT((NOT(ISBLANK(HT$3:HT$5))*(HT$3:HT$5=$LV$3:$LV$5))+ISBLANK(HT$3:HT$5))</f>
        <v>0</v>
      </c>
      <c r="HU14" s="1">
        <f>SUMPRODUCT((NOT(ISBLANK(HU$3:HU$5))*(HU$3:HU$5=$LW$3:$LW$5))+ISBLANK(HU$3:HU$5))</f>
        <v>0</v>
      </c>
      <c r="HV14" s="1">
        <f>SUMPRODUCT((NOT(ISBLANK(HV$3:HV$5))*(HV$3:HV$5=$LX$3:$LX$5))+ISBLANK(HV$3:HV$5))</f>
        <v>0</v>
      </c>
      <c r="HW14" s="1">
        <f>SUMPRODUCT((NOT(ISBLANK(HW$3:HW$5))*(HW$3:HW$5=$LY$3:$LY$5))+ISBLANK(HW$3:HW$5))</f>
        <v>0</v>
      </c>
      <c r="HX14" s="1"/>
      <c r="HY14" s="1">
        <f>SUMPRODUCT((NOT(ISBLANK(HY$3:HY$5))*(HY$3:HY$5=$LZ$3:$LZ$5))+ISBLANK(HY$3:HY$5))</f>
        <v>0</v>
      </c>
      <c r="HZ14" s="1">
        <f>SUMPRODUCT((NOT(ISBLANK(HZ$3:HZ$5))*(HZ$3:HZ$5=$MA$3:$MA$5))+ISBLANK(HZ$3:HZ$5))</f>
        <v>0</v>
      </c>
      <c r="IA14" s="1">
        <f>SUMPRODUCT((NOT(ISBLANK(IA$3:IA$5))*(IA$3:IA$5=$MB$3:$MB$5))+ISBLANK(IA$3:IA$5))</f>
        <v>0</v>
      </c>
      <c r="IB14" s="1">
        <f>SUMPRODUCT((NOT(ISBLANK(IB$3:IB$5))*(IB$3:IB$5=$LL$3:$LL$5))+ISBLANK(IB$3:IB$5))</f>
        <v>0</v>
      </c>
      <c r="IC14" s="1">
        <f>SUMPRODUCT((NOT(ISBLANK(IC$3:IC$5))*(IC$3:IC$5=$LM$3:$LM$5))+ISBLANK(IC$3:IC$5))</f>
        <v>0</v>
      </c>
      <c r="ID14" s="1">
        <f>SUMPRODUCT((NOT(ISBLANK(ID$3:ID$5))*(ID$3:ID$5=$LN$3:$LN$5))+ISBLANK(ID$3:ID$5))</f>
        <v>0</v>
      </c>
      <c r="IE14" s="1">
        <f>SUMPRODUCT((NOT(ISBLANK(IE$3:IE$5))*(IE$3:IE$5=$LO$3:$LO$5))+ISBLANK(IE$3:IE$5))</f>
        <v>0</v>
      </c>
      <c r="IF14" s="1">
        <f>SUMPRODUCT((NOT(ISBLANK(IF$3:IF$5))*(IF$3:IF$5=$LP$3:$LP$5))+ISBLANK(IF$3:IF$5))</f>
        <v>0</v>
      </c>
      <c r="IG14" s="1">
        <f>SUMPRODUCT((NOT(ISBLANK(IG$3:IG$5))*(IG$3:IG$5=$LQ$3:$LQ$5))+ISBLANK(IG$3:IG$5))</f>
        <v>0</v>
      </c>
      <c r="IH14" s="1">
        <f>SUMPRODUCT((NOT(ISBLANK(IH$3:IH$5))*(IH$3:IH$5=$LR$3:$LR$5))+ISBLANK(IH$3:IH$5))</f>
        <v>0</v>
      </c>
      <c r="II14" s="1">
        <f>SUMPRODUCT((NOT(ISBLANK(II$3:II$5))*(II$3:II$5=$LS$3:$LS$5))+ISBLANK(II$3:II$5))</f>
        <v>0</v>
      </c>
      <c r="IJ14" s="1">
        <f>SUMPRODUCT((NOT(ISBLANK(IJ$3:IJ$5))*(IJ$3:IJ$5=$LT$3:$LT$5))+ISBLANK(IJ$3:IJ$5))</f>
        <v>0</v>
      </c>
      <c r="IK14" s="1">
        <f>SUMPRODUCT((NOT(ISBLANK(IK$3:IK$5))*(IK$3:IK$5=$LU$3:$LU$5))+ISBLANK(IK$3:IK$5))</f>
        <v>0</v>
      </c>
      <c r="IL14" s="1">
        <f>SUMPRODUCT((NOT(ISBLANK(IL$3:IL$5))*(IL$3:IL$5=$LV$3:$LV$5))+ISBLANK(IL$3:IL$5))</f>
        <v>0</v>
      </c>
      <c r="IM14" s="1">
        <f>SUMPRODUCT((NOT(ISBLANK(IM$3:IM$5))*(IM$3:IM$5=$LW$3:$LW$5))+ISBLANK(IM$3:IM$5))</f>
        <v>0</v>
      </c>
      <c r="IN14" s="1">
        <f>SUMPRODUCT((NOT(ISBLANK(IN$3:IN$5))*(IN$3:IN$5=$LX$3:$LX$5))+ISBLANK(IN$3:IN$5))</f>
        <v>0</v>
      </c>
      <c r="IO14" s="1">
        <f>SUMPRODUCT((NOT(ISBLANK(IO$3:IO$5))*(IO$3:IO$5=$LY$3:$LY$5))+ISBLANK(IO$3:IO$5))</f>
        <v>0</v>
      </c>
      <c r="IP14" s="1"/>
      <c r="IQ14" s="1">
        <f>SUMPRODUCT((NOT(ISBLANK(IQ$3:IQ$5))*(IQ$3:IQ$5=$LZ$3:$LZ$5))+ISBLANK(IQ$3:IQ$5))</f>
        <v>0</v>
      </c>
      <c r="IR14" s="1">
        <f>SUMPRODUCT((NOT(ISBLANK(IR$3:IR$5))*(IR$3:IR$5=$MA$3:$MA$5))+ISBLANK(IR$3:IR$5))</f>
        <v>0</v>
      </c>
      <c r="IS14" s="1">
        <f>SUMPRODUCT((NOT(ISBLANK(IS$3:IS$5))*(IS$3:IS$5=$MB$3:$MB$5))+ISBLANK(IS$3:IS$5))</f>
        <v>0</v>
      </c>
      <c r="IT14" s="1">
        <f>SUMPRODUCT((NOT(ISBLANK(IT$3:IT$5))*(IT$3:IT$5=$LL$3:$LL$5))+ISBLANK(IT$3:IT$5))</f>
        <v>0</v>
      </c>
      <c r="IU14" s="1">
        <f>SUMPRODUCT((NOT(ISBLANK(IU$3:IU$5))*(IU$3:IU$5=$LM$3:$LM$5))+ISBLANK(IU$3:IU$5))</f>
        <v>0</v>
      </c>
      <c r="IV14" s="1">
        <f>SUMPRODUCT((NOT(ISBLANK(IV$3:IV$5))*(IV$3:IV$5=$LN$3:$LN$5))+ISBLANK(IV$3:IV$5))</f>
        <v>0</v>
      </c>
      <c r="IW14" s="1">
        <f>SUMPRODUCT((NOT(ISBLANK(IW$3:IW$5))*(IW$3:IW$5=$LO$3:$LO$5))+ISBLANK(IW$3:IW$5))</f>
        <v>0</v>
      </c>
      <c r="IX14" s="1">
        <f>SUMPRODUCT((NOT(ISBLANK(IX$3:IX$5))*(IX$3:IX$5=$LP$3:$LP$5))+ISBLANK(IX$3:IX$5))</f>
        <v>0</v>
      </c>
      <c r="IY14" s="1">
        <f>SUMPRODUCT((NOT(ISBLANK(IY$3:IY$5))*(IY$3:IY$5=$LQ$3:$LQ$5))+ISBLANK(IY$3:IY$5))</f>
        <v>0</v>
      </c>
      <c r="IZ14" s="1">
        <f>SUMPRODUCT((NOT(ISBLANK(IZ$3:IZ$5))*(IZ$3:IZ$5=$LR$3:$LR$5))+ISBLANK(IZ$3:IZ$5))</f>
        <v>0</v>
      </c>
      <c r="JA14" s="1">
        <f>SUMPRODUCT((NOT(ISBLANK(JA$3:JA$5))*(JA$3:JA$5=$LS$3:$LS$5))+ISBLANK(JA$3:JA$5))</f>
        <v>0</v>
      </c>
      <c r="JB14" s="1">
        <f>SUMPRODUCT((NOT(ISBLANK(JB$3:JB$5))*(JB$3:JB$5=$LT$3:$LT$5))+ISBLANK(JB$3:JB$5))</f>
        <v>0</v>
      </c>
      <c r="JC14" s="1">
        <f>SUMPRODUCT((NOT(ISBLANK(JC$3:JC$5))*(JC$3:JC$5=$LU$3:$LU$5))+ISBLANK(JC$3:JC$5))</f>
        <v>0</v>
      </c>
      <c r="JD14" s="1">
        <f>SUMPRODUCT((NOT(ISBLANK(JD$3:JD$5))*(JD$3:JD$5=$LV$3:$LV$5))+ISBLANK(JD$3:JD$5))</f>
        <v>0</v>
      </c>
      <c r="JE14" s="1">
        <f>SUMPRODUCT((NOT(ISBLANK(JE$3:JE$5))*(JE$3:JE$5=$LW$3:$LW$5))+ISBLANK(JE$3:JE$5))</f>
        <v>0</v>
      </c>
      <c r="JF14" s="1">
        <f>SUMPRODUCT((NOT(ISBLANK(JF$3:JF$5))*(JF$3:JF$5=$LX$3:$LX$5))+ISBLANK(JF$3:JF$5))</f>
        <v>0</v>
      </c>
      <c r="JG14" s="1">
        <f>SUMPRODUCT((NOT(ISBLANK(JG$3:JG$5))*(JG$3:JG$5=$LY$3:$LY$5))+ISBLANK(JG$3:JG$5))</f>
        <v>0</v>
      </c>
      <c r="JH14" s="1"/>
      <c r="JI14" s="1">
        <f>SUMPRODUCT((NOT(ISBLANK(JI$3:JI$5))*(JI$3:JI$5=$LZ$3:$LZ$5))+ISBLANK(JI$3:JI$5))</f>
        <v>0</v>
      </c>
      <c r="JJ14" s="1">
        <f>SUMPRODUCT((NOT(ISBLANK(JJ$3:JJ$5))*(JJ$3:JJ$5=$MA$3:$MA$5))+ISBLANK(JJ$3:JJ$5))</f>
        <v>0</v>
      </c>
      <c r="JK14" s="1">
        <f>SUMPRODUCT((NOT(ISBLANK(JK$3:JK$5))*(JK$3:JK$5=$MB$3:$MB$5))+ISBLANK(JK$3:JK$5))</f>
        <v>0</v>
      </c>
      <c r="JL14" s="1">
        <f>SUMPRODUCT((NOT(ISBLANK(JL$3:JL$5))*(JL$3:JL$5=$LL$3:$LL$5))+ISBLANK(JL$3:JL$5))</f>
        <v>0</v>
      </c>
      <c r="JM14" s="1">
        <f>SUMPRODUCT((NOT(ISBLANK(JM$3:JM$5))*(JM$3:JM$5=$LM$3:$LM$5))+ISBLANK(JM$3:JM$5))</f>
        <v>0</v>
      </c>
      <c r="JN14" s="1">
        <f>SUMPRODUCT((NOT(ISBLANK(JN$3:JN$5))*(JN$3:JN$5=$LN$3:$LN$5))+ISBLANK(JN$3:JN$5))</f>
        <v>0</v>
      </c>
      <c r="JO14" s="1">
        <f>SUMPRODUCT((NOT(ISBLANK(JO$3:JO$5))*(JO$3:JO$5=$LO$3:$LO$5))+ISBLANK(JO$3:JO$5))</f>
        <v>0</v>
      </c>
      <c r="JP14" s="1">
        <f>SUMPRODUCT((NOT(ISBLANK(JP$3:JP$5))*(JP$3:JP$5=$LP$3:$LP$5))+ISBLANK(JP$3:JP$5))</f>
        <v>0</v>
      </c>
      <c r="JQ14" s="1">
        <f>SUMPRODUCT((NOT(ISBLANK(JQ$3:JQ$5))*(JQ$3:JQ$5=$LQ$3:$LQ$5))+ISBLANK(JQ$3:JQ$5))</f>
        <v>0</v>
      </c>
      <c r="JR14" s="1">
        <f>SUMPRODUCT((NOT(ISBLANK(JR$3:JR$5))*(JR$3:JR$5=$LR$3:$LR$5))+ISBLANK(JR$3:JR$5))</f>
        <v>0</v>
      </c>
      <c r="JS14" s="1">
        <f>SUMPRODUCT((NOT(ISBLANK(JS$3:JS$5))*(JS$3:JS$5=$LS$3:$LS$5))+ISBLANK(JS$3:JS$5))</f>
        <v>0</v>
      </c>
      <c r="JT14" s="1">
        <f>SUMPRODUCT((NOT(ISBLANK(JT$3:JT$5))*(JT$3:JT$5=$LT$3:$LT$5))+ISBLANK(JT$3:JT$5))</f>
        <v>0</v>
      </c>
      <c r="JU14" s="1">
        <f>SUMPRODUCT((NOT(ISBLANK(JU$3:JU$5))*(JU$3:JU$5=$LU$3:$LU$5))+ISBLANK(JU$3:JU$5))</f>
        <v>0</v>
      </c>
      <c r="JV14" s="1">
        <f>SUMPRODUCT((NOT(ISBLANK(JV$3:JV$5))*(JV$3:JV$5=$LV$3:$LV$5))+ISBLANK(JV$3:JV$5))</f>
        <v>0</v>
      </c>
      <c r="JW14" s="1">
        <f>SUMPRODUCT((NOT(ISBLANK(JW$3:JW$5))*(JW$3:JW$5=$LW$3:$LW$5))+ISBLANK(JW$3:JW$5))</f>
        <v>0</v>
      </c>
      <c r="JX14" s="1">
        <f>SUMPRODUCT((NOT(ISBLANK(JX$3:JX$5))*(JX$3:JX$5=$LX$3:$LX$5))+ISBLANK(JX$3:JX$5))</f>
        <v>0</v>
      </c>
      <c r="JY14" s="1">
        <f>SUMPRODUCT((NOT(ISBLANK(JY$3:JY$5))*(JY$3:JY$5=$LY$3:$LY$5))+ISBLANK(JY$3:JY$5))</f>
        <v>0</v>
      </c>
      <c r="JZ14" s="1"/>
      <c r="KA14" s="1">
        <f>SUMPRODUCT((NOT(ISBLANK(KA$3:KA$5))*(KA$3:KA$5=$LZ$3:$LZ$5))+ISBLANK(KA$3:KA$5))</f>
        <v>0</v>
      </c>
      <c r="KB14" s="1">
        <f>SUMPRODUCT((NOT(ISBLANK(KB$3:KB$5))*(KB$3:KB$5=$MA$3:$MA$5))+ISBLANK(KB$3:KB$5))</f>
        <v>0</v>
      </c>
      <c r="KC14" s="1">
        <f>SUMPRODUCT((NOT(ISBLANK(KC$3:KC$5))*(KC$3:KC$5=$MB$3:$MB$5))+ISBLANK(KC$3:KC$5))</f>
        <v>0</v>
      </c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GR60"/>
  <sheetViews>
    <sheetView workbookViewId="0"/>
  </sheetViews>
  <sheetFormatPr defaultRowHeight="15"/>
  <sheetData>
    <row r="2" spans="1:200">
      <c r="A2" t="s">
        <v>16</v>
      </c>
      <c r="B2">
        <v>1</v>
      </c>
      <c r="E2">
        <f>VLOOKUP(Charts!$F$3,A2:B18,2,FALSE)</f>
        <v>0</v>
      </c>
      <c r="I2">
        <f>E2+18</f>
        <v>0</v>
      </c>
      <c r="M2">
        <f>E2+36</f>
        <v>0</v>
      </c>
      <c r="Q2">
        <f>E2+54</f>
        <v>0</v>
      </c>
      <c r="U2">
        <f>E2+72</f>
        <v>0</v>
      </c>
      <c r="Y2">
        <f>E2+90</f>
        <v>0</v>
      </c>
      <c r="AC2">
        <f>E2+108</f>
        <v>0</v>
      </c>
      <c r="AG2">
        <f>E2+126</f>
        <v>0</v>
      </c>
      <c r="AK2">
        <f>E2+144</f>
        <v>0</v>
      </c>
      <c r="AO2">
        <f>E2+162</f>
        <v>0</v>
      </c>
      <c r="AS2">
        <f>E2+180</f>
        <v>0</v>
      </c>
      <c r="AW2">
        <f>E2+198</f>
        <v>0</v>
      </c>
      <c r="BA2">
        <f>E2+216</f>
        <v>0</v>
      </c>
      <c r="BE2">
        <f>E2+234</f>
        <v>0</v>
      </c>
      <c r="BI2">
        <f>E2+252</f>
        <v>0</v>
      </c>
      <c r="BM2">
        <f>E2+270</f>
        <v>0</v>
      </c>
      <c r="BS2">
        <f>E2</f>
        <v>0</v>
      </c>
      <c r="BW2">
        <f>I2</f>
        <v>0</v>
      </c>
      <c r="CA2">
        <f>M2</f>
        <v>0</v>
      </c>
      <c r="CE2">
        <f>Q2</f>
        <v>0</v>
      </c>
      <c r="CI2">
        <f>U2</f>
        <v>0</v>
      </c>
      <c r="CM2">
        <f>Y2</f>
        <v>0</v>
      </c>
      <c r="CQ2">
        <f>AC2</f>
        <v>0</v>
      </c>
      <c r="CU2">
        <f>AG2</f>
        <v>0</v>
      </c>
      <c r="CY2">
        <f>AK2</f>
        <v>0</v>
      </c>
      <c r="DC2">
        <f>AO2</f>
        <v>0</v>
      </c>
      <c r="DG2">
        <f>AS2</f>
        <v>0</v>
      </c>
      <c r="DK2">
        <f>AW2</f>
        <v>0</v>
      </c>
      <c r="DO2">
        <f>BA2</f>
        <v>0</v>
      </c>
      <c r="DS2">
        <f>BE2</f>
        <v>0</v>
      </c>
      <c r="DW2">
        <f>BI2</f>
        <v>0</v>
      </c>
      <c r="EA2">
        <f>BM2</f>
        <v>0</v>
      </c>
      <c r="EG2">
        <f>VLOOKUP(Charts!$F$3,A2:B18,2,FALSE)</f>
        <v>0</v>
      </c>
      <c r="EK2">
        <f>E2+18</f>
        <v>0</v>
      </c>
      <c r="EO2">
        <f>E2+36</f>
        <v>0</v>
      </c>
      <c r="ES2">
        <f>E2+54</f>
        <v>0</v>
      </c>
      <c r="EW2">
        <f>E2+72</f>
        <v>0</v>
      </c>
      <c r="FA2">
        <f>E2+90</f>
        <v>0</v>
      </c>
      <c r="FE2">
        <f>E2+108</f>
        <v>0</v>
      </c>
      <c r="FI2">
        <f>E2+126</f>
        <v>0</v>
      </c>
      <c r="FM2">
        <f>E2+144</f>
        <v>0</v>
      </c>
      <c r="FQ2">
        <f>E2+162</f>
        <v>0</v>
      </c>
      <c r="FU2">
        <f>E2+180</f>
        <v>0</v>
      </c>
      <c r="FY2">
        <f>E2+198</f>
        <v>0</v>
      </c>
      <c r="GC2">
        <f>E2+216</f>
        <v>0</v>
      </c>
      <c r="GG2">
        <f>E2+234</f>
        <v>0</v>
      </c>
      <c r="GK2">
        <f>E2+252</f>
        <v>0</v>
      </c>
      <c r="GO2">
        <f>E2+270</f>
        <v>0</v>
      </c>
    </row>
    <row r="3" spans="1:200">
      <c r="A3" t="s">
        <v>17</v>
      </c>
      <c r="B3">
        <v>2</v>
      </c>
      <c r="D3" t="s">
        <v>55</v>
      </c>
      <c r="E3">
        <f>Instances!B1</f>
        <v>0</v>
      </c>
      <c r="I3">
        <f>Instances!T1</f>
        <v>0</v>
      </c>
      <c r="M3">
        <f>Instances!AL1</f>
        <v>0</v>
      </c>
      <c r="Q3">
        <f>Instances!BD1</f>
        <v>0</v>
      </c>
      <c r="U3">
        <f>Instances!BV1</f>
        <v>0</v>
      </c>
      <c r="Y3">
        <f>Instances!CN1</f>
        <v>0</v>
      </c>
      <c r="AC3">
        <f>Instances!DF1</f>
        <v>0</v>
      </c>
      <c r="AG3">
        <f>Instances!DX1</f>
        <v>0</v>
      </c>
      <c r="AK3">
        <f>Instances!EP1</f>
        <v>0</v>
      </c>
      <c r="AO3">
        <f>Instances!FH1</f>
        <v>0</v>
      </c>
      <c r="AS3">
        <f>Instances!FZ1</f>
        <v>0</v>
      </c>
      <c r="AW3">
        <f>Instances!GR1</f>
        <v>0</v>
      </c>
      <c r="BA3">
        <f>Instances!HJ1</f>
        <v>0</v>
      </c>
      <c r="BE3">
        <f>Instances!IB1</f>
        <v>0</v>
      </c>
      <c r="BI3">
        <f>Instances!IT1</f>
        <v>0</v>
      </c>
      <c r="BM3">
        <f>Instances!JL1</f>
        <v>0</v>
      </c>
      <c r="BR3" t="s">
        <v>55</v>
      </c>
      <c r="BS3">
        <f>E3</f>
        <v>0</v>
      </c>
      <c r="BW3">
        <f>I3</f>
        <v>0</v>
      </c>
      <c r="CA3">
        <f>M3</f>
        <v>0</v>
      </c>
      <c r="CE3">
        <f>Q3</f>
        <v>0</v>
      </c>
      <c r="CI3">
        <f>U3</f>
        <v>0</v>
      </c>
      <c r="CM3">
        <f>Y3</f>
        <v>0</v>
      </c>
      <c r="CQ3">
        <f>AC3</f>
        <v>0</v>
      </c>
      <c r="CU3">
        <f>AG3</f>
        <v>0</v>
      </c>
      <c r="CY3">
        <f>AK3</f>
        <v>0</v>
      </c>
      <c r="DC3">
        <f>AO3</f>
        <v>0</v>
      </c>
      <c r="DG3">
        <f>AS3</f>
        <v>0</v>
      </c>
      <c r="DK3">
        <f>AW3</f>
        <v>0</v>
      </c>
      <c r="DO3">
        <f>BA3</f>
        <v>0</v>
      </c>
      <c r="DS3">
        <f>BE3</f>
        <v>0</v>
      </c>
      <c r="DW3">
        <f>BI3</f>
        <v>0</v>
      </c>
      <c r="EA3">
        <f>BM3</f>
        <v>0</v>
      </c>
      <c r="EG3">
        <f>Instances!B1</f>
        <v>0</v>
      </c>
      <c r="EK3">
        <f>Instances!T1</f>
        <v>0</v>
      </c>
      <c r="EO3">
        <f>Instances!AL1</f>
        <v>0</v>
      </c>
      <c r="ES3">
        <f>Instances!BD1</f>
        <v>0</v>
      </c>
      <c r="EW3">
        <f>Instances!BV1</f>
        <v>0</v>
      </c>
      <c r="FA3">
        <f>Instances!CN1</f>
        <v>0</v>
      </c>
      <c r="FE3">
        <f>Instances!DF1</f>
        <v>0</v>
      </c>
      <c r="FI3">
        <f>Instances!DX1</f>
        <v>0</v>
      </c>
      <c r="FM3">
        <f>Instances!EP1</f>
        <v>0</v>
      </c>
      <c r="FQ3">
        <f>Instances!FH1</f>
        <v>0</v>
      </c>
      <c r="FU3">
        <f>Instances!FZ1</f>
        <v>0</v>
      </c>
      <c r="FY3">
        <f>Instances!GR1</f>
        <v>0</v>
      </c>
      <c r="GC3">
        <f>Instances!HJ1</f>
        <v>0</v>
      </c>
      <c r="GG3">
        <f>Instances!IB1</f>
        <v>0</v>
      </c>
      <c r="GK3">
        <f>Instances!IT1</f>
        <v>0</v>
      </c>
      <c r="GO3">
        <f>Instances!JL1</f>
        <v>0</v>
      </c>
    </row>
    <row r="4" spans="1:200">
      <c r="A4" t="s">
        <v>18</v>
      </c>
      <c r="B4">
        <v>3</v>
      </c>
      <c r="D4" t="s">
        <v>56</v>
      </c>
      <c r="E4" t="s">
        <v>60</v>
      </c>
      <c r="F4" t="s">
        <v>61</v>
      </c>
      <c r="H4" t="s">
        <v>62</v>
      </c>
      <c r="I4" t="s">
        <v>60</v>
      </c>
      <c r="J4" t="s">
        <v>61</v>
      </c>
      <c r="L4" t="s">
        <v>62</v>
      </c>
      <c r="M4" t="s">
        <v>60</v>
      </c>
      <c r="N4" t="s">
        <v>61</v>
      </c>
      <c r="P4" t="s">
        <v>62</v>
      </c>
      <c r="Q4" t="s">
        <v>60</v>
      </c>
      <c r="R4" t="s">
        <v>61</v>
      </c>
      <c r="T4" t="s">
        <v>62</v>
      </c>
      <c r="U4" t="s">
        <v>60</v>
      </c>
      <c r="V4" t="s">
        <v>61</v>
      </c>
      <c r="X4" t="s">
        <v>62</v>
      </c>
      <c r="Y4" t="s">
        <v>60</v>
      </c>
      <c r="Z4" t="s">
        <v>61</v>
      </c>
      <c r="AB4" t="s">
        <v>62</v>
      </c>
      <c r="AC4" t="s">
        <v>60</v>
      </c>
      <c r="AD4" t="s">
        <v>61</v>
      </c>
      <c r="AF4" t="s">
        <v>62</v>
      </c>
      <c r="AG4" t="s">
        <v>60</v>
      </c>
      <c r="AH4" t="s">
        <v>61</v>
      </c>
      <c r="AJ4" t="s">
        <v>62</v>
      </c>
      <c r="AK4" t="s">
        <v>60</v>
      </c>
      <c r="AL4" t="s">
        <v>61</v>
      </c>
      <c r="AN4" t="s">
        <v>62</v>
      </c>
      <c r="AO4" t="s">
        <v>60</v>
      </c>
      <c r="AP4" t="s">
        <v>61</v>
      </c>
      <c r="AR4" t="s">
        <v>62</v>
      </c>
      <c r="AS4" t="s">
        <v>60</v>
      </c>
      <c r="AT4" t="s">
        <v>61</v>
      </c>
      <c r="AV4" t="s">
        <v>62</v>
      </c>
      <c r="AW4" t="s">
        <v>60</v>
      </c>
      <c r="AX4" t="s">
        <v>61</v>
      </c>
      <c r="AZ4" t="s">
        <v>62</v>
      </c>
      <c r="BA4" t="s">
        <v>60</v>
      </c>
      <c r="BB4" t="s">
        <v>61</v>
      </c>
      <c r="BD4" t="s">
        <v>62</v>
      </c>
      <c r="BE4" t="s">
        <v>60</v>
      </c>
      <c r="BF4" t="s">
        <v>61</v>
      </c>
      <c r="BH4" t="s">
        <v>62</v>
      </c>
      <c r="BI4" t="s">
        <v>60</v>
      </c>
      <c r="BJ4" t="s">
        <v>61</v>
      </c>
      <c r="BL4" t="s">
        <v>62</v>
      </c>
      <c r="BM4" t="s">
        <v>60</v>
      </c>
      <c r="BN4" t="s">
        <v>61</v>
      </c>
      <c r="BP4" t="s">
        <v>62</v>
      </c>
      <c r="BR4" t="s">
        <v>56</v>
      </c>
      <c r="BS4" t="s">
        <v>60</v>
      </c>
      <c r="BT4" t="s">
        <v>61</v>
      </c>
      <c r="BV4" t="s">
        <v>62</v>
      </c>
      <c r="BW4" t="s">
        <v>60</v>
      </c>
      <c r="BX4" t="s">
        <v>61</v>
      </c>
      <c r="BZ4" t="s">
        <v>62</v>
      </c>
      <c r="CA4" t="s">
        <v>60</v>
      </c>
      <c r="CB4" t="s">
        <v>61</v>
      </c>
      <c r="CD4" t="s">
        <v>62</v>
      </c>
      <c r="CE4" t="s">
        <v>60</v>
      </c>
      <c r="CF4" t="s">
        <v>61</v>
      </c>
      <c r="CH4" t="s">
        <v>62</v>
      </c>
      <c r="CI4" t="s">
        <v>60</v>
      </c>
      <c r="CJ4" t="s">
        <v>61</v>
      </c>
      <c r="CL4" t="s">
        <v>62</v>
      </c>
      <c r="CM4" t="s">
        <v>60</v>
      </c>
      <c r="CN4" t="s">
        <v>61</v>
      </c>
      <c r="CP4" t="s">
        <v>62</v>
      </c>
      <c r="CQ4" t="s">
        <v>60</v>
      </c>
      <c r="CR4" t="s">
        <v>61</v>
      </c>
      <c r="CT4" t="s">
        <v>62</v>
      </c>
      <c r="CU4" t="s">
        <v>60</v>
      </c>
      <c r="CV4" t="s">
        <v>61</v>
      </c>
      <c r="CX4" t="s">
        <v>62</v>
      </c>
      <c r="CY4" t="s">
        <v>60</v>
      </c>
      <c r="CZ4" t="s">
        <v>61</v>
      </c>
      <c r="DB4" t="s">
        <v>62</v>
      </c>
      <c r="DC4" t="s">
        <v>60</v>
      </c>
      <c r="DD4" t="s">
        <v>61</v>
      </c>
      <c r="DF4" t="s">
        <v>62</v>
      </c>
      <c r="DG4" t="s">
        <v>60</v>
      </c>
      <c r="DH4" t="s">
        <v>61</v>
      </c>
      <c r="DJ4" t="s">
        <v>62</v>
      </c>
      <c r="DK4" t="s">
        <v>60</v>
      </c>
      <c r="DL4" t="s">
        <v>61</v>
      </c>
      <c r="DN4" t="s">
        <v>62</v>
      </c>
      <c r="DO4" t="s">
        <v>60</v>
      </c>
      <c r="DP4" t="s">
        <v>61</v>
      </c>
      <c r="DR4" t="s">
        <v>62</v>
      </c>
      <c r="DS4" t="s">
        <v>60</v>
      </c>
      <c r="DT4" t="s">
        <v>61</v>
      </c>
      <c r="DV4" t="s">
        <v>62</v>
      </c>
      <c r="DW4" t="s">
        <v>60</v>
      </c>
      <c r="DX4" t="s">
        <v>61</v>
      </c>
      <c r="DZ4" t="s">
        <v>62</v>
      </c>
      <c r="EA4" t="s">
        <v>60</v>
      </c>
      <c r="EB4" t="s">
        <v>61</v>
      </c>
      <c r="ED4" t="s">
        <v>62</v>
      </c>
      <c r="EF4" t="s">
        <v>63</v>
      </c>
      <c r="EG4" t="s">
        <v>56</v>
      </c>
      <c r="EH4" t="s">
        <v>61</v>
      </c>
      <c r="EI4" t="s">
        <v>56</v>
      </c>
      <c r="EJ4" t="s">
        <v>62</v>
      </c>
      <c r="EK4" t="s">
        <v>56</v>
      </c>
      <c r="EL4" t="s">
        <v>61</v>
      </c>
      <c r="EM4" t="s">
        <v>56</v>
      </c>
      <c r="EN4" t="s">
        <v>62</v>
      </c>
      <c r="EO4" t="s">
        <v>56</v>
      </c>
      <c r="EP4" t="s">
        <v>61</v>
      </c>
      <c r="EQ4" t="s">
        <v>56</v>
      </c>
      <c r="ER4" t="s">
        <v>62</v>
      </c>
      <c r="ES4" t="s">
        <v>56</v>
      </c>
      <c r="ET4" t="s">
        <v>61</v>
      </c>
      <c r="EU4" t="s">
        <v>56</v>
      </c>
      <c r="EV4" t="s">
        <v>62</v>
      </c>
      <c r="EW4" t="s">
        <v>56</v>
      </c>
      <c r="EX4" t="s">
        <v>61</v>
      </c>
      <c r="EY4" t="s">
        <v>56</v>
      </c>
      <c r="EZ4" t="s">
        <v>62</v>
      </c>
      <c r="FA4" t="s">
        <v>56</v>
      </c>
      <c r="FB4" t="s">
        <v>61</v>
      </c>
      <c r="FC4" t="s">
        <v>56</v>
      </c>
      <c r="FD4" t="s">
        <v>62</v>
      </c>
      <c r="FE4" t="s">
        <v>56</v>
      </c>
      <c r="FF4" t="s">
        <v>61</v>
      </c>
      <c r="FG4" t="s">
        <v>56</v>
      </c>
      <c r="FH4" t="s">
        <v>62</v>
      </c>
      <c r="FI4" t="s">
        <v>56</v>
      </c>
      <c r="FJ4" t="s">
        <v>61</v>
      </c>
      <c r="FK4" t="s">
        <v>56</v>
      </c>
      <c r="FL4" t="s">
        <v>62</v>
      </c>
      <c r="FM4" t="s">
        <v>56</v>
      </c>
      <c r="FN4" t="s">
        <v>61</v>
      </c>
      <c r="FO4" t="s">
        <v>56</v>
      </c>
      <c r="FP4" t="s">
        <v>62</v>
      </c>
      <c r="FQ4" t="s">
        <v>56</v>
      </c>
      <c r="FR4" t="s">
        <v>61</v>
      </c>
      <c r="FS4" t="s">
        <v>56</v>
      </c>
      <c r="FT4" t="s">
        <v>62</v>
      </c>
      <c r="FU4" t="s">
        <v>56</v>
      </c>
      <c r="FV4" t="s">
        <v>61</v>
      </c>
      <c r="FW4" t="s">
        <v>56</v>
      </c>
      <c r="FX4" t="s">
        <v>62</v>
      </c>
      <c r="FY4" t="s">
        <v>56</v>
      </c>
      <c r="FZ4" t="s">
        <v>61</v>
      </c>
      <c r="GA4" t="s">
        <v>56</v>
      </c>
      <c r="GB4" t="s">
        <v>62</v>
      </c>
      <c r="GC4" t="s">
        <v>56</v>
      </c>
      <c r="GD4" t="s">
        <v>61</v>
      </c>
      <c r="GE4" t="s">
        <v>56</v>
      </c>
      <c r="GF4" t="s">
        <v>62</v>
      </c>
      <c r="GG4" t="s">
        <v>56</v>
      </c>
      <c r="GH4" t="s">
        <v>61</v>
      </c>
      <c r="GI4" t="s">
        <v>56</v>
      </c>
      <c r="GJ4" t="s">
        <v>62</v>
      </c>
      <c r="GK4" t="s">
        <v>56</v>
      </c>
      <c r="GL4" t="s">
        <v>61</v>
      </c>
      <c r="GM4" t="s">
        <v>56</v>
      </c>
      <c r="GN4" t="s">
        <v>62</v>
      </c>
      <c r="GO4" t="s">
        <v>56</v>
      </c>
      <c r="GP4" t="s">
        <v>61</v>
      </c>
      <c r="GQ4" t="s">
        <v>56</v>
      </c>
      <c r="GR4" t="s">
        <v>62</v>
      </c>
    </row>
    <row r="5" spans="1:200">
      <c r="A5" t="s">
        <v>19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IFERROR(SMALL(E5:E11,ROW()-ROW($F$5)+1),"")</f>
        <v>0</v>
      </c>
      <c r="H5">
        <f>IFERROR(SUM(F5:F5),"")</f>
        <v>0</v>
      </c>
      <c r="I5">
        <f>IF(INDIRECT(ADDRESS($D5+2,I$2+1,,,"Instances"))="","",INDIRECT(ADDRESS($D5+2,I$2+1,,,"Instances")))</f>
        <v>0</v>
      </c>
      <c r="J5">
        <f>IFERROR(SMALL(I5:I11,ROW()-ROW($J$5)+1),"")</f>
        <v>0</v>
      </c>
      <c r="L5">
        <f>IFERROR(SUM(J5:J5),"")</f>
        <v>0</v>
      </c>
      <c r="M5">
        <f>IF(INDIRECT(ADDRESS($D5+2,M$2+1,,,"Instances"))="","",INDIRECT(ADDRESS($D5+2,M$2+1,,,"Instances")))</f>
        <v>0</v>
      </c>
      <c r="N5">
        <f>IFERROR(SMALL(M5:M11,ROW()-ROW($N$5)+1),"")</f>
        <v>0</v>
      </c>
      <c r="P5">
        <f>IFERROR(SUM(N5:N5),"")</f>
        <v>0</v>
      </c>
      <c r="Q5">
        <f>IF(INDIRECT(ADDRESS($D5+2,Q$2+1,,,"Instances"))="","",INDIRECT(ADDRESS($D5+2,Q$2+1,,,"Instances")))</f>
        <v>0</v>
      </c>
      <c r="R5">
        <f>IFERROR(SMALL(Q5:Q11,ROW()-ROW($R$5)+1),"")</f>
        <v>0</v>
      </c>
      <c r="T5">
        <f>IFERROR(SUM(R5:R5),"")</f>
        <v>0</v>
      </c>
      <c r="U5">
        <f>IF(INDIRECT(ADDRESS($D5+2,U$2+1,,,"Instances"))="","",INDIRECT(ADDRESS($D5+2,U$2+1,,,"Instances")))</f>
        <v>0</v>
      </c>
      <c r="V5">
        <f>IFERROR(SMALL(U5:U11,ROW()-ROW($V$5)+1),"")</f>
        <v>0</v>
      </c>
      <c r="X5">
        <f>IFERROR(SUM(V5:V5),"")</f>
        <v>0</v>
      </c>
      <c r="Y5">
        <f>IF(INDIRECT(ADDRESS($D5+2,Y$2+1,,,"Instances"))="","",INDIRECT(ADDRESS($D5+2,Y$2+1,,,"Instances")))</f>
        <v>0</v>
      </c>
      <c r="Z5">
        <f>IFERROR(SMALL(Y5:Y11,ROW()-ROW($Z$5)+1),"")</f>
        <v>0</v>
      </c>
      <c r="AB5">
        <f>IFERROR(SUM(Z5:Z5),"")</f>
        <v>0</v>
      </c>
      <c r="AC5">
        <f>IF(INDIRECT(ADDRESS($D5+2,AC$2+1,,,"Instances"))="","",INDIRECT(ADDRESS($D5+2,AC$2+1,,,"Instances")))</f>
        <v>0</v>
      </c>
      <c r="AD5">
        <f>IFERROR(SMALL(AC5:AC11,ROW()-ROW($AD$5)+1),"")</f>
        <v>0</v>
      </c>
      <c r="AF5">
        <f>IFERROR(SUM(AD5:AD5),"")</f>
        <v>0</v>
      </c>
      <c r="AG5">
        <f>IF(INDIRECT(ADDRESS($D5+2,AG$2+1,,,"Instances"))="","",INDIRECT(ADDRESS($D5+2,AG$2+1,,,"Instances")))</f>
        <v>0</v>
      </c>
      <c r="AH5">
        <f>IFERROR(SMALL(AG5:AG11,ROW()-ROW($AH$5)+1),"")</f>
        <v>0</v>
      </c>
      <c r="AJ5">
        <f>IFERROR(SUM(AH5:AH5),"")</f>
        <v>0</v>
      </c>
      <c r="AK5">
        <f>IF(INDIRECT(ADDRESS($D5+2,AK$2+1,,,"Instances"))="","",INDIRECT(ADDRESS($D5+2,AK$2+1,,,"Instances")))</f>
        <v>0</v>
      </c>
      <c r="AL5">
        <f>IFERROR(SMALL(AK5:AK11,ROW()-ROW($AL$5)+1),"")</f>
        <v>0</v>
      </c>
      <c r="AN5">
        <f>IFERROR(SUM(AL5:AL5),"")</f>
        <v>0</v>
      </c>
      <c r="AO5">
        <f>IF(INDIRECT(ADDRESS($D5+2,AO$2+1,,,"Instances"))="","",INDIRECT(ADDRESS($D5+2,AO$2+1,,,"Instances")))</f>
        <v>0</v>
      </c>
      <c r="AP5">
        <f>IFERROR(SMALL(AO5:AO11,ROW()-ROW($AP$5)+1),"")</f>
        <v>0</v>
      </c>
      <c r="AR5">
        <f>IFERROR(SUM(AP5:AP5),"")</f>
        <v>0</v>
      </c>
      <c r="AS5">
        <f>IF(INDIRECT(ADDRESS($D5+2,AS$2+1,,,"Instances"))="","",INDIRECT(ADDRESS($D5+2,AS$2+1,,,"Instances")))</f>
        <v>0</v>
      </c>
      <c r="AT5">
        <f>IFERROR(SMALL(AS5:AS11,ROW()-ROW($AT$5)+1),"")</f>
        <v>0</v>
      </c>
      <c r="AV5">
        <f>IFERROR(SUM(AT5:AT5),"")</f>
        <v>0</v>
      </c>
      <c r="AW5">
        <f>IF(INDIRECT(ADDRESS($D5+2,AW$2+1,,,"Instances"))="","",INDIRECT(ADDRESS($D5+2,AW$2+1,,,"Instances")))</f>
        <v>0</v>
      </c>
      <c r="AX5">
        <f>IFERROR(SMALL(AW5:AW11,ROW()-ROW($AX$5)+1),"")</f>
        <v>0</v>
      </c>
      <c r="AZ5">
        <f>IFERROR(SUM(AX5:AX5),"")</f>
        <v>0</v>
      </c>
      <c r="BA5">
        <f>IF(INDIRECT(ADDRESS($D5+2,BA$2+1,,,"Instances"))="","",INDIRECT(ADDRESS($D5+2,BA$2+1,,,"Instances")))</f>
        <v>0</v>
      </c>
      <c r="BB5">
        <f>IFERROR(SMALL(BA5:BA11,ROW()-ROW($BB$5)+1),"")</f>
        <v>0</v>
      </c>
      <c r="BD5">
        <f>IFERROR(SUM(BB5:BB5),"")</f>
        <v>0</v>
      </c>
      <c r="BE5">
        <f>IF(INDIRECT(ADDRESS($D5+2,BE$2+1,,,"Instances"))="","",INDIRECT(ADDRESS($D5+2,BE$2+1,,,"Instances")))</f>
        <v>0</v>
      </c>
      <c r="BF5">
        <f>IFERROR(SMALL(BE5:BE11,ROW()-ROW($BF$5)+1),"")</f>
        <v>0</v>
      </c>
      <c r="BH5">
        <f>IFERROR(SUM(BF5:BF5),"")</f>
        <v>0</v>
      </c>
      <c r="BI5">
        <f>IF(INDIRECT(ADDRESS($D5+2,BI$2+1,,,"Instances"))="","",INDIRECT(ADDRESS($D5+2,BI$2+1,,,"Instances")))</f>
        <v>0</v>
      </c>
      <c r="BJ5">
        <f>IFERROR(SMALL(BI5:BI11,ROW()-ROW($BJ$5)+1),"")</f>
        <v>0</v>
      </c>
      <c r="BL5">
        <f>IFERROR(SUM(BJ5:BJ5),"")</f>
        <v>0</v>
      </c>
      <c r="BM5">
        <f>IF(INDIRECT(ADDRESS($D5+2,BM$2+1,,,"Instances"))="","",INDIRECT(ADDRESS($D5+2,BM$2+1,,,"Instances")))</f>
        <v>0</v>
      </c>
      <c r="BN5">
        <f>IFERROR(SMALL(BM5:BM11,ROW()-ROW($BN$5)+1),"")</f>
        <v>0</v>
      </c>
      <c r="BP5">
        <f>IFERROR(SUM(BN5:BN5),"")</f>
        <v>0</v>
      </c>
      <c r="BR5">
        <v>1</v>
      </c>
      <c r="BS5" cm="1">
        <f t="array" ref="BS5">_xlfn.SWITCH(Charts!$B$3,"average", AVERAGE(INDIRECT(ADDRESS(0+3,BS$2+1,,,"Instances") &amp; ":" &amp; ADDRESS(0+3,BS$2+1))),"median", MEDIAN(INDIRECT(ADDRESS(0+3,BS$2+1,,,"Instances") &amp; ":" &amp; ADDRESS(0+3,BS$2+1))),"min", MIN(INDIRECT(ADDRESS(0+3,BS$2+1,,,"Instances") &amp; ":" &amp; ADDRESS(0+3,BS$2+1))),"max", MAX(INDIRECT(ADDRESS(0+3,BS$2+1,,,"Instances") &amp; ":" &amp; ADDRESS(0+3,BS$2+1))),"diff", MAX(INDIRECT(ADDRESS(0+3,BS$2+1,,,"Instances") &amp; ":" &amp; ADDRESS(0+3,BS$2+1)))-MIN(INDIRECT(ADDRESS(0+3,BS$2+1,,,"Instances") &amp; ":" &amp; ADDRESS(0+3,BS$2+1))))</f>
        <v>0</v>
      </c>
      <c r="BT5">
        <f>IFERROR(SMALL(BS5:BS11,ROW()-ROW($BT$5)+1),"")</f>
        <v>0</v>
      </c>
      <c r="BV5">
        <f>IFERROR(SUM(BT5:BT5),"")</f>
        <v>0</v>
      </c>
      <c r="BW5" cm="1">
        <f t="array" ref="BW5">_xlfn.SWITCH(Charts!$B$3,"average", AVERAGE(INDIRECT(ADDRESS(0+3,BW$2+1,,,"Instances") &amp; ":" &amp; ADDRESS(0+3,BW$2+1))),"median", MEDIAN(INDIRECT(ADDRESS(0+3,BW$2+1,,,"Instances") &amp; ":" &amp; ADDRESS(0+3,BW$2+1))),"min", MIN(INDIRECT(ADDRESS(0+3,BW$2+1,,,"Instances") &amp; ":" &amp; ADDRESS(0+3,BW$2+1))),"max", MAX(INDIRECT(ADDRESS(0+3,BW$2+1,,,"Instances") &amp; ":" &amp; ADDRESS(0+3,BW$2+1))),"diff", MAX(INDIRECT(ADDRESS(0+3,BW$2+1,,,"Instances") &amp; ":" &amp; ADDRESS(0+3,BW$2+1)))-MIN(INDIRECT(ADDRESS(0+3,BW$2+1,,,"Instances") &amp; ":" &amp; ADDRESS(0+3,BW$2+1))))</f>
        <v>0</v>
      </c>
      <c r="BX5">
        <f>IFERROR(SMALL(BW5:BW11,ROW()-ROW($BX$5)+1),"")</f>
        <v>0</v>
      </c>
      <c r="BZ5">
        <f>IFERROR(SUM(BX5:BX5),"")</f>
        <v>0</v>
      </c>
      <c r="CA5" cm="1">
        <f t="array" ref="CA5">_xlfn.SWITCH(Charts!$B$3,"average", AVERAGE(INDIRECT(ADDRESS(0+3,CA$2+1,,,"Instances") &amp; ":" &amp; ADDRESS(0+3,CA$2+1))),"median", MEDIAN(INDIRECT(ADDRESS(0+3,CA$2+1,,,"Instances") &amp; ":" &amp; ADDRESS(0+3,CA$2+1))),"min", MIN(INDIRECT(ADDRESS(0+3,CA$2+1,,,"Instances") &amp; ":" &amp; ADDRESS(0+3,CA$2+1))),"max", MAX(INDIRECT(ADDRESS(0+3,CA$2+1,,,"Instances") &amp; ":" &amp; ADDRESS(0+3,CA$2+1))),"diff", MAX(INDIRECT(ADDRESS(0+3,CA$2+1,,,"Instances") &amp; ":" &amp; ADDRESS(0+3,CA$2+1)))-MIN(INDIRECT(ADDRESS(0+3,CA$2+1,,,"Instances") &amp; ":" &amp; ADDRESS(0+3,CA$2+1))))</f>
        <v>0</v>
      </c>
      <c r="CB5">
        <f>IFERROR(SMALL(CA5:CA11,ROW()-ROW($CB$5)+1),"")</f>
        <v>0</v>
      </c>
      <c r="CD5">
        <f>IFERROR(SUM(CB5:CB5),"")</f>
        <v>0</v>
      </c>
      <c r="CE5" cm="1">
        <f t="array" ref="CE5">_xlfn.SWITCH(Charts!$B$3,"average", AVERAGE(INDIRECT(ADDRESS(0+3,CE$2+1,,,"Instances") &amp; ":" &amp; ADDRESS(0+3,CE$2+1))),"median", MEDIAN(INDIRECT(ADDRESS(0+3,CE$2+1,,,"Instances") &amp; ":" &amp; ADDRESS(0+3,CE$2+1))),"min", MIN(INDIRECT(ADDRESS(0+3,CE$2+1,,,"Instances") &amp; ":" &amp; ADDRESS(0+3,CE$2+1))),"max", MAX(INDIRECT(ADDRESS(0+3,CE$2+1,,,"Instances") &amp; ":" &amp; ADDRESS(0+3,CE$2+1))),"diff", MAX(INDIRECT(ADDRESS(0+3,CE$2+1,,,"Instances") &amp; ":" &amp; ADDRESS(0+3,CE$2+1)))-MIN(INDIRECT(ADDRESS(0+3,CE$2+1,,,"Instances") &amp; ":" &amp; ADDRESS(0+3,CE$2+1))))</f>
        <v>0</v>
      </c>
      <c r="CF5">
        <f>IFERROR(SMALL(CE5:CE11,ROW()-ROW($CF$5)+1),"")</f>
        <v>0</v>
      </c>
      <c r="CH5">
        <f>IFERROR(SUM(CF5:CF5),"")</f>
        <v>0</v>
      </c>
      <c r="CI5" cm="1">
        <f t="array" ref="CI5">_xlfn.SWITCH(Charts!$B$3,"average", AVERAGE(INDIRECT(ADDRESS(0+3,CI$2+1,,,"Instances") &amp; ":" &amp; ADDRESS(0+3,CI$2+1))),"median", MEDIAN(INDIRECT(ADDRESS(0+3,CI$2+1,,,"Instances") &amp; ":" &amp; ADDRESS(0+3,CI$2+1))),"min", MIN(INDIRECT(ADDRESS(0+3,CI$2+1,,,"Instances") &amp; ":" &amp; ADDRESS(0+3,CI$2+1))),"max", MAX(INDIRECT(ADDRESS(0+3,CI$2+1,,,"Instances") &amp; ":" &amp; ADDRESS(0+3,CI$2+1))),"diff", MAX(INDIRECT(ADDRESS(0+3,CI$2+1,,,"Instances") &amp; ":" &amp; ADDRESS(0+3,CI$2+1)))-MIN(INDIRECT(ADDRESS(0+3,CI$2+1,,,"Instances") &amp; ":" &amp; ADDRESS(0+3,CI$2+1))))</f>
        <v>0</v>
      </c>
      <c r="CJ5">
        <f>IFERROR(SMALL(CI5:CI11,ROW()-ROW($CJ$5)+1),"")</f>
        <v>0</v>
      </c>
      <c r="CL5">
        <f>IFERROR(SUM(CJ5:CJ5),"")</f>
        <v>0</v>
      </c>
      <c r="CM5" cm="1">
        <f t="array" ref="CM5">_xlfn.SWITCH(Charts!$B$3,"average", AVERAGE(INDIRECT(ADDRESS(0+3,CM$2+1,,,"Instances") &amp; ":" &amp; ADDRESS(0+3,CM$2+1))),"median", MEDIAN(INDIRECT(ADDRESS(0+3,CM$2+1,,,"Instances") &amp; ":" &amp; ADDRESS(0+3,CM$2+1))),"min", MIN(INDIRECT(ADDRESS(0+3,CM$2+1,,,"Instances") &amp; ":" &amp; ADDRESS(0+3,CM$2+1))),"max", MAX(INDIRECT(ADDRESS(0+3,CM$2+1,,,"Instances") &amp; ":" &amp; ADDRESS(0+3,CM$2+1))),"diff", MAX(INDIRECT(ADDRESS(0+3,CM$2+1,,,"Instances") &amp; ":" &amp; ADDRESS(0+3,CM$2+1)))-MIN(INDIRECT(ADDRESS(0+3,CM$2+1,,,"Instances") &amp; ":" &amp; ADDRESS(0+3,CM$2+1))))</f>
        <v>0</v>
      </c>
      <c r="CN5">
        <f>IFERROR(SMALL(CM5:CM11,ROW()-ROW($CN$5)+1),"")</f>
        <v>0</v>
      </c>
      <c r="CP5">
        <f>IFERROR(SUM(CN5:CN5),"")</f>
        <v>0</v>
      </c>
      <c r="CQ5" cm="1">
        <f t="array" ref="CQ5">_xlfn.SWITCH(Charts!$B$3,"average", AVERAGE(INDIRECT(ADDRESS(0+3,CQ$2+1,,,"Instances") &amp; ":" &amp; ADDRESS(0+3,CQ$2+1))),"median", MEDIAN(INDIRECT(ADDRESS(0+3,CQ$2+1,,,"Instances") &amp; ":" &amp; ADDRESS(0+3,CQ$2+1))),"min", MIN(INDIRECT(ADDRESS(0+3,CQ$2+1,,,"Instances") &amp; ":" &amp; ADDRESS(0+3,CQ$2+1))),"max", MAX(INDIRECT(ADDRESS(0+3,CQ$2+1,,,"Instances") &amp; ":" &amp; ADDRESS(0+3,CQ$2+1))),"diff", MAX(INDIRECT(ADDRESS(0+3,CQ$2+1,,,"Instances") &amp; ":" &amp; ADDRESS(0+3,CQ$2+1)))-MIN(INDIRECT(ADDRESS(0+3,CQ$2+1,,,"Instances") &amp; ":" &amp; ADDRESS(0+3,CQ$2+1))))</f>
        <v>0</v>
      </c>
      <c r="CR5">
        <f>IFERROR(SMALL(CQ5:CQ11,ROW()-ROW($CR$5)+1),"")</f>
        <v>0</v>
      </c>
      <c r="CT5">
        <f>IFERROR(SUM(CR5:CR5),"")</f>
        <v>0</v>
      </c>
      <c r="CU5" cm="1">
        <f t="array" ref="CU5">_xlfn.SWITCH(Charts!$B$3,"average", AVERAGE(INDIRECT(ADDRESS(0+3,CU$2+1,,,"Instances") &amp; ":" &amp; ADDRESS(0+3,CU$2+1))),"median", MEDIAN(INDIRECT(ADDRESS(0+3,CU$2+1,,,"Instances") &amp; ":" &amp; ADDRESS(0+3,CU$2+1))),"min", MIN(INDIRECT(ADDRESS(0+3,CU$2+1,,,"Instances") &amp; ":" &amp; ADDRESS(0+3,CU$2+1))),"max", MAX(INDIRECT(ADDRESS(0+3,CU$2+1,,,"Instances") &amp; ":" &amp; ADDRESS(0+3,CU$2+1))),"diff", MAX(INDIRECT(ADDRESS(0+3,CU$2+1,,,"Instances") &amp; ":" &amp; ADDRESS(0+3,CU$2+1)))-MIN(INDIRECT(ADDRESS(0+3,CU$2+1,,,"Instances") &amp; ":" &amp; ADDRESS(0+3,CU$2+1))))</f>
        <v>0</v>
      </c>
      <c r="CV5">
        <f>IFERROR(SMALL(CU5:CU11,ROW()-ROW($CV$5)+1),"")</f>
        <v>0</v>
      </c>
      <c r="CX5">
        <f>IFERROR(SUM(CV5:CV5),"")</f>
        <v>0</v>
      </c>
      <c r="CY5" cm="1">
        <f t="array" ref="CY5">_xlfn.SWITCH(Charts!$B$3,"average", AVERAGE(INDIRECT(ADDRESS(0+3,CY$2+1,,,"Instances") &amp; ":" &amp; ADDRESS(0+3,CY$2+1))),"median", MEDIAN(INDIRECT(ADDRESS(0+3,CY$2+1,,,"Instances") &amp; ":" &amp; ADDRESS(0+3,CY$2+1))),"min", MIN(INDIRECT(ADDRESS(0+3,CY$2+1,,,"Instances") &amp; ":" &amp; ADDRESS(0+3,CY$2+1))),"max", MAX(INDIRECT(ADDRESS(0+3,CY$2+1,,,"Instances") &amp; ":" &amp; ADDRESS(0+3,CY$2+1))),"diff", MAX(INDIRECT(ADDRESS(0+3,CY$2+1,,,"Instances") &amp; ":" &amp; ADDRESS(0+3,CY$2+1)))-MIN(INDIRECT(ADDRESS(0+3,CY$2+1,,,"Instances") &amp; ":" &amp; ADDRESS(0+3,CY$2+1))))</f>
        <v>0</v>
      </c>
      <c r="CZ5">
        <f>IFERROR(SMALL(CY5:CY11,ROW()-ROW($CZ$5)+1),"")</f>
        <v>0</v>
      </c>
      <c r="DB5">
        <f>IFERROR(SUM(CZ5:CZ5),"")</f>
        <v>0</v>
      </c>
      <c r="DC5" cm="1">
        <f t="array" ref="DC5">_xlfn.SWITCH(Charts!$B$3,"average", AVERAGE(INDIRECT(ADDRESS(0+3,DC$2+1,,,"Instances") &amp; ":" &amp; ADDRESS(0+3,DC$2+1))),"median", MEDIAN(INDIRECT(ADDRESS(0+3,DC$2+1,,,"Instances") &amp; ":" &amp; ADDRESS(0+3,DC$2+1))),"min", MIN(INDIRECT(ADDRESS(0+3,DC$2+1,,,"Instances") &amp; ":" &amp; ADDRESS(0+3,DC$2+1))),"max", MAX(INDIRECT(ADDRESS(0+3,DC$2+1,,,"Instances") &amp; ":" &amp; ADDRESS(0+3,DC$2+1))),"diff", MAX(INDIRECT(ADDRESS(0+3,DC$2+1,,,"Instances") &amp; ":" &amp; ADDRESS(0+3,DC$2+1)))-MIN(INDIRECT(ADDRESS(0+3,DC$2+1,,,"Instances") &amp; ":" &amp; ADDRESS(0+3,DC$2+1))))</f>
        <v>0</v>
      </c>
      <c r="DD5">
        <f>IFERROR(SMALL(DC5:DC11,ROW()-ROW($DD$5)+1),"")</f>
        <v>0</v>
      </c>
      <c r="DF5">
        <f>IFERROR(SUM(DD5:DD5),"")</f>
        <v>0</v>
      </c>
      <c r="DG5" cm="1">
        <f t="array" ref="DG5">_xlfn.SWITCH(Charts!$B$3,"average", AVERAGE(INDIRECT(ADDRESS(0+3,DG$2+1,,,"Instances") &amp; ":" &amp; ADDRESS(0+3,DG$2+1))),"median", MEDIAN(INDIRECT(ADDRESS(0+3,DG$2+1,,,"Instances") &amp; ":" &amp; ADDRESS(0+3,DG$2+1))),"min", MIN(INDIRECT(ADDRESS(0+3,DG$2+1,,,"Instances") &amp; ":" &amp; ADDRESS(0+3,DG$2+1))),"max", MAX(INDIRECT(ADDRESS(0+3,DG$2+1,,,"Instances") &amp; ":" &amp; ADDRESS(0+3,DG$2+1))),"diff", MAX(INDIRECT(ADDRESS(0+3,DG$2+1,,,"Instances") &amp; ":" &amp; ADDRESS(0+3,DG$2+1)))-MIN(INDIRECT(ADDRESS(0+3,DG$2+1,,,"Instances") &amp; ":" &amp; ADDRESS(0+3,DG$2+1))))</f>
        <v>0</v>
      </c>
      <c r="DH5">
        <f>IFERROR(SMALL(DG5:DG11,ROW()-ROW($DH$5)+1),"")</f>
        <v>0</v>
      </c>
      <c r="DJ5">
        <f>IFERROR(SUM(DH5:DH5),"")</f>
        <v>0</v>
      </c>
      <c r="DK5" cm="1">
        <f t="array" ref="DK5">_xlfn.SWITCH(Charts!$B$3,"average", AVERAGE(INDIRECT(ADDRESS(0+3,DK$2+1,,,"Instances") &amp; ":" &amp; ADDRESS(0+3,DK$2+1))),"median", MEDIAN(INDIRECT(ADDRESS(0+3,DK$2+1,,,"Instances") &amp; ":" &amp; ADDRESS(0+3,DK$2+1))),"min", MIN(INDIRECT(ADDRESS(0+3,DK$2+1,,,"Instances") &amp; ":" &amp; ADDRESS(0+3,DK$2+1))),"max", MAX(INDIRECT(ADDRESS(0+3,DK$2+1,,,"Instances") &amp; ":" &amp; ADDRESS(0+3,DK$2+1))),"diff", MAX(INDIRECT(ADDRESS(0+3,DK$2+1,,,"Instances") &amp; ":" &amp; ADDRESS(0+3,DK$2+1)))-MIN(INDIRECT(ADDRESS(0+3,DK$2+1,,,"Instances") &amp; ":" &amp; ADDRESS(0+3,DK$2+1))))</f>
        <v>0</v>
      </c>
      <c r="DL5">
        <f>IFERROR(SMALL(DK5:DK11,ROW()-ROW($DL$5)+1),"")</f>
        <v>0</v>
      </c>
      <c r="DN5">
        <f>IFERROR(SUM(DL5:DL5),"")</f>
        <v>0</v>
      </c>
      <c r="DO5" cm="1">
        <f t="array" ref="DO5">_xlfn.SWITCH(Charts!$B$3,"average", AVERAGE(INDIRECT(ADDRESS(0+3,DO$2+1,,,"Instances") &amp; ":" &amp; ADDRESS(0+3,DO$2+1))),"median", MEDIAN(INDIRECT(ADDRESS(0+3,DO$2+1,,,"Instances") &amp; ":" &amp; ADDRESS(0+3,DO$2+1))),"min", MIN(INDIRECT(ADDRESS(0+3,DO$2+1,,,"Instances") &amp; ":" &amp; ADDRESS(0+3,DO$2+1))),"max", MAX(INDIRECT(ADDRESS(0+3,DO$2+1,,,"Instances") &amp; ":" &amp; ADDRESS(0+3,DO$2+1))),"diff", MAX(INDIRECT(ADDRESS(0+3,DO$2+1,,,"Instances") &amp; ":" &amp; ADDRESS(0+3,DO$2+1)))-MIN(INDIRECT(ADDRESS(0+3,DO$2+1,,,"Instances") &amp; ":" &amp; ADDRESS(0+3,DO$2+1))))</f>
        <v>0</v>
      </c>
      <c r="DP5">
        <f>IFERROR(SMALL(DO5:DO11,ROW()-ROW($DP$5)+1),"")</f>
        <v>0</v>
      </c>
      <c r="DR5">
        <f>IFERROR(SUM(DP5:DP5),"")</f>
        <v>0</v>
      </c>
      <c r="DS5" cm="1">
        <f t="array" ref="DS5">_xlfn.SWITCH(Charts!$B$3,"average", AVERAGE(INDIRECT(ADDRESS(0+3,DS$2+1,,,"Instances") &amp; ":" &amp; ADDRESS(0+3,DS$2+1))),"median", MEDIAN(INDIRECT(ADDRESS(0+3,DS$2+1,,,"Instances") &amp; ":" &amp; ADDRESS(0+3,DS$2+1))),"min", MIN(INDIRECT(ADDRESS(0+3,DS$2+1,,,"Instances") &amp; ":" &amp; ADDRESS(0+3,DS$2+1))),"max", MAX(INDIRECT(ADDRESS(0+3,DS$2+1,,,"Instances") &amp; ":" &amp; ADDRESS(0+3,DS$2+1))),"diff", MAX(INDIRECT(ADDRESS(0+3,DS$2+1,,,"Instances") &amp; ":" &amp; ADDRESS(0+3,DS$2+1)))-MIN(INDIRECT(ADDRESS(0+3,DS$2+1,,,"Instances") &amp; ":" &amp; ADDRESS(0+3,DS$2+1))))</f>
        <v>0</v>
      </c>
      <c r="DT5">
        <f>IFERROR(SMALL(DS5:DS11,ROW()-ROW($DT$5)+1),"")</f>
        <v>0</v>
      </c>
      <c r="DV5">
        <f>IFERROR(SUM(DT5:DT5),"")</f>
        <v>0</v>
      </c>
      <c r="DW5" cm="1">
        <f t="array" ref="DW5">_xlfn.SWITCH(Charts!$B$3,"average", AVERAGE(INDIRECT(ADDRESS(0+3,DW$2+1,,,"Instances") &amp; ":" &amp; ADDRESS(0+3,DW$2+1))),"median", MEDIAN(INDIRECT(ADDRESS(0+3,DW$2+1,,,"Instances") &amp; ":" &amp; ADDRESS(0+3,DW$2+1))),"min", MIN(INDIRECT(ADDRESS(0+3,DW$2+1,,,"Instances") &amp; ":" &amp; ADDRESS(0+3,DW$2+1))),"max", MAX(INDIRECT(ADDRESS(0+3,DW$2+1,,,"Instances") &amp; ":" &amp; ADDRESS(0+3,DW$2+1))),"diff", MAX(INDIRECT(ADDRESS(0+3,DW$2+1,,,"Instances") &amp; ":" &amp; ADDRESS(0+3,DW$2+1)))-MIN(INDIRECT(ADDRESS(0+3,DW$2+1,,,"Instances") &amp; ":" &amp; ADDRESS(0+3,DW$2+1))))</f>
        <v>0</v>
      </c>
      <c r="DX5">
        <f>IFERROR(SMALL(DW5:DW11,ROW()-ROW($DX$5)+1),"")</f>
        <v>0</v>
      </c>
      <c r="DZ5">
        <f>IFERROR(SUM(DX5:DX5),"")</f>
        <v>0</v>
      </c>
      <c r="EA5" cm="1">
        <f t="array" ref="EA5">_xlfn.SWITCH(Charts!$B$3,"average", AVERAGE(INDIRECT(ADDRESS(0+3,EA$2+1,,,"Instances") &amp; ":" &amp; ADDRESS(0+3,EA$2+1))),"median", MEDIAN(INDIRECT(ADDRESS(0+3,EA$2+1,,,"Instances") &amp; ":" &amp; ADDRESS(0+3,EA$2+1))),"min", MIN(INDIRECT(ADDRESS(0+3,EA$2+1,,,"Instances") &amp; ":" &amp; ADDRESS(0+3,EA$2+1))),"max", MAX(INDIRECT(ADDRESS(0+3,EA$2+1,,,"Instances") &amp; ":" &amp; ADDRESS(0+3,EA$2+1))),"diff", MAX(INDIRECT(ADDRESS(0+3,EA$2+1,,,"Instances") &amp; ":" &amp; ADDRESS(0+3,EA$2+1)))-MIN(INDIRECT(ADDRESS(0+3,EA$2+1,,,"Instances") &amp; ":" &amp; ADDRESS(0+3,EA$2+1))))</f>
        <v>0</v>
      </c>
      <c r="EB5">
        <f>IFERROR(SMALL(EA5:EA11,ROW()-ROW($EB$5)+1),"")</f>
        <v>0</v>
      </c>
      <c r="ED5">
        <f>IFERROR(SUM(EB5:EB5),"")</f>
        <v>0</v>
      </c>
      <c r="EG5">
        <f>IF(Charts!$B$3="none",E47,IF(BS47="",NA(),BS47))</f>
        <v>0</v>
      </c>
      <c r="EH5">
        <f>IF(Charts!$B$3="none",F47,IF(BT47="",NA(),BT47))</f>
        <v>0</v>
      </c>
      <c r="EI5">
        <f>IF(Charts!$B$3="none",G47,IF(BU47="",NA(),BU47))</f>
        <v>0</v>
      </c>
      <c r="EJ5">
        <f>IF(Charts!$B$3="none",H47,IF(BV47="",NA(),BV47))</f>
        <v>0</v>
      </c>
      <c r="EK5">
        <f>IF(Charts!$B$3="none",I47,IF(BW47="",NA(),BW47))</f>
        <v>0</v>
      </c>
      <c r="EL5">
        <f>IF(Charts!$B$3="none",J47,IF(BX47="",NA(),BX47))</f>
        <v>0</v>
      </c>
      <c r="EM5">
        <f>IF(Charts!$B$3="none",K47,IF(BY47="",NA(),BY47))</f>
        <v>0</v>
      </c>
      <c r="EN5">
        <f>IF(Charts!$B$3="none",L47,IF(BZ47="",NA(),BZ47))</f>
        <v>0</v>
      </c>
      <c r="EO5">
        <f>IF(Charts!$B$3="none",M47,IF(CA47="",NA(),CA47))</f>
        <v>0</v>
      </c>
      <c r="EP5">
        <f>IF(Charts!$B$3="none",N47,IF(CB47="",NA(),CB47))</f>
        <v>0</v>
      </c>
      <c r="EQ5">
        <f>IF(Charts!$B$3="none",O47,IF(CC47="",NA(),CC47))</f>
        <v>0</v>
      </c>
      <c r="ER5">
        <f>IF(Charts!$B$3="none",P47,IF(CD47="",NA(),CD47))</f>
        <v>0</v>
      </c>
      <c r="ES5">
        <f>IF(Charts!$B$3="none",Q47,IF(CE47="",NA(),CE47))</f>
        <v>0</v>
      </c>
      <c r="ET5">
        <f>IF(Charts!$B$3="none",R47,IF(CF47="",NA(),CF47))</f>
        <v>0</v>
      </c>
      <c r="EU5">
        <f>IF(Charts!$B$3="none",S47,IF(CG47="",NA(),CG47))</f>
        <v>0</v>
      </c>
      <c r="EV5">
        <f>IF(Charts!$B$3="none",T47,IF(CH47="",NA(),CH47))</f>
        <v>0</v>
      </c>
      <c r="EW5">
        <f>IF(Charts!$B$3="none",U47,IF(CI47="",NA(),CI47))</f>
        <v>0</v>
      </c>
      <c r="EX5">
        <f>IF(Charts!$B$3="none",V47,IF(CJ47="",NA(),CJ47))</f>
        <v>0</v>
      </c>
      <c r="EY5">
        <f>IF(Charts!$B$3="none",W47,IF(CK47="",NA(),CK47))</f>
        <v>0</v>
      </c>
      <c r="EZ5">
        <f>IF(Charts!$B$3="none",X47,IF(CL47="",NA(),CL47))</f>
        <v>0</v>
      </c>
      <c r="FA5">
        <f>IF(Charts!$B$3="none",Y47,IF(CM47="",NA(),CM47))</f>
        <v>0</v>
      </c>
      <c r="FB5">
        <f>IF(Charts!$B$3="none",Z47,IF(CN47="",NA(),CN47))</f>
        <v>0</v>
      </c>
      <c r="FC5">
        <f>IF(Charts!$B$3="none",AA47,IF(CO47="",NA(),CO47))</f>
        <v>0</v>
      </c>
      <c r="FD5">
        <f>IF(Charts!$B$3="none",AB47,IF(CP47="",NA(),CP47))</f>
        <v>0</v>
      </c>
      <c r="FE5">
        <f>IF(Charts!$B$3="none",AC47,IF(CQ47="",NA(),CQ47))</f>
        <v>0</v>
      </c>
      <c r="FF5">
        <f>IF(Charts!$B$3="none",AD47,IF(CR47="",NA(),CR47))</f>
        <v>0</v>
      </c>
      <c r="FG5">
        <f>IF(Charts!$B$3="none",AE47,IF(CS47="",NA(),CS47))</f>
        <v>0</v>
      </c>
      <c r="FH5">
        <f>IF(Charts!$B$3="none",AF47,IF(CT47="",NA(),CT47))</f>
        <v>0</v>
      </c>
      <c r="FI5">
        <f>IF(Charts!$B$3="none",AG47,IF(CU47="",NA(),CU47))</f>
        <v>0</v>
      </c>
      <c r="FJ5">
        <f>IF(Charts!$B$3="none",AH47,IF(CV47="",NA(),CV47))</f>
        <v>0</v>
      </c>
      <c r="FK5">
        <f>IF(Charts!$B$3="none",AI47,IF(CW47="",NA(),CW47))</f>
        <v>0</v>
      </c>
      <c r="FL5">
        <f>IF(Charts!$B$3="none",AJ47,IF(CX47="",NA(),CX47))</f>
        <v>0</v>
      </c>
      <c r="FM5">
        <f>IF(Charts!$B$3="none",AK47,IF(CY47="",NA(),CY47))</f>
        <v>0</v>
      </c>
      <c r="FN5">
        <f>IF(Charts!$B$3="none",AL47,IF(CZ47="",NA(),CZ47))</f>
        <v>0</v>
      </c>
      <c r="FO5">
        <f>IF(Charts!$B$3="none",AM47,IF(DA47="",NA(),DA47))</f>
        <v>0</v>
      </c>
      <c r="FP5">
        <f>IF(Charts!$B$3="none",AN47,IF(DB47="",NA(),DB47))</f>
        <v>0</v>
      </c>
      <c r="FQ5">
        <f>IF(Charts!$B$3="none",AO47,IF(DC47="",NA(),DC47))</f>
        <v>0</v>
      </c>
      <c r="FR5">
        <f>IF(Charts!$B$3="none",AP47,IF(DD47="",NA(),DD47))</f>
        <v>0</v>
      </c>
      <c r="FS5">
        <f>IF(Charts!$B$3="none",AQ47,IF(DE47="",NA(),DE47))</f>
        <v>0</v>
      </c>
      <c r="FT5">
        <f>IF(Charts!$B$3="none",AR47,IF(DF47="",NA(),DF47))</f>
        <v>0</v>
      </c>
      <c r="FU5">
        <f>IF(Charts!$B$3="none",AS47,IF(DG47="",NA(),DG47))</f>
        <v>0</v>
      </c>
      <c r="FV5">
        <f>IF(Charts!$B$3="none",AT47,IF(DH47="",NA(),DH47))</f>
        <v>0</v>
      </c>
      <c r="FW5">
        <f>IF(Charts!$B$3="none",AU47,IF(DI47="",NA(),DI47))</f>
        <v>0</v>
      </c>
      <c r="FX5">
        <f>IF(Charts!$B$3="none",AV47,IF(DJ47="",NA(),DJ47))</f>
        <v>0</v>
      </c>
      <c r="FY5">
        <f>IF(Charts!$B$3="none",AW47,IF(DK47="",NA(),DK47))</f>
        <v>0</v>
      </c>
      <c r="FZ5">
        <f>IF(Charts!$B$3="none",AX47,IF(DL47="",NA(),DL47))</f>
        <v>0</v>
      </c>
      <c r="GA5">
        <f>IF(Charts!$B$3="none",AY47,IF(DM47="",NA(),DM47))</f>
        <v>0</v>
      </c>
      <c r="GB5">
        <f>IF(Charts!$B$3="none",AZ47,IF(DN47="",NA(),DN47))</f>
        <v>0</v>
      </c>
      <c r="GC5">
        <f>IF(Charts!$B$3="none",BA47,IF(DO47="",NA(),DO47))</f>
        <v>0</v>
      </c>
      <c r="GD5">
        <f>IF(Charts!$B$3="none",BB47,IF(DP47="",NA(),DP47))</f>
        <v>0</v>
      </c>
      <c r="GE5">
        <f>IF(Charts!$B$3="none",BC47,IF(DQ47="",NA(),DQ47))</f>
        <v>0</v>
      </c>
      <c r="GF5">
        <f>IF(Charts!$B$3="none",BD47,IF(DR47="",NA(),DR47))</f>
        <v>0</v>
      </c>
      <c r="GG5">
        <f>IF(Charts!$B$3="none",BE47,IF(DS47="",NA(),DS47))</f>
        <v>0</v>
      </c>
      <c r="GH5">
        <f>IF(Charts!$B$3="none",BF47,IF(DT47="",NA(),DT47))</f>
        <v>0</v>
      </c>
      <c r="GI5">
        <f>IF(Charts!$B$3="none",BG47,IF(DU47="",NA(),DU47))</f>
        <v>0</v>
      </c>
      <c r="GJ5">
        <f>IF(Charts!$B$3="none",BH47,IF(DV47="",NA(),DV47))</f>
        <v>0</v>
      </c>
      <c r="GK5">
        <f>IF(Charts!$B$3="none",BI47,IF(DW47="",NA(),DW47))</f>
        <v>0</v>
      </c>
      <c r="GL5">
        <f>IF(Charts!$B$3="none",BJ47,IF(DX47="",NA(),DX47))</f>
        <v>0</v>
      </c>
      <c r="GM5">
        <f>IF(Charts!$B$3="none",BK47,IF(DY47="",NA(),DY47))</f>
        <v>0</v>
      </c>
      <c r="GN5">
        <f>IF(Charts!$B$3="none",BL47,IF(DZ47="",NA(),DZ47))</f>
        <v>0</v>
      </c>
      <c r="GO5">
        <f>IF(Charts!$B$3="none",BM47,IF(EA47="",NA(),EA47))</f>
        <v>0</v>
      </c>
      <c r="GP5">
        <f>IF(Charts!$B$3="none",BN47,IF(EB47="",NA(),EB47))</f>
        <v>0</v>
      </c>
      <c r="GQ5">
        <f>IF(Charts!$B$3="none",BO47,IF(EC47="",NA(),EC47))</f>
        <v>0</v>
      </c>
      <c r="GR5">
        <f>IF(Charts!$B$3="none",BP47,IF(ED47="",NA(),ED47))</f>
        <v>0</v>
      </c>
    </row>
    <row r="6" spans="1:200">
      <c r="A6" t="s">
        <v>20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IFERROR(SMALL(E5:E11,ROW()-ROW($F$5)+1),"")</f>
        <v>0</v>
      </c>
      <c r="H6">
        <f>IFERROR(SUM(F5:F6),"")</f>
        <v>0</v>
      </c>
      <c r="I6">
        <f>IF(INDIRECT(ADDRESS($D6+2,I$2+1,,,"Instances"))="","",INDIRECT(ADDRESS($D6+2,I$2+1,,,"Instances")))</f>
        <v>0</v>
      </c>
      <c r="J6">
        <f>IFERROR(SMALL(I5:I11,ROW()-ROW($J$5)+1),"")</f>
        <v>0</v>
      </c>
      <c r="L6">
        <f>IFERROR(SUM(J5:J6),"")</f>
        <v>0</v>
      </c>
      <c r="M6">
        <f>IF(INDIRECT(ADDRESS($D6+2,M$2+1,,,"Instances"))="","",INDIRECT(ADDRESS($D6+2,M$2+1,,,"Instances")))</f>
        <v>0</v>
      </c>
      <c r="N6">
        <f>IFERROR(SMALL(M5:M11,ROW()-ROW($N$5)+1),"")</f>
        <v>0</v>
      </c>
      <c r="P6">
        <f>IFERROR(SUM(N5:N6),"")</f>
        <v>0</v>
      </c>
      <c r="Q6">
        <f>IF(INDIRECT(ADDRESS($D6+2,Q$2+1,,,"Instances"))="","",INDIRECT(ADDRESS($D6+2,Q$2+1,,,"Instances")))</f>
        <v>0</v>
      </c>
      <c r="R6">
        <f>IFERROR(SMALL(Q5:Q11,ROW()-ROW($R$5)+1),"")</f>
        <v>0</v>
      </c>
      <c r="T6">
        <f>IFERROR(SUM(R5:R6),"")</f>
        <v>0</v>
      </c>
      <c r="U6">
        <f>IF(INDIRECT(ADDRESS($D6+2,U$2+1,,,"Instances"))="","",INDIRECT(ADDRESS($D6+2,U$2+1,,,"Instances")))</f>
        <v>0</v>
      </c>
      <c r="V6">
        <f>IFERROR(SMALL(U5:U11,ROW()-ROW($V$5)+1),"")</f>
        <v>0</v>
      </c>
      <c r="X6">
        <f>IFERROR(SUM(V5:V6),"")</f>
        <v>0</v>
      </c>
      <c r="Y6">
        <f>IF(INDIRECT(ADDRESS($D6+2,Y$2+1,,,"Instances"))="","",INDIRECT(ADDRESS($D6+2,Y$2+1,,,"Instances")))</f>
        <v>0</v>
      </c>
      <c r="Z6">
        <f>IFERROR(SMALL(Y5:Y11,ROW()-ROW($Z$5)+1),"")</f>
        <v>0</v>
      </c>
      <c r="AB6">
        <f>IFERROR(SUM(Z5:Z6),"")</f>
        <v>0</v>
      </c>
      <c r="AC6">
        <f>IF(INDIRECT(ADDRESS($D6+2,AC$2+1,,,"Instances"))="","",INDIRECT(ADDRESS($D6+2,AC$2+1,,,"Instances")))</f>
        <v>0</v>
      </c>
      <c r="AD6">
        <f>IFERROR(SMALL(AC5:AC11,ROW()-ROW($AD$5)+1),"")</f>
        <v>0</v>
      </c>
      <c r="AF6">
        <f>IFERROR(SUM(AD5:AD6),"")</f>
        <v>0</v>
      </c>
      <c r="AG6">
        <f>IF(INDIRECT(ADDRESS($D6+2,AG$2+1,,,"Instances"))="","",INDIRECT(ADDRESS($D6+2,AG$2+1,,,"Instances")))</f>
        <v>0</v>
      </c>
      <c r="AH6">
        <f>IFERROR(SMALL(AG5:AG11,ROW()-ROW($AH$5)+1),"")</f>
        <v>0</v>
      </c>
      <c r="AJ6">
        <f>IFERROR(SUM(AH5:AH6),"")</f>
        <v>0</v>
      </c>
      <c r="AK6">
        <f>IF(INDIRECT(ADDRESS($D6+2,AK$2+1,,,"Instances"))="","",INDIRECT(ADDRESS($D6+2,AK$2+1,,,"Instances")))</f>
        <v>0</v>
      </c>
      <c r="AL6">
        <f>IFERROR(SMALL(AK5:AK11,ROW()-ROW($AL$5)+1),"")</f>
        <v>0</v>
      </c>
      <c r="AN6">
        <f>IFERROR(SUM(AL5:AL6),"")</f>
        <v>0</v>
      </c>
      <c r="AO6">
        <f>IF(INDIRECT(ADDRESS($D6+2,AO$2+1,,,"Instances"))="","",INDIRECT(ADDRESS($D6+2,AO$2+1,,,"Instances")))</f>
        <v>0</v>
      </c>
      <c r="AP6">
        <f>IFERROR(SMALL(AO5:AO11,ROW()-ROW($AP$5)+1),"")</f>
        <v>0</v>
      </c>
      <c r="AR6">
        <f>IFERROR(SUM(AP5:AP6),"")</f>
        <v>0</v>
      </c>
      <c r="AS6">
        <f>IF(INDIRECT(ADDRESS($D6+2,AS$2+1,,,"Instances"))="","",INDIRECT(ADDRESS($D6+2,AS$2+1,,,"Instances")))</f>
        <v>0</v>
      </c>
      <c r="AT6">
        <f>IFERROR(SMALL(AS5:AS11,ROW()-ROW($AT$5)+1),"")</f>
        <v>0</v>
      </c>
      <c r="AV6">
        <f>IFERROR(SUM(AT5:AT6),"")</f>
        <v>0</v>
      </c>
      <c r="AW6">
        <f>IF(INDIRECT(ADDRESS($D6+2,AW$2+1,,,"Instances"))="","",INDIRECT(ADDRESS($D6+2,AW$2+1,,,"Instances")))</f>
        <v>0</v>
      </c>
      <c r="AX6">
        <f>IFERROR(SMALL(AW5:AW11,ROW()-ROW($AX$5)+1),"")</f>
        <v>0</v>
      </c>
      <c r="AZ6">
        <f>IFERROR(SUM(AX5:AX6),"")</f>
        <v>0</v>
      </c>
      <c r="BA6">
        <f>IF(INDIRECT(ADDRESS($D6+2,BA$2+1,,,"Instances"))="","",INDIRECT(ADDRESS($D6+2,BA$2+1,,,"Instances")))</f>
        <v>0</v>
      </c>
      <c r="BB6">
        <f>IFERROR(SMALL(BA5:BA11,ROW()-ROW($BB$5)+1),"")</f>
        <v>0</v>
      </c>
      <c r="BD6">
        <f>IFERROR(SUM(BB5:BB6),"")</f>
        <v>0</v>
      </c>
      <c r="BE6">
        <f>IF(INDIRECT(ADDRESS($D6+2,BE$2+1,,,"Instances"))="","",INDIRECT(ADDRESS($D6+2,BE$2+1,,,"Instances")))</f>
        <v>0</v>
      </c>
      <c r="BF6">
        <f>IFERROR(SMALL(BE5:BE11,ROW()-ROW($BF$5)+1),"")</f>
        <v>0</v>
      </c>
      <c r="BH6">
        <f>IFERROR(SUM(BF5:BF6),"")</f>
        <v>0</v>
      </c>
      <c r="BI6">
        <f>IF(INDIRECT(ADDRESS($D6+2,BI$2+1,,,"Instances"))="","",INDIRECT(ADDRESS($D6+2,BI$2+1,,,"Instances")))</f>
        <v>0</v>
      </c>
      <c r="BJ6">
        <f>IFERROR(SMALL(BI5:BI11,ROW()-ROW($BJ$5)+1),"")</f>
        <v>0</v>
      </c>
      <c r="BL6">
        <f>IFERROR(SUM(BJ5:BJ6),"")</f>
        <v>0</v>
      </c>
      <c r="BM6">
        <f>IF(INDIRECT(ADDRESS($D6+2,BM$2+1,,,"Instances"))="","",INDIRECT(ADDRESS($D6+2,BM$2+1,,,"Instances")))</f>
        <v>0</v>
      </c>
      <c r="BN6">
        <f>IFERROR(SMALL(BM5:BM11,ROW()-ROW($BN$5)+1),"")</f>
        <v>0</v>
      </c>
      <c r="BP6">
        <f>IFERROR(SUM(BN5:BN6),"")</f>
        <v>0</v>
      </c>
      <c r="BR6">
        <v>2</v>
      </c>
      <c r="BS6" cm="1">
        <f t="array" ref="BS6">_xlfn.SWITCH(Charts!$B$3,"average", AVERAGE(INDIRECT(ADDRESS(1+3,BS$2+1,,,"Instances") &amp; ":" &amp; ADDRESS(1+3,BS$2+1))),"median", MEDIAN(INDIRECT(ADDRESS(1+3,BS$2+1,,,"Instances") &amp; ":" &amp; ADDRESS(1+3,BS$2+1))),"min", MIN(INDIRECT(ADDRESS(1+3,BS$2+1,,,"Instances") &amp; ":" &amp; ADDRESS(1+3,BS$2+1))),"max", MAX(INDIRECT(ADDRESS(1+3,BS$2+1,,,"Instances") &amp; ":" &amp; ADDRESS(1+3,BS$2+1))),"diff", MAX(INDIRECT(ADDRESS(1+3,BS$2+1,,,"Instances") &amp; ":" &amp; ADDRESS(1+3,BS$2+1)))-MIN(INDIRECT(ADDRESS(1+3,BS$2+1,,,"Instances") &amp; ":" &amp; ADDRESS(1+3,BS$2+1))))</f>
        <v>0</v>
      </c>
      <c r="BT6">
        <f>IFERROR(SMALL(BS5:BS11,ROW()-ROW($BT$5)+1),"")</f>
        <v>0</v>
      </c>
      <c r="BV6">
        <f>IFERROR(SUM(BT5:BT6),"")</f>
        <v>0</v>
      </c>
      <c r="BW6" cm="1">
        <f t="array" ref="BW6">_xlfn.SWITCH(Charts!$B$3,"average", AVERAGE(INDIRECT(ADDRESS(1+3,BW$2+1,,,"Instances") &amp; ":" &amp; ADDRESS(1+3,BW$2+1))),"median", MEDIAN(INDIRECT(ADDRESS(1+3,BW$2+1,,,"Instances") &amp; ":" &amp; ADDRESS(1+3,BW$2+1))),"min", MIN(INDIRECT(ADDRESS(1+3,BW$2+1,,,"Instances") &amp; ":" &amp; ADDRESS(1+3,BW$2+1))),"max", MAX(INDIRECT(ADDRESS(1+3,BW$2+1,,,"Instances") &amp; ":" &amp; ADDRESS(1+3,BW$2+1))),"diff", MAX(INDIRECT(ADDRESS(1+3,BW$2+1,,,"Instances") &amp; ":" &amp; ADDRESS(1+3,BW$2+1)))-MIN(INDIRECT(ADDRESS(1+3,BW$2+1,,,"Instances") &amp; ":" &amp; ADDRESS(1+3,BW$2+1))))</f>
        <v>0</v>
      </c>
      <c r="BX6">
        <f>IFERROR(SMALL(BW5:BW11,ROW()-ROW($BX$5)+1),"")</f>
        <v>0</v>
      </c>
      <c r="BZ6">
        <f>IFERROR(SUM(BX5:BX6),"")</f>
        <v>0</v>
      </c>
      <c r="CA6" cm="1">
        <f t="array" ref="CA6">_xlfn.SWITCH(Charts!$B$3,"average", AVERAGE(INDIRECT(ADDRESS(1+3,CA$2+1,,,"Instances") &amp; ":" &amp; ADDRESS(1+3,CA$2+1))),"median", MEDIAN(INDIRECT(ADDRESS(1+3,CA$2+1,,,"Instances") &amp; ":" &amp; ADDRESS(1+3,CA$2+1))),"min", MIN(INDIRECT(ADDRESS(1+3,CA$2+1,,,"Instances") &amp; ":" &amp; ADDRESS(1+3,CA$2+1))),"max", MAX(INDIRECT(ADDRESS(1+3,CA$2+1,,,"Instances") &amp; ":" &amp; ADDRESS(1+3,CA$2+1))),"diff", MAX(INDIRECT(ADDRESS(1+3,CA$2+1,,,"Instances") &amp; ":" &amp; ADDRESS(1+3,CA$2+1)))-MIN(INDIRECT(ADDRESS(1+3,CA$2+1,,,"Instances") &amp; ":" &amp; ADDRESS(1+3,CA$2+1))))</f>
        <v>0</v>
      </c>
      <c r="CB6">
        <f>IFERROR(SMALL(CA5:CA11,ROW()-ROW($CB$5)+1),"")</f>
        <v>0</v>
      </c>
      <c r="CD6">
        <f>IFERROR(SUM(CB5:CB6),"")</f>
        <v>0</v>
      </c>
      <c r="CE6" cm="1">
        <f t="array" ref="CE6">_xlfn.SWITCH(Charts!$B$3,"average", AVERAGE(INDIRECT(ADDRESS(1+3,CE$2+1,,,"Instances") &amp; ":" &amp; ADDRESS(1+3,CE$2+1))),"median", MEDIAN(INDIRECT(ADDRESS(1+3,CE$2+1,,,"Instances") &amp; ":" &amp; ADDRESS(1+3,CE$2+1))),"min", MIN(INDIRECT(ADDRESS(1+3,CE$2+1,,,"Instances") &amp; ":" &amp; ADDRESS(1+3,CE$2+1))),"max", MAX(INDIRECT(ADDRESS(1+3,CE$2+1,,,"Instances") &amp; ":" &amp; ADDRESS(1+3,CE$2+1))),"diff", MAX(INDIRECT(ADDRESS(1+3,CE$2+1,,,"Instances") &amp; ":" &amp; ADDRESS(1+3,CE$2+1)))-MIN(INDIRECT(ADDRESS(1+3,CE$2+1,,,"Instances") &amp; ":" &amp; ADDRESS(1+3,CE$2+1))))</f>
        <v>0</v>
      </c>
      <c r="CF6">
        <f>IFERROR(SMALL(CE5:CE11,ROW()-ROW($CF$5)+1),"")</f>
        <v>0</v>
      </c>
      <c r="CH6">
        <f>IFERROR(SUM(CF5:CF6),"")</f>
        <v>0</v>
      </c>
      <c r="CI6" cm="1">
        <f t="array" ref="CI6">_xlfn.SWITCH(Charts!$B$3,"average", AVERAGE(INDIRECT(ADDRESS(1+3,CI$2+1,,,"Instances") &amp; ":" &amp; ADDRESS(1+3,CI$2+1))),"median", MEDIAN(INDIRECT(ADDRESS(1+3,CI$2+1,,,"Instances") &amp; ":" &amp; ADDRESS(1+3,CI$2+1))),"min", MIN(INDIRECT(ADDRESS(1+3,CI$2+1,,,"Instances") &amp; ":" &amp; ADDRESS(1+3,CI$2+1))),"max", MAX(INDIRECT(ADDRESS(1+3,CI$2+1,,,"Instances") &amp; ":" &amp; ADDRESS(1+3,CI$2+1))),"diff", MAX(INDIRECT(ADDRESS(1+3,CI$2+1,,,"Instances") &amp; ":" &amp; ADDRESS(1+3,CI$2+1)))-MIN(INDIRECT(ADDRESS(1+3,CI$2+1,,,"Instances") &amp; ":" &amp; ADDRESS(1+3,CI$2+1))))</f>
        <v>0</v>
      </c>
      <c r="CJ6">
        <f>IFERROR(SMALL(CI5:CI11,ROW()-ROW($CJ$5)+1),"")</f>
        <v>0</v>
      </c>
      <c r="CL6">
        <f>IFERROR(SUM(CJ5:CJ6),"")</f>
        <v>0</v>
      </c>
      <c r="CM6" cm="1">
        <f t="array" ref="CM6">_xlfn.SWITCH(Charts!$B$3,"average", AVERAGE(INDIRECT(ADDRESS(1+3,CM$2+1,,,"Instances") &amp; ":" &amp; ADDRESS(1+3,CM$2+1))),"median", MEDIAN(INDIRECT(ADDRESS(1+3,CM$2+1,,,"Instances") &amp; ":" &amp; ADDRESS(1+3,CM$2+1))),"min", MIN(INDIRECT(ADDRESS(1+3,CM$2+1,,,"Instances") &amp; ":" &amp; ADDRESS(1+3,CM$2+1))),"max", MAX(INDIRECT(ADDRESS(1+3,CM$2+1,,,"Instances") &amp; ":" &amp; ADDRESS(1+3,CM$2+1))),"diff", MAX(INDIRECT(ADDRESS(1+3,CM$2+1,,,"Instances") &amp; ":" &amp; ADDRESS(1+3,CM$2+1)))-MIN(INDIRECT(ADDRESS(1+3,CM$2+1,,,"Instances") &amp; ":" &amp; ADDRESS(1+3,CM$2+1))))</f>
        <v>0</v>
      </c>
      <c r="CN6">
        <f>IFERROR(SMALL(CM5:CM11,ROW()-ROW($CN$5)+1),"")</f>
        <v>0</v>
      </c>
      <c r="CP6">
        <f>IFERROR(SUM(CN5:CN6),"")</f>
        <v>0</v>
      </c>
      <c r="CQ6" cm="1">
        <f t="array" ref="CQ6">_xlfn.SWITCH(Charts!$B$3,"average", AVERAGE(INDIRECT(ADDRESS(1+3,CQ$2+1,,,"Instances") &amp; ":" &amp; ADDRESS(1+3,CQ$2+1))),"median", MEDIAN(INDIRECT(ADDRESS(1+3,CQ$2+1,,,"Instances") &amp; ":" &amp; ADDRESS(1+3,CQ$2+1))),"min", MIN(INDIRECT(ADDRESS(1+3,CQ$2+1,,,"Instances") &amp; ":" &amp; ADDRESS(1+3,CQ$2+1))),"max", MAX(INDIRECT(ADDRESS(1+3,CQ$2+1,,,"Instances") &amp; ":" &amp; ADDRESS(1+3,CQ$2+1))),"diff", MAX(INDIRECT(ADDRESS(1+3,CQ$2+1,,,"Instances") &amp; ":" &amp; ADDRESS(1+3,CQ$2+1)))-MIN(INDIRECT(ADDRESS(1+3,CQ$2+1,,,"Instances") &amp; ":" &amp; ADDRESS(1+3,CQ$2+1))))</f>
        <v>0</v>
      </c>
      <c r="CR6">
        <f>IFERROR(SMALL(CQ5:CQ11,ROW()-ROW($CR$5)+1),"")</f>
        <v>0</v>
      </c>
      <c r="CT6">
        <f>IFERROR(SUM(CR5:CR6),"")</f>
        <v>0</v>
      </c>
      <c r="CU6" cm="1">
        <f t="array" ref="CU6">_xlfn.SWITCH(Charts!$B$3,"average", AVERAGE(INDIRECT(ADDRESS(1+3,CU$2+1,,,"Instances") &amp; ":" &amp; ADDRESS(1+3,CU$2+1))),"median", MEDIAN(INDIRECT(ADDRESS(1+3,CU$2+1,,,"Instances") &amp; ":" &amp; ADDRESS(1+3,CU$2+1))),"min", MIN(INDIRECT(ADDRESS(1+3,CU$2+1,,,"Instances") &amp; ":" &amp; ADDRESS(1+3,CU$2+1))),"max", MAX(INDIRECT(ADDRESS(1+3,CU$2+1,,,"Instances") &amp; ":" &amp; ADDRESS(1+3,CU$2+1))),"diff", MAX(INDIRECT(ADDRESS(1+3,CU$2+1,,,"Instances") &amp; ":" &amp; ADDRESS(1+3,CU$2+1)))-MIN(INDIRECT(ADDRESS(1+3,CU$2+1,,,"Instances") &amp; ":" &amp; ADDRESS(1+3,CU$2+1))))</f>
        <v>0</v>
      </c>
      <c r="CV6">
        <f>IFERROR(SMALL(CU5:CU11,ROW()-ROW($CV$5)+1),"")</f>
        <v>0</v>
      </c>
      <c r="CX6">
        <f>IFERROR(SUM(CV5:CV6),"")</f>
        <v>0</v>
      </c>
      <c r="CY6" cm="1">
        <f t="array" ref="CY6">_xlfn.SWITCH(Charts!$B$3,"average", AVERAGE(INDIRECT(ADDRESS(1+3,CY$2+1,,,"Instances") &amp; ":" &amp; ADDRESS(1+3,CY$2+1))),"median", MEDIAN(INDIRECT(ADDRESS(1+3,CY$2+1,,,"Instances") &amp; ":" &amp; ADDRESS(1+3,CY$2+1))),"min", MIN(INDIRECT(ADDRESS(1+3,CY$2+1,,,"Instances") &amp; ":" &amp; ADDRESS(1+3,CY$2+1))),"max", MAX(INDIRECT(ADDRESS(1+3,CY$2+1,,,"Instances") &amp; ":" &amp; ADDRESS(1+3,CY$2+1))),"diff", MAX(INDIRECT(ADDRESS(1+3,CY$2+1,,,"Instances") &amp; ":" &amp; ADDRESS(1+3,CY$2+1)))-MIN(INDIRECT(ADDRESS(1+3,CY$2+1,,,"Instances") &amp; ":" &amp; ADDRESS(1+3,CY$2+1))))</f>
        <v>0</v>
      </c>
      <c r="CZ6">
        <f>IFERROR(SMALL(CY5:CY11,ROW()-ROW($CZ$5)+1),"")</f>
        <v>0</v>
      </c>
      <c r="DB6">
        <f>IFERROR(SUM(CZ5:CZ6),"")</f>
        <v>0</v>
      </c>
      <c r="DC6" cm="1">
        <f t="array" ref="DC6">_xlfn.SWITCH(Charts!$B$3,"average", AVERAGE(INDIRECT(ADDRESS(1+3,DC$2+1,,,"Instances") &amp; ":" &amp; ADDRESS(1+3,DC$2+1))),"median", MEDIAN(INDIRECT(ADDRESS(1+3,DC$2+1,,,"Instances") &amp; ":" &amp; ADDRESS(1+3,DC$2+1))),"min", MIN(INDIRECT(ADDRESS(1+3,DC$2+1,,,"Instances") &amp; ":" &amp; ADDRESS(1+3,DC$2+1))),"max", MAX(INDIRECT(ADDRESS(1+3,DC$2+1,,,"Instances") &amp; ":" &amp; ADDRESS(1+3,DC$2+1))),"diff", MAX(INDIRECT(ADDRESS(1+3,DC$2+1,,,"Instances") &amp; ":" &amp; ADDRESS(1+3,DC$2+1)))-MIN(INDIRECT(ADDRESS(1+3,DC$2+1,,,"Instances") &amp; ":" &amp; ADDRESS(1+3,DC$2+1))))</f>
        <v>0</v>
      </c>
      <c r="DD6">
        <f>IFERROR(SMALL(DC5:DC11,ROW()-ROW($DD$5)+1),"")</f>
        <v>0</v>
      </c>
      <c r="DF6">
        <f>IFERROR(SUM(DD5:DD6),"")</f>
        <v>0</v>
      </c>
      <c r="DG6" cm="1">
        <f t="array" ref="DG6">_xlfn.SWITCH(Charts!$B$3,"average", AVERAGE(INDIRECT(ADDRESS(1+3,DG$2+1,,,"Instances") &amp; ":" &amp; ADDRESS(1+3,DG$2+1))),"median", MEDIAN(INDIRECT(ADDRESS(1+3,DG$2+1,,,"Instances") &amp; ":" &amp; ADDRESS(1+3,DG$2+1))),"min", MIN(INDIRECT(ADDRESS(1+3,DG$2+1,,,"Instances") &amp; ":" &amp; ADDRESS(1+3,DG$2+1))),"max", MAX(INDIRECT(ADDRESS(1+3,DG$2+1,,,"Instances") &amp; ":" &amp; ADDRESS(1+3,DG$2+1))),"diff", MAX(INDIRECT(ADDRESS(1+3,DG$2+1,,,"Instances") &amp; ":" &amp; ADDRESS(1+3,DG$2+1)))-MIN(INDIRECT(ADDRESS(1+3,DG$2+1,,,"Instances") &amp; ":" &amp; ADDRESS(1+3,DG$2+1))))</f>
        <v>0</v>
      </c>
      <c r="DH6">
        <f>IFERROR(SMALL(DG5:DG11,ROW()-ROW($DH$5)+1),"")</f>
        <v>0</v>
      </c>
      <c r="DJ6">
        <f>IFERROR(SUM(DH5:DH6),"")</f>
        <v>0</v>
      </c>
      <c r="DK6" cm="1">
        <f t="array" ref="DK6">_xlfn.SWITCH(Charts!$B$3,"average", AVERAGE(INDIRECT(ADDRESS(1+3,DK$2+1,,,"Instances") &amp; ":" &amp; ADDRESS(1+3,DK$2+1))),"median", MEDIAN(INDIRECT(ADDRESS(1+3,DK$2+1,,,"Instances") &amp; ":" &amp; ADDRESS(1+3,DK$2+1))),"min", MIN(INDIRECT(ADDRESS(1+3,DK$2+1,,,"Instances") &amp; ":" &amp; ADDRESS(1+3,DK$2+1))),"max", MAX(INDIRECT(ADDRESS(1+3,DK$2+1,,,"Instances") &amp; ":" &amp; ADDRESS(1+3,DK$2+1))),"diff", MAX(INDIRECT(ADDRESS(1+3,DK$2+1,,,"Instances") &amp; ":" &amp; ADDRESS(1+3,DK$2+1)))-MIN(INDIRECT(ADDRESS(1+3,DK$2+1,,,"Instances") &amp; ":" &amp; ADDRESS(1+3,DK$2+1))))</f>
        <v>0</v>
      </c>
      <c r="DL6">
        <f>IFERROR(SMALL(DK5:DK11,ROW()-ROW($DL$5)+1),"")</f>
        <v>0</v>
      </c>
      <c r="DN6">
        <f>IFERROR(SUM(DL5:DL6),"")</f>
        <v>0</v>
      </c>
      <c r="DO6" cm="1">
        <f t="array" ref="DO6">_xlfn.SWITCH(Charts!$B$3,"average", AVERAGE(INDIRECT(ADDRESS(1+3,DO$2+1,,,"Instances") &amp; ":" &amp; ADDRESS(1+3,DO$2+1))),"median", MEDIAN(INDIRECT(ADDRESS(1+3,DO$2+1,,,"Instances") &amp; ":" &amp; ADDRESS(1+3,DO$2+1))),"min", MIN(INDIRECT(ADDRESS(1+3,DO$2+1,,,"Instances") &amp; ":" &amp; ADDRESS(1+3,DO$2+1))),"max", MAX(INDIRECT(ADDRESS(1+3,DO$2+1,,,"Instances") &amp; ":" &amp; ADDRESS(1+3,DO$2+1))),"diff", MAX(INDIRECT(ADDRESS(1+3,DO$2+1,,,"Instances") &amp; ":" &amp; ADDRESS(1+3,DO$2+1)))-MIN(INDIRECT(ADDRESS(1+3,DO$2+1,,,"Instances") &amp; ":" &amp; ADDRESS(1+3,DO$2+1))))</f>
        <v>0</v>
      </c>
      <c r="DP6">
        <f>IFERROR(SMALL(DO5:DO11,ROW()-ROW($DP$5)+1),"")</f>
        <v>0</v>
      </c>
      <c r="DR6">
        <f>IFERROR(SUM(DP5:DP6),"")</f>
        <v>0</v>
      </c>
      <c r="DS6" cm="1">
        <f t="array" ref="DS6">_xlfn.SWITCH(Charts!$B$3,"average", AVERAGE(INDIRECT(ADDRESS(1+3,DS$2+1,,,"Instances") &amp; ":" &amp; ADDRESS(1+3,DS$2+1))),"median", MEDIAN(INDIRECT(ADDRESS(1+3,DS$2+1,,,"Instances") &amp; ":" &amp; ADDRESS(1+3,DS$2+1))),"min", MIN(INDIRECT(ADDRESS(1+3,DS$2+1,,,"Instances") &amp; ":" &amp; ADDRESS(1+3,DS$2+1))),"max", MAX(INDIRECT(ADDRESS(1+3,DS$2+1,,,"Instances") &amp; ":" &amp; ADDRESS(1+3,DS$2+1))),"diff", MAX(INDIRECT(ADDRESS(1+3,DS$2+1,,,"Instances") &amp; ":" &amp; ADDRESS(1+3,DS$2+1)))-MIN(INDIRECT(ADDRESS(1+3,DS$2+1,,,"Instances") &amp; ":" &amp; ADDRESS(1+3,DS$2+1))))</f>
        <v>0</v>
      </c>
      <c r="DT6">
        <f>IFERROR(SMALL(DS5:DS11,ROW()-ROW($DT$5)+1),"")</f>
        <v>0</v>
      </c>
      <c r="DV6">
        <f>IFERROR(SUM(DT5:DT6),"")</f>
        <v>0</v>
      </c>
      <c r="DW6" cm="1">
        <f t="array" ref="DW6">_xlfn.SWITCH(Charts!$B$3,"average", AVERAGE(INDIRECT(ADDRESS(1+3,DW$2+1,,,"Instances") &amp; ":" &amp; ADDRESS(1+3,DW$2+1))),"median", MEDIAN(INDIRECT(ADDRESS(1+3,DW$2+1,,,"Instances") &amp; ":" &amp; ADDRESS(1+3,DW$2+1))),"min", MIN(INDIRECT(ADDRESS(1+3,DW$2+1,,,"Instances") &amp; ":" &amp; ADDRESS(1+3,DW$2+1))),"max", MAX(INDIRECT(ADDRESS(1+3,DW$2+1,,,"Instances") &amp; ":" &amp; ADDRESS(1+3,DW$2+1))),"diff", MAX(INDIRECT(ADDRESS(1+3,DW$2+1,,,"Instances") &amp; ":" &amp; ADDRESS(1+3,DW$2+1)))-MIN(INDIRECT(ADDRESS(1+3,DW$2+1,,,"Instances") &amp; ":" &amp; ADDRESS(1+3,DW$2+1))))</f>
        <v>0</v>
      </c>
      <c r="DX6">
        <f>IFERROR(SMALL(DW5:DW11,ROW()-ROW($DX$5)+1),"")</f>
        <v>0</v>
      </c>
      <c r="DZ6">
        <f>IFERROR(SUM(DX5:DX6),"")</f>
        <v>0</v>
      </c>
      <c r="EA6" cm="1">
        <f t="array" ref="EA6">_xlfn.SWITCH(Charts!$B$3,"average", AVERAGE(INDIRECT(ADDRESS(1+3,EA$2+1,,,"Instances") &amp; ":" &amp; ADDRESS(1+3,EA$2+1))),"median", MEDIAN(INDIRECT(ADDRESS(1+3,EA$2+1,,,"Instances") &amp; ":" &amp; ADDRESS(1+3,EA$2+1))),"min", MIN(INDIRECT(ADDRESS(1+3,EA$2+1,,,"Instances") &amp; ":" &amp; ADDRESS(1+3,EA$2+1))),"max", MAX(INDIRECT(ADDRESS(1+3,EA$2+1,,,"Instances") &amp; ":" &amp; ADDRESS(1+3,EA$2+1))),"diff", MAX(INDIRECT(ADDRESS(1+3,EA$2+1,,,"Instances") &amp; ":" &amp; ADDRESS(1+3,EA$2+1)))-MIN(INDIRECT(ADDRESS(1+3,EA$2+1,,,"Instances") &amp; ":" &amp; ADDRESS(1+3,EA$2+1))))</f>
        <v>0</v>
      </c>
      <c r="EB6">
        <f>IFERROR(SMALL(EA5:EA11,ROW()-ROW($EB$5)+1),"")</f>
        <v>0</v>
      </c>
      <c r="ED6">
        <f>IFERROR(SUM(EB5:EB6),"")</f>
        <v>0</v>
      </c>
      <c r="EG6">
        <f>IF(Charts!$B$3="none",E48,IF(BS48="",NA(),BS48))</f>
        <v>0</v>
      </c>
      <c r="EH6">
        <f>IF(Charts!$B$3="none",F48,IF(BT48="",NA(),BT48))</f>
        <v>0</v>
      </c>
      <c r="EI6">
        <f>IF(Charts!$B$3="none",G48,IF(BU48="",NA(),BU48))</f>
        <v>0</v>
      </c>
      <c r="EJ6">
        <f>IF(Charts!$B$3="none",H48,IF(BV48="",NA(),BV48))</f>
        <v>0</v>
      </c>
      <c r="EK6">
        <f>IF(Charts!$B$3="none",I48,IF(BW48="",NA(),BW48))</f>
        <v>0</v>
      </c>
      <c r="EL6">
        <f>IF(Charts!$B$3="none",J48,IF(BX48="",NA(),BX48))</f>
        <v>0</v>
      </c>
      <c r="EM6">
        <f>IF(Charts!$B$3="none",K48,IF(BY48="",NA(),BY48))</f>
        <v>0</v>
      </c>
      <c r="EN6">
        <f>IF(Charts!$B$3="none",L48,IF(BZ48="",NA(),BZ48))</f>
        <v>0</v>
      </c>
      <c r="EO6">
        <f>IF(Charts!$B$3="none",M48,IF(CA48="",NA(),CA48))</f>
        <v>0</v>
      </c>
      <c r="EP6">
        <f>IF(Charts!$B$3="none",N48,IF(CB48="",NA(),CB48))</f>
        <v>0</v>
      </c>
      <c r="EQ6">
        <f>IF(Charts!$B$3="none",O48,IF(CC48="",NA(),CC48))</f>
        <v>0</v>
      </c>
      <c r="ER6">
        <f>IF(Charts!$B$3="none",P48,IF(CD48="",NA(),CD48))</f>
        <v>0</v>
      </c>
      <c r="ES6">
        <f>IF(Charts!$B$3="none",Q48,IF(CE48="",NA(),CE48))</f>
        <v>0</v>
      </c>
      <c r="ET6">
        <f>IF(Charts!$B$3="none",R48,IF(CF48="",NA(),CF48))</f>
        <v>0</v>
      </c>
      <c r="EU6">
        <f>IF(Charts!$B$3="none",S48,IF(CG48="",NA(),CG48))</f>
        <v>0</v>
      </c>
      <c r="EV6">
        <f>IF(Charts!$B$3="none",T48,IF(CH48="",NA(),CH48))</f>
        <v>0</v>
      </c>
      <c r="EW6">
        <f>IF(Charts!$B$3="none",U48,IF(CI48="",NA(),CI48))</f>
        <v>0</v>
      </c>
      <c r="EX6">
        <f>IF(Charts!$B$3="none",V48,IF(CJ48="",NA(),CJ48))</f>
        <v>0</v>
      </c>
      <c r="EY6">
        <f>IF(Charts!$B$3="none",W48,IF(CK48="",NA(),CK48))</f>
        <v>0</v>
      </c>
      <c r="EZ6">
        <f>IF(Charts!$B$3="none",X48,IF(CL48="",NA(),CL48))</f>
        <v>0</v>
      </c>
      <c r="FA6">
        <f>IF(Charts!$B$3="none",Y48,IF(CM48="",NA(),CM48))</f>
        <v>0</v>
      </c>
      <c r="FB6">
        <f>IF(Charts!$B$3="none",Z48,IF(CN48="",NA(),CN48))</f>
        <v>0</v>
      </c>
      <c r="FC6">
        <f>IF(Charts!$B$3="none",AA48,IF(CO48="",NA(),CO48))</f>
        <v>0</v>
      </c>
      <c r="FD6">
        <f>IF(Charts!$B$3="none",AB48,IF(CP48="",NA(),CP48))</f>
        <v>0</v>
      </c>
      <c r="FE6">
        <f>IF(Charts!$B$3="none",AC48,IF(CQ48="",NA(),CQ48))</f>
        <v>0</v>
      </c>
      <c r="FF6">
        <f>IF(Charts!$B$3="none",AD48,IF(CR48="",NA(),CR48))</f>
        <v>0</v>
      </c>
      <c r="FG6">
        <f>IF(Charts!$B$3="none",AE48,IF(CS48="",NA(),CS48))</f>
        <v>0</v>
      </c>
      <c r="FH6">
        <f>IF(Charts!$B$3="none",AF48,IF(CT48="",NA(),CT48))</f>
        <v>0</v>
      </c>
      <c r="FI6">
        <f>IF(Charts!$B$3="none",AG48,IF(CU48="",NA(),CU48))</f>
        <v>0</v>
      </c>
      <c r="FJ6">
        <f>IF(Charts!$B$3="none",AH48,IF(CV48="",NA(),CV48))</f>
        <v>0</v>
      </c>
      <c r="FK6">
        <f>IF(Charts!$B$3="none",AI48,IF(CW48="",NA(),CW48))</f>
        <v>0</v>
      </c>
      <c r="FL6">
        <f>IF(Charts!$B$3="none",AJ48,IF(CX48="",NA(),CX48))</f>
        <v>0</v>
      </c>
      <c r="FM6">
        <f>IF(Charts!$B$3="none",AK48,IF(CY48="",NA(),CY48))</f>
        <v>0</v>
      </c>
      <c r="FN6">
        <f>IF(Charts!$B$3="none",AL48,IF(CZ48="",NA(),CZ48))</f>
        <v>0</v>
      </c>
      <c r="FO6">
        <f>IF(Charts!$B$3="none",AM48,IF(DA48="",NA(),DA48))</f>
        <v>0</v>
      </c>
      <c r="FP6">
        <f>IF(Charts!$B$3="none",AN48,IF(DB48="",NA(),DB48))</f>
        <v>0</v>
      </c>
      <c r="FQ6">
        <f>IF(Charts!$B$3="none",AO48,IF(DC48="",NA(),DC48))</f>
        <v>0</v>
      </c>
      <c r="FR6">
        <f>IF(Charts!$B$3="none",AP48,IF(DD48="",NA(),DD48))</f>
        <v>0</v>
      </c>
      <c r="FS6">
        <f>IF(Charts!$B$3="none",AQ48,IF(DE48="",NA(),DE48))</f>
        <v>0</v>
      </c>
      <c r="FT6">
        <f>IF(Charts!$B$3="none",AR48,IF(DF48="",NA(),DF48))</f>
        <v>0</v>
      </c>
      <c r="FU6">
        <f>IF(Charts!$B$3="none",AS48,IF(DG48="",NA(),DG48))</f>
        <v>0</v>
      </c>
      <c r="FV6">
        <f>IF(Charts!$B$3="none",AT48,IF(DH48="",NA(),DH48))</f>
        <v>0</v>
      </c>
      <c r="FW6">
        <f>IF(Charts!$B$3="none",AU48,IF(DI48="",NA(),DI48))</f>
        <v>0</v>
      </c>
      <c r="FX6">
        <f>IF(Charts!$B$3="none",AV48,IF(DJ48="",NA(),DJ48))</f>
        <v>0</v>
      </c>
      <c r="FY6">
        <f>IF(Charts!$B$3="none",AW48,IF(DK48="",NA(),DK48))</f>
        <v>0</v>
      </c>
      <c r="FZ6">
        <f>IF(Charts!$B$3="none",AX48,IF(DL48="",NA(),DL48))</f>
        <v>0</v>
      </c>
      <c r="GA6">
        <f>IF(Charts!$B$3="none",AY48,IF(DM48="",NA(),DM48))</f>
        <v>0</v>
      </c>
      <c r="GB6">
        <f>IF(Charts!$B$3="none",AZ48,IF(DN48="",NA(),DN48))</f>
        <v>0</v>
      </c>
      <c r="GC6">
        <f>IF(Charts!$B$3="none",BA48,IF(DO48="",NA(),DO48))</f>
        <v>0</v>
      </c>
      <c r="GD6">
        <f>IF(Charts!$B$3="none",BB48,IF(DP48="",NA(),DP48))</f>
        <v>0</v>
      </c>
      <c r="GE6">
        <f>IF(Charts!$B$3="none",BC48,IF(DQ48="",NA(),DQ48))</f>
        <v>0</v>
      </c>
      <c r="GF6">
        <f>IF(Charts!$B$3="none",BD48,IF(DR48="",NA(),DR48))</f>
        <v>0</v>
      </c>
      <c r="GG6">
        <f>IF(Charts!$B$3="none",BE48,IF(DS48="",NA(),DS48))</f>
        <v>0</v>
      </c>
      <c r="GH6">
        <f>IF(Charts!$B$3="none",BF48,IF(DT48="",NA(),DT48))</f>
        <v>0</v>
      </c>
      <c r="GI6">
        <f>IF(Charts!$B$3="none",BG48,IF(DU48="",NA(),DU48))</f>
        <v>0</v>
      </c>
      <c r="GJ6">
        <f>IF(Charts!$B$3="none",BH48,IF(DV48="",NA(),DV48))</f>
        <v>0</v>
      </c>
      <c r="GK6">
        <f>IF(Charts!$B$3="none",BI48,IF(DW48="",NA(),DW48))</f>
        <v>0</v>
      </c>
      <c r="GL6">
        <f>IF(Charts!$B$3="none",BJ48,IF(DX48="",NA(),DX48))</f>
        <v>0</v>
      </c>
      <c r="GM6">
        <f>IF(Charts!$B$3="none",BK48,IF(DY48="",NA(),DY48))</f>
        <v>0</v>
      </c>
      <c r="GN6">
        <f>IF(Charts!$B$3="none",BL48,IF(DZ48="",NA(),DZ48))</f>
        <v>0</v>
      </c>
      <c r="GO6">
        <f>IF(Charts!$B$3="none",BM48,IF(EA48="",NA(),EA48))</f>
        <v>0</v>
      </c>
      <c r="GP6">
        <f>IF(Charts!$B$3="none",BN48,IF(EB48="",NA(),EB48))</f>
        <v>0</v>
      </c>
      <c r="GQ6">
        <f>IF(Charts!$B$3="none",BO48,IF(EC48="",NA(),EC48))</f>
        <v>0</v>
      </c>
      <c r="GR6">
        <f>IF(Charts!$B$3="none",BP48,IF(ED48="",NA(),ED48))</f>
        <v>0</v>
      </c>
    </row>
    <row r="7" spans="1:200">
      <c r="A7" t="s">
        <v>21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IFERROR(SMALL(E5:E11,ROW()-ROW($F$5)+1),"")</f>
        <v>0</v>
      </c>
      <c r="H7">
        <f>IFERROR(SUM(F5:F7),"")</f>
        <v>0</v>
      </c>
      <c r="I7">
        <f>IF(INDIRECT(ADDRESS($D7+2,I$2+1,,,"Instances"))="","",INDIRECT(ADDRESS($D7+2,I$2+1,,,"Instances")))</f>
        <v>0</v>
      </c>
      <c r="J7">
        <f>IFERROR(SMALL(I5:I11,ROW()-ROW($J$5)+1),"")</f>
        <v>0</v>
      </c>
      <c r="L7">
        <f>IFERROR(SUM(J5:J7),"")</f>
        <v>0</v>
      </c>
      <c r="M7">
        <f>IF(INDIRECT(ADDRESS($D7+2,M$2+1,,,"Instances"))="","",INDIRECT(ADDRESS($D7+2,M$2+1,,,"Instances")))</f>
        <v>0</v>
      </c>
      <c r="N7">
        <f>IFERROR(SMALL(M5:M11,ROW()-ROW($N$5)+1),"")</f>
        <v>0</v>
      </c>
      <c r="P7">
        <f>IFERROR(SUM(N5:N7),"")</f>
        <v>0</v>
      </c>
      <c r="Q7">
        <f>IF(INDIRECT(ADDRESS($D7+2,Q$2+1,,,"Instances"))="","",INDIRECT(ADDRESS($D7+2,Q$2+1,,,"Instances")))</f>
        <v>0</v>
      </c>
      <c r="R7">
        <f>IFERROR(SMALL(Q5:Q11,ROW()-ROW($R$5)+1),"")</f>
        <v>0</v>
      </c>
      <c r="T7">
        <f>IFERROR(SUM(R5:R7),"")</f>
        <v>0</v>
      </c>
      <c r="U7">
        <f>IF(INDIRECT(ADDRESS($D7+2,U$2+1,,,"Instances"))="","",INDIRECT(ADDRESS($D7+2,U$2+1,,,"Instances")))</f>
        <v>0</v>
      </c>
      <c r="V7">
        <f>IFERROR(SMALL(U5:U11,ROW()-ROW($V$5)+1),"")</f>
        <v>0</v>
      </c>
      <c r="X7">
        <f>IFERROR(SUM(V5:V7),"")</f>
        <v>0</v>
      </c>
      <c r="Y7">
        <f>IF(INDIRECT(ADDRESS($D7+2,Y$2+1,,,"Instances"))="","",INDIRECT(ADDRESS($D7+2,Y$2+1,,,"Instances")))</f>
        <v>0</v>
      </c>
      <c r="Z7">
        <f>IFERROR(SMALL(Y5:Y11,ROW()-ROW($Z$5)+1),"")</f>
        <v>0</v>
      </c>
      <c r="AB7">
        <f>IFERROR(SUM(Z5:Z7),"")</f>
        <v>0</v>
      </c>
      <c r="AC7">
        <f>IF(INDIRECT(ADDRESS($D7+2,AC$2+1,,,"Instances"))="","",INDIRECT(ADDRESS($D7+2,AC$2+1,,,"Instances")))</f>
        <v>0</v>
      </c>
      <c r="AD7">
        <f>IFERROR(SMALL(AC5:AC11,ROW()-ROW($AD$5)+1),"")</f>
        <v>0</v>
      </c>
      <c r="AF7">
        <f>IFERROR(SUM(AD5:AD7),"")</f>
        <v>0</v>
      </c>
      <c r="AG7">
        <f>IF(INDIRECT(ADDRESS($D7+2,AG$2+1,,,"Instances"))="","",INDIRECT(ADDRESS($D7+2,AG$2+1,,,"Instances")))</f>
        <v>0</v>
      </c>
      <c r="AH7">
        <f>IFERROR(SMALL(AG5:AG11,ROW()-ROW($AH$5)+1),"")</f>
        <v>0</v>
      </c>
      <c r="AJ7">
        <f>IFERROR(SUM(AH5:AH7),"")</f>
        <v>0</v>
      </c>
      <c r="AK7">
        <f>IF(INDIRECT(ADDRESS($D7+2,AK$2+1,,,"Instances"))="","",INDIRECT(ADDRESS($D7+2,AK$2+1,,,"Instances")))</f>
        <v>0</v>
      </c>
      <c r="AL7">
        <f>IFERROR(SMALL(AK5:AK11,ROW()-ROW($AL$5)+1),"")</f>
        <v>0</v>
      </c>
      <c r="AN7">
        <f>IFERROR(SUM(AL5:AL7),"")</f>
        <v>0</v>
      </c>
      <c r="AO7">
        <f>IF(INDIRECT(ADDRESS($D7+2,AO$2+1,,,"Instances"))="","",INDIRECT(ADDRESS($D7+2,AO$2+1,,,"Instances")))</f>
        <v>0</v>
      </c>
      <c r="AP7">
        <f>IFERROR(SMALL(AO5:AO11,ROW()-ROW($AP$5)+1),"")</f>
        <v>0</v>
      </c>
      <c r="AR7">
        <f>IFERROR(SUM(AP5:AP7),"")</f>
        <v>0</v>
      </c>
      <c r="AS7">
        <f>IF(INDIRECT(ADDRESS($D7+2,AS$2+1,,,"Instances"))="","",INDIRECT(ADDRESS($D7+2,AS$2+1,,,"Instances")))</f>
        <v>0</v>
      </c>
      <c r="AT7">
        <f>IFERROR(SMALL(AS5:AS11,ROW()-ROW($AT$5)+1),"")</f>
        <v>0</v>
      </c>
      <c r="AV7">
        <f>IFERROR(SUM(AT5:AT7),"")</f>
        <v>0</v>
      </c>
      <c r="AW7">
        <f>IF(INDIRECT(ADDRESS($D7+2,AW$2+1,,,"Instances"))="","",INDIRECT(ADDRESS($D7+2,AW$2+1,,,"Instances")))</f>
        <v>0</v>
      </c>
      <c r="AX7">
        <f>IFERROR(SMALL(AW5:AW11,ROW()-ROW($AX$5)+1),"")</f>
        <v>0</v>
      </c>
      <c r="AZ7">
        <f>IFERROR(SUM(AX5:AX7),"")</f>
        <v>0</v>
      </c>
      <c r="BA7">
        <f>IF(INDIRECT(ADDRESS($D7+2,BA$2+1,,,"Instances"))="","",INDIRECT(ADDRESS($D7+2,BA$2+1,,,"Instances")))</f>
        <v>0</v>
      </c>
      <c r="BB7">
        <f>IFERROR(SMALL(BA5:BA11,ROW()-ROW($BB$5)+1),"")</f>
        <v>0</v>
      </c>
      <c r="BD7">
        <f>IFERROR(SUM(BB5:BB7),"")</f>
        <v>0</v>
      </c>
      <c r="BE7">
        <f>IF(INDIRECT(ADDRESS($D7+2,BE$2+1,,,"Instances"))="","",INDIRECT(ADDRESS($D7+2,BE$2+1,,,"Instances")))</f>
        <v>0</v>
      </c>
      <c r="BF7">
        <f>IFERROR(SMALL(BE5:BE11,ROW()-ROW($BF$5)+1),"")</f>
        <v>0</v>
      </c>
      <c r="BH7">
        <f>IFERROR(SUM(BF5:BF7),"")</f>
        <v>0</v>
      </c>
      <c r="BI7">
        <f>IF(INDIRECT(ADDRESS($D7+2,BI$2+1,,,"Instances"))="","",INDIRECT(ADDRESS($D7+2,BI$2+1,,,"Instances")))</f>
        <v>0</v>
      </c>
      <c r="BJ7">
        <f>IFERROR(SMALL(BI5:BI11,ROW()-ROW($BJ$5)+1),"")</f>
        <v>0</v>
      </c>
      <c r="BL7">
        <f>IFERROR(SUM(BJ5:BJ7),"")</f>
        <v>0</v>
      </c>
      <c r="BM7">
        <f>IF(INDIRECT(ADDRESS($D7+2,BM$2+1,,,"Instances"))="","",INDIRECT(ADDRESS($D7+2,BM$2+1,,,"Instances")))</f>
        <v>0</v>
      </c>
      <c r="BN7">
        <f>IFERROR(SMALL(BM5:BM11,ROW()-ROW($BN$5)+1),"")</f>
        <v>0</v>
      </c>
      <c r="BP7">
        <f>IFERROR(SUM(BN5:BN7),"")</f>
        <v>0</v>
      </c>
      <c r="BR7">
        <v>3</v>
      </c>
      <c r="BS7" cm="1">
        <f t="array" ref="BS7">_xlfn.SWITCH(Charts!$B$3,"average", AVERAGE(INDIRECT(ADDRESS(2+3,BS$2+1,,,"Instances") &amp; ":" &amp; ADDRESS(2+3,BS$2+1))),"median", MEDIAN(INDIRECT(ADDRESS(2+3,BS$2+1,,,"Instances") &amp; ":" &amp; ADDRESS(2+3,BS$2+1))),"min", MIN(INDIRECT(ADDRESS(2+3,BS$2+1,,,"Instances") &amp; ":" &amp; ADDRESS(2+3,BS$2+1))),"max", MAX(INDIRECT(ADDRESS(2+3,BS$2+1,,,"Instances") &amp; ":" &amp; ADDRESS(2+3,BS$2+1))),"diff", MAX(INDIRECT(ADDRESS(2+3,BS$2+1,,,"Instances") &amp; ":" &amp; ADDRESS(2+3,BS$2+1)))-MIN(INDIRECT(ADDRESS(2+3,BS$2+1,,,"Instances") &amp; ":" &amp; ADDRESS(2+3,BS$2+1))))</f>
        <v>0</v>
      </c>
      <c r="BT7">
        <f>IFERROR(SMALL(BS5:BS11,ROW()-ROW($BT$5)+1),"")</f>
        <v>0</v>
      </c>
      <c r="BV7">
        <f>IFERROR(SUM(BT5:BT7),"")</f>
        <v>0</v>
      </c>
      <c r="BW7" cm="1">
        <f t="array" ref="BW7">_xlfn.SWITCH(Charts!$B$3,"average", AVERAGE(INDIRECT(ADDRESS(2+3,BW$2+1,,,"Instances") &amp; ":" &amp; ADDRESS(2+3,BW$2+1))),"median", MEDIAN(INDIRECT(ADDRESS(2+3,BW$2+1,,,"Instances") &amp; ":" &amp; ADDRESS(2+3,BW$2+1))),"min", MIN(INDIRECT(ADDRESS(2+3,BW$2+1,,,"Instances") &amp; ":" &amp; ADDRESS(2+3,BW$2+1))),"max", MAX(INDIRECT(ADDRESS(2+3,BW$2+1,,,"Instances") &amp; ":" &amp; ADDRESS(2+3,BW$2+1))),"diff", MAX(INDIRECT(ADDRESS(2+3,BW$2+1,,,"Instances") &amp; ":" &amp; ADDRESS(2+3,BW$2+1)))-MIN(INDIRECT(ADDRESS(2+3,BW$2+1,,,"Instances") &amp; ":" &amp; ADDRESS(2+3,BW$2+1))))</f>
        <v>0</v>
      </c>
      <c r="BX7">
        <f>IFERROR(SMALL(BW5:BW11,ROW()-ROW($BX$5)+1),"")</f>
        <v>0</v>
      </c>
      <c r="BZ7">
        <f>IFERROR(SUM(BX5:BX7),"")</f>
        <v>0</v>
      </c>
      <c r="CA7" cm="1">
        <f t="array" ref="CA7">_xlfn.SWITCH(Charts!$B$3,"average", AVERAGE(INDIRECT(ADDRESS(2+3,CA$2+1,,,"Instances") &amp; ":" &amp; ADDRESS(2+3,CA$2+1))),"median", MEDIAN(INDIRECT(ADDRESS(2+3,CA$2+1,,,"Instances") &amp; ":" &amp; ADDRESS(2+3,CA$2+1))),"min", MIN(INDIRECT(ADDRESS(2+3,CA$2+1,,,"Instances") &amp; ":" &amp; ADDRESS(2+3,CA$2+1))),"max", MAX(INDIRECT(ADDRESS(2+3,CA$2+1,,,"Instances") &amp; ":" &amp; ADDRESS(2+3,CA$2+1))),"diff", MAX(INDIRECT(ADDRESS(2+3,CA$2+1,,,"Instances") &amp; ":" &amp; ADDRESS(2+3,CA$2+1)))-MIN(INDIRECT(ADDRESS(2+3,CA$2+1,,,"Instances") &amp; ":" &amp; ADDRESS(2+3,CA$2+1))))</f>
        <v>0</v>
      </c>
      <c r="CB7">
        <f>IFERROR(SMALL(CA5:CA11,ROW()-ROW($CB$5)+1),"")</f>
        <v>0</v>
      </c>
      <c r="CD7">
        <f>IFERROR(SUM(CB5:CB7),"")</f>
        <v>0</v>
      </c>
      <c r="CE7" cm="1">
        <f t="array" ref="CE7">_xlfn.SWITCH(Charts!$B$3,"average", AVERAGE(INDIRECT(ADDRESS(2+3,CE$2+1,,,"Instances") &amp; ":" &amp; ADDRESS(2+3,CE$2+1))),"median", MEDIAN(INDIRECT(ADDRESS(2+3,CE$2+1,,,"Instances") &amp; ":" &amp; ADDRESS(2+3,CE$2+1))),"min", MIN(INDIRECT(ADDRESS(2+3,CE$2+1,,,"Instances") &amp; ":" &amp; ADDRESS(2+3,CE$2+1))),"max", MAX(INDIRECT(ADDRESS(2+3,CE$2+1,,,"Instances") &amp; ":" &amp; ADDRESS(2+3,CE$2+1))),"diff", MAX(INDIRECT(ADDRESS(2+3,CE$2+1,,,"Instances") &amp; ":" &amp; ADDRESS(2+3,CE$2+1)))-MIN(INDIRECT(ADDRESS(2+3,CE$2+1,,,"Instances") &amp; ":" &amp; ADDRESS(2+3,CE$2+1))))</f>
        <v>0</v>
      </c>
      <c r="CF7">
        <f>IFERROR(SMALL(CE5:CE11,ROW()-ROW($CF$5)+1),"")</f>
        <v>0</v>
      </c>
      <c r="CH7">
        <f>IFERROR(SUM(CF5:CF7),"")</f>
        <v>0</v>
      </c>
      <c r="CI7" cm="1">
        <f t="array" ref="CI7">_xlfn.SWITCH(Charts!$B$3,"average", AVERAGE(INDIRECT(ADDRESS(2+3,CI$2+1,,,"Instances") &amp; ":" &amp; ADDRESS(2+3,CI$2+1))),"median", MEDIAN(INDIRECT(ADDRESS(2+3,CI$2+1,,,"Instances") &amp; ":" &amp; ADDRESS(2+3,CI$2+1))),"min", MIN(INDIRECT(ADDRESS(2+3,CI$2+1,,,"Instances") &amp; ":" &amp; ADDRESS(2+3,CI$2+1))),"max", MAX(INDIRECT(ADDRESS(2+3,CI$2+1,,,"Instances") &amp; ":" &amp; ADDRESS(2+3,CI$2+1))),"diff", MAX(INDIRECT(ADDRESS(2+3,CI$2+1,,,"Instances") &amp; ":" &amp; ADDRESS(2+3,CI$2+1)))-MIN(INDIRECT(ADDRESS(2+3,CI$2+1,,,"Instances") &amp; ":" &amp; ADDRESS(2+3,CI$2+1))))</f>
        <v>0</v>
      </c>
      <c r="CJ7">
        <f>IFERROR(SMALL(CI5:CI11,ROW()-ROW($CJ$5)+1),"")</f>
        <v>0</v>
      </c>
      <c r="CL7">
        <f>IFERROR(SUM(CJ5:CJ7),"")</f>
        <v>0</v>
      </c>
      <c r="CM7" cm="1">
        <f t="array" ref="CM7">_xlfn.SWITCH(Charts!$B$3,"average", AVERAGE(INDIRECT(ADDRESS(2+3,CM$2+1,,,"Instances") &amp; ":" &amp; ADDRESS(2+3,CM$2+1))),"median", MEDIAN(INDIRECT(ADDRESS(2+3,CM$2+1,,,"Instances") &amp; ":" &amp; ADDRESS(2+3,CM$2+1))),"min", MIN(INDIRECT(ADDRESS(2+3,CM$2+1,,,"Instances") &amp; ":" &amp; ADDRESS(2+3,CM$2+1))),"max", MAX(INDIRECT(ADDRESS(2+3,CM$2+1,,,"Instances") &amp; ":" &amp; ADDRESS(2+3,CM$2+1))),"diff", MAX(INDIRECT(ADDRESS(2+3,CM$2+1,,,"Instances") &amp; ":" &amp; ADDRESS(2+3,CM$2+1)))-MIN(INDIRECT(ADDRESS(2+3,CM$2+1,,,"Instances") &amp; ":" &amp; ADDRESS(2+3,CM$2+1))))</f>
        <v>0</v>
      </c>
      <c r="CN7">
        <f>IFERROR(SMALL(CM5:CM11,ROW()-ROW($CN$5)+1),"")</f>
        <v>0</v>
      </c>
      <c r="CP7">
        <f>IFERROR(SUM(CN5:CN7),"")</f>
        <v>0</v>
      </c>
      <c r="CQ7" cm="1">
        <f t="array" ref="CQ7">_xlfn.SWITCH(Charts!$B$3,"average", AVERAGE(INDIRECT(ADDRESS(2+3,CQ$2+1,,,"Instances") &amp; ":" &amp; ADDRESS(2+3,CQ$2+1))),"median", MEDIAN(INDIRECT(ADDRESS(2+3,CQ$2+1,,,"Instances") &amp; ":" &amp; ADDRESS(2+3,CQ$2+1))),"min", MIN(INDIRECT(ADDRESS(2+3,CQ$2+1,,,"Instances") &amp; ":" &amp; ADDRESS(2+3,CQ$2+1))),"max", MAX(INDIRECT(ADDRESS(2+3,CQ$2+1,,,"Instances") &amp; ":" &amp; ADDRESS(2+3,CQ$2+1))),"diff", MAX(INDIRECT(ADDRESS(2+3,CQ$2+1,,,"Instances") &amp; ":" &amp; ADDRESS(2+3,CQ$2+1)))-MIN(INDIRECT(ADDRESS(2+3,CQ$2+1,,,"Instances") &amp; ":" &amp; ADDRESS(2+3,CQ$2+1))))</f>
        <v>0</v>
      </c>
      <c r="CR7">
        <f>IFERROR(SMALL(CQ5:CQ11,ROW()-ROW($CR$5)+1),"")</f>
        <v>0</v>
      </c>
      <c r="CT7">
        <f>IFERROR(SUM(CR5:CR7),"")</f>
        <v>0</v>
      </c>
      <c r="CU7" cm="1">
        <f t="array" ref="CU7">_xlfn.SWITCH(Charts!$B$3,"average", AVERAGE(INDIRECT(ADDRESS(2+3,CU$2+1,,,"Instances") &amp; ":" &amp; ADDRESS(2+3,CU$2+1))),"median", MEDIAN(INDIRECT(ADDRESS(2+3,CU$2+1,,,"Instances") &amp; ":" &amp; ADDRESS(2+3,CU$2+1))),"min", MIN(INDIRECT(ADDRESS(2+3,CU$2+1,,,"Instances") &amp; ":" &amp; ADDRESS(2+3,CU$2+1))),"max", MAX(INDIRECT(ADDRESS(2+3,CU$2+1,,,"Instances") &amp; ":" &amp; ADDRESS(2+3,CU$2+1))),"diff", MAX(INDIRECT(ADDRESS(2+3,CU$2+1,,,"Instances") &amp; ":" &amp; ADDRESS(2+3,CU$2+1)))-MIN(INDIRECT(ADDRESS(2+3,CU$2+1,,,"Instances") &amp; ":" &amp; ADDRESS(2+3,CU$2+1))))</f>
        <v>0</v>
      </c>
      <c r="CV7">
        <f>IFERROR(SMALL(CU5:CU11,ROW()-ROW($CV$5)+1),"")</f>
        <v>0</v>
      </c>
      <c r="CX7">
        <f>IFERROR(SUM(CV5:CV7),"")</f>
        <v>0</v>
      </c>
      <c r="CY7" cm="1">
        <f t="array" ref="CY7">_xlfn.SWITCH(Charts!$B$3,"average", AVERAGE(INDIRECT(ADDRESS(2+3,CY$2+1,,,"Instances") &amp; ":" &amp; ADDRESS(2+3,CY$2+1))),"median", MEDIAN(INDIRECT(ADDRESS(2+3,CY$2+1,,,"Instances") &amp; ":" &amp; ADDRESS(2+3,CY$2+1))),"min", MIN(INDIRECT(ADDRESS(2+3,CY$2+1,,,"Instances") &amp; ":" &amp; ADDRESS(2+3,CY$2+1))),"max", MAX(INDIRECT(ADDRESS(2+3,CY$2+1,,,"Instances") &amp; ":" &amp; ADDRESS(2+3,CY$2+1))),"diff", MAX(INDIRECT(ADDRESS(2+3,CY$2+1,,,"Instances") &amp; ":" &amp; ADDRESS(2+3,CY$2+1)))-MIN(INDIRECT(ADDRESS(2+3,CY$2+1,,,"Instances") &amp; ":" &amp; ADDRESS(2+3,CY$2+1))))</f>
        <v>0</v>
      </c>
      <c r="CZ7">
        <f>IFERROR(SMALL(CY5:CY11,ROW()-ROW($CZ$5)+1),"")</f>
        <v>0</v>
      </c>
      <c r="DB7">
        <f>IFERROR(SUM(CZ5:CZ7),"")</f>
        <v>0</v>
      </c>
      <c r="DC7" cm="1">
        <f t="array" ref="DC7">_xlfn.SWITCH(Charts!$B$3,"average", AVERAGE(INDIRECT(ADDRESS(2+3,DC$2+1,,,"Instances") &amp; ":" &amp; ADDRESS(2+3,DC$2+1))),"median", MEDIAN(INDIRECT(ADDRESS(2+3,DC$2+1,,,"Instances") &amp; ":" &amp; ADDRESS(2+3,DC$2+1))),"min", MIN(INDIRECT(ADDRESS(2+3,DC$2+1,,,"Instances") &amp; ":" &amp; ADDRESS(2+3,DC$2+1))),"max", MAX(INDIRECT(ADDRESS(2+3,DC$2+1,,,"Instances") &amp; ":" &amp; ADDRESS(2+3,DC$2+1))),"diff", MAX(INDIRECT(ADDRESS(2+3,DC$2+1,,,"Instances") &amp; ":" &amp; ADDRESS(2+3,DC$2+1)))-MIN(INDIRECT(ADDRESS(2+3,DC$2+1,,,"Instances") &amp; ":" &amp; ADDRESS(2+3,DC$2+1))))</f>
        <v>0</v>
      </c>
      <c r="DD7">
        <f>IFERROR(SMALL(DC5:DC11,ROW()-ROW($DD$5)+1),"")</f>
        <v>0</v>
      </c>
      <c r="DF7">
        <f>IFERROR(SUM(DD5:DD7),"")</f>
        <v>0</v>
      </c>
      <c r="DG7" cm="1">
        <f t="array" ref="DG7">_xlfn.SWITCH(Charts!$B$3,"average", AVERAGE(INDIRECT(ADDRESS(2+3,DG$2+1,,,"Instances") &amp; ":" &amp; ADDRESS(2+3,DG$2+1))),"median", MEDIAN(INDIRECT(ADDRESS(2+3,DG$2+1,,,"Instances") &amp; ":" &amp; ADDRESS(2+3,DG$2+1))),"min", MIN(INDIRECT(ADDRESS(2+3,DG$2+1,,,"Instances") &amp; ":" &amp; ADDRESS(2+3,DG$2+1))),"max", MAX(INDIRECT(ADDRESS(2+3,DG$2+1,,,"Instances") &amp; ":" &amp; ADDRESS(2+3,DG$2+1))),"diff", MAX(INDIRECT(ADDRESS(2+3,DG$2+1,,,"Instances") &amp; ":" &amp; ADDRESS(2+3,DG$2+1)))-MIN(INDIRECT(ADDRESS(2+3,DG$2+1,,,"Instances") &amp; ":" &amp; ADDRESS(2+3,DG$2+1))))</f>
        <v>0</v>
      </c>
      <c r="DH7">
        <f>IFERROR(SMALL(DG5:DG11,ROW()-ROW($DH$5)+1),"")</f>
        <v>0</v>
      </c>
      <c r="DJ7">
        <f>IFERROR(SUM(DH5:DH7),"")</f>
        <v>0</v>
      </c>
      <c r="DK7" cm="1">
        <f t="array" ref="DK7">_xlfn.SWITCH(Charts!$B$3,"average", AVERAGE(INDIRECT(ADDRESS(2+3,DK$2+1,,,"Instances") &amp; ":" &amp; ADDRESS(2+3,DK$2+1))),"median", MEDIAN(INDIRECT(ADDRESS(2+3,DK$2+1,,,"Instances") &amp; ":" &amp; ADDRESS(2+3,DK$2+1))),"min", MIN(INDIRECT(ADDRESS(2+3,DK$2+1,,,"Instances") &amp; ":" &amp; ADDRESS(2+3,DK$2+1))),"max", MAX(INDIRECT(ADDRESS(2+3,DK$2+1,,,"Instances") &amp; ":" &amp; ADDRESS(2+3,DK$2+1))),"diff", MAX(INDIRECT(ADDRESS(2+3,DK$2+1,,,"Instances") &amp; ":" &amp; ADDRESS(2+3,DK$2+1)))-MIN(INDIRECT(ADDRESS(2+3,DK$2+1,,,"Instances") &amp; ":" &amp; ADDRESS(2+3,DK$2+1))))</f>
        <v>0</v>
      </c>
      <c r="DL7">
        <f>IFERROR(SMALL(DK5:DK11,ROW()-ROW($DL$5)+1),"")</f>
        <v>0</v>
      </c>
      <c r="DN7">
        <f>IFERROR(SUM(DL5:DL7),"")</f>
        <v>0</v>
      </c>
      <c r="DO7" cm="1">
        <f t="array" ref="DO7">_xlfn.SWITCH(Charts!$B$3,"average", AVERAGE(INDIRECT(ADDRESS(2+3,DO$2+1,,,"Instances") &amp; ":" &amp; ADDRESS(2+3,DO$2+1))),"median", MEDIAN(INDIRECT(ADDRESS(2+3,DO$2+1,,,"Instances") &amp; ":" &amp; ADDRESS(2+3,DO$2+1))),"min", MIN(INDIRECT(ADDRESS(2+3,DO$2+1,,,"Instances") &amp; ":" &amp; ADDRESS(2+3,DO$2+1))),"max", MAX(INDIRECT(ADDRESS(2+3,DO$2+1,,,"Instances") &amp; ":" &amp; ADDRESS(2+3,DO$2+1))),"diff", MAX(INDIRECT(ADDRESS(2+3,DO$2+1,,,"Instances") &amp; ":" &amp; ADDRESS(2+3,DO$2+1)))-MIN(INDIRECT(ADDRESS(2+3,DO$2+1,,,"Instances") &amp; ":" &amp; ADDRESS(2+3,DO$2+1))))</f>
        <v>0</v>
      </c>
      <c r="DP7">
        <f>IFERROR(SMALL(DO5:DO11,ROW()-ROW($DP$5)+1),"")</f>
        <v>0</v>
      </c>
      <c r="DR7">
        <f>IFERROR(SUM(DP5:DP7),"")</f>
        <v>0</v>
      </c>
      <c r="DS7" cm="1">
        <f t="array" ref="DS7">_xlfn.SWITCH(Charts!$B$3,"average", AVERAGE(INDIRECT(ADDRESS(2+3,DS$2+1,,,"Instances") &amp; ":" &amp; ADDRESS(2+3,DS$2+1))),"median", MEDIAN(INDIRECT(ADDRESS(2+3,DS$2+1,,,"Instances") &amp; ":" &amp; ADDRESS(2+3,DS$2+1))),"min", MIN(INDIRECT(ADDRESS(2+3,DS$2+1,,,"Instances") &amp; ":" &amp; ADDRESS(2+3,DS$2+1))),"max", MAX(INDIRECT(ADDRESS(2+3,DS$2+1,,,"Instances") &amp; ":" &amp; ADDRESS(2+3,DS$2+1))),"diff", MAX(INDIRECT(ADDRESS(2+3,DS$2+1,,,"Instances") &amp; ":" &amp; ADDRESS(2+3,DS$2+1)))-MIN(INDIRECT(ADDRESS(2+3,DS$2+1,,,"Instances") &amp; ":" &amp; ADDRESS(2+3,DS$2+1))))</f>
        <v>0</v>
      </c>
      <c r="DT7">
        <f>IFERROR(SMALL(DS5:DS11,ROW()-ROW($DT$5)+1),"")</f>
        <v>0</v>
      </c>
      <c r="DV7">
        <f>IFERROR(SUM(DT5:DT7),"")</f>
        <v>0</v>
      </c>
      <c r="DW7" cm="1">
        <f t="array" ref="DW7">_xlfn.SWITCH(Charts!$B$3,"average", AVERAGE(INDIRECT(ADDRESS(2+3,DW$2+1,,,"Instances") &amp; ":" &amp; ADDRESS(2+3,DW$2+1))),"median", MEDIAN(INDIRECT(ADDRESS(2+3,DW$2+1,,,"Instances") &amp; ":" &amp; ADDRESS(2+3,DW$2+1))),"min", MIN(INDIRECT(ADDRESS(2+3,DW$2+1,,,"Instances") &amp; ":" &amp; ADDRESS(2+3,DW$2+1))),"max", MAX(INDIRECT(ADDRESS(2+3,DW$2+1,,,"Instances") &amp; ":" &amp; ADDRESS(2+3,DW$2+1))),"diff", MAX(INDIRECT(ADDRESS(2+3,DW$2+1,,,"Instances") &amp; ":" &amp; ADDRESS(2+3,DW$2+1)))-MIN(INDIRECT(ADDRESS(2+3,DW$2+1,,,"Instances") &amp; ":" &amp; ADDRESS(2+3,DW$2+1))))</f>
        <v>0</v>
      </c>
      <c r="DX7">
        <f>IFERROR(SMALL(DW5:DW11,ROW()-ROW($DX$5)+1),"")</f>
        <v>0</v>
      </c>
      <c r="DZ7">
        <f>IFERROR(SUM(DX5:DX7),"")</f>
        <v>0</v>
      </c>
      <c r="EA7" cm="1">
        <f t="array" ref="EA7">_xlfn.SWITCH(Charts!$B$3,"average", AVERAGE(INDIRECT(ADDRESS(2+3,EA$2+1,,,"Instances") &amp; ":" &amp; ADDRESS(2+3,EA$2+1))),"median", MEDIAN(INDIRECT(ADDRESS(2+3,EA$2+1,,,"Instances") &amp; ":" &amp; ADDRESS(2+3,EA$2+1))),"min", MIN(INDIRECT(ADDRESS(2+3,EA$2+1,,,"Instances") &amp; ":" &amp; ADDRESS(2+3,EA$2+1))),"max", MAX(INDIRECT(ADDRESS(2+3,EA$2+1,,,"Instances") &amp; ":" &amp; ADDRESS(2+3,EA$2+1))),"diff", MAX(INDIRECT(ADDRESS(2+3,EA$2+1,,,"Instances") &amp; ":" &amp; ADDRESS(2+3,EA$2+1)))-MIN(INDIRECT(ADDRESS(2+3,EA$2+1,,,"Instances") &amp; ":" &amp; ADDRESS(2+3,EA$2+1))))</f>
        <v>0</v>
      </c>
      <c r="EB7">
        <f>IFERROR(SMALL(EA5:EA11,ROW()-ROW($EB$5)+1),"")</f>
        <v>0</v>
      </c>
      <c r="ED7">
        <f>IFERROR(SUM(EB5:EB7),"")</f>
        <v>0</v>
      </c>
      <c r="EG7">
        <f>IF(Charts!$B$3="none",E49,IF(BS49="",NA(),BS49))</f>
        <v>0</v>
      </c>
      <c r="EH7">
        <f>IF(Charts!$B$3="none",F49,IF(BT49="",NA(),BT49))</f>
        <v>0</v>
      </c>
      <c r="EI7">
        <f>IF(Charts!$B$3="none",G49,IF(BU49="",NA(),BU49))</f>
        <v>0</v>
      </c>
      <c r="EJ7">
        <f>IF(Charts!$B$3="none",H49,IF(BV49="",NA(),BV49))</f>
        <v>0</v>
      </c>
      <c r="EK7">
        <f>IF(Charts!$B$3="none",I49,IF(BW49="",NA(),BW49))</f>
        <v>0</v>
      </c>
      <c r="EL7">
        <f>IF(Charts!$B$3="none",J49,IF(BX49="",NA(),BX49))</f>
        <v>0</v>
      </c>
      <c r="EM7">
        <f>IF(Charts!$B$3="none",K49,IF(BY49="",NA(),BY49))</f>
        <v>0</v>
      </c>
      <c r="EN7">
        <f>IF(Charts!$B$3="none",L49,IF(BZ49="",NA(),BZ49))</f>
        <v>0</v>
      </c>
      <c r="EO7">
        <f>IF(Charts!$B$3="none",M49,IF(CA49="",NA(),CA49))</f>
        <v>0</v>
      </c>
      <c r="EP7">
        <f>IF(Charts!$B$3="none",N49,IF(CB49="",NA(),CB49))</f>
        <v>0</v>
      </c>
      <c r="EQ7">
        <f>IF(Charts!$B$3="none",O49,IF(CC49="",NA(),CC49))</f>
        <v>0</v>
      </c>
      <c r="ER7">
        <f>IF(Charts!$B$3="none",P49,IF(CD49="",NA(),CD49))</f>
        <v>0</v>
      </c>
      <c r="ES7">
        <f>IF(Charts!$B$3="none",Q49,IF(CE49="",NA(),CE49))</f>
        <v>0</v>
      </c>
      <c r="ET7">
        <f>IF(Charts!$B$3="none",R49,IF(CF49="",NA(),CF49))</f>
        <v>0</v>
      </c>
      <c r="EU7">
        <f>IF(Charts!$B$3="none",S49,IF(CG49="",NA(),CG49))</f>
        <v>0</v>
      </c>
      <c r="EV7">
        <f>IF(Charts!$B$3="none",T49,IF(CH49="",NA(),CH49))</f>
        <v>0</v>
      </c>
      <c r="EW7">
        <f>IF(Charts!$B$3="none",U49,IF(CI49="",NA(),CI49))</f>
        <v>0</v>
      </c>
      <c r="EX7">
        <f>IF(Charts!$B$3="none",V49,IF(CJ49="",NA(),CJ49))</f>
        <v>0</v>
      </c>
      <c r="EY7">
        <f>IF(Charts!$B$3="none",W49,IF(CK49="",NA(),CK49))</f>
        <v>0</v>
      </c>
      <c r="EZ7">
        <f>IF(Charts!$B$3="none",X49,IF(CL49="",NA(),CL49))</f>
        <v>0</v>
      </c>
      <c r="FA7">
        <f>IF(Charts!$B$3="none",Y49,IF(CM49="",NA(),CM49))</f>
        <v>0</v>
      </c>
      <c r="FB7">
        <f>IF(Charts!$B$3="none",Z49,IF(CN49="",NA(),CN49))</f>
        <v>0</v>
      </c>
      <c r="FC7">
        <f>IF(Charts!$B$3="none",AA49,IF(CO49="",NA(),CO49))</f>
        <v>0</v>
      </c>
      <c r="FD7">
        <f>IF(Charts!$B$3="none",AB49,IF(CP49="",NA(),CP49))</f>
        <v>0</v>
      </c>
      <c r="FE7">
        <f>IF(Charts!$B$3="none",AC49,IF(CQ49="",NA(),CQ49))</f>
        <v>0</v>
      </c>
      <c r="FF7">
        <f>IF(Charts!$B$3="none",AD49,IF(CR49="",NA(),CR49))</f>
        <v>0</v>
      </c>
      <c r="FG7">
        <f>IF(Charts!$B$3="none",AE49,IF(CS49="",NA(),CS49))</f>
        <v>0</v>
      </c>
      <c r="FH7">
        <f>IF(Charts!$B$3="none",AF49,IF(CT49="",NA(),CT49))</f>
        <v>0</v>
      </c>
      <c r="FI7">
        <f>IF(Charts!$B$3="none",AG49,IF(CU49="",NA(),CU49))</f>
        <v>0</v>
      </c>
      <c r="FJ7">
        <f>IF(Charts!$B$3="none",AH49,IF(CV49="",NA(),CV49))</f>
        <v>0</v>
      </c>
      <c r="FK7">
        <f>IF(Charts!$B$3="none",AI49,IF(CW49="",NA(),CW49))</f>
        <v>0</v>
      </c>
      <c r="FL7">
        <f>IF(Charts!$B$3="none",AJ49,IF(CX49="",NA(),CX49))</f>
        <v>0</v>
      </c>
      <c r="FM7">
        <f>IF(Charts!$B$3="none",AK49,IF(CY49="",NA(),CY49))</f>
        <v>0</v>
      </c>
      <c r="FN7">
        <f>IF(Charts!$B$3="none",AL49,IF(CZ49="",NA(),CZ49))</f>
        <v>0</v>
      </c>
      <c r="FO7">
        <f>IF(Charts!$B$3="none",AM49,IF(DA49="",NA(),DA49))</f>
        <v>0</v>
      </c>
      <c r="FP7">
        <f>IF(Charts!$B$3="none",AN49,IF(DB49="",NA(),DB49))</f>
        <v>0</v>
      </c>
      <c r="FQ7">
        <f>IF(Charts!$B$3="none",AO49,IF(DC49="",NA(),DC49))</f>
        <v>0</v>
      </c>
      <c r="FR7">
        <f>IF(Charts!$B$3="none",AP49,IF(DD49="",NA(),DD49))</f>
        <v>0</v>
      </c>
      <c r="FS7">
        <f>IF(Charts!$B$3="none",AQ49,IF(DE49="",NA(),DE49))</f>
        <v>0</v>
      </c>
      <c r="FT7">
        <f>IF(Charts!$B$3="none",AR49,IF(DF49="",NA(),DF49))</f>
        <v>0</v>
      </c>
      <c r="FU7">
        <f>IF(Charts!$B$3="none",AS49,IF(DG49="",NA(),DG49))</f>
        <v>0</v>
      </c>
      <c r="FV7">
        <f>IF(Charts!$B$3="none",AT49,IF(DH49="",NA(),DH49))</f>
        <v>0</v>
      </c>
      <c r="FW7">
        <f>IF(Charts!$B$3="none",AU49,IF(DI49="",NA(),DI49))</f>
        <v>0</v>
      </c>
      <c r="FX7">
        <f>IF(Charts!$B$3="none",AV49,IF(DJ49="",NA(),DJ49))</f>
        <v>0</v>
      </c>
      <c r="FY7">
        <f>IF(Charts!$B$3="none",AW49,IF(DK49="",NA(),DK49))</f>
        <v>0</v>
      </c>
      <c r="FZ7">
        <f>IF(Charts!$B$3="none",AX49,IF(DL49="",NA(),DL49))</f>
        <v>0</v>
      </c>
      <c r="GA7">
        <f>IF(Charts!$B$3="none",AY49,IF(DM49="",NA(),DM49))</f>
        <v>0</v>
      </c>
      <c r="GB7">
        <f>IF(Charts!$B$3="none",AZ49,IF(DN49="",NA(),DN49))</f>
        <v>0</v>
      </c>
      <c r="GC7">
        <f>IF(Charts!$B$3="none",BA49,IF(DO49="",NA(),DO49))</f>
        <v>0</v>
      </c>
      <c r="GD7">
        <f>IF(Charts!$B$3="none",BB49,IF(DP49="",NA(),DP49))</f>
        <v>0</v>
      </c>
      <c r="GE7">
        <f>IF(Charts!$B$3="none",BC49,IF(DQ49="",NA(),DQ49))</f>
        <v>0</v>
      </c>
      <c r="GF7">
        <f>IF(Charts!$B$3="none",BD49,IF(DR49="",NA(),DR49))</f>
        <v>0</v>
      </c>
      <c r="GG7">
        <f>IF(Charts!$B$3="none",BE49,IF(DS49="",NA(),DS49))</f>
        <v>0</v>
      </c>
      <c r="GH7">
        <f>IF(Charts!$B$3="none",BF49,IF(DT49="",NA(),DT49))</f>
        <v>0</v>
      </c>
      <c r="GI7">
        <f>IF(Charts!$B$3="none",BG49,IF(DU49="",NA(),DU49))</f>
        <v>0</v>
      </c>
      <c r="GJ7">
        <f>IF(Charts!$B$3="none",BH49,IF(DV49="",NA(),DV49))</f>
        <v>0</v>
      </c>
      <c r="GK7">
        <f>IF(Charts!$B$3="none",BI49,IF(DW49="",NA(),DW49))</f>
        <v>0</v>
      </c>
      <c r="GL7">
        <f>IF(Charts!$B$3="none",BJ49,IF(DX49="",NA(),DX49))</f>
        <v>0</v>
      </c>
      <c r="GM7">
        <f>IF(Charts!$B$3="none",BK49,IF(DY49="",NA(),DY49))</f>
        <v>0</v>
      </c>
      <c r="GN7">
        <f>IF(Charts!$B$3="none",BL49,IF(DZ49="",NA(),DZ49))</f>
        <v>0</v>
      </c>
      <c r="GO7">
        <f>IF(Charts!$B$3="none",BM49,IF(EA49="",NA(),EA49))</f>
        <v>0</v>
      </c>
      <c r="GP7">
        <f>IF(Charts!$B$3="none",BN49,IF(EB49="",NA(),EB49))</f>
        <v>0</v>
      </c>
      <c r="GQ7">
        <f>IF(Charts!$B$3="none",BO49,IF(EC49="",NA(),EC49))</f>
        <v>0</v>
      </c>
      <c r="GR7">
        <f>IF(Charts!$B$3="none",BP49,IF(ED49="",NA(),ED49))</f>
        <v>0</v>
      </c>
    </row>
    <row r="8" spans="1:200">
      <c r="A8" t="s">
        <v>22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IFERROR(SMALL(E5:E11,ROW()-ROW($F$5)+1),"")</f>
        <v>0</v>
      </c>
      <c r="H8">
        <f>IFERROR(SUM(F5:F8),"")</f>
        <v>0</v>
      </c>
      <c r="I8">
        <f>IF(INDIRECT(ADDRESS($D8+2,I$2+1,,,"Instances"))="","",INDIRECT(ADDRESS($D8+2,I$2+1,,,"Instances")))</f>
        <v>0</v>
      </c>
      <c r="J8">
        <f>IFERROR(SMALL(I5:I11,ROW()-ROW($J$5)+1),"")</f>
        <v>0</v>
      </c>
      <c r="L8">
        <f>IFERROR(SUM(J5:J8),"")</f>
        <v>0</v>
      </c>
      <c r="M8">
        <f>IF(INDIRECT(ADDRESS($D8+2,M$2+1,,,"Instances"))="","",INDIRECT(ADDRESS($D8+2,M$2+1,,,"Instances")))</f>
        <v>0</v>
      </c>
      <c r="N8">
        <f>IFERROR(SMALL(M5:M11,ROW()-ROW($N$5)+1),"")</f>
        <v>0</v>
      </c>
      <c r="P8">
        <f>IFERROR(SUM(N5:N8),"")</f>
        <v>0</v>
      </c>
      <c r="Q8">
        <f>IF(INDIRECT(ADDRESS($D8+2,Q$2+1,,,"Instances"))="","",INDIRECT(ADDRESS($D8+2,Q$2+1,,,"Instances")))</f>
        <v>0</v>
      </c>
      <c r="R8">
        <f>IFERROR(SMALL(Q5:Q11,ROW()-ROW($R$5)+1),"")</f>
        <v>0</v>
      </c>
      <c r="T8">
        <f>IFERROR(SUM(R5:R8),"")</f>
        <v>0</v>
      </c>
      <c r="U8">
        <f>IF(INDIRECT(ADDRESS($D8+2,U$2+1,,,"Instances"))="","",INDIRECT(ADDRESS($D8+2,U$2+1,,,"Instances")))</f>
        <v>0</v>
      </c>
      <c r="V8">
        <f>IFERROR(SMALL(U5:U11,ROW()-ROW($V$5)+1),"")</f>
        <v>0</v>
      </c>
      <c r="X8">
        <f>IFERROR(SUM(V5:V8),"")</f>
        <v>0</v>
      </c>
      <c r="Y8">
        <f>IF(INDIRECT(ADDRESS($D8+2,Y$2+1,,,"Instances"))="","",INDIRECT(ADDRESS($D8+2,Y$2+1,,,"Instances")))</f>
        <v>0</v>
      </c>
      <c r="Z8">
        <f>IFERROR(SMALL(Y5:Y11,ROW()-ROW($Z$5)+1),"")</f>
        <v>0</v>
      </c>
      <c r="AB8">
        <f>IFERROR(SUM(Z5:Z8),"")</f>
        <v>0</v>
      </c>
      <c r="AC8">
        <f>IF(INDIRECT(ADDRESS($D8+2,AC$2+1,,,"Instances"))="","",INDIRECT(ADDRESS($D8+2,AC$2+1,,,"Instances")))</f>
        <v>0</v>
      </c>
      <c r="AD8">
        <f>IFERROR(SMALL(AC5:AC11,ROW()-ROW($AD$5)+1),"")</f>
        <v>0</v>
      </c>
      <c r="AF8">
        <f>IFERROR(SUM(AD5:AD8),"")</f>
        <v>0</v>
      </c>
      <c r="AG8">
        <f>IF(INDIRECT(ADDRESS($D8+2,AG$2+1,,,"Instances"))="","",INDIRECT(ADDRESS($D8+2,AG$2+1,,,"Instances")))</f>
        <v>0</v>
      </c>
      <c r="AH8">
        <f>IFERROR(SMALL(AG5:AG11,ROW()-ROW($AH$5)+1),"")</f>
        <v>0</v>
      </c>
      <c r="AJ8">
        <f>IFERROR(SUM(AH5:AH8),"")</f>
        <v>0</v>
      </c>
      <c r="AK8">
        <f>IF(INDIRECT(ADDRESS($D8+2,AK$2+1,,,"Instances"))="","",INDIRECT(ADDRESS($D8+2,AK$2+1,,,"Instances")))</f>
        <v>0</v>
      </c>
      <c r="AL8">
        <f>IFERROR(SMALL(AK5:AK11,ROW()-ROW($AL$5)+1),"")</f>
        <v>0</v>
      </c>
      <c r="AN8">
        <f>IFERROR(SUM(AL5:AL8),"")</f>
        <v>0</v>
      </c>
      <c r="AO8">
        <f>IF(INDIRECT(ADDRESS($D8+2,AO$2+1,,,"Instances"))="","",INDIRECT(ADDRESS($D8+2,AO$2+1,,,"Instances")))</f>
        <v>0</v>
      </c>
      <c r="AP8">
        <f>IFERROR(SMALL(AO5:AO11,ROW()-ROW($AP$5)+1),"")</f>
        <v>0</v>
      </c>
      <c r="AR8">
        <f>IFERROR(SUM(AP5:AP8),"")</f>
        <v>0</v>
      </c>
      <c r="AS8">
        <f>IF(INDIRECT(ADDRESS($D8+2,AS$2+1,,,"Instances"))="","",INDIRECT(ADDRESS($D8+2,AS$2+1,,,"Instances")))</f>
        <v>0</v>
      </c>
      <c r="AT8">
        <f>IFERROR(SMALL(AS5:AS11,ROW()-ROW($AT$5)+1),"")</f>
        <v>0</v>
      </c>
      <c r="AV8">
        <f>IFERROR(SUM(AT5:AT8),"")</f>
        <v>0</v>
      </c>
      <c r="AW8">
        <f>IF(INDIRECT(ADDRESS($D8+2,AW$2+1,,,"Instances"))="","",INDIRECT(ADDRESS($D8+2,AW$2+1,,,"Instances")))</f>
        <v>0</v>
      </c>
      <c r="AX8">
        <f>IFERROR(SMALL(AW5:AW11,ROW()-ROW($AX$5)+1),"")</f>
        <v>0</v>
      </c>
      <c r="AZ8">
        <f>IFERROR(SUM(AX5:AX8),"")</f>
        <v>0</v>
      </c>
      <c r="BA8">
        <f>IF(INDIRECT(ADDRESS($D8+2,BA$2+1,,,"Instances"))="","",INDIRECT(ADDRESS($D8+2,BA$2+1,,,"Instances")))</f>
        <v>0</v>
      </c>
      <c r="BB8">
        <f>IFERROR(SMALL(BA5:BA11,ROW()-ROW($BB$5)+1),"")</f>
        <v>0</v>
      </c>
      <c r="BD8">
        <f>IFERROR(SUM(BB5:BB8),"")</f>
        <v>0</v>
      </c>
      <c r="BE8">
        <f>IF(INDIRECT(ADDRESS($D8+2,BE$2+1,,,"Instances"))="","",INDIRECT(ADDRESS($D8+2,BE$2+1,,,"Instances")))</f>
        <v>0</v>
      </c>
      <c r="BF8">
        <f>IFERROR(SMALL(BE5:BE11,ROW()-ROW($BF$5)+1),"")</f>
        <v>0</v>
      </c>
      <c r="BH8">
        <f>IFERROR(SUM(BF5:BF8),"")</f>
        <v>0</v>
      </c>
      <c r="BI8">
        <f>IF(INDIRECT(ADDRESS($D8+2,BI$2+1,,,"Instances"))="","",INDIRECT(ADDRESS($D8+2,BI$2+1,,,"Instances")))</f>
        <v>0</v>
      </c>
      <c r="BJ8">
        <f>IFERROR(SMALL(BI5:BI11,ROW()-ROW($BJ$5)+1),"")</f>
        <v>0</v>
      </c>
      <c r="BL8">
        <f>IFERROR(SUM(BJ5:BJ8),"")</f>
        <v>0</v>
      </c>
      <c r="BM8">
        <f>IF(INDIRECT(ADDRESS($D8+2,BM$2+1,,,"Instances"))="","",INDIRECT(ADDRESS($D8+2,BM$2+1,,,"Instances")))</f>
        <v>0</v>
      </c>
      <c r="BN8">
        <f>IFERROR(SMALL(BM5:BM11,ROW()-ROW($BN$5)+1),"")</f>
        <v>0</v>
      </c>
      <c r="BP8">
        <f>IFERROR(SUM(BN5:BN8),"")</f>
        <v>0</v>
      </c>
      <c r="BR8">
        <v>4</v>
      </c>
      <c r="BS8" cm="1">
        <f t="array" ref="BS8">_xlfn.SWITCH(Charts!$B$3,"average", AVERAGE(INDIRECT(ADDRESS(3+3,BS$2+1,,,"Instances") &amp; ":" &amp; ADDRESS(3+3,BS$2+1))),"median", MEDIAN(INDIRECT(ADDRESS(3+3,BS$2+1,,,"Instances") &amp; ":" &amp; ADDRESS(3+3,BS$2+1))),"min", MIN(INDIRECT(ADDRESS(3+3,BS$2+1,,,"Instances") &amp; ":" &amp; ADDRESS(3+3,BS$2+1))),"max", MAX(INDIRECT(ADDRESS(3+3,BS$2+1,,,"Instances") &amp; ":" &amp; ADDRESS(3+3,BS$2+1))),"diff", MAX(INDIRECT(ADDRESS(3+3,BS$2+1,,,"Instances") &amp; ":" &amp; ADDRESS(3+3,BS$2+1)))-MIN(INDIRECT(ADDRESS(3+3,BS$2+1,,,"Instances") &amp; ":" &amp; ADDRESS(3+3,BS$2+1))))</f>
        <v>0</v>
      </c>
      <c r="BT8">
        <f>IFERROR(SMALL(BS5:BS11,ROW()-ROW($BT$5)+1),"")</f>
        <v>0</v>
      </c>
      <c r="BV8">
        <f>IFERROR(SUM(BT5:BT8),"")</f>
        <v>0</v>
      </c>
      <c r="BW8" cm="1">
        <f t="array" ref="BW8">_xlfn.SWITCH(Charts!$B$3,"average", AVERAGE(INDIRECT(ADDRESS(3+3,BW$2+1,,,"Instances") &amp; ":" &amp; ADDRESS(3+3,BW$2+1))),"median", MEDIAN(INDIRECT(ADDRESS(3+3,BW$2+1,,,"Instances") &amp; ":" &amp; ADDRESS(3+3,BW$2+1))),"min", MIN(INDIRECT(ADDRESS(3+3,BW$2+1,,,"Instances") &amp; ":" &amp; ADDRESS(3+3,BW$2+1))),"max", MAX(INDIRECT(ADDRESS(3+3,BW$2+1,,,"Instances") &amp; ":" &amp; ADDRESS(3+3,BW$2+1))),"diff", MAX(INDIRECT(ADDRESS(3+3,BW$2+1,,,"Instances") &amp; ":" &amp; ADDRESS(3+3,BW$2+1)))-MIN(INDIRECT(ADDRESS(3+3,BW$2+1,,,"Instances") &amp; ":" &amp; ADDRESS(3+3,BW$2+1))))</f>
        <v>0</v>
      </c>
      <c r="BX8">
        <f>IFERROR(SMALL(BW5:BW11,ROW()-ROW($BX$5)+1),"")</f>
        <v>0</v>
      </c>
      <c r="BZ8">
        <f>IFERROR(SUM(BX5:BX8),"")</f>
        <v>0</v>
      </c>
      <c r="CA8" cm="1">
        <f t="array" ref="CA8">_xlfn.SWITCH(Charts!$B$3,"average", AVERAGE(INDIRECT(ADDRESS(3+3,CA$2+1,,,"Instances") &amp; ":" &amp; ADDRESS(3+3,CA$2+1))),"median", MEDIAN(INDIRECT(ADDRESS(3+3,CA$2+1,,,"Instances") &amp; ":" &amp; ADDRESS(3+3,CA$2+1))),"min", MIN(INDIRECT(ADDRESS(3+3,CA$2+1,,,"Instances") &amp; ":" &amp; ADDRESS(3+3,CA$2+1))),"max", MAX(INDIRECT(ADDRESS(3+3,CA$2+1,,,"Instances") &amp; ":" &amp; ADDRESS(3+3,CA$2+1))),"diff", MAX(INDIRECT(ADDRESS(3+3,CA$2+1,,,"Instances") &amp; ":" &amp; ADDRESS(3+3,CA$2+1)))-MIN(INDIRECT(ADDRESS(3+3,CA$2+1,,,"Instances") &amp; ":" &amp; ADDRESS(3+3,CA$2+1))))</f>
        <v>0</v>
      </c>
      <c r="CB8">
        <f>IFERROR(SMALL(CA5:CA11,ROW()-ROW($CB$5)+1),"")</f>
        <v>0</v>
      </c>
      <c r="CD8">
        <f>IFERROR(SUM(CB5:CB8),"")</f>
        <v>0</v>
      </c>
      <c r="CE8" cm="1">
        <f t="array" ref="CE8">_xlfn.SWITCH(Charts!$B$3,"average", AVERAGE(INDIRECT(ADDRESS(3+3,CE$2+1,,,"Instances") &amp; ":" &amp; ADDRESS(3+3,CE$2+1))),"median", MEDIAN(INDIRECT(ADDRESS(3+3,CE$2+1,,,"Instances") &amp; ":" &amp; ADDRESS(3+3,CE$2+1))),"min", MIN(INDIRECT(ADDRESS(3+3,CE$2+1,,,"Instances") &amp; ":" &amp; ADDRESS(3+3,CE$2+1))),"max", MAX(INDIRECT(ADDRESS(3+3,CE$2+1,,,"Instances") &amp; ":" &amp; ADDRESS(3+3,CE$2+1))),"diff", MAX(INDIRECT(ADDRESS(3+3,CE$2+1,,,"Instances") &amp; ":" &amp; ADDRESS(3+3,CE$2+1)))-MIN(INDIRECT(ADDRESS(3+3,CE$2+1,,,"Instances") &amp; ":" &amp; ADDRESS(3+3,CE$2+1))))</f>
        <v>0</v>
      </c>
      <c r="CF8">
        <f>IFERROR(SMALL(CE5:CE11,ROW()-ROW($CF$5)+1),"")</f>
        <v>0</v>
      </c>
      <c r="CH8">
        <f>IFERROR(SUM(CF5:CF8),"")</f>
        <v>0</v>
      </c>
      <c r="CI8" cm="1">
        <f t="array" ref="CI8">_xlfn.SWITCH(Charts!$B$3,"average", AVERAGE(INDIRECT(ADDRESS(3+3,CI$2+1,,,"Instances") &amp; ":" &amp; ADDRESS(3+3,CI$2+1))),"median", MEDIAN(INDIRECT(ADDRESS(3+3,CI$2+1,,,"Instances") &amp; ":" &amp; ADDRESS(3+3,CI$2+1))),"min", MIN(INDIRECT(ADDRESS(3+3,CI$2+1,,,"Instances") &amp; ":" &amp; ADDRESS(3+3,CI$2+1))),"max", MAX(INDIRECT(ADDRESS(3+3,CI$2+1,,,"Instances") &amp; ":" &amp; ADDRESS(3+3,CI$2+1))),"diff", MAX(INDIRECT(ADDRESS(3+3,CI$2+1,,,"Instances") &amp; ":" &amp; ADDRESS(3+3,CI$2+1)))-MIN(INDIRECT(ADDRESS(3+3,CI$2+1,,,"Instances") &amp; ":" &amp; ADDRESS(3+3,CI$2+1))))</f>
        <v>0</v>
      </c>
      <c r="CJ8">
        <f>IFERROR(SMALL(CI5:CI11,ROW()-ROW($CJ$5)+1),"")</f>
        <v>0</v>
      </c>
      <c r="CL8">
        <f>IFERROR(SUM(CJ5:CJ8),"")</f>
        <v>0</v>
      </c>
      <c r="CM8" cm="1">
        <f t="array" ref="CM8">_xlfn.SWITCH(Charts!$B$3,"average", AVERAGE(INDIRECT(ADDRESS(3+3,CM$2+1,,,"Instances") &amp; ":" &amp; ADDRESS(3+3,CM$2+1))),"median", MEDIAN(INDIRECT(ADDRESS(3+3,CM$2+1,,,"Instances") &amp; ":" &amp; ADDRESS(3+3,CM$2+1))),"min", MIN(INDIRECT(ADDRESS(3+3,CM$2+1,,,"Instances") &amp; ":" &amp; ADDRESS(3+3,CM$2+1))),"max", MAX(INDIRECT(ADDRESS(3+3,CM$2+1,,,"Instances") &amp; ":" &amp; ADDRESS(3+3,CM$2+1))),"diff", MAX(INDIRECT(ADDRESS(3+3,CM$2+1,,,"Instances") &amp; ":" &amp; ADDRESS(3+3,CM$2+1)))-MIN(INDIRECT(ADDRESS(3+3,CM$2+1,,,"Instances") &amp; ":" &amp; ADDRESS(3+3,CM$2+1))))</f>
        <v>0</v>
      </c>
      <c r="CN8">
        <f>IFERROR(SMALL(CM5:CM11,ROW()-ROW($CN$5)+1),"")</f>
        <v>0</v>
      </c>
      <c r="CP8">
        <f>IFERROR(SUM(CN5:CN8),"")</f>
        <v>0</v>
      </c>
      <c r="CQ8" cm="1">
        <f t="array" ref="CQ8">_xlfn.SWITCH(Charts!$B$3,"average", AVERAGE(INDIRECT(ADDRESS(3+3,CQ$2+1,,,"Instances") &amp; ":" &amp; ADDRESS(3+3,CQ$2+1))),"median", MEDIAN(INDIRECT(ADDRESS(3+3,CQ$2+1,,,"Instances") &amp; ":" &amp; ADDRESS(3+3,CQ$2+1))),"min", MIN(INDIRECT(ADDRESS(3+3,CQ$2+1,,,"Instances") &amp; ":" &amp; ADDRESS(3+3,CQ$2+1))),"max", MAX(INDIRECT(ADDRESS(3+3,CQ$2+1,,,"Instances") &amp; ":" &amp; ADDRESS(3+3,CQ$2+1))),"diff", MAX(INDIRECT(ADDRESS(3+3,CQ$2+1,,,"Instances") &amp; ":" &amp; ADDRESS(3+3,CQ$2+1)))-MIN(INDIRECT(ADDRESS(3+3,CQ$2+1,,,"Instances") &amp; ":" &amp; ADDRESS(3+3,CQ$2+1))))</f>
        <v>0</v>
      </c>
      <c r="CR8">
        <f>IFERROR(SMALL(CQ5:CQ11,ROW()-ROW($CR$5)+1),"")</f>
        <v>0</v>
      </c>
      <c r="CT8">
        <f>IFERROR(SUM(CR5:CR8),"")</f>
        <v>0</v>
      </c>
      <c r="CU8" cm="1">
        <f t="array" ref="CU8">_xlfn.SWITCH(Charts!$B$3,"average", AVERAGE(INDIRECT(ADDRESS(3+3,CU$2+1,,,"Instances") &amp; ":" &amp; ADDRESS(3+3,CU$2+1))),"median", MEDIAN(INDIRECT(ADDRESS(3+3,CU$2+1,,,"Instances") &amp; ":" &amp; ADDRESS(3+3,CU$2+1))),"min", MIN(INDIRECT(ADDRESS(3+3,CU$2+1,,,"Instances") &amp; ":" &amp; ADDRESS(3+3,CU$2+1))),"max", MAX(INDIRECT(ADDRESS(3+3,CU$2+1,,,"Instances") &amp; ":" &amp; ADDRESS(3+3,CU$2+1))),"diff", MAX(INDIRECT(ADDRESS(3+3,CU$2+1,,,"Instances") &amp; ":" &amp; ADDRESS(3+3,CU$2+1)))-MIN(INDIRECT(ADDRESS(3+3,CU$2+1,,,"Instances") &amp; ":" &amp; ADDRESS(3+3,CU$2+1))))</f>
        <v>0</v>
      </c>
      <c r="CV8">
        <f>IFERROR(SMALL(CU5:CU11,ROW()-ROW($CV$5)+1),"")</f>
        <v>0</v>
      </c>
      <c r="CX8">
        <f>IFERROR(SUM(CV5:CV8),"")</f>
        <v>0</v>
      </c>
      <c r="CY8" cm="1">
        <f t="array" ref="CY8">_xlfn.SWITCH(Charts!$B$3,"average", AVERAGE(INDIRECT(ADDRESS(3+3,CY$2+1,,,"Instances") &amp; ":" &amp; ADDRESS(3+3,CY$2+1))),"median", MEDIAN(INDIRECT(ADDRESS(3+3,CY$2+1,,,"Instances") &amp; ":" &amp; ADDRESS(3+3,CY$2+1))),"min", MIN(INDIRECT(ADDRESS(3+3,CY$2+1,,,"Instances") &amp; ":" &amp; ADDRESS(3+3,CY$2+1))),"max", MAX(INDIRECT(ADDRESS(3+3,CY$2+1,,,"Instances") &amp; ":" &amp; ADDRESS(3+3,CY$2+1))),"diff", MAX(INDIRECT(ADDRESS(3+3,CY$2+1,,,"Instances") &amp; ":" &amp; ADDRESS(3+3,CY$2+1)))-MIN(INDIRECT(ADDRESS(3+3,CY$2+1,,,"Instances") &amp; ":" &amp; ADDRESS(3+3,CY$2+1))))</f>
        <v>0</v>
      </c>
      <c r="CZ8">
        <f>IFERROR(SMALL(CY5:CY11,ROW()-ROW($CZ$5)+1),"")</f>
        <v>0</v>
      </c>
      <c r="DB8">
        <f>IFERROR(SUM(CZ5:CZ8),"")</f>
        <v>0</v>
      </c>
      <c r="DC8" cm="1">
        <f t="array" ref="DC8">_xlfn.SWITCH(Charts!$B$3,"average", AVERAGE(INDIRECT(ADDRESS(3+3,DC$2+1,,,"Instances") &amp; ":" &amp; ADDRESS(3+3,DC$2+1))),"median", MEDIAN(INDIRECT(ADDRESS(3+3,DC$2+1,,,"Instances") &amp; ":" &amp; ADDRESS(3+3,DC$2+1))),"min", MIN(INDIRECT(ADDRESS(3+3,DC$2+1,,,"Instances") &amp; ":" &amp; ADDRESS(3+3,DC$2+1))),"max", MAX(INDIRECT(ADDRESS(3+3,DC$2+1,,,"Instances") &amp; ":" &amp; ADDRESS(3+3,DC$2+1))),"diff", MAX(INDIRECT(ADDRESS(3+3,DC$2+1,,,"Instances") &amp; ":" &amp; ADDRESS(3+3,DC$2+1)))-MIN(INDIRECT(ADDRESS(3+3,DC$2+1,,,"Instances") &amp; ":" &amp; ADDRESS(3+3,DC$2+1))))</f>
        <v>0</v>
      </c>
      <c r="DD8">
        <f>IFERROR(SMALL(DC5:DC11,ROW()-ROW($DD$5)+1),"")</f>
        <v>0</v>
      </c>
      <c r="DF8">
        <f>IFERROR(SUM(DD5:DD8),"")</f>
        <v>0</v>
      </c>
      <c r="DG8" cm="1">
        <f t="array" ref="DG8">_xlfn.SWITCH(Charts!$B$3,"average", AVERAGE(INDIRECT(ADDRESS(3+3,DG$2+1,,,"Instances") &amp; ":" &amp; ADDRESS(3+3,DG$2+1))),"median", MEDIAN(INDIRECT(ADDRESS(3+3,DG$2+1,,,"Instances") &amp; ":" &amp; ADDRESS(3+3,DG$2+1))),"min", MIN(INDIRECT(ADDRESS(3+3,DG$2+1,,,"Instances") &amp; ":" &amp; ADDRESS(3+3,DG$2+1))),"max", MAX(INDIRECT(ADDRESS(3+3,DG$2+1,,,"Instances") &amp; ":" &amp; ADDRESS(3+3,DG$2+1))),"diff", MAX(INDIRECT(ADDRESS(3+3,DG$2+1,,,"Instances") &amp; ":" &amp; ADDRESS(3+3,DG$2+1)))-MIN(INDIRECT(ADDRESS(3+3,DG$2+1,,,"Instances") &amp; ":" &amp; ADDRESS(3+3,DG$2+1))))</f>
        <v>0</v>
      </c>
      <c r="DH8">
        <f>IFERROR(SMALL(DG5:DG11,ROW()-ROW($DH$5)+1),"")</f>
        <v>0</v>
      </c>
      <c r="DJ8">
        <f>IFERROR(SUM(DH5:DH8),"")</f>
        <v>0</v>
      </c>
      <c r="DK8" cm="1">
        <f t="array" ref="DK8">_xlfn.SWITCH(Charts!$B$3,"average", AVERAGE(INDIRECT(ADDRESS(3+3,DK$2+1,,,"Instances") &amp; ":" &amp; ADDRESS(3+3,DK$2+1))),"median", MEDIAN(INDIRECT(ADDRESS(3+3,DK$2+1,,,"Instances") &amp; ":" &amp; ADDRESS(3+3,DK$2+1))),"min", MIN(INDIRECT(ADDRESS(3+3,DK$2+1,,,"Instances") &amp; ":" &amp; ADDRESS(3+3,DK$2+1))),"max", MAX(INDIRECT(ADDRESS(3+3,DK$2+1,,,"Instances") &amp; ":" &amp; ADDRESS(3+3,DK$2+1))),"diff", MAX(INDIRECT(ADDRESS(3+3,DK$2+1,,,"Instances") &amp; ":" &amp; ADDRESS(3+3,DK$2+1)))-MIN(INDIRECT(ADDRESS(3+3,DK$2+1,,,"Instances") &amp; ":" &amp; ADDRESS(3+3,DK$2+1))))</f>
        <v>0</v>
      </c>
      <c r="DL8">
        <f>IFERROR(SMALL(DK5:DK11,ROW()-ROW($DL$5)+1),"")</f>
        <v>0</v>
      </c>
      <c r="DN8">
        <f>IFERROR(SUM(DL5:DL8),"")</f>
        <v>0</v>
      </c>
      <c r="DO8" cm="1">
        <f t="array" ref="DO8">_xlfn.SWITCH(Charts!$B$3,"average", AVERAGE(INDIRECT(ADDRESS(3+3,DO$2+1,,,"Instances") &amp; ":" &amp; ADDRESS(3+3,DO$2+1))),"median", MEDIAN(INDIRECT(ADDRESS(3+3,DO$2+1,,,"Instances") &amp; ":" &amp; ADDRESS(3+3,DO$2+1))),"min", MIN(INDIRECT(ADDRESS(3+3,DO$2+1,,,"Instances") &amp; ":" &amp; ADDRESS(3+3,DO$2+1))),"max", MAX(INDIRECT(ADDRESS(3+3,DO$2+1,,,"Instances") &amp; ":" &amp; ADDRESS(3+3,DO$2+1))),"diff", MAX(INDIRECT(ADDRESS(3+3,DO$2+1,,,"Instances") &amp; ":" &amp; ADDRESS(3+3,DO$2+1)))-MIN(INDIRECT(ADDRESS(3+3,DO$2+1,,,"Instances") &amp; ":" &amp; ADDRESS(3+3,DO$2+1))))</f>
        <v>0</v>
      </c>
      <c r="DP8">
        <f>IFERROR(SMALL(DO5:DO11,ROW()-ROW($DP$5)+1),"")</f>
        <v>0</v>
      </c>
      <c r="DR8">
        <f>IFERROR(SUM(DP5:DP8),"")</f>
        <v>0</v>
      </c>
      <c r="DS8" cm="1">
        <f t="array" ref="DS8">_xlfn.SWITCH(Charts!$B$3,"average", AVERAGE(INDIRECT(ADDRESS(3+3,DS$2+1,,,"Instances") &amp; ":" &amp; ADDRESS(3+3,DS$2+1))),"median", MEDIAN(INDIRECT(ADDRESS(3+3,DS$2+1,,,"Instances") &amp; ":" &amp; ADDRESS(3+3,DS$2+1))),"min", MIN(INDIRECT(ADDRESS(3+3,DS$2+1,,,"Instances") &amp; ":" &amp; ADDRESS(3+3,DS$2+1))),"max", MAX(INDIRECT(ADDRESS(3+3,DS$2+1,,,"Instances") &amp; ":" &amp; ADDRESS(3+3,DS$2+1))),"diff", MAX(INDIRECT(ADDRESS(3+3,DS$2+1,,,"Instances") &amp; ":" &amp; ADDRESS(3+3,DS$2+1)))-MIN(INDIRECT(ADDRESS(3+3,DS$2+1,,,"Instances") &amp; ":" &amp; ADDRESS(3+3,DS$2+1))))</f>
        <v>0</v>
      </c>
      <c r="DT8">
        <f>IFERROR(SMALL(DS5:DS11,ROW()-ROW($DT$5)+1),"")</f>
        <v>0</v>
      </c>
      <c r="DV8">
        <f>IFERROR(SUM(DT5:DT8),"")</f>
        <v>0</v>
      </c>
      <c r="DW8" cm="1">
        <f t="array" ref="DW8">_xlfn.SWITCH(Charts!$B$3,"average", AVERAGE(INDIRECT(ADDRESS(3+3,DW$2+1,,,"Instances") &amp; ":" &amp; ADDRESS(3+3,DW$2+1))),"median", MEDIAN(INDIRECT(ADDRESS(3+3,DW$2+1,,,"Instances") &amp; ":" &amp; ADDRESS(3+3,DW$2+1))),"min", MIN(INDIRECT(ADDRESS(3+3,DW$2+1,,,"Instances") &amp; ":" &amp; ADDRESS(3+3,DW$2+1))),"max", MAX(INDIRECT(ADDRESS(3+3,DW$2+1,,,"Instances") &amp; ":" &amp; ADDRESS(3+3,DW$2+1))),"diff", MAX(INDIRECT(ADDRESS(3+3,DW$2+1,,,"Instances") &amp; ":" &amp; ADDRESS(3+3,DW$2+1)))-MIN(INDIRECT(ADDRESS(3+3,DW$2+1,,,"Instances") &amp; ":" &amp; ADDRESS(3+3,DW$2+1))))</f>
        <v>0</v>
      </c>
      <c r="DX8">
        <f>IFERROR(SMALL(DW5:DW11,ROW()-ROW($DX$5)+1),"")</f>
        <v>0</v>
      </c>
      <c r="DZ8">
        <f>IFERROR(SUM(DX5:DX8),"")</f>
        <v>0</v>
      </c>
      <c r="EA8" cm="1">
        <f t="array" ref="EA8">_xlfn.SWITCH(Charts!$B$3,"average", AVERAGE(INDIRECT(ADDRESS(3+3,EA$2+1,,,"Instances") &amp; ":" &amp; ADDRESS(3+3,EA$2+1))),"median", MEDIAN(INDIRECT(ADDRESS(3+3,EA$2+1,,,"Instances") &amp; ":" &amp; ADDRESS(3+3,EA$2+1))),"min", MIN(INDIRECT(ADDRESS(3+3,EA$2+1,,,"Instances") &amp; ":" &amp; ADDRESS(3+3,EA$2+1))),"max", MAX(INDIRECT(ADDRESS(3+3,EA$2+1,,,"Instances") &amp; ":" &amp; ADDRESS(3+3,EA$2+1))),"diff", MAX(INDIRECT(ADDRESS(3+3,EA$2+1,,,"Instances") &amp; ":" &amp; ADDRESS(3+3,EA$2+1)))-MIN(INDIRECT(ADDRESS(3+3,EA$2+1,,,"Instances") &amp; ":" &amp; ADDRESS(3+3,EA$2+1))))</f>
        <v>0</v>
      </c>
      <c r="EB8">
        <f>IFERROR(SMALL(EA5:EA11,ROW()-ROW($EB$5)+1),"")</f>
        <v>0</v>
      </c>
      <c r="ED8">
        <f>IFERROR(SUM(EB5:EB8),"")</f>
        <v>0</v>
      </c>
      <c r="EG8">
        <f>IF(Charts!$B$3="none",E50,IF(BS50="",NA(),BS50))</f>
        <v>0</v>
      </c>
      <c r="EH8">
        <f>IF(Charts!$B$3="none",F50,IF(BT50="",NA(),BT50))</f>
        <v>0</v>
      </c>
      <c r="EI8">
        <f>IF(Charts!$B$3="none",G50,IF(BU50="",NA(),BU50))</f>
        <v>0</v>
      </c>
      <c r="EJ8">
        <f>IF(Charts!$B$3="none",H50,IF(BV50="",NA(),BV50))</f>
        <v>0</v>
      </c>
      <c r="EK8">
        <f>IF(Charts!$B$3="none",I50,IF(BW50="",NA(),BW50))</f>
        <v>0</v>
      </c>
      <c r="EL8">
        <f>IF(Charts!$B$3="none",J50,IF(BX50="",NA(),BX50))</f>
        <v>0</v>
      </c>
      <c r="EM8">
        <f>IF(Charts!$B$3="none",K50,IF(BY50="",NA(),BY50))</f>
        <v>0</v>
      </c>
      <c r="EN8">
        <f>IF(Charts!$B$3="none",L50,IF(BZ50="",NA(),BZ50))</f>
        <v>0</v>
      </c>
      <c r="EO8">
        <f>IF(Charts!$B$3="none",M50,IF(CA50="",NA(),CA50))</f>
        <v>0</v>
      </c>
      <c r="EP8">
        <f>IF(Charts!$B$3="none",N50,IF(CB50="",NA(),CB50))</f>
        <v>0</v>
      </c>
      <c r="EQ8">
        <f>IF(Charts!$B$3="none",O50,IF(CC50="",NA(),CC50))</f>
        <v>0</v>
      </c>
      <c r="ER8">
        <f>IF(Charts!$B$3="none",P50,IF(CD50="",NA(),CD50))</f>
        <v>0</v>
      </c>
      <c r="ES8">
        <f>IF(Charts!$B$3="none",Q50,IF(CE50="",NA(),CE50))</f>
        <v>0</v>
      </c>
      <c r="ET8">
        <f>IF(Charts!$B$3="none",R50,IF(CF50="",NA(),CF50))</f>
        <v>0</v>
      </c>
      <c r="EU8">
        <f>IF(Charts!$B$3="none",S50,IF(CG50="",NA(),CG50))</f>
        <v>0</v>
      </c>
      <c r="EV8">
        <f>IF(Charts!$B$3="none",T50,IF(CH50="",NA(),CH50))</f>
        <v>0</v>
      </c>
      <c r="EW8">
        <f>IF(Charts!$B$3="none",U50,IF(CI50="",NA(),CI50))</f>
        <v>0</v>
      </c>
      <c r="EX8">
        <f>IF(Charts!$B$3="none",V50,IF(CJ50="",NA(),CJ50))</f>
        <v>0</v>
      </c>
      <c r="EY8">
        <f>IF(Charts!$B$3="none",W50,IF(CK50="",NA(),CK50))</f>
        <v>0</v>
      </c>
      <c r="EZ8">
        <f>IF(Charts!$B$3="none",X50,IF(CL50="",NA(),CL50))</f>
        <v>0</v>
      </c>
      <c r="FA8">
        <f>IF(Charts!$B$3="none",Y50,IF(CM50="",NA(),CM50))</f>
        <v>0</v>
      </c>
      <c r="FB8">
        <f>IF(Charts!$B$3="none",Z50,IF(CN50="",NA(),CN50))</f>
        <v>0</v>
      </c>
      <c r="FC8">
        <f>IF(Charts!$B$3="none",AA50,IF(CO50="",NA(),CO50))</f>
        <v>0</v>
      </c>
      <c r="FD8">
        <f>IF(Charts!$B$3="none",AB50,IF(CP50="",NA(),CP50))</f>
        <v>0</v>
      </c>
      <c r="FE8">
        <f>IF(Charts!$B$3="none",AC50,IF(CQ50="",NA(),CQ50))</f>
        <v>0</v>
      </c>
      <c r="FF8">
        <f>IF(Charts!$B$3="none",AD50,IF(CR50="",NA(),CR50))</f>
        <v>0</v>
      </c>
      <c r="FG8">
        <f>IF(Charts!$B$3="none",AE50,IF(CS50="",NA(),CS50))</f>
        <v>0</v>
      </c>
      <c r="FH8">
        <f>IF(Charts!$B$3="none",AF50,IF(CT50="",NA(),CT50))</f>
        <v>0</v>
      </c>
      <c r="FI8">
        <f>IF(Charts!$B$3="none",AG50,IF(CU50="",NA(),CU50))</f>
        <v>0</v>
      </c>
      <c r="FJ8">
        <f>IF(Charts!$B$3="none",AH50,IF(CV50="",NA(),CV50))</f>
        <v>0</v>
      </c>
      <c r="FK8">
        <f>IF(Charts!$B$3="none",AI50,IF(CW50="",NA(),CW50))</f>
        <v>0</v>
      </c>
      <c r="FL8">
        <f>IF(Charts!$B$3="none",AJ50,IF(CX50="",NA(),CX50))</f>
        <v>0</v>
      </c>
      <c r="FM8">
        <f>IF(Charts!$B$3="none",AK50,IF(CY50="",NA(),CY50))</f>
        <v>0</v>
      </c>
      <c r="FN8">
        <f>IF(Charts!$B$3="none",AL50,IF(CZ50="",NA(),CZ50))</f>
        <v>0</v>
      </c>
      <c r="FO8">
        <f>IF(Charts!$B$3="none",AM50,IF(DA50="",NA(),DA50))</f>
        <v>0</v>
      </c>
      <c r="FP8">
        <f>IF(Charts!$B$3="none",AN50,IF(DB50="",NA(),DB50))</f>
        <v>0</v>
      </c>
      <c r="FQ8">
        <f>IF(Charts!$B$3="none",AO50,IF(DC50="",NA(),DC50))</f>
        <v>0</v>
      </c>
      <c r="FR8">
        <f>IF(Charts!$B$3="none",AP50,IF(DD50="",NA(),DD50))</f>
        <v>0</v>
      </c>
      <c r="FS8">
        <f>IF(Charts!$B$3="none",AQ50,IF(DE50="",NA(),DE50))</f>
        <v>0</v>
      </c>
      <c r="FT8">
        <f>IF(Charts!$B$3="none",AR50,IF(DF50="",NA(),DF50))</f>
        <v>0</v>
      </c>
      <c r="FU8">
        <f>IF(Charts!$B$3="none",AS50,IF(DG50="",NA(),DG50))</f>
        <v>0</v>
      </c>
      <c r="FV8">
        <f>IF(Charts!$B$3="none",AT50,IF(DH50="",NA(),DH50))</f>
        <v>0</v>
      </c>
      <c r="FW8">
        <f>IF(Charts!$B$3="none",AU50,IF(DI50="",NA(),DI50))</f>
        <v>0</v>
      </c>
      <c r="FX8">
        <f>IF(Charts!$B$3="none",AV50,IF(DJ50="",NA(),DJ50))</f>
        <v>0</v>
      </c>
      <c r="FY8">
        <f>IF(Charts!$B$3="none",AW50,IF(DK50="",NA(),DK50))</f>
        <v>0</v>
      </c>
      <c r="FZ8">
        <f>IF(Charts!$B$3="none",AX50,IF(DL50="",NA(),DL50))</f>
        <v>0</v>
      </c>
      <c r="GA8">
        <f>IF(Charts!$B$3="none",AY50,IF(DM50="",NA(),DM50))</f>
        <v>0</v>
      </c>
      <c r="GB8">
        <f>IF(Charts!$B$3="none",AZ50,IF(DN50="",NA(),DN50))</f>
        <v>0</v>
      </c>
      <c r="GC8">
        <f>IF(Charts!$B$3="none",BA50,IF(DO50="",NA(),DO50))</f>
        <v>0</v>
      </c>
      <c r="GD8">
        <f>IF(Charts!$B$3="none",BB50,IF(DP50="",NA(),DP50))</f>
        <v>0</v>
      </c>
      <c r="GE8">
        <f>IF(Charts!$B$3="none",BC50,IF(DQ50="",NA(),DQ50))</f>
        <v>0</v>
      </c>
      <c r="GF8">
        <f>IF(Charts!$B$3="none",BD50,IF(DR50="",NA(),DR50))</f>
        <v>0</v>
      </c>
      <c r="GG8">
        <f>IF(Charts!$B$3="none",BE50,IF(DS50="",NA(),DS50))</f>
        <v>0</v>
      </c>
      <c r="GH8">
        <f>IF(Charts!$B$3="none",BF50,IF(DT50="",NA(),DT50))</f>
        <v>0</v>
      </c>
      <c r="GI8">
        <f>IF(Charts!$B$3="none",BG50,IF(DU50="",NA(),DU50))</f>
        <v>0</v>
      </c>
      <c r="GJ8">
        <f>IF(Charts!$B$3="none",BH50,IF(DV50="",NA(),DV50))</f>
        <v>0</v>
      </c>
      <c r="GK8">
        <f>IF(Charts!$B$3="none",BI50,IF(DW50="",NA(),DW50))</f>
        <v>0</v>
      </c>
      <c r="GL8">
        <f>IF(Charts!$B$3="none",BJ50,IF(DX50="",NA(),DX50))</f>
        <v>0</v>
      </c>
      <c r="GM8">
        <f>IF(Charts!$B$3="none",BK50,IF(DY50="",NA(),DY50))</f>
        <v>0</v>
      </c>
      <c r="GN8">
        <f>IF(Charts!$B$3="none",BL50,IF(DZ50="",NA(),DZ50))</f>
        <v>0</v>
      </c>
      <c r="GO8">
        <f>IF(Charts!$B$3="none",BM50,IF(EA50="",NA(),EA50))</f>
        <v>0</v>
      </c>
      <c r="GP8">
        <f>IF(Charts!$B$3="none",BN50,IF(EB50="",NA(),EB50))</f>
        <v>0</v>
      </c>
      <c r="GQ8">
        <f>IF(Charts!$B$3="none",BO50,IF(EC50="",NA(),EC50))</f>
        <v>0</v>
      </c>
      <c r="GR8">
        <f>IF(Charts!$B$3="none",BP50,IF(ED50="",NA(),ED50))</f>
        <v>0</v>
      </c>
    </row>
    <row r="9" spans="1:200">
      <c r="A9" t="s">
        <v>23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IFERROR(SMALL(E5:E11,ROW()-ROW($F$5)+1),"")</f>
        <v>0</v>
      </c>
      <c r="H9">
        <f>IFERROR(SUM(F5:F9),"")</f>
        <v>0</v>
      </c>
      <c r="I9">
        <f>IF(INDIRECT(ADDRESS($D9+2,I$2+1,,,"Instances"))="","",INDIRECT(ADDRESS($D9+2,I$2+1,,,"Instances")))</f>
        <v>0</v>
      </c>
      <c r="J9">
        <f>IFERROR(SMALL(I5:I11,ROW()-ROW($J$5)+1),"")</f>
        <v>0</v>
      </c>
      <c r="L9">
        <f>IFERROR(SUM(J5:J9),"")</f>
        <v>0</v>
      </c>
      <c r="M9">
        <f>IF(INDIRECT(ADDRESS($D9+2,M$2+1,,,"Instances"))="","",INDIRECT(ADDRESS($D9+2,M$2+1,,,"Instances")))</f>
        <v>0</v>
      </c>
      <c r="N9">
        <f>IFERROR(SMALL(M5:M11,ROW()-ROW($N$5)+1),"")</f>
        <v>0</v>
      </c>
      <c r="P9">
        <f>IFERROR(SUM(N5:N9),"")</f>
        <v>0</v>
      </c>
      <c r="Q9">
        <f>IF(INDIRECT(ADDRESS($D9+2,Q$2+1,,,"Instances"))="","",INDIRECT(ADDRESS($D9+2,Q$2+1,,,"Instances")))</f>
        <v>0</v>
      </c>
      <c r="R9">
        <f>IFERROR(SMALL(Q5:Q11,ROW()-ROW($R$5)+1),"")</f>
        <v>0</v>
      </c>
      <c r="T9">
        <f>IFERROR(SUM(R5:R9),"")</f>
        <v>0</v>
      </c>
      <c r="U9">
        <f>IF(INDIRECT(ADDRESS($D9+2,U$2+1,,,"Instances"))="","",INDIRECT(ADDRESS($D9+2,U$2+1,,,"Instances")))</f>
        <v>0</v>
      </c>
      <c r="V9">
        <f>IFERROR(SMALL(U5:U11,ROW()-ROW($V$5)+1),"")</f>
        <v>0</v>
      </c>
      <c r="X9">
        <f>IFERROR(SUM(V5:V9),"")</f>
        <v>0</v>
      </c>
      <c r="Y9">
        <f>IF(INDIRECT(ADDRESS($D9+2,Y$2+1,,,"Instances"))="","",INDIRECT(ADDRESS($D9+2,Y$2+1,,,"Instances")))</f>
        <v>0</v>
      </c>
      <c r="Z9">
        <f>IFERROR(SMALL(Y5:Y11,ROW()-ROW($Z$5)+1),"")</f>
        <v>0</v>
      </c>
      <c r="AB9">
        <f>IFERROR(SUM(Z5:Z9),"")</f>
        <v>0</v>
      </c>
      <c r="AC9">
        <f>IF(INDIRECT(ADDRESS($D9+2,AC$2+1,,,"Instances"))="","",INDIRECT(ADDRESS($D9+2,AC$2+1,,,"Instances")))</f>
        <v>0</v>
      </c>
      <c r="AD9">
        <f>IFERROR(SMALL(AC5:AC11,ROW()-ROW($AD$5)+1),"")</f>
        <v>0</v>
      </c>
      <c r="AF9">
        <f>IFERROR(SUM(AD5:AD9),"")</f>
        <v>0</v>
      </c>
      <c r="AG9">
        <f>IF(INDIRECT(ADDRESS($D9+2,AG$2+1,,,"Instances"))="","",INDIRECT(ADDRESS($D9+2,AG$2+1,,,"Instances")))</f>
        <v>0</v>
      </c>
      <c r="AH9">
        <f>IFERROR(SMALL(AG5:AG11,ROW()-ROW($AH$5)+1),"")</f>
        <v>0</v>
      </c>
      <c r="AJ9">
        <f>IFERROR(SUM(AH5:AH9),"")</f>
        <v>0</v>
      </c>
      <c r="AK9">
        <f>IF(INDIRECT(ADDRESS($D9+2,AK$2+1,,,"Instances"))="","",INDIRECT(ADDRESS($D9+2,AK$2+1,,,"Instances")))</f>
        <v>0</v>
      </c>
      <c r="AL9">
        <f>IFERROR(SMALL(AK5:AK11,ROW()-ROW($AL$5)+1),"")</f>
        <v>0</v>
      </c>
      <c r="AN9">
        <f>IFERROR(SUM(AL5:AL9),"")</f>
        <v>0</v>
      </c>
      <c r="AO9">
        <f>IF(INDIRECT(ADDRESS($D9+2,AO$2+1,,,"Instances"))="","",INDIRECT(ADDRESS($D9+2,AO$2+1,,,"Instances")))</f>
        <v>0</v>
      </c>
      <c r="AP9">
        <f>IFERROR(SMALL(AO5:AO11,ROW()-ROW($AP$5)+1),"")</f>
        <v>0</v>
      </c>
      <c r="AR9">
        <f>IFERROR(SUM(AP5:AP9),"")</f>
        <v>0</v>
      </c>
      <c r="AS9">
        <f>IF(INDIRECT(ADDRESS($D9+2,AS$2+1,,,"Instances"))="","",INDIRECT(ADDRESS($D9+2,AS$2+1,,,"Instances")))</f>
        <v>0</v>
      </c>
      <c r="AT9">
        <f>IFERROR(SMALL(AS5:AS11,ROW()-ROW($AT$5)+1),"")</f>
        <v>0</v>
      </c>
      <c r="AV9">
        <f>IFERROR(SUM(AT5:AT9),"")</f>
        <v>0</v>
      </c>
      <c r="AW9">
        <f>IF(INDIRECT(ADDRESS($D9+2,AW$2+1,,,"Instances"))="","",INDIRECT(ADDRESS($D9+2,AW$2+1,,,"Instances")))</f>
        <v>0</v>
      </c>
      <c r="AX9">
        <f>IFERROR(SMALL(AW5:AW11,ROW()-ROW($AX$5)+1),"")</f>
        <v>0</v>
      </c>
      <c r="AZ9">
        <f>IFERROR(SUM(AX5:AX9),"")</f>
        <v>0</v>
      </c>
      <c r="BA9">
        <f>IF(INDIRECT(ADDRESS($D9+2,BA$2+1,,,"Instances"))="","",INDIRECT(ADDRESS($D9+2,BA$2+1,,,"Instances")))</f>
        <v>0</v>
      </c>
      <c r="BB9">
        <f>IFERROR(SMALL(BA5:BA11,ROW()-ROW($BB$5)+1),"")</f>
        <v>0</v>
      </c>
      <c r="BD9">
        <f>IFERROR(SUM(BB5:BB9),"")</f>
        <v>0</v>
      </c>
      <c r="BE9">
        <f>IF(INDIRECT(ADDRESS($D9+2,BE$2+1,,,"Instances"))="","",INDIRECT(ADDRESS($D9+2,BE$2+1,,,"Instances")))</f>
        <v>0</v>
      </c>
      <c r="BF9">
        <f>IFERROR(SMALL(BE5:BE11,ROW()-ROW($BF$5)+1),"")</f>
        <v>0</v>
      </c>
      <c r="BH9">
        <f>IFERROR(SUM(BF5:BF9),"")</f>
        <v>0</v>
      </c>
      <c r="BI9">
        <f>IF(INDIRECT(ADDRESS($D9+2,BI$2+1,,,"Instances"))="","",INDIRECT(ADDRESS($D9+2,BI$2+1,,,"Instances")))</f>
        <v>0</v>
      </c>
      <c r="BJ9">
        <f>IFERROR(SMALL(BI5:BI11,ROW()-ROW($BJ$5)+1),"")</f>
        <v>0</v>
      </c>
      <c r="BL9">
        <f>IFERROR(SUM(BJ5:BJ9),"")</f>
        <v>0</v>
      </c>
      <c r="BM9">
        <f>IF(INDIRECT(ADDRESS($D9+2,BM$2+1,,,"Instances"))="","",INDIRECT(ADDRESS($D9+2,BM$2+1,,,"Instances")))</f>
        <v>0</v>
      </c>
      <c r="BN9">
        <f>IFERROR(SMALL(BM5:BM11,ROW()-ROW($BN$5)+1),"")</f>
        <v>0</v>
      </c>
      <c r="BP9">
        <f>IFERROR(SUM(BN5:BN9),"")</f>
        <v>0</v>
      </c>
      <c r="BR9">
        <v>5</v>
      </c>
      <c r="BS9" cm="1">
        <f t="array" ref="BS9">_xlfn.SWITCH(Charts!$B$3,"average", AVERAGE(INDIRECT(ADDRESS(4+3,BS$2+1,,,"Instances") &amp; ":" &amp; ADDRESS(4+3,BS$2+1))),"median", MEDIAN(INDIRECT(ADDRESS(4+3,BS$2+1,,,"Instances") &amp; ":" &amp; ADDRESS(4+3,BS$2+1))),"min", MIN(INDIRECT(ADDRESS(4+3,BS$2+1,,,"Instances") &amp; ":" &amp; ADDRESS(4+3,BS$2+1))),"max", MAX(INDIRECT(ADDRESS(4+3,BS$2+1,,,"Instances") &amp; ":" &amp; ADDRESS(4+3,BS$2+1))),"diff", MAX(INDIRECT(ADDRESS(4+3,BS$2+1,,,"Instances") &amp; ":" &amp; ADDRESS(4+3,BS$2+1)))-MIN(INDIRECT(ADDRESS(4+3,BS$2+1,,,"Instances") &amp; ":" &amp; ADDRESS(4+3,BS$2+1))))</f>
        <v>0</v>
      </c>
      <c r="BT9">
        <f>IFERROR(SMALL(BS5:BS11,ROW()-ROW($BT$5)+1),"")</f>
        <v>0</v>
      </c>
      <c r="BV9">
        <f>IFERROR(SUM(BT5:BT9),"")</f>
        <v>0</v>
      </c>
      <c r="BW9" cm="1">
        <f t="array" ref="BW9">_xlfn.SWITCH(Charts!$B$3,"average", AVERAGE(INDIRECT(ADDRESS(4+3,BW$2+1,,,"Instances") &amp; ":" &amp; ADDRESS(4+3,BW$2+1))),"median", MEDIAN(INDIRECT(ADDRESS(4+3,BW$2+1,,,"Instances") &amp; ":" &amp; ADDRESS(4+3,BW$2+1))),"min", MIN(INDIRECT(ADDRESS(4+3,BW$2+1,,,"Instances") &amp; ":" &amp; ADDRESS(4+3,BW$2+1))),"max", MAX(INDIRECT(ADDRESS(4+3,BW$2+1,,,"Instances") &amp; ":" &amp; ADDRESS(4+3,BW$2+1))),"diff", MAX(INDIRECT(ADDRESS(4+3,BW$2+1,,,"Instances") &amp; ":" &amp; ADDRESS(4+3,BW$2+1)))-MIN(INDIRECT(ADDRESS(4+3,BW$2+1,,,"Instances") &amp; ":" &amp; ADDRESS(4+3,BW$2+1))))</f>
        <v>0</v>
      </c>
      <c r="BX9">
        <f>IFERROR(SMALL(BW5:BW11,ROW()-ROW($BX$5)+1),"")</f>
        <v>0</v>
      </c>
      <c r="BZ9">
        <f>IFERROR(SUM(BX5:BX9),"")</f>
        <v>0</v>
      </c>
      <c r="CA9" cm="1">
        <f t="array" ref="CA9">_xlfn.SWITCH(Charts!$B$3,"average", AVERAGE(INDIRECT(ADDRESS(4+3,CA$2+1,,,"Instances") &amp; ":" &amp; ADDRESS(4+3,CA$2+1))),"median", MEDIAN(INDIRECT(ADDRESS(4+3,CA$2+1,,,"Instances") &amp; ":" &amp; ADDRESS(4+3,CA$2+1))),"min", MIN(INDIRECT(ADDRESS(4+3,CA$2+1,,,"Instances") &amp; ":" &amp; ADDRESS(4+3,CA$2+1))),"max", MAX(INDIRECT(ADDRESS(4+3,CA$2+1,,,"Instances") &amp; ":" &amp; ADDRESS(4+3,CA$2+1))),"diff", MAX(INDIRECT(ADDRESS(4+3,CA$2+1,,,"Instances") &amp; ":" &amp; ADDRESS(4+3,CA$2+1)))-MIN(INDIRECT(ADDRESS(4+3,CA$2+1,,,"Instances") &amp; ":" &amp; ADDRESS(4+3,CA$2+1))))</f>
        <v>0</v>
      </c>
      <c r="CB9">
        <f>IFERROR(SMALL(CA5:CA11,ROW()-ROW($CB$5)+1),"")</f>
        <v>0</v>
      </c>
      <c r="CD9">
        <f>IFERROR(SUM(CB5:CB9),"")</f>
        <v>0</v>
      </c>
      <c r="CE9" cm="1">
        <f t="array" ref="CE9">_xlfn.SWITCH(Charts!$B$3,"average", AVERAGE(INDIRECT(ADDRESS(4+3,CE$2+1,,,"Instances") &amp; ":" &amp; ADDRESS(4+3,CE$2+1))),"median", MEDIAN(INDIRECT(ADDRESS(4+3,CE$2+1,,,"Instances") &amp; ":" &amp; ADDRESS(4+3,CE$2+1))),"min", MIN(INDIRECT(ADDRESS(4+3,CE$2+1,,,"Instances") &amp; ":" &amp; ADDRESS(4+3,CE$2+1))),"max", MAX(INDIRECT(ADDRESS(4+3,CE$2+1,,,"Instances") &amp; ":" &amp; ADDRESS(4+3,CE$2+1))),"diff", MAX(INDIRECT(ADDRESS(4+3,CE$2+1,,,"Instances") &amp; ":" &amp; ADDRESS(4+3,CE$2+1)))-MIN(INDIRECT(ADDRESS(4+3,CE$2+1,,,"Instances") &amp; ":" &amp; ADDRESS(4+3,CE$2+1))))</f>
        <v>0</v>
      </c>
      <c r="CF9">
        <f>IFERROR(SMALL(CE5:CE11,ROW()-ROW($CF$5)+1),"")</f>
        <v>0</v>
      </c>
      <c r="CH9">
        <f>IFERROR(SUM(CF5:CF9),"")</f>
        <v>0</v>
      </c>
      <c r="CI9" cm="1">
        <f t="array" ref="CI9">_xlfn.SWITCH(Charts!$B$3,"average", AVERAGE(INDIRECT(ADDRESS(4+3,CI$2+1,,,"Instances") &amp; ":" &amp; ADDRESS(4+3,CI$2+1))),"median", MEDIAN(INDIRECT(ADDRESS(4+3,CI$2+1,,,"Instances") &amp; ":" &amp; ADDRESS(4+3,CI$2+1))),"min", MIN(INDIRECT(ADDRESS(4+3,CI$2+1,,,"Instances") &amp; ":" &amp; ADDRESS(4+3,CI$2+1))),"max", MAX(INDIRECT(ADDRESS(4+3,CI$2+1,,,"Instances") &amp; ":" &amp; ADDRESS(4+3,CI$2+1))),"diff", MAX(INDIRECT(ADDRESS(4+3,CI$2+1,,,"Instances") &amp; ":" &amp; ADDRESS(4+3,CI$2+1)))-MIN(INDIRECT(ADDRESS(4+3,CI$2+1,,,"Instances") &amp; ":" &amp; ADDRESS(4+3,CI$2+1))))</f>
        <v>0</v>
      </c>
      <c r="CJ9">
        <f>IFERROR(SMALL(CI5:CI11,ROW()-ROW($CJ$5)+1),"")</f>
        <v>0</v>
      </c>
      <c r="CL9">
        <f>IFERROR(SUM(CJ5:CJ9),"")</f>
        <v>0</v>
      </c>
      <c r="CM9" cm="1">
        <f t="array" ref="CM9">_xlfn.SWITCH(Charts!$B$3,"average", AVERAGE(INDIRECT(ADDRESS(4+3,CM$2+1,,,"Instances") &amp; ":" &amp; ADDRESS(4+3,CM$2+1))),"median", MEDIAN(INDIRECT(ADDRESS(4+3,CM$2+1,,,"Instances") &amp; ":" &amp; ADDRESS(4+3,CM$2+1))),"min", MIN(INDIRECT(ADDRESS(4+3,CM$2+1,,,"Instances") &amp; ":" &amp; ADDRESS(4+3,CM$2+1))),"max", MAX(INDIRECT(ADDRESS(4+3,CM$2+1,,,"Instances") &amp; ":" &amp; ADDRESS(4+3,CM$2+1))),"diff", MAX(INDIRECT(ADDRESS(4+3,CM$2+1,,,"Instances") &amp; ":" &amp; ADDRESS(4+3,CM$2+1)))-MIN(INDIRECT(ADDRESS(4+3,CM$2+1,,,"Instances") &amp; ":" &amp; ADDRESS(4+3,CM$2+1))))</f>
        <v>0</v>
      </c>
      <c r="CN9">
        <f>IFERROR(SMALL(CM5:CM11,ROW()-ROW($CN$5)+1),"")</f>
        <v>0</v>
      </c>
      <c r="CP9">
        <f>IFERROR(SUM(CN5:CN9),"")</f>
        <v>0</v>
      </c>
      <c r="CQ9" cm="1">
        <f t="array" ref="CQ9">_xlfn.SWITCH(Charts!$B$3,"average", AVERAGE(INDIRECT(ADDRESS(4+3,CQ$2+1,,,"Instances") &amp; ":" &amp; ADDRESS(4+3,CQ$2+1))),"median", MEDIAN(INDIRECT(ADDRESS(4+3,CQ$2+1,,,"Instances") &amp; ":" &amp; ADDRESS(4+3,CQ$2+1))),"min", MIN(INDIRECT(ADDRESS(4+3,CQ$2+1,,,"Instances") &amp; ":" &amp; ADDRESS(4+3,CQ$2+1))),"max", MAX(INDIRECT(ADDRESS(4+3,CQ$2+1,,,"Instances") &amp; ":" &amp; ADDRESS(4+3,CQ$2+1))),"diff", MAX(INDIRECT(ADDRESS(4+3,CQ$2+1,,,"Instances") &amp; ":" &amp; ADDRESS(4+3,CQ$2+1)))-MIN(INDIRECT(ADDRESS(4+3,CQ$2+1,,,"Instances") &amp; ":" &amp; ADDRESS(4+3,CQ$2+1))))</f>
        <v>0</v>
      </c>
      <c r="CR9">
        <f>IFERROR(SMALL(CQ5:CQ11,ROW()-ROW($CR$5)+1),"")</f>
        <v>0</v>
      </c>
      <c r="CT9">
        <f>IFERROR(SUM(CR5:CR9),"")</f>
        <v>0</v>
      </c>
      <c r="CU9" cm="1">
        <f t="array" ref="CU9">_xlfn.SWITCH(Charts!$B$3,"average", AVERAGE(INDIRECT(ADDRESS(4+3,CU$2+1,,,"Instances") &amp; ":" &amp; ADDRESS(4+3,CU$2+1))),"median", MEDIAN(INDIRECT(ADDRESS(4+3,CU$2+1,,,"Instances") &amp; ":" &amp; ADDRESS(4+3,CU$2+1))),"min", MIN(INDIRECT(ADDRESS(4+3,CU$2+1,,,"Instances") &amp; ":" &amp; ADDRESS(4+3,CU$2+1))),"max", MAX(INDIRECT(ADDRESS(4+3,CU$2+1,,,"Instances") &amp; ":" &amp; ADDRESS(4+3,CU$2+1))),"diff", MAX(INDIRECT(ADDRESS(4+3,CU$2+1,,,"Instances") &amp; ":" &amp; ADDRESS(4+3,CU$2+1)))-MIN(INDIRECT(ADDRESS(4+3,CU$2+1,,,"Instances") &amp; ":" &amp; ADDRESS(4+3,CU$2+1))))</f>
        <v>0</v>
      </c>
      <c r="CV9">
        <f>IFERROR(SMALL(CU5:CU11,ROW()-ROW($CV$5)+1),"")</f>
        <v>0</v>
      </c>
      <c r="CX9">
        <f>IFERROR(SUM(CV5:CV9),"")</f>
        <v>0</v>
      </c>
      <c r="CY9" cm="1">
        <f t="array" ref="CY9">_xlfn.SWITCH(Charts!$B$3,"average", AVERAGE(INDIRECT(ADDRESS(4+3,CY$2+1,,,"Instances") &amp; ":" &amp; ADDRESS(4+3,CY$2+1))),"median", MEDIAN(INDIRECT(ADDRESS(4+3,CY$2+1,,,"Instances") &amp; ":" &amp; ADDRESS(4+3,CY$2+1))),"min", MIN(INDIRECT(ADDRESS(4+3,CY$2+1,,,"Instances") &amp; ":" &amp; ADDRESS(4+3,CY$2+1))),"max", MAX(INDIRECT(ADDRESS(4+3,CY$2+1,,,"Instances") &amp; ":" &amp; ADDRESS(4+3,CY$2+1))),"diff", MAX(INDIRECT(ADDRESS(4+3,CY$2+1,,,"Instances") &amp; ":" &amp; ADDRESS(4+3,CY$2+1)))-MIN(INDIRECT(ADDRESS(4+3,CY$2+1,,,"Instances") &amp; ":" &amp; ADDRESS(4+3,CY$2+1))))</f>
        <v>0</v>
      </c>
      <c r="CZ9">
        <f>IFERROR(SMALL(CY5:CY11,ROW()-ROW($CZ$5)+1),"")</f>
        <v>0</v>
      </c>
      <c r="DB9">
        <f>IFERROR(SUM(CZ5:CZ9),"")</f>
        <v>0</v>
      </c>
      <c r="DC9" cm="1">
        <f t="array" ref="DC9">_xlfn.SWITCH(Charts!$B$3,"average", AVERAGE(INDIRECT(ADDRESS(4+3,DC$2+1,,,"Instances") &amp; ":" &amp; ADDRESS(4+3,DC$2+1))),"median", MEDIAN(INDIRECT(ADDRESS(4+3,DC$2+1,,,"Instances") &amp; ":" &amp; ADDRESS(4+3,DC$2+1))),"min", MIN(INDIRECT(ADDRESS(4+3,DC$2+1,,,"Instances") &amp; ":" &amp; ADDRESS(4+3,DC$2+1))),"max", MAX(INDIRECT(ADDRESS(4+3,DC$2+1,,,"Instances") &amp; ":" &amp; ADDRESS(4+3,DC$2+1))),"diff", MAX(INDIRECT(ADDRESS(4+3,DC$2+1,,,"Instances") &amp; ":" &amp; ADDRESS(4+3,DC$2+1)))-MIN(INDIRECT(ADDRESS(4+3,DC$2+1,,,"Instances") &amp; ":" &amp; ADDRESS(4+3,DC$2+1))))</f>
        <v>0</v>
      </c>
      <c r="DD9">
        <f>IFERROR(SMALL(DC5:DC11,ROW()-ROW($DD$5)+1),"")</f>
        <v>0</v>
      </c>
      <c r="DF9">
        <f>IFERROR(SUM(DD5:DD9),"")</f>
        <v>0</v>
      </c>
      <c r="DG9" cm="1">
        <f t="array" ref="DG9">_xlfn.SWITCH(Charts!$B$3,"average", AVERAGE(INDIRECT(ADDRESS(4+3,DG$2+1,,,"Instances") &amp; ":" &amp; ADDRESS(4+3,DG$2+1))),"median", MEDIAN(INDIRECT(ADDRESS(4+3,DG$2+1,,,"Instances") &amp; ":" &amp; ADDRESS(4+3,DG$2+1))),"min", MIN(INDIRECT(ADDRESS(4+3,DG$2+1,,,"Instances") &amp; ":" &amp; ADDRESS(4+3,DG$2+1))),"max", MAX(INDIRECT(ADDRESS(4+3,DG$2+1,,,"Instances") &amp; ":" &amp; ADDRESS(4+3,DG$2+1))),"diff", MAX(INDIRECT(ADDRESS(4+3,DG$2+1,,,"Instances") &amp; ":" &amp; ADDRESS(4+3,DG$2+1)))-MIN(INDIRECT(ADDRESS(4+3,DG$2+1,,,"Instances") &amp; ":" &amp; ADDRESS(4+3,DG$2+1))))</f>
        <v>0</v>
      </c>
      <c r="DH9">
        <f>IFERROR(SMALL(DG5:DG11,ROW()-ROW($DH$5)+1),"")</f>
        <v>0</v>
      </c>
      <c r="DJ9">
        <f>IFERROR(SUM(DH5:DH9),"")</f>
        <v>0</v>
      </c>
      <c r="DK9" cm="1">
        <f t="array" ref="DK9">_xlfn.SWITCH(Charts!$B$3,"average", AVERAGE(INDIRECT(ADDRESS(4+3,DK$2+1,,,"Instances") &amp; ":" &amp; ADDRESS(4+3,DK$2+1))),"median", MEDIAN(INDIRECT(ADDRESS(4+3,DK$2+1,,,"Instances") &amp; ":" &amp; ADDRESS(4+3,DK$2+1))),"min", MIN(INDIRECT(ADDRESS(4+3,DK$2+1,,,"Instances") &amp; ":" &amp; ADDRESS(4+3,DK$2+1))),"max", MAX(INDIRECT(ADDRESS(4+3,DK$2+1,,,"Instances") &amp; ":" &amp; ADDRESS(4+3,DK$2+1))),"diff", MAX(INDIRECT(ADDRESS(4+3,DK$2+1,,,"Instances") &amp; ":" &amp; ADDRESS(4+3,DK$2+1)))-MIN(INDIRECT(ADDRESS(4+3,DK$2+1,,,"Instances") &amp; ":" &amp; ADDRESS(4+3,DK$2+1))))</f>
        <v>0</v>
      </c>
      <c r="DL9">
        <f>IFERROR(SMALL(DK5:DK11,ROW()-ROW($DL$5)+1),"")</f>
        <v>0</v>
      </c>
      <c r="DN9">
        <f>IFERROR(SUM(DL5:DL9),"")</f>
        <v>0</v>
      </c>
      <c r="DO9" cm="1">
        <f t="array" ref="DO9">_xlfn.SWITCH(Charts!$B$3,"average", AVERAGE(INDIRECT(ADDRESS(4+3,DO$2+1,,,"Instances") &amp; ":" &amp; ADDRESS(4+3,DO$2+1))),"median", MEDIAN(INDIRECT(ADDRESS(4+3,DO$2+1,,,"Instances") &amp; ":" &amp; ADDRESS(4+3,DO$2+1))),"min", MIN(INDIRECT(ADDRESS(4+3,DO$2+1,,,"Instances") &amp; ":" &amp; ADDRESS(4+3,DO$2+1))),"max", MAX(INDIRECT(ADDRESS(4+3,DO$2+1,,,"Instances") &amp; ":" &amp; ADDRESS(4+3,DO$2+1))),"diff", MAX(INDIRECT(ADDRESS(4+3,DO$2+1,,,"Instances") &amp; ":" &amp; ADDRESS(4+3,DO$2+1)))-MIN(INDIRECT(ADDRESS(4+3,DO$2+1,,,"Instances") &amp; ":" &amp; ADDRESS(4+3,DO$2+1))))</f>
        <v>0</v>
      </c>
      <c r="DP9">
        <f>IFERROR(SMALL(DO5:DO11,ROW()-ROW($DP$5)+1),"")</f>
        <v>0</v>
      </c>
      <c r="DR9">
        <f>IFERROR(SUM(DP5:DP9),"")</f>
        <v>0</v>
      </c>
      <c r="DS9" cm="1">
        <f t="array" ref="DS9">_xlfn.SWITCH(Charts!$B$3,"average", AVERAGE(INDIRECT(ADDRESS(4+3,DS$2+1,,,"Instances") &amp; ":" &amp; ADDRESS(4+3,DS$2+1))),"median", MEDIAN(INDIRECT(ADDRESS(4+3,DS$2+1,,,"Instances") &amp; ":" &amp; ADDRESS(4+3,DS$2+1))),"min", MIN(INDIRECT(ADDRESS(4+3,DS$2+1,,,"Instances") &amp; ":" &amp; ADDRESS(4+3,DS$2+1))),"max", MAX(INDIRECT(ADDRESS(4+3,DS$2+1,,,"Instances") &amp; ":" &amp; ADDRESS(4+3,DS$2+1))),"diff", MAX(INDIRECT(ADDRESS(4+3,DS$2+1,,,"Instances") &amp; ":" &amp; ADDRESS(4+3,DS$2+1)))-MIN(INDIRECT(ADDRESS(4+3,DS$2+1,,,"Instances") &amp; ":" &amp; ADDRESS(4+3,DS$2+1))))</f>
        <v>0</v>
      </c>
      <c r="DT9">
        <f>IFERROR(SMALL(DS5:DS11,ROW()-ROW($DT$5)+1),"")</f>
        <v>0</v>
      </c>
      <c r="DV9">
        <f>IFERROR(SUM(DT5:DT9),"")</f>
        <v>0</v>
      </c>
      <c r="DW9" cm="1">
        <f t="array" ref="DW9">_xlfn.SWITCH(Charts!$B$3,"average", AVERAGE(INDIRECT(ADDRESS(4+3,DW$2+1,,,"Instances") &amp; ":" &amp; ADDRESS(4+3,DW$2+1))),"median", MEDIAN(INDIRECT(ADDRESS(4+3,DW$2+1,,,"Instances") &amp; ":" &amp; ADDRESS(4+3,DW$2+1))),"min", MIN(INDIRECT(ADDRESS(4+3,DW$2+1,,,"Instances") &amp; ":" &amp; ADDRESS(4+3,DW$2+1))),"max", MAX(INDIRECT(ADDRESS(4+3,DW$2+1,,,"Instances") &amp; ":" &amp; ADDRESS(4+3,DW$2+1))),"diff", MAX(INDIRECT(ADDRESS(4+3,DW$2+1,,,"Instances") &amp; ":" &amp; ADDRESS(4+3,DW$2+1)))-MIN(INDIRECT(ADDRESS(4+3,DW$2+1,,,"Instances") &amp; ":" &amp; ADDRESS(4+3,DW$2+1))))</f>
        <v>0</v>
      </c>
      <c r="DX9">
        <f>IFERROR(SMALL(DW5:DW11,ROW()-ROW($DX$5)+1),"")</f>
        <v>0</v>
      </c>
      <c r="DZ9">
        <f>IFERROR(SUM(DX5:DX9),"")</f>
        <v>0</v>
      </c>
      <c r="EA9" cm="1">
        <f t="array" ref="EA9">_xlfn.SWITCH(Charts!$B$3,"average", AVERAGE(INDIRECT(ADDRESS(4+3,EA$2+1,,,"Instances") &amp; ":" &amp; ADDRESS(4+3,EA$2+1))),"median", MEDIAN(INDIRECT(ADDRESS(4+3,EA$2+1,,,"Instances") &amp; ":" &amp; ADDRESS(4+3,EA$2+1))),"min", MIN(INDIRECT(ADDRESS(4+3,EA$2+1,,,"Instances") &amp; ":" &amp; ADDRESS(4+3,EA$2+1))),"max", MAX(INDIRECT(ADDRESS(4+3,EA$2+1,,,"Instances") &amp; ":" &amp; ADDRESS(4+3,EA$2+1))),"diff", MAX(INDIRECT(ADDRESS(4+3,EA$2+1,,,"Instances") &amp; ":" &amp; ADDRESS(4+3,EA$2+1)))-MIN(INDIRECT(ADDRESS(4+3,EA$2+1,,,"Instances") &amp; ":" &amp; ADDRESS(4+3,EA$2+1))))</f>
        <v>0</v>
      </c>
      <c r="EB9">
        <f>IFERROR(SMALL(EA5:EA11,ROW()-ROW($EB$5)+1),"")</f>
        <v>0</v>
      </c>
      <c r="ED9">
        <f>IFERROR(SUM(EB5:EB9),"")</f>
        <v>0</v>
      </c>
      <c r="EG9">
        <f>IF(Charts!$B$3="none",E51,IF(BS51="",NA(),BS51))</f>
        <v>0</v>
      </c>
      <c r="EH9">
        <f>IF(Charts!$B$3="none",F51,IF(BT51="",NA(),BT51))</f>
        <v>0</v>
      </c>
      <c r="EI9">
        <f>IF(Charts!$B$3="none",G51,IF(BU51="",NA(),BU51))</f>
        <v>0</v>
      </c>
      <c r="EJ9">
        <f>IF(Charts!$B$3="none",H51,IF(BV51="",NA(),BV51))</f>
        <v>0</v>
      </c>
      <c r="EK9">
        <f>IF(Charts!$B$3="none",I51,IF(BW51="",NA(),BW51))</f>
        <v>0</v>
      </c>
      <c r="EL9">
        <f>IF(Charts!$B$3="none",J51,IF(BX51="",NA(),BX51))</f>
        <v>0</v>
      </c>
      <c r="EM9">
        <f>IF(Charts!$B$3="none",K51,IF(BY51="",NA(),BY51))</f>
        <v>0</v>
      </c>
      <c r="EN9">
        <f>IF(Charts!$B$3="none",L51,IF(BZ51="",NA(),BZ51))</f>
        <v>0</v>
      </c>
      <c r="EO9">
        <f>IF(Charts!$B$3="none",M51,IF(CA51="",NA(),CA51))</f>
        <v>0</v>
      </c>
      <c r="EP9">
        <f>IF(Charts!$B$3="none",N51,IF(CB51="",NA(),CB51))</f>
        <v>0</v>
      </c>
      <c r="EQ9">
        <f>IF(Charts!$B$3="none",O51,IF(CC51="",NA(),CC51))</f>
        <v>0</v>
      </c>
      <c r="ER9">
        <f>IF(Charts!$B$3="none",P51,IF(CD51="",NA(),CD51))</f>
        <v>0</v>
      </c>
      <c r="ES9">
        <f>IF(Charts!$B$3="none",Q51,IF(CE51="",NA(),CE51))</f>
        <v>0</v>
      </c>
      <c r="ET9">
        <f>IF(Charts!$B$3="none",R51,IF(CF51="",NA(),CF51))</f>
        <v>0</v>
      </c>
      <c r="EU9">
        <f>IF(Charts!$B$3="none",S51,IF(CG51="",NA(),CG51))</f>
        <v>0</v>
      </c>
      <c r="EV9">
        <f>IF(Charts!$B$3="none",T51,IF(CH51="",NA(),CH51))</f>
        <v>0</v>
      </c>
      <c r="EW9">
        <f>IF(Charts!$B$3="none",U51,IF(CI51="",NA(),CI51))</f>
        <v>0</v>
      </c>
      <c r="EX9">
        <f>IF(Charts!$B$3="none",V51,IF(CJ51="",NA(),CJ51))</f>
        <v>0</v>
      </c>
      <c r="EY9">
        <f>IF(Charts!$B$3="none",W51,IF(CK51="",NA(),CK51))</f>
        <v>0</v>
      </c>
      <c r="EZ9">
        <f>IF(Charts!$B$3="none",X51,IF(CL51="",NA(),CL51))</f>
        <v>0</v>
      </c>
      <c r="FA9">
        <f>IF(Charts!$B$3="none",Y51,IF(CM51="",NA(),CM51))</f>
        <v>0</v>
      </c>
      <c r="FB9">
        <f>IF(Charts!$B$3="none",Z51,IF(CN51="",NA(),CN51))</f>
        <v>0</v>
      </c>
      <c r="FC9">
        <f>IF(Charts!$B$3="none",AA51,IF(CO51="",NA(),CO51))</f>
        <v>0</v>
      </c>
      <c r="FD9">
        <f>IF(Charts!$B$3="none",AB51,IF(CP51="",NA(),CP51))</f>
        <v>0</v>
      </c>
      <c r="FE9">
        <f>IF(Charts!$B$3="none",AC51,IF(CQ51="",NA(),CQ51))</f>
        <v>0</v>
      </c>
      <c r="FF9">
        <f>IF(Charts!$B$3="none",AD51,IF(CR51="",NA(),CR51))</f>
        <v>0</v>
      </c>
      <c r="FG9">
        <f>IF(Charts!$B$3="none",AE51,IF(CS51="",NA(),CS51))</f>
        <v>0</v>
      </c>
      <c r="FH9">
        <f>IF(Charts!$B$3="none",AF51,IF(CT51="",NA(),CT51))</f>
        <v>0</v>
      </c>
      <c r="FI9">
        <f>IF(Charts!$B$3="none",AG51,IF(CU51="",NA(),CU51))</f>
        <v>0</v>
      </c>
      <c r="FJ9">
        <f>IF(Charts!$B$3="none",AH51,IF(CV51="",NA(),CV51))</f>
        <v>0</v>
      </c>
      <c r="FK9">
        <f>IF(Charts!$B$3="none",AI51,IF(CW51="",NA(),CW51))</f>
        <v>0</v>
      </c>
      <c r="FL9">
        <f>IF(Charts!$B$3="none",AJ51,IF(CX51="",NA(),CX51))</f>
        <v>0</v>
      </c>
      <c r="FM9">
        <f>IF(Charts!$B$3="none",AK51,IF(CY51="",NA(),CY51))</f>
        <v>0</v>
      </c>
      <c r="FN9">
        <f>IF(Charts!$B$3="none",AL51,IF(CZ51="",NA(),CZ51))</f>
        <v>0</v>
      </c>
      <c r="FO9">
        <f>IF(Charts!$B$3="none",AM51,IF(DA51="",NA(),DA51))</f>
        <v>0</v>
      </c>
      <c r="FP9">
        <f>IF(Charts!$B$3="none",AN51,IF(DB51="",NA(),DB51))</f>
        <v>0</v>
      </c>
      <c r="FQ9">
        <f>IF(Charts!$B$3="none",AO51,IF(DC51="",NA(),DC51))</f>
        <v>0</v>
      </c>
      <c r="FR9">
        <f>IF(Charts!$B$3="none",AP51,IF(DD51="",NA(),DD51))</f>
        <v>0</v>
      </c>
      <c r="FS9">
        <f>IF(Charts!$B$3="none",AQ51,IF(DE51="",NA(),DE51))</f>
        <v>0</v>
      </c>
      <c r="FT9">
        <f>IF(Charts!$B$3="none",AR51,IF(DF51="",NA(),DF51))</f>
        <v>0</v>
      </c>
      <c r="FU9">
        <f>IF(Charts!$B$3="none",AS51,IF(DG51="",NA(),DG51))</f>
        <v>0</v>
      </c>
      <c r="FV9">
        <f>IF(Charts!$B$3="none",AT51,IF(DH51="",NA(),DH51))</f>
        <v>0</v>
      </c>
      <c r="FW9">
        <f>IF(Charts!$B$3="none",AU51,IF(DI51="",NA(),DI51))</f>
        <v>0</v>
      </c>
      <c r="FX9">
        <f>IF(Charts!$B$3="none",AV51,IF(DJ51="",NA(),DJ51))</f>
        <v>0</v>
      </c>
      <c r="FY9">
        <f>IF(Charts!$B$3="none",AW51,IF(DK51="",NA(),DK51))</f>
        <v>0</v>
      </c>
      <c r="FZ9">
        <f>IF(Charts!$B$3="none",AX51,IF(DL51="",NA(),DL51))</f>
        <v>0</v>
      </c>
      <c r="GA9">
        <f>IF(Charts!$B$3="none",AY51,IF(DM51="",NA(),DM51))</f>
        <v>0</v>
      </c>
      <c r="GB9">
        <f>IF(Charts!$B$3="none",AZ51,IF(DN51="",NA(),DN51))</f>
        <v>0</v>
      </c>
      <c r="GC9">
        <f>IF(Charts!$B$3="none",BA51,IF(DO51="",NA(),DO51))</f>
        <v>0</v>
      </c>
      <c r="GD9">
        <f>IF(Charts!$B$3="none",BB51,IF(DP51="",NA(),DP51))</f>
        <v>0</v>
      </c>
      <c r="GE9">
        <f>IF(Charts!$B$3="none",BC51,IF(DQ51="",NA(),DQ51))</f>
        <v>0</v>
      </c>
      <c r="GF9">
        <f>IF(Charts!$B$3="none",BD51,IF(DR51="",NA(),DR51))</f>
        <v>0</v>
      </c>
      <c r="GG9">
        <f>IF(Charts!$B$3="none",BE51,IF(DS51="",NA(),DS51))</f>
        <v>0</v>
      </c>
      <c r="GH9">
        <f>IF(Charts!$B$3="none",BF51,IF(DT51="",NA(),DT51))</f>
        <v>0</v>
      </c>
      <c r="GI9">
        <f>IF(Charts!$B$3="none",BG51,IF(DU51="",NA(),DU51))</f>
        <v>0</v>
      </c>
      <c r="GJ9">
        <f>IF(Charts!$B$3="none",BH51,IF(DV51="",NA(),DV51))</f>
        <v>0</v>
      </c>
      <c r="GK9">
        <f>IF(Charts!$B$3="none",BI51,IF(DW51="",NA(),DW51))</f>
        <v>0</v>
      </c>
      <c r="GL9">
        <f>IF(Charts!$B$3="none",BJ51,IF(DX51="",NA(),DX51))</f>
        <v>0</v>
      </c>
      <c r="GM9">
        <f>IF(Charts!$B$3="none",BK51,IF(DY51="",NA(),DY51))</f>
        <v>0</v>
      </c>
      <c r="GN9">
        <f>IF(Charts!$B$3="none",BL51,IF(DZ51="",NA(),DZ51))</f>
        <v>0</v>
      </c>
      <c r="GO9">
        <f>IF(Charts!$B$3="none",BM51,IF(EA51="",NA(),EA51))</f>
        <v>0</v>
      </c>
      <c r="GP9">
        <f>IF(Charts!$B$3="none",BN51,IF(EB51="",NA(),EB51))</f>
        <v>0</v>
      </c>
      <c r="GQ9">
        <f>IF(Charts!$B$3="none",BO51,IF(EC51="",NA(),EC51))</f>
        <v>0</v>
      </c>
      <c r="GR9">
        <f>IF(Charts!$B$3="none",BP51,IF(ED51="",NA(),ED51))</f>
        <v>0</v>
      </c>
    </row>
    <row r="10" spans="1:200">
      <c r="A10" t="s">
        <v>24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IFERROR(SMALL(E5:E11,ROW()-ROW($F$5)+1),"")</f>
        <v>0</v>
      </c>
      <c r="H10">
        <f>IFERROR(SUM(F5:F10),"")</f>
        <v>0</v>
      </c>
      <c r="I10">
        <f>IF(INDIRECT(ADDRESS($D10+2,I$2+1,,,"Instances"))="","",INDIRECT(ADDRESS($D10+2,I$2+1,,,"Instances")))</f>
        <v>0</v>
      </c>
      <c r="J10">
        <f>IFERROR(SMALL(I5:I11,ROW()-ROW($J$5)+1),"")</f>
        <v>0</v>
      </c>
      <c r="L10">
        <f>IFERROR(SUM(J5:J10),"")</f>
        <v>0</v>
      </c>
      <c r="M10">
        <f>IF(INDIRECT(ADDRESS($D10+2,M$2+1,,,"Instances"))="","",INDIRECT(ADDRESS($D10+2,M$2+1,,,"Instances")))</f>
        <v>0</v>
      </c>
      <c r="N10">
        <f>IFERROR(SMALL(M5:M11,ROW()-ROW($N$5)+1),"")</f>
        <v>0</v>
      </c>
      <c r="P10">
        <f>IFERROR(SUM(N5:N10),"")</f>
        <v>0</v>
      </c>
      <c r="Q10">
        <f>IF(INDIRECT(ADDRESS($D10+2,Q$2+1,,,"Instances"))="","",INDIRECT(ADDRESS($D10+2,Q$2+1,,,"Instances")))</f>
        <v>0</v>
      </c>
      <c r="R10">
        <f>IFERROR(SMALL(Q5:Q11,ROW()-ROW($R$5)+1),"")</f>
        <v>0</v>
      </c>
      <c r="T10">
        <f>IFERROR(SUM(R5:R10),"")</f>
        <v>0</v>
      </c>
      <c r="U10">
        <f>IF(INDIRECT(ADDRESS($D10+2,U$2+1,,,"Instances"))="","",INDIRECT(ADDRESS($D10+2,U$2+1,,,"Instances")))</f>
        <v>0</v>
      </c>
      <c r="V10">
        <f>IFERROR(SMALL(U5:U11,ROW()-ROW($V$5)+1),"")</f>
        <v>0</v>
      </c>
      <c r="X10">
        <f>IFERROR(SUM(V5:V10),"")</f>
        <v>0</v>
      </c>
      <c r="Y10">
        <f>IF(INDIRECT(ADDRESS($D10+2,Y$2+1,,,"Instances"))="","",INDIRECT(ADDRESS($D10+2,Y$2+1,,,"Instances")))</f>
        <v>0</v>
      </c>
      <c r="Z10">
        <f>IFERROR(SMALL(Y5:Y11,ROW()-ROW($Z$5)+1),"")</f>
        <v>0</v>
      </c>
      <c r="AB10">
        <f>IFERROR(SUM(Z5:Z10),"")</f>
        <v>0</v>
      </c>
      <c r="AC10">
        <f>IF(INDIRECT(ADDRESS($D10+2,AC$2+1,,,"Instances"))="","",INDIRECT(ADDRESS($D10+2,AC$2+1,,,"Instances")))</f>
        <v>0</v>
      </c>
      <c r="AD10">
        <f>IFERROR(SMALL(AC5:AC11,ROW()-ROW($AD$5)+1),"")</f>
        <v>0</v>
      </c>
      <c r="AF10">
        <f>IFERROR(SUM(AD5:AD10),"")</f>
        <v>0</v>
      </c>
      <c r="AG10">
        <f>IF(INDIRECT(ADDRESS($D10+2,AG$2+1,,,"Instances"))="","",INDIRECT(ADDRESS($D10+2,AG$2+1,,,"Instances")))</f>
        <v>0</v>
      </c>
      <c r="AH10">
        <f>IFERROR(SMALL(AG5:AG11,ROW()-ROW($AH$5)+1),"")</f>
        <v>0</v>
      </c>
      <c r="AJ10">
        <f>IFERROR(SUM(AH5:AH10),"")</f>
        <v>0</v>
      </c>
      <c r="AK10">
        <f>IF(INDIRECT(ADDRESS($D10+2,AK$2+1,,,"Instances"))="","",INDIRECT(ADDRESS($D10+2,AK$2+1,,,"Instances")))</f>
        <v>0</v>
      </c>
      <c r="AL10">
        <f>IFERROR(SMALL(AK5:AK11,ROW()-ROW($AL$5)+1),"")</f>
        <v>0</v>
      </c>
      <c r="AN10">
        <f>IFERROR(SUM(AL5:AL10),"")</f>
        <v>0</v>
      </c>
      <c r="AO10">
        <f>IF(INDIRECT(ADDRESS($D10+2,AO$2+1,,,"Instances"))="","",INDIRECT(ADDRESS($D10+2,AO$2+1,,,"Instances")))</f>
        <v>0</v>
      </c>
      <c r="AP10">
        <f>IFERROR(SMALL(AO5:AO11,ROW()-ROW($AP$5)+1),"")</f>
        <v>0</v>
      </c>
      <c r="AR10">
        <f>IFERROR(SUM(AP5:AP10),"")</f>
        <v>0</v>
      </c>
      <c r="AS10">
        <f>IF(INDIRECT(ADDRESS($D10+2,AS$2+1,,,"Instances"))="","",INDIRECT(ADDRESS($D10+2,AS$2+1,,,"Instances")))</f>
        <v>0</v>
      </c>
      <c r="AT10">
        <f>IFERROR(SMALL(AS5:AS11,ROW()-ROW($AT$5)+1),"")</f>
        <v>0</v>
      </c>
      <c r="AV10">
        <f>IFERROR(SUM(AT5:AT10),"")</f>
        <v>0</v>
      </c>
      <c r="AW10">
        <f>IF(INDIRECT(ADDRESS($D10+2,AW$2+1,,,"Instances"))="","",INDIRECT(ADDRESS($D10+2,AW$2+1,,,"Instances")))</f>
        <v>0</v>
      </c>
      <c r="AX10">
        <f>IFERROR(SMALL(AW5:AW11,ROW()-ROW($AX$5)+1),"")</f>
        <v>0</v>
      </c>
      <c r="AZ10">
        <f>IFERROR(SUM(AX5:AX10),"")</f>
        <v>0</v>
      </c>
      <c r="BA10">
        <f>IF(INDIRECT(ADDRESS($D10+2,BA$2+1,,,"Instances"))="","",INDIRECT(ADDRESS($D10+2,BA$2+1,,,"Instances")))</f>
        <v>0</v>
      </c>
      <c r="BB10">
        <f>IFERROR(SMALL(BA5:BA11,ROW()-ROW($BB$5)+1),"")</f>
        <v>0</v>
      </c>
      <c r="BD10">
        <f>IFERROR(SUM(BB5:BB10),"")</f>
        <v>0</v>
      </c>
      <c r="BE10">
        <f>IF(INDIRECT(ADDRESS($D10+2,BE$2+1,,,"Instances"))="","",INDIRECT(ADDRESS($D10+2,BE$2+1,,,"Instances")))</f>
        <v>0</v>
      </c>
      <c r="BF10">
        <f>IFERROR(SMALL(BE5:BE11,ROW()-ROW($BF$5)+1),"")</f>
        <v>0</v>
      </c>
      <c r="BH10">
        <f>IFERROR(SUM(BF5:BF10),"")</f>
        <v>0</v>
      </c>
      <c r="BI10">
        <f>IF(INDIRECT(ADDRESS($D10+2,BI$2+1,,,"Instances"))="","",INDIRECT(ADDRESS($D10+2,BI$2+1,,,"Instances")))</f>
        <v>0</v>
      </c>
      <c r="BJ10">
        <f>IFERROR(SMALL(BI5:BI11,ROW()-ROW($BJ$5)+1),"")</f>
        <v>0</v>
      </c>
      <c r="BL10">
        <f>IFERROR(SUM(BJ5:BJ10),"")</f>
        <v>0</v>
      </c>
      <c r="BM10">
        <f>IF(INDIRECT(ADDRESS($D10+2,BM$2+1,,,"Instances"))="","",INDIRECT(ADDRESS($D10+2,BM$2+1,,,"Instances")))</f>
        <v>0</v>
      </c>
      <c r="BN10">
        <f>IFERROR(SMALL(BM5:BM11,ROW()-ROW($BN$5)+1),"")</f>
        <v>0</v>
      </c>
      <c r="BP10">
        <f>IFERROR(SUM(BN5:BN10),"")</f>
        <v>0</v>
      </c>
      <c r="BR10">
        <v>6</v>
      </c>
      <c r="BS10" cm="1">
        <f t="array" ref="BS10">_xlfn.SWITCH(Charts!$B$3,"average", AVERAGE(INDIRECT(ADDRESS(5+3,BS$2+1,,,"Instances") &amp; ":" &amp; ADDRESS(5+3,BS$2+1))),"median", MEDIAN(INDIRECT(ADDRESS(5+3,BS$2+1,,,"Instances") &amp; ":" &amp; ADDRESS(5+3,BS$2+1))),"min", MIN(INDIRECT(ADDRESS(5+3,BS$2+1,,,"Instances") &amp; ":" &amp; ADDRESS(5+3,BS$2+1))),"max", MAX(INDIRECT(ADDRESS(5+3,BS$2+1,,,"Instances") &amp; ":" &amp; ADDRESS(5+3,BS$2+1))),"diff", MAX(INDIRECT(ADDRESS(5+3,BS$2+1,,,"Instances") &amp; ":" &amp; ADDRESS(5+3,BS$2+1)))-MIN(INDIRECT(ADDRESS(5+3,BS$2+1,,,"Instances") &amp; ":" &amp; ADDRESS(5+3,BS$2+1))))</f>
        <v>0</v>
      </c>
      <c r="BT10">
        <f>IFERROR(SMALL(BS5:BS11,ROW()-ROW($BT$5)+1),"")</f>
        <v>0</v>
      </c>
      <c r="BV10">
        <f>IFERROR(SUM(BT5:BT10),"")</f>
        <v>0</v>
      </c>
      <c r="BW10" cm="1">
        <f t="array" ref="BW10">_xlfn.SWITCH(Charts!$B$3,"average", AVERAGE(INDIRECT(ADDRESS(5+3,BW$2+1,,,"Instances") &amp; ":" &amp; ADDRESS(5+3,BW$2+1))),"median", MEDIAN(INDIRECT(ADDRESS(5+3,BW$2+1,,,"Instances") &amp; ":" &amp; ADDRESS(5+3,BW$2+1))),"min", MIN(INDIRECT(ADDRESS(5+3,BW$2+1,,,"Instances") &amp; ":" &amp; ADDRESS(5+3,BW$2+1))),"max", MAX(INDIRECT(ADDRESS(5+3,BW$2+1,,,"Instances") &amp; ":" &amp; ADDRESS(5+3,BW$2+1))),"diff", MAX(INDIRECT(ADDRESS(5+3,BW$2+1,,,"Instances") &amp; ":" &amp; ADDRESS(5+3,BW$2+1)))-MIN(INDIRECT(ADDRESS(5+3,BW$2+1,,,"Instances") &amp; ":" &amp; ADDRESS(5+3,BW$2+1))))</f>
        <v>0</v>
      </c>
      <c r="BX10">
        <f>IFERROR(SMALL(BW5:BW11,ROW()-ROW($BX$5)+1),"")</f>
        <v>0</v>
      </c>
      <c r="BZ10">
        <f>IFERROR(SUM(BX5:BX10),"")</f>
        <v>0</v>
      </c>
      <c r="CA10" cm="1">
        <f t="array" ref="CA10">_xlfn.SWITCH(Charts!$B$3,"average", AVERAGE(INDIRECT(ADDRESS(5+3,CA$2+1,,,"Instances") &amp; ":" &amp; ADDRESS(5+3,CA$2+1))),"median", MEDIAN(INDIRECT(ADDRESS(5+3,CA$2+1,,,"Instances") &amp; ":" &amp; ADDRESS(5+3,CA$2+1))),"min", MIN(INDIRECT(ADDRESS(5+3,CA$2+1,,,"Instances") &amp; ":" &amp; ADDRESS(5+3,CA$2+1))),"max", MAX(INDIRECT(ADDRESS(5+3,CA$2+1,,,"Instances") &amp; ":" &amp; ADDRESS(5+3,CA$2+1))),"diff", MAX(INDIRECT(ADDRESS(5+3,CA$2+1,,,"Instances") &amp; ":" &amp; ADDRESS(5+3,CA$2+1)))-MIN(INDIRECT(ADDRESS(5+3,CA$2+1,,,"Instances") &amp; ":" &amp; ADDRESS(5+3,CA$2+1))))</f>
        <v>0</v>
      </c>
      <c r="CB10">
        <f>IFERROR(SMALL(CA5:CA11,ROW()-ROW($CB$5)+1),"")</f>
        <v>0</v>
      </c>
      <c r="CD10">
        <f>IFERROR(SUM(CB5:CB10),"")</f>
        <v>0</v>
      </c>
      <c r="CE10" cm="1">
        <f t="array" ref="CE10">_xlfn.SWITCH(Charts!$B$3,"average", AVERAGE(INDIRECT(ADDRESS(5+3,CE$2+1,,,"Instances") &amp; ":" &amp; ADDRESS(5+3,CE$2+1))),"median", MEDIAN(INDIRECT(ADDRESS(5+3,CE$2+1,,,"Instances") &amp; ":" &amp; ADDRESS(5+3,CE$2+1))),"min", MIN(INDIRECT(ADDRESS(5+3,CE$2+1,,,"Instances") &amp; ":" &amp; ADDRESS(5+3,CE$2+1))),"max", MAX(INDIRECT(ADDRESS(5+3,CE$2+1,,,"Instances") &amp; ":" &amp; ADDRESS(5+3,CE$2+1))),"diff", MAX(INDIRECT(ADDRESS(5+3,CE$2+1,,,"Instances") &amp; ":" &amp; ADDRESS(5+3,CE$2+1)))-MIN(INDIRECT(ADDRESS(5+3,CE$2+1,,,"Instances") &amp; ":" &amp; ADDRESS(5+3,CE$2+1))))</f>
        <v>0</v>
      </c>
      <c r="CF10">
        <f>IFERROR(SMALL(CE5:CE11,ROW()-ROW($CF$5)+1),"")</f>
        <v>0</v>
      </c>
      <c r="CH10">
        <f>IFERROR(SUM(CF5:CF10),"")</f>
        <v>0</v>
      </c>
      <c r="CI10" cm="1">
        <f t="array" ref="CI10">_xlfn.SWITCH(Charts!$B$3,"average", AVERAGE(INDIRECT(ADDRESS(5+3,CI$2+1,,,"Instances") &amp; ":" &amp; ADDRESS(5+3,CI$2+1))),"median", MEDIAN(INDIRECT(ADDRESS(5+3,CI$2+1,,,"Instances") &amp; ":" &amp; ADDRESS(5+3,CI$2+1))),"min", MIN(INDIRECT(ADDRESS(5+3,CI$2+1,,,"Instances") &amp; ":" &amp; ADDRESS(5+3,CI$2+1))),"max", MAX(INDIRECT(ADDRESS(5+3,CI$2+1,,,"Instances") &amp; ":" &amp; ADDRESS(5+3,CI$2+1))),"diff", MAX(INDIRECT(ADDRESS(5+3,CI$2+1,,,"Instances") &amp; ":" &amp; ADDRESS(5+3,CI$2+1)))-MIN(INDIRECT(ADDRESS(5+3,CI$2+1,,,"Instances") &amp; ":" &amp; ADDRESS(5+3,CI$2+1))))</f>
        <v>0</v>
      </c>
      <c r="CJ10">
        <f>IFERROR(SMALL(CI5:CI11,ROW()-ROW($CJ$5)+1),"")</f>
        <v>0</v>
      </c>
      <c r="CL10">
        <f>IFERROR(SUM(CJ5:CJ10),"")</f>
        <v>0</v>
      </c>
      <c r="CM10" cm="1">
        <f t="array" ref="CM10">_xlfn.SWITCH(Charts!$B$3,"average", AVERAGE(INDIRECT(ADDRESS(5+3,CM$2+1,,,"Instances") &amp; ":" &amp; ADDRESS(5+3,CM$2+1))),"median", MEDIAN(INDIRECT(ADDRESS(5+3,CM$2+1,,,"Instances") &amp; ":" &amp; ADDRESS(5+3,CM$2+1))),"min", MIN(INDIRECT(ADDRESS(5+3,CM$2+1,,,"Instances") &amp; ":" &amp; ADDRESS(5+3,CM$2+1))),"max", MAX(INDIRECT(ADDRESS(5+3,CM$2+1,,,"Instances") &amp; ":" &amp; ADDRESS(5+3,CM$2+1))),"diff", MAX(INDIRECT(ADDRESS(5+3,CM$2+1,,,"Instances") &amp; ":" &amp; ADDRESS(5+3,CM$2+1)))-MIN(INDIRECT(ADDRESS(5+3,CM$2+1,,,"Instances") &amp; ":" &amp; ADDRESS(5+3,CM$2+1))))</f>
        <v>0</v>
      </c>
      <c r="CN10">
        <f>IFERROR(SMALL(CM5:CM11,ROW()-ROW($CN$5)+1),"")</f>
        <v>0</v>
      </c>
      <c r="CP10">
        <f>IFERROR(SUM(CN5:CN10),"")</f>
        <v>0</v>
      </c>
      <c r="CQ10" cm="1">
        <f t="array" ref="CQ10">_xlfn.SWITCH(Charts!$B$3,"average", AVERAGE(INDIRECT(ADDRESS(5+3,CQ$2+1,,,"Instances") &amp; ":" &amp; ADDRESS(5+3,CQ$2+1))),"median", MEDIAN(INDIRECT(ADDRESS(5+3,CQ$2+1,,,"Instances") &amp; ":" &amp; ADDRESS(5+3,CQ$2+1))),"min", MIN(INDIRECT(ADDRESS(5+3,CQ$2+1,,,"Instances") &amp; ":" &amp; ADDRESS(5+3,CQ$2+1))),"max", MAX(INDIRECT(ADDRESS(5+3,CQ$2+1,,,"Instances") &amp; ":" &amp; ADDRESS(5+3,CQ$2+1))),"diff", MAX(INDIRECT(ADDRESS(5+3,CQ$2+1,,,"Instances") &amp; ":" &amp; ADDRESS(5+3,CQ$2+1)))-MIN(INDIRECT(ADDRESS(5+3,CQ$2+1,,,"Instances") &amp; ":" &amp; ADDRESS(5+3,CQ$2+1))))</f>
        <v>0</v>
      </c>
      <c r="CR10">
        <f>IFERROR(SMALL(CQ5:CQ11,ROW()-ROW($CR$5)+1),"")</f>
        <v>0</v>
      </c>
      <c r="CT10">
        <f>IFERROR(SUM(CR5:CR10),"")</f>
        <v>0</v>
      </c>
      <c r="CU10" cm="1">
        <f t="array" ref="CU10">_xlfn.SWITCH(Charts!$B$3,"average", AVERAGE(INDIRECT(ADDRESS(5+3,CU$2+1,,,"Instances") &amp; ":" &amp; ADDRESS(5+3,CU$2+1))),"median", MEDIAN(INDIRECT(ADDRESS(5+3,CU$2+1,,,"Instances") &amp; ":" &amp; ADDRESS(5+3,CU$2+1))),"min", MIN(INDIRECT(ADDRESS(5+3,CU$2+1,,,"Instances") &amp; ":" &amp; ADDRESS(5+3,CU$2+1))),"max", MAX(INDIRECT(ADDRESS(5+3,CU$2+1,,,"Instances") &amp; ":" &amp; ADDRESS(5+3,CU$2+1))),"diff", MAX(INDIRECT(ADDRESS(5+3,CU$2+1,,,"Instances") &amp; ":" &amp; ADDRESS(5+3,CU$2+1)))-MIN(INDIRECT(ADDRESS(5+3,CU$2+1,,,"Instances") &amp; ":" &amp; ADDRESS(5+3,CU$2+1))))</f>
        <v>0</v>
      </c>
      <c r="CV10">
        <f>IFERROR(SMALL(CU5:CU11,ROW()-ROW($CV$5)+1),"")</f>
        <v>0</v>
      </c>
      <c r="CX10">
        <f>IFERROR(SUM(CV5:CV10),"")</f>
        <v>0</v>
      </c>
      <c r="CY10" cm="1">
        <f t="array" ref="CY10">_xlfn.SWITCH(Charts!$B$3,"average", AVERAGE(INDIRECT(ADDRESS(5+3,CY$2+1,,,"Instances") &amp; ":" &amp; ADDRESS(5+3,CY$2+1))),"median", MEDIAN(INDIRECT(ADDRESS(5+3,CY$2+1,,,"Instances") &amp; ":" &amp; ADDRESS(5+3,CY$2+1))),"min", MIN(INDIRECT(ADDRESS(5+3,CY$2+1,,,"Instances") &amp; ":" &amp; ADDRESS(5+3,CY$2+1))),"max", MAX(INDIRECT(ADDRESS(5+3,CY$2+1,,,"Instances") &amp; ":" &amp; ADDRESS(5+3,CY$2+1))),"diff", MAX(INDIRECT(ADDRESS(5+3,CY$2+1,,,"Instances") &amp; ":" &amp; ADDRESS(5+3,CY$2+1)))-MIN(INDIRECT(ADDRESS(5+3,CY$2+1,,,"Instances") &amp; ":" &amp; ADDRESS(5+3,CY$2+1))))</f>
        <v>0</v>
      </c>
      <c r="CZ10">
        <f>IFERROR(SMALL(CY5:CY11,ROW()-ROW($CZ$5)+1),"")</f>
        <v>0</v>
      </c>
      <c r="DB10">
        <f>IFERROR(SUM(CZ5:CZ10),"")</f>
        <v>0</v>
      </c>
      <c r="DC10" cm="1">
        <f t="array" ref="DC10">_xlfn.SWITCH(Charts!$B$3,"average", AVERAGE(INDIRECT(ADDRESS(5+3,DC$2+1,,,"Instances") &amp; ":" &amp; ADDRESS(5+3,DC$2+1))),"median", MEDIAN(INDIRECT(ADDRESS(5+3,DC$2+1,,,"Instances") &amp; ":" &amp; ADDRESS(5+3,DC$2+1))),"min", MIN(INDIRECT(ADDRESS(5+3,DC$2+1,,,"Instances") &amp; ":" &amp; ADDRESS(5+3,DC$2+1))),"max", MAX(INDIRECT(ADDRESS(5+3,DC$2+1,,,"Instances") &amp; ":" &amp; ADDRESS(5+3,DC$2+1))),"diff", MAX(INDIRECT(ADDRESS(5+3,DC$2+1,,,"Instances") &amp; ":" &amp; ADDRESS(5+3,DC$2+1)))-MIN(INDIRECT(ADDRESS(5+3,DC$2+1,,,"Instances") &amp; ":" &amp; ADDRESS(5+3,DC$2+1))))</f>
        <v>0</v>
      </c>
      <c r="DD10">
        <f>IFERROR(SMALL(DC5:DC11,ROW()-ROW($DD$5)+1),"")</f>
        <v>0</v>
      </c>
      <c r="DF10">
        <f>IFERROR(SUM(DD5:DD10),"")</f>
        <v>0</v>
      </c>
      <c r="DG10" cm="1">
        <f t="array" ref="DG10">_xlfn.SWITCH(Charts!$B$3,"average", AVERAGE(INDIRECT(ADDRESS(5+3,DG$2+1,,,"Instances") &amp; ":" &amp; ADDRESS(5+3,DG$2+1))),"median", MEDIAN(INDIRECT(ADDRESS(5+3,DG$2+1,,,"Instances") &amp; ":" &amp; ADDRESS(5+3,DG$2+1))),"min", MIN(INDIRECT(ADDRESS(5+3,DG$2+1,,,"Instances") &amp; ":" &amp; ADDRESS(5+3,DG$2+1))),"max", MAX(INDIRECT(ADDRESS(5+3,DG$2+1,,,"Instances") &amp; ":" &amp; ADDRESS(5+3,DG$2+1))),"diff", MAX(INDIRECT(ADDRESS(5+3,DG$2+1,,,"Instances") &amp; ":" &amp; ADDRESS(5+3,DG$2+1)))-MIN(INDIRECT(ADDRESS(5+3,DG$2+1,,,"Instances") &amp; ":" &amp; ADDRESS(5+3,DG$2+1))))</f>
        <v>0</v>
      </c>
      <c r="DH10">
        <f>IFERROR(SMALL(DG5:DG11,ROW()-ROW($DH$5)+1),"")</f>
        <v>0</v>
      </c>
      <c r="DJ10">
        <f>IFERROR(SUM(DH5:DH10),"")</f>
        <v>0</v>
      </c>
      <c r="DK10" cm="1">
        <f t="array" ref="DK10">_xlfn.SWITCH(Charts!$B$3,"average", AVERAGE(INDIRECT(ADDRESS(5+3,DK$2+1,,,"Instances") &amp; ":" &amp; ADDRESS(5+3,DK$2+1))),"median", MEDIAN(INDIRECT(ADDRESS(5+3,DK$2+1,,,"Instances") &amp; ":" &amp; ADDRESS(5+3,DK$2+1))),"min", MIN(INDIRECT(ADDRESS(5+3,DK$2+1,,,"Instances") &amp; ":" &amp; ADDRESS(5+3,DK$2+1))),"max", MAX(INDIRECT(ADDRESS(5+3,DK$2+1,,,"Instances") &amp; ":" &amp; ADDRESS(5+3,DK$2+1))),"diff", MAX(INDIRECT(ADDRESS(5+3,DK$2+1,,,"Instances") &amp; ":" &amp; ADDRESS(5+3,DK$2+1)))-MIN(INDIRECT(ADDRESS(5+3,DK$2+1,,,"Instances") &amp; ":" &amp; ADDRESS(5+3,DK$2+1))))</f>
        <v>0</v>
      </c>
      <c r="DL10">
        <f>IFERROR(SMALL(DK5:DK11,ROW()-ROW($DL$5)+1),"")</f>
        <v>0</v>
      </c>
      <c r="DN10">
        <f>IFERROR(SUM(DL5:DL10),"")</f>
        <v>0</v>
      </c>
      <c r="DO10" cm="1">
        <f t="array" ref="DO10">_xlfn.SWITCH(Charts!$B$3,"average", AVERAGE(INDIRECT(ADDRESS(5+3,DO$2+1,,,"Instances") &amp; ":" &amp; ADDRESS(5+3,DO$2+1))),"median", MEDIAN(INDIRECT(ADDRESS(5+3,DO$2+1,,,"Instances") &amp; ":" &amp; ADDRESS(5+3,DO$2+1))),"min", MIN(INDIRECT(ADDRESS(5+3,DO$2+1,,,"Instances") &amp; ":" &amp; ADDRESS(5+3,DO$2+1))),"max", MAX(INDIRECT(ADDRESS(5+3,DO$2+1,,,"Instances") &amp; ":" &amp; ADDRESS(5+3,DO$2+1))),"diff", MAX(INDIRECT(ADDRESS(5+3,DO$2+1,,,"Instances") &amp; ":" &amp; ADDRESS(5+3,DO$2+1)))-MIN(INDIRECT(ADDRESS(5+3,DO$2+1,,,"Instances") &amp; ":" &amp; ADDRESS(5+3,DO$2+1))))</f>
        <v>0</v>
      </c>
      <c r="DP10">
        <f>IFERROR(SMALL(DO5:DO11,ROW()-ROW($DP$5)+1),"")</f>
        <v>0</v>
      </c>
      <c r="DR10">
        <f>IFERROR(SUM(DP5:DP10),"")</f>
        <v>0</v>
      </c>
      <c r="DS10" cm="1">
        <f t="array" ref="DS10">_xlfn.SWITCH(Charts!$B$3,"average", AVERAGE(INDIRECT(ADDRESS(5+3,DS$2+1,,,"Instances") &amp; ":" &amp; ADDRESS(5+3,DS$2+1))),"median", MEDIAN(INDIRECT(ADDRESS(5+3,DS$2+1,,,"Instances") &amp; ":" &amp; ADDRESS(5+3,DS$2+1))),"min", MIN(INDIRECT(ADDRESS(5+3,DS$2+1,,,"Instances") &amp; ":" &amp; ADDRESS(5+3,DS$2+1))),"max", MAX(INDIRECT(ADDRESS(5+3,DS$2+1,,,"Instances") &amp; ":" &amp; ADDRESS(5+3,DS$2+1))),"diff", MAX(INDIRECT(ADDRESS(5+3,DS$2+1,,,"Instances") &amp; ":" &amp; ADDRESS(5+3,DS$2+1)))-MIN(INDIRECT(ADDRESS(5+3,DS$2+1,,,"Instances") &amp; ":" &amp; ADDRESS(5+3,DS$2+1))))</f>
        <v>0</v>
      </c>
      <c r="DT10">
        <f>IFERROR(SMALL(DS5:DS11,ROW()-ROW($DT$5)+1),"")</f>
        <v>0</v>
      </c>
      <c r="DV10">
        <f>IFERROR(SUM(DT5:DT10),"")</f>
        <v>0</v>
      </c>
      <c r="DW10" cm="1">
        <f t="array" ref="DW10">_xlfn.SWITCH(Charts!$B$3,"average", AVERAGE(INDIRECT(ADDRESS(5+3,DW$2+1,,,"Instances") &amp; ":" &amp; ADDRESS(5+3,DW$2+1))),"median", MEDIAN(INDIRECT(ADDRESS(5+3,DW$2+1,,,"Instances") &amp; ":" &amp; ADDRESS(5+3,DW$2+1))),"min", MIN(INDIRECT(ADDRESS(5+3,DW$2+1,,,"Instances") &amp; ":" &amp; ADDRESS(5+3,DW$2+1))),"max", MAX(INDIRECT(ADDRESS(5+3,DW$2+1,,,"Instances") &amp; ":" &amp; ADDRESS(5+3,DW$2+1))),"diff", MAX(INDIRECT(ADDRESS(5+3,DW$2+1,,,"Instances") &amp; ":" &amp; ADDRESS(5+3,DW$2+1)))-MIN(INDIRECT(ADDRESS(5+3,DW$2+1,,,"Instances") &amp; ":" &amp; ADDRESS(5+3,DW$2+1))))</f>
        <v>0</v>
      </c>
      <c r="DX10">
        <f>IFERROR(SMALL(DW5:DW11,ROW()-ROW($DX$5)+1),"")</f>
        <v>0</v>
      </c>
      <c r="DZ10">
        <f>IFERROR(SUM(DX5:DX10),"")</f>
        <v>0</v>
      </c>
      <c r="EA10" cm="1">
        <f t="array" ref="EA10">_xlfn.SWITCH(Charts!$B$3,"average", AVERAGE(INDIRECT(ADDRESS(5+3,EA$2+1,,,"Instances") &amp; ":" &amp; ADDRESS(5+3,EA$2+1))),"median", MEDIAN(INDIRECT(ADDRESS(5+3,EA$2+1,,,"Instances") &amp; ":" &amp; ADDRESS(5+3,EA$2+1))),"min", MIN(INDIRECT(ADDRESS(5+3,EA$2+1,,,"Instances") &amp; ":" &amp; ADDRESS(5+3,EA$2+1))),"max", MAX(INDIRECT(ADDRESS(5+3,EA$2+1,,,"Instances") &amp; ":" &amp; ADDRESS(5+3,EA$2+1))),"diff", MAX(INDIRECT(ADDRESS(5+3,EA$2+1,,,"Instances") &amp; ":" &amp; ADDRESS(5+3,EA$2+1)))-MIN(INDIRECT(ADDRESS(5+3,EA$2+1,,,"Instances") &amp; ":" &amp; ADDRESS(5+3,EA$2+1))))</f>
        <v>0</v>
      </c>
      <c r="EB10">
        <f>IFERROR(SMALL(EA5:EA11,ROW()-ROW($EB$5)+1),"")</f>
        <v>0</v>
      </c>
      <c r="ED10">
        <f>IFERROR(SUM(EB5:EB10),"")</f>
        <v>0</v>
      </c>
      <c r="EG10">
        <f>IF(Charts!$B$3="none",E52,IF(BS52="",NA(),BS52))</f>
        <v>0</v>
      </c>
      <c r="EH10">
        <f>IF(Charts!$B$3="none",F52,IF(BT52="",NA(),BT52))</f>
        <v>0</v>
      </c>
      <c r="EI10">
        <f>IF(Charts!$B$3="none",G52,IF(BU52="",NA(),BU52))</f>
        <v>0</v>
      </c>
      <c r="EJ10">
        <f>IF(Charts!$B$3="none",H52,IF(BV52="",NA(),BV52))</f>
        <v>0</v>
      </c>
      <c r="EK10">
        <f>IF(Charts!$B$3="none",I52,IF(BW52="",NA(),BW52))</f>
        <v>0</v>
      </c>
      <c r="EL10">
        <f>IF(Charts!$B$3="none",J52,IF(BX52="",NA(),BX52))</f>
        <v>0</v>
      </c>
      <c r="EM10">
        <f>IF(Charts!$B$3="none",K52,IF(BY52="",NA(),BY52))</f>
        <v>0</v>
      </c>
      <c r="EN10">
        <f>IF(Charts!$B$3="none",L52,IF(BZ52="",NA(),BZ52))</f>
        <v>0</v>
      </c>
      <c r="EO10">
        <f>IF(Charts!$B$3="none",M52,IF(CA52="",NA(),CA52))</f>
        <v>0</v>
      </c>
      <c r="EP10">
        <f>IF(Charts!$B$3="none",N52,IF(CB52="",NA(),CB52))</f>
        <v>0</v>
      </c>
      <c r="EQ10">
        <f>IF(Charts!$B$3="none",O52,IF(CC52="",NA(),CC52))</f>
        <v>0</v>
      </c>
      <c r="ER10">
        <f>IF(Charts!$B$3="none",P52,IF(CD52="",NA(),CD52))</f>
        <v>0</v>
      </c>
      <c r="ES10">
        <f>IF(Charts!$B$3="none",Q52,IF(CE52="",NA(),CE52))</f>
        <v>0</v>
      </c>
      <c r="ET10">
        <f>IF(Charts!$B$3="none",R52,IF(CF52="",NA(),CF52))</f>
        <v>0</v>
      </c>
      <c r="EU10">
        <f>IF(Charts!$B$3="none",S52,IF(CG52="",NA(),CG52))</f>
        <v>0</v>
      </c>
      <c r="EV10">
        <f>IF(Charts!$B$3="none",T52,IF(CH52="",NA(),CH52))</f>
        <v>0</v>
      </c>
      <c r="EW10">
        <f>IF(Charts!$B$3="none",U52,IF(CI52="",NA(),CI52))</f>
        <v>0</v>
      </c>
      <c r="EX10">
        <f>IF(Charts!$B$3="none",V52,IF(CJ52="",NA(),CJ52))</f>
        <v>0</v>
      </c>
      <c r="EY10">
        <f>IF(Charts!$B$3="none",W52,IF(CK52="",NA(),CK52))</f>
        <v>0</v>
      </c>
      <c r="EZ10">
        <f>IF(Charts!$B$3="none",X52,IF(CL52="",NA(),CL52))</f>
        <v>0</v>
      </c>
      <c r="FA10">
        <f>IF(Charts!$B$3="none",Y52,IF(CM52="",NA(),CM52))</f>
        <v>0</v>
      </c>
      <c r="FB10">
        <f>IF(Charts!$B$3="none",Z52,IF(CN52="",NA(),CN52))</f>
        <v>0</v>
      </c>
      <c r="FC10">
        <f>IF(Charts!$B$3="none",AA52,IF(CO52="",NA(),CO52))</f>
        <v>0</v>
      </c>
      <c r="FD10">
        <f>IF(Charts!$B$3="none",AB52,IF(CP52="",NA(),CP52))</f>
        <v>0</v>
      </c>
      <c r="FE10">
        <f>IF(Charts!$B$3="none",AC52,IF(CQ52="",NA(),CQ52))</f>
        <v>0</v>
      </c>
      <c r="FF10">
        <f>IF(Charts!$B$3="none",AD52,IF(CR52="",NA(),CR52))</f>
        <v>0</v>
      </c>
      <c r="FG10">
        <f>IF(Charts!$B$3="none",AE52,IF(CS52="",NA(),CS52))</f>
        <v>0</v>
      </c>
      <c r="FH10">
        <f>IF(Charts!$B$3="none",AF52,IF(CT52="",NA(),CT52))</f>
        <v>0</v>
      </c>
      <c r="FI10">
        <f>IF(Charts!$B$3="none",AG52,IF(CU52="",NA(),CU52))</f>
        <v>0</v>
      </c>
      <c r="FJ10">
        <f>IF(Charts!$B$3="none",AH52,IF(CV52="",NA(),CV52))</f>
        <v>0</v>
      </c>
      <c r="FK10">
        <f>IF(Charts!$B$3="none",AI52,IF(CW52="",NA(),CW52))</f>
        <v>0</v>
      </c>
      <c r="FL10">
        <f>IF(Charts!$B$3="none",AJ52,IF(CX52="",NA(),CX52))</f>
        <v>0</v>
      </c>
      <c r="FM10">
        <f>IF(Charts!$B$3="none",AK52,IF(CY52="",NA(),CY52))</f>
        <v>0</v>
      </c>
      <c r="FN10">
        <f>IF(Charts!$B$3="none",AL52,IF(CZ52="",NA(),CZ52))</f>
        <v>0</v>
      </c>
      <c r="FO10">
        <f>IF(Charts!$B$3="none",AM52,IF(DA52="",NA(),DA52))</f>
        <v>0</v>
      </c>
      <c r="FP10">
        <f>IF(Charts!$B$3="none",AN52,IF(DB52="",NA(),DB52))</f>
        <v>0</v>
      </c>
      <c r="FQ10">
        <f>IF(Charts!$B$3="none",AO52,IF(DC52="",NA(),DC52))</f>
        <v>0</v>
      </c>
      <c r="FR10">
        <f>IF(Charts!$B$3="none",AP52,IF(DD52="",NA(),DD52))</f>
        <v>0</v>
      </c>
      <c r="FS10">
        <f>IF(Charts!$B$3="none",AQ52,IF(DE52="",NA(),DE52))</f>
        <v>0</v>
      </c>
      <c r="FT10">
        <f>IF(Charts!$B$3="none",AR52,IF(DF52="",NA(),DF52))</f>
        <v>0</v>
      </c>
      <c r="FU10">
        <f>IF(Charts!$B$3="none",AS52,IF(DG52="",NA(),DG52))</f>
        <v>0</v>
      </c>
      <c r="FV10">
        <f>IF(Charts!$B$3="none",AT52,IF(DH52="",NA(),DH52))</f>
        <v>0</v>
      </c>
      <c r="FW10">
        <f>IF(Charts!$B$3="none",AU52,IF(DI52="",NA(),DI52))</f>
        <v>0</v>
      </c>
      <c r="FX10">
        <f>IF(Charts!$B$3="none",AV52,IF(DJ52="",NA(),DJ52))</f>
        <v>0</v>
      </c>
      <c r="FY10">
        <f>IF(Charts!$B$3="none",AW52,IF(DK52="",NA(),DK52))</f>
        <v>0</v>
      </c>
      <c r="FZ10">
        <f>IF(Charts!$B$3="none",AX52,IF(DL52="",NA(),DL52))</f>
        <v>0</v>
      </c>
      <c r="GA10">
        <f>IF(Charts!$B$3="none",AY52,IF(DM52="",NA(),DM52))</f>
        <v>0</v>
      </c>
      <c r="GB10">
        <f>IF(Charts!$B$3="none",AZ52,IF(DN52="",NA(),DN52))</f>
        <v>0</v>
      </c>
      <c r="GC10">
        <f>IF(Charts!$B$3="none",BA52,IF(DO52="",NA(),DO52))</f>
        <v>0</v>
      </c>
      <c r="GD10">
        <f>IF(Charts!$B$3="none",BB52,IF(DP52="",NA(),DP52))</f>
        <v>0</v>
      </c>
      <c r="GE10">
        <f>IF(Charts!$B$3="none",BC52,IF(DQ52="",NA(),DQ52))</f>
        <v>0</v>
      </c>
      <c r="GF10">
        <f>IF(Charts!$B$3="none",BD52,IF(DR52="",NA(),DR52))</f>
        <v>0</v>
      </c>
      <c r="GG10">
        <f>IF(Charts!$B$3="none",BE52,IF(DS52="",NA(),DS52))</f>
        <v>0</v>
      </c>
      <c r="GH10">
        <f>IF(Charts!$B$3="none",BF52,IF(DT52="",NA(),DT52))</f>
        <v>0</v>
      </c>
      <c r="GI10">
        <f>IF(Charts!$B$3="none",BG52,IF(DU52="",NA(),DU52))</f>
        <v>0</v>
      </c>
      <c r="GJ10">
        <f>IF(Charts!$B$3="none",BH52,IF(DV52="",NA(),DV52))</f>
        <v>0</v>
      </c>
      <c r="GK10">
        <f>IF(Charts!$B$3="none",BI52,IF(DW52="",NA(),DW52))</f>
        <v>0</v>
      </c>
      <c r="GL10">
        <f>IF(Charts!$B$3="none",BJ52,IF(DX52="",NA(),DX52))</f>
        <v>0</v>
      </c>
      <c r="GM10">
        <f>IF(Charts!$B$3="none",BK52,IF(DY52="",NA(),DY52))</f>
        <v>0</v>
      </c>
      <c r="GN10">
        <f>IF(Charts!$B$3="none",BL52,IF(DZ52="",NA(),DZ52))</f>
        <v>0</v>
      </c>
      <c r="GO10">
        <f>IF(Charts!$B$3="none",BM52,IF(EA52="",NA(),EA52))</f>
        <v>0</v>
      </c>
      <c r="GP10">
        <f>IF(Charts!$B$3="none",BN52,IF(EB52="",NA(),EB52))</f>
        <v>0</v>
      </c>
      <c r="GQ10">
        <f>IF(Charts!$B$3="none",BO52,IF(EC52="",NA(),EC52))</f>
        <v>0</v>
      </c>
      <c r="GR10">
        <f>IF(Charts!$B$3="none",BP52,IF(ED52="",NA(),ED52))</f>
        <v>0</v>
      </c>
    </row>
    <row r="11" spans="1:200">
      <c r="A11" t="s">
        <v>25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IFERROR(SMALL(E5:E11,ROW()-ROW($F$5)+1),"")</f>
        <v>0</v>
      </c>
      <c r="H11">
        <f>IFERROR(SUM(F5:F11),"")</f>
        <v>0</v>
      </c>
      <c r="I11">
        <f>IF(INDIRECT(ADDRESS($D11+2,I$2+1,,,"Instances"))="","",INDIRECT(ADDRESS($D11+2,I$2+1,,,"Instances")))</f>
        <v>0</v>
      </c>
      <c r="J11">
        <f>IFERROR(SMALL(I5:I11,ROW()-ROW($J$5)+1),"")</f>
        <v>0</v>
      </c>
      <c r="L11">
        <f>IFERROR(SUM(J5:J11),"")</f>
        <v>0</v>
      </c>
      <c r="M11">
        <f>IF(INDIRECT(ADDRESS($D11+2,M$2+1,,,"Instances"))="","",INDIRECT(ADDRESS($D11+2,M$2+1,,,"Instances")))</f>
        <v>0</v>
      </c>
      <c r="N11">
        <f>IFERROR(SMALL(M5:M11,ROW()-ROW($N$5)+1),"")</f>
        <v>0</v>
      </c>
      <c r="P11">
        <f>IFERROR(SUM(N5:N11),"")</f>
        <v>0</v>
      </c>
      <c r="Q11">
        <f>IF(INDIRECT(ADDRESS($D11+2,Q$2+1,,,"Instances"))="","",INDIRECT(ADDRESS($D11+2,Q$2+1,,,"Instances")))</f>
        <v>0</v>
      </c>
      <c r="R11">
        <f>IFERROR(SMALL(Q5:Q11,ROW()-ROW($R$5)+1),"")</f>
        <v>0</v>
      </c>
      <c r="T11">
        <f>IFERROR(SUM(R5:R11),"")</f>
        <v>0</v>
      </c>
      <c r="U11">
        <f>IF(INDIRECT(ADDRESS($D11+2,U$2+1,,,"Instances"))="","",INDIRECT(ADDRESS($D11+2,U$2+1,,,"Instances")))</f>
        <v>0</v>
      </c>
      <c r="V11">
        <f>IFERROR(SMALL(U5:U11,ROW()-ROW($V$5)+1),"")</f>
        <v>0</v>
      </c>
      <c r="X11">
        <f>IFERROR(SUM(V5:V11),"")</f>
        <v>0</v>
      </c>
      <c r="Y11">
        <f>IF(INDIRECT(ADDRESS($D11+2,Y$2+1,,,"Instances"))="","",INDIRECT(ADDRESS($D11+2,Y$2+1,,,"Instances")))</f>
        <v>0</v>
      </c>
      <c r="Z11">
        <f>IFERROR(SMALL(Y5:Y11,ROW()-ROW($Z$5)+1),"")</f>
        <v>0</v>
      </c>
      <c r="AB11">
        <f>IFERROR(SUM(Z5:Z11),"")</f>
        <v>0</v>
      </c>
      <c r="AC11">
        <f>IF(INDIRECT(ADDRESS($D11+2,AC$2+1,,,"Instances"))="","",INDIRECT(ADDRESS($D11+2,AC$2+1,,,"Instances")))</f>
        <v>0</v>
      </c>
      <c r="AD11">
        <f>IFERROR(SMALL(AC5:AC11,ROW()-ROW($AD$5)+1),"")</f>
        <v>0</v>
      </c>
      <c r="AF11">
        <f>IFERROR(SUM(AD5:AD11),"")</f>
        <v>0</v>
      </c>
      <c r="AG11">
        <f>IF(INDIRECT(ADDRESS($D11+2,AG$2+1,,,"Instances"))="","",INDIRECT(ADDRESS($D11+2,AG$2+1,,,"Instances")))</f>
        <v>0</v>
      </c>
      <c r="AH11">
        <f>IFERROR(SMALL(AG5:AG11,ROW()-ROW($AH$5)+1),"")</f>
        <v>0</v>
      </c>
      <c r="AJ11">
        <f>IFERROR(SUM(AH5:AH11),"")</f>
        <v>0</v>
      </c>
      <c r="AK11">
        <f>IF(INDIRECT(ADDRESS($D11+2,AK$2+1,,,"Instances"))="","",INDIRECT(ADDRESS($D11+2,AK$2+1,,,"Instances")))</f>
        <v>0</v>
      </c>
      <c r="AL11">
        <f>IFERROR(SMALL(AK5:AK11,ROW()-ROW($AL$5)+1),"")</f>
        <v>0</v>
      </c>
      <c r="AN11">
        <f>IFERROR(SUM(AL5:AL11),"")</f>
        <v>0</v>
      </c>
      <c r="AO11">
        <f>IF(INDIRECT(ADDRESS($D11+2,AO$2+1,,,"Instances"))="","",INDIRECT(ADDRESS($D11+2,AO$2+1,,,"Instances")))</f>
        <v>0</v>
      </c>
      <c r="AP11">
        <f>IFERROR(SMALL(AO5:AO11,ROW()-ROW($AP$5)+1),"")</f>
        <v>0</v>
      </c>
      <c r="AR11">
        <f>IFERROR(SUM(AP5:AP11),"")</f>
        <v>0</v>
      </c>
      <c r="AS11">
        <f>IF(INDIRECT(ADDRESS($D11+2,AS$2+1,,,"Instances"))="","",INDIRECT(ADDRESS($D11+2,AS$2+1,,,"Instances")))</f>
        <v>0</v>
      </c>
      <c r="AT11">
        <f>IFERROR(SMALL(AS5:AS11,ROW()-ROW($AT$5)+1),"")</f>
        <v>0</v>
      </c>
      <c r="AV11">
        <f>IFERROR(SUM(AT5:AT11),"")</f>
        <v>0</v>
      </c>
      <c r="AW11">
        <f>IF(INDIRECT(ADDRESS($D11+2,AW$2+1,,,"Instances"))="","",INDIRECT(ADDRESS($D11+2,AW$2+1,,,"Instances")))</f>
        <v>0</v>
      </c>
      <c r="AX11">
        <f>IFERROR(SMALL(AW5:AW11,ROW()-ROW($AX$5)+1),"")</f>
        <v>0</v>
      </c>
      <c r="AZ11">
        <f>IFERROR(SUM(AX5:AX11),"")</f>
        <v>0</v>
      </c>
      <c r="BA11">
        <f>IF(INDIRECT(ADDRESS($D11+2,BA$2+1,,,"Instances"))="","",INDIRECT(ADDRESS($D11+2,BA$2+1,,,"Instances")))</f>
        <v>0</v>
      </c>
      <c r="BB11">
        <f>IFERROR(SMALL(BA5:BA11,ROW()-ROW($BB$5)+1),"")</f>
        <v>0</v>
      </c>
      <c r="BD11">
        <f>IFERROR(SUM(BB5:BB11),"")</f>
        <v>0</v>
      </c>
      <c r="BE11">
        <f>IF(INDIRECT(ADDRESS($D11+2,BE$2+1,,,"Instances"))="","",INDIRECT(ADDRESS($D11+2,BE$2+1,,,"Instances")))</f>
        <v>0</v>
      </c>
      <c r="BF11">
        <f>IFERROR(SMALL(BE5:BE11,ROW()-ROW($BF$5)+1),"")</f>
        <v>0</v>
      </c>
      <c r="BH11">
        <f>IFERROR(SUM(BF5:BF11),"")</f>
        <v>0</v>
      </c>
      <c r="BI11">
        <f>IF(INDIRECT(ADDRESS($D11+2,BI$2+1,,,"Instances"))="","",INDIRECT(ADDRESS($D11+2,BI$2+1,,,"Instances")))</f>
        <v>0</v>
      </c>
      <c r="BJ11">
        <f>IFERROR(SMALL(BI5:BI11,ROW()-ROW($BJ$5)+1),"")</f>
        <v>0</v>
      </c>
      <c r="BL11">
        <f>IFERROR(SUM(BJ5:BJ11),"")</f>
        <v>0</v>
      </c>
      <c r="BM11">
        <f>IF(INDIRECT(ADDRESS($D11+2,BM$2+1,,,"Instances"))="","",INDIRECT(ADDRESS($D11+2,BM$2+1,,,"Instances")))</f>
        <v>0</v>
      </c>
      <c r="BN11">
        <f>IFERROR(SMALL(BM5:BM11,ROW()-ROW($BN$5)+1),"")</f>
        <v>0</v>
      </c>
      <c r="BP11">
        <f>IFERROR(SUM(BN5:BN11),"")</f>
        <v>0</v>
      </c>
      <c r="BR11">
        <v>7</v>
      </c>
      <c r="BS11" cm="1">
        <f t="array" ref="BS11">_xlfn.SWITCH(Charts!$B$3,"average", AVERAGE(INDIRECT(ADDRESS(6+3,BS$2+1,,,"Instances") &amp; ":" &amp; ADDRESS(6+3,BS$2+1))),"median", MEDIAN(INDIRECT(ADDRESS(6+3,BS$2+1,,,"Instances") &amp; ":" &amp; ADDRESS(6+3,BS$2+1))),"min", MIN(INDIRECT(ADDRESS(6+3,BS$2+1,,,"Instances") &amp; ":" &amp; ADDRESS(6+3,BS$2+1))),"max", MAX(INDIRECT(ADDRESS(6+3,BS$2+1,,,"Instances") &amp; ":" &amp; ADDRESS(6+3,BS$2+1))),"diff", MAX(INDIRECT(ADDRESS(6+3,BS$2+1,,,"Instances") &amp; ":" &amp; ADDRESS(6+3,BS$2+1)))-MIN(INDIRECT(ADDRESS(6+3,BS$2+1,,,"Instances") &amp; ":" &amp; ADDRESS(6+3,BS$2+1))))</f>
        <v>0</v>
      </c>
      <c r="BT11">
        <f>IFERROR(SMALL(BS5:BS11,ROW()-ROW($BT$5)+1),"")</f>
        <v>0</v>
      </c>
      <c r="BV11">
        <f>IFERROR(SUM(BT5:BT11),"")</f>
        <v>0</v>
      </c>
      <c r="BW11" cm="1">
        <f t="array" ref="BW11">_xlfn.SWITCH(Charts!$B$3,"average", AVERAGE(INDIRECT(ADDRESS(6+3,BW$2+1,,,"Instances") &amp; ":" &amp; ADDRESS(6+3,BW$2+1))),"median", MEDIAN(INDIRECT(ADDRESS(6+3,BW$2+1,,,"Instances") &amp; ":" &amp; ADDRESS(6+3,BW$2+1))),"min", MIN(INDIRECT(ADDRESS(6+3,BW$2+1,,,"Instances") &amp; ":" &amp; ADDRESS(6+3,BW$2+1))),"max", MAX(INDIRECT(ADDRESS(6+3,BW$2+1,,,"Instances") &amp; ":" &amp; ADDRESS(6+3,BW$2+1))),"diff", MAX(INDIRECT(ADDRESS(6+3,BW$2+1,,,"Instances") &amp; ":" &amp; ADDRESS(6+3,BW$2+1)))-MIN(INDIRECT(ADDRESS(6+3,BW$2+1,,,"Instances") &amp; ":" &amp; ADDRESS(6+3,BW$2+1))))</f>
        <v>0</v>
      </c>
      <c r="BX11">
        <f>IFERROR(SMALL(BW5:BW11,ROW()-ROW($BX$5)+1),"")</f>
        <v>0</v>
      </c>
      <c r="BZ11">
        <f>IFERROR(SUM(BX5:BX11),"")</f>
        <v>0</v>
      </c>
      <c r="CA11" cm="1">
        <f t="array" ref="CA11">_xlfn.SWITCH(Charts!$B$3,"average", AVERAGE(INDIRECT(ADDRESS(6+3,CA$2+1,,,"Instances") &amp; ":" &amp; ADDRESS(6+3,CA$2+1))),"median", MEDIAN(INDIRECT(ADDRESS(6+3,CA$2+1,,,"Instances") &amp; ":" &amp; ADDRESS(6+3,CA$2+1))),"min", MIN(INDIRECT(ADDRESS(6+3,CA$2+1,,,"Instances") &amp; ":" &amp; ADDRESS(6+3,CA$2+1))),"max", MAX(INDIRECT(ADDRESS(6+3,CA$2+1,,,"Instances") &amp; ":" &amp; ADDRESS(6+3,CA$2+1))),"diff", MAX(INDIRECT(ADDRESS(6+3,CA$2+1,,,"Instances") &amp; ":" &amp; ADDRESS(6+3,CA$2+1)))-MIN(INDIRECT(ADDRESS(6+3,CA$2+1,,,"Instances") &amp; ":" &amp; ADDRESS(6+3,CA$2+1))))</f>
        <v>0</v>
      </c>
      <c r="CB11">
        <f>IFERROR(SMALL(CA5:CA11,ROW()-ROW($CB$5)+1),"")</f>
        <v>0</v>
      </c>
      <c r="CD11">
        <f>IFERROR(SUM(CB5:CB11),"")</f>
        <v>0</v>
      </c>
      <c r="CE11" cm="1">
        <f t="array" ref="CE11">_xlfn.SWITCH(Charts!$B$3,"average", AVERAGE(INDIRECT(ADDRESS(6+3,CE$2+1,,,"Instances") &amp; ":" &amp; ADDRESS(6+3,CE$2+1))),"median", MEDIAN(INDIRECT(ADDRESS(6+3,CE$2+1,,,"Instances") &amp; ":" &amp; ADDRESS(6+3,CE$2+1))),"min", MIN(INDIRECT(ADDRESS(6+3,CE$2+1,,,"Instances") &amp; ":" &amp; ADDRESS(6+3,CE$2+1))),"max", MAX(INDIRECT(ADDRESS(6+3,CE$2+1,,,"Instances") &amp; ":" &amp; ADDRESS(6+3,CE$2+1))),"diff", MAX(INDIRECT(ADDRESS(6+3,CE$2+1,,,"Instances") &amp; ":" &amp; ADDRESS(6+3,CE$2+1)))-MIN(INDIRECT(ADDRESS(6+3,CE$2+1,,,"Instances") &amp; ":" &amp; ADDRESS(6+3,CE$2+1))))</f>
        <v>0</v>
      </c>
      <c r="CF11">
        <f>IFERROR(SMALL(CE5:CE11,ROW()-ROW($CF$5)+1),"")</f>
        <v>0</v>
      </c>
      <c r="CH11">
        <f>IFERROR(SUM(CF5:CF11),"")</f>
        <v>0</v>
      </c>
      <c r="CI11" cm="1">
        <f t="array" ref="CI11">_xlfn.SWITCH(Charts!$B$3,"average", AVERAGE(INDIRECT(ADDRESS(6+3,CI$2+1,,,"Instances") &amp; ":" &amp; ADDRESS(6+3,CI$2+1))),"median", MEDIAN(INDIRECT(ADDRESS(6+3,CI$2+1,,,"Instances") &amp; ":" &amp; ADDRESS(6+3,CI$2+1))),"min", MIN(INDIRECT(ADDRESS(6+3,CI$2+1,,,"Instances") &amp; ":" &amp; ADDRESS(6+3,CI$2+1))),"max", MAX(INDIRECT(ADDRESS(6+3,CI$2+1,,,"Instances") &amp; ":" &amp; ADDRESS(6+3,CI$2+1))),"diff", MAX(INDIRECT(ADDRESS(6+3,CI$2+1,,,"Instances") &amp; ":" &amp; ADDRESS(6+3,CI$2+1)))-MIN(INDIRECT(ADDRESS(6+3,CI$2+1,,,"Instances") &amp; ":" &amp; ADDRESS(6+3,CI$2+1))))</f>
        <v>0</v>
      </c>
      <c r="CJ11">
        <f>IFERROR(SMALL(CI5:CI11,ROW()-ROW($CJ$5)+1),"")</f>
        <v>0</v>
      </c>
      <c r="CL11">
        <f>IFERROR(SUM(CJ5:CJ11),"")</f>
        <v>0</v>
      </c>
      <c r="CM11" cm="1">
        <f t="array" ref="CM11">_xlfn.SWITCH(Charts!$B$3,"average", AVERAGE(INDIRECT(ADDRESS(6+3,CM$2+1,,,"Instances") &amp; ":" &amp; ADDRESS(6+3,CM$2+1))),"median", MEDIAN(INDIRECT(ADDRESS(6+3,CM$2+1,,,"Instances") &amp; ":" &amp; ADDRESS(6+3,CM$2+1))),"min", MIN(INDIRECT(ADDRESS(6+3,CM$2+1,,,"Instances") &amp; ":" &amp; ADDRESS(6+3,CM$2+1))),"max", MAX(INDIRECT(ADDRESS(6+3,CM$2+1,,,"Instances") &amp; ":" &amp; ADDRESS(6+3,CM$2+1))),"diff", MAX(INDIRECT(ADDRESS(6+3,CM$2+1,,,"Instances") &amp; ":" &amp; ADDRESS(6+3,CM$2+1)))-MIN(INDIRECT(ADDRESS(6+3,CM$2+1,,,"Instances") &amp; ":" &amp; ADDRESS(6+3,CM$2+1))))</f>
        <v>0</v>
      </c>
      <c r="CN11">
        <f>IFERROR(SMALL(CM5:CM11,ROW()-ROW($CN$5)+1),"")</f>
        <v>0</v>
      </c>
      <c r="CP11">
        <f>IFERROR(SUM(CN5:CN11),"")</f>
        <v>0</v>
      </c>
      <c r="CQ11" cm="1">
        <f t="array" ref="CQ11">_xlfn.SWITCH(Charts!$B$3,"average", AVERAGE(INDIRECT(ADDRESS(6+3,CQ$2+1,,,"Instances") &amp; ":" &amp; ADDRESS(6+3,CQ$2+1))),"median", MEDIAN(INDIRECT(ADDRESS(6+3,CQ$2+1,,,"Instances") &amp; ":" &amp; ADDRESS(6+3,CQ$2+1))),"min", MIN(INDIRECT(ADDRESS(6+3,CQ$2+1,,,"Instances") &amp; ":" &amp; ADDRESS(6+3,CQ$2+1))),"max", MAX(INDIRECT(ADDRESS(6+3,CQ$2+1,,,"Instances") &amp; ":" &amp; ADDRESS(6+3,CQ$2+1))),"diff", MAX(INDIRECT(ADDRESS(6+3,CQ$2+1,,,"Instances") &amp; ":" &amp; ADDRESS(6+3,CQ$2+1)))-MIN(INDIRECT(ADDRESS(6+3,CQ$2+1,,,"Instances") &amp; ":" &amp; ADDRESS(6+3,CQ$2+1))))</f>
        <v>0</v>
      </c>
      <c r="CR11">
        <f>IFERROR(SMALL(CQ5:CQ11,ROW()-ROW($CR$5)+1),"")</f>
        <v>0</v>
      </c>
      <c r="CT11">
        <f>IFERROR(SUM(CR5:CR11),"")</f>
        <v>0</v>
      </c>
      <c r="CU11" cm="1">
        <f t="array" ref="CU11">_xlfn.SWITCH(Charts!$B$3,"average", AVERAGE(INDIRECT(ADDRESS(6+3,CU$2+1,,,"Instances") &amp; ":" &amp; ADDRESS(6+3,CU$2+1))),"median", MEDIAN(INDIRECT(ADDRESS(6+3,CU$2+1,,,"Instances") &amp; ":" &amp; ADDRESS(6+3,CU$2+1))),"min", MIN(INDIRECT(ADDRESS(6+3,CU$2+1,,,"Instances") &amp; ":" &amp; ADDRESS(6+3,CU$2+1))),"max", MAX(INDIRECT(ADDRESS(6+3,CU$2+1,,,"Instances") &amp; ":" &amp; ADDRESS(6+3,CU$2+1))),"diff", MAX(INDIRECT(ADDRESS(6+3,CU$2+1,,,"Instances") &amp; ":" &amp; ADDRESS(6+3,CU$2+1)))-MIN(INDIRECT(ADDRESS(6+3,CU$2+1,,,"Instances") &amp; ":" &amp; ADDRESS(6+3,CU$2+1))))</f>
        <v>0</v>
      </c>
      <c r="CV11">
        <f>IFERROR(SMALL(CU5:CU11,ROW()-ROW($CV$5)+1),"")</f>
        <v>0</v>
      </c>
      <c r="CX11">
        <f>IFERROR(SUM(CV5:CV11),"")</f>
        <v>0</v>
      </c>
      <c r="CY11" cm="1">
        <f t="array" ref="CY11">_xlfn.SWITCH(Charts!$B$3,"average", AVERAGE(INDIRECT(ADDRESS(6+3,CY$2+1,,,"Instances") &amp; ":" &amp; ADDRESS(6+3,CY$2+1))),"median", MEDIAN(INDIRECT(ADDRESS(6+3,CY$2+1,,,"Instances") &amp; ":" &amp; ADDRESS(6+3,CY$2+1))),"min", MIN(INDIRECT(ADDRESS(6+3,CY$2+1,,,"Instances") &amp; ":" &amp; ADDRESS(6+3,CY$2+1))),"max", MAX(INDIRECT(ADDRESS(6+3,CY$2+1,,,"Instances") &amp; ":" &amp; ADDRESS(6+3,CY$2+1))),"diff", MAX(INDIRECT(ADDRESS(6+3,CY$2+1,,,"Instances") &amp; ":" &amp; ADDRESS(6+3,CY$2+1)))-MIN(INDIRECT(ADDRESS(6+3,CY$2+1,,,"Instances") &amp; ":" &amp; ADDRESS(6+3,CY$2+1))))</f>
        <v>0</v>
      </c>
      <c r="CZ11">
        <f>IFERROR(SMALL(CY5:CY11,ROW()-ROW($CZ$5)+1),"")</f>
        <v>0</v>
      </c>
      <c r="DB11">
        <f>IFERROR(SUM(CZ5:CZ11),"")</f>
        <v>0</v>
      </c>
      <c r="DC11" cm="1">
        <f t="array" ref="DC11">_xlfn.SWITCH(Charts!$B$3,"average", AVERAGE(INDIRECT(ADDRESS(6+3,DC$2+1,,,"Instances") &amp; ":" &amp; ADDRESS(6+3,DC$2+1))),"median", MEDIAN(INDIRECT(ADDRESS(6+3,DC$2+1,,,"Instances") &amp; ":" &amp; ADDRESS(6+3,DC$2+1))),"min", MIN(INDIRECT(ADDRESS(6+3,DC$2+1,,,"Instances") &amp; ":" &amp; ADDRESS(6+3,DC$2+1))),"max", MAX(INDIRECT(ADDRESS(6+3,DC$2+1,,,"Instances") &amp; ":" &amp; ADDRESS(6+3,DC$2+1))),"diff", MAX(INDIRECT(ADDRESS(6+3,DC$2+1,,,"Instances") &amp; ":" &amp; ADDRESS(6+3,DC$2+1)))-MIN(INDIRECT(ADDRESS(6+3,DC$2+1,,,"Instances") &amp; ":" &amp; ADDRESS(6+3,DC$2+1))))</f>
        <v>0</v>
      </c>
      <c r="DD11">
        <f>IFERROR(SMALL(DC5:DC11,ROW()-ROW($DD$5)+1),"")</f>
        <v>0</v>
      </c>
      <c r="DF11">
        <f>IFERROR(SUM(DD5:DD11),"")</f>
        <v>0</v>
      </c>
      <c r="DG11" cm="1">
        <f t="array" ref="DG11">_xlfn.SWITCH(Charts!$B$3,"average", AVERAGE(INDIRECT(ADDRESS(6+3,DG$2+1,,,"Instances") &amp; ":" &amp; ADDRESS(6+3,DG$2+1))),"median", MEDIAN(INDIRECT(ADDRESS(6+3,DG$2+1,,,"Instances") &amp; ":" &amp; ADDRESS(6+3,DG$2+1))),"min", MIN(INDIRECT(ADDRESS(6+3,DG$2+1,,,"Instances") &amp; ":" &amp; ADDRESS(6+3,DG$2+1))),"max", MAX(INDIRECT(ADDRESS(6+3,DG$2+1,,,"Instances") &amp; ":" &amp; ADDRESS(6+3,DG$2+1))),"diff", MAX(INDIRECT(ADDRESS(6+3,DG$2+1,,,"Instances") &amp; ":" &amp; ADDRESS(6+3,DG$2+1)))-MIN(INDIRECT(ADDRESS(6+3,DG$2+1,,,"Instances") &amp; ":" &amp; ADDRESS(6+3,DG$2+1))))</f>
        <v>0</v>
      </c>
      <c r="DH11">
        <f>IFERROR(SMALL(DG5:DG11,ROW()-ROW($DH$5)+1),"")</f>
        <v>0</v>
      </c>
      <c r="DJ11">
        <f>IFERROR(SUM(DH5:DH11),"")</f>
        <v>0</v>
      </c>
      <c r="DK11" cm="1">
        <f t="array" ref="DK11">_xlfn.SWITCH(Charts!$B$3,"average", AVERAGE(INDIRECT(ADDRESS(6+3,DK$2+1,,,"Instances") &amp; ":" &amp; ADDRESS(6+3,DK$2+1))),"median", MEDIAN(INDIRECT(ADDRESS(6+3,DK$2+1,,,"Instances") &amp; ":" &amp; ADDRESS(6+3,DK$2+1))),"min", MIN(INDIRECT(ADDRESS(6+3,DK$2+1,,,"Instances") &amp; ":" &amp; ADDRESS(6+3,DK$2+1))),"max", MAX(INDIRECT(ADDRESS(6+3,DK$2+1,,,"Instances") &amp; ":" &amp; ADDRESS(6+3,DK$2+1))),"diff", MAX(INDIRECT(ADDRESS(6+3,DK$2+1,,,"Instances") &amp; ":" &amp; ADDRESS(6+3,DK$2+1)))-MIN(INDIRECT(ADDRESS(6+3,DK$2+1,,,"Instances") &amp; ":" &amp; ADDRESS(6+3,DK$2+1))))</f>
        <v>0</v>
      </c>
      <c r="DL11">
        <f>IFERROR(SMALL(DK5:DK11,ROW()-ROW($DL$5)+1),"")</f>
        <v>0</v>
      </c>
      <c r="DN11">
        <f>IFERROR(SUM(DL5:DL11),"")</f>
        <v>0</v>
      </c>
      <c r="DO11" cm="1">
        <f t="array" ref="DO11">_xlfn.SWITCH(Charts!$B$3,"average", AVERAGE(INDIRECT(ADDRESS(6+3,DO$2+1,,,"Instances") &amp; ":" &amp; ADDRESS(6+3,DO$2+1))),"median", MEDIAN(INDIRECT(ADDRESS(6+3,DO$2+1,,,"Instances") &amp; ":" &amp; ADDRESS(6+3,DO$2+1))),"min", MIN(INDIRECT(ADDRESS(6+3,DO$2+1,,,"Instances") &amp; ":" &amp; ADDRESS(6+3,DO$2+1))),"max", MAX(INDIRECT(ADDRESS(6+3,DO$2+1,,,"Instances") &amp; ":" &amp; ADDRESS(6+3,DO$2+1))),"diff", MAX(INDIRECT(ADDRESS(6+3,DO$2+1,,,"Instances") &amp; ":" &amp; ADDRESS(6+3,DO$2+1)))-MIN(INDIRECT(ADDRESS(6+3,DO$2+1,,,"Instances") &amp; ":" &amp; ADDRESS(6+3,DO$2+1))))</f>
        <v>0</v>
      </c>
      <c r="DP11">
        <f>IFERROR(SMALL(DO5:DO11,ROW()-ROW($DP$5)+1),"")</f>
        <v>0</v>
      </c>
      <c r="DR11">
        <f>IFERROR(SUM(DP5:DP11),"")</f>
        <v>0</v>
      </c>
      <c r="DS11" cm="1">
        <f t="array" ref="DS11">_xlfn.SWITCH(Charts!$B$3,"average", AVERAGE(INDIRECT(ADDRESS(6+3,DS$2+1,,,"Instances") &amp; ":" &amp; ADDRESS(6+3,DS$2+1))),"median", MEDIAN(INDIRECT(ADDRESS(6+3,DS$2+1,,,"Instances") &amp; ":" &amp; ADDRESS(6+3,DS$2+1))),"min", MIN(INDIRECT(ADDRESS(6+3,DS$2+1,,,"Instances") &amp; ":" &amp; ADDRESS(6+3,DS$2+1))),"max", MAX(INDIRECT(ADDRESS(6+3,DS$2+1,,,"Instances") &amp; ":" &amp; ADDRESS(6+3,DS$2+1))),"diff", MAX(INDIRECT(ADDRESS(6+3,DS$2+1,,,"Instances") &amp; ":" &amp; ADDRESS(6+3,DS$2+1)))-MIN(INDIRECT(ADDRESS(6+3,DS$2+1,,,"Instances") &amp; ":" &amp; ADDRESS(6+3,DS$2+1))))</f>
        <v>0</v>
      </c>
      <c r="DT11">
        <f>IFERROR(SMALL(DS5:DS11,ROW()-ROW($DT$5)+1),"")</f>
        <v>0</v>
      </c>
      <c r="DV11">
        <f>IFERROR(SUM(DT5:DT11),"")</f>
        <v>0</v>
      </c>
      <c r="DW11" cm="1">
        <f t="array" ref="DW11">_xlfn.SWITCH(Charts!$B$3,"average", AVERAGE(INDIRECT(ADDRESS(6+3,DW$2+1,,,"Instances") &amp; ":" &amp; ADDRESS(6+3,DW$2+1))),"median", MEDIAN(INDIRECT(ADDRESS(6+3,DW$2+1,,,"Instances") &amp; ":" &amp; ADDRESS(6+3,DW$2+1))),"min", MIN(INDIRECT(ADDRESS(6+3,DW$2+1,,,"Instances") &amp; ":" &amp; ADDRESS(6+3,DW$2+1))),"max", MAX(INDIRECT(ADDRESS(6+3,DW$2+1,,,"Instances") &amp; ":" &amp; ADDRESS(6+3,DW$2+1))),"diff", MAX(INDIRECT(ADDRESS(6+3,DW$2+1,,,"Instances") &amp; ":" &amp; ADDRESS(6+3,DW$2+1)))-MIN(INDIRECT(ADDRESS(6+3,DW$2+1,,,"Instances") &amp; ":" &amp; ADDRESS(6+3,DW$2+1))))</f>
        <v>0</v>
      </c>
      <c r="DX11">
        <f>IFERROR(SMALL(DW5:DW11,ROW()-ROW($DX$5)+1),"")</f>
        <v>0</v>
      </c>
      <c r="DZ11">
        <f>IFERROR(SUM(DX5:DX11),"")</f>
        <v>0</v>
      </c>
      <c r="EA11" cm="1">
        <f t="array" ref="EA11">_xlfn.SWITCH(Charts!$B$3,"average", AVERAGE(INDIRECT(ADDRESS(6+3,EA$2+1,,,"Instances") &amp; ":" &amp; ADDRESS(6+3,EA$2+1))),"median", MEDIAN(INDIRECT(ADDRESS(6+3,EA$2+1,,,"Instances") &amp; ":" &amp; ADDRESS(6+3,EA$2+1))),"min", MIN(INDIRECT(ADDRESS(6+3,EA$2+1,,,"Instances") &amp; ":" &amp; ADDRESS(6+3,EA$2+1))),"max", MAX(INDIRECT(ADDRESS(6+3,EA$2+1,,,"Instances") &amp; ":" &amp; ADDRESS(6+3,EA$2+1))),"diff", MAX(INDIRECT(ADDRESS(6+3,EA$2+1,,,"Instances") &amp; ":" &amp; ADDRESS(6+3,EA$2+1)))-MIN(INDIRECT(ADDRESS(6+3,EA$2+1,,,"Instances") &amp; ":" &amp; ADDRESS(6+3,EA$2+1))))</f>
        <v>0</v>
      </c>
      <c r="EB11">
        <f>IFERROR(SMALL(EA5:EA11,ROW()-ROW($EB$5)+1),"")</f>
        <v>0</v>
      </c>
      <c r="ED11">
        <f>IFERROR(SUM(EB5:EB11),"")</f>
        <v>0</v>
      </c>
      <c r="EG11">
        <f>IF(Charts!$B$3="none",E53,IF(BS53="",NA(),BS53))</f>
        <v>0</v>
      </c>
      <c r="EH11">
        <f>IF(Charts!$B$3="none",F53,IF(BT53="",NA(),BT53))</f>
        <v>0</v>
      </c>
      <c r="EI11">
        <f>IF(Charts!$B$3="none",G53,IF(BU53="",NA(),BU53))</f>
        <v>0</v>
      </c>
      <c r="EJ11">
        <f>IF(Charts!$B$3="none",H53,IF(BV53="",NA(),BV53))</f>
        <v>0</v>
      </c>
      <c r="EK11">
        <f>IF(Charts!$B$3="none",I53,IF(BW53="",NA(),BW53))</f>
        <v>0</v>
      </c>
      <c r="EL11">
        <f>IF(Charts!$B$3="none",J53,IF(BX53="",NA(),BX53))</f>
        <v>0</v>
      </c>
      <c r="EM11">
        <f>IF(Charts!$B$3="none",K53,IF(BY53="",NA(),BY53))</f>
        <v>0</v>
      </c>
      <c r="EN11">
        <f>IF(Charts!$B$3="none",L53,IF(BZ53="",NA(),BZ53))</f>
        <v>0</v>
      </c>
      <c r="EO11">
        <f>IF(Charts!$B$3="none",M53,IF(CA53="",NA(),CA53))</f>
        <v>0</v>
      </c>
      <c r="EP11">
        <f>IF(Charts!$B$3="none",N53,IF(CB53="",NA(),CB53))</f>
        <v>0</v>
      </c>
      <c r="EQ11">
        <f>IF(Charts!$B$3="none",O53,IF(CC53="",NA(),CC53))</f>
        <v>0</v>
      </c>
      <c r="ER11">
        <f>IF(Charts!$B$3="none",P53,IF(CD53="",NA(),CD53))</f>
        <v>0</v>
      </c>
      <c r="ES11">
        <f>IF(Charts!$B$3="none",Q53,IF(CE53="",NA(),CE53))</f>
        <v>0</v>
      </c>
      <c r="ET11">
        <f>IF(Charts!$B$3="none",R53,IF(CF53="",NA(),CF53))</f>
        <v>0</v>
      </c>
      <c r="EU11">
        <f>IF(Charts!$B$3="none",S53,IF(CG53="",NA(),CG53))</f>
        <v>0</v>
      </c>
      <c r="EV11">
        <f>IF(Charts!$B$3="none",T53,IF(CH53="",NA(),CH53))</f>
        <v>0</v>
      </c>
      <c r="EW11">
        <f>IF(Charts!$B$3="none",U53,IF(CI53="",NA(),CI53))</f>
        <v>0</v>
      </c>
      <c r="EX11">
        <f>IF(Charts!$B$3="none",V53,IF(CJ53="",NA(),CJ53))</f>
        <v>0</v>
      </c>
      <c r="EY11">
        <f>IF(Charts!$B$3="none",W53,IF(CK53="",NA(),CK53))</f>
        <v>0</v>
      </c>
      <c r="EZ11">
        <f>IF(Charts!$B$3="none",X53,IF(CL53="",NA(),CL53))</f>
        <v>0</v>
      </c>
      <c r="FA11">
        <f>IF(Charts!$B$3="none",Y53,IF(CM53="",NA(),CM53))</f>
        <v>0</v>
      </c>
      <c r="FB11">
        <f>IF(Charts!$B$3="none",Z53,IF(CN53="",NA(),CN53))</f>
        <v>0</v>
      </c>
      <c r="FC11">
        <f>IF(Charts!$B$3="none",AA53,IF(CO53="",NA(),CO53))</f>
        <v>0</v>
      </c>
      <c r="FD11">
        <f>IF(Charts!$B$3="none",AB53,IF(CP53="",NA(),CP53))</f>
        <v>0</v>
      </c>
      <c r="FE11">
        <f>IF(Charts!$B$3="none",AC53,IF(CQ53="",NA(),CQ53))</f>
        <v>0</v>
      </c>
      <c r="FF11">
        <f>IF(Charts!$B$3="none",AD53,IF(CR53="",NA(),CR53))</f>
        <v>0</v>
      </c>
      <c r="FG11">
        <f>IF(Charts!$B$3="none",AE53,IF(CS53="",NA(),CS53))</f>
        <v>0</v>
      </c>
      <c r="FH11">
        <f>IF(Charts!$B$3="none",AF53,IF(CT53="",NA(),CT53))</f>
        <v>0</v>
      </c>
      <c r="FI11">
        <f>IF(Charts!$B$3="none",AG53,IF(CU53="",NA(),CU53))</f>
        <v>0</v>
      </c>
      <c r="FJ11">
        <f>IF(Charts!$B$3="none",AH53,IF(CV53="",NA(),CV53))</f>
        <v>0</v>
      </c>
      <c r="FK11">
        <f>IF(Charts!$B$3="none",AI53,IF(CW53="",NA(),CW53))</f>
        <v>0</v>
      </c>
      <c r="FL11">
        <f>IF(Charts!$B$3="none",AJ53,IF(CX53="",NA(),CX53))</f>
        <v>0</v>
      </c>
      <c r="FM11">
        <f>IF(Charts!$B$3="none",AK53,IF(CY53="",NA(),CY53))</f>
        <v>0</v>
      </c>
      <c r="FN11">
        <f>IF(Charts!$B$3="none",AL53,IF(CZ53="",NA(),CZ53))</f>
        <v>0</v>
      </c>
      <c r="FO11">
        <f>IF(Charts!$B$3="none",AM53,IF(DA53="",NA(),DA53))</f>
        <v>0</v>
      </c>
      <c r="FP11">
        <f>IF(Charts!$B$3="none",AN53,IF(DB53="",NA(),DB53))</f>
        <v>0</v>
      </c>
      <c r="FQ11">
        <f>IF(Charts!$B$3="none",AO53,IF(DC53="",NA(),DC53))</f>
        <v>0</v>
      </c>
      <c r="FR11">
        <f>IF(Charts!$B$3="none",AP53,IF(DD53="",NA(),DD53))</f>
        <v>0</v>
      </c>
      <c r="FS11">
        <f>IF(Charts!$B$3="none",AQ53,IF(DE53="",NA(),DE53))</f>
        <v>0</v>
      </c>
      <c r="FT11">
        <f>IF(Charts!$B$3="none",AR53,IF(DF53="",NA(),DF53))</f>
        <v>0</v>
      </c>
      <c r="FU11">
        <f>IF(Charts!$B$3="none",AS53,IF(DG53="",NA(),DG53))</f>
        <v>0</v>
      </c>
      <c r="FV11">
        <f>IF(Charts!$B$3="none",AT53,IF(DH53="",NA(),DH53))</f>
        <v>0</v>
      </c>
      <c r="FW11">
        <f>IF(Charts!$B$3="none",AU53,IF(DI53="",NA(),DI53))</f>
        <v>0</v>
      </c>
      <c r="FX11">
        <f>IF(Charts!$B$3="none",AV53,IF(DJ53="",NA(),DJ53))</f>
        <v>0</v>
      </c>
      <c r="FY11">
        <f>IF(Charts!$B$3="none",AW53,IF(DK53="",NA(),DK53))</f>
        <v>0</v>
      </c>
      <c r="FZ11">
        <f>IF(Charts!$B$3="none",AX53,IF(DL53="",NA(),DL53))</f>
        <v>0</v>
      </c>
      <c r="GA11">
        <f>IF(Charts!$B$3="none",AY53,IF(DM53="",NA(),DM53))</f>
        <v>0</v>
      </c>
      <c r="GB11">
        <f>IF(Charts!$B$3="none",AZ53,IF(DN53="",NA(),DN53))</f>
        <v>0</v>
      </c>
      <c r="GC11">
        <f>IF(Charts!$B$3="none",BA53,IF(DO53="",NA(),DO53))</f>
        <v>0</v>
      </c>
      <c r="GD11">
        <f>IF(Charts!$B$3="none",BB53,IF(DP53="",NA(),DP53))</f>
        <v>0</v>
      </c>
      <c r="GE11">
        <f>IF(Charts!$B$3="none",BC53,IF(DQ53="",NA(),DQ53))</f>
        <v>0</v>
      </c>
      <c r="GF11">
        <f>IF(Charts!$B$3="none",BD53,IF(DR53="",NA(),DR53))</f>
        <v>0</v>
      </c>
      <c r="GG11">
        <f>IF(Charts!$B$3="none",BE53,IF(DS53="",NA(),DS53))</f>
        <v>0</v>
      </c>
      <c r="GH11">
        <f>IF(Charts!$B$3="none",BF53,IF(DT53="",NA(),DT53))</f>
        <v>0</v>
      </c>
      <c r="GI11">
        <f>IF(Charts!$B$3="none",BG53,IF(DU53="",NA(),DU53))</f>
        <v>0</v>
      </c>
      <c r="GJ11">
        <f>IF(Charts!$B$3="none",BH53,IF(DV53="",NA(),DV53))</f>
        <v>0</v>
      </c>
      <c r="GK11">
        <f>IF(Charts!$B$3="none",BI53,IF(DW53="",NA(),DW53))</f>
        <v>0</v>
      </c>
      <c r="GL11">
        <f>IF(Charts!$B$3="none",BJ53,IF(DX53="",NA(),DX53))</f>
        <v>0</v>
      </c>
      <c r="GM11">
        <f>IF(Charts!$B$3="none",BK53,IF(DY53="",NA(),DY53))</f>
        <v>0</v>
      </c>
      <c r="GN11">
        <f>IF(Charts!$B$3="none",BL53,IF(DZ53="",NA(),DZ53))</f>
        <v>0</v>
      </c>
      <c r="GO11">
        <f>IF(Charts!$B$3="none",BM53,IF(EA53="",NA(),EA53))</f>
        <v>0</v>
      </c>
      <c r="GP11">
        <f>IF(Charts!$B$3="none",BN53,IF(EB53="",NA(),EB53))</f>
        <v>0</v>
      </c>
      <c r="GQ11">
        <f>IF(Charts!$B$3="none",BO53,IF(EC53="",NA(),EC53))</f>
        <v>0</v>
      </c>
      <c r="GR11">
        <f>IF(Charts!$B$3="none",BP53,IF(ED53="",NA(),ED53))</f>
        <v>0</v>
      </c>
    </row>
    <row r="12" spans="1:200">
      <c r="A12" t="s">
        <v>26</v>
      </c>
      <c r="B12">
        <v>11</v>
      </c>
      <c r="EG12">
        <f>IF(Charts!$B$3="none",E54,IF(BS54="",NA(),BS54))</f>
        <v>0</v>
      </c>
      <c r="EH12">
        <f>IF(Charts!$B$3="none",F54,IF(BT54="",NA(),BT54))</f>
        <v>0</v>
      </c>
      <c r="EI12">
        <f>IF(Charts!$B$3="none",G54,IF(BU54="",NA(),BU54))</f>
        <v>0</v>
      </c>
      <c r="EJ12">
        <f>IF(Charts!$B$3="none",H54,IF(BV54="",NA(),BV54))</f>
        <v>0</v>
      </c>
      <c r="EK12">
        <f>IF(Charts!$B$3="none",I54,IF(BW54="",NA(),BW54))</f>
        <v>0</v>
      </c>
      <c r="EL12">
        <f>IF(Charts!$B$3="none",J54,IF(BX54="",NA(),BX54))</f>
        <v>0</v>
      </c>
      <c r="EM12">
        <f>IF(Charts!$B$3="none",K54,IF(BY54="",NA(),BY54))</f>
        <v>0</v>
      </c>
      <c r="EN12">
        <f>IF(Charts!$B$3="none",L54,IF(BZ54="",NA(),BZ54))</f>
        <v>0</v>
      </c>
      <c r="EO12">
        <f>IF(Charts!$B$3="none",M54,IF(CA54="",NA(),CA54))</f>
        <v>0</v>
      </c>
      <c r="EP12">
        <f>IF(Charts!$B$3="none",N54,IF(CB54="",NA(),CB54))</f>
        <v>0</v>
      </c>
      <c r="EQ12">
        <f>IF(Charts!$B$3="none",O54,IF(CC54="",NA(),CC54))</f>
        <v>0</v>
      </c>
      <c r="ER12">
        <f>IF(Charts!$B$3="none",P54,IF(CD54="",NA(),CD54))</f>
        <v>0</v>
      </c>
      <c r="ES12">
        <f>IF(Charts!$B$3="none",Q54,IF(CE54="",NA(),CE54))</f>
        <v>0</v>
      </c>
      <c r="ET12">
        <f>IF(Charts!$B$3="none",R54,IF(CF54="",NA(),CF54))</f>
        <v>0</v>
      </c>
      <c r="EU12">
        <f>IF(Charts!$B$3="none",S54,IF(CG54="",NA(),CG54))</f>
        <v>0</v>
      </c>
      <c r="EV12">
        <f>IF(Charts!$B$3="none",T54,IF(CH54="",NA(),CH54))</f>
        <v>0</v>
      </c>
      <c r="EW12">
        <f>IF(Charts!$B$3="none",U54,IF(CI54="",NA(),CI54))</f>
        <v>0</v>
      </c>
      <c r="EX12">
        <f>IF(Charts!$B$3="none",V54,IF(CJ54="",NA(),CJ54))</f>
        <v>0</v>
      </c>
      <c r="EY12">
        <f>IF(Charts!$B$3="none",W54,IF(CK54="",NA(),CK54))</f>
        <v>0</v>
      </c>
      <c r="EZ12">
        <f>IF(Charts!$B$3="none",X54,IF(CL54="",NA(),CL54))</f>
        <v>0</v>
      </c>
      <c r="FA12">
        <f>IF(Charts!$B$3="none",Y54,IF(CM54="",NA(),CM54))</f>
        <v>0</v>
      </c>
      <c r="FB12">
        <f>IF(Charts!$B$3="none",Z54,IF(CN54="",NA(),CN54))</f>
        <v>0</v>
      </c>
      <c r="FC12">
        <f>IF(Charts!$B$3="none",AA54,IF(CO54="",NA(),CO54))</f>
        <v>0</v>
      </c>
      <c r="FD12">
        <f>IF(Charts!$B$3="none",AB54,IF(CP54="",NA(),CP54))</f>
        <v>0</v>
      </c>
      <c r="FE12">
        <f>IF(Charts!$B$3="none",AC54,IF(CQ54="",NA(),CQ54))</f>
        <v>0</v>
      </c>
      <c r="FF12">
        <f>IF(Charts!$B$3="none",AD54,IF(CR54="",NA(),CR54))</f>
        <v>0</v>
      </c>
      <c r="FG12">
        <f>IF(Charts!$B$3="none",AE54,IF(CS54="",NA(),CS54))</f>
        <v>0</v>
      </c>
      <c r="FH12">
        <f>IF(Charts!$B$3="none",AF54,IF(CT54="",NA(),CT54))</f>
        <v>0</v>
      </c>
      <c r="FI12">
        <f>IF(Charts!$B$3="none",AG54,IF(CU54="",NA(),CU54))</f>
        <v>0</v>
      </c>
      <c r="FJ12">
        <f>IF(Charts!$B$3="none",AH54,IF(CV54="",NA(),CV54))</f>
        <v>0</v>
      </c>
      <c r="FK12">
        <f>IF(Charts!$B$3="none",AI54,IF(CW54="",NA(),CW54))</f>
        <v>0</v>
      </c>
      <c r="FL12">
        <f>IF(Charts!$B$3="none",AJ54,IF(CX54="",NA(),CX54))</f>
        <v>0</v>
      </c>
      <c r="FM12">
        <f>IF(Charts!$B$3="none",AK54,IF(CY54="",NA(),CY54))</f>
        <v>0</v>
      </c>
      <c r="FN12">
        <f>IF(Charts!$B$3="none",AL54,IF(CZ54="",NA(),CZ54))</f>
        <v>0</v>
      </c>
      <c r="FO12">
        <f>IF(Charts!$B$3="none",AM54,IF(DA54="",NA(),DA54))</f>
        <v>0</v>
      </c>
      <c r="FP12">
        <f>IF(Charts!$B$3="none",AN54,IF(DB54="",NA(),DB54))</f>
        <v>0</v>
      </c>
      <c r="FQ12">
        <f>IF(Charts!$B$3="none",AO54,IF(DC54="",NA(),DC54))</f>
        <v>0</v>
      </c>
      <c r="FR12">
        <f>IF(Charts!$B$3="none",AP54,IF(DD54="",NA(),DD54))</f>
        <v>0</v>
      </c>
      <c r="FS12">
        <f>IF(Charts!$B$3="none",AQ54,IF(DE54="",NA(),DE54))</f>
        <v>0</v>
      </c>
      <c r="FT12">
        <f>IF(Charts!$B$3="none",AR54,IF(DF54="",NA(),DF54))</f>
        <v>0</v>
      </c>
      <c r="FU12">
        <f>IF(Charts!$B$3="none",AS54,IF(DG54="",NA(),DG54))</f>
        <v>0</v>
      </c>
      <c r="FV12">
        <f>IF(Charts!$B$3="none",AT54,IF(DH54="",NA(),DH54))</f>
        <v>0</v>
      </c>
      <c r="FW12">
        <f>IF(Charts!$B$3="none",AU54,IF(DI54="",NA(),DI54))</f>
        <v>0</v>
      </c>
      <c r="FX12">
        <f>IF(Charts!$B$3="none",AV54,IF(DJ54="",NA(),DJ54))</f>
        <v>0</v>
      </c>
      <c r="FY12">
        <f>IF(Charts!$B$3="none",AW54,IF(DK54="",NA(),DK54))</f>
        <v>0</v>
      </c>
      <c r="FZ12">
        <f>IF(Charts!$B$3="none",AX54,IF(DL54="",NA(),DL54))</f>
        <v>0</v>
      </c>
      <c r="GA12">
        <f>IF(Charts!$B$3="none",AY54,IF(DM54="",NA(),DM54))</f>
        <v>0</v>
      </c>
      <c r="GB12">
        <f>IF(Charts!$B$3="none",AZ54,IF(DN54="",NA(),DN54))</f>
        <v>0</v>
      </c>
      <c r="GC12">
        <f>IF(Charts!$B$3="none",BA54,IF(DO54="",NA(),DO54))</f>
        <v>0</v>
      </c>
      <c r="GD12">
        <f>IF(Charts!$B$3="none",BB54,IF(DP54="",NA(),DP54))</f>
        <v>0</v>
      </c>
      <c r="GE12">
        <f>IF(Charts!$B$3="none",BC54,IF(DQ54="",NA(),DQ54))</f>
        <v>0</v>
      </c>
      <c r="GF12">
        <f>IF(Charts!$B$3="none",BD54,IF(DR54="",NA(),DR54))</f>
        <v>0</v>
      </c>
      <c r="GG12">
        <f>IF(Charts!$B$3="none",BE54,IF(DS54="",NA(),DS54))</f>
        <v>0</v>
      </c>
      <c r="GH12">
        <f>IF(Charts!$B$3="none",BF54,IF(DT54="",NA(),DT54))</f>
        <v>0</v>
      </c>
      <c r="GI12">
        <f>IF(Charts!$B$3="none",BG54,IF(DU54="",NA(),DU54))</f>
        <v>0</v>
      </c>
      <c r="GJ12">
        <f>IF(Charts!$B$3="none",BH54,IF(DV54="",NA(),DV54))</f>
        <v>0</v>
      </c>
      <c r="GK12">
        <f>IF(Charts!$B$3="none",BI54,IF(DW54="",NA(),DW54))</f>
        <v>0</v>
      </c>
      <c r="GL12">
        <f>IF(Charts!$B$3="none",BJ54,IF(DX54="",NA(),DX54))</f>
        <v>0</v>
      </c>
      <c r="GM12">
        <f>IF(Charts!$B$3="none",BK54,IF(DY54="",NA(),DY54))</f>
        <v>0</v>
      </c>
      <c r="GN12">
        <f>IF(Charts!$B$3="none",BL54,IF(DZ54="",NA(),DZ54))</f>
        <v>0</v>
      </c>
      <c r="GO12">
        <f>IF(Charts!$B$3="none",BM54,IF(EA54="",NA(),EA54))</f>
        <v>0</v>
      </c>
      <c r="GP12">
        <f>IF(Charts!$B$3="none",BN54,IF(EB54="",NA(),EB54))</f>
        <v>0</v>
      </c>
      <c r="GQ12">
        <f>IF(Charts!$B$3="none",BO54,IF(EC54="",NA(),EC54))</f>
        <v>0</v>
      </c>
      <c r="GR12">
        <f>IF(Charts!$B$3="none",BP54,IF(ED54="",NA(),ED54))</f>
        <v>0</v>
      </c>
    </row>
    <row r="13" spans="1:200">
      <c r="A13" t="s">
        <v>27</v>
      </c>
      <c r="B13">
        <v>12</v>
      </c>
      <c r="D13" t="s">
        <v>57</v>
      </c>
      <c r="E13" t="s">
        <v>56</v>
      </c>
      <c r="F13" t="s">
        <v>61</v>
      </c>
      <c r="G13" t="s">
        <v>56</v>
      </c>
      <c r="H13" t="s">
        <v>62</v>
      </c>
      <c r="I13" t="s">
        <v>56</v>
      </c>
      <c r="J13" t="s">
        <v>61</v>
      </c>
      <c r="K13" t="s">
        <v>56</v>
      </c>
      <c r="L13" t="s">
        <v>62</v>
      </c>
      <c r="M13" t="s">
        <v>56</v>
      </c>
      <c r="N13" t="s">
        <v>61</v>
      </c>
      <c r="O13" t="s">
        <v>56</v>
      </c>
      <c r="P13" t="s">
        <v>62</v>
      </c>
      <c r="Q13" t="s">
        <v>56</v>
      </c>
      <c r="R13" t="s">
        <v>61</v>
      </c>
      <c r="S13" t="s">
        <v>56</v>
      </c>
      <c r="T13" t="s">
        <v>62</v>
      </c>
      <c r="U13" t="s">
        <v>56</v>
      </c>
      <c r="V13" t="s">
        <v>61</v>
      </c>
      <c r="W13" t="s">
        <v>56</v>
      </c>
      <c r="X13" t="s">
        <v>62</v>
      </c>
      <c r="Y13" t="s">
        <v>56</v>
      </c>
      <c r="Z13" t="s">
        <v>61</v>
      </c>
      <c r="AA13" t="s">
        <v>56</v>
      </c>
      <c r="AB13" t="s">
        <v>62</v>
      </c>
      <c r="AC13" t="s">
        <v>56</v>
      </c>
      <c r="AD13" t="s">
        <v>61</v>
      </c>
      <c r="AE13" t="s">
        <v>56</v>
      </c>
      <c r="AF13" t="s">
        <v>62</v>
      </c>
      <c r="AG13" t="s">
        <v>56</v>
      </c>
      <c r="AH13" t="s">
        <v>61</v>
      </c>
      <c r="AI13" t="s">
        <v>56</v>
      </c>
      <c r="AJ13" t="s">
        <v>62</v>
      </c>
      <c r="AK13" t="s">
        <v>56</v>
      </c>
      <c r="AL13" t="s">
        <v>61</v>
      </c>
      <c r="AM13" t="s">
        <v>56</v>
      </c>
      <c r="AN13" t="s">
        <v>62</v>
      </c>
      <c r="AO13" t="s">
        <v>56</v>
      </c>
      <c r="AP13" t="s">
        <v>61</v>
      </c>
      <c r="AQ13" t="s">
        <v>56</v>
      </c>
      <c r="AR13" t="s">
        <v>62</v>
      </c>
      <c r="AS13" t="s">
        <v>56</v>
      </c>
      <c r="AT13" t="s">
        <v>61</v>
      </c>
      <c r="AU13" t="s">
        <v>56</v>
      </c>
      <c r="AV13" t="s">
        <v>62</v>
      </c>
      <c r="AW13" t="s">
        <v>56</v>
      </c>
      <c r="AX13" t="s">
        <v>61</v>
      </c>
      <c r="AY13" t="s">
        <v>56</v>
      </c>
      <c r="AZ13" t="s">
        <v>62</v>
      </c>
      <c r="BA13" t="s">
        <v>56</v>
      </c>
      <c r="BB13" t="s">
        <v>61</v>
      </c>
      <c r="BC13" t="s">
        <v>56</v>
      </c>
      <c r="BD13" t="s">
        <v>62</v>
      </c>
      <c r="BE13" t="s">
        <v>56</v>
      </c>
      <c r="BF13" t="s">
        <v>61</v>
      </c>
      <c r="BG13" t="s">
        <v>56</v>
      </c>
      <c r="BH13" t="s">
        <v>62</v>
      </c>
      <c r="BI13" t="s">
        <v>56</v>
      </c>
      <c r="BJ13" t="s">
        <v>61</v>
      </c>
      <c r="BK13" t="s">
        <v>56</v>
      </c>
      <c r="BL13" t="s">
        <v>62</v>
      </c>
      <c r="BM13" t="s">
        <v>56</v>
      </c>
      <c r="BN13" t="s">
        <v>61</v>
      </c>
      <c r="BO13" t="s">
        <v>56</v>
      </c>
      <c r="BP13" t="s">
        <v>62</v>
      </c>
      <c r="BR13" t="s">
        <v>57</v>
      </c>
      <c r="BS13" t="s">
        <v>56</v>
      </c>
      <c r="BT13" t="s">
        <v>61</v>
      </c>
      <c r="BU13" t="s">
        <v>56</v>
      </c>
      <c r="BV13" t="s">
        <v>62</v>
      </c>
      <c r="BW13" t="s">
        <v>56</v>
      </c>
      <c r="BX13" t="s">
        <v>61</v>
      </c>
      <c r="BY13" t="s">
        <v>56</v>
      </c>
      <c r="BZ13" t="s">
        <v>62</v>
      </c>
      <c r="CA13" t="s">
        <v>56</v>
      </c>
      <c r="CB13" t="s">
        <v>61</v>
      </c>
      <c r="CC13" t="s">
        <v>56</v>
      </c>
      <c r="CD13" t="s">
        <v>62</v>
      </c>
      <c r="CE13" t="s">
        <v>56</v>
      </c>
      <c r="CF13" t="s">
        <v>61</v>
      </c>
      <c r="CG13" t="s">
        <v>56</v>
      </c>
      <c r="CH13" t="s">
        <v>62</v>
      </c>
      <c r="CI13" t="s">
        <v>56</v>
      </c>
      <c r="CJ13" t="s">
        <v>61</v>
      </c>
      <c r="CK13" t="s">
        <v>56</v>
      </c>
      <c r="CL13" t="s">
        <v>62</v>
      </c>
      <c r="CM13" t="s">
        <v>56</v>
      </c>
      <c r="CN13" t="s">
        <v>61</v>
      </c>
      <c r="CO13" t="s">
        <v>56</v>
      </c>
      <c r="CP13" t="s">
        <v>62</v>
      </c>
      <c r="CQ13" t="s">
        <v>56</v>
      </c>
      <c r="CR13" t="s">
        <v>61</v>
      </c>
      <c r="CS13" t="s">
        <v>56</v>
      </c>
      <c r="CT13" t="s">
        <v>62</v>
      </c>
      <c r="CU13" t="s">
        <v>56</v>
      </c>
      <c r="CV13" t="s">
        <v>61</v>
      </c>
      <c r="CW13" t="s">
        <v>56</v>
      </c>
      <c r="CX13" t="s">
        <v>62</v>
      </c>
      <c r="CY13" t="s">
        <v>56</v>
      </c>
      <c r="CZ13" t="s">
        <v>61</v>
      </c>
      <c r="DA13" t="s">
        <v>56</v>
      </c>
      <c r="DB13" t="s">
        <v>62</v>
      </c>
      <c r="DC13" t="s">
        <v>56</v>
      </c>
      <c r="DD13" t="s">
        <v>61</v>
      </c>
      <c r="DE13" t="s">
        <v>56</v>
      </c>
      <c r="DF13" t="s">
        <v>62</v>
      </c>
      <c r="DG13" t="s">
        <v>56</v>
      </c>
      <c r="DH13" t="s">
        <v>61</v>
      </c>
      <c r="DI13" t="s">
        <v>56</v>
      </c>
      <c r="DJ13" t="s">
        <v>62</v>
      </c>
      <c r="DK13" t="s">
        <v>56</v>
      </c>
      <c r="DL13" t="s">
        <v>61</v>
      </c>
      <c r="DM13" t="s">
        <v>56</v>
      </c>
      <c r="DN13" t="s">
        <v>62</v>
      </c>
      <c r="DO13" t="s">
        <v>56</v>
      </c>
      <c r="DP13" t="s">
        <v>61</v>
      </c>
      <c r="DQ13" t="s">
        <v>56</v>
      </c>
      <c r="DR13" t="s">
        <v>62</v>
      </c>
      <c r="DS13" t="s">
        <v>56</v>
      </c>
      <c r="DT13" t="s">
        <v>61</v>
      </c>
      <c r="DU13" t="s">
        <v>56</v>
      </c>
      <c r="DV13" t="s">
        <v>62</v>
      </c>
      <c r="DW13" t="s">
        <v>56</v>
      </c>
      <c r="DX13" t="s">
        <v>61</v>
      </c>
      <c r="DY13" t="s">
        <v>56</v>
      </c>
      <c r="DZ13" t="s">
        <v>62</v>
      </c>
      <c r="EA13" t="s">
        <v>56</v>
      </c>
      <c r="EB13" t="s">
        <v>61</v>
      </c>
      <c r="EC13" t="s">
        <v>56</v>
      </c>
      <c r="ED13" t="s">
        <v>62</v>
      </c>
      <c r="EG13">
        <f>IF(Charts!$B$3="none",E55,IF(BS55="",NA(),BS55))</f>
        <v>0</v>
      </c>
      <c r="EH13">
        <f>IF(Charts!$B$3="none",F55,IF(BT55="",NA(),BT55))</f>
        <v>0</v>
      </c>
      <c r="EI13">
        <f>IF(Charts!$B$3="none",G55,IF(BU55="",NA(),BU55))</f>
        <v>0</v>
      </c>
      <c r="EJ13">
        <f>IF(Charts!$B$3="none",H55,IF(BV55="",NA(),BV55))</f>
        <v>0</v>
      </c>
      <c r="EK13">
        <f>IF(Charts!$B$3="none",I55,IF(BW55="",NA(),BW55))</f>
        <v>0</v>
      </c>
      <c r="EL13">
        <f>IF(Charts!$B$3="none",J55,IF(BX55="",NA(),BX55))</f>
        <v>0</v>
      </c>
      <c r="EM13">
        <f>IF(Charts!$B$3="none",K55,IF(BY55="",NA(),BY55))</f>
        <v>0</v>
      </c>
      <c r="EN13">
        <f>IF(Charts!$B$3="none",L55,IF(BZ55="",NA(),BZ55))</f>
        <v>0</v>
      </c>
      <c r="EO13">
        <f>IF(Charts!$B$3="none",M55,IF(CA55="",NA(),CA55))</f>
        <v>0</v>
      </c>
      <c r="EP13">
        <f>IF(Charts!$B$3="none",N55,IF(CB55="",NA(),CB55))</f>
        <v>0</v>
      </c>
      <c r="EQ13">
        <f>IF(Charts!$B$3="none",O55,IF(CC55="",NA(),CC55))</f>
        <v>0</v>
      </c>
      <c r="ER13">
        <f>IF(Charts!$B$3="none",P55,IF(CD55="",NA(),CD55))</f>
        <v>0</v>
      </c>
      <c r="ES13">
        <f>IF(Charts!$B$3="none",Q55,IF(CE55="",NA(),CE55))</f>
        <v>0</v>
      </c>
      <c r="ET13">
        <f>IF(Charts!$B$3="none",R55,IF(CF55="",NA(),CF55))</f>
        <v>0</v>
      </c>
      <c r="EU13">
        <f>IF(Charts!$B$3="none",S55,IF(CG55="",NA(),CG55))</f>
        <v>0</v>
      </c>
      <c r="EV13">
        <f>IF(Charts!$B$3="none",T55,IF(CH55="",NA(),CH55))</f>
        <v>0</v>
      </c>
      <c r="EW13">
        <f>IF(Charts!$B$3="none",U55,IF(CI55="",NA(),CI55))</f>
        <v>0</v>
      </c>
      <c r="EX13">
        <f>IF(Charts!$B$3="none",V55,IF(CJ55="",NA(),CJ55))</f>
        <v>0</v>
      </c>
      <c r="EY13">
        <f>IF(Charts!$B$3="none",W55,IF(CK55="",NA(),CK55))</f>
        <v>0</v>
      </c>
      <c r="EZ13">
        <f>IF(Charts!$B$3="none",X55,IF(CL55="",NA(),CL55))</f>
        <v>0</v>
      </c>
      <c r="FA13">
        <f>IF(Charts!$B$3="none",Y55,IF(CM55="",NA(),CM55))</f>
        <v>0</v>
      </c>
      <c r="FB13">
        <f>IF(Charts!$B$3="none",Z55,IF(CN55="",NA(),CN55))</f>
        <v>0</v>
      </c>
      <c r="FC13">
        <f>IF(Charts!$B$3="none",AA55,IF(CO55="",NA(),CO55))</f>
        <v>0</v>
      </c>
      <c r="FD13">
        <f>IF(Charts!$B$3="none",AB55,IF(CP55="",NA(),CP55))</f>
        <v>0</v>
      </c>
      <c r="FE13">
        <f>IF(Charts!$B$3="none",AC55,IF(CQ55="",NA(),CQ55))</f>
        <v>0</v>
      </c>
      <c r="FF13">
        <f>IF(Charts!$B$3="none",AD55,IF(CR55="",NA(),CR55))</f>
        <v>0</v>
      </c>
      <c r="FG13">
        <f>IF(Charts!$B$3="none",AE55,IF(CS55="",NA(),CS55))</f>
        <v>0</v>
      </c>
      <c r="FH13">
        <f>IF(Charts!$B$3="none",AF55,IF(CT55="",NA(),CT55))</f>
        <v>0</v>
      </c>
      <c r="FI13">
        <f>IF(Charts!$B$3="none",AG55,IF(CU55="",NA(),CU55))</f>
        <v>0</v>
      </c>
      <c r="FJ13">
        <f>IF(Charts!$B$3="none",AH55,IF(CV55="",NA(),CV55))</f>
        <v>0</v>
      </c>
      <c r="FK13">
        <f>IF(Charts!$B$3="none",AI55,IF(CW55="",NA(),CW55))</f>
        <v>0</v>
      </c>
      <c r="FL13">
        <f>IF(Charts!$B$3="none",AJ55,IF(CX55="",NA(),CX55))</f>
        <v>0</v>
      </c>
      <c r="FM13">
        <f>IF(Charts!$B$3="none",AK55,IF(CY55="",NA(),CY55))</f>
        <v>0</v>
      </c>
      <c r="FN13">
        <f>IF(Charts!$B$3="none",AL55,IF(CZ55="",NA(),CZ55))</f>
        <v>0</v>
      </c>
      <c r="FO13">
        <f>IF(Charts!$B$3="none",AM55,IF(DA55="",NA(),DA55))</f>
        <v>0</v>
      </c>
      <c r="FP13">
        <f>IF(Charts!$B$3="none",AN55,IF(DB55="",NA(),DB55))</f>
        <v>0</v>
      </c>
      <c r="FQ13">
        <f>IF(Charts!$B$3="none",AO55,IF(DC55="",NA(),DC55))</f>
        <v>0</v>
      </c>
      <c r="FR13">
        <f>IF(Charts!$B$3="none",AP55,IF(DD55="",NA(),DD55))</f>
        <v>0</v>
      </c>
      <c r="FS13">
        <f>IF(Charts!$B$3="none",AQ55,IF(DE55="",NA(),DE55))</f>
        <v>0</v>
      </c>
      <c r="FT13">
        <f>IF(Charts!$B$3="none",AR55,IF(DF55="",NA(),DF55))</f>
        <v>0</v>
      </c>
      <c r="FU13">
        <f>IF(Charts!$B$3="none",AS55,IF(DG55="",NA(),DG55))</f>
        <v>0</v>
      </c>
      <c r="FV13">
        <f>IF(Charts!$B$3="none",AT55,IF(DH55="",NA(),DH55))</f>
        <v>0</v>
      </c>
      <c r="FW13">
        <f>IF(Charts!$B$3="none",AU55,IF(DI55="",NA(),DI55))</f>
        <v>0</v>
      </c>
      <c r="FX13">
        <f>IF(Charts!$B$3="none",AV55,IF(DJ55="",NA(),DJ55))</f>
        <v>0</v>
      </c>
      <c r="FY13">
        <f>IF(Charts!$B$3="none",AW55,IF(DK55="",NA(),DK55))</f>
        <v>0</v>
      </c>
      <c r="FZ13">
        <f>IF(Charts!$B$3="none",AX55,IF(DL55="",NA(),DL55))</f>
        <v>0</v>
      </c>
      <c r="GA13">
        <f>IF(Charts!$B$3="none",AY55,IF(DM55="",NA(),DM55))</f>
        <v>0</v>
      </c>
      <c r="GB13">
        <f>IF(Charts!$B$3="none",AZ55,IF(DN55="",NA(),DN55))</f>
        <v>0</v>
      </c>
      <c r="GC13">
        <f>IF(Charts!$B$3="none",BA55,IF(DO55="",NA(),DO55))</f>
        <v>0</v>
      </c>
      <c r="GD13">
        <f>IF(Charts!$B$3="none",BB55,IF(DP55="",NA(),DP55))</f>
        <v>0</v>
      </c>
      <c r="GE13">
        <f>IF(Charts!$B$3="none",BC55,IF(DQ55="",NA(),DQ55))</f>
        <v>0</v>
      </c>
      <c r="GF13">
        <f>IF(Charts!$B$3="none",BD55,IF(DR55="",NA(),DR55))</f>
        <v>0</v>
      </c>
      <c r="GG13">
        <f>IF(Charts!$B$3="none",BE55,IF(DS55="",NA(),DS55))</f>
        <v>0</v>
      </c>
      <c r="GH13">
        <f>IF(Charts!$B$3="none",BF55,IF(DT55="",NA(),DT55))</f>
        <v>0</v>
      </c>
      <c r="GI13">
        <f>IF(Charts!$B$3="none",BG55,IF(DU55="",NA(),DU55))</f>
        <v>0</v>
      </c>
      <c r="GJ13">
        <f>IF(Charts!$B$3="none",BH55,IF(DV55="",NA(),DV55))</f>
        <v>0</v>
      </c>
      <c r="GK13">
        <f>IF(Charts!$B$3="none",BI55,IF(DW55="",NA(),DW55))</f>
        <v>0</v>
      </c>
      <c r="GL13">
        <f>IF(Charts!$B$3="none",BJ55,IF(DX55="",NA(),DX55))</f>
        <v>0</v>
      </c>
      <c r="GM13">
        <f>IF(Charts!$B$3="none",BK55,IF(DY55="",NA(),DY55))</f>
        <v>0</v>
      </c>
      <c r="GN13">
        <f>IF(Charts!$B$3="none",BL55,IF(DZ55="",NA(),DZ55))</f>
        <v>0</v>
      </c>
      <c r="GO13">
        <f>IF(Charts!$B$3="none",BM55,IF(EA55="",NA(),EA55))</f>
        <v>0</v>
      </c>
      <c r="GP13">
        <f>IF(Charts!$B$3="none",BN55,IF(EB55="",NA(),EB55))</f>
        <v>0</v>
      </c>
      <c r="GQ13">
        <f>IF(Charts!$B$3="none",BO55,IF(EC55="",NA(),EC55))</f>
        <v>0</v>
      </c>
      <c r="GR13">
        <f>IF(Charts!$B$3="none",BP55,IF(ED55="",NA(),ED55))</f>
        <v>0</v>
      </c>
    </row>
    <row r="14" spans="1:200">
      <c r="A14" t="s">
        <v>28</v>
      </c>
      <c r="B14">
        <v>13</v>
      </c>
      <c r="E14">
        <v>1</v>
      </c>
      <c r="F14">
        <f>F5</f>
        <v>0</v>
      </c>
      <c r="G14">
        <v>1</v>
      </c>
      <c r="H14">
        <f>H5</f>
        <v>0</v>
      </c>
      <c r="I14">
        <v>1</v>
      </c>
      <c r="J14">
        <f>J5</f>
        <v>0</v>
      </c>
      <c r="K14">
        <v>1</v>
      </c>
      <c r="L14">
        <f>L5</f>
        <v>0</v>
      </c>
      <c r="M14">
        <v>1</v>
      </c>
      <c r="N14">
        <f>N5</f>
        <v>0</v>
      </c>
      <c r="O14">
        <v>1</v>
      </c>
      <c r="P14">
        <f>P5</f>
        <v>0</v>
      </c>
      <c r="Q14">
        <v>1</v>
      </c>
      <c r="R14">
        <f>R5</f>
        <v>0</v>
      </c>
      <c r="S14">
        <v>1</v>
      </c>
      <c r="T14">
        <f>T5</f>
        <v>0</v>
      </c>
      <c r="U14">
        <v>1</v>
      </c>
      <c r="V14">
        <f>V5</f>
        <v>0</v>
      </c>
      <c r="W14">
        <v>1</v>
      </c>
      <c r="X14">
        <f>X5</f>
        <v>0</v>
      </c>
      <c r="Y14">
        <v>1</v>
      </c>
      <c r="Z14">
        <f>Z5</f>
        <v>0</v>
      </c>
      <c r="AA14">
        <v>1</v>
      </c>
      <c r="AB14">
        <f>AB5</f>
        <v>0</v>
      </c>
      <c r="AC14">
        <v>1</v>
      </c>
      <c r="AD14">
        <f>AD5</f>
        <v>0</v>
      </c>
      <c r="AE14">
        <v>1</v>
      </c>
      <c r="AF14">
        <f>AF5</f>
        <v>0</v>
      </c>
      <c r="AG14">
        <v>1</v>
      </c>
      <c r="AH14">
        <f>AH5</f>
        <v>0</v>
      </c>
      <c r="AI14">
        <v>1</v>
      </c>
      <c r="AJ14">
        <f>AJ5</f>
        <v>0</v>
      </c>
      <c r="AK14">
        <v>1</v>
      </c>
      <c r="AL14">
        <f>AL5</f>
        <v>0</v>
      </c>
      <c r="AM14">
        <v>1</v>
      </c>
      <c r="AN14">
        <f>AN5</f>
        <v>0</v>
      </c>
      <c r="AO14">
        <v>1</v>
      </c>
      <c r="AP14">
        <f>AP5</f>
        <v>0</v>
      </c>
      <c r="AQ14">
        <v>1</v>
      </c>
      <c r="AR14">
        <f>AR5</f>
        <v>0</v>
      </c>
      <c r="AS14">
        <v>1</v>
      </c>
      <c r="AT14">
        <f>AT5</f>
        <v>0</v>
      </c>
      <c r="AU14">
        <v>1</v>
      </c>
      <c r="AV14">
        <f>AV5</f>
        <v>0</v>
      </c>
      <c r="AW14">
        <v>1</v>
      </c>
      <c r="AX14">
        <f>AX5</f>
        <v>0</v>
      </c>
      <c r="AY14">
        <v>1</v>
      </c>
      <c r="AZ14">
        <f>AZ5</f>
        <v>0</v>
      </c>
      <c r="BA14">
        <v>1</v>
      </c>
      <c r="BB14">
        <f>BB5</f>
        <v>0</v>
      </c>
      <c r="BC14">
        <v>1</v>
      </c>
      <c r="BD14">
        <f>BD5</f>
        <v>0</v>
      </c>
      <c r="BE14">
        <v>1</v>
      </c>
      <c r="BF14">
        <f>BF5</f>
        <v>0</v>
      </c>
      <c r="BG14">
        <v>1</v>
      </c>
      <c r="BH14">
        <f>BH5</f>
        <v>0</v>
      </c>
      <c r="BI14">
        <v>1</v>
      </c>
      <c r="BJ14">
        <f>BJ5</f>
        <v>0</v>
      </c>
      <c r="BK14">
        <v>1</v>
      </c>
      <c r="BL14">
        <f>BL5</f>
        <v>0</v>
      </c>
      <c r="BM14">
        <v>1</v>
      </c>
      <c r="BN14">
        <f>BN5</f>
        <v>0</v>
      </c>
      <c r="BO14">
        <v>1</v>
      </c>
      <c r="BP14">
        <f>BP5</f>
        <v>0</v>
      </c>
      <c r="BS14">
        <v>1</v>
      </c>
      <c r="BT14">
        <f>BT5</f>
        <v>0</v>
      </c>
      <c r="BU14">
        <v>1</v>
      </c>
      <c r="BV14">
        <f>BV5</f>
        <v>0</v>
      </c>
      <c r="BW14">
        <v>1</v>
      </c>
      <c r="BX14">
        <f>BX5</f>
        <v>0</v>
      </c>
      <c r="BY14">
        <v>1</v>
      </c>
      <c r="BZ14">
        <f>BZ5</f>
        <v>0</v>
      </c>
      <c r="CA14">
        <v>1</v>
      </c>
      <c r="CB14">
        <f>CB5</f>
        <v>0</v>
      </c>
      <c r="CC14">
        <v>1</v>
      </c>
      <c r="CD14">
        <f>CD5</f>
        <v>0</v>
      </c>
      <c r="CE14">
        <v>1</v>
      </c>
      <c r="CF14">
        <f>CF5</f>
        <v>0</v>
      </c>
      <c r="CG14">
        <v>1</v>
      </c>
      <c r="CH14">
        <f>CH5</f>
        <v>0</v>
      </c>
      <c r="CI14">
        <v>1</v>
      </c>
      <c r="CJ14">
        <f>CJ5</f>
        <v>0</v>
      </c>
      <c r="CK14">
        <v>1</v>
      </c>
      <c r="CL14">
        <f>CL5</f>
        <v>0</v>
      </c>
      <c r="CM14">
        <v>1</v>
      </c>
      <c r="CN14">
        <f>CN5</f>
        <v>0</v>
      </c>
      <c r="CO14">
        <v>1</v>
      </c>
      <c r="CP14">
        <f>CP5</f>
        <v>0</v>
      </c>
      <c r="CQ14">
        <v>1</v>
      </c>
      <c r="CR14">
        <f>CR5</f>
        <v>0</v>
      </c>
      <c r="CS14">
        <v>1</v>
      </c>
      <c r="CT14">
        <f>CT5</f>
        <v>0</v>
      </c>
      <c r="CU14">
        <v>1</v>
      </c>
      <c r="CV14">
        <f>CV5</f>
        <v>0</v>
      </c>
      <c r="CW14">
        <v>1</v>
      </c>
      <c r="CX14">
        <f>CX5</f>
        <v>0</v>
      </c>
      <c r="CY14">
        <v>1</v>
      </c>
      <c r="CZ14">
        <f>CZ5</f>
        <v>0</v>
      </c>
      <c r="DA14">
        <v>1</v>
      </c>
      <c r="DB14">
        <f>DB5</f>
        <v>0</v>
      </c>
      <c r="DC14">
        <v>1</v>
      </c>
      <c r="DD14">
        <f>DD5</f>
        <v>0</v>
      </c>
      <c r="DE14">
        <v>1</v>
      </c>
      <c r="DF14">
        <f>DF5</f>
        <v>0</v>
      </c>
      <c r="DG14">
        <v>1</v>
      </c>
      <c r="DH14">
        <f>DH5</f>
        <v>0</v>
      </c>
      <c r="DI14">
        <v>1</v>
      </c>
      <c r="DJ14">
        <f>DJ5</f>
        <v>0</v>
      </c>
      <c r="DK14">
        <v>1</v>
      </c>
      <c r="DL14">
        <f>DL5</f>
        <v>0</v>
      </c>
      <c r="DM14">
        <v>1</v>
      </c>
      <c r="DN14">
        <f>DN5</f>
        <v>0</v>
      </c>
      <c r="DO14">
        <v>1</v>
      </c>
      <c r="DP14">
        <f>DP5</f>
        <v>0</v>
      </c>
      <c r="DQ14">
        <v>1</v>
      </c>
      <c r="DR14">
        <f>DR5</f>
        <v>0</v>
      </c>
      <c r="DS14">
        <v>1</v>
      </c>
      <c r="DT14">
        <f>DT5</f>
        <v>0</v>
      </c>
      <c r="DU14">
        <v>1</v>
      </c>
      <c r="DV14">
        <f>DV5</f>
        <v>0</v>
      </c>
      <c r="DW14">
        <v>1</v>
      </c>
      <c r="DX14">
        <f>DX5</f>
        <v>0</v>
      </c>
      <c r="DY14">
        <v>1</v>
      </c>
      <c r="DZ14">
        <f>DZ5</f>
        <v>0</v>
      </c>
      <c r="EA14">
        <v>1</v>
      </c>
      <c r="EB14">
        <f>EB5</f>
        <v>0</v>
      </c>
      <c r="EC14">
        <v>1</v>
      </c>
      <c r="ED14">
        <f>ED5</f>
        <v>0</v>
      </c>
      <c r="EG14">
        <f>IF(Charts!$B$3="none",E56,IF(BS56="",NA(),BS56))</f>
        <v>0</v>
      </c>
      <c r="EH14">
        <f>IF(Charts!$B$3="none",F56,IF(BT56="",NA(),BT56))</f>
        <v>0</v>
      </c>
      <c r="EI14">
        <f>IF(Charts!$B$3="none",G56,IF(BU56="",NA(),BU56))</f>
        <v>0</v>
      </c>
      <c r="EJ14">
        <f>IF(Charts!$B$3="none",H56,IF(BV56="",NA(),BV56))</f>
        <v>0</v>
      </c>
      <c r="EK14">
        <f>IF(Charts!$B$3="none",I56,IF(BW56="",NA(),BW56))</f>
        <v>0</v>
      </c>
      <c r="EL14">
        <f>IF(Charts!$B$3="none",J56,IF(BX56="",NA(),BX56))</f>
        <v>0</v>
      </c>
      <c r="EM14">
        <f>IF(Charts!$B$3="none",K56,IF(BY56="",NA(),BY56))</f>
        <v>0</v>
      </c>
      <c r="EN14">
        <f>IF(Charts!$B$3="none",L56,IF(BZ56="",NA(),BZ56))</f>
        <v>0</v>
      </c>
      <c r="EO14">
        <f>IF(Charts!$B$3="none",M56,IF(CA56="",NA(),CA56))</f>
        <v>0</v>
      </c>
      <c r="EP14">
        <f>IF(Charts!$B$3="none",N56,IF(CB56="",NA(),CB56))</f>
        <v>0</v>
      </c>
      <c r="EQ14">
        <f>IF(Charts!$B$3="none",O56,IF(CC56="",NA(),CC56))</f>
        <v>0</v>
      </c>
      <c r="ER14">
        <f>IF(Charts!$B$3="none",P56,IF(CD56="",NA(),CD56))</f>
        <v>0</v>
      </c>
      <c r="ES14">
        <f>IF(Charts!$B$3="none",Q56,IF(CE56="",NA(),CE56))</f>
        <v>0</v>
      </c>
      <c r="ET14">
        <f>IF(Charts!$B$3="none",R56,IF(CF56="",NA(),CF56))</f>
        <v>0</v>
      </c>
      <c r="EU14">
        <f>IF(Charts!$B$3="none",S56,IF(CG56="",NA(),CG56))</f>
        <v>0</v>
      </c>
      <c r="EV14">
        <f>IF(Charts!$B$3="none",T56,IF(CH56="",NA(),CH56))</f>
        <v>0</v>
      </c>
      <c r="EW14">
        <f>IF(Charts!$B$3="none",U56,IF(CI56="",NA(),CI56))</f>
        <v>0</v>
      </c>
      <c r="EX14">
        <f>IF(Charts!$B$3="none",V56,IF(CJ56="",NA(),CJ56))</f>
        <v>0</v>
      </c>
      <c r="EY14">
        <f>IF(Charts!$B$3="none",W56,IF(CK56="",NA(),CK56))</f>
        <v>0</v>
      </c>
      <c r="EZ14">
        <f>IF(Charts!$B$3="none",X56,IF(CL56="",NA(),CL56))</f>
        <v>0</v>
      </c>
      <c r="FA14">
        <f>IF(Charts!$B$3="none",Y56,IF(CM56="",NA(),CM56))</f>
        <v>0</v>
      </c>
      <c r="FB14">
        <f>IF(Charts!$B$3="none",Z56,IF(CN56="",NA(),CN56))</f>
        <v>0</v>
      </c>
      <c r="FC14">
        <f>IF(Charts!$B$3="none",AA56,IF(CO56="",NA(),CO56))</f>
        <v>0</v>
      </c>
      <c r="FD14">
        <f>IF(Charts!$B$3="none",AB56,IF(CP56="",NA(),CP56))</f>
        <v>0</v>
      </c>
      <c r="FE14">
        <f>IF(Charts!$B$3="none",AC56,IF(CQ56="",NA(),CQ56))</f>
        <v>0</v>
      </c>
      <c r="FF14">
        <f>IF(Charts!$B$3="none",AD56,IF(CR56="",NA(),CR56))</f>
        <v>0</v>
      </c>
      <c r="FG14">
        <f>IF(Charts!$B$3="none",AE56,IF(CS56="",NA(),CS56))</f>
        <v>0</v>
      </c>
      <c r="FH14">
        <f>IF(Charts!$B$3="none",AF56,IF(CT56="",NA(),CT56))</f>
        <v>0</v>
      </c>
      <c r="FI14">
        <f>IF(Charts!$B$3="none",AG56,IF(CU56="",NA(),CU56))</f>
        <v>0</v>
      </c>
      <c r="FJ14">
        <f>IF(Charts!$B$3="none",AH56,IF(CV56="",NA(),CV56))</f>
        <v>0</v>
      </c>
      <c r="FK14">
        <f>IF(Charts!$B$3="none",AI56,IF(CW56="",NA(),CW56))</f>
        <v>0</v>
      </c>
      <c r="FL14">
        <f>IF(Charts!$B$3="none",AJ56,IF(CX56="",NA(),CX56))</f>
        <v>0</v>
      </c>
      <c r="FM14">
        <f>IF(Charts!$B$3="none",AK56,IF(CY56="",NA(),CY56))</f>
        <v>0</v>
      </c>
      <c r="FN14">
        <f>IF(Charts!$B$3="none",AL56,IF(CZ56="",NA(),CZ56))</f>
        <v>0</v>
      </c>
      <c r="FO14">
        <f>IF(Charts!$B$3="none",AM56,IF(DA56="",NA(),DA56))</f>
        <v>0</v>
      </c>
      <c r="FP14">
        <f>IF(Charts!$B$3="none",AN56,IF(DB56="",NA(),DB56))</f>
        <v>0</v>
      </c>
      <c r="FQ14">
        <f>IF(Charts!$B$3="none",AO56,IF(DC56="",NA(),DC56))</f>
        <v>0</v>
      </c>
      <c r="FR14">
        <f>IF(Charts!$B$3="none",AP56,IF(DD56="",NA(),DD56))</f>
        <v>0</v>
      </c>
      <c r="FS14">
        <f>IF(Charts!$B$3="none",AQ56,IF(DE56="",NA(),DE56))</f>
        <v>0</v>
      </c>
      <c r="FT14">
        <f>IF(Charts!$B$3="none",AR56,IF(DF56="",NA(),DF56))</f>
        <v>0</v>
      </c>
      <c r="FU14">
        <f>IF(Charts!$B$3="none",AS56,IF(DG56="",NA(),DG56))</f>
        <v>0</v>
      </c>
      <c r="FV14">
        <f>IF(Charts!$B$3="none",AT56,IF(DH56="",NA(),DH56))</f>
        <v>0</v>
      </c>
      <c r="FW14">
        <f>IF(Charts!$B$3="none",AU56,IF(DI56="",NA(),DI56))</f>
        <v>0</v>
      </c>
      <c r="FX14">
        <f>IF(Charts!$B$3="none",AV56,IF(DJ56="",NA(),DJ56))</f>
        <v>0</v>
      </c>
      <c r="FY14">
        <f>IF(Charts!$B$3="none",AW56,IF(DK56="",NA(),DK56))</f>
        <v>0</v>
      </c>
      <c r="FZ14">
        <f>IF(Charts!$B$3="none",AX56,IF(DL56="",NA(),DL56))</f>
        <v>0</v>
      </c>
      <c r="GA14">
        <f>IF(Charts!$B$3="none",AY56,IF(DM56="",NA(),DM56))</f>
        <v>0</v>
      </c>
      <c r="GB14">
        <f>IF(Charts!$B$3="none",AZ56,IF(DN56="",NA(),DN56))</f>
        <v>0</v>
      </c>
      <c r="GC14">
        <f>IF(Charts!$B$3="none",BA56,IF(DO56="",NA(),DO56))</f>
        <v>0</v>
      </c>
      <c r="GD14">
        <f>IF(Charts!$B$3="none",BB56,IF(DP56="",NA(),DP56))</f>
        <v>0</v>
      </c>
      <c r="GE14">
        <f>IF(Charts!$B$3="none",BC56,IF(DQ56="",NA(),DQ56))</f>
        <v>0</v>
      </c>
      <c r="GF14">
        <f>IF(Charts!$B$3="none",BD56,IF(DR56="",NA(),DR56))</f>
        <v>0</v>
      </c>
      <c r="GG14">
        <f>IF(Charts!$B$3="none",BE56,IF(DS56="",NA(),DS56))</f>
        <v>0</v>
      </c>
      <c r="GH14">
        <f>IF(Charts!$B$3="none",BF56,IF(DT56="",NA(),DT56))</f>
        <v>0</v>
      </c>
      <c r="GI14">
        <f>IF(Charts!$B$3="none",BG56,IF(DU56="",NA(),DU56))</f>
        <v>0</v>
      </c>
      <c r="GJ14">
        <f>IF(Charts!$B$3="none",BH56,IF(DV56="",NA(),DV56))</f>
        <v>0</v>
      </c>
      <c r="GK14">
        <f>IF(Charts!$B$3="none",BI56,IF(DW56="",NA(),DW56))</f>
        <v>0</v>
      </c>
      <c r="GL14">
        <f>IF(Charts!$B$3="none",BJ56,IF(DX56="",NA(),DX56))</f>
        <v>0</v>
      </c>
      <c r="GM14">
        <f>IF(Charts!$B$3="none",BK56,IF(DY56="",NA(),DY56))</f>
        <v>0</v>
      </c>
      <c r="GN14">
        <f>IF(Charts!$B$3="none",BL56,IF(DZ56="",NA(),DZ56))</f>
        <v>0</v>
      </c>
      <c r="GO14">
        <f>IF(Charts!$B$3="none",BM56,IF(EA56="",NA(),EA56))</f>
        <v>0</v>
      </c>
      <c r="GP14">
        <f>IF(Charts!$B$3="none",BN56,IF(EB56="",NA(),EB56))</f>
        <v>0</v>
      </c>
      <c r="GQ14">
        <f>IF(Charts!$B$3="none",BO56,IF(EC56="",NA(),EC56))</f>
        <v>0</v>
      </c>
      <c r="GR14">
        <f>IF(Charts!$B$3="none",BP56,IF(ED56="",NA(),ED56))</f>
        <v>0</v>
      </c>
    </row>
    <row r="15" spans="1:200">
      <c r="A15" t="s">
        <v>29</v>
      </c>
      <c r="B15">
        <v>14</v>
      </c>
      <c r="E15">
        <v>2</v>
      </c>
      <c r="F15">
        <f>F6</f>
        <v>0</v>
      </c>
      <c r="G15">
        <v>2</v>
      </c>
      <c r="H15">
        <f>H6</f>
        <v>0</v>
      </c>
      <c r="I15">
        <v>2</v>
      </c>
      <c r="J15">
        <f>J6</f>
        <v>0</v>
      </c>
      <c r="K15">
        <v>2</v>
      </c>
      <c r="L15">
        <f>L6</f>
        <v>0</v>
      </c>
      <c r="M15">
        <v>2</v>
      </c>
      <c r="N15">
        <f>N6</f>
        <v>0</v>
      </c>
      <c r="O15">
        <v>2</v>
      </c>
      <c r="P15">
        <f>P6</f>
        <v>0</v>
      </c>
      <c r="Q15">
        <v>2</v>
      </c>
      <c r="R15">
        <f>R6</f>
        <v>0</v>
      </c>
      <c r="S15">
        <v>2</v>
      </c>
      <c r="T15">
        <f>T6</f>
        <v>0</v>
      </c>
      <c r="U15">
        <v>2</v>
      </c>
      <c r="V15">
        <f>V6</f>
        <v>0</v>
      </c>
      <c r="W15">
        <v>2</v>
      </c>
      <c r="X15">
        <f>X6</f>
        <v>0</v>
      </c>
      <c r="Y15">
        <v>2</v>
      </c>
      <c r="Z15">
        <f>Z6</f>
        <v>0</v>
      </c>
      <c r="AA15">
        <v>2</v>
      </c>
      <c r="AB15">
        <f>AB6</f>
        <v>0</v>
      </c>
      <c r="AC15">
        <v>2</v>
      </c>
      <c r="AD15">
        <f>AD6</f>
        <v>0</v>
      </c>
      <c r="AE15">
        <v>2</v>
      </c>
      <c r="AF15">
        <f>AF6</f>
        <v>0</v>
      </c>
      <c r="AG15">
        <v>2</v>
      </c>
      <c r="AH15">
        <f>AH6</f>
        <v>0</v>
      </c>
      <c r="AI15">
        <v>2</v>
      </c>
      <c r="AJ15">
        <f>AJ6</f>
        <v>0</v>
      </c>
      <c r="AK15">
        <v>2</v>
      </c>
      <c r="AL15">
        <f>AL6</f>
        <v>0</v>
      </c>
      <c r="AM15">
        <v>2</v>
      </c>
      <c r="AN15">
        <f>AN6</f>
        <v>0</v>
      </c>
      <c r="AO15">
        <v>2</v>
      </c>
      <c r="AP15">
        <f>AP6</f>
        <v>0</v>
      </c>
      <c r="AQ15">
        <v>2</v>
      </c>
      <c r="AR15">
        <f>AR6</f>
        <v>0</v>
      </c>
      <c r="AS15">
        <v>2</v>
      </c>
      <c r="AT15">
        <f>AT6</f>
        <v>0</v>
      </c>
      <c r="AU15">
        <v>2</v>
      </c>
      <c r="AV15">
        <f>AV6</f>
        <v>0</v>
      </c>
      <c r="AW15">
        <v>2</v>
      </c>
      <c r="AX15">
        <f>AX6</f>
        <v>0</v>
      </c>
      <c r="AY15">
        <v>2</v>
      </c>
      <c r="AZ15">
        <f>AZ6</f>
        <v>0</v>
      </c>
      <c r="BA15">
        <v>2</v>
      </c>
      <c r="BB15">
        <f>BB6</f>
        <v>0</v>
      </c>
      <c r="BC15">
        <v>2</v>
      </c>
      <c r="BD15">
        <f>BD6</f>
        <v>0</v>
      </c>
      <c r="BE15">
        <v>2</v>
      </c>
      <c r="BF15">
        <f>BF6</f>
        <v>0</v>
      </c>
      <c r="BG15">
        <v>2</v>
      </c>
      <c r="BH15">
        <f>BH6</f>
        <v>0</v>
      </c>
      <c r="BI15">
        <v>2</v>
      </c>
      <c r="BJ15">
        <f>BJ6</f>
        <v>0</v>
      </c>
      <c r="BK15">
        <v>2</v>
      </c>
      <c r="BL15">
        <f>BL6</f>
        <v>0</v>
      </c>
      <c r="BM15">
        <v>2</v>
      </c>
      <c r="BN15">
        <f>BN6</f>
        <v>0</v>
      </c>
      <c r="BO15">
        <v>2</v>
      </c>
      <c r="BP15">
        <f>BP6</f>
        <v>0</v>
      </c>
      <c r="BS15">
        <v>2</v>
      </c>
      <c r="BT15">
        <f>BT6</f>
        <v>0</v>
      </c>
      <c r="BU15">
        <v>2</v>
      </c>
      <c r="BV15">
        <f>BV6</f>
        <v>0</v>
      </c>
      <c r="BW15">
        <v>2</v>
      </c>
      <c r="BX15">
        <f>BX6</f>
        <v>0</v>
      </c>
      <c r="BY15">
        <v>2</v>
      </c>
      <c r="BZ15">
        <f>BZ6</f>
        <v>0</v>
      </c>
      <c r="CA15">
        <v>2</v>
      </c>
      <c r="CB15">
        <f>CB6</f>
        <v>0</v>
      </c>
      <c r="CC15">
        <v>2</v>
      </c>
      <c r="CD15">
        <f>CD6</f>
        <v>0</v>
      </c>
      <c r="CE15">
        <v>2</v>
      </c>
      <c r="CF15">
        <f>CF6</f>
        <v>0</v>
      </c>
      <c r="CG15">
        <v>2</v>
      </c>
      <c r="CH15">
        <f>CH6</f>
        <v>0</v>
      </c>
      <c r="CI15">
        <v>2</v>
      </c>
      <c r="CJ15">
        <f>CJ6</f>
        <v>0</v>
      </c>
      <c r="CK15">
        <v>2</v>
      </c>
      <c r="CL15">
        <f>CL6</f>
        <v>0</v>
      </c>
      <c r="CM15">
        <v>2</v>
      </c>
      <c r="CN15">
        <f>CN6</f>
        <v>0</v>
      </c>
      <c r="CO15">
        <v>2</v>
      </c>
      <c r="CP15">
        <f>CP6</f>
        <v>0</v>
      </c>
      <c r="CQ15">
        <v>2</v>
      </c>
      <c r="CR15">
        <f>CR6</f>
        <v>0</v>
      </c>
      <c r="CS15">
        <v>2</v>
      </c>
      <c r="CT15">
        <f>CT6</f>
        <v>0</v>
      </c>
      <c r="CU15">
        <v>2</v>
      </c>
      <c r="CV15">
        <f>CV6</f>
        <v>0</v>
      </c>
      <c r="CW15">
        <v>2</v>
      </c>
      <c r="CX15">
        <f>CX6</f>
        <v>0</v>
      </c>
      <c r="CY15">
        <v>2</v>
      </c>
      <c r="CZ15">
        <f>CZ6</f>
        <v>0</v>
      </c>
      <c r="DA15">
        <v>2</v>
      </c>
      <c r="DB15">
        <f>DB6</f>
        <v>0</v>
      </c>
      <c r="DC15">
        <v>2</v>
      </c>
      <c r="DD15">
        <f>DD6</f>
        <v>0</v>
      </c>
      <c r="DE15">
        <v>2</v>
      </c>
      <c r="DF15">
        <f>DF6</f>
        <v>0</v>
      </c>
      <c r="DG15">
        <v>2</v>
      </c>
      <c r="DH15">
        <f>DH6</f>
        <v>0</v>
      </c>
      <c r="DI15">
        <v>2</v>
      </c>
      <c r="DJ15">
        <f>DJ6</f>
        <v>0</v>
      </c>
      <c r="DK15">
        <v>2</v>
      </c>
      <c r="DL15">
        <f>DL6</f>
        <v>0</v>
      </c>
      <c r="DM15">
        <v>2</v>
      </c>
      <c r="DN15">
        <f>DN6</f>
        <v>0</v>
      </c>
      <c r="DO15">
        <v>2</v>
      </c>
      <c r="DP15">
        <f>DP6</f>
        <v>0</v>
      </c>
      <c r="DQ15">
        <v>2</v>
      </c>
      <c r="DR15">
        <f>DR6</f>
        <v>0</v>
      </c>
      <c r="DS15">
        <v>2</v>
      </c>
      <c r="DT15">
        <f>DT6</f>
        <v>0</v>
      </c>
      <c r="DU15">
        <v>2</v>
      </c>
      <c r="DV15">
        <f>DV6</f>
        <v>0</v>
      </c>
      <c r="DW15">
        <v>2</v>
      </c>
      <c r="DX15">
        <f>DX6</f>
        <v>0</v>
      </c>
      <c r="DY15">
        <v>2</v>
      </c>
      <c r="DZ15">
        <f>DZ6</f>
        <v>0</v>
      </c>
      <c r="EA15">
        <v>2</v>
      </c>
      <c r="EB15">
        <f>EB6</f>
        <v>0</v>
      </c>
      <c r="EC15">
        <v>2</v>
      </c>
      <c r="ED15">
        <f>ED6</f>
        <v>0</v>
      </c>
      <c r="EG15">
        <f>IF(Charts!$B$3="none",E57,IF(BS57="",NA(),BS57))</f>
        <v>0</v>
      </c>
      <c r="EH15">
        <f>IF(Charts!$B$3="none",F57,IF(BT57="",NA(),BT57))</f>
        <v>0</v>
      </c>
      <c r="EI15">
        <f>IF(Charts!$B$3="none",G57,IF(BU57="",NA(),BU57))</f>
        <v>0</v>
      </c>
      <c r="EJ15">
        <f>IF(Charts!$B$3="none",H57,IF(BV57="",NA(),BV57))</f>
        <v>0</v>
      </c>
      <c r="EK15">
        <f>IF(Charts!$B$3="none",I57,IF(BW57="",NA(),BW57))</f>
        <v>0</v>
      </c>
      <c r="EL15">
        <f>IF(Charts!$B$3="none",J57,IF(BX57="",NA(),BX57))</f>
        <v>0</v>
      </c>
      <c r="EM15">
        <f>IF(Charts!$B$3="none",K57,IF(BY57="",NA(),BY57))</f>
        <v>0</v>
      </c>
      <c r="EN15">
        <f>IF(Charts!$B$3="none",L57,IF(BZ57="",NA(),BZ57))</f>
        <v>0</v>
      </c>
      <c r="EO15">
        <f>IF(Charts!$B$3="none",M57,IF(CA57="",NA(),CA57))</f>
        <v>0</v>
      </c>
      <c r="EP15">
        <f>IF(Charts!$B$3="none",N57,IF(CB57="",NA(),CB57))</f>
        <v>0</v>
      </c>
      <c r="EQ15">
        <f>IF(Charts!$B$3="none",O57,IF(CC57="",NA(),CC57))</f>
        <v>0</v>
      </c>
      <c r="ER15">
        <f>IF(Charts!$B$3="none",P57,IF(CD57="",NA(),CD57))</f>
        <v>0</v>
      </c>
      <c r="ES15">
        <f>IF(Charts!$B$3="none",Q57,IF(CE57="",NA(),CE57))</f>
        <v>0</v>
      </c>
      <c r="ET15">
        <f>IF(Charts!$B$3="none",R57,IF(CF57="",NA(),CF57))</f>
        <v>0</v>
      </c>
      <c r="EU15">
        <f>IF(Charts!$B$3="none",S57,IF(CG57="",NA(),CG57))</f>
        <v>0</v>
      </c>
      <c r="EV15">
        <f>IF(Charts!$B$3="none",T57,IF(CH57="",NA(),CH57))</f>
        <v>0</v>
      </c>
      <c r="EW15">
        <f>IF(Charts!$B$3="none",U57,IF(CI57="",NA(),CI57))</f>
        <v>0</v>
      </c>
      <c r="EX15">
        <f>IF(Charts!$B$3="none",V57,IF(CJ57="",NA(),CJ57))</f>
        <v>0</v>
      </c>
      <c r="EY15">
        <f>IF(Charts!$B$3="none",W57,IF(CK57="",NA(),CK57))</f>
        <v>0</v>
      </c>
      <c r="EZ15">
        <f>IF(Charts!$B$3="none",X57,IF(CL57="",NA(),CL57))</f>
        <v>0</v>
      </c>
      <c r="FA15">
        <f>IF(Charts!$B$3="none",Y57,IF(CM57="",NA(),CM57))</f>
        <v>0</v>
      </c>
      <c r="FB15">
        <f>IF(Charts!$B$3="none",Z57,IF(CN57="",NA(),CN57))</f>
        <v>0</v>
      </c>
      <c r="FC15">
        <f>IF(Charts!$B$3="none",AA57,IF(CO57="",NA(),CO57))</f>
        <v>0</v>
      </c>
      <c r="FD15">
        <f>IF(Charts!$B$3="none",AB57,IF(CP57="",NA(),CP57))</f>
        <v>0</v>
      </c>
      <c r="FE15">
        <f>IF(Charts!$B$3="none",AC57,IF(CQ57="",NA(),CQ57))</f>
        <v>0</v>
      </c>
      <c r="FF15">
        <f>IF(Charts!$B$3="none",AD57,IF(CR57="",NA(),CR57))</f>
        <v>0</v>
      </c>
      <c r="FG15">
        <f>IF(Charts!$B$3="none",AE57,IF(CS57="",NA(),CS57))</f>
        <v>0</v>
      </c>
      <c r="FH15">
        <f>IF(Charts!$B$3="none",AF57,IF(CT57="",NA(),CT57))</f>
        <v>0</v>
      </c>
      <c r="FI15">
        <f>IF(Charts!$B$3="none",AG57,IF(CU57="",NA(),CU57))</f>
        <v>0</v>
      </c>
      <c r="FJ15">
        <f>IF(Charts!$B$3="none",AH57,IF(CV57="",NA(),CV57))</f>
        <v>0</v>
      </c>
      <c r="FK15">
        <f>IF(Charts!$B$3="none",AI57,IF(CW57="",NA(),CW57))</f>
        <v>0</v>
      </c>
      <c r="FL15">
        <f>IF(Charts!$B$3="none",AJ57,IF(CX57="",NA(),CX57))</f>
        <v>0</v>
      </c>
      <c r="FM15">
        <f>IF(Charts!$B$3="none",AK57,IF(CY57="",NA(),CY57))</f>
        <v>0</v>
      </c>
      <c r="FN15">
        <f>IF(Charts!$B$3="none",AL57,IF(CZ57="",NA(),CZ57))</f>
        <v>0</v>
      </c>
      <c r="FO15">
        <f>IF(Charts!$B$3="none",AM57,IF(DA57="",NA(),DA57))</f>
        <v>0</v>
      </c>
      <c r="FP15">
        <f>IF(Charts!$B$3="none",AN57,IF(DB57="",NA(),DB57))</f>
        <v>0</v>
      </c>
      <c r="FQ15">
        <f>IF(Charts!$B$3="none",AO57,IF(DC57="",NA(),DC57))</f>
        <v>0</v>
      </c>
      <c r="FR15">
        <f>IF(Charts!$B$3="none",AP57,IF(DD57="",NA(),DD57))</f>
        <v>0</v>
      </c>
      <c r="FS15">
        <f>IF(Charts!$B$3="none",AQ57,IF(DE57="",NA(),DE57))</f>
        <v>0</v>
      </c>
      <c r="FT15">
        <f>IF(Charts!$B$3="none",AR57,IF(DF57="",NA(),DF57))</f>
        <v>0</v>
      </c>
      <c r="FU15">
        <f>IF(Charts!$B$3="none",AS57,IF(DG57="",NA(),DG57))</f>
        <v>0</v>
      </c>
      <c r="FV15">
        <f>IF(Charts!$B$3="none",AT57,IF(DH57="",NA(),DH57))</f>
        <v>0</v>
      </c>
      <c r="FW15">
        <f>IF(Charts!$B$3="none",AU57,IF(DI57="",NA(),DI57))</f>
        <v>0</v>
      </c>
      <c r="FX15">
        <f>IF(Charts!$B$3="none",AV57,IF(DJ57="",NA(),DJ57))</f>
        <v>0</v>
      </c>
      <c r="FY15">
        <f>IF(Charts!$B$3="none",AW57,IF(DK57="",NA(),DK57))</f>
        <v>0</v>
      </c>
      <c r="FZ15">
        <f>IF(Charts!$B$3="none",AX57,IF(DL57="",NA(),DL57))</f>
        <v>0</v>
      </c>
      <c r="GA15">
        <f>IF(Charts!$B$3="none",AY57,IF(DM57="",NA(),DM57))</f>
        <v>0</v>
      </c>
      <c r="GB15">
        <f>IF(Charts!$B$3="none",AZ57,IF(DN57="",NA(),DN57))</f>
        <v>0</v>
      </c>
      <c r="GC15">
        <f>IF(Charts!$B$3="none",BA57,IF(DO57="",NA(),DO57))</f>
        <v>0</v>
      </c>
      <c r="GD15">
        <f>IF(Charts!$B$3="none",BB57,IF(DP57="",NA(),DP57))</f>
        <v>0</v>
      </c>
      <c r="GE15">
        <f>IF(Charts!$B$3="none",BC57,IF(DQ57="",NA(),DQ57))</f>
        <v>0</v>
      </c>
      <c r="GF15">
        <f>IF(Charts!$B$3="none",BD57,IF(DR57="",NA(),DR57))</f>
        <v>0</v>
      </c>
      <c r="GG15">
        <f>IF(Charts!$B$3="none",BE57,IF(DS57="",NA(),DS57))</f>
        <v>0</v>
      </c>
      <c r="GH15">
        <f>IF(Charts!$B$3="none",BF57,IF(DT57="",NA(),DT57))</f>
        <v>0</v>
      </c>
      <c r="GI15">
        <f>IF(Charts!$B$3="none",BG57,IF(DU57="",NA(),DU57))</f>
        <v>0</v>
      </c>
      <c r="GJ15">
        <f>IF(Charts!$B$3="none",BH57,IF(DV57="",NA(),DV57))</f>
        <v>0</v>
      </c>
      <c r="GK15">
        <f>IF(Charts!$B$3="none",BI57,IF(DW57="",NA(),DW57))</f>
        <v>0</v>
      </c>
      <c r="GL15">
        <f>IF(Charts!$B$3="none",BJ57,IF(DX57="",NA(),DX57))</f>
        <v>0</v>
      </c>
      <c r="GM15">
        <f>IF(Charts!$B$3="none",BK57,IF(DY57="",NA(),DY57))</f>
        <v>0</v>
      </c>
      <c r="GN15">
        <f>IF(Charts!$B$3="none",BL57,IF(DZ57="",NA(),DZ57))</f>
        <v>0</v>
      </c>
      <c r="GO15">
        <f>IF(Charts!$B$3="none",BM57,IF(EA57="",NA(),EA57))</f>
        <v>0</v>
      </c>
      <c r="GP15">
        <f>IF(Charts!$B$3="none",BN57,IF(EB57="",NA(),EB57))</f>
        <v>0</v>
      </c>
      <c r="GQ15">
        <f>IF(Charts!$B$3="none",BO57,IF(EC57="",NA(),EC57))</f>
        <v>0</v>
      </c>
      <c r="GR15">
        <f>IF(Charts!$B$3="none",BP57,IF(ED57="",NA(),ED57))</f>
        <v>0</v>
      </c>
    </row>
    <row r="16" spans="1:200">
      <c r="A16" t="s">
        <v>32</v>
      </c>
      <c r="B16">
        <v>16</v>
      </c>
      <c r="E16">
        <v>3</v>
      </c>
      <c r="F16">
        <f>F7</f>
        <v>0</v>
      </c>
      <c r="G16">
        <v>3</v>
      </c>
      <c r="H16">
        <f>H7</f>
        <v>0</v>
      </c>
      <c r="I16">
        <v>3</v>
      </c>
      <c r="J16">
        <f>J7</f>
        <v>0</v>
      </c>
      <c r="K16">
        <v>3</v>
      </c>
      <c r="L16">
        <f>L7</f>
        <v>0</v>
      </c>
      <c r="M16">
        <v>3</v>
      </c>
      <c r="N16">
        <f>N7</f>
        <v>0</v>
      </c>
      <c r="O16">
        <v>3</v>
      </c>
      <c r="P16">
        <f>P7</f>
        <v>0</v>
      </c>
      <c r="Q16">
        <v>3</v>
      </c>
      <c r="R16">
        <f>R7</f>
        <v>0</v>
      </c>
      <c r="S16">
        <v>3</v>
      </c>
      <c r="T16">
        <f>T7</f>
        <v>0</v>
      </c>
      <c r="U16">
        <v>3</v>
      </c>
      <c r="V16">
        <f>V7</f>
        <v>0</v>
      </c>
      <c r="W16">
        <v>3</v>
      </c>
      <c r="X16">
        <f>X7</f>
        <v>0</v>
      </c>
      <c r="Y16">
        <v>3</v>
      </c>
      <c r="Z16">
        <f>Z7</f>
        <v>0</v>
      </c>
      <c r="AA16">
        <v>3</v>
      </c>
      <c r="AB16">
        <f>AB7</f>
        <v>0</v>
      </c>
      <c r="AC16">
        <v>3</v>
      </c>
      <c r="AD16">
        <f>AD7</f>
        <v>0</v>
      </c>
      <c r="AE16">
        <v>3</v>
      </c>
      <c r="AF16">
        <f>AF7</f>
        <v>0</v>
      </c>
      <c r="AG16">
        <v>3</v>
      </c>
      <c r="AH16">
        <f>AH7</f>
        <v>0</v>
      </c>
      <c r="AI16">
        <v>3</v>
      </c>
      <c r="AJ16">
        <f>AJ7</f>
        <v>0</v>
      </c>
      <c r="AK16">
        <v>3</v>
      </c>
      <c r="AL16">
        <f>AL7</f>
        <v>0</v>
      </c>
      <c r="AM16">
        <v>3</v>
      </c>
      <c r="AN16">
        <f>AN7</f>
        <v>0</v>
      </c>
      <c r="AO16">
        <v>3</v>
      </c>
      <c r="AP16">
        <f>AP7</f>
        <v>0</v>
      </c>
      <c r="AQ16">
        <v>3</v>
      </c>
      <c r="AR16">
        <f>AR7</f>
        <v>0</v>
      </c>
      <c r="AS16">
        <v>3</v>
      </c>
      <c r="AT16">
        <f>AT7</f>
        <v>0</v>
      </c>
      <c r="AU16">
        <v>3</v>
      </c>
      <c r="AV16">
        <f>AV7</f>
        <v>0</v>
      </c>
      <c r="AW16">
        <v>3</v>
      </c>
      <c r="AX16">
        <f>AX7</f>
        <v>0</v>
      </c>
      <c r="AY16">
        <v>3</v>
      </c>
      <c r="AZ16">
        <f>AZ7</f>
        <v>0</v>
      </c>
      <c r="BA16">
        <v>3</v>
      </c>
      <c r="BB16">
        <f>BB7</f>
        <v>0</v>
      </c>
      <c r="BC16">
        <v>3</v>
      </c>
      <c r="BD16">
        <f>BD7</f>
        <v>0</v>
      </c>
      <c r="BE16">
        <v>3</v>
      </c>
      <c r="BF16">
        <f>BF7</f>
        <v>0</v>
      </c>
      <c r="BG16">
        <v>3</v>
      </c>
      <c r="BH16">
        <f>BH7</f>
        <v>0</v>
      </c>
      <c r="BI16">
        <v>3</v>
      </c>
      <c r="BJ16">
        <f>BJ7</f>
        <v>0</v>
      </c>
      <c r="BK16">
        <v>3</v>
      </c>
      <c r="BL16">
        <f>BL7</f>
        <v>0</v>
      </c>
      <c r="BM16">
        <v>3</v>
      </c>
      <c r="BN16">
        <f>BN7</f>
        <v>0</v>
      </c>
      <c r="BO16">
        <v>3</v>
      </c>
      <c r="BP16">
        <f>BP7</f>
        <v>0</v>
      </c>
      <c r="BS16">
        <v>3</v>
      </c>
      <c r="BT16">
        <f>BT7</f>
        <v>0</v>
      </c>
      <c r="BU16">
        <v>3</v>
      </c>
      <c r="BV16">
        <f>BV7</f>
        <v>0</v>
      </c>
      <c r="BW16">
        <v>3</v>
      </c>
      <c r="BX16">
        <f>BX7</f>
        <v>0</v>
      </c>
      <c r="BY16">
        <v>3</v>
      </c>
      <c r="BZ16">
        <f>BZ7</f>
        <v>0</v>
      </c>
      <c r="CA16">
        <v>3</v>
      </c>
      <c r="CB16">
        <f>CB7</f>
        <v>0</v>
      </c>
      <c r="CC16">
        <v>3</v>
      </c>
      <c r="CD16">
        <f>CD7</f>
        <v>0</v>
      </c>
      <c r="CE16">
        <v>3</v>
      </c>
      <c r="CF16">
        <f>CF7</f>
        <v>0</v>
      </c>
      <c r="CG16">
        <v>3</v>
      </c>
      <c r="CH16">
        <f>CH7</f>
        <v>0</v>
      </c>
      <c r="CI16">
        <v>3</v>
      </c>
      <c r="CJ16">
        <f>CJ7</f>
        <v>0</v>
      </c>
      <c r="CK16">
        <v>3</v>
      </c>
      <c r="CL16">
        <f>CL7</f>
        <v>0</v>
      </c>
      <c r="CM16">
        <v>3</v>
      </c>
      <c r="CN16">
        <f>CN7</f>
        <v>0</v>
      </c>
      <c r="CO16">
        <v>3</v>
      </c>
      <c r="CP16">
        <f>CP7</f>
        <v>0</v>
      </c>
      <c r="CQ16">
        <v>3</v>
      </c>
      <c r="CR16">
        <f>CR7</f>
        <v>0</v>
      </c>
      <c r="CS16">
        <v>3</v>
      </c>
      <c r="CT16">
        <f>CT7</f>
        <v>0</v>
      </c>
      <c r="CU16">
        <v>3</v>
      </c>
      <c r="CV16">
        <f>CV7</f>
        <v>0</v>
      </c>
      <c r="CW16">
        <v>3</v>
      </c>
      <c r="CX16">
        <f>CX7</f>
        <v>0</v>
      </c>
      <c r="CY16">
        <v>3</v>
      </c>
      <c r="CZ16">
        <f>CZ7</f>
        <v>0</v>
      </c>
      <c r="DA16">
        <v>3</v>
      </c>
      <c r="DB16">
        <f>DB7</f>
        <v>0</v>
      </c>
      <c r="DC16">
        <v>3</v>
      </c>
      <c r="DD16">
        <f>DD7</f>
        <v>0</v>
      </c>
      <c r="DE16">
        <v>3</v>
      </c>
      <c r="DF16">
        <f>DF7</f>
        <v>0</v>
      </c>
      <c r="DG16">
        <v>3</v>
      </c>
      <c r="DH16">
        <f>DH7</f>
        <v>0</v>
      </c>
      <c r="DI16">
        <v>3</v>
      </c>
      <c r="DJ16">
        <f>DJ7</f>
        <v>0</v>
      </c>
      <c r="DK16">
        <v>3</v>
      </c>
      <c r="DL16">
        <f>DL7</f>
        <v>0</v>
      </c>
      <c r="DM16">
        <v>3</v>
      </c>
      <c r="DN16">
        <f>DN7</f>
        <v>0</v>
      </c>
      <c r="DO16">
        <v>3</v>
      </c>
      <c r="DP16">
        <f>DP7</f>
        <v>0</v>
      </c>
      <c r="DQ16">
        <v>3</v>
      </c>
      <c r="DR16">
        <f>DR7</f>
        <v>0</v>
      </c>
      <c r="DS16">
        <v>3</v>
      </c>
      <c r="DT16">
        <f>DT7</f>
        <v>0</v>
      </c>
      <c r="DU16">
        <v>3</v>
      </c>
      <c r="DV16">
        <f>DV7</f>
        <v>0</v>
      </c>
      <c r="DW16">
        <v>3</v>
      </c>
      <c r="DX16">
        <f>DX7</f>
        <v>0</v>
      </c>
      <c r="DY16">
        <v>3</v>
      </c>
      <c r="DZ16">
        <f>DZ7</f>
        <v>0</v>
      </c>
      <c r="EA16">
        <v>3</v>
      </c>
      <c r="EB16">
        <f>EB7</f>
        <v>0</v>
      </c>
      <c r="EC16">
        <v>3</v>
      </c>
      <c r="ED16">
        <f>ED7</f>
        <v>0</v>
      </c>
      <c r="EG16">
        <f>IF(Charts!$B$3="none",E58,IF(BS58="",NA(),BS58))</f>
        <v>0</v>
      </c>
      <c r="EH16">
        <f>IF(Charts!$B$3="none",F58,IF(BT58="",NA(),BT58))</f>
        <v>0</v>
      </c>
      <c r="EI16">
        <f>IF(Charts!$B$3="none",G58,IF(BU58="",NA(),BU58))</f>
        <v>0</v>
      </c>
      <c r="EJ16">
        <f>IF(Charts!$B$3="none",H58,IF(BV58="",NA(),BV58))</f>
        <v>0</v>
      </c>
      <c r="EK16">
        <f>IF(Charts!$B$3="none",I58,IF(BW58="",NA(),BW58))</f>
        <v>0</v>
      </c>
      <c r="EL16">
        <f>IF(Charts!$B$3="none",J58,IF(BX58="",NA(),BX58))</f>
        <v>0</v>
      </c>
      <c r="EM16">
        <f>IF(Charts!$B$3="none",K58,IF(BY58="",NA(),BY58))</f>
        <v>0</v>
      </c>
      <c r="EN16">
        <f>IF(Charts!$B$3="none",L58,IF(BZ58="",NA(),BZ58))</f>
        <v>0</v>
      </c>
      <c r="EO16">
        <f>IF(Charts!$B$3="none",M58,IF(CA58="",NA(),CA58))</f>
        <v>0</v>
      </c>
      <c r="EP16">
        <f>IF(Charts!$B$3="none",N58,IF(CB58="",NA(),CB58))</f>
        <v>0</v>
      </c>
      <c r="EQ16">
        <f>IF(Charts!$B$3="none",O58,IF(CC58="",NA(),CC58))</f>
        <v>0</v>
      </c>
      <c r="ER16">
        <f>IF(Charts!$B$3="none",P58,IF(CD58="",NA(),CD58))</f>
        <v>0</v>
      </c>
      <c r="ES16">
        <f>IF(Charts!$B$3="none",Q58,IF(CE58="",NA(),CE58))</f>
        <v>0</v>
      </c>
      <c r="ET16">
        <f>IF(Charts!$B$3="none",R58,IF(CF58="",NA(),CF58))</f>
        <v>0</v>
      </c>
      <c r="EU16">
        <f>IF(Charts!$B$3="none",S58,IF(CG58="",NA(),CG58))</f>
        <v>0</v>
      </c>
      <c r="EV16">
        <f>IF(Charts!$B$3="none",T58,IF(CH58="",NA(),CH58))</f>
        <v>0</v>
      </c>
      <c r="EW16">
        <f>IF(Charts!$B$3="none",U58,IF(CI58="",NA(),CI58))</f>
        <v>0</v>
      </c>
      <c r="EX16">
        <f>IF(Charts!$B$3="none",V58,IF(CJ58="",NA(),CJ58))</f>
        <v>0</v>
      </c>
      <c r="EY16">
        <f>IF(Charts!$B$3="none",W58,IF(CK58="",NA(),CK58))</f>
        <v>0</v>
      </c>
      <c r="EZ16">
        <f>IF(Charts!$B$3="none",X58,IF(CL58="",NA(),CL58))</f>
        <v>0</v>
      </c>
      <c r="FA16">
        <f>IF(Charts!$B$3="none",Y58,IF(CM58="",NA(),CM58))</f>
        <v>0</v>
      </c>
      <c r="FB16">
        <f>IF(Charts!$B$3="none",Z58,IF(CN58="",NA(),CN58))</f>
        <v>0</v>
      </c>
      <c r="FC16">
        <f>IF(Charts!$B$3="none",AA58,IF(CO58="",NA(),CO58))</f>
        <v>0</v>
      </c>
      <c r="FD16">
        <f>IF(Charts!$B$3="none",AB58,IF(CP58="",NA(),CP58))</f>
        <v>0</v>
      </c>
      <c r="FE16">
        <f>IF(Charts!$B$3="none",AC58,IF(CQ58="",NA(),CQ58))</f>
        <v>0</v>
      </c>
      <c r="FF16">
        <f>IF(Charts!$B$3="none",AD58,IF(CR58="",NA(),CR58))</f>
        <v>0</v>
      </c>
      <c r="FG16">
        <f>IF(Charts!$B$3="none",AE58,IF(CS58="",NA(),CS58))</f>
        <v>0</v>
      </c>
      <c r="FH16">
        <f>IF(Charts!$B$3="none",AF58,IF(CT58="",NA(),CT58))</f>
        <v>0</v>
      </c>
      <c r="FI16">
        <f>IF(Charts!$B$3="none",AG58,IF(CU58="",NA(),CU58))</f>
        <v>0</v>
      </c>
      <c r="FJ16">
        <f>IF(Charts!$B$3="none",AH58,IF(CV58="",NA(),CV58))</f>
        <v>0</v>
      </c>
      <c r="FK16">
        <f>IF(Charts!$B$3="none",AI58,IF(CW58="",NA(),CW58))</f>
        <v>0</v>
      </c>
      <c r="FL16">
        <f>IF(Charts!$B$3="none",AJ58,IF(CX58="",NA(),CX58))</f>
        <v>0</v>
      </c>
      <c r="FM16">
        <f>IF(Charts!$B$3="none",AK58,IF(CY58="",NA(),CY58))</f>
        <v>0</v>
      </c>
      <c r="FN16">
        <f>IF(Charts!$B$3="none",AL58,IF(CZ58="",NA(),CZ58))</f>
        <v>0</v>
      </c>
      <c r="FO16">
        <f>IF(Charts!$B$3="none",AM58,IF(DA58="",NA(),DA58))</f>
        <v>0</v>
      </c>
      <c r="FP16">
        <f>IF(Charts!$B$3="none",AN58,IF(DB58="",NA(),DB58))</f>
        <v>0</v>
      </c>
      <c r="FQ16">
        <f>IF(Charts!$B$3="none",AO58,IF(DC58="",NA(),DC58))</f>
        <v>0</v>
      </c>
      <c r="FR16">
        <f>IF(Charts!$B$3="none",AP58,IF(DD58="",NA(),DD58))</f>
        <v>0</v>
      </c>
      <c r="FS16">
        <f>IF(Charts!$B$3="none",AQ58,IF(DE58="",NA(),DE58))</f>
        <v>0</v>
      </c>
      <c r="FT16">
        <f>IF(Charts!$B$3="none",AR58,IF(DF58="",NA(),DF58))</f>
        <v>0</v>
      </c>
      <c r="FU16">
        <f>IF(Charts!$B$3="none",AS58,IF(DG58="",NA(),DG58))</f>
        <v>0</v>
      </c>
      <c r="FV16">
        <f>IF(Charts!$B$3="none",AT58,IF(DH58="",NA(),DH58))</f>
        <v>0</v>
      </c>
      <c r="FW16">
        <f>IF(Charts!$B$3="none",AU58,IF(DI58="",NA(),DI58))</f>
        <v>0</v>
      </c>
      <c r="FX16">
        <f>IF(Charts!$B$3="none",AV58,IF(DJ58="",NA(),DJ58))</f>
        <v>0</v>
      </c>
      <c r="FY16">
        <f>IF(Charts!$B$3="none",AW58,IF(DK58="",NA(),DK58))</f>
        <v>0</v>
      </c>
      <c r="FZ16">
        <f>IF(Charts!$B$3="none",AX58,IF(DL58="",NA(),DL58))</f>
        <v>0</v>
      </c>
      <c r="GA16">
        <f>IF(Charts!$B$3="none",AY58,IF(DM58="",NA(),DM58))</f>
        <v>0</v>
      </c>
      <c r="GB16">
        <f>IF(Charts!$B$3="none",AZ58,IF(DN58="",NA(),DN58))</f>
        <v>0</v>
      </c>
      <c r="GC16">
        <f>IF(Charts!$B$3="none",BA58,IF(DO58="",NA(),DO58))</f>
        <v>0</v>
      </c>
      <c r="GD16">
        <f>IF(Charts!$B$3="none",BB58,IF(DP58="",NA(),DP58))</f>
        <v>0</v>
      </c>
      <c r="GE16">
        <f>IF(Charts!$B$3="none",BC58,IF(DQ58="",NA(),DQ58))</f>
        <v>0</v>
      </c>
      <c r="GF16">
        <f>IF(Charts!$B$3="none",BD58,IF(DR58="",NA(),DR58))</f>
        <v>0</v>
      </c>
      <c r="GG16">
        <f>IF(Charts!$B$3="none",BE58,IF(DS58="",NA(),DS58))</f>
        <v>0</v>
      </c>
      <c r="GH16">
        <f>IF(Charts!$B$3="none",BF58,IF(DT58="",NA(),DT58))</f>
        <v>0</v>
      </c>
      <c r="GI16">
        <f>IF(Charts!$B$3="none",BG58,IF(DU58="",NA(),DU58))</f>
        <v>0</v>
      </c>
      <c r="GJ16">
        <f>IF(Charts!$B$3="none",BH58,IF(DV58="",NA(),DV58))</f>
        <v>0</v>
      </c>
      <c r="GK16">
        <f>IF(Charts!$B$3="none",BI58,IF(DW58="",NA(),DW58))</f>
        <v>0</v>
      </c>
      <c r="GL16">
        <f>IF(Charts!$B$3="none",BJ58,IF(DX58="",NA(),DX58))</f>
        <v>0</v>
      </c>
      <c r="GM16">
        <f>IF(Charts!$B$3="none",BK58,IF(DY58="",NA(),DY58))</f>
        <v>0</v>
      </c>
      <c r="GN16">
        <f>IF(Charts!$B$3="none",BL58,IF(DZ58="",NA(),DZ58))</f>
        <v>0</v>
      </c>
      <c r="GO16">
        <f>IF(Charts!$B$3="none",BM58,IF(EA58="",NA(),EA58))</f>
        <v>0</v>
      </c>
      <c r="GP16">
        <f>IF(Charts!$B$3="none",BN58,IF(EB58="",NA(),EB58))</f>
        <v>0</v>
      </c>
      <c r="GQ16">
        <f>IF(Charts!$B$3="none",BO58,IF(EC58="",NA(),EC58))</f>
        <v>0</v>
      </c>
      <c r="GR16">
        <f>IF(Charts!$B$3="none",BP58,IF(ED58="",NA(),ED58))</f>
        <v>0</v>
      </c>
    </row>
    <row r="17" spans="1:200">
      <c r="A17" t="s">
        <v>33</v>
      </c>
      <c r="B17">
        <v>17</v>
      </c>
      <c r="E17">
        <v>4</v>
      </c>
      <c r="F17">
        <f>F8</f>
        <v>0</v>
      </c>
      <c r="G17">
        <v>4</v>
      </c>
      <c r="H17">
        <f>H8</f>
        <v>0</v>
      </c>
      <c r="I17">
        <v>4</v>
      </c>
      <c r="J17">
        <f>J8</f>
        <v>0</v>
      </c>
      <c r="K17">
        <v>4</v>
      </c>
      <c r="L17">
        <f>L8</f>
        <v>0</v>
      </c>
      <c r="M17">
        <v>4</v>
      </c>
      <c r="N17">
        <f>N8</f>
        <v>0</v>
      </c>
      <c r="O17">
        <v>4</v>
      </c>
      <c r="P17">
        <f>P8</f>
        <v>0</v>
      </c>
      <c r="Q17">
        <v>4</v>
      </c>
      <c r="R17">
        <f>R8</f>
        <v>0</v>
      </c>
      <c r="S17">
        <v>4</v>
      </c>
      <c r="T17">
        <f>T8</f>
        <v>0</v>
      </c>
      <c r="U17">
        <v>4</v>
      </c>
      <c r="V17">
        <f>V8</f>
        <v>0</v>
      </c>
      <c r="W17">
        <v>4</v>
      </c>
      <c r="X17">
        <f>X8</f>
        <v>0</v>
      </c>
      <c r="Y17">
        <v>4</v>
      </c>
      <c r="Z17">
        <f>Z8</f>
        <v>0</v>
      </c>
      <c r="AA17">
        <v>4</v>
      </c>
      <c r="AB17">
        <f>AB8</f>
        <v>0</v>
      </c>
      <c r="AC17">
        <v>4</v>
      </c>
      <c r="AD17">
        <f>AD8</f>
        <v>0</v>
      </c>
      <c r="AE17">
        <v>4</v>
      </c>
      <c r="AF17">
        <f>AF8</f>
        <v>0</v>
      </c>
      <c r="AG17">
        <v>4</v>
      </c>
      <c r="AH17">
        <f>AH8</f>
        <v>0</v>
      </c>
      <c r="AI17">
        <v>4</v>
      </c>
      <c r="AJ17">
        <f>AJ8</f>
        <v>0</v>
      </c>
      <c r="AK17">
        <v>4</v>
      </c>
      <c r="AL17">
        <f>AL8</f>
        <v>0</v>
      </c>
      <c r="AM17">
        <v>4</v>
      </c>
      <c r="AN17">
        <f>AN8</f>
        <v>0</v>
      </c>
      <c r="AO17">
        <v>4</v>
      </c>
      <c r="AP17">
        <f>AP8</f>
        <v>0</v>
      </c>
      <c r="AQ17">
        <v>4</v>
      </c>
      <c r="AR17">
        <f>AR8</f>
        <v>0</v>
      </c>
      <c r="AS17">
        <v>4</v>
      </c>
      <c r="AT17">
        <f>AT8</f>
        <v>0</v>
      </c>
      <c r="AU17">
        <v>4</v>
      </c>
      <c r="AV17">
        <f>AV8</f>
        <v>0</v>
      </c>
      <c r="AW17">
        <v>4</v>
      </c>
      <c r="AX17">
        <f>AX8</f>
        <v>0</v>
      </c>
      <c r="AY17">
        <v>4</v>
      </c>
      <c r="AZ17">
        <f>AZ8</f>
        <v>0</v>
      </c>
      <c r="BA17">
        <v>4</v>
      </c>
      <c r="BB17">
        <f>BB8</f>
        <v>0</v>
      </c>
      <c r="BC17">
        <v>4</v>
      </c>
      <c r="BD17">
        <f>BD8</f>
        <v>0</v>
      </c>
      <c r="BE17">
        <v>4</v>
      </c>
      <c r="BF17">
        <f>BF8</f>
        <v>0</v>
      </c>
      <c r="BG17">
        <v>4</v>
      </c>
      <c r="BH17">
        <f>BH8</f>
        <v>0</v>
      </c>
      <c r="BI17">
        <v>4</v>
      </c>
      <c r="BJ17">
        <f>BJ8</f>
        <v>0</v>
      </c>
      <c r="BK17">
        <v>4</v>
      </c>
      <c r="BL17">
        <f>BL8</f>
        <v>0</v>
      </c>
      <c r="BM17">
        <v>4</v>
      </c>
      <c r="BN17">
        <f>BN8</f>
        <v>0</v>
      </c>
      <c r="BO17">
        <v>4</v>
      </c>
      <c r="BP17">
        <f>BP8</f>
        <v>0</v>
      </c>
      <c r="BS17">
        <v>4</v>
      </c>
      <c r="BT17">
        <f>BT8</f>
        <v>0</v>
      </c>
      <c r="BU17">
        <v>4</v>
      </c>
      <c r="BV17">
        <f>BV8</f>
        <v>0</v>
      </c>
      <c r="BW17">
        <v>4</v>
      </c>
      <c r="BX17">
        <f>BX8</f>
        <v>0</v>
      </c>
      <c r="BY17">
        <v>4</v>
      </c>
      <c r="BZ17">
        <f>BZ8</f>
        <v>0</v>
      </c>
      <c r="CA17">
        <v>4</v>
      </c>
      <c r="CB17">
        <f>CB8</f>
        <v>0</v>
      </c>
      <c r="CC17">
        <v>4</v>
      </c>
      <c r="CD17">
        <f>CD8</f>
        <v>0</v>
      </c>
      <c r="CE17">
        <v>4</v>
      </c>
      <c r="CF17">
        <f>CF8</f>
        <v>0</v>
      </c>
      <c r="CG17">
        <v>4</v>
      </c>
      <c r="CH17">
        <f>CH8</f>
        <v>0</v>
      </c>
      <c r="CI17">
        <v>4</v>
      </c>
      <c r="CJ17">
        <f>CJ8</f>
        <v>0</v>
      </c>
      <c r="CK17">
        <v>4</v>
      </c>
      <c r="CL17">
        <f>CL8</f>
        <v>0</v>
      </c>
      <c r="CM17">
        <v>4</v>
      </c>
      <c r="CN17">
        <f>CN8</f>
        <v>0</v>
      </c>
      <c r="CO17">
        <v>4</v>
      </c>
      <c r="CP17">
        <f>CP8</f>
        <v>0</v>
      </c>
      <c r="CQ17">
        <v>4</v>
      </c>
      <c r="CR17">
        <f>CR8</f>
        <v>0</v>
      </c>
      <c r="CS17">
        <v>4</v>
      </c>
      <c r="CT17">
        <f>CT8</f>
        <v>0</v>
      </c>
      <c r="CU17">
        <v>4</v>
      </c>
      <c r="CV17">
        <f>CV8</f>
        <v>0</v>
      </c>
      <c r="CW17">
        <v>4</v>
      </c>
      <c r="CX17">
        <f>CX8</f>
        <v>0</v>
      </c>
      <c r="CY17">
        <v>4</v>
      </c>
      <c r="CZ17">
        <f>CZ8</f>
        <v>0</v>
      </c>
      <c r="DA17">
        <v>4</v>
      </c>
      <c r="DB17">
        <f>DB8</f>
        <v>0</v>
      </c>
      <c r="DC17">
        <v>4</v>
      </c>
      <c r="DD17">
        <f>DD8</f>
        <v>0</v>
      </c>
      <c r="DE17">
        <v>4</v>
      </c>
      <c r="DF17">
        <f>DF8</f>
        <v>0</v>
      </c>
      <c r="DG17">
        <v>4</v>
      </c>
      <c r="DH17">
        <f>DH8</f>
        <v>0</v>
      </c>
      <c r="DI17">
        <v>4</v>
      </c>
      <c r="DJ17">
        <f>DJ8</f>
        <v>0</v>
      </c>
      <c r="DK17">
        <v>4</v>
      </c>
      <c r="DL17">
        <f>DL8</f>
        <v>0</v>
      </c>
      <c r="DM17">
        <v>4</v>
      </c>
      <c r="DN17">
        <f>DN8</f>
        <v>0</v>
      </c>
      <c r="DO17">
        <v>4</v>
      </c>
      <c r="DP17">
        <f>DP8</f>
        <v>0</v>
      </c>
      <c r="DQ17">
        <v>4</v>
      </c>
      <c r="DR17">
        <f>DR8</f>
        <v>0</v>
      </c>
      <c r="DS17">
        <v>4</v>
      </c>
      <c r="DT17">
        <f>DT8</f>
        <v>0</v>
      </c>
      <c r="DU17">
        <v>4</v>
      </c>
      <c r="DV17">
        <f>DV8</f>
        <v>0</v>
      </c>
      <c r="DW17">
        <v>4</v>
      </c>
      <c r="DX17">
        <f>DX8</f>
        <v>0</v>
      </c>
      <c r="DY17">
        <v>4</v>
      </c>
      <c r="DZ17">
        <f>DZ8</f>
        <v>0</v>
      </c>
      <c r="EA17">
        <v>4</v>
      </c>
      <c r="EB17">
        <f>EB8</f>
        <v>0</v>
      </c>
      <c r="EC17">
        <v>4</v>
      </c>
      <c r="ED17">
        <f>ED8</f>
        <v>0</v>
      </c>
      <c r="EG17">
        <f>IF(Charts!$B$3="none",E59,IF(BS59="",NA(),BS59))</f>
        <v>0</v>
      </c>
      <c r="EH17">
        <f>IF(Charts!$B$3="none",F59,IF(BT59="",NA(),BT59))</f>
        <v>0</v>
      </c>
      <c r="EI17">
        <f>IF(Charts!$B$3="none",G59,IF(BU59="",NA(),BU59))</f>
        <v>0</v>
      </c>
      <c r="EJ17">
        <f>IF(Charts!$B$3="none",H59,IF(BV59="",NA(),BV59))</f>
        <v>0</v>
      </c>
      <c r="EK17">
        <f>IF(Charts!$B$3="none",I59,IF(BW59="",NA(),BW59))</f>
        <v>0</v>
      </c>
      <c r="EL17">
        <f>IF(Charts!$B$3="none",J59,IF(BX59="",NA(),BX59))</f>
        <v>0</v>
      </c>
      <c r="EM17">
        <f>IF(Charts!$B$3="none",K59,IF(BY59="",NA(),BY59))</f>
        <v>0</v>
      </c>
      <c r="EN17">
        <f>IF(Charts!$B$3="none",L59,IF(BZ59="",NA(),BZ59))</f>
        <v>0</v>
      </c>
      <c r="EO17">
        <f>IF(Charts!$B$3="none",M59,IF(CA59="",NA(),CA59))</f>
        <v>0</v>
      </c>
      <c r="EP17">
        <f>IF(Charts!$B$3="none",N59,IF(CB59="",NA(),CB59))</f>
        <v>0</v>
      </c>
      <c r="EQ17">
        <f>IF(Charts!$B$3="none",O59,IF(CC59="",NA(),CC59))</f>
        <v>0</v>
      </c>
      <c r="ER17">
        <f>IF(Charts!$B$3="none",P59,IF(CD59="",NA(),CD59))</f>
        <v>0</v>
      </c>
      <c r="ES17">
        <f>IF(Charts!$B$3="none",Q59,IF(CE59="",NA(),CE59))</f>
        <v>0</v>
      </c>
      <c r="ET17">
        <f>IF(Charts!$B$3="none",R59,IF(CF59="",NA(),CF59))</f>
        <v>0</v>
      </c>
      <c r="EU17">
        <f>IF(Charts!$B$3="none",S59,IF(CG59="",NA(),CG59))</f>
        <v>0</v>
      </c>
      <c r="EV17">
        <f>IF(Charts!$B$3="none",T59,IF(CH59="",NA(),CH59))</f>
        <v>0</v>
      </c>
      <c r="EW17">
        <f>IF(Charts!$B$3="none",U59,IF(CI59="",NA(),CI59))</f>
        <v>0</v>
      </c>
      <c r="EX17">
        <f>IF(Charts!$B$3="none",V59,IF(CJ59="",NA(),CJ59))</f>
        <v>0</v>
      </c>
      <c r="EY17">
        <f>IF(Charts!$B$3="none",W59,IF(CK59="",NA(),CK59))</f>
        <v>0</v>
      </c>
      <c r="EZ17">
        <f>IF(Charts!$B$3="none",X59,IF(CL59="",NA(),CL59))</f>
        <v>0</v>
      </c>
      <c r="FA17">
        <f>IF(Charts!$B$3="none",Y59,IF(CM59="",NA(),CM59))</f>
        <v>0</v>
      </c>
      <c r="FB17">
        <f>IF(Charts!$B$3="none",Z59,IF(CN59="",NA(),CN59))</f>
        <v>0</v>
      </c>
      <c r="FC17">
        <f>IF(Charts!$B$3="none",AA59,IF(CO59="",NA(),CO59))</f>
        <v>0</v>
      </c>
      <c r="FD17">
        <f>IF(Charts!$B$3="none",AB59,IF(CP59="",NA(),CP59))</f>
        <v>0</v>
      </c>
      <c r="FE17">
        <f>IF(Charts!$B$3="none",AC59,IF(CQ59="",NA(),CQ59))</f>
        <v>0</v>
      </c>
      <c r="FF17">
        <f>IF(Charts!$B$3="none",AD59,IF(CR59="",NA(),CR59))</f>
        <v>0</v>
      </c>
      <c r="FG17">
        <f>IF(Charts!$B$3="none",AE59,IF(CS59="",NA(),CS59))</f>
        <v>0</v>
      </c>
      <c r="FH17">
        <f>IF(Charts!$B$3="none",AF59,IF(CT59="",NA(),CT59))</f>
        <v>0</v>
      </c>
      <c r="FI17">
        <f>IF(Charts!$B$3="none",AG59,IF(CU59="",NA(),CU59))</f>
        <v>0</v>
      </c>
      <c r="FJ17">
        <f>IF(Charts!$B$3="none",AH59,IF(CV59="",NA(),CV59))</f>
        <v>0</v>
      </c>
      <c r="FK17">
        <f>IF(Charts!$B$3="none",AI59,IF(CW59="",NA(),CW59))</f>
        <v>0</v>
      </c>
      <c r="FL17">
        <f>IF(Charts!$B$3="none",AJ59,IF(CX59="",NA(),CX59))</f>
        <v>0</v>
      </c>
      <c r="FM17">
        <f>IF(Charts!$B$3="none",AK59,IF(CY59="",NA(),CY59))</f>
        <v>0</v>
      </c>
      <c r="FN17">
        <f>IF(Charts!$B$3="none",AL59,IF(CZ59="",NA(),CZ59))</f>
        <v>0</v>
      </c>
      <c r="FO17">
        <f>IF(Charts!$B$3="none",AM59,IF(DA59="",NA(),DA59))</f>
        <v>0</v>
      </c>
      <c r="FP17">
        <f>IF(Charts!$B$3="none",AN59,IF(DB59="",NA(),DB59))</f>
        <v>0</v>
      </c>
      <c r="FQ17">
        <f>IF(Charts!$B$3="none",AO59,IF(DC59="",NA(),DC59))</f>
        <v>0</v>
      </c>
      <c r="FR17">
        <f>IF(Charts!$B$3="none",AP59,IF(DD59="",NA(),DD59))</f>
        <v>0</v>
      </c>
      <c r="FS17">
        <f>IF(Charts!$B$3="none",AQ59,IF(DE59="",NA(),DE59))</f>
        <v>0</v>
      </c>
      <c r="FT17">
        <f>IF(Charts!$B$3="none",AR59,IF(DF59="",NA(),DF59))</f>
        <v>0</v>
      </c>
      <c r="FU17">
        <f>IF(Charts!$B$3="none",AS59,IF(DG59="",NA(),DG59))</f>
        <v>0</v>
      </c>
      <c r="FV17">
        <f>IF(Charts!$B$3="none",AT59,IF(DH59="",NA(),DH59))</f>
        <v>0</v>
      </c>
      <c r="FW17">
        <f>IF(Charts!$B$3="none",AU59,IF(DI59="",NA(),DI59))</f>
        <v>0</v>
      </c>
      <c r="FX17">
        <f>IF(Charts!$B$3="none",AV59,IF(DJ59="",NA(),DJ59))</f>
        <v>0</v>
      </c>
      <c r="FY17">
        <f>IF(Charts!$B$3="none",AW59,IF(DK59="",NA(),DK59))</f>
        <v>0</v>
      </c>
      <c r="FZ17">
        <f>IF(Charts!$B$3="none",AX59,IF(DL59="",NA(),DL59))</f>
        <v>0</v>
      </c>
      <c r="GA17">
        <f>IF(Charts!$B$3="none",AY59,IF(DM59="",NA(),DM59))</f>
        <v>0</v>
      </c>
      <c r="GB17">
        <f>IF(Charts!$B$3="none",AZ59,IF(DN59="",NA(),DN59))</f>
        <v>0</v>
      </c>
      <c r="GC17">
        <f>IF(Charts!$B$3="none",BA59,IF(DO59="",NA(),DO59))</f>
        <v>0</v>
      </c>
      <c r="GD17">
        <f>IF(Charts!$B$3="none",BB59,IF(DP59="",NA(),DP59))</f>
        <v>0</v>
      </c>
      <c r="GE17">
        <f>IF(Charts!$B$3="none",BC59,IF(DQ59="",NA(),DQ59))</f>
        <v>0</v>
      </c>
      <c r="GF17">
        <f>IF(Charts!$B$3="none",BD59,IF(DR59="",NA(),DR59))</f>
        <v>0</v>
      </c>
      <c r="GG17">
        <f>IF(Charts!$B$3="none",BE59,IF(DS59="",NA(),DS59))</f>
        <v>0</v>
      </c>
      <c r="GH17">
        <f>IF(Charts!$B$3="none",BF59,IF(DT59="",NA(),DT59))</f>
        <v>0</v>
      </c>
      <c r="GI17">
        <f>IF(Charts!$B$3="none",BG59,IF(DU59="",NA(),DU59))</f>
        <v>0</v>
      </c>
      <c r="GJ17">
        <f>IF(Charts!$B$3="none",BH59,IF(DV59="",NA(),DV59))</f>
        <v>0</v>
      </c>
      <c r="GK17">
        <f>IF(Charts!$B$3="none",BI59,IF(DW59="",NA(),DW59))</f>
        <v>0</v>
      </c>
      <c r="GL17">
        <f>IF(Charts!$B$3="none",BJ59,IF(DX59="",NA(),DX59))</f>
        <v>0</v>
      </c>
      <c r="GM17">
        <f>IF(Charts!$B$3="none",BK59,IF(DY59="",NA(),DY59))</f>
        <v>0</v>
      </c>
      <c r="GN17">
        <f>IF(Charts!$B$3="none",BL59,IF(DZ59="",NA(),DZ59))</f>
        <v>0</v>
      </c>
      <c r="GO17">
        <f>IF(Charts!$B$3="none",BM59,IF(EA59="",NA(),EA59))</f>
        <v>0</v>
      </c>
      <c r="GP17">
        <f>IF(Charts!$B$3="none",BN59,IF(EB59="",NA(),EB59))</f>
        <v>0</v>
      </c>
      <c r="GQ17">
        <f>IF(Charts!$B$3="none",BO59,IF(EC59="",NA(),EC59))</f>
        <v>0</v>
      </c>
      <c r="GR17">
        <f>IF(Charts!$B$3="none",BP59,IF(ED59="",NA(),ED59))</f>
        <v>0</v>
      </c>
    </row>
    <row r="18" spans="1:200">
      <c r="A18" t="s">
        <v>34</v>
      </c>
      <c r="B18">
        <v>18</v>
      </c>
      <c r="E18">
        <v>5</v>
      </c>
      <c r="F18">
        <f>F9</f>
        <v>0</v>
      </c>
      <c r="G18">
        <v>5</v>
      </c>
      <c r="H18">
        <f>H9</f>
        <v>0</v>
      </c>
      <c r="I18">
        <v>5</v>
      </c>
      <c r="J18">
        <f>J9</f>
        <v>0</v>
      </c>
      <c r="K18">
        <v>5</v>
      </c>
      <c r="L18">
        <f>L9</f>
        <v>0</v>
      </c>
      <c r="M18">
        <v>5</v>
      </c>
      <c r="N18">
        <f>N9</f>
        <v>0</v>
      </c>
      <c r="O18">
        <v>5</v>
      </c>
      <c r="P18">
        <f>P9</f>
        <v>0</v>
      </c>
      <c r="Q18">
        <v>5</v>
      </c>
      <c r="R18">
        <f>R9</f>
        <v>0</v>
      </c>
      <c r="S18">
        <v>5</v>
      </c>
      <c r="T18">
        <f>T9</f>
        <v>0</v>
      </c>
      <c r="U18">
        <v>5</v>
      </c>
      <c r="V18">
        <f>V9</f>
        <v>0</v>
      </c>
      <c r="W18">
        <v>5</v>
      </c>
      <c r="X18">
        <f>X9</f>
        <v>0</v>
      </c>
      <c r="Y18">
        <v>5</v>
      </c>
      <c r="Z18">
        <f>Z9</f>
        <v>0</v>
      </c>
      <c r="AA18">
        <v>5</v>
      </c>
      <c r="AB18">
        <f>AB9</f>
        <v>0</v>
      </c>
      <c r="AC18">
        <v>5</v>
      </c>
      <c r="AD18">
        <f>AD9</f>
        <v>0</v>
      </c>
      <c r="AE18">
        <v>5</v>
      </c>
      <c r="AF18">
        <f>AF9</f>
        <v>0</v>
      </c>
      <c r="AG18">
        <v>5</v>
      </c>
      <c r="AH18">
        <f>AH9</f>
        <v>0</v>
      </c>
      <c r="AI18">
        <v>5</v>
      </c>
      <c r="AJ18">
        <f>AJ9</f>
        <v>0</v>
      </c>
      <c r="AK18">
        <v>5</v>
      </c>
      <c r="AL18">
        <f>AL9</f>
        <v>0</v>
      </c>
      <c r="AM18">
        <v>5</v>
      </c>
      <c r="AN18">
        <f>AN9</f>
        <v>0</v>
      </c>
      <c r="AO18">
        <v>5</v>
      </c>
      <c r="AP18">
        <f>AP9</f>
        <v>0</v>
      </c>
      <c r="AQ18">
        <v>5</v>
      </c>
      <c r="AR18">
        <f>AR9</f>
        <v>0</v>
      </c>
      <c r="AS18">
        <v>5</v>
      </c>
      <c r="AT18">
        <f>AT9</f>
        <v>0</v>
      </c>
      <c r="AU18">
        <v>5</v>
      </c>
      <c r="AV18">
        <f>AV9</f>
        <v>0</v>
      </c>
      <c r="AW18">
        <v>5</v>
      </c>
      <c r="AX18">
        <f>AX9</f>
        <v>0</v>
      </c>
      <c r="AY18">
        <v>5</v>
      </c>
      <c r="AZ18">
        <f>AZ9</f>
        <v>0</v>
      </c>
      <c r="BA18">
        <v>5</v>
      </c>
      <c r="BB18">
        <f>BB9</f>
        <v>0</v>
      </c>
      <c r="BC18">
        <v>5</v>
      </c>
      <c r="BD18">
        <f>BD9</f>
        <v>0</v>
      </c>
      <c r="BE18">
        <v>5</v>
      </c>
      <c r="BF18">
        <f>BF9</f>
        <v>0</v>
      </c>
      <c r="BG18">
        <v>5</v>
      </c>
      <c r="BH18">
        <f>BH9</f>
        <v>0</v>
      </c>
      <c r="BI18">
        <v>5</v>
      </c>
      <c r="BJ18">
        <f>BJ9</f>
        <v>0</v>
      </c>
      <c r="BK18">
        <v>5</v>
      </c>
      <c r="BL18">
        <f>BL9</f>
        <v>0</v>
      </c>
      <c r="BM18">
        <v>5</v>
      </c>
      <c r="BN18">
        <f>BN9</f>
        <v>0</v>
      </c>
      <c r="BO18">
        <v>5</v>
      </c>
      <c r="BP18">
        <f>BP9</f>
        <v>0</v>
      </c>
      <c r="BS18">
        <v>5</v>
      </c>
      <c r="BT18">
        <f>BT9</f>
        <v>0</v>
      </c>
      <c r="BU18">
        <v>5</v>
      </c>
      <c r="BV18">
        <f>BV9</f>
        <v>0</v>
      </c>
      <c r="BW18">
        <v>5</v>
      </c>
      <c r="BX18">
        <f>BX9</f>
        <v>0</v>
      </c>
      <c r="BY18">
        <v>5</v>
      </c>
      <c r="BZ18">
        <f>BZ9</f>
        <v>0</v>
      </c>
      <c r="CA18">
        <v>5</v>
      </c>
      <c r="CB18">
        <f>CB9</f>
        <v>0</v>
      </c>
      <c r="CC18">
        <v>5</v>
      </c>
      <c r="CD18">
        <f>CD9</f>
        <v>0</v>
      </c>
      <c r="CE18">
        <v>5</v>
      </c>
      <c r="CF18">
        <f>CF9</f>
        <v>0</v>
      </c>
      <c r="CG18">
        <v>5</v>
      </c>
      <c r="CH18">
        <f>CH9</f>
        <v>0</v>
      </c>
      <c r="CI18">
        <v>5</v>
      </c>
      <c r="CJ18">
        <f>CJ9</f>
        <v>0</v>
      </c>
      <c r="CK18">
        <v>5</v>
      </c>
      <c r="CL18">
        <f>CL9</f>
        <v>0</v>
      </c>
      <c r="CM18">
        <v>5</v>
      </c>
      <c r="CN18">
        <f>CN9</f>
        <v>0</v>
      </c>
      <c r="CO18">
        <v>5</v>
      </c>
      <c r="CP18">
        <f>CP9</f>
        <v>0</v>
      </c>
      <c r="CQ18">
        <v>5</v>
      </c>
      <c r="CR18">
        <f>CR9</f>
        <v>0</v>
      </c>
      <c r="CS18">
        <v>5</v>
      </c>
      <c r="CT18">
        <f>CT9</f>
        <v>0</v>
      </c>
      <c r="CU18">
        <v>5</v>
      </c>
      <c r="CV18">
        <f>CV9</f>
        <v>0</v>
      </c>
      <c r="CW18">
        <v>5</v>
      </c>
      <c r="CX18">
        <f>CX9</f>
        <v>0</v>
      </c>
      <c r="CY18">
        <v>5</v>
      </c>
      <c r="CZ18">
        <f>CZ9</f>
        <v>0</v>
      </c>
      <c r="DA18">
        <v>5</v>
      </c>
      <c r="DB18">
        <f>DB9</f>
        <v>0</v>
      </c>
      <c r="DC18">
        <v>5</v>
      </c>
      <c r="DD18">
        <f>DD9</f>
        <v>0</v>
      </c>
      <c r="DE18">
        <v>5</v>
      </c>
      <c r="DF18">
        <f>DF9</f>
        <v>0</v>
      </c>
      <c r="DG18">
        <v>5</v>
      </c>
      <c r="DH18">
        <f>DH9</f>
        <v>0</v>
      </c>
      <c r="DI18">
        <v>5</v>
      </c>
      <c r="DJ18">
        <f>DJ9</f>
        <v>0</v>
      </c>
      <c r="DK18">
        <v>5</v>
      </c>
      <c r="DL18">
        <f>DL9</f>
        <v>0</v>
      </c>
      <c r="DM18">
        <v>5</v>
      </c>
      <c r="DN18">
        <f>DN9</f>
        <v>0</v>
      </c>
      <c r="DO18">
        <v>5</v>
      </c>
      <c r="DP18">
        <f>DP9</f>
        <v>0</v>
      </c>
      <c r="DQ18">
        <v>5</v>
      </c>
      <c r="DR18">
        <f>DR9</f>
        <v>0</v>
      </c>
      <c r="DS18">
        <v>5</v>
      </c>
      <c r="DT18">
        <f>DT9</f>
        <v>0</v>
      </c>
      <c r="DU18">
        <v>5</v>
      </c>
      <c r="DV18">
        <f>DV9</f>
        <v>0</v>
      </c>
      <c r="DW18">
        <v>5</v>
      </c>
      <c r="DX18">
        <f>DX9</f>
        <v>0</v>
      </c>
      <c r="DY18">
        <v>5</v>
      </c>
      <c r="DZ18">
        <f>DZ9</f>
        <v>0</v>
      </c>
      <c r="EA18">
        <v>5</v>
      </c>
      <c r="EB18">
        <f>EB9</f>
        <v>0</v>
      </c>
      <c r="EC18">
        <v>5</v>
      </c>
      <c r="ED18">
        <f>ED9</f>
        <v>0</v>
      </c>
      <c r="EG18">
        <f>IF(Charts!$B$3="none",E60,IF(BS60="",NA(),BS60))</f>
        <v>0</v>
      </c>
      <c r="EH18">
        <f>IF(Charts!$B$3="none",F60,IF(BT60="",NA(),BT60))</f>
        <v>0</v>
      </c>
      <c r="EI18">
        <f>IF(Charts!$B$3="none",G60,IF(BU60="",NA(),BU60))</f>
        <v>0</v>
      </c>
      <c r="EJ18">
        <f>IF(Charts!$B$3="none",H60,IF(BV60="",NA(),BV60))</f>
        <v>0</v>
      </c>
      <c r="EK18">
        <f>IF(Charts!$B$3="none",I60,IF(BW60="",NA(),BW60))</f>
        <v>0</v>
      </c>
      <c r="EL18">
        <f>IF(Charts!$B$3="none",J60,IF(BX60="",NA(),BX60))</f>
        <v>0</v>
      </c>
      <c r="EM18">
        <f>IF(Charts!$B$3="none",K60,IF(BY60="",NA(),BY60))</f>
        <v>0</v>
      </c>
      <c r="EN18">
        <f>IF(Charts!$B$3="none",L60,IF(BZ60="",NA(),BZ60))</f>
        <v>0</v>
      </c>
      <c r="EO18">
        <f>IF(Charts!$B$3="none",M60,IF(CA60="",NA(),CA60))</f>
        <v>0</v>
      </c>
      <c r="EP18">
        <f>IF(Charts!$B$3="none",N60,IF(CB60="",NA(),CB60))</f>
        <v>0</v>
      </c>
      <c r="EQ18">
        <f>IF(Charts!$B$3="none",O60,IF(CC60="",NA(),CC60))</f>
        <v>0</v>
      </c>
      <c r="ER18">
        <f>IF(Charts!$B$3="none",P60,IF(CD60="",NA(),CD60))</f>
        <v>0</v>
      </c>
      <c r="ES18">
        <f>IF(Charts!$B$3="none",Q60,IF(CE60="",NA(),CE60))</f>
        <v>0</v>
      </c>
      <c r="ET18">
        <f>IF(Charts!$B$3="none",R60,IF(CF60="",NA(),CF60))</f>
        <v>0</v>
      </c>
      <c r="EU18">
        <f>IF(Charts!$B$3="none",S60,IF(CG60="",NA(),CG60))</f>
        <v>0</v>
      </c>
      <c r="EV18">
        <f>IF(Charts!$B$3="none",T60,IF(CH60="",NA(),CH60))</f>
        <v>0</v>
      </c>
      <c r="EW18">
        <f>IF(Charts!$B$3="none",U60,IF(CI60="",NA(),CI60))</f>
        <v>0</v>
      </c>
      <c r="EX18">
        <f>IF(Charts!$B$3="none",V60,IF(CJ60="",NA(),CJ60))</f>
        <v>0</v>
      </c>
      <c r="EY18">
        <f>IF(Charts!$B$3="none",W60,IF(CK60="",NA(),CK60))</f>
        <v>0</v>
      </c>
      <c r="EZ18">
        <f>IF(Charts!$B$3="none",X60,IF(CL60="",NA(),CL60))</f>
        <v>0</v>
      </c>
      <c r="FA18">
        <f>IF(Charts!$B$3="none",Y60,IF(CM60="",NA(),CM60))</f>
        <v>0</v>
      </c>
      <c r="FB18">
        <f>IF(Charts!$B$3="none",Z60,IF(CN60="",NA(),CN60))</f>
        <v>0</v>
      </c>
      <c r="FC18">
        <f>IF(Charts!$B$3="none",AA60,IF(CO60="",NA(),CO60))</f>
        <v>0</v>
      </c>
      <c r="FD18">
        <f>IF(Charts!$B$3="none",AB60,IF(CP60="",NA(),CP60))</f>
        <v>0</v>
      </c>
      <c r="FE18">
        <f>IF(Charts!$B$3="none",AC60,IF(CQ60="",NA(),CQ60))</f>
        <v>0</v>
      </c>
      <c r="FF18">
        <f>IF(Charts!$B$3="none",AD60,IF(CR60="",NA(),CR60))</f>
        <v>0</v>
      </c>
      <c r="FG18">
        <f>IF(Charts!$B$3="none",AE60,IF(CS60="",NA(),CS60))</f>
        <v>0</v>
      </c>
      <c r="FH18">
        <f>IF(Charts!$B$3="none",AF60,IF(CT60="",NA(),CT60))</f>
        <v>0</v>
      </c>
      <c r="FI18">
        <f>IF(Charts!$B$3="none",AG60,IF(CU60="",NA(),CU60))</f>
        <v>0</v>
      </c>
      <c r="FJ18">
        <f>IF(Charts!$B$3="none",AH60,IF(CV60="",NA(),CV60))</f>
        <v>0</v>
      </c>
      <c r="FK18">
        <f>IF(Charts!$B$3="none",AI60,IF(CW60="",NA(),CW60))</f>
        <v>0</v>
      </c>
      <c r="FL18">
        <f>IF(Charts!$B$3="none",AJ60,IF(CX60="",NA(),CX60))</f>
        <v>0</v>
      </c>
      <c r="FM18">
        <f>IF(Charts!$B$3="none",AK60,IF(CY60="",NA(),CY60))</f>
        <v>0</v>
      </c>
      <c r="FN18">
        <f>IF(Charts!$B$3="none",AL60,IF(CZ60="",NA(),CZ60))</f>
        <v>0</v>
      </c>
      <c r="FO18">
        <f>IF(Charts!$B$3="none",AM60,IF(DA60="",NA(),DA60))</f>
        <v>0</v>
      </c>
      <c r="FP18">
        <f>IF(Charts!$B$3="none",AN60,IF(DB60="",NA(),DB60))</f>
        <v>0</v>
      </c>
      <c r="FQ18">
        <f>IF(Charts!$B$3="none",AO60,IF(DC60="",NA(),DC60))</f>
        <v>0</v>
      </c>
      <c r="FR18">
        <f>IF(Charts!$B$3="none",AP60,IF(DD60="",NA(),DD60))</f>
        <v>0</v>
      </c>
      <c r="FS18">
        <f>IF(Charts!$B$3="none",AQ60,IF(DE60="",NA(),DE60))</f>
        <v>0</v>
      </c>
      <c r="FT18">
        <f>IF(Charts!$B$3="none",AR60,IF(DF60="",NA(),DF60))</f>
        <v>0</v>
      </c>
      <c r="FU18">
        <f>IF(Charts!$B$3="none",AS60,IF(DG60="",NA(),DG60))</f>
        <v>0</v>
      </c>
      <c r="FV18">
        <f>IF(Charts!$B$3="none",AT60,IF(DH60="",NA(),DH60))</f>
        <v>0</v>
      </c>
      <c r="FW18">
        <f>IF(Charts!$B$3="none",AU60,IF(DI60="",NA(),DI60))</f>
        <v>0</v>
      </c>
      <c r="FX18">
        <f>IF(Charts!$B$3="none",AV60,IF(DJ60="",NA(),DJ60))</f>
        <v>0</v>
      </c>
      <c r="FY18">
        <f>IF(Charts!$B$3="none",AW60,IF(DK60="",NA(),DK60))</f>
        <v>0</v>
      </c>
      <c r="FZ18">
        <f>IF(Charts!$B$3="none",AX60,IF(DL60="",NA(),DL60))</f>
        <v>0</v>
      </c>
      <c r="GA18">
        <f>IF(Charts!$B$3="none",AY60,IF(DM60="",NA(),DM60))</f>
        <v>0</v>
      </c>
      <c r="GB18">
        <f>IF(Charts!$B$3="none",AZ60,IF(DN60="",NA(),DN60))</f>
        <v>0</v>
      </c>
      <c r="GC18">
        <f>IF(Charts!$B$3="none",BA60,IF(DO60="",NA(),DO60))</f>
        <v>0</v>
      </c>
      <c r="GD18">
        <f>IF(Charts!$B$3="none",BB60,IF(DP60="",NA(),DP60))</f>
        <v>0</v>
      </c>
      <c r="GE18">
        <f>IF(Charts!$B$3="none",BC60,IF(DQ60="",NA(),DQ60))</f>
        <v>0</v>
      </c>
      <c r="GF18">
        <f>IF(Charts!$B$3="none",BD60,IF(DR60="",NA(),DR60))</f>
        <v>0</v>
      </c>
      <c r="GG18">
        <f>IF(Charts!$B$3="none",BE60,IF(DS60="",NA(),DS60))</f>
        <v>0</v>
      </c>
      <c r="GH18">
        <f>IF(Charts!$B$3="none",BF60,IF(DT60="",NA(),DT60))</f>
        <v>0</v>
      </c>
      <c r="GI18">
        <f>IF(Charts!$B$3="none",BG60,IF(DU60="",NA(),DU60))</f>
        <v>0</v>
      </c>
      <c r="GJ18">
        <f>IF(Charts!$B$3="none",BH60,IF(DV60="",NA(),DV60))</f>
        <v>0</v>
      </c>
      <c r="GK18">
        <f>IF(Charts!$B$3="none",BI60,IF(DW60="",NA(),DW60))</f>
        <v>0</v>
      </c>
      <c r="GL18">
        <f>IF(Charts!$B$3="none",BJ60,IF(DX60="",NA(),DX60))</f>
        <v>0</v>
      </c>
      <c r="GM18">
        <f>IF(Charts!$B$3="none",BK60,IF(DY60="",NA(),DY60))</f>
        <v>0</v>
      </c>
      <c r="GN18">
        <f>IF(Charts!$B$3="none",BL60,IF(DZ60="",NA(),DZ60))</f>
        <v>0</v>
      </c>
      <c r="GO18">
        <f>IF(Charts!$B$3="none",BM60,IF(EA60="",NA(),EA60))</f>
        <v>0</v>
      </c>
      <c r="GP18">
        <f>IF(Charts!$B$3="none",BN60,IF(EB60="",NA(),EB60))</f>
        <v>0</v>
      </c>
      <c r="GQ18">
        <f>IF(Charts!$B$3="none",BO60,IF(EC60="",NA(),EC60))</f>
        <v>0</v>
      </c>
      <c r="GR18">
        <f>IF(Charts!$B$3="none",BP60,IF(ED60="",NA(),ED60))</f>
        <v>0</v>
      </c>
    </row>
    <row r="19" spans="1:200">
      <c r="E19">
        <v>6</v>
      </c>
      <c r="F19">
        <f>F10</f>
        <v>0</v>
      </c>
      <c r="G19">
        <v>6</v>
      </c>
      <c r="H19">
        <f>H10</f>
        <v>0</v>
      </c>
      <c r="I19">
        <v>6</v>
      </c>
      <c r="J19">
        <f>J10</f>
        <v>0</v>
      </c>
      <c r="K19">
        <v>6</v>
      </c>
      <c r="L19">
        <f>L10</f>
        <v>0</v>
      </c>
      <c r="M19">
        <v>6</v>
      </c>
      <c r="N19">
        <f>N10</f>
        <v>0</v>
      </c>
      <c r="O19">
        <v>6</v>
      </c>
      <c r="P19">
        <f>P10</f>
        <v>0</v>
      </c>
      <c r="Q19">
        <v>6</v>
      </c>
      <c r="R19">
        <f>R10</f>
        <v>0</v>
      </c>
      <c r="S19">
        <v>6</v>
      </c>
      <c r="T19">
        <f>T10</f>
        <v>0</v>
      </c>
      <c r="U19">
        <v>6</v>
      </c>
      <c r="V19">
        <f>V10</f>
        <v>0</v>
      </c>
      <c r="W19">
        <v>6</v>
      </c>
      <c r="X19">
        <f>X10</f>
        <v>0</v>
      </c>
      <c r="Y19">
        <v>6</v>
      </c>
      <c r="Z19">
        <f>Z10</f>
        <v>0</v>
      </c>
      <c r="AA19">
        <v>6</v>
      </c>
      <c r="AB19">
        <f>AB10</f>
        <v>0</v>
      </c>
      <c r="AC19">
        <v>6</v>
      </c>
      <c r="AD19">
        <f>AD10</f>
        <v>0</v>
      </c>
      <c r="AE19">
        <v>6</v>
      </c>
      <c r="AF19">
        <f>AF10</f>
        <v>0</v>
      </c>
      <c r="AG19">
        <v>6</v>
      </c>
      <c r="AH19">
        <f>AH10</f>
        <v>0</v>
      </c>
      <c r="AI19">
        <v>6</v>
      </c>
      <c r="AJ19">
        <f>AJ10</f>
        <v>0</v>
      </c>
      <c r="AK19">
        <v>6</v>
      </c>
      <c r="AL19">
        <f>AL10</f>
        <v>0</v>
      </c>
      <c r="AM19">
        <v>6</v>
      </c>
      <c r="AN19">
        <f>AN10</f>
        <v>0</v>
      </c>
      <c r="AO19">
        <v>6</v>
      </c>
      <c r="AP19">
        <f>AP10</f>
        <v>0</v>
      </c>
      <c r="AQ19">
        <v>6</v>
      </c>
      <c r="AR19">
        <f>AR10</f>
        <v>0</v>
      </c>
      <c r="AS19">
        <v>6</v>
      </c>
      <c r="AT19">
        <f>AT10</f>
        <v>0</v>
      </c>
      <c r="AU19">
        <v>6</v>
      </c>
      <c r="AV19">
        <f>AV10</f>
        <v>0</v>
      </c>
      <c r="AW19">
        <v>6</v>
      </c>
      <c r="AX19">
        <f>AX10</f>
        <v>0</v>
      </c>
      <c r="AY19">
        <v>6</v>
      </c>
      <c r="AZ19">
        <f>AZ10</f>
        <v>0</v>
      </c>
      <c r="BA19">
        <v>6</v>
      </c>
      <c r="BB19">
        <f>BB10</f>
        <v>0</v>
      </c>
      <c r="BC19">
        <v>6</v>
      </c>
      <c r="BD19">
        <f>BD10</f>
        <v>0</v>
      </c>
      <c r="BE19">
        <v>6</v>
      </c>
      <c r="BF19">
        <f>BF10</f>
        <v>0</v>
      </c>
      <c r="BG19">
        <v>6</v>
      </c>
      <c r="BH19">
        <f>BH10</f>
        <v>0</v>
      </c>
      <c r="BI19">
        <v>6</v>
      </c>
      <c r="BJ19">
        <f>BJ10</f>
        <v>0</v>
      </c>
      <c r="BK19">
        <v>6</v>
      </c>
      <c r="BL19">
        <f>BL10</f>
        <v>0</v>
      </c>
      <c r="BM19">
        <v>6</v>
      </c>
      <c r="BN19">
        <f>BN10</f>
        <v>0</v>
      </c>
      <c r="BO19">
        <v>6</v>
      </c>
      <c r="BP19">
        <f>BP10</f>
        <v>0</v>
      </c>
      <c r="BS19">
        <v>6</v>
      </c>
      <c r="BT19">
        <f>BT10</f>
        <v>0</v>
      </c>
      <c r="BU19">
        <v>6</v>
      </c>
      <c r="BV19">
        <f>BV10</f>
        <v>0</v>
      </c>
      <c r="BW19">
        <v>6</v>
      </c>
      <c r="BX19">
        <f>BX10</f>
        <v>0</v>
      </c>
      <c r="BY19">
        <v>6</v>
      </c>
      <c r="BZ19">
        <f>BZ10</f>
        <v>0</v>
      </c>
      <c r="CA19">
        <v>6</v>
      </c>
      <c r="CB19">
        <f>CB10</f>
        <v>0</v>
      </c>
      <c r="CC19">
        <v>6</v>
      </c>
      <c r="CD19">
        <f>CD10</f>
        <v>0</v>
      </c>
      <c r="CE19">
        <v>6</v>
      </c>
      <c r="CF19">
        <f>CF10</f>
        <v>0</v>
      </c>
      <c r="CG19">
        <v>6</v>
      </c>
      <c r="CH19">
        <f>CH10</f>
        <v>0</v>
      </c>
      <c r="CI19">
        <v>6</v>
      </c>
      <c r="CJ19">
        <f>CJ10</f>
        <v>0</v>
      </c>
      <c r="CK19">
        <v>6</v>
      </c>
      <c r="CL19">
        <f>CL10</f>
        <v>0</v>
      </c>
      <c r="CM19">
        <v>6</v>
      </c>
      <c r="CN19">
        <f>CN10</f>
        <v>0</v>
      </c>
      <c r="CO19">
        <v>6</v>
      </c>
      <c r="CP19">
        <f>CP10</f>
        <v>0</v>
      </c>
      <c r="CQ19">
        <v>6</v>
      </c>
      <c r="CR19">
        <f>CR10</f>
        <v>0</v>
      </c>
      <c r="CS19">
        <v>6</v>
      </c>
      <c r="CT19">
        <f>CT10</f>
        <v>0</v>
      </c>
      <c r="CU19">
        <v>6</v>
      </c>
      <c r="CV19">
        <f>CV10</f>
        <v>0</v>
      </c>
      <c r="CW19">
        <v>6</v>
      </c>
      <c r="CX19">
        <f>CX10</f>
        <v>0</v>
      </c>
      <c r="CY19">
        <v>6</v>
      </c>
      <c r="CZ19">
        <f>CZ10</f>
        <v>0</v>
      </c>
      <c r="DA19">
        <v>6</v>
      </c>
      <c r="DB19">
        <f>DB10</f>
        <v>0</v>
      </c>
      <c r="DC19">
        <v>6</v>
      </c>
      <c r="DD19">
        <f>DD10</f>
        <v>0</v>
      </c>
      <c r="DE19">
        <v>6</v>
      </c>
      <c r="DF19">
        <f>DF10</f>
        <v>0</v>
      </c>
      <c r="DG19">
        <v>6</v>
      </c>
      <c r="DH19">
        <f>DH10</f>
        <v>0</v>
      </c>
      <c r="DI19">
        <v>6</v>
      </c>
      <c r="DJ19">
        <f>DJ10</f>
        <v>0</v>
      </c>
      <c r="DK19">
        <v>6</v>
      </c>
      <c r="DL19">
        <f>DL10</f>
        <v>0</v>
      </c>
      <c r="DM19">
        <v>6</v>
      </c>
      <c r="DN19">
        <f>DN10</f>
        <v>0</v>
      </c>
      <c r="DO19">
        <v>6</v>
      </c>
      <c r="DP19">
        <f>DP10</f>
        <v>0</v>
      </c>
      <c r="DQ19">
        <v>6</v>
      </c>
      <c r="DR19">
        <f>DR10</f>
        <v>0</v>
      </c>
      <c r="DS19">
        <v>6</v>
      </c>
      <c r="DT19">
        <f>DT10</f>
        <v>0</v>
      </c>
      <c r="DU19">
        <v>6</v>
      </c>
      <c r="DV19">
        <f>DV10</f>
        <v>0</v>
      </c>
      <c r="DW19">
        <v>6</v>
      </c>
      <c r="DX19">
        <f>DX10</f>
        <v>0</v>
      </c>
      <c r="DY19">
        <v>6</v>
      </c>
      <c r="DZ19">
        <f>DZ10</f>
        <v>0</v>
      </c>
      <c r="EA19">
        <v>6</v>
      </c>
      <c r="EB19">
        <f>EB10</f>
        <v>0</v>
      </c>
      <c r="EC19">
        <v>6</v>
      </c>
      <c r="ED19">
        <f>ED10</f>
        <v>0</v>
      </c>
    </row>
    <row r="20" spans="1:200">
      <c r="E20">
        <v>7</v>
      </c>
      <c r="F20">
        <f>F11</f>
        <v>0</v>
      </c>
      <c r="G20">
        <v>7</v>
      </c>
      <c r="H20">
        <f>H11</f>
        <v>0</v>
      </c>
      <c r="I20">
        <v>7</v>
      </c>
      <c r="J20">
        <f>J11</f>
        <v>0</v>
      </c>
      <c r="K20">
        <v>7</v>
      </c>
      <c r="L20">
        <f>L11</f>
        <v>0</v>
      </c>
      <c r="M20">
        <v>7</v>
      </c>
      <c r="N20">
        <f>N11</f>
        <v>0</v>
      </c>
      <c r="O20">
        <v>7</v>
      </c>
      <c r="P20">
        <f>P11</f>
        <v>0</v>
      </c>
      <c r="Q20">
        <v>7</v>
      </c>
      <c r="R20">
        <f>R11</f>
        <v>0</v>
      </c>
      <c r="S20">
        <v>7</v>
      </c>
      <c r="T20">
        <f>T11</f>
        <v>0</v>
      </c>
      <c r="U20">
        <v>7</v>
      </c>
      <c r="V20">
        <f>V11</f>
        <v>0</v>
      </c>
      <c r="W20">
        <v>7</v>
      </c>
      <c r="X20">
        <f>X11</f>
        <v>0</v>
      </c>
      <c r="Y20">
        <v>7</v>
      </c>
      <c r="Z20">
        <f>Z11</f>
        <v>0</v>
      </c>
      <c r="AA20">
        <v>7</v>
      </c>
      <c r="AB20">
        <f>AB11</f>
        <v>0</v>
      </c>
      <c r="AC20">
        <v>7</v>
      </c>
      <c r="AD20">
        <f>AD11</f>
        <v>0</v>
      </c>
      <c r="AE20">
        <v>7</v>
      </c>
      <c r="AF20">
        <f>AF11</f>
        <v>0</v>
      </c>
      <c r="AG20">
        <v>7</v>
      </c>
      <c r="AH20">
        <f>AH11</f>
        <v>0</v>
      </c>
      <c r="AI20">
        <v>7</v>
      </c>
      <c r="AJ20">
        <f>AJ11</f>
        <v>0</v>
      </c>
      <c r="AK20">
        <v>7</v>
      </c>
      <c r="AL20">
        <f>AL11</f>
        <v>0</v>
      </c>
      <c r="AM20">
        <v>7</v>
      </c>
      <c r="AN20">
        <f>AN11</f>
        <v>0</v>
      </c>
      <c r="AO20">
        <v>7</v>
      </c>
      <c r="AP20">
        <f>AP11</f>
        <v>0</v>
      </c>
      <c r="AQ20">
        <v>7</v>
      </c>
      <c r="AR20">
        <f>AR11</f>
        <v>0</v>
      </c>
      <c r="AS20">
        <v>7</v>
      </c>
      <c r="AT20">
        <f>AT11</f>
        <v>0</v>
      </c>
      <c r="AU20">
        <v>7</v>
      </c>
      <c r="AV20">
        <f>AV11</f>
        <v>0</v>
      </c>
      <c r="AW20">
        <v>7</v>
      </c>
      <c r="AX20">
        <f>AX11</f>
        <v>0</v>
      </c>
      <c r="AY20">
        <v>7</v>
      </c>
      <c r="AZ20">
        <f>AZ11</f>
        <v>0</v>
      </c>
      <c r="BA20">
        <v>7</v>
      </c>
      <c r="BB20">
        <f>BB11</f>
        <v>0</v>
      </c>
      <c r="BC20">
        <v>7</v>
      </c>
      <c r="BD20">
        <f>BD11</f>
        <v>0</v>
      </c>
      <c r="BE20">
        <v>7</v>
      </c>
      <c r="BF20">
        <f>BF11</f>
        <v>0</v>
      </c>
      <c r="BG20">
        <v>7</v>
      </c>
      <c r="BH20">
        <f>BH11</f>
        <v>0</v>
      </c>
      <c r="BI20">
        <v>7</v>
      </c>
      <c r="BJ20">
        <f>BJ11</f>
        <v>0</v>
      </c>
      <c r="BK20">
        <v>7</v>
      </c>
      <c r="BL20">
        <f>BL11</f>
        <v>0</v>
      </c>
      <c r="BM20">
        <v>7</v>
      </c>
      <c r="BN20">
        <f>BN11</f>
        <v>0</v>
      </c>
      <c r="BO20">
        <v>7</v>
      </c>
      <c r="BP20">
        <f>BP11</f>
        <v>0</v>
      </c>
      <c r="BS20">
        <v>7</v>
      </c>
      <c r="BT20">
        <f>BT11</f>
        <v>0</v>
      </c>
      <c r="BU20">
        <v>7</v>
      </c>
      <c r="BV20">
        <f>BV11</f>
        <v>0</v>
      </c>
      <c r="BW20">
        <v>7</v>
      </c>
      <c r="BX20">
        <f>BX11</f>
        <v>0</v>
      </c>
      <c r="BY20">
        <v>7</v>
      </c>
      <c r="BZ20">
        <f>BZ11</f>
        <v>0</v>
      </c>
      <c r="CA20">
        <v>7</v>
      </c>
      <c r="CB20">
        <f>CB11</f>
        <v>0</v>
      </c>
      <c r="CC20">
        <v>7</v>
      </c>
      <c r="CD20">
        <f>CD11</f>
        <v>0</v>
      </c>
      <c r="CE20">
        <v>7</v>
      </c>
      <c r="CF20">
        <f>CF11</f>
        <v>0</v>
      </c>
      <c r="CG20">
        <v>7</v>
      </c>
      <c r="CH20">
        <f>CH11</f>
        <v>0</v>
      </c>
      <c r="CI20">
        <v>7</v>
      </c>
      <c r="CJ20">
        <f>CJ11</f>
        <v>0</v>
      </c>
      <c r="CK20">
        <v>7</v>
      </c>
      <c r="CL20">
        <f>CL11</f>
        <v>0</v>
      </c>
      <c r="CM20">
        <v>7</v>
      </c>
      <c r="CN20">
        <f>CN11</f>
        <v>0</v>
      </c>
      <c r="CO20">
        <v>7</v>
      </c>
      <c r="CP20">
        <f>CP11</f>
        <v>0</v>
      </c>
      <c r="CQ20">
        <v>7</v>
      </c>
      <c r="CR20">
        <f>CR11</f>
        <v>0</v>
      </c>
      <c r="CS20">
        <v>7</v>
      </c>
      <c r="CT20">
        <f>CT11</f>
        <v>0</v>
      </c>
      <c r="CU20">
        <v>7</v>
      </c>
      <c r="CV20">
        <f>CV11</f>
        <v>0</v>
      </c>
      <c r="CW20">
        <v>7</v>
      </c>
      <c r="CX20">
        <f>CX11</f>
        <v>0</v>
      </c>
      <c r="CY20">
        <v>7</v>
      </c>
      <c r="CZ20">
        <f>CZ11</f>
        <v>0</v>
      </c>
      <c r="DA20">
        <v>7</v>
      </c>
      <c r="DB20">
        <f>DB11</f>
        <v>0</v>
      </c>
      <c r="DC20">
        <v>7</v>
      </c>
      <c r="DD20">
        <f>DD11</f>
        <v>0</v>
      </c>
      <c r="DE20">
        <v>7</v>
      </c>
      <c r="DF20">
        <f>DF11</f>
        <v>0</v>
      </c>
      <c r="DG20">
        <v>7</v>
      </c>
      <c r="DH20">
        <f>DH11</f>
        <v>0</v>
      </c>
      <c r="DI20">
        <v>7</v>
      </c>
      <c r="DJ20">
        <f>DJ11</f>
        <v>0</v>
      </c>
      <c r="DK20">
        <v>7</v>
      </c>
      <c r="DL20">
        <f>DL11</f>
        <v>0</v>
      </c>
      <c r="DM20">
        <v>7</v>
      </c>
      <c r="DN20">
        <f>DN11</f>
        <v>0</v>
      </c>
      <c r="DO20">
        <v>7</v>
      </c>
      <c r="DP20">
        <f>DP11</f>
        <v>0</v>
      </c>
      <c r="DQ20">
        <v>7</v>
      </c>
      <c r="DR20">
        <f>DR11</f>
        <v>0</v>
      </c>
      <c r="DS20">
        <v>7</v>
      </c>
      <c r="DT20">
        <f>DT11</f>
        <v>0</v>
      </c>
      <c r="DU20">
        <v>7</v>
      </c>
      <c r="DV20">
        <f>DV11</f>
        <v>0</v>
      </c>
      <c r="DW20">
        <v>7</v>
      </c>
      <c r="DX20">
        <f>DX11</f>
        <v>0</v>
      </c>
      <c r="DY20">
        <v>7</v>
      </c>
      <c r="DZ20">
        <f>DZ11</f>
        <v>0</v>
      </c>
      <c r="EA20">
        <v>7</v>
      </c>
      <c r="EB20">
        <f>EB11</f>
        <v>0</v>
      </c>
      <c r="EC20">
        <v>7</v>
      </c>
      <c r="ED20">
        <f>ED11</f>
        <v>0</v>
      </c>
    </row>
    <row r="21" spans="1:200">
      <c r="E21">
        <v>2</v>
      </c>
      <c r="F21">
        <f>IF(F6="","",F5)</f>
        <v>0</v>
      </c>
      <c r="G21">
        <v>2</v>
      </c>
      <c r="H21">
        <f>H5</f>
        <v>0</v>
      </c>
      <c r="I21">
        <v>2</v>
      </c>
      <c r="J21">
        <f>IF(J6="","",J5)</f>
        <v>0</v>
      </c>
      <c r="K21">
        <v>2</v>
      </c>
      <c r="L21">
        <f>L5</f>
        <v>0</v>
      </c>
      <c r="M21">
        <v>2</v>
      </c>
      <c r="N21">
        <f>IF(N6="","",N5)</f>
        <v>0</v>
      </c>
      <c r="O21">
        <v>2</v>
      </c>
      <c r="P21">
        <f>P5</f>
        <v>0</v>
      </c>
      <c r="Q21">
        <v>2</v>
      </c>
      <c r="R21">
        <f>IF(R6="","",R5)</f>
        <v>0</v>
      </c>
      <c r="S21">
        <v>2</v>
      </c>
      <c r="T21">
        <f>T5</f>
        <v>0</v>
      </c>
      <c r="U21">
        <v>2</v>
      </c>
      <c r="V21">
        <f>IF(V6="","",V5)</f>
        <v>0</v>
      </c>
      <c r="W21">
        <v>2</v>
      </c>
      <c r="X21">
        <f>X5</f>
        <v>0</v>
      </c>
      <c r="Y21">
        <v>2</v>
      </c>
      <c r="Z21">
        <f>IF(Z6="","",Z5)</f>
        <v>0</v>
      </c>
      <c r="AA21">
        <v>2</v>
      </c>
      <c r="AB21">
        <f>AB5</f>
        <v>0</v>
      </c>
      <c r="AC21">
        <v>2</v>
      </c>
      <c r="AD21">
        <f>IF(AD6="","",AD5)</f>
        <v>0</v>
      </c>
      <c r="AE21">
        <v>2</v>
      </c>
      <c r="AF21">
        <f>AF5</f>
        <v>0</v>
      </c>
      <c r="AG21">
        <v>2</v>
      </c>
      <c r="AH21">
        <f>IF(AH6="","",AH5)</f>
        <v>0</v>
      </c>
      <c r="AI21">
        <v>2</v>
      </c>
      <c r="AJ21">
        <f>AJ5</f>
        <v>0</v>
      </c>
      <c r="AK21">
        <v>2</v>
      </c>
      <c r="AL21">
        <f>IF(AL6="","",AL5)</f>
        <v>0</v>
      </c>
      <c r="AM21">
        <v>2</v>
      </c>
      <c r="AN21">
        <f>AN5</f>
        <v>0</v>
      </c>
      <c r="AO21">
        <v>2</v>
      </c>
      <c r="AP21">
        <f>IF(AP6="","",AP5)</f>
        <v>0</v>
      </c>
      <c r="AQ21">
        <v>2</v>
      </c>
      <c r="AR21">
        <f>AR5</f>
        <v>0</v>
      </c>
      <c r="AS21">
        <v>2</v>
      </c>
      <c r="AT21">
        <f>IF(AT6="","",AT5)</f>
        <v>0</v>
      </c>
      <c r="AU21">
        <v>2</v>
      </c>
      <c r="AV21">
        <f>AV5</f>
        <v>0</v>
      </c>
      <c r="AW21">
        <v>2</v>
      </c>
      <c r="AX21">
        <f>IF(AX6="","",AX5)</f>
        <v>0</v>
      </c>
      <c r="AY21">
        <v>2</v>
      </c>
      <c r="AZ21">
        <f>AZ5</f>
        <v>0</v>
      </c>
      <c r="BA21">
        <v>2</v>
      </c>
      <c r="BB21">
        <f>IF(BB6="","",BB5)</f>
        <v>0</v>
      </c>
      <c r="BC21">
        <v>2</v>
      </c>
      <c r="BD21">
        <f>BD5</f>
        <v>0</v>
      </c>
      <c r="BE21">
        <v>2</v>
      </c>
      <c r="BF21">
        <f>IF(BF6="","",BF5)</f>
        <v>0</v>
      </c>
      <c r="BG21">
        <v>2</v>
      </c>
      <c r="BH21">
        <f>BH5</f>
        <v>0</v>
      </c>
      <c r="BI21">
        <v>2</v>
      </c>
      <c r="BJ21">
        <f>IF(BJ6="","",BJ5)</f>
        <v>0</v>
      </c>
      <c r="BK21">
        <v>2</v>
      </c>
      <c r="BL21">
        <f>BL5</f>
        <v>0</v>
      </c>
      <c r="BM21">
        <v>2</v>
      </c>
      <c r="BN21">
        <f>IF(BN6="","",BN5)</f>
        <v>0</v>
      </c>
      <c r="BO21">
        <v>2</v>
      </c>
      <c r="BP21">
        <f>BP5</f>
        <v>0</v>
      </c>
      <c r="BS21">
        <v>2</v>
      </c>
      <c r="BT21">
        <f>IF(BT6="","",BT5)</f>
        <v>0</v>
      </c>
      <c r="BU21">
        <v>2</v>
      </c>
      <c r="BV21">
        <f>BV5</f>
        <v>0</v>
      </c>
      <c r="BW21">
        <v>2</v>
      </c>
      <c r="BX21">
        <f>IF(BX6="","",BX5)</f>
        <v>0</v>
      </c>
      <c r="BY21">
        <v>2</v>
      </c>
      <c r="BZ21">
        <f>BZ5</f>
        <v>0</v>
      </c>
      <c r="CA21">
        <v>2</v>
      </c>
      <c r="CB21">
        <f>IF(CB6="","",CB5)</f>
        <v>0</v>
      </c>
      <c r="CC21">
        <v>2</v>
      </c>
      <c r="CD21">
        <f>CD5</f>
        <v>0</v>
      </c>
      <c r="CE21">
        <v>2</v>
      </c>
      <c r="CF21">
        <f>IF(CF6="","",CF5)</f>
        <v>0</v>
      </c>
      <c r="CG21">
        <v>2</v>
      </c>
      <c r="CH21">
        <f>CH5</f>
        <v>0</v>
      </c>
      <c r="CI21">
        <v>2</v>
      </c>
      <c r="CJ21">
        <f>IF(CJ6="","",CJ5)</f>
        <v>0</v>
      </c>
      <c r="CK21">
        <v>2</v>
      </c>
      <c r="CL21">
        <f>CL5</f>
        <v>0</v>
      </c>
      <c r="CM21">
        <v>2</v>
      </c>
      <c r="CN21">
        <f>IF(CN6="","",CN5)</f>
        <v>0</v>
      </c>
      <c r="CO21">
        <v>2</v>
      </c>
      <c r="CP21">
        <f>CP5</f>
        <v>0</v>
      </c>
      <c r="CQ21">
        <v>2</v>
      </c>
      <c r="CR21">
        <f>IF(CR6="","",CR5)</f>
        <v>0</v>
      </c>
      <c r="CS21">
        <v>2</v>
      </c>
      <c r="CT21">
        <f>CT5</f>
        <v>0</v>
      </c>
      <c r="CU21">
        <v>2</v>
      </c>
      <c r="CV21">
        <f>IF(CV6="","",CV5)</f>
        <v>0</v>
      </c>
      <c r="CW21">
        <v>2</v>
      </c>
      <c r="CX21">
        <f>CX5</f>
        <v>0</v>
      </c>
      <c r="CY21">
        <v>2</v>
      </c>
      <c r="CZ21">
        <f>IF(CZ6="","",CZ5)</f>
        <v>0</v>
      </c>
      <c r="DA21">
        <v>2</v>
      </c>
      <c r="DB21">
        <f>DB5</f>
        <v>0</v>
      </c>
      <c r="DC21">
        <v>2</v>
      </c>
      <c r="DD21">
        <f>IF(DD6="","",DD5)</f>
        <v>0</v>
      </c>
      <c r="DE21">
        <v>2</v>
      </c>
      <c r="DF21">
        <f>DF5</f>
        <v>0</v>
      </c>
      <c r="DG21">
        <v>2</v>
      </c>
      <c r="DH21">
        <f>IF(DH6="","",DH5)</f>
        <v>0</v>
      </c>
      <c r="DI21">
        <v>2</v>
      </c>
      <c r="DJ21">
        <f>DJ5</f>
        <v>0</v>
      </c>
      <c r="DK21">
        <v>2</v>
      </c>
      <c r="DL21">
        <f>IF(DL6="","",DL5)</f>
        <v>0</v>
      </c>
      <c r="DM21">
        <v>2</v>
      </c>
      <c r="DN21">
        <f>DN5</f>
        <v>0</v>
      </c>
      <c r="DO21">
        <v>2</v>
      </c>
      <c r="DP21">
        <f>IF(DP6="","",DP5)</f>
        <v>0</v>
      </c>
      <c r="DQ21">
        <v>2</v>
      </c>
      <c r="DR21">
        <f>DR5</f>
        <v>0</v>
      </c>
      <c r="DS21">
        <v>2</v>
      </c>
      <c r="DT21">
        <f>IF(DT6="","",DT5)</f>
        <v>0</v>
      </c>
      <c r="DU21">
        <v>2</v>
      </c>
      <c r="DV21">
        <f>DV5</f>
        <v>0</v>
      </c>
      <c r="DW21">
        <v>2</v>
      </c>
      <c r="DX21">
        <f>IF(DX6="","",DX5)</f>
        <v>0</v>
      </c>
      <c r="DY21">
        <v>2</v>
      </c>
      <c r="DZ21">
        <f>DZ5</f>
        <v>0</v>
      </c>
      <c r="EA21">
        <v>2</v>
      </c>
      <c r="EB21">
        <f>IF(EB6="","",EB5)</f>
        <v>0</v>
      </c>
      <c r="EC21">
        <v>2</v>
      </c>
      <c r="ED21">
        <f>ED5</f>
        <v>0</v>
      </c>
    </row>
    <row r="22" spans="1:200">
      <c r="E22">
        <v>3</v>
      </c>
      <c r="F22">
        <f>IF(F7="","",F6)</f>
        <v>0</v>
      </c>
      <c r="G22">
        <v>3</v>
      </c>
      <c r="H22">
        <f>H6</f>
        <v>0</v>
      </c>
      <c r="I22">
        <v>3</v>
      </c>
      <c r="J22">
        <f>IF(J7="","",J6)</f>
        <v>0</v>
      </c>
      <c r="K22">
        <v>3</v>
      </c>
      <c r="L22">
        <f>L6</f>
        <v>0</v>
      </c>
      <c r="M22">
        <v>3</v>
      </c>
      <c r="N22">
        <f>IF(N7="","",N6)</f>
        <v>0</v>
      </c>
      <c r="O22">
        <v>3</v>
      </c>
      <c r="P22">
        <f>P6</f>
        <v>0</v>
      </c>
      <c r="Q22">
        <v>3</v>
      </c>
      <c r="R22">
        <f>IF(R7="","",R6)</f>
        <v>0</v>
      </c>
      <c r="S22">
        <v>3</v>
      </c>
      <c r="T22">
        <f>T6</f>
        <v>0</v>
      </c>
      <c r="U22">
        <v>3</v>
      </c>
      <c r="V22">
        <f>IF(V7="","",V6)</f>
        <v>0</v>
      </c>
      <c r="W22">
        <v>3</v>
      </c>
      <c r="X22">
        <f>X6</f>
        <v>0</v>
      </c>
      <c r="Y22">
        <v>3</v>
      </c>
      <c r="Z22">
        <f>IF(Z7="","",Z6)</f>
        <v>0</v>
      </c>
      <c r="AA22">
        <v>3</v>
      </c>
      <c r="AB22">
        <f>AB6</f>
        <v>0</v>
      </c>
      <c r="AC22">
        <v>3</v>
      </c>
      <c r="AD22">
        <f>IF(AD7="","",AD6)</f>
        <v>0</v>
      </c>
      <c r="AE22">
        <v>3</v>
      </c>
      <c r="AF22">
        <f>AF6</f>
        <v>0</v>
      </c>
      <c r="AG22">
        <v>3</v>
      </c>
      <c r="AH22">
        <f>IF(AH7="","",AH6)</f>
        <v>0</v>
      </c>
      <c r="AI22">
        <v>3</v>
      </c>
      <c r="AJ22">
        <f>AJ6</f>
        <v>0</v>
      </c>
      <c r="AK22">
        <v>3</v>
      </c>
      <c r="AL22">
        <f>IF(AL7="","",AL6)</f>
        <v>0</v>
      </c>
      <c r="AM22">
        <v>3</v>
      </c>
      <c r="AN22">
        <f>AN6</f>
        <v>0</v>
      </c>
      <c r="AO22">
        <v>3</v>
      </c>
      <c r="AP22">
        <f>IF(AP7="","",AP6)</f>
        <v>0</v>
      </c>
      <c r="AQ22">
        <v>3</v>
      </c>
      <c r="AR22">
        <f>AR6</f>
        <v>0</v>
      </c>
      <c r="AS22">
        <v>3</v>
      </c>
      <c r="AT22">
        <f>IF(AT7="","",AT6)</f>
        <v>0</v>
      </c>
      <c r="AU22">
        <v>3</v>
      </c>
      <c r="AV22">
        <f>AV6</f>
        <v>0</v>
      </c>
      <c r="AW22">
        <v>3</v>
      </c>
      <c r="AX22">
        <f>IF(AX7="","",AX6)</f>
        <v>0</v>
      </c>
      <c r="AY22">
        <v>3</v>
      </c>
      <c r="AZ22">
        <f>AZ6</f>
        <v>0</v>
      </c>
      <c r="BA22">
        <v>3</v>
      </c>
      <c r="BB22">
        <f>IF(BB7="","",BB6)</f>
        <v>0</v>
      </c>
      <c r="BC22">
        <v>3</v>
      </c>
      <c r="BD22">
        <f>BD6</f>
        <v>0</v>
      </c>
      <c r="BE22">
        <v>3</v>
      </c>
      <c r="BF22">
        <f>IF(BF7="","",BF6)</f>
        <v>0</v>
      </c>
      <c r="BG22">
        <v>3</v>
      </c>
      <c r="BH22">
        <f>BH6</f>
        <v>0</v>
      </c>
      <c r="BI22">
        <v>3</v>
      </c>
      <c r="BJ22">
        <f>IF(BJ7="","",BJ6)</f>
        <v>0</v>
      </c>
      <c r="BK22">
        <v>3</v>
      </c>
      <c r="BL22">
        <f>BL6</f>
        <v>0</v>
      </c>
      <c r="BM22">
        <v>3</v>
      </c>
      <c r="BN22">
        <f>IF(BN7="","",BN6)</f>
        <v>0</v>
      </c>
      <c r="BO22">
        <v>3</v>
      </c>
      <c r="BP22">
        <f>BP6</f>
        <v>0</v>
      </c>
      <c r="BS22">
        <v>3</v>
      </c>
      <c r="BT22">
        <f>IF(BT7="","",BT6)</f>
        <v>0</v>
      </c>
      <c r="BU22">
        <v>3</v>
      </c>
      <c r="BV22">
        <f>BV6</f>
        <v>0</v>
      </c>
      <c r="BW22">
        <v>3</v>
      </c>
      <c r="BX22">
        <f>IF(BX7="","",BX6)</f>
        <v>0</v>
      </c>
      <c r="BY22">
        <v>3</v>
      </c>
      <c r="BZ22">
        <f>BZ6</f>
        <v>0</v>
      </c>
      <c r="CA22">
        <v>3</v>
      </c>
      <c r="CB22">
        <f>IF(CB7="","",CB6)</f>
        <v>0</v>
      </c>
      <c r="CC22">
        <v>3</v>
      </c>
      <c r="CD22">
        <f>CD6</f>
        <v>0</v>
      </c>
      <c r="CE22">
        <v>3</v>
      </c>
      <c r="CF22">
        <f>IF(CF7="","",CF6)</f>
        <v>0</v>
      </c>
      <c r="CG22">
        <v>3</v>
      </c>
      <c r="CH22">
        <f>CH6</f>
        <v>0</v>
      </c>
      <c r="CI22">
        <v>3</v>
      </c>
      <c r="CJ22">
        <f>IF(CJ7="","",CJ6)</f>
        <v>0</v>
      </c>
      <c r="CK22">
        <v>3</v>
      </c>
      <c r="CL22">
        <f>CL6</f>
        <v>0</v>
      </c>
      <c r="CM22">
        <v>3</v>
      </c>
      <c r="CN22">
        <f>IF(CN7="","",CN6)</f>
        <v>0</v>
      </c>
      <c r="CO22">
        <v>3</v>
      </c>
      <c r="CP22">
        <f>CP6</f>
        <v>0</v>
      </c>
      <c r="CQ22">
        <v>3</v>
      </c>
      <c r="CR22">
        <f>IF(CR7="","",CR6)</f>
        <v>0</v>
      </c>
      <c r="CS22">
        <v>3</v>
      </c>
      <c r="CT22">
        <f>CT6</f>
        <v>0</v>
      </c>
      <c r="CU22">
        <v>3</v>
      </c>
      <c r="CV22">
        <f>IF(CV7="","",CV6)</f>
        <v>0</v>
      </c>
      <c r="CW22">
        <v>3</v>
      </c>
      <c r="CX22">
        <f>CX6</f>
        <v>0</v>
      </c>
      <c r="CY22">
        <v>3</v>
      </c>
      <c r="CZ22">
        <f>IF(CZ7="","",CZ6)</f>
        <v>0</v>
      </c>
      <c r="DA22">
        <v>3</v>
      </c>
      <c r="DB22">
        <f>DB6</f>
        <v>0</v>
      </c>
      <c r="DC22">
        <v>3</v>
      </c>
      <c r="DD22">
        <f>IF(DD7="","",DD6)</f>
        <v>0</v>
      </c>
      <c r="DE22">
        <v>3</v>
      </c>
      <c r="DF22">
        <f>DF6</f>
        <v>0</v>
      </c>
      <c r="DG22">
        <v>3</v>
      </c>
      <c r="DH22">
        <f>IF(DH7="","",DH6)</f>
        <v>0</v>
      </c>
      <c r="DI22">
        <v>3</v>
      </c>
      <c r="DJ22">
        <f>DJ6</f>
        <v>0</v>
      </c>
      <c r="DK22">
        <v>3</v>
      </c>
      <c r="DL22">
        <f>IF(DL7="","",DL6)</f>
        <v>0</v>
      </c>
      <c r="DM22">
        <v>3</v>
      </c>
      <c r="DN22">
        <f>DN6</f>
        <v>0</v>
      </c>
      <c r="DO22">
        <v>3</v>
      </c>
      <c r="DP22">
        <f>IF(DP7="","",DP6)</f>
        <v>0</v>
      </c>
      <c r="DQ22">
        <v>3</v>
      </c>
      <c r="DR22">
        <f>DR6</f>
        <v>0</v>
      </c>
      <c r="DS22">
        <v>3</v>
      </c>
      <c r="DT22">
        <f>IF(DT7="","",DT6)</f>
        <v>0</v>
      </c>
      <c r="DU22">
        <v>3</v>
      </c>
      <c r="DV22">
        <f>DV6</f>
        <v>0</v>
      </c>
      <c r="DW22">
        <v>3</v>
      </c>
      <c r="DX22">
        <f>IF(DX7="","",DX6)</f>
        <v>0</v>
      </c>
      <c r="DY22">
        <v>3</v>
      </c>
      <c r="DZ22">
        <f>DZ6</f>
        <v>0</v>
      </c>
      <c r="EA22">
        <v>3</v>
      </c>
      <c r="EB22">
        <f>IF(EB7="","",EB6)</f>
        <v>0</v>
      </c>
      <c r="EC22">
        <v>3</v>
      </c>
      <c r="ED22">
        <f>ED6</f>
        <v>0</v>
      </c>
    </row>
    <row r="23" spans="1:200">
      <c r="E23">
        <v>4</v>
      </c>
      <c r="F23">
        <f>IF(F8="","",F7)</f>
        <v>0</v>
      </c>
      <c r="G23">
        <v>4</v>
      </c>
      <c r="H23">
        <f>H7</f>
        <v>0</v>
      </c>
      <c r="I23">
        <v>4</v>
      </c>
      <c r="J23">
        <f>IF(J8="","",J7)</f>
        <v>0</v>
      </c>
      <c r="K23">
        <v>4</v>
      </c>
      <c r="L23">
        <f>L7</f>
        <v>0</v>
      </c>
      <c r="M23">
        <v>4</v>
      </c>
      <c r="N23">
        <f>IF(N8="","",N7)</f>
        <v>0</v>
      </c>
      <c r="O23">
        <v>4</v>
      </c>
      <c r="P23">
        <f>P7</f>
        <v>0</v>
      </c>
      <c r="Q23">
        <v>4</v>
      </c>
      <c r="R23">
        <f>IF(R8="","",R7)</f>
        <v>0</v>
      </c>
      <c r="S23">
        <v>4</v>
      </c>
      <c r="T23">
        <f>T7</f>
        <v>0</v>
      </c>
      <c r="U23">
        <v>4</v>
      </c>
      <c r="V23">
        <f>IF(V8="","",V7)</f>
        <v>0</v>
      </c>
      <c r="W23">
        <v>4</v>
      </c>
      <c r="X23">
        <f>X7</f>
        <v>0</v>
      </c>
      <c r="Y23">
        <v>4</v>
      </c>
      <c r="Z23">
        <f>IF(Z8="","",Z7)</f>
        <v>0</v>
      </c>
      <c r="AA23">
        <v>4</v>
      </c>
      <c r="AB23">
        <f>AB7</f>
        <v>0</v>
      </c>
      <c r="AC23">
        <v>4</v>
      </c>
      <c r="AD23">
        <f>IF(AD8="","",AD7)</f>
        <v>0</v>
      </c>
      <c r="AE23">
        <v>4</v>
      </c>
      <c r="AF23">
        <f>AF7</f>
        <v>0</v>
      </c>
      <c r="AG23">
        <v>4</v>
      </c>
      <c r="AH23">
        <f>IF(AH8="","",AH7)</f>
        <v>0</v>
      </c>
      <c r="AI23">
        <v>4</v>
      </c>
      <c r="AJ23">
        <f>AJ7</f>
        <v>0</v>
      </c>
      <c r="AK23">
        <v>4</v>
      </c>
      <c r="AL23">
        <f>IF(AL8="","",AL7)</f>
        <v>0</v>
      </c>
      <c r="AM23">
        <v>4</v>
      </c>
      <c r="AN23">
        <f>AN7</f>
        <v>0</v>
      </c>
      <c r="AO23">
        <v>4</v>
      </c>
      <c r="AP23">
        <f>IF(AP8="","",AP7)</f>
        <v>0</v>
      </c>
      <c r="AQ23">
        <v>4</v>
      </c>
      <c r="AR23">
        <f>AR7</f>
        <v>0</v>
      </c>
      <c r="AS23">
        <v>4</v>
      </c>
      <c r="AT23">
        <f>IF(AT8="","",AT7)</f>
        <v>0</v>
      </c>
      <c r="AU23">
        <v>4</v>
      </c>
      <c r="AV23">
        <f>AV7</f>
        <v>0</v>
      </c>
      <c r="AW23">
        <v>4</v>
      </c>
      <c r="AX23">
        <f>IF(AX8="","",AX7)</f>
        <v>0</v>
      </c>
      <c r="AY23">
        <v>4</v>
      </c>
      <c r="AZ23">
        <f>AZ7</f>
        <v>0</v>
      </c>
      <c r="BA23">
        <v>4</v>
      </c>
      <c r="BB23">
        <f>IF(BB8="","",BB7)</f>
        <v>0</v>
      </c>
      <c r="BC23">
        <v>4</v>
      </c>
      <c r="BD23">
        <f>BD7</f>
        <v>0</v>
      </c>
      <c r="BE23">
        <v>4</v>
      </c>
      <c r="BF23">
        <f>IF(BF8="","",BF7)</f>
        <v>0</v>
      </c>
      <c r="BG23">
        <v>4</v>
      </c>
      <c r="BH23">
        <f>BH7</f>
        <v>0</v>
      </c>
      <c r="BI23">
        <v>4</v>
      </c>
      <c r="BJ23">
        <f>IF(BJ8="","",BJ7)</f>
        <v>0</v>
      </c>
      <c r="BK23">
        <v>4</v>
      </c>
      <c r="BL23">
        <f>BL7</f>
        <v>0</v>
      </c>
      <c r="BM23">
        <v>4</v>
      </c>
      <c r="BN23">
        <f>IF(BN8="","",BN7)</f>
        <v>0</v>
      </c>
      <c r="BO23">
        <v>4</v>
      </c>
      <c r="BP23">
        <f>BP7</f>
        <v>0</v>
      </c>
      <c r="BS23">
        <v>4</v>
      </c>
      <c r="BT23">
        <f>IF(BT8="","",BT7)</f>
        <v>0</v>
      </c>
      <c r="BU23">
        <v>4</v>
      </c>
      <c r="BV23">
        <f>BV7</f>
        <v>0</v>
      </c>
      <c r="BW23">
        <v>4</v>
      </c>
      <c r="BX23">
        <f>IF(BX8="","",BX7)</f>
        <v>0</v>
      </c>
      <c r="BY23">
        <v>4</v>
      </c>
      <c r="BZ23">
        <f>BZ7</f>
        <v>0</v>
      </c>
      <c r="CA23">
        <v>4</v>
      </c>
      <c r="CB23">
        <f>IF(CB8="","",CB7)</f>
        <v>0</v>
      </c>
      <c r="CC23">
        <v>4</v>
      </c>
      <c r="CD23">
        <f>CD7</f>
        <v>0</v>
      </c>
      <c r="CE23">
        <v>4</v>
      </c>
      <c r="CF23">
        <f>IF(CF8="","",CF7)</f>
        <v>0</v>
      </c>
      <c r="CG23">
        <v>4</v>
      </c>
      <c r="CH23">
        <f>CH7</f>
        <v>0</v>
      </c>
      <c r="CI23">
        <v>4</v>
      </c>
      <c r="CJ23">
        <f>IF(CJ8="","",CJ7)</f>
        <v>0</v>
      </c>
      <c r="CK23">
        <v>4</v>
      </c>
      <c r="CL23">
        <f>CL7</f>
        <v>0</v>
      </c>
      <c r="CM23">
        <v>4</v>
      </c>
      <c r="CN23">
        <f>IF(CN8="","",CN7)</f>
        <v>0</v>
      </c>
      <c r="CO23">
        <v>4</v>
      </c>
      <c r="CP23">
        <f>CP7</f>
        <v>0</v>
      </c>
      <c r="CQ23">
        <v>4</v>
      </c>
      <c r="CR23">
        <f>IF(CR8="","",CR7)</f>
        <v>0</v>
      </c>
      <c r="CS23">
        <v>4</v>
      </c>
      <c r="CT23">
        <f>CT7</f>
        <v>0</v>
      </c>
      <c r="CU23">
        <v>4</v>
      </c>
      <c r="CV23">
        <f>IF(CV8="","",CV7)</f>
        <v>0</v>
      </c>
      <c r="CW23">
        <v>4</v>
      </c>
      <c r="CX23">
        <f>CX7</f>
        <v>0</v>
      </c>
      <c r="CY23">
        <v>4</v>
      </c>
      <c r="CZ23">
        <f>IF(CZ8="","",CZ7)</f>
        <v>0</v>
      </c>
      <c r="DA23">
        <v>4</v>
      </c>
      <c r="DB23">
        <f>DB7</f>
        <v>0</v>
      </c>
      <c r="DC23">
        <v>4</v>
      </c>
      <c r="DD23">
        <f>IF(DD8="","",DD7)</f>
        <v>0</v>
      </c>
      <c r="DE23">
        <v>4</v>
      </c>
      <c r="DF23">
        <f>DF7</f>
        <v>0</v>
      </c>
      <c r="DG23">
        <v>4</v>
      </c>
      <c r="DH23">
        <f>IF(DH8="","",DH7)</f>
        <v>0</v>
      </c>
      <c r="DI23">
        <v>4</v>
      </c>
      <c r="DJ23">
        <f>DJ7</f>
        <v>0</v>
      </c>
      <c r="DK23">
        <v>4</v>
      </c>
      <c r="DL23">
        <f>IF(DL8="","",DL7)</f>
        <v>0</v>
      </c>
      <c r="DM23">
        <v>4</v>
      </c>
      <c r="DN23">
        <f>DN7</f>
        <v>0</v>
      </c>
      <c r="DO23">
        <v>4</v>
      </c>
      <c r="DP23">
        <f>IF(DP8="","",DP7)</f>
        <v>0</v>
      </c>
      <c r="DQ23">
        <v>4</v>
      </c>
      <c r="DR23">
        <f>DR7</f>
        <v>0</v>
      </c>
      <c r="DS23">
        <v>4</v>
      </c>
      <c r="DT23">
        <f>IF(DT8="","",DT7)</f>
        <v>0</v>
      </c>
      <c r="DU23">
        <v>4</v>
      </c>
      <c r="DV23">
        <f>DV7</f>
        <v>0</v>
      </c>
      <c r="DW23">
        <v>4</v>
      </c>
      <c r="DX23">
        <f>IF(DX8="","",DX7)</f>
        <v>0</v>
      </c>
      <c r="DY23">
        <v>4</v>
      </c>
      <c r="DZ23">
        <f>DZ7</f>
        <v>0</v>
      </c>
      <c r="EA23">
        <v>4</v>
      </c>
      <c r="EB23">
        <f>IF(EB8="","",EB7)</f>
        <v>0</v>
      </c>
      <c r="EC23">
        <v>4</v>
      </c>
      <c r="ED23">
        <f>ED7</f>
        <v>0</v>
      </c>
    </row>
    <row r="24" spans="1:200">
      <c r="E24">
        <v>5</v>
      </c>
      <c r="F24">
        <f>IF(F9="","",F8)</f>
        <v>0</v>
      </c>
      <c r="G24">
        <v>5</v>
      </c>
      <c r="H24">
        <f>H8</f>
        <v>0</v>
      </c>
      <c r="I24">
        <v>5</v>
      </c>
      <c r="J24">
        <f>IF(J9="","",J8)</f>
        <v>0</v>
      </c>
      <c r="K24">
        <v>5</v>
      </c>
      <c r="L24">
        <f>L8</f>
        <v>0</v>
      </c>
      <c r="M24">
        <v>5</v>
      </c>
      <c r="N24">
        <f>IF(N9="","",N8)</f>
        <v>0</v>
      </c>
      <c r="O24">
        <v>5</v>
      </c>
      <c r="P24">
        <f>P8</f>
        <v>0</v>
      </c>
      <c r="Q24">
        <v>5</v>
      </c>
      <c r="R24">
        <f>IF(R9="","",R8)</f>
        <v>0</v>
      </c>
      <c r="S24">
        <v>5</v>
      </c>
      <c r="T24">
        <f>T8</f>
        <v>0</v>
      </c>
      <c r="U24">
        <v>5</v>
      </c>
      <c r="V24">
        <f>IF(V9="","",V8)</f>
        <v>0</v>
      </c>
      <c r="W24">
        <v>5</v>
      </c>
      <c r="X24">
        <f>X8</f>
        <v>0</v>
      </c>
      <c r="Y24">
        <v>5</v>
      </c>
      <c r="Z24">
        <f>IF(Z9="","",Z8)</f>
        <v>0</v>
      </c>
      <c r="AA24">
        <v>5</v>
      </c>
      <c r="AB24">
        <f>AB8</f>
        <v>0</v>
      </c>
      <c r="AC24">
        <v>5</v>
      </c>
      <c r="AD24">
        <f>IF(AD9="","",AD8)</f>
        <v>0</v>
      </c>
      <c r="AE24">
        <v>5</v>
      </c>
      <c r="AF24">
        <f>AF8</f>
        <v>0</v>
      </c>
      <c r="AG24">
        <v>5</v>
      </c>
      <c r="AH24">
        <f>IF(AH9="","",AH8)</f>
        <v>0</v>
      </c>
      <c r="AI24">
        <v>5</v>
      </c>
      <c r="AJ24">
        <f>AJ8</f>
        <v>0</v>
      </c>
      <c r="AK24">
        <v>5</v>
      </c>
      <c r="AL24">
        <f>IF(AL9="","",AL8)</f>
        <v>0</v>
      </c>
      <c r="AM24">
        <v>5</v>
      </c>
      <c r="AN24">
        <f>AN8</f>
        <v>0</v>
      </c>
      <c r="AO24">
        <v>5</v>
      </c>
      <c r="AP24">
        <f>IF(AP9="","",AP8)</f>
        <v>0</v>
      </c>
      <c r="AQ24">
        <v>5</v>
      </c>
      <c r="AR24">
        <f>AR8</f>
        <v>0</v>
      </c>
      <c r="AS24">
        <v>5</v>
      </c>
      <c r="AT24">
        <f>IF(AT9="","",AT8)</f>
        <v>0</v>
      </c>
      <c r="AU24">
        <v>5</v>
      </c>
      <c r="AV24">
        <f>AV8</f>
        <v>0</v>
      </c>
      <c r="AW24">
        <v>5</v>
      </c>
      <c r="AX24">
        <f>IF(AX9="","",AX8)</f>
        <v>0</v>
      </c>
      <c r="AY24">
        <v>5</v>
      </c>
      <c r="AZ24">
        <f>AZ8</f>
        <v>0</v>
      </c>
      <c r="BA24">
        <v>5</v>
      </c>
      <c r="BB24">
        <f>IF(BB9="","",BB8)</f>
        <v>0</v>
      </c>
      <c r="BC24">
        <v>5</v>
      </c>
      <c r="BD24">
        <f>BD8</f>
        <v>0</v>
      </c>
      <c r="BE24">
        <v>5</v>
      </c>
      <c r="BF24">
        <f>IF(BF9="","",BF8)</f>
        <v>0</v>
      </c>
      <c r="BG24">
        <v>5</v>
      </c>
      <c r="BH24">
        <f>BH8</f>
        <v>0</v>
      </c>
      <c r="BI24">
        <v>5</v>
      </c>
      <c r="BJ24">
        <f>IF(BJ9="","",BJ8)</f>
        <v>0</v>
      </c>
      <c r="BK24">
        <v>5</v>
      </c>
      <c r="BL24">
        <f>BL8</f>
        <v>0</v>
      </c>
      <c r="BM24">
        <v>5</v>
      </c>
      <c r="BN24">
        <f>IF(BN9="","",BN8)</f>
        <v>0</v>
      </c>
      <c r="BO24">
        <v>5</v>
      </c>
      <c r="BP24">
        <f>BP8</f>
        <v>0</v>
      </c>
      <c r="BS24">
        <v>5</v>
      </c>
      <c r="BT24">
        <f>IF(BT9="","",BT8)</f>
        <v>0</v>
      </c>
      <c r="BU24">
        <v>5</v>
      </c>
      <c r="BV24">
        <f>BV8</f>
        <v>0</v>
      </c>
      <c r="BW24">
        <v>5</v>
      </c>
      <c r="BX24">
        <f>IF(BX9="","",BX8)</f>
        <v>0</v>
      </c>
      <c r="BY24">
        <v>5</v>
      </c>
      <c r="BZ24">
        <f>BZ8</f>
        <v>0</v>
      </c>
      <c r="CA24">
        <v>5</v>
      </c>
      <c r="CB24">
        <f>IF(CB9="","",CB8)</f>
        <v>0</v>
      </c>
      <c r="CC24">
        <v>5</v>
      </c>
      <c r="CD24">
        <f>CD8</f>
        <v>0</v>
      </c>
      <c r="CE24">
        <v>5</v>
      </c>
      <c r="CF24">
        <f>IF(CF9="","",CF8)</f>
        <v>0</v>
      </c>
      <c r="CG24">
        <v>5</v>
      </c>
      <c r="CH24">
        <f>CH8</f>
        <v>0</v>
      </c>
      <c r="CI24">
        <v>5</v>
      </c>
      <c r="CJ24">
        <f>IF(CJ9="","",CJ8)</f>
        <v>0</v>
      </c>
      <c r="CK24">
        <v>5</v>
      </c>
      <c r="CL24">
        <f>CL8</f>
        <v>0</v>
      </c>
      <c r="CM24">
        <v>5</v>
      </c>
      <c r="CN24">
        <f>IF(CN9="","",CN8)</f>
        <v>0</v>
      </c>
      <c r="CO24">
        <v>5</v>
      </c>
      <c r="CP24">
        <f>CP8</f>
        <v>0</v>
      </c>
      <c r="CQ24">
        <v>5</v>
      </c>
      <c r="CR24">
        <f>IF(CR9="","",CR8)</f>
        <v>0</v>
      </c>
      <c r="CS24">
        <v>5</v>
      </c>
      <c r="CT24">
        <f>CT8</f>
        <v>0</v>
      </c>
      <c r="CU24">
        <v>5</v>
      </c>
      <c r="CV24">
        <f>IF(CV9="","",CV8)</f>
        <v>0</v>
      </c>
      <c r="CW24">
        <v>5</v>
      </c>
      <c r="CX24">
        <f>CX8</f>
        <v>0</v>
      </c>
      <c r="CY24">
        <v>5</v>
      </c>
      <c r="CZ24">
        <f>IF(CZ9="","",CZ8)</f>
        <v>0</v>
      </c>
      <c r="DA24">
        <v>5</v>
      </c>
      <c r="DB24">
        <f>DB8</f>
        <v>0</v>
      </c>
      <c r="DC24">
        <v>5</v>
      </c>
      <c r="DD24">
        <f>IF(DD9="","",DD8)</f>
        <v>0</v>
      </c>
      <c r="DE24">
        <v>5</v>
      </c>
      <c r="DF24">
        <f>DF8</f>
        <v>0</v>
      </c>
      <c r="DG24">
        <v>5</v>
      </c>
      <c r="DH24">
        <f>IF(DH9="","",DH8)</f>
        <v>0</v>
      </c>
      <c r="DI24">
        <v>5</v>
      </c>
      <c r="DJ24">
        <f>DJ8</f>
        <v>0</v>
      </c>
      <c r="DK24">
        <v>5</v>
      </c>
      <c r="DL24">
        <f>IF(DL9="","",DL8)</f>
        <v>0</v>
      </c>
      <c r="DM24">
        <v>5</v>
      </c>
      <c r="DN24">
        <f>DN8</f>
        <v>0</v>
      </c>
      <c r="DO24">
        <v>5</v>
      </c>
      <c r="DP24">
        <f>IF(DP9="","",DP8)</f>
        <v>0</v>
      </c>
      <c r="DQ24">
        <v>5</v>
      </c>
      <c r="DR24">
        <f>DR8</f>
        <v>0</v>
      </c>
      <c r="DS24">
        <v>5</v>
      </c>
      <c r="DT24">
        <f>IF(DT9="","",DT8)</f>
        <v>0</v>
      </c>
      <c r="DU24">
        <v>5</v>
      </c>
      <c r="DV24">
        <f>DV8</f>
        <v>0</v>
      </c>
      <c r="DW24">
        <v>5</v>
      </c>
      <c r="DX24">
        <f>IF(DX9="","",DX8)</f>
        <v>0</v>
      </c>
      <c r="DY24">
        <v>5</v>
      </c>
      <c r="DZ24">
        <f>DZ8</f>
        <v>0</v>
      </c>
      <c r="EA24">
        <v>5</v>
      </c>
      <c r="EB24">
        <f>IF(EB9="","",EB8)</f>
        <v>0</v>
      </c>
      <c r="EC24">
        <v>5</v>
      </c>
      <c r="ED24">
        <f>ED8</f>
        <v>0</v>
      </c>
    </row>
    <row r="25" spans="1:200">
      <c r="E25">
        <v>6</v>
      </c>
      <c r="F25">
        <f>IF(F10="","",F9)</f>
        <v>0</v>
      </c>
      <c r="G25">
        <v>6</v>
      </c>
      <c r="H25">
        <f>H9</f>
        <v>0</v>
      </c>
      <c r="I25">
        <v>6</v>
      </c>
      <c r="J25">
        <f>IF(J10="","",J9)</f>
        <v>0</v>
      </c>
      <c r="K25">
        <v>6</v>
      </c>
      <c r="L25">
        <f>L9</f>
        <v>0</v>
      </c>
      <c r="M25">
        <v>6</v>
      </c>
      <c r="N25">
        <f>IF(N10="","",N9)</f>
        <v>0</v>
      </c>
      <c r="O25">
        <v>6</v>
      </c>
      <c r="P25">
        <f>P9</f>
        <v>0</v>
      </c>
      <c r="Q25">
        <v>6</v>
      </c>
      <c r="R25">
        <f>IF(R10="","",R9)</f>
        <v>0</v>
      </c>
      <c r="S25">
        <v>6</v>
      </c>
      <c r="T25">
        <f>T9</f>
        <v>0</v>
      </c>
      <c r="U25">
        <v>6</v>
      </c>
      <c r="V25">
        <f>IF(V10="","",V9)</f>
        <v>0</v>
      </c>
      <c r="W25">
        <v>6</v>
      </c>
      <c r="X25">
        <f>X9</f>
        <v>0</v>
      </c>
      <c r="Y25">
        <v>6</v>
      </c>
      <c r="Z25">
        <f>IF(Z10="","",Z9)</f>
        <v>0</v>
      </c>
      <c r="AA25">
        <v>6</v>
      </c>
      <c r="AB25">
        <f>AB9</f>
        <v>0</v>
      </c>
      <c r="AC25">
        <v>6</v>
      </c>
      <c r="AD25">
        <f>IF(AD10="","",AD9)</f>
        <v>0</v>
      </c>
      <c r="AE25">
        <v>6</v>
      </c>
      <c r="AF25">
        <f>AF9</f>
        <v>0</v>
      </c>
      <c r="AG25">
        <v>6</v>
      </c>
      <c r="AH25">
        <f>IF(AH10="","",AH9)</f>
        <v>0</v>
      </c>
      <c r="AI25">
        <v>6</v>
      </c>
      <c r="AJ25">
        <f>AJ9</f>
        <v>0</v>
      </c>
      <c r="AK25">
        <v>6</v>
      </c>
      <c r="AL25">
        <f>IF(AL10="","",AL9)</f>
        <v>0</v>
      </c>
      <c r="AM25">
        <v>6</v>
      </c>
      <c r="AN25">
        <f>AN9</f>
        <v>0</v>
      </c>
      <c r="AO25">
        <v>6</v>
      </c>
      <c r="AP25">
        <f>IF(AP10="","",AP9)</f>
        <v>0</v>
      </c>
      <c r="AQ25">
        <v>6</v>
      </c>
      <c r="AR25">
        <f>AR9</f>
        <v>0</v>
      </c>
      <c r="AS25">
        <v>6</v>
      </c>
      <c r="AT25">
        <f>IF(AT10="","",AT9)</f>
        <v>0</v>
      </c>
      <c r="AU25">
        <v>6</v>
      </c>
      <c r="AV25">
        <f>AV9</f>
        <v>0</v>
      </c>
      <c r="AW25">
        <v>6</v>
      </c>
      <c r="AX25">
        <f>IF(AX10="","",AX9)</f>
        <v>0</v>
      </c>
      <c r="AY25">
        <v>6</v>
      </c>
      <c r="AZ25">
        <f>AZ9</f>
        <v>0</v>
      </c>
      <c r="BA25">
        <v>6</v>
      </c>
      <c r="BB25">
        <f>IF(BB10="","",BB9)</f>
        <v>0</v>
      </c>
      <c r="BC25">
        <v>6</v>
      </c>
      <c r="BD25">
        <f>BD9</f>
        <v>0</v>
      </c>
      <c r="BE25">
        <v>6</v>
      </c>
      <c r="BF25">
        <f>IF(BF10="","",BF9)</f>
        <v>0</v>
      </c>
      <c r="BG25">
        <v>6</v>
      </c>
      <c r="BH25">
        <f>BH9</f>
        <v>0</v>
      </c>
      <c r="BI25">
        <v>6</v>
      </c>
      <c r="BJ25">
        <f>IF(BJ10="","",BJ9)</f>
        <v>0</v>
      </c>
      <c r="BK25">
        <v>6</v>
      </c>
      <c r="BL25">
        <f>BL9</f>
        <v>0</v>
      </c>
      <c r="BM25">
        <v>6</v>
      </c>
      <c r="BN25">
        <f>IF(BN10="","",BN9)</f>
        <v>0</v>
      </c>
      <c r="BO25">
        <v>6</v>
      </c>
      <c r="BP25">
        <f>BP9</f>
        <v>0</v>
      </c>
      <c r="BS25">
        <v>6</v>
      </c>
      <c r="BT25">
        <f>IF(BT10="","",BT9)</f>
        <v>0</v>
      </c>
      <c r="BU25">
        <v>6</v>
      </c>
      <c r="BV25">
        <f>BV9</f>
        <v>0</v>
      </c>
      <c r="BW25">
        <v>6</v>
      </c>
      <c r="BX25">
        <f>IF(BX10="","",BX9)</f>
        <v>0</v>
      </c>
      <c r="BY25">
        <v>6</v>
      </c>
      <c r="BZ25">
        <f>BZ9</f>
        <v>0</v>
      </c>
      <c r="CA25">
        <v>6</v>
      </c>
      <c r="CB25">
        <f>IF(CB10="","",CB9)</f>
        <v>0</v>
      </c>
      <c r="CC25">
        <v>6</v>
      </c>
      <c r="CD25">
        <f>CD9</f>
        <v>0</v>
      </c>
      <c r="CE25">
        <v>6</v>
      </c>
      <c r="CF25">
        <f>IF(CF10="","",CF9)</f>
        <v>0</v>
      </c>
      <c r="CG25">
        <v>6</v>
      </c>
      <c r="CH25">
        <f>CH9</f>
        <v>0</v>
      </c>
      <c r="CI25">
        <v>6</v>
      </c>
      <c r="CJ25">
        <f>IF(CJ10="","",CJ9)</f>
        <v>0</v>
      </c>
      <c r="CK25">
        <v>6</v>
      </c>
      <c r="CL25">
        <f>CL9</f>
        <v>0</v>
      </c>
      <c r="CM25">
        <v>6</v>
      </c>
      <c r="CN25">
        <f>IF(CN10="","",CN9)</f>
        <v>0</v>
      </c>
      <c r="CO25">
        <v>6</v>
      </c>
      <c r="CP25">
        <f>CP9</f>
        <v>0</v>
      </c>
      <c r="CQ25">
        <v>6</v>
      </c>
      <c r="CR25">
        <f>IF(CR10="","",CR9)</f>
        <v>0</v>
      </c>
      <c r="CS25">
        <v>6</v>
      </c>
      <c r="CT25">
        <f>CT9</f>
        <v>0</v>
      </c>
      <c r="CU25">
        <v>6</v>
      </c>
      <c r="CV25">
        <f>IF(CV10="","",CV9)</f>
        <v>0</v>
      </c>
      <c r="CW25">
        <v>6</v>
      </c>
      <c r="CX25">
        <f>CX9</f>
        <v>0</v>
      </c>
      <c r="CY25">
        <v>6</v>
      </c>
      <c r="CZ25">
        <f>IF(CZ10="","",CZ9)</f>
        <v>0</v>
      </c>
      <c r="DA25">
        <v>6</v>
      </c>
      <c r="DB25">
        <f>DB9</f>
        <v>0</v>
      </c>
      <c r="DC25">
        <v>6</v>
      </c>
      <c r="DD25">
        <f>IF(DD10="","",DD9)</f>
        <v>0</v>
      </c>
      <c r="DE25">
        <v>6</v>
      </c>
      <c r="DF25">
        <f>DF9</f>
        <v>0</v>
      </c>
      <c r="DG25">
        <v>6</v>
      </c>
      <c r="DH25">
        <f>IF(DH10="","",DH9)</f>
        <v>0</v>
      </c>
      <c r="DI25">
        <v>6</v>
      </c>
      <c r="DJ25">
        <f>DJ9</f>
        <v>0</v>
      </c>
      <c r="DK25">
        <v>6</v>
      </c>
      <c r="DL25">
        <f>IF(DL10="","",DL9)</f>
        <v>0</v>
      </c>
      <c r="DM25">
        <v>6</v>
      </c>
      <c r="DN25">
        <f>DN9</f>
        <v>0</v>
      </c>
      <c r="DO25">
        <v>6</v>
      </c>
      <c r="DP25">
        <f>IF(DP10="","",DP9)</f>
        <v>0</v>
      </c>
      <c r="DQ25">
        <v>6</v>
      </c>
      <c r="DR25">
        <f>DR9</f>
        <v>0</v>
      </c>
      <c r="DS25">
        <v>6</v>
      </c>
      <c r="DT25">
        <f>IF(DT10="","",DT9)</f>
        <v>0</v>
      </c>
      <c r="DU25">
        <v>6</v>
      </c>
      <c r="DV25">
        <f>DV9</f>
        <v>0</v>
      </c>
      <c r="DW25">
        <v>6</v>
      </c>
      <c r="DX25">
        <f>IF(DX10="","",DX9)</f>
        <v>0</v>
      </c>
      <c r="DY25">
        <v>6</v>
      </c>
      <c r="DZ25">
        <f>DZ9</f>
        <v>0</v>
      </c>
      <c r="EA25">
        <v>6</v>
      </c>
      <c r="EB25">
        <f>IF(EB10="","",EB9)</f>
        <v>0</v>
      </c>
      <c r="EC25">
        <v>6</v>
      </c>
      <c r="ED25">
        <f>ED9</f>
        <v>0</v>
      </c>
    </row>
    <row r="26" spans="1:200">
      <c r="E26">
        <v>7</v>
      </c>
      <c r="F26">
        <f>IF(F11="","",F10)</f>
        <v>0</v>
      </c>
      <c r="G26">
        <v>7</v>
      </c>
      <c r="H26">
        <f>H10</f>
        <v>0</v>
      </c>
      <c r="I26">
        <v>7</v>
      </c>
      <c r="J26">
        <f>IF(J11="","",J10)</f>
        <v>0</v>
      </c>
      <c r="K26">
        <v>7</v>
      </c>
      <c r="L26">
        <f>L10</f>
        <v>0</v>
      </c>
      <c r="M26">
        <v>7</v>
      </c>
      <c r="N26">
        <f>IF(N11="","",N10)</f>
        <v>0</v>
      </c>
      <c r="O26">
        <v>7</v>
      </c>
      <c r="P26">
        <f>P10</f>
        <v>0</v>
      </c>
      <c r="Q26">
        <v>7</v>
      </c>
      <c r="R26">
        <f>IF(R11="","",R10)</f>
        <v>0</v>
      </c>
      <c r="S26">
        <v>7</v>
      </c>
      <c r="T26">
        <f>T10</f>
        <v>0</v>
      </c>
      <c r="U26">
        <v>7</v>
      </c>
      <c r="V26">
        <f>IF(V11="","",V10)</f>
        <v>0</v>
      </c>
      <c r="W26">
        <v>7</v>
      </c>
      <c r="X26">
        <f>X10</f>
        <v>0</v>
      </c>
      <c r="Y26">
        <v>7</v>
      </c>
      <c r="Z26">
        <f>IF(Z11="","",Z10)</f>
        <v>0</v>
      </c>
      <c r="AA26">
        <v>7</v>
      </c>
      <c r="AB26">
        <f>AB10</f>
        <v>0</v>
      </c>
      <c r="AC26">
        <v>7</v>
      </c>
      <c r="AD26">
        <f>IF(AD11="","",AD10)</f>
        <v>0</v>
      </c>
      <c r="AE26">
        <v>7</v>
      </c>
      <c r="AF26">
        <f>AF10</f>
        <v>0</v>
      </c>
      <c r="AG26">
        <v>7</v>
      </c>
      <c r="AH26">
        <f>IF(AH11="","",AH10)</f>
        <v>0</v>
      </c>
      <c r="AI26">
        <v>7</v>
      </c>
      <c r="AJ26">
        <f>AJ10</f>
        <v>0</v>
      </c>
      <c r="AK26">
        <v>7</v>
      </c>
      <c r="AL26">
        <f>IF(AL11="","",AL10)</f>
        <v>0</v>
      </c>
      <c r="AM26">
        <v>7</v>
      </c>
      <c r="AN26">
        <f>AN10</f>
        <v>0</v>
      </c>
      <c r="AO26">
        <v>7</v>
      </c>
      <c r="AP26">
        <f>IF(AP11="","",AP10)</f>
        <v>0</v>
      </c>
      <c r="AQ26">
        <v>7</v>
      </c>
      <c r="AR26">
        <f>AR10</f>
        <v>0</v>
      </c>
      <c r="AS26">
        <v>7</v>
      </c>
      <c r="AT26">
        <f>IF(AT11="","",AT10)</f>
        <v>0</v>
      </c>
      <c r="AU26">
        <v>7</v>
      </c>
      <c r="AV26">
        <f>AV10</f>
        <v>0</v>
      </c>
      <c r="AW26">
        <v>7</v>
      </c>
      <c r="AX26">
        <f>IF(AX11="","",AX10)</f>
        <v>0</v>
      </c>
      <c r="AY26">
        <v>7</v>
      </c>
      <c r="AZ26">
        <f>AZ10</f>
        <v>0</v>
      </c>
      <c r="BA26">
        <v>7</v>
      </c>
      <c r="BB26">
        <f>IF(BB11="","",BB10)</f>
        <v>0</v>
      </c>
      <c r="BC26">
        <v>7</v>
      </c>
      <c r="BD26">
        <f>BD10</f>
        <v>0</v>
      </c>
      <c r="BE26">
        <v>7</v>
      </c>
      <c r="BF26">
        <f>IF(BF11="","",BF10)</f>
        <v>0</v>
      </c>
      <c r="BG26">
        <v>7</v>
      </c>
      <c r="BH26">
        <f>BH10</f>
        <v>0</v>
      </c>
      <c r="BI26">
        <v>7</v>
      </c>
      <c r="BJ26">
        <f>IF(BJ11="","",BJ10)</f>
        <v>0</v>
      </c>
      <c r="BK26">
        <v>7</v>
      </c>
      <c r="BL26">
        <f>BL10</f>
        <v>0</v>
      </c>
      <c r="BM26">
        <v>7</v>
      </c>
      <c r="BN26">
        <f>IF(BN11="","",BN10)</f>
        <v>0</v>
      </c>
      <c r="BO26">
        <v>7</v>
      </c>
      <c r="BP26">
        <f>BP10</f>
        <v>0</v>
      </c>
      <c r="BS26">
        <v>7</v>
      </c>
      <c r="BT26">
        <f>IF(BT11="","",BT10)</f>
        <v>0</v>
      </c>
      <c r="BU26">
        <v>7</v>
      </c>
      <c r="BV26">
        <f>BV10</f>
        <v>0</v>
      </c>
      <c r="BW26">
        <v>7</v>
      </c>
      <c r="BX26">
        <f>IF(BX11="","",BX10)</f>
        <v>0</v>
      </c>
      <c r="BY26">
        <v>7</v>
      </c>
      <c r="BZ26">
        <f>BZ10</f>
        <v>0</v>
      </c>
      <c r="CA26">
        <v>7</v>
      </c>
      <c r="CB26">
        <f>IF(CB11="","",CB10)</f>
        <v>0</v>
      </c>
      <c r="CC26">
        <v>7</v>
      </c>
      <c r="CD26">
        <f>CD10</f>
        <v>0</v>
      </c>
      <c r="CE26">
        <v>7</v>
      </c>
      <c r="CF26">
        <f>IF(CF11="","",CF10)</f>
        <v>0</v>
      </c>
      <c r="CG26">
        <v>7</v>
      </c>
      <c r="CH26">
        <f>CH10</f>
        <v>0</v>
      </c>
      <c r="CI26">
        <v>7</v>
      </c>
      <c r="CJ26">
        <f>IF(CJ11="","",CJ10)</f>
        <v>0</v>
      </c>
      <c r="CK26">
        <v>7</v>
      </c>
      <c r="CL26">
        <f>CL10</f>
        <v>0</v>
      </c>
      <c r="CM26">
        <v>7</v>
      </c>
      <c r="CN26">
        <f>IF(CN11="","",CN10)</f>
        <v>0</v>
      </c>
      <c r="CO26">
        <v>7</v>
      </c>
      <c r="CP26">
        <f>CP10</f>
        <v>0</v>
      </c>
      <c r="CQ26">
        <v>7</v>
      </c>
      <c r="CR26">
        <f>IF(CR11="","",CR10)</f>
        <v>0</v>
      </c>
      <c r="CS26">
        <v>7</v>
      </c>
      <c r="CT26">
        <f>CT10</f>
        <v>0</v>
      </c>
      <c r="CU26">
        <v>7</v>
      </c>
      <c r="CV26">
        <f>IF(CV11="","",CV10)</f>
        <v>0</v>
      </c>
      <c r="CW26">
        <v>7</v>
      </c>
      <c r="CX26">
        <f>CX10</f>
        <v>0</v>
      </c>
      <c r="CY26">
        <v>7</v>
      </c>
      <c r="CZ26">
        <f>IF(CZ11="","",CZ10)</f>
        <v>0</v>
      </c>
      <c r="DA26">
        <v>7</v>
      </c>
      <c r="DB26">
        <f>DB10</f>
        <v>0</v>
      </c>
      <c r="DC26">
        <v>7</v>
      </c>
      <c r="DD26">
        <f>IF(DD11="","",DD10)</f>
        <v>0</v>
      </c>
      <c r="DE26">
        <v>7</v>
      </c>
      <c r="DF26">
        <f>DF10</f>
        <v>0</v>
      </c>
      <c r="DG26">
        <v>7</v>
      </c>
      <c r="DH26">
        <f>IF(DH11="","",DH10)</f>
        <v>0</v>
      </c>
      <c r="DI26">
        <v>7</v>
      </c>
      <c r="DJ26">
        <f>DJ10</f>
        <v>0</v>
      </c>
      <c r="DK26">
        <v>7</v>
      </c>
      <c r="DL26">
        <f>IF(DL11="","",DL10)</f>
        <v>0</v>
      </c>
      <c r="DM26">
        <v>7</v>
      </c>
      <c r="DN26">
        <f>DN10</f>
        <v>0</v>
      </c>
      <c r="DO26">
        <v>7</v>
      </c>
      <c r="DP26">
        <f>IF(DP11="","",DP10)</f>
        <v>0</v>
      </c>
      <c r="DQ26">
        <v>7</v>
      </c>
      <c r="DR26">
        <f>DR10</f>
        <v>0</v>
      </c>
      <c r="DS26">
        <v>7</v>
      </c>
      <c r="DT26">
        <f>IF(DT11="","",DT10)</f>
        <v>0</v>
      </c>
      <c r="DU26">
        <v>7</v>
      </c>
      <c r="DV26">
        <f>DV10</f>
        <v>0</v>
      </c>
      <c r="DW26">
        <v>7</v>
      </c>
      <c r="DX26">
        <f>IF(DX11="","",DX10)</f>
        <v>0</v>
      </c>
      <c r="DY26">
        <v>7</v>
      </c>
      <c r="DZ26">
        <f>DZ10</f>
        <v>0</v>
      </c>
      <c r="EA26">
        <v>7</v>
      </c>
      <c r="EB26">
        <f>IF(EB11="","",EB10)</f>
        <v>0</v>
      </c>
      <c r="EC26">
        <v>7</v>
      </c>
      <c r="ED26">
        <f>ED10</f>
        <v>0</v>
      </c>
    </row>
    <row r="27" spans="1:200"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</row>
    <row r="28" spans="1:200"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S28">
        <v>1</v>
      </c>
      <c r="BT28">
        <v>0</v>
      </c>
      <c r="BU28">
        <v>1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1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1</v>
      </c>
      <c r="CH28">
        <v>0</v>
      </c>
      <c r="CI28">
        <v>1</v>
      </c>
      <c r="CJ28">
        <v>0</v>
      </c>
      <c r="CK28">
        <v>1</v>
      </c>
      <c r="CL28">
        <v>0</v>
      </c>
      <c r="CM28">
        <v>1</v>
      </c>
      <c r="CN28">
        <v>0</v>
      </c>
      <c r="CO28">
        <v>1</v>
      </c>
      <c r="CP28">
        <v>0</v>
      </c>
      <c r="CQ28">
        <v>1</v>
      </c>
      <c r="CR28">
        <v>0</v>
      </c>
      <c r="CS28">
        <v>1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1</v>
      </c>
      <c r="DD28">
        <v>0</v>
      </c>
      <c r="DE28">
        <v>1</v>
      </c>
      <c r="DF28">
        <v>0</v>
      </c>
      <c r="DG28">
        <v>1</v>
      </c>
      <c r="DH28">
        <v>0</v>
      </c>
      <c r="DI28">
        <v>1</v>
      </c>
      <c r="DJ28">
        <v>0</v>
      </c>
      <c r="DK28">
        <v>1</v>
      </c>
      <c r="DL28">
        <v>0</v>
      </c>
      <c r="DM28">
        <v>1</v>
      </c>
      <c r="DN28">
        <v>0</v>
      </c>
      <c r="DO28">
        <v>1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1</v>
      </c>
      <c r="DV28">
        <v>0</v>
      </c>
      <c r="DW28">
        <v>1</v>
      </c>
      <c r="DX28">
        <v>0</v>
      </c>
      <c r="DY28">
        <v>1</v>
      </c>
      <c r="DZ28">
        <v>0</v>
      </c>
      <c r="EA28">
        <v>1</v>
      </c>
      <c r="EB28">
        <v>0</v>
      </c>
      <c r="EC28">
        <v>1</v>
      </c>
      <c r="ED28">
        <v>0</v>
      </c>
    </row>
    <row r="30" spans="1:200">
      <c r="D30" t="s">
        <v>58</v>
      </c>
      <c r="E30" t="s">
        <v>56</v>
      </c>
      <c r="F30" t="s">
        <v>61</v>
      </c>
      <c r="G30" t="s">
        <v>56</v>
      </c>
      <c r="H30" t="s">
        <v>62</v>
      </c>
      <c r="I30" t="s">
        <v>56</v>
      </c>
      <c r="J30" t="s">
        <v>61</v>
      </c>
      <c r="K30" t="s">
        <v>56</v>
      </c>
      <c r="L30" t="s">
        <v>62</v>
      </c>
      <c r="M30" t="s">
        <v>56</v>
      </c>
      <c r="N30" t="s">
        <v>61</v>
      </c>
      <c r="O30" t="s">
        <v>56</v>
      </c>
      <c r="P30" t="s">
        <v>62</v>
      </c>
      <c r="Q30" t="s">
        <v>56</v>
      </c>
      <c r="R30" t="s">
        <v>61</v>
      </c>
      <c r="S30" t="s">
        <v>56</v>
      </c>
      <c r="T30" t="s">
        <v>62</v>
      </c>
      <c r="U30" t="s">
        <v>56</v>
      </c>
      <c r="V30" t="s">
        <v>61</v>
      </c>
      <c r="W30" t="s">
        <v>56</v>
      </c>
      <c r="X30" t="s">
        <v>62</v>
      </c>
      <c r="Y30" t="s">
        <v>56</v>
      </c>
      <c r="Z30" t="s">
        <v>61</v>
      </c>
      <c r="AA30" t="s">
        <v>56</v>
      </c>
      <c r="AB30" t="s">
        <v>62</v>
      </c>
      <c r="AC30" t="s">
        <v>56</v>
      </c>
      <c r="AD30" t="s">
        <v>61</v>
      </c>
      <c r="AE30" t="s">
        <v>56</v>
      </c>
      <c r="AF30" t="s">
        <v>62</v>
      </c>
      <c r="AG30" t="s">
        <v>56</v>
      </c>
      <c r="AH30" t="s">
        <v>61</v>
      </c>
      <c r="AI30" t="s">
        <v>56</v>
      </c>
      <c r="AJ30" t="s">
        <v>62</v>
      </c>
      <c r="AK30" t="s">
        <v>56</v>
      </c>
      <c r="AL30" t="s">
        <v>61</v>
      </c>
      <c r="AM30" t="s">
        <v>56</v>
      </c>
      <c r="AN30" t="s">
        <v>62</v>
      </c>
      <c r="AO30" t="s">
        <v>56</v>
      </c>
      <c r="AP30" t="s">
        <v>61</v>
      </c>
      <c r="AQ30" t="s">
        <v>56</v>
      </c>
      <c r="AR30" t="s">
        <v>62</v>
      </c>
      <c r="AS30" t="s">
        <v>56</v>
      </c>
      <c r="AT30" t="s">
        <v>61</v>
      </c>
      <c r="AU30" t="s">
        <v>56</v>
      </c>
      <c r="AV30" t="s">
        <v>62</v>
      </c>
      <c r="AW30" t="s">
        <v>56</v>
      </c>
      <c r="AX30" t="s">
        <v>61</v>
      </c>
      <c r="AY30" t="s">
        <v>56</v>
      </c>
      <c r="AZ30" t="s">
        <v>62</v>
      </c>
      <c r="BA30" t="s">
        <v>56</v>
      </c>
      <c r="BB30" t="s">
        <v>61</v>
      </c>
      <c r="BC30" t="s">
        <v>56</v>
      </c>
      <c r="BD30" t="s">
        <v>62</v>
      </c>
      <c r="BE30" t="s">
        <v>56</v>
      </c>
      <c r="BF30" t="s">
        <v>61</v>
      </c>
      <c r="BG30" t="s">
        <v>56</v>
      </c>
      <c r="BH30" t="s">
        <v>62</v>
      </c>
      <c r="BI30" t="s">
        <v>56</v>
      </c>
      <c r="BJ30" t="s">
        <v>61</v>
      </c>
      <c r="BK30" t="s">
        <v>56</v>
      </c>
      <c r="BL30" t="s">
        <v>62</v>
      </c>
      <c r="BM30" t="s">
        <v>56</v>
      </c>
      <c r="BN30" t="s">
        <v>61</v>
      </c>
      <c r="BO30" t="s">
        <v>56</v>
      </c>
      <c r="BP30" t="s">
        <v>62</v>
      </c>
      <c r="BR30" t="s">
        <v>58</v>
      </c>
      <c r="BS30" t="s">
        <v>56</v>
      </c>
      <c r="BT30" t="s">
        <v>61</v>
      </c>
      <c r="BU30" t="s">
        <v>56</v>
      </c>
      <c r="BV30" t="s">
        <v>62</v>
      </c>
      <c r="BW30" t="s">
        <v>56</v>
      </c>
      <c r="BX30" t="s">
        <v>61</v>
      </c>
      <c r="BY30" t="s">
        <v>56</v>
      </c>
      <c r="BZ30" t="s">
        <v>62</v>
      </c>
      <c r="CA30" t="s">
        <v>56</v>
      </c>
      <c r="CB30" t="s">
        <v>61</v>
      </c>
      <c r="CC30" t="s">
        <v>56</v>
      </c>
      <c r="CD30" t="s">
        <v>62</v>
      </c>
      <c r="CE30" t="s">
        <v>56</v>
      </c>
      <c r="CF30" t="s">
        <v>61</v>
      </c>
      <c r="CG30" t="s">
        <v>56</v>
      </c>
      <c r="CH30" t="s">
        <v>62</v>
      </c>
      <c r="CI30" t="s">
        <v>56</v>
      </c>
      <c r="CJ30" t="s">
        <v>61</v>
      </c>
      <c r="CK30" t="s">
        <v>56</v>
      </c>
      <c r="CL30" t="s">
        <v>62</v>
      </c>
      <c r="CM30" t="s">
        <v>56</v>
      </c>
      <c r="CN30" t="s">
        <v>61</v>
      </c>
      <c r="CO30" t="s">
        <v>56</v>
      </c>
      <c r="CP30" t="s">
        <v>62</v>
      </c>
      <c r="CQ30" t="s">
        <v>56</v>
      </c>
      <c r="CR30" t="s">
        <v>61</v>
      </c>
      <c r="CS30" t="s">
        <v>56</v>
      </c>
      <c r="CT30" t="s">
        <v>62</v>
      </c>
      <c r="CU30" t="s">
        <v>56</v>
      </c>
      <c r="CV30" t="s">
        <v>61</v>
      </c>
      <c r="CW30" t="s">
        <v>56</v>
      </c>
      <c r="CX30" t="s">
        <v>62</v>
      </c>
      <c r="CY30" t="s">
        <v>56</v>
      </c>
      <c r="CZ30" t="s">
        <v>61</v>
      </c>
      <c r="DA30" t="s">
        <v>56</v>
      </c>
      <c r="DB30" t="s">
        <v>62</v>
      </c>
      <c r="DC30" t="s">
        <v>56</v>
      </c>
      <c r="DD30" t="s">
        <v>61</v>
      </c>
      <c r="DE30" t="s">
        <v>56</v>
      </c>
      <c r="DF30" t="s">
        <v>62</v>
      </c>
      <c r="DG30" t="s">
        <v>56</v>
      </c>
      <c r="DH30" t="s">
        <v>61</v>
      </c>
      <c r="DI30" t="s">
        <v>56</v>
      </c>
      <c r="DJ30" t="s">
        <v>62</v>
      </c>
      <c r="DK30" t="s">
        <v>56</v>
      </c>
      <c r="DL30" t="s">
        <v>61</v>
      </c>
      <c r="DM30" t="s">
        <v>56</v>
      </c>
      <c r="DN30" t="s">
        <v>62</v>
      </c>
      <c r="DO30" t="s">
        <v>56</v>
      </c>
      <c r="DP30" t="s">
        <v>61</v>
      </c>
      <c r="DQ30" t="s">
        <v>56</v>
      </c>
      <c r="DR30" t="s">
        <v>62</v>
      </c>
      <c r="DS30" t="s">
        <v>56</v>
      </c>
      <c r="DT30" t="s">
        <v>61</v>
      </c>
      <c r="DU30" t="s">
        <v>56</v>
      </c>
      <c r="DV30" t="s">
        <v>62</v>
      </c>
      <c r="DW30" t="s">
        <v>56</v>
      </c>
      <c r="DX30" t="s">
        <v>61</v>
      </c>
      <c r="DY30" t="s">
        <v>56</v>
      </c>
      <c r="DZ30" t="s">
        <v>62</v>
      </c>
      <c r="EA30" t="s">
        <v>56</v>
      </c>
      <c r="EB30" t="s">
        <v>61</v>
      </c>
      <c r="EC30" t="s">
        <v>56</v>
      </c>
      <c r="ED30" t="s">
        <v>62</v>
      </c>
    </row>
    <row r="31" spans="1:200">
      <c r="E31">
        <f>IFERROR(SMALL(E14:E28,ROW()-ROW($E$31)+1),"")</f>
        <v>0</v>
      </c>
      <c r="F31">
        <f>IFERROR(SMALL(F14:F28,ROW()-ROW($F$31)+1),"")</f>
        <v>0</v>
      </c>
      <c r="G31">
        <f>IFERROR(SMALL(G14:G28,ROW()-ROW($G$31)+1),"")</f>
        <v>0</v>
      </c>
      <c r="H31">
        <f>IFERROR(SMALL(H14:H28,ROW()-ROW($H$31)+1),"")</f>
        <v>0</v>
      </c>
      <c r="I31">
        <f>IFERROR(SMALL(I14:I28,ROW()-ROW($I$31)+1),"")</f>
        <v>0</v>
      </c>
      <c r="J31">
        <f>IFERROR(SMALL(J14:J28,ROW()-ROW($J$31)+1),"")</f>
        <v>0</v>
      </c>
      <c r="K31">
        <f>IFERROR(SMALL(K14:K28,ROW()-ROW($K$31)+1),"")</f>
        <v>0</v>
      </c>
      <c r="L31">
        <f>IFERROR(SMALL(L14:L28,ROW()-ROW($L$31)+1),"")</f>
        <v>0</v>
      </c>
      <c r="M31">
        <f>IFERROR(SMALL(M14:M28,ROW()-ROW($M$31)+1),"")</f>
        <v>0</v>
      </c>
      <c r="N31">
        <f>IFERROR(SMALL(N14:N28,ROW()-ROW($N$31)+1),"")</f>
        <v>0</v>
      </c>
      <c r="O31">
        <f>IFERROR(SMALL(O14:O28,ROW()-ROW($O$31)+1),"")</f>
        <v>0</v>
      </c>
      <c r="P31">
        <f>IFERROR(SMALL(P14:P28,ROW()-ROW($P$31)+1),"")</f>
        <v>0</v>
      </c>
      <c r="Q31">
        <f>IFERROR(SMALL(Q14:Q28,ROW()-ROW($Q$31)+1),"")</f>
        <v>0</v>
      </c>
      <c r="R31">
        <f>IFERROR(SMALL(R14:R28,ROW()-ROW($R$31)+1),"")</f>
        <v>0</v>
      </c>
      <c r="S31">
        <f>IFERROR(SMALL(S14:S28,ROW()-ROW($S$31)+1),"")</f>
        <v>0</v>
      </c>
      <c r="T31">
        <f>IFERROR(SMALL(T14:T28,ROW()-ROW($T$31)+1),"")</f>
        <v>0</v>
      </c>
      <c r="U31">
        <f>IFERROR(SMALL(U14:U28,ROW()-ROW($U$31)+1),"")</f>
        <v>0</v>
      </c>
      <c r="V31">
        <f>IFERROR(SMALL(V14:V28,ROW()-ROW($V$31)+1),"")</f>
        <v>0</v>
      </c>
      <c r="W31">
        <f>IFERROR(SMALL(W14:W28,ROW()-ROW($W$31)+1),"")</f>
        <v>0</v>
      </c>
      <c r="X31">
        <f>IFERROR(SMALL(X14:X28,ROW()-ROW($X$31)+1),"")</f>
        <v>0</v>
      </c>
      <c r="Y31">
        <f>IFERROR(SMALL(Y14:Y28,ROW()-ROW($Y$31)+1),"")</f>
        <v>0</v>
      </c>
      <c r="Z31">
        <f>IFERROR(SMALL(Z14:Z28,ROW()-ROW($Z$31)+1),"")</f>
        <v>0</v>
      </c>
      <c r="AA31">
        <f>IFERROR(SMALL(AA14:AA28,ROW()-ROW($AA$31)+1),"")</f>
        <v>0</v>
      </c>
      <c r="AB31">
        <f>IFERROR(SMALL(AB14:AB28,ROW()-ROW($AB$31)+1),"")</f>
        <v>0</v>
      </c>
      <c r="AC31">
        <f>IFERROR(SMALL(AC14:AC28,ROW()-ROW($AC$31)+1),"")</f>
        <v>0</v>
      </c>
      <c r="AD31">
        <f>IFERROR(SMALL(AD14:AD28,ROW()-ROW($AD$31)+1),"")</f>
        <v>0</v>
      </c>
      <c r="AE31">
        <f>IFERROR(SMALL(AE14:AE28,ROW()-ROW($AE$31)+1),"")</f>
        <v>0</v>
      </c>
      <c r="AF31">
        <f>IFERROR(SMALL(AF14:AF28,ROW()-ROW($AF$31)+1),"")</f>
        <v>0</v>
      </c>
      <c r="AG31">
        <f>IFERROR(SMALL(AG14:AG28,ROW()-ROW($AG$31)+1),"")</f>
        <v>0</v>
      </c>
      <c r="AH31">
        <f>IFERROR(SMALL(AH14:AH28,ROW()-ROW($AH$31)+1),"")</f>
        <v>0</v>
      </c>
      <c r="AI31">
        <f>IFERROR(SMALL(AI14:AI28,ROW()-ROW($AI$31)+1),"")</f>
        <v>0</v>
      </c>
      <c r="AJ31">
        <f>IFERROR(SMALL(AJ14:AJ28,ROW()-ROW($AJ$31)+1),"")</f>
        <v>0</v>
      </c>
      <c r="AK31">
        <f>IFERROR(SMALL(AK14:AK28,ROW()-ROW($AK$31)+1),"")</f>
        <v>0</v>
      </c>
      <c r="AL31">
        <f>IFERROR(SMALL(AL14:AL28,ROW()-ROW($AL$31)+1),"")</f>
        <v>0</v>
      </c>
      <c r="AM31">
        <f>IFERROR(SMALL(AM14:AM28,ROW()-ROW($AM$31)+1),"")</f>
        <v>0</v>
      </c>
      <c r="AN31">
        <f>IFERROR(SMALL(AN14:AN28,ROW()-ROW($AN$31)+1),"")</f>
        <v>0</v>
      </c>
      <c r="AO31">
        <f>IFERROR(SMALL(AO14:AO28,ROW()-ROW($AO$31)+1),"")</f>
        <v>0</v>
      </c>
      <c r="AP31">
        <f>IFERROR(SMALL(AP14:AP28,ROW()-ROW($AP$31)+1),"")</f>
        <v>0</v>
      </c>
      <c r="AQ31">
        <f>IFERROR(SMALL(AQ14:AQ28,ROW()-ROW($AQ$31)+1),"")</f>
        <v>0</v>
      </c>
      <c r="AR31">
        <f>IFERROR(SMALL(AR14:AR28,ROW()-ROW($AR$31)+1),"")</f>
        <v>0</v>
      </c>
      <c r="AS31">
        <f>IFERROR(SMALL(AS14:AS28,ROW()-ROW($AS$31)+1),"")</f>
        <v>0</v>
      </c>
      <c r="AT31">
        <f>IFERROR(SMALL(AT14:AT28,ROW()-ROW($AT$31)+1),"")</f>
        <v>0</v>
      </c>
      <c r="AU31">
        <f>IFERROR(SMALL(AU14:AU28,ROW()-ROW($AU$31)+1),"")</f>
        <v>0</v>
      </c>
      <c r="AV31">
        <f>IFERROR(SMALL(AV14:AV28,ROW()-ROW($AV$31)+1),"")</f>
        <v>0</v>
      </c>
      <c r="AW31">
        <f>IFERROR(SMALL(AW14:AW28,ROW()-ROW($AW$31)+1),"")</f>
        <v>0</v>
      </c>
      <c r="AX31">
        <f>IFERROR(SMALL(AX14:AX28,ROW()-ROW($AX$31)+1),"")</f>
        <v>0</v>
      </c>
      <c r="AY31">
        <f>IFERROR(SMALL(AY14:AY28,ROW()-ROW($AY$31)+1),"")</f>
        <v>0</v>
      </c>
      <c r="AZ31">
        <f>IFERROR(SMALL(AZ14:AZ28,ROW()-ROW($AZ$31)+1),"")</f>
        <v>0</v>
      </c>
      <c r="BA31">
        <f>IFERROR(SMALL(BA14:BA28,ROW()-ROW($BA$31)+1),"")</f>
        <v>0</v>
      </c>
      <c r="BB31">
        <f>IFERROR(SMALL(BB14:BB28,ROW()-ROW($BB$31)+1),"")</f>
        <v>0</v>
      </c>
      <c r="BC31">
        <f>IFERROR(SMALL(BC14:BC28,ROW()-ROW($BC$31)+1),"")</f>
        <v>0</v>
      </c>
      <c r="BD31">
        <f>IFERROR(SMALL(BD14:BD28,ROW()-ROW($BD$31)+1),"")</f>
        <v>0</v>
      </c>
      <c r="BE31">
        <f>IFERROR(SMALL(BE14:BE28,ROW()-ROW($BE$31)+1),"")</f>
        <v>0</v>
      </c>
      <c r="BF31">
        <f>IFERROR(SMALL(BF14:BF28,ROW()-ROW($BF$31)+1),"")</f>
        <v>0</v>
      </c>
      <c r="BG31">
        <f>IFERROR(SMALL(BG14:BG28,ROW()-ROW($BG$31)+1),"")</f>
        <v>0</v>
      </c>
      <c r="BH31">
        <f>IFERROR(SMALL(BH14:BH28,ROW()-ROW($BH$31)+1),"")</f>
        <v>0</v>
      </c>
      <c r="BI31">
        <f>IFERROR(SMALL(BI14:BI28,ROW()-ROW($BI$31)+1),"")</f>
        <v>0</v>
      </c>
      <c r="BJ31">
        <f>IFERROR(SMALL(BJ14:BJ28,ROW()-ROW($BJ$31)+1),"")</f>
        <v>0</v>
      </c>
      <c r="BK31">
        <f>IFERROR(SMALL(BK14:BK28,ROW()-ROW($BK$31)+1),"")</f>
        <v>0</v>
      </c>
      <c r="BL31">
        <f>IFERROR(SMALL(BL14:BL28,ROW()-ROW($BL$31)+1),"")</f>
        <v>0</v>
      </c>
      <c r="BM31">
        <f>IFERROR(SMALL(BM14:BM28,ROW()-ROW($BM$31)+1),"")</f>
        <v>0</v>
      </c>
      <c r="BN31">
        <f>IFERROR(SMALL(BN14:BN28,ROW()-ROW($BN$31)+1),"")</f>
        <v>0</v>
      </c>
      <c r="BO31">
        <f>IFERROR(SMALL(BO14:BO28,ROW()-ROW($BO$31)+1),"")</f>
        <v>0</v>
      </c>
      <c r="BP31">
        <f>IFERROR(SMALL(BP14:BP28,ROW()-ROW($BP$31)+1),"")</f>
        <v>0</v>
      </c>
      <c r="BS31">
        <f>IFERROR(SMALL(BS14:BS28,ROW()-ROW($BS$31)+1),"")</f>
        <v>0</v>
      </c>
      <c r="BT31">
        <f>IFERROR(SMALL(BT14:BT28,ROW()-ROW($BT$31)+1),"")</f>
        <v>0</v>
      </c>
      <c r="BU31">
        <f>IFERROR(SMALL(BU14:BU28,ROW()-ROW($BU$31)+1),"")</f>
        <v>0</v>
      </c>
      <c r="BV31">
        <f>IFERROR(SMALL(BV14:BV28,ROW()-ROW($BV$31)+1),"")</f>
        <v>0</v>
      </c>
      <c r="BW31">
        <f>IFERROR(SMALL(BW14:BW28,ROW()-ROW($BW$31)+1),"")</f>
        <v>0</v>
      </c>
      <c r="BX31">
        <f>IFERROR(SMALL(BX14:BX28,ROW()-ROW($BX$31)+1),"")</f>
        <v>0</v>
      </c>
      <c r="BY31">
        <f>IFERROR(SMALL(BY14:BY28,ROW()-ROW($BY$31)+1),"")</f>
        <v>0</v>
      </c>
      <c r="BZ31">
        <f>IFERROR(SMALL(BZ14:BZ28,ROW()-ROW($BZ$31)+1),"")</f>
        <v>0</v>
      </c>
      <c r="CA31">
        <f>IFERROR(SMALL(CA14:CA28,ROW()-ROW($CA$31)+1),"")</f>
        <v>0</v>
      </c>
      <c r="CB31">
        <f>IFERROR(SMALL(CB14:CB28,ROW()-ROW($CB$31)+1),"")</f>
        <v>0</v>
      </c>
      <c r="CC31">
        <f>IFERROR(SMALL(CC14:CC28,ROW()-ROW($CC$31)+1),"")</f>
        <v>0</v>
      </c>
      <c r="CD31">
        <f>IFERROR(SMALL(CD14:CD28,ROW()-ROW($CD$31)+1),"")</f>
        <v>0</v>
      </c>
      <c r="CE31">
        <f>IFERROR(SMALL(CE14:CE28,ROW()-ROW($CE$31)+1),"")</f>
        <v>0</v>
      </c>
      <c r="CF31">
        <f>IFERROR(SMALL(CF14:CF28,ROW()-ROW($CF$31)+1),"")</f>
        <v>0</v>
      </c>
      <c r="CG31">
        <f>IFERROR(SMALL(CG14:CG28,ROW()-ROW($CG$31)+1),"")</f>
        <v>0</v>
      </c>
      <c r="CH31">
        <f>IFERROR(SMALL(CH14:CH28,ROW()-ROW($CH$31)+1),"")</f>
        <v>0</v>
      </c>
      <c r="CI31">
        <f>IFERROR(SMALL(CI14:CI28,ROW()-ROW($CI$31)+1),"")</f>
        <v>0</v>
      </c>
      <c r="CJ31">
        <f>IFERROR(SMALL(CJ14:CJ28,ROW()-ROW($CJ$31)+1),"")</f>
        <v>0</v>
      </c>
      <c r="CK31">
        <f>IFERROR(SMALL(CK14:CK28,ROW()-ROW($CK$31)+1),"")</f>
        <v>0</v>
      </c>
      <c r="CL31">
        <f>IFERROR(SMALL(CL14:CL28,ROW()-ROW($CL$31)+1),"")</f>
        <v>0</v>
      </c>
      <c r="CM31">
        <f>IFERROR(SMALL(CM14:CM28,ROW()-ROW($CM$31)+1),"")</f>
        <v>0</v>
      </c>
      <c r="CN31">
        <f>IFERROR(SMALL(CN14:CN28,ROW()-ROW($CN$31)+1),"")</f>
        <v>0</v>
      </c>
      <c r="CO31">
        <f>IFERROR(SMALL(CO14:CO28,ROW()-ROW($CO$31)+1),"")</f>
        <v>0</v>
      </c>
      <c r="CP31">
        <f>IFERROR(SMALL(CP14:CP28,ROW()-ROW($CP$31)+1),"")</f>
        <v>0</v>
      </c>
      <c r="CQ31">
        <f>IFERROR(SMALL(CQ14:CQ28,ROW()-ROW($CQ$31)+1),"")</f>
        <v>0</v>
      </c>
      <c r="CR31">
        <f>IFERROR(SMALL(CR14:CR28,ROW()-ROW($CR$31)+1),"")</f>
        <v>0</v>
      </c>
      <c r="CS31">
        <f>IFERROR(SMALL(CS14:CS28,ROW()-ROW($CS$31)+1),"")</f>
        <v>0</v>
      </c>
      <c r="CT31">
        <f>IFERROR(SMALL(CT14:CT28,ROW()-ROW($CT$31)+1),"")</f>
        <v>0</v>
      </c>
      <c r="CU31">
        <f>IFERROR(SMALL(CU14:CU28,ROW()-ROW($CU$31)+1),"")</f>
        <v>0</v>
      </c>
      <c r="CV31">
        <f>IFERROR(SMALL(CV14:CV28,ROW()-ROW($CV$31)+1),"")</f>
        <v>0</v>
      </c>
      <c r="CW31">
        <f>IFERROR(SMALL(CW14:CW28,ROW()-ROW($CW$31)+1),"")</f>
        <v>0</v>
      </c>
      <c r="CX31">
        <f>IFERROR(SMALL(CX14:CX28,ROW()-ROW($CX$31)+1),"")</f>
        <v>0</v>
      </c>
      <c r="CY31">
        <f>IFERROR(SMALL(CY14:CY28,ROW()-ROW($CY$31)+1),"")</f>
        <v>0</v>
      </c>
      <c r="CZ31">
        <f>IFERROR(SMALL(CZ14:CZ28,ROW()-ROW($CZ$31)+1),"")</f>
        <v>0</v>
      </c>
      <c r="DA31">
        <f>IFERROR(SMALL(DA14:DA28,ROW()-ROW($DA$31)+1),"")</f>
        <v>0</v>
      </c>
      <c r="DB31">
        <f>IFERROR(SMALL(DB14:DB28,ROW()-ROW($DB$31)+1),"")</f>
        <v>0</v>
      </c>
      <c r="DC31">
        <f>IFERROR(SMALL(DC14:DC28,ROW()-ROW($DC$31)+1),"")</f>
        <v>0</v>
      </c>
      <c r="DD31">
        <f>IFERROR(SMALL(DD14:DD28,ROW()-ROW($DD$31)+1),"")</f>
        <v>0</v>
      </c>
      <c r="DE31">
        <f>IFERROR(SMALL(DE14:DE28,ROW()-ROW($DE$31)+1),"")</f>
        <v>0</v>
      </c>
      <c r="DF31">
        <f>IFERROR(SMALL(DF14:DF28,ROW()-ROW($DF$31)+1),"")</f>
        <v>0</v>
      </c>
      <c r="DG31">
        <f>IFERROR(SMALL(DG14:DG28,ROW()-ROW($DG$31)+1),"")</f>
        <v>0</v>
      </c>
      <c r="DH31">
        <f>IFERROR(SMALL(DH14:DH28,ROW()-ROW($DH$31)+1),"")</f>
        <v>0</v>
      </c>
      <c r="DI31">
        <f>IFERROR(SMALL(DI14:DI28,ROW()-ROW($DI$31)+1),"")</f>
        <v>0</v>
      </c>
      <c r="DJ31">
        <f>IFERROR(SMALL(DJ14:DJ28,ROW()-ROW($DJ$31)+1),"")</f>
        <v>0</v>
      </c>
      <c r="DK31">
        <f>IFERROR(SMALL(DK14:DK28,ROW()-ROW($DK$31)+1),"")</f>
        <v>0</v>
      </c>
      <c r="DL31">
        <f>IFERROR(SMALL(DL14:DL28,ROW()-ROW($DL$31)+1),"")</f>
        <v>0</v>
      </c>
      <c r="DM31">
        <f>IFERROR(SMALL(DM14:DM28,ROW()-ROW($DM$31)+1),"")</f>
        <v>0</v>
      </c>
      <c r="DN31">
        <f>IFERROR(SMALL(DN14:DN28,ROW()-ROW($DN$31)+1),"")</f>
        <v>0</v>
      </c>
      <c r="DO31">
        <f>IFERROR(SMALL(DO14:DO28,ROW()-ROW($DO$31)+1),"")</f>
        <v>0</v>
      </c>
      <c r="DP31">
        <f>IFERROR(SMALL(DP14:DP28,ROW()-ROW($DP$31)+1),"")</f>
        <v>0</v>
      </c>
      <c r="DQ31">
        <f>IFERROR(SMALL(DQ14:DQ28,ROW()-ROW($DQ$31)+1),"")</f>
        <v>0</v>
      </c>
      <c r="DR31">
        <f>IFERROR(SMALL(DR14:DR28,ROW()-ROW($DR$31)+1),"")</f>
        <v>0</v>
      </c>
      <c r="DS31">
        <f>IFERROR(SMALL(DS14:DS28,ROW()-ROW($DS$31)+1),"")</f>
        <v>0</v>
      </c>
      <c r="DT31">
        <f>IFERROR(SMALL(DT14:DT28,ROW()-ROW($DT$31)+1),"")</f>
        <v>0</v>
      </c>
      <c r="DU31">
        <f>IFERROR(SMALL(DU14:DU28,ROW()-ROW($DU$31)+1),"")</f>
        <v>0</v>
      </c>
      <c r="DV31">
        <f>IFERROR(SMALL(DV14:DV28,ROW()-ROW($DV$31)+1),"")</f>
        <v>0</v>
      </c>
      <c r="DW31">
        <f>IFERROR(SMALL(DW14:DW28,ROW()-ROW($DW$31)+1),"")</f>
        <v>0</v>
      </c>
      <c r="DX31">
        <f>IFERROR(SMALL(DX14:DX28,ROW()-ROW($DX$31)+1),"")</f>
        <v>0</v>
      </c>
      <c r="DY31">
        <f>IFERROR(SMALL(DY14:DY28,ROW()-ROW($DY$31)+1),"")</f>
        <v>0</v>
      </c>
      <c r="DZ31">
        <f>IFERROR(SMALL(DZ14:DZ28,ROW()-ROW($DZ$31)+1),"")</f>
        <v>0</v>
      </c>
      <c r="EA31">
        <f>IFERROR(SMALL(EA14:EA28,ROW()-ROW($EA$31)+1),"")</f>
        <v>0</v>
      </c>
      <c r="EB31">
        <f>IFERROR(SMALL(EB14:EB28,ROW()-ROW($EB$31)+1),"")</f>
        <v>0</v>
      </c>
      <c r="EC31">
        <f>IFERROR(SMALL(EC14:EC28,ROW()-ROW($EC$31)+1),"")</f>
        <v>0</v>
      </c>
      <c r="ED31">
        <f>IFERROR(SMALL(ED14:ED28,ROW()-ROW($ED$31)+1),"")</f>
        <v>0</v>
      </c>
    </row>
    <row r="32" spans="1:200">
      <c r="E32">
        <f>IFERROR(SMALL(E14:E28,ROW()-ROW($E$31)+1),"")</f>
        <v>0</v>
      </c>
      <c r="F32">
        <f>IFERROR(SMALL(F14:F28,ROW()-ROW($F$31)+1),"")</f>
        <v>0</v>
      </c>
      <c r="G32">
        <f>IFERROR(SMALL(G14:G28,ROW()-ROW($G$31)+1),"")</f>
        <v>0</v>
      </c>
      <c r="H32">
        <f>IFERROR(SMALL(H14:H28,ROW()-ROW($H$31)+1),"")</f>
        <v>0</v>
      </c>
      <c r="I32">
        <f>IFERROR(SMALL(I14:I28,ROW()-ROW($I$31)+1),"")</f>
        <v>0</v>
      </c>
      <c r="J32">
        <f>IFERROR(SMALL(J14:J28,ROW()-ROW($J$31)+1),"")</f>
        <v>0</v>
      </c>
      <c r="K32">
        <f>IFERROR(SMALL(K14:K28,ROW()-ROW($K$31)+1),"")</f>
        <v>0</v>
      </c>
      <c r="L32">
        <f>IFERROR(SMALL(L14:L28,ROW()-ROW($L$31)+1),"")</f>
        <v>0</v>
      </c>
      <c r="M32">
        <f>IFERROR(SMALL(M14:M28,ROW()-ROW($M$31)+1),"")</f>
        <v>0</v>
      </c>
      <c r="N32">
        <f>IFERROR(SMALL(N14:N28,ROW()-ROW($N$31)+1),"")</f>
        <v>0</v>
      </c>
      <c r="O32">
        <f>IFERROR(SMALL(O14:O28,ROW()-ROW($O$31)+1),"")</f>
        <v>0</v>
      </c>
      <c r="P32">
        <f>IFERROR(SMALL(P14:P28,ROW()-ROW($P$31)+1),"")</f>
        <v>0</v>
      </c>
      <c r="Q32">
        <f>IFERROR(SMALL(Q14:Q28,ROW()-ROW($Q$31)+1),"")</f>
        <v>0</v>
      </c>
      <c r="R32">
        <f>IFERROR(SMALL(R14:R28,ROW()-ROW($R$31)+1),"")</f>
        <v>0</v>
      </c>
      <c r="S32">
        <f>IFERROR(SMALL(S14:S28,ROW()-ROW($S$31)+1),"")</f>
        <v>0</v>
      </c>
      <c r="T32">
        <f>IFERROR(SMALL(T14:T28,ROW()-ROW($T$31)+1),"")</f>
        <v>0</v>
      </c>
      <c r="U32">
        <f>IFERROR(SMALL(U14:U28,ROW()-ROW($U$31)+1),"")</f>
        <v>0</v>
      </c>
      <c r="V32">
        <f>IFERROR(SMALL(V14:V28,ROW()-ROW($V$31)+1),"")</f>
        <v>0</v>
      </c>
      <c r="W32">
        <f>IFERROR(SMALL(W14:W28,ROW()-ROW($W$31)+1),"")</f>
        <v>0</v>
      </c>
      <c r="X32">
        <f>IFERROR(SMALL(X14:X28,ROW()-ROW($X$31)+1),"")</f>
        <v>0</v>
      </c>
      <c r="Y32">
        <f>IFERROR(SMALL(Y14:Y28,ROW()-ROW($Y$31)+1),"")</f>
        <v>0</v>
      </c>
      <c r="Z32">
        <f>IFERROR(SMALL(Z14:Z28,ROW()-ROW($Z$31)+1),"")</f>
        <v>0</v>
      </c>
      <c r="AA32">
        <f>IFERROR(SMALL(AA14:AA28,ROW()-ROW($AA$31)+1),"")</f>
        <v>0</v>
      </c>
      <c r="AB32">
        <f>IFERROR(SMALL(AB14:AB28,ROW()-ROW($AB$31)+1),"")</f>
        <v>0</v>
      </c>
      <c r="AC32">
        <f>IFERROR(SMALL(AC14:AC28,ROW()-ROW($AC$31)+1),"")</f>
        <v>0</v>
      </c>
      <c r="AD32">
        <f>IFERROR(SMALL(AD14:AD28,ROW()-ROW($AD$31)+1),"")</f>
        <v>0</v>
      </c>
      <c r="AE32">
        <f>IFERROR(SMALL(AE14:AE28,ROW()-ROW($AE$31)+1),"")</f>
        <v>0</v>
      </c>
      <c r="AF32">
        <f>IFERROR(SMALL(AF14:AF28,ROW()-ROW($AF$31)+1),"")</f>
        <v>0</v>
      </c>
      <c r="AG32">
        <f>IFERROR(SMALL(AG14:AG28,ROW()-ROW($AG$31)+1),"")</f>
        <v>0</v>
      </c>
      <c r="AH32">
        <f>IFERROR(SMALL(AH14:AH28,ROW()-ROW($AH$31)+1),"")</f>
        <v>0</v>
      </c>
      <c r="AI32">
        <f>IFERROR(SMALL(AI14:AI28,ROW()-ROW($AI$31)+1),"")</f>
        <v>0</v>
      </c>
      <c r="AJ32">
        <f>IFERROR(SMALL(AJ14:AJ28,ROW()-ROW($AJ$31)+1),"")</f>
        <v>0</v>
      </c>
      <c r="AK32">
        <f>IFERROR(SMALL(AK14:AK28,ROW()-ROW($AK$31)+1),"")</f>
        <v>0</v>
      </c>
      <c r="AL32">
        <f>IFERROR(SMALL(AL14:AL28,ROW()-ROW($AL$31)+1),"")</f>
        <v>0</v>
      </c>
      <c r="AM32">
        <f>IFERROR(SMALL(AM14:AM28,ROW()-ROW($AM$31)+1),"")</f>
        <v>0</v>
      </c>
      <c r="AN32">
        <f>IFERROR(SMALL(AN14:AN28,ROW()-ROW($AN$31)+1),"")</f>
        <v>0</v>
      </c>
      <c r="AO32">
        <f>IFERROR(SMALL(AO14:AO28,ROW()-ROW($AO$31)+1),"")</f>
        <v>0</v>
      </c>
      <c r="AP32">
        <f>IFERROR(SMALL(AP14:AP28,ROW()-ROW($AP$31)+1),"")</f>
        <v>0</v>
      </c>
      <c r="AQ32">
        <f>IFERROR(SMALL(AQ14:AQ28,ROW()-ROW($AQ$31)+1),"")</f>
        <v>0</v>
      </c>
      <c r="AR32">
        <f>IFERROR(SMALL(AR14:AR28,ROW()-ROW($AR$31)+1),"")</f>
        <v>0</v>
      </c>
      <c r="AS32">
        <f>IFERROR(SMALL(AS14:AS28,ROW()-ROW($AS$31)+1),"")</f>
        <v>0</v>
      </c>
      <c r="AT32">
        <f>IFERROR(SMALL(AT14:AT28,ROW()-ROW($AT$31)+1),"")</f>
        <v>0</v>
      </c>
      <c r="AU32">
        <f>IFERROR(SMALL(AU14:AU28,ROW()-ROW($AU$31)+1),"")</f>
        <v>0</v>
      </c>
      <c r="AV32">
        <f>IFERROR(SMALL(AV14:AV28,ROW()-ROW($AV$31)+1),"")</f>
        <v>0</v>
      </c>
      <c r="AW32">
        <f>IFERROR(SMALL(AW14:AW28,ROW()-ROW($AW$31)+1),"")</f>
        <v>0</v>
      </c>
      <c r="AX32">
        <f>IFERROR(SMALL(AX14:AX28,ROW()-ROW($AX$31)+1),"")</f>
        <v>0</v>
      </c>
      <c r="AY32">
        <f>IFERROR(SMALL(AY14:AY28,ROW()-ROW($AY$31)+1),"")</f>
        <v>0</v>
      </c>
      <c r="AZ32">
        <f>IFERROR(SMALL(AZ14:AZ28,ROW()-ROW($AZ$31)+1),"")</f>
        <v>0</v>
      </c>
      <c r="BA32">
        <f>IFERROR(SMALL(BA14:BA28,ROW()-ROW($BA$31)+1),"")</f>
        <v>0</v>
      </c>
      <c r="BB32">
        <f>IFERROR(SMALL(BB14:BB28,ROW()-ROW($BB$31)+1),"")</f>
        <v>0</v>
      </c>
      <c r="BC32">
        <f>IFERROR(SMALL(BC14:BC28,ROW()-ROW($BC$31)+1),"")</f>
        <v>0</v>
      </c>
      <c r="BD32">
        <f>IFERROR(SMALL(BD14:BD28,ROW()-ROW($BD$31)+1),"")</f>
        <v>0</v>
      </c>
      <c r="BE32">
        <f>IFERROR(SMALL(BE14:BE28,ROW()-ROW($BE$31)+1),"")</f>
        <v>0</v>
      </c>
      <c r="BF32">
        <f>IFERROR(SMALL(BF14:BF28,ROW()-ROW($BF$31)+1),"")</f>
        <v>0</v>
      </c>
      <c r="BG32">
        <f>IFERROR(SMALL(BG14:BG28,ROW()-ROW($BG$31)+1),"")</f>
        <v>0</v>
      </c>
      <c r="BH32">
        <f>IFERROR(SMALL(BH14:BH28,ROW()-ROW($BH$31)+1),"")</f>
        <v>0</v>
      </c>
      <c r="BI32">
        <f>IFERROR(SMALL(BI14:BI28,ROW()-ROW($BI$31)+1),"")</f>
        <v>0</v>
      </c>
      <c r="BJ32">
        <f>IFERROR(SMALL(BJ14:BJ28,ROW()-ROW($BJ$31)+1),"")</f>
        <v>0</v>
      </c>
      <c r="BK32">
        <f>IFERROR(SMALL(BK14:BK28,ROW()-ROW($BK$31)+1),"")</f>
        <v>0</v>
      </c>
      <c r="BL32">
        <f>IFERROR(SMALL(BL14:BL28,ROW()-ROW($BL$31)+1),"")</f>
        <v>0</v>
      </c>
      <c r="BM32">
        <f>IFERROR(SMALL(BM14:BM28,ROW()-ROW($BM$31)+1),"")</f>
        <v>0</v>
      </c>
      <c r="BN32">
        <f>IFERROR(SMALL(BN14:BN28,ROW()-ROW($BN$31)+1),"")</f>
        <v>0</v>
      </c>
      <c r="BO32">
        <f>IFERROR(SMALL(BO14:BO28,ROW()-ROW($BO$31)+1),"")</f>
        <v>0</v>
      </c>
      <c r="BP32">
        <f>IFERROR(SMALL(BP14:BP28,ROW()-ROW($BP$31)+1),"")</f>
        <v>0</v>
      </c>
      <c r="BS32">
        <f>IFERROR(SMALL(BS14:BS28,ROW()-ROW($BS$31)+1),"")</f>
        <v>0</v>
      </c>
      <c r="BT32">
        <f>IFERROR(SMALL(BT14:BT28,ROW()-ROW($BT$31)+1),"")</f>
        <v>0</v>
      </c>
      <c r="BU32">
        <f>IFERROR(SMALL(BU14:BU28,ROW()-ROW($BU$31)+1),"")</f>
        <v>0</v>
      </c>
      <c r="BV32">
        <f>IFERROR(SMALL(BV14:BV28,ROW()-ROW($BV$31)+1),"")</f>
        <v>0</v>
      </c>
      <c r="BW32">
        <f>IFERROR(SMALL(BW14:BW28,ROW()-ROW($BW$31)+1),"")</f>
        <v>0</v>
      </c>
      <c r="BX32">
        <f>IFERROR(SMALL(BX14:BX28,ROW()-ROW($BX$31)+1),"")</f>
        <v>0</v>
      </c>
      <c r="BY32">
        <f>IFERROR(SMALL(BY14:BY28,ROW()-ROW($BY$31)+1),"")</f>
        <v>0</v>
      </c>
      <c r="BZ32">
        <f>IFERROR(SMALL(BZ14:BZ28,ROW()-ROW($BZ$31)+1),"")</f>
        <v>0</v>
      </c>
      <c r="CA32">
        <f>IFERROR(SMALL(CA14:CA28,ROW()-ROW($CA$31)+1),"")</f>
        <v>0</v>
      </c>
      <c r="CB32">
        <f>IFERROR(SMALL(CB14:CB28,ROW()-ROW($CB$31)+1),"")</f>
        <v>0</v>
      </c>
      <c r="CC32">
        <f>IFERROR(SMALL(CC14:CC28,ROW()-ROW($CC$31)+1),"")</f>
        <v>0</v>
      </c>
      <c r="CD32">
        <f>IFERROR(SMALL(CD14:CD28,ROW()-ROW($CD$31)+1),"")</f>
        <v>0</v>
      </c>
      <c r="CE32">
        <f>IFERROR(SMALL(CE14:CE28,ROW()-ROW($CE$31)+1),"")</f>
        <v>0</v>
      </c>
      <c r="CF32">
        <f>IFERROR(SMALL(CF14:CF28,ROW()-ROW($CF$31)+1),"")</f>
        <v>0</v>
      </c>
      <c r="CG32">
        <f>IFERROR(SMALL(CG14:CG28,ROW()-ROW($CG$31)+1),"")</f>
        <v>0</v>
      </c>
      <c r="CH32">
        <f>IFERROR(SMALL(CH14:CH28,ROW()-ROW($CH$31)+1),"")</f>
        <v>0</v>
      </c>
      <c r="CI32">
        <f>IFERROR(SMALL(CI14:CI28,ROW()-ROW($CI$31)+1),"")</f>
        <v>0</v>
      </c>
      <c r="CJ32">
        <f>IFERROR(SMALL(CJ14:CJ28,ROW()-ROW($CJ$31)+1),"")</f>
        <v>0</v>
      </c>
      <c r="CK32">
        <f>IFERROR(SMALL(CK14:CK28,ROW()-ROW($CK$31)+1),"")</f>
        <v>0</v>
      </c>
      <c r="CL32">
        <f>IFERROR(SMALL(CL14:CL28,ROW()-ROW($CL$31)+1),"")</f>
        <v>0</v>
      </c>
      <c r="CM32">
        <f>IFERROR(SMALL(CM14:CM28,ROW()-ROW($CM$31)+1),"")</f>
        <v>0</v>
      </c>
      <c r="CN32">
        <f>IFERROR(SMALL(CN14:CN28,ROW()-ROW($CN$31)+1),"")</f>
        <v>0</v>
      </c>
      <c r="CO32">
        <f>IFERROR(SMALL(CO14:CO28,ROW()-ROW($CO$31)+1),"")</f>
        <v>0</v>
      </c>
      <c r="CP32">
        <f>IFERROR(SMALL(CP14:CP28,ROW()-ROW($CP$31)+1),"")</f>
        <v>0</v>
      </c>
      <c r="CQ32">
        <f>IFERROR(SMALL(CQ14:CQ28,ROW()-ROW($CQ$31)+1),"")</f>
        <v>0</v>
      </c>
      <c r="CR32">
        <f>IFERROR(SMALL(CR14:CR28,ROW()-ROW($CR$31)+1),"")</f>
        <v>0</v>
      </c>
      <c r="CS32">
        <f>IFERROR(SMALL(CS14:CS28,ROW()-ROW($CS$31)+1),"")</f>
        <v>0</v>
      </c>
      <c r="CT32">
        <f>IFERROR(SMALL(CT14:CT28,ROW()-ROW($CT$31)+1),"")</f>
        <v>0</v>
      </c>
      <c r="CU32">
        <f>IFERROR(SMALL(CU14:CU28,ROW()-ROW($CU$31)+1),"")</f>
        <v>0</v>
      </c>
      <c r="CV32">
        <f>IFERROR(SMALL(CV14:CV28,ROW()-ROW($CV$31)+1),"")</f>
        <v>0</v>
      </c>
      <c r="CW32">
        <f>IFERROR(SMALL(CW14:CW28,ROW()-ROW($CW$31)+1),"")</f>
        <v>0</v>
      </c>
      <c r="CX32">
        <f>IFERROR(SMALL(CX14:CX28,ROW()-ROW($CX$31)+1),"")</f>
        <v>0</v>
      </c>
      <c r="CY32">
        <f>IFERROR(SMALL(CY14:CY28,ROW()-ROW($CY$31)+1),"")</f>
        <v>0</v>
      </c>
      <c r="CZ32">
        <f>IFERROR(SMALL(CZ14:CZ28,ROW()-ROW($CZ$31)+1),"")</f>
        <v>0</v>
      </c>
      <c r="DA32">
        <f>IFERROR(SMALL(DA14:DA28,ROW()-ROW($DA$31)+1),"")</f>
        <v>0</v>
      </c>
      <c r="DB32">
        <f>IFERROR(SMALL(DB14:DB28,ROW()-ROW($DB$31)+1),"")</f>
        <v>0</v>
      </c>
      <c r="DC32">
        <f>IFERROR(SMALL(DC14:DC28,ROW()-ROW($DC$31)+1),"")</f>
        <v>0</v>
      </c>
      <c r="DD32">
        <f>IFERROR(SMALL(DD14:DD28,ROW()-ROW($DD$31)+1),"")</f>
        <v>0</v>
      </c>
      <c r="DE32">
        <f>IFERROR(SMALL(DE14:DE28,ROW()-ROW($DE$31)+1),"")</f>
        <v>0</v>
      </c>
      <c r="DF32">
        <f>IFERROR(SMALL(DF14:DF28,ROW()-ROW($DF$31)+1),"")</f>
        <v>0</v>
      </c>
      <c r="DG32">
        <f>IFERROR(SMALL(DG14:DG28,ROW()-ROW($DG$31)+1),"")</f>
        <v>0</v>
      </c>
      <c r="DH32">
        <f>IFERROR(SMALL(DH14:DH28,ROW()-ROW($DH$31)+1),"")</f>
        <v>0</v>
      </c>
      <c r="DI32">
        <f>IFERROR(SMALL(DI14:DI28,ROW()-ROW($DI$31)+1),"")</f>
        <v>0</v>
      </c>
      <c r="DJ32">
        <f>IFERROR(SMALL(DJ14:DJ28,ROW()-ROW($DJ$31)+1),"")</f>
        <v>0</v>
      </c>
      <c r="DK32">
        <f>IFERROR(SMALL(DK14:DK28,ROW()-ROW($DK$31)+1),"")</f>
        <v>0</v>
      </c>
      <c r="DL32">
        <f>IFERROR(SMALL(DL14:DL28,ROW()-ROW($DL$31)+1),"")</f>
        <v>0</v>
      </c>
      <c r="DM32">
        <f>IFERROR(SMALL(DM14:DM28,ROW()-ROW($DM$31)+1),"")</f>
        <v>0</v>
      </c>
      <c r="DN32">
        <f>IFERROR(SMALL(DN14:DN28,ROW()-ROW($DN$31)+1),"")</f>
        <v>0</v>
      </c>
      <c r="DO32">
        <f>IFERROR(SMALL(DO14:DO28,ROW()-ROW($DO$31)+1),"")</f>
        <v>0</v>
      </c>
      <c r="DP32">
        <f>IFERROR(SMALL(DP14:DP28,ROW()-ROW($DP$31)+1),"")</f>
        <v>0</v>
      </c>
      <c r="DQ32">
        <f>IFERROR(SMALL(DQ14:DQ28,ROW()-ROW($DQ$31)+1),"")</f>
        <v>0</v>
      </c>
      <c r="DR32">
        <f>IFERROR(SMALL(DR14:DR28,ROW()-ROW($DR$31)+1),"")</f>
        <v>0</v>
      </c>
      <c r="DS32">
        <f>IFERROR(SMALL(DS14:DS28,ROW()-ROW($DS$31)+1),"")</f>
        <v>0</v>
      </c>
      <c r="DT32">
        <f>IFERROR(SMALL(DT14:DT28,ROW()-ROW($DT$31)+1),"")</f>
        <v>0</v>
      </c>
      <c r="DU32">
        <f>IFERROR(SMALL(DU14:DU28,ROW()-ROW($DU$31)+1),"")</f>
        <v>0</v>
      </c>
      <c r="DV32">
        <f>IFERROR(SMALL(DV14:DV28,ROW()-ROW($DV$31)+1),"")</f>
        <v>0</v>
      </c>
      <c r="DW32">
        <f>IFERROR(SMALL(DW14:DW28,ROW()-ROW($DW$31)+1),"")</f>
        <v>0</v>
      </c>
      <c r="DX32">
        <f>IFERROR(SMALL(DX14:DX28,ROW()-ROW($DX$31)+1),"")</f>
        <v>0</v>
      </c>
      <c r="DY32">
        <f>IFERROR(SMALL(DY14:DY28,ROW()-ROW($DY$31)+1),"")</f>
        <v>0</v>
      </c>
      <c r="DZ32">
        <f>IFERROR(SMALL(DZ14:DZ28,ROW()-ROW($DZ$31)+1),"")</f>
        <v>0</v>
      </c>
      <c r="EA32">
        <f>IFERROR(SMALL(EA14:EA28,ROW()-ROW($EA$31)+1),"")</f>
        <v>0</v>
      </c>
      <c r="EB32">
        <f>IFERROR(SMALL(EB14:EB28,ROW()-ROW($EB$31)+1),"")</f>
        <v>0</v>
      </c>
      <c r="EC32">
        <f>IFERROR(SMALL(EC14:EC28,ROW()-ROW($EC$31)+1),"")</f>
        <v>0</v>
      </c>
      <c r="ED32">
        <f>IFERROR(SMALL(ED14:ED28,ROW()-ROW($ED$31)+1),"")</f>
        <v>0</v>
      </c>
    </row>
    <row r="33" spans="4:134">
      <c r="E33">
        <f>IFERROR(SMALL(E14:E28,ROW()-ROW($E$31)+1),"")</f>
        <v>0</v>
      </c>
      <c r="F33">
        <f>IFERROR(SMALL(F14:F28,ROW()-ROW($F$31)+1),"")</f>
        <v>0</v>
      </c>
      <c r="G33">
        <f>IFERROR(SMALL(G14:G28,ROW()-ROW($G$31)+1),"")</f>
        <v>0</v>
      </c>
      <c r="H33">
        <f>IFERROR(SMALL(H14:H28,ROW()-ROW($H$31)+1),"")</f>
        <v>0</v>
      </c>
      <c r="I33">
        <f>IFERROR(SMALL(I14:I28,ROW()-ROW($I$31)+1),"")</f>
        <v>0</v>
      </c>
      <c r="J33">
        <f>IFERROR(SMALL(J14:J28,ROW()-ROW($J$31)+1),"")</f>
        <v>0</v>
      </c>
      <c r="K33">
        <f>IFERROR(SMALL(K14:K28,ROW()-ROW($K$31)+1),"")</f>
        <v>0</v>
      </c>
      <c r="L33">
        <f>IFERROR(SMALL(L14:L28,ROW()-ROW($L$31)+1),"")</f>
        <v>0</v>
      </c>
      <c r="M33">
        <f>IFERROR(SMALL(M14:M28,ROW()-ROW($M$31)+1),"")</f>
        <v>0</v>
      </c>
      <c r="N33">
        <f>IFERROR(SMALL(N14:N28,ROW()-ROW($N$31)+1),"")</f>
        <v>0</v>
      </c>
      <c r="O33">
        <f>IFERROR(SMALL(O14:O28,ROW()-ROW($O$31)+1),"")</f>
        <v>0</v>
      </c>
      <c r="P33">
        <f>IFERROR(SMALL(P14:P28,ROW()-ROW($P$31)+1),"")</f>
        <v>0</v>
      </c>
      <c r="Q33">
        <f>IFERROR(SMALL(Q14:Q28,ROW()-ROW($Q$31)+1),"")</f>
        <v>0</v>
      </c>
      <c r="R33">
        <f>IFERROR(SMALL(R14:R28,ROW()-ROW($R$31)+1),"")</f>
        <v>0</v>
      </c>
      <c r="S33">
        <f>IFERROR(SMALL(S14:S28,ROW()-ROW($S$31)+1),"")</f>
        <v>0</v>
      </c>
      <c r="T33">
        <f>IFERROR(SMALL(T14:T28,ROW()-ROW($T$31)+1),"")</f>
        <v>0</v>
      </c>
      <c r="U33">
        <f>IFERROR(SMALL(U14:U28,ROW()-ROW($U$31)+1),"")</f>
        <v>0</v>
      </c>
      <c r="V33">
        <f>IFERROR(SMALL(V14:V28,ROW()-ROW($V$31)+1),"")</f>
        <v>0</v>
      </c>
      <c r="W33">
        <f>IFERROR(SMALL(W14:W28,ROW()-ROW($W$31)+1),"")</f>
        <v>0</v>
      </c>
      <c r="X33">
        <f>IFERROR(SMALL(X14:X28,ROW()-ROW($X$31)+1),"")</f>
        <v>0</v>
      </c>
      <c r="Y33">
        <f>IFERROR(SMALL(Y14:Y28,ROW()-ROW($Y$31)+1),"")</f>
        <v>0</v>
      </c>
      <c r="Z33">
        <f>IFERROR(SMALL(Z14:Z28,ROW()-ROW($Z$31)+1),"")</f>
        <v>0</v>
      </c>
      <c r="AA33">
        <f>IFERROR(SMALL(AA14:AA28,ROW()-ROW($AA$31)+1),"")</f>
        <v>0</v>
      </c>
      <c r="AB33">
        <f>IFERROR(SMALL(AB14:AB28,ROW()-ROW($AB$31)+1),"")</f>
        <v>0</v>
      </c>
      <c r="AC33">
        <f>IFERROR(SMALL(AC14:AC28,ROW()-ROW($AC$31)+1),"")</f>
        <v>0</v>
      </c>
      <c r="AD33">
        <f>IFERROR(SMALL(AD14:AD28,ROW()-ROW($AD$31)+1),"")</f>
        <v>0</v>
      </c>
      <c r="AE33">
        <f>IFERROR(SMALL(AE14:AE28,ROW()-ROW($AE$31)+1),"")</f>
        <v>0</v>
      </c>
      <c r="AF33">
        <f>IFERROR(SMALL(AF14:AF28,ROW()-ROW($AF$31)+1),"")</f>
        <v>0</v>
      </c>
      <c r="AG33">
        <f>IFERROR(SMALL(AG14:AG28,ROW()-ROW($AG$31)+1),"")</f>
        <v>0</v>
      </c>
      <c r="AH33">
        <f>IFERROR(SMALL(AH14:AH28,ROW()-ROW($AH$31)+1),"")</f>
        <v>0</v>
      </c>
      <c r="AI33">
        <f>IFERROR(SMALL(AI14:AI28,ROW()-ROW($AI$31)+1),"")</f>
        <v>0</v>
      </c>
      <c r="AJ33">
        <f>IFERROR(SMALL(AJ14:AJ28,ROW()-ROW($AJ$31)+1),"")</f>
        <v>0</v>
      </c>
      <c r="AK33">
        <f>IFERROR(SMALL(AK14:AK28,ROW()-ROW($AK$31)+1),"")</f>
        <v>0</v>
      </c>
      <c r="AL33">
        <f>IFERROR(SMALL(AL14:AL28,ROW()-ROW($AL$31)+1),"")</f>
        <v>0</v>
      </c>
      <c r="AM33">
        <f>IFERROR(SMALL(AM14:AM28,ROW()-ROW($AM$31)+1),"")</f>
        <v>0</v>
      </c>
      <c r="AN33">
        <f>IFERROR(SMALL(AN14:AN28,ROW()-ROW($AN$31)+1),"")</f>
        <v>0</v>
      </c>
      <c r="AO33">
        <f>IFERROR(SMALL(AO14:AO28,ROW()-ROW($AO$31)+1),"")</f>
        <v>0</v>
      </c>
      <c r="AP33">
        <f>IFERROR(SMALL(AP14:AP28,ROW()-ROW($AP$31)+1),"")</f>
        <v>0</v>
      </c>
      <c r="AQ33">
        <f>IFERROR(SMALL(AQ14:AQ28,ROW()-ROW($AQ$31)+1),"")</f>
        <v>0</v>
      </c>
      <c r="AR33">
        <f>IFERROR(SMALL(AR14:AR28,ROW()-ROW($AR$31)+1),"")</f>
        <v>0</v>
      </c>
      <c r="AS33">
        <f>IFERROR(SMALL(AS14:AS28,ROW()-ROW($AS$31)+1),"")</f>
        <v>0</v>
      </c>
      <c r="AT33">
        <f>IFERROR(SMALL(AT14:AT28,ROW()-ROW($AT$31)+1),"")</f>
        <v>0</v>
      </c>
      <c r="AU33">
        <f>IFERROR(SMALL(AU14:AU28,ROW()-ROW($AU$31)+1),"")</f>
        <v>0</v>
      </c>
      <c r="AV33">
        <f>IFERROR(SMALL(AV14:AV28,ROW()-ROW($AV$31)+1),"")</f>
        <v>0</v>
      </c>
      <c r="AW33">
        <f>IFERROR(SMALL(AW14:AW28,ROW()-ROW($AW$31)+1),"")</f>
        <v>0</v>
      </c>
      <c r="AX33">
        <f>IFERROR(SMALL(AX14:AX28,ROW()-ROW($AX$31)+1),"")</f>
        <v>0</v>
      </c>
      <c r="AY33">
        <f>IFERROR(SMALL(AY14:AY28,ROW()-ROW($AY$31)+1),"")</f>
        <v>0</v>
      </c>
      <c r="AZ33">
        <f>IFERROR(SMALL(AZ14:AZ28,ROW()-ROW($AZ$31)+1),"")</f>
        <v>0</v>
      </c>
      <c r="BA33">
        <f>IFERROR(SMALL(BA14:BA28,ROW()-ROW($BA$31)+1),"")</f>
        <v>0</v>
      </c>
      <c r="BB33">
        <f>IFERROR(SMALL(BB14:BB28,ROW()-ROW($BB$31)+1),"")</f>
        <v>0</v>
      </c>
      <c r="BC33">
        <f>IFERROR(SMALL(BC14:BC28,ROW()-ROW($BC$31)+1),"")</f>
        <v>0</v>
      </c>
      <c r="BD33">
        <f>IFERROR(SMALL(BD14:BD28,ROW()-ROW($BD$31)+1),"")</f>
        <v>0</v>
      </c>
      <c r="BE33">
        <f>IFERROR(SMALL(BE14:BE28,ROW()-ROW($BE$31)+1),"")</f>
        <v>0</v>
      </c>
      <c r="BF33">
        <f>IFERROR(SMALL(BF14:BF28,ROW()-ROW($BF$31)+1),"")</f>
        <v>0</v>
      </c>
      <c r="BG33">
        <f>IFERROR(SMALL(BG14:BG28,ROW()-ROW($BG$31)+1),"")</f>
        <v>0</v>
      </c>
      <c r="BH33">
        <f>IFERROR(SMALL(BH14:BH28,ROW()-ROW($BH$31)+1),"")</f>
        <v>0</v>
      </c>
      <c r="BI33">
        <f>IFERROR(SMALL(BI14:BI28,ROW()-ROW($BI$31)+1),"")</f>
        <v>0</v>
      </c>
      <c r="BJ33">
        <f>IFERROR(SMALL(BJ14:BJ28,ROW()-ROW($BJ$31)+1),"")</f>
        <v>0</v>
      </c>
      <c r="BK33">
        <f>IFERROR(SMALL(BK14:BK28,ROW()-ROW($BK$31)+1),"")</f>
        <v>0</v>
      </c>
      <c r="BL33">
        <f>IFERROR(SMALL(BL14:BL28,ROW()-ROW($BL$31)+1),"")</f>
        <v>0</v>
      </c>
      <c r="BM33">
        <f>IFERROR(SMALL(BM14:BM28,ROW()-ROW($BM$31)+1),"")</f>
        <v>0</v>
      </c>
      <c r="BN33">
        <f>IFERROR(SMALL(BN14:BN28,ROW()-ROW($BN$31)+1),"")</f>
        <v>0</v>
      </c>
      <c r="BO33">
        <f>IFERROR(SMALL(BO14:BO28,ROW()-ROW($BO$31)+1),"")</f>
        <v>0</v>
      </c>
      <c r="BP33">
        <f>IFERROR(SMALL(BP14:BP28,ROW()-ROW($BP$31)+1),"")</f>
        <v>0</v>
      </c>
      <c r="BS33">
        <f>IFERROR(SMALL(BS14:BS28,ROW()-ROW($BS$31)+1),"")</f>
        <v>0</v>
      </c>
      <c r="BT33">
        <f>IFERROR(SMALL(BT14:BT28,ROW()-ROW($BT$31)+1),"")</f>
        <v>0</v>
      </c>
      <c r="BU33">
        <f>IFERROR(SMALL(BU14:BU28,ROW()-ROW($BU$31)+1),"")</f>
        <v>0</v>
      </c>
      <c r="BV33">
        <f>IFERROR(SMALL(BV14:BV28,ROW()-ROW($BV$31)+1),"")</f>
        <v>0</v>
      </c>
      <c r="BW33">
        <f>IFERROR(SMALL(BW14:BW28,ROW()-ROW($BW$31)+1),"")</f>
        <v>0</v>
      </c>
      <c r="BX33">
        <f>IFERROR(SMALL(BX14:BX28,ROW()-ROW($BX$31)+1),"")</f>
        <v>0</v>
      </c>
      <c r="BY33">
        <f>IFERROR(SMALL(BY14:BY28,ROW()-ROW($BY$31)+1),"")</f>
        <v>0</v>
      </c>
      <c r="BZ33">
        <f>IFERROR(SMALL(BZ14:BZ28,ROW()-ROW($BZ$31)+1),"")</f>
        <v>0</v>
      </c>
      <c r="CA33">
        <f>IFERROR(SMALL(CA14:CA28,ROW()-ROW($CA$31)+1),"")</f>
        <v>0</v>
      </c>
      <c r="CB33">
        <f>IFERROR(SMALL(CB14:CB28,ROW()-ROW($CB$31)+1),"")</f>
        <v>0</v>
      </c>
      <c r="CC33">
        <f>IFERROR(SMALL(CC14:CC28,ROW()-ROW($CC$31)+1),"")</f>
        <v>0</v>
      </c>
      <c r="CD33">
        <f>IFERROR(SMALL(CD14:CD28,ROW()-ROW($CD$31)+1),"")</f>
        <v>0</v>
      </c>
      <c r="CE33">
        <f>IFERROR(SMALL(CE14:CE28,ROW()-ROW($CE$31)+1),"")</f>
        <v>0</v>
      </c>
      <c r="CF33">
        <f>IFERROR(SMALL(CF14:CF28,ROW()-ROW($CF$31)+1),"")</f>
        <v>0</v>
      </c>
      <c r="CG33">
        <f>IFERROR(SMALL(CG14:CG28,ROW()-ROW($CG$31)+1),"")</f>
        <v>0</v>
      </c>
      <c r="CH33">
        <f>IFERROR(SMALL(CH14:CH28,ROW()-ROW($CH$31)+1),"")</f>
        <v>0</v>
      </c>
      <c r="CI33">
        <f>IFERROR(SMALL(CI14:CI28,ROW()-ROW($CI$31)+1),"")</f>
        <v>0</v>
      </c>
      <c r="CJ33">
        <f>IFERROR(SMALL(CJ14:CJ28,ROW()-ROW($CJ$31)+1),"")</f>
        <v>0</v>
      </c>
      <c r="CK33">
        <f>IFERROR(SMALL(CK14:CK28,ROW()-ROW($CK$31)+1),"")</f>
        <v>0</v>
      </c>
      <c r="CL33">
        <f>IFERROR(SMALL(CL14:CL28,ROW()-ROW($CL$31)+1),"")</f>
        <v>0</v>
      </c>
      <c r="CM33">
        <f>IFERROR(SMALL(CM14:CM28,ROW()-ROW($CM$31)+1),"")</f>
        <v>0</v>
      </c>
      <c r="CN33">
        <f>IFERROR(SMALL(CN14:CN28,ROW()-ROW($CN$31)+1),"")</f>
        <v>0</v>
      </c>
      <c r="CO33">
        <f>IFERROR(SMALL(CO14:CO28,ROW()-ROW($CO$31)+1),"")</f>
        <v>0</v>
      </c>
      <c r="CP33">
        <f>IFERROR(SMALL(CP14:CP28,ROW()-ROW($CP$31)+1),"")</f>
        <v>0</v>
      </c>
      <c r="CQ33">
        <f>IFERROR(SMALL(CQ14:CQ28,ROW()-ROW($CQ$31)+1),"")</f>
        <v>0</v>
      </c>
      <c r="CR33">
        <f>IFERROR(SMALL(CR14:CR28,ROW()-ROW($CR$31)+1),"")</f>
        <v>0</v>
      </c>
      <c r="CS33">
        <f>IFERROR(SMALL(CS14:CS28,ROW()-ROW($CS$31)+1),"")</f>
        <v>0</v>
      </c>
      <c r="CT33">
        <f>IFERROR(SMALL(CT14:CT28,ROW()-ROW($CT$31)+1),"")</f>
        <v>0</v>
      </c>
      <c r="CU33">
        <f>IFERROR(SMALL(CU14:CU28,ROW()-ROW($CU$31)+1),"")</f>
        <v>0</v>
      </c>
      <c r="CV33">
        <f>IFERROR(SMALL(CV14:CV28,ROW()-ROW($CV$31)+1),"")</f>
        <v>0</v>
      </c>
      <c r="CW33">
        <f>IFERROR(SMALL(CW14:CW28,ROW()-ROW($CW$31)+1),"")</f>
        <v>0</v>
      </c>
      <c r="CX33">
        <f>IFERROR(SMALL(CX14:CX28,ROW()-ROW($CX$31)+1),"")</f>
        <v>0</v>
      </c>
      <c r="CY33">
        <f>IFERROR(SMALL(CY14:CY28,ROW()-ROW($CY$31)+1),"")</f>
        <v>0</v>
      </c>
      <c r="CZ33">
        <f>IFERROR(SMALL(CZ14:CZ28,ROW()-ROW($CZ$31)+1),"")</f>
        <v>0</v>
      </c>
      <c r="DA33">
        <f>IFERROR(SMALL(DA14:DA28,ROW()-ROW($DA$31)+1),"")</f>
        <v>0</v>
      </c>
      <c r="DB33">
        <f>IFERROR(SMALL(DB14:DB28,ROW()-ROW($DB$31)+1),"")</f>
        <v>0</v>
      </c>
      <c r="DC33">
        <f>IFERROR(SMALL(DC14:DC28,ROW()-ROW($DC$31)+1),"")</f>
        <v>0</v>
      </c>
      <c r="DD33">
        <f>IFERROR(SMALL(DD14:DD28,ROW()-ROW($DD$31)+1),"")</f>
        <v>0</v>
      </c>
      <c r="DE33">
        <f>IFERROR(SMALL(DE14:DE28,ROW()-ROW($DE$31)+1),"")</f>
        <v>0</v>
      </c>
      <c r="DF33">
        <f>IFERROR(SMALL(DF14:DF28,ROW()-ROW($DF$31)+1),"")</f>
        <v>0</v>
      </c>
      <c r="DG33">
        <f>IFERROR(SMALL(DG14:DG28,ROW()-ROW($DG$31)+1),"")</f>
        <v>0</v>
      </c>
      <c r="DH33">
        <f>IFERROR(SMALL(DH14:DH28,ROW()-ROW($DH$31)+1),"")</f>
        <v>0</v>
      </c>
      <c r="DI33">
        <f>IFERROR(SMALL(DI14:DI28,ROW()-ROW($DI$31)+1),"")</f>
        <v>0</v>
      </c>
      <c r="DJ33">
        <f>IFERROR(SMALL(DJ14:DJ28,ROW()-ROW($DJ$31)+1),"")</f>
        <v>0</v>
      </c>
      <c r="DK33">
        <f>IFERROR(SMALL(DK14:DK28,ROW()-ROW($DK$31)+1),"")</f>
        <v>0</v>
      </c>
      <c r="DL33">
        <f>IFERROR(SMALL(DL14:DL28,ROW()-ROW($DL$31)+1),"")</f>
        <v>0</v>
      </c>
      <c r="DM33">
        <f>IFERROR(SMALL(DM14:DM28,ROW()-ROW($DM$31)+1),"")</f>
        <v>0</v>
      </c>
      <c r="DN33">
        <f>IFERROR(SMALL(DN14:DN28,ROW()-ROW($DN$31)+1),"")</f>
        <v>0</v>
      </c>
      <c r="DO33">
        <f>IFERROR(SMALL(DO14:DO28,ROW()-ROW($DO$31)+1),"")</f>
        <v>0</v>
      </c>
      <c r="DP33">
        <f>IFERROR(SMALL(DP14:DP28,ROW()-ROW($DP$31)+1),"")</f>
        <v>0</v>
      </c>
      <c r="DQ33">
        <f>IFERROR(SMALL(DQ14:DQ28,ROW()-ROW($DQ$31)+1),"")</f>
        <v>0</v>
      </c>
      <c r="DR33">
        <f>IFERROR(SMALL(DR14:DR28,ROW()-ROW($DR$31)+1),"")</f>
        <v>0</v>
      </c>
      <c r="DS33">
        <f>IFERROR(SMALL(DS14:DS28,ROW()-ROW($DS$31)+1),"")</f>
        <v>0</v>
      </c>
      <c r="DT33">
        <f>IFERROR(SMALL(DT14:DT28,ROW()-ROW($DT$31)+1),"")</f>
        <v>0</v>
      </c>
      <c r="DU33">
        <f>IFERROR(SMALL(DU14:DU28,ROW()-ROW($DU$31)+1),"")</f>
        <v>0</v>
      </c>
      <c r="DV33">
        <f>IFERROR(SMALL(DV14:DV28,ROW()-ROW($DV$31)+1),"")</f>
        <v>0</v>
      </c>
      <c r="DW33">
        <f>IFERROR(SMALL(DW14:DW28,ROW()-ROW($DW$31)+1),"")</f>
        <v>0</v>
      </c>
      <c r="DX33">
        <f>IFERROR(SMALL(DX14:DX28,ROW()-ROW($DX$31)+1),"")</f>
        <v>0</v>
      </c>
      <c r="DY33">
        <f>IFERROR(SMALL(DY14:DY28,ROW()-ROW($DY$31)+1),"")</f>
        <v>0</v>
      </c>
      <c r="DZ33">
        <f>IFERROR(SMALL(DZ14:DZ28,ROW()-ROW($DZ$31)+1),"")</f>
        <v>0</v>
      </c>
      <c r="EA33">
        <f>IFERROR(SMALL(EA14:EA28,ROW()-ROW($EA$31)+1),"")</f>
        <v>0</v>
      </c>
      <c r="EB33">
        <f>IFERROR(SMALL(EB14:EB28,ROW()-ROW($EB$31)+1),"")</f>
        <v>0</v>
      </c>
      <c r="EC33">
        <f>IFERROR(SMALL(EC14:EC28,ROW()-ROW($EC$31)+1),"")</f>
        <v>0</v>
      </c>
      <c r="ED33">
        <f>IFERROR(SMALL(ED14:ED28,ROW()-ROW($ED$31)+1),"")</f>
        <v>0</v>
      </c>
    </row>
    <row r="34" spans="4:134">
      <c r="E34">
        <f>IFERROR(SMALL(E14:E28,ROW()-ROW($E$31)+1),"")</f>
        <v>0</v>
      </c>
      <c r="F34">
        <f>IFERROR(SMALL(F14:F28,ROW()-ROW($F$31)+1),"")</f>
        <v>0</v>
      </c>
      <c r="G34">
        <f>IFERROR(SMALL(G14:G28,ROW()-ROW($G$31)+1),"")</f>
        <v>0</v>
      </c>
      <c r="H34">
        <f>IFERROR(SMALL(H14:H28,ROW()-ROW($H$31)+1),"")</f>
        <v>0</v>
      </c>
      <c r="I34">
        <f>IFERROR(SMALL(I14:I28,ROW()-ROW($I$31)+1),"")</f>
        <v>0</v>
      </c>
      <c r="J34">
        <f>IFERROR(SMALL(J14:J28,ROW()-ROW($J$31)+1),"")</f>
        <v>0</v>
      </c>
      <c r="K34">
        <f>IFERROR(SMALL(K14:K28,ROW()-ROW($K$31)+1),"")</f>
        <v>0</v>
      </c>
      <c r="L34">
        <f>IFERROR(SMALL(L14:L28,ROW()-ROW($L$31)+1),"")</f>
        <v>0</v>
      </c>
      <c r="M34">
        <f>IFERROR(SMALL(M14:M28,ROW()-ROW($M$31)+1),"")</f>
        <v>0</v>
      </c>
      <c r="N34">
        <f>IFERROR(SMALL(N14:N28,ROW()-ROW($N$31)+1),"")</f>
        <v>0</v>
      </c>
      <c r="O34">
        <f>IFERROR(SMALL(O14:O28,ROW()-ROW($O$31)+1),"")</f>
        <v>0</v>
      </c>
      <c r="P34">
        <f>IFERROR(SMALL(P14:P28,ROW()-ROW($P$31)+1),"")</f>
        <v>0</v>
      </c>
      <c r="Q34">
        <f>IFERROR(SMALL(Q14:Q28,ROW()-ROW($Q$31)+1),"")</f>
        <v>0</v>
      </c>
      <c r="R34">
        <f>IFERROR(SMALL(R14:R28,ROW()-ROW($R$31)+1),"")</f>
        <v>0</v>
      </c>
      <c r="S34">
        <f>IFERROR(SMALL(S14:S28,ROW()-ROW($S$31)+1),"")</f>
        <v>0</v>
      </c>
      <c r="T34">
        <f>IFERROR(SMALL(T14:T28,ROW()-ROW($T$31)+1),"")</f>
        <v>0</v>
      </c>
      <c r="U34">
        <f>IFERROR(SMALL(U14:U28,ROW()-ROW($U$31)+1),"")</f>
        <v>0</v>
      </c>
      <c r="V34">
        <f>IFERROR(SMALL(V14:V28,ROW()-ROW($V$31)+1),"")</f>
        <v>0</v>
      </c>
      <c r="W34">
        <f>IFERROR(SMALL(W14:W28,ROW()-ROW($W$31)+1),"")</f>
        <v>0</v>
      </c>
      <c r="X34">
        <f>IFERROR(SMALL(X14:X28,ROW()-ROW($X$31)+1),"")</f>
        <v>0</v>
      </c>
      <c r="Y34">
        <f>IFERROR(SMALL(Y14:Y28,ROW()-ROW($Y$31)+1),"")</f>
        <v>0</v>
      </c>
      <c r="Z34">
        <f>IFERROR(SMALL(Z14:Z28,ROW()-ROW($Z$31)+1),"")</f>
        <v>0</v>
      </c>
      <c r="AA34">
        <f>IFERROR(SMALL(AA14:AA28,ROW()-ROW($AA$31)+1),"")</f>
        <v>0</v>
      </c>
      <c r="AB34">
        <f>IFERROR(SMALL(AB14:AB28,ROW()-ROW($AB$31)+1),"")</f>
        <v>0</v>
      </c>
      <c r="AC34">
        <f>IFERROR(SMALL(AC14:AC28,ROW()-ROW($AC$31)+1),"")</f>
        <v>0</v>
      </c>
      <c r="AD34">
        <f>IFERROR(SMALL(AD14:AD28,ROW()-ROW($AD$31)+1),"")</f>
        <v>0</v>
      </c>
      <c r="AE34">
        <f>IFERROR(SMALL(AE14:AE28,ROW()-ROW($AE$31)+1),"")</f>
        <v>0</v>
      </c>
      <c r="AF34">
        <f>IFERROR(SMALL(AF14:AF28,ROW()-ROW($AF$31)+1),"")</f>
        <v>0</v>
      </c>
      <c r="AG34">
        <f>IFERROR(SMALL(AG14:AG28,ROW()-ROW($AG$31)+1),"")</f>
        <v>0</v>
      </c>
      <c r="AH34">
        <f>IFERROR(SMALL(AH14:AH28,ROW()-ROW($AH$31)+1),"")</f>
        <v>0</v>
      </c>
      <c r="AI34">
        <f>IFERROR(SMALL(AI14:AI28,ROW()-ROW($AI$31)+1),"")</f>
        <v>0</v>
      </c>
      <c r="AJ34">
        <f>IFERROR(SMALL(AJ14:AJ28,ROW()-ROW($AJ$31)+1),"")</f>
        <v>0</v>
      </c>
      <c r="AK34">
        <f>IFERROR(SMALL(AK14:AK28,ROW()-ROW($AK$31)+1),"")</f>
        <v>0</v>
      </c>
      <c r="AL34">
        <f>IFERROR(SMALL(AL14:AL28,ROW()-ROW($AL$31)+1),"")</f>
        <v>0</v>
      </c>
      <c r="AM34">
        <f>IFERROR(SMALL(AM14:AM28,ROW()-ROW($AM$31)+1),"")</f>
        <v>0</v>
      </c>
      <c r="AN34">
        <f>IFERROR(SMALL(AN14:AN28,ROW()-ROW($AN$31)+1),"")</f>
        <v>0</v>
      </c>
      <c r="AO34">
        <f>IFERROR(SMALL(AO14:AO28,ROW()-ROW($AO$31)+1),"")</f>
        <v>0</v>
      </c>
      <c r="AP34">
        <f>IFERROR(SMALL(AP14:AP28,ROW()-ROW($AP$31)+1),"")</f>
        <v>0</v>
      </c>
      <c r="AQ34">
        <f>IFERROR(SMALL(AQ14:AQ28,ROW()-ROW($AQ$31)+1),"")</f>
        <v>0</v>
      </c>
      <c r="AR34">
        <f>IFERROR(SMALL(AR14:AR28,ROW()-ROW($AR$31)+1),"")</f>
        <v>0</v>
      </c>
      <c r="AS34">
        <f>IFERROR(SMALL(AS14:AS28,ROW()-ROW($AS$31)+1),"")</f>
        <v>0</v>
      </c>
      <c r="AT34">
        <f>IFERROR(SMALL(AT14:AT28,ROW()-ROW($AT$31)+1),"")</f>
        <v>0</v>
      </c>
      <c r="AU34">
        <f>IFERROR(SMALL(AU14:AU28,ROW()-ROW($AU$31)+1),"")</f>
        <v>0</v>
      </c>
      <c r="AV34">
        <f>IFERROR(SMALL(AV14:AV28,ROW()-ROW($AV$31)+1),"")</f>
        <v>0</v>
      </c>
      <c r="AW34">
        <f>IFERROR(SMALL(AW14:AW28,ROW()-ROW($AW$31)+1),"")</f>
        <v>0</v>
      </c>
      <c r="AX34">
        <f>IFERROR(SMALL(AX14:AX28,ROW()-ROW($AX$31)+1),"")</f>
        <v>0</v>
      </c>
      <c r="AY34">
        <f>IFERROR(SMALL(AY14:AY28,ROW()-ROW($AY$31)+1),"")</f>
        <v>0</v>
      </c>
      <c r="AZ34">
        <f>IFERROR(SMALL(AZ14:AZ28,ROW()-ROW($AZ$31)+1),"")</f>
        <v>0</v>
      </c>
      <c r="BA34">
        <f>IFERROR(SMALL(BA14:BA28,ROW()-ROW($BA$31)+1),"")</f>
        <v>0</v>
      </c>
      <c r="BB34">
        <f>IFERROR(SMALL(BB14:BB28,ROW()-ROW($BB$31)+1),"")</f>
        <v>0</v>
      </c>
      <c r="BC34">
        <f>IFERROR(SMALL(BC14:BC28,ROW()-ROW($BC$31)+1),"")</f>
        <v>0</v>
      </c>
      <c r="BD34">
        <f>IFERROR(SMALL(BD14:BD28,ROW()-ROW($BD$31)+1),"")</f>
        <v>0</v>
      </c>
      <c r="BE34">
        <f>IFERROR(SMALL(BE14:BE28,ROW()-ROW($BE$31)+1),"")</f>
        <v>0</v>
      </c>
      <c r="BF34">
        <f>IFERROR(SMALL(BF14:BF28,ROW()-ROW($BF$31)+1),"")</f>
        <v>0</v>
      </c>
      <c r="BG34">
        <f>IFERROR(SMALL(BG14:BG28,ROW()-ROW($BG$31)+1),"")</f>
        <v>0</v>
      </c>
      <c r="BH34">
        <f>IFERROR(SMALL(BH14:BH28,ROW()-ROW($BH$31)+1),"")</f>
        <v>0</v>
      </c>
      <c r="BI34">
        <f>IFERROR(SMALL(BI14:BI28,ROW()-ROW($BI$31)+1),"")</f>
        <v>0</v>
      </c>
      <c r="BJ34">
        <f>IFERROR(SMALL(BJ14:BJ28,ROW()-ROW($BJ$31)+1),"")</f>
        <v>0</v>
      </c>
      <c r="BK34">
        <f>IFERROR(SMALL(BK14:BK28,ROW()-ROW($BK$31)+1),"")</f>
        <v>0</v>
      </c>
      <c r="BL34">
        <f>IFERROR(SMALL(BL14:BL28,ROW()-ROW($BL$31)+1),"")</f>
        <v>0</v>
      </c>
      <c r="BM34">
        <f>IFERROR(SMALL(BM14:BM28,ROW()-ROW($BM$31)+1),"")</f>
        <v>0</v>
      </c>
      <c r="BN34">
        <f>IFERROR(SMALL(BN14:BN28,ROW()-ROW($BN$31)+1),"")</f>
        <v>0</v>
      </c>
      <c r="BO34">
        <f>IFERROR(SMALL(BO14:BO28,ROW()-ROW($BO$31)+1),"")</f>
        <v>0</v>
      </c>
      <c r="BP34">
        <f>IFERROR(SMALL(BP14:BP28,ROW()-ROW($BP$31)+1),"")</f>
        <v>0</v>
      </c>
      <c r="BS34">
        <f>IFERROR(SMALL(BS14:BS28,ROW()-ROW($BS$31)+1),"")</f>
        <v>0</v>
      </c>
      <c r="BT34">
        <f>IFERROR(SMALL(BT14:BT28,ROW()-ROW($BT$31)+1),"")</f>
        <v>0</v>
      </c>
      <c r="BU34">
        <f>IFERROR(SMALL(BU14:BU28,ROW()-ROW($BU$31)+1),"")</f>
        <v>0</v>
      </c>
      <c r="BV34">
        <f>IFERROR(SMALL(BV14:BV28,ROW()-ROW($BV$31)+1),"")</f>
        <v>0</v>
      </c>
      <c r="BW34">
        <f>IFERROR(SMALL(BW14:BW28,ROW()-ROW($BW$31)+1),"")</f>
        <v>0</v>
      </c>
      <c r="BX34">
        <f>IFERROR(SMALL(BX14:BX28,ROW()-ROW($BX$31)+1),"")</f>
        <v>0</v>
      </c>
      <c r="BY34">
        <f>IFERROR(SMALL(BY14:BY28,ROW()-ROW($BY$31)+1),"")</f>
        <v>0</v>
      </c>
      <c r="BZ34">
        <f>IFERROR(SMALL(BZ14:BZ28,ROW()-ROW($BZ$31)+1),"")</f>
        <v>0</v>
      </c>
      <c r="CA34">
        <f>IFERROR(SMALL(CA14:CA28,ROW()-ROW($CA$31)+1),"")</f>
        <v>0</v>
      </c>
      <c r="CB34">
        <f>IFERROR(SMALL(CB14:CB28,ROW()-ROW($CB$31)+1),"")</f>
        <v>0</v>
      </c>
      <c r="CC34">
        <f>IFERROR(SMALL(CC14:CC28,ROW()-ROW($CC$31)+1),"")</f>
        <v>0</v>
      </c>
      <c r="CD34">
        <f>IFERROR(SMALL(CD14:CD28,ROW()-ROW($CD$31)+1),"")</f>
        <v>0</v>
      </c>
      <c r="CE34">
        <f>IFERROR(SMALL(CE14:CE28,ROW()-ROW($CE$31)+1),"")</f>
        <v>0</v>
      </c>
      <c r="CF34">
        <f>IFERROR(SMALL(CF14:CF28,ROW()-ROW($CF$31)+1),"")</f>
        <v>0</v>
      </c>
      <c r="CG34">
        <f>IFERROR(SMALL(CG14:CG28,ROW()-ROW($CG$31)+1),"")</f>
        <v>0</v>
      </c>
      <c r="CH34">
        <f>IFERROR(SMALL(CH14:CH28,ROW()-ROW($CH$31)+1),"")</f>
        <v>0</v>
      </c>
      <c r="CI34">
        <f>IFERROR(SMALL(CI14:CI28,ROW()-ROW($CI$31)+1),"")</f>
        <v>0</v>
      </c>
      <c r="CJ34">
        <f>IFERROR(SMALL(CJ14:CJ28,ROW()-ROW($CJ$31)+1),"")</f>
        <v>0</v>
      </c>
      <c r="CK34">
        <f>IFERROR(SMALL(CK14:CK28,ROW()-ROW($CK$31)+1),"")</f>
        <v>0</v>
      </c>
      <c r="CL34">
        <f>IFERROR(SMALL(CL14:CL28,ROW()-ROW($CL$31)+1),"")</f>
        <v>0</v>
      </c>
      <c r="CM34">
        <f>IFERROR(SMALL(CM14:CM28,ROW()-ROW($CM$31)+1),"")</f>
        <v>0</v>
      </c>
      <c r="CN34">
        <f>IFERROR(SMALL(CN14:CN28,ROW()-ROW($CN$31)+1),"")</f>
        <v>0</v>
      </c>
      <c r="CO34">
        <f>IFERROR(SMALL(CO14:CO28,ROW()-ROW($CO$31)+1),"")</f>
        <v>0</v>
      </c>
      <c r="CP34">
        <f>IFERROR(SMALL(CP14:CP28,ROW()-ROW($CP$31)+1),"")</f>
        <v>0</v>
      </c>
      <c r="CQ34">
        <f>IFERROR(SMALL(CQ14:CQ28,ROW()-ROW($CQ$31)+1),"")</f>
        <v>0</v>
      </c>
      <c r="CR34">
        <f>IFERROR(SMALL(CR14:CR28,ROW()-ROW($CR$31)+1),"")</f>
        <v>0</v>
      </c>
      <c r="CS34">
        <f>IFERROR(SMALL(CS14:CS28,ROW()-ROW($CS$31)+1),"")</f>
        <v>0</v>
      </c>
      <c r="CT34">
        <f>IFERROR(SMALL(CT14:CT28,ROW()-ROW($CT$31)+1),"")</f>
        <v>0</v>
      </c>
      <c r="CU34">
        <f>IFERROR(SMALL(CU14:CU28,ROW()-ROW($CU$31)+1),"")</f>
        <v>0</v>
      </c>
      <c r="CV34">
        <f>IFERROR(SMALL(CV14:CV28,ROW()-ROW($CV$31)+1),"")</f>
        <v>0</v>
      </c>
      <c r="CW34">
        <f>IFERROR(SMALL(CW14:CW28,ROW()-ROW($CW$31)+1),"")</f>
        <v>0</v>
      </c>
      <c r="CX34">
        <f>IFERROR(SMALL(CX14:CX28,ROW()-ROW($CX$31)+1),"")</f>
        <v>0</v>
      </c>
      <c r="CY34">
        <f>IFERROR(SMALL(CY14:CY28,ROW()-ROW($CY$31)+1),"")</f>
        <v>0</v>
      </c>
      <c r="CZ34">
        <f>IFERROR(SMALL(CZ14:CZ28,ROW()-ROW($CZ$31)+1),"")</f>
        <v>0</v>
      </c>
      <c r="DA34">
        <f>IFERROR(SMALL(DA14:DA28,ROW()-ROW($DA$31)+1),"")</f>
        <v>0</v>
      </c>
      <c r="DB34">
        <f>IFERROR(SMALL(DB14:DB28,ROW()-ROW($DB$31)+1),"")</f>
        <v>0</v>
      </c>
      <c r="DC34">
        <f>IFERROR(SMALL(DC14:DC28,ROW()-ROW($DC$31)+1),"")</f>
        <v>0</v>
      </c>
      <c r="DD34">
        <f>IFERROR(SMALL(DD14:DD28,ROW()-ROW($DD$31)+1),"")</f>
        <v>0</v>
      </c>
      <c r="DE34">
        <f>IFERROR(SMALL(DE14:DE28,ROW()-ROW($DE$31)+1),"")</f>
        <v>0</v>
      </c>
      <c r="DF34">
        <f>IFERROR(SMALL(DF14:DF28,ROW()-ROW($DF$31)+1),"")</f>
        <v>0</v>
      </c>
      <c r="DG34">
        <f>IFERROR(SMALL(DG14:DG28,ROW()-ROW($DG$31)+1),"")</f>
        <v>0</v>
      </c>
      <c r="DH34">
        <f>IFERROR(SMALL(DH14:DH28,ROW()-ROW($DH$31)+1),"")</f>
        <v>0</v>
      </c>
      <c r="DI34">
        <f>IFERROR(SMALL(DI14:DI28,ROW()-ROW($DI$31)+1),"")</f>
        <v>0</v>
      </c>
      <c r="DJ34">
        <f>IFERROR(SMALL(DJ14:DJ28,ROW()-ROW($DJ$31)+1),"")</f>
        <v>0</v>
      </c>
      <c r="DK34">
        <f>IFERROR(SMALL(DK14:DK28,ROW()-ROW($DK$31)+1),"")</f>
        <v>0</v>
      </c>
      <c r="DL34">
        <f>IFERROR(SMALL(DL14:DL28,ROW()-ROW($DL$31)+1),"")</f>
        <v>0</v>
      </c>
      <c r="DM34">
        <f>IFERROR(SMALL(DM14:DM28,ROW()-ROW($DM$31)+1),"")</f>
        <v>0</v>
      </c>
      <c r="DN34">
        <f>IFERROR(SMALL(DN14:DN28,ROW()-ROW($DN$31)+1),"")</f>
        <v>0</v>
      </c>
      <c r="DO34">
        <f>IFERROR(SMALL(DO14:DO28,ROW()-ROW($DO$31)+1),"")</f>
        <v>0</v>
      </c>
      <c r="DP34">
        <f>IFERROR(SMALL(DP14:DP28,ROW()-ROW($DP$31)+1),"")</f>
        <v>0</v>
      </c>
      <c r="DQ34">
        <f>IFERROR(SMALL(DQ14:DQ28,ROW()-ROW($DQ$31)+1),"")</f>
        <v>0</v>
      </c>
      <c r="DR34">
        <f>IFERROR(SMALL(DR14:DR28,ROW()-ROW($DR$31)+1),"")</f>
        <v>0</v>
      </c>
      <c r="DS34">
        <f>IFERROR(SMALL(DS14:DS28,ROW()-ROW($DS$31)+1),"")</f>
        <v>0</v>
      </c>
      <c r="DT34">
        <f>IFERROR(SMALL(DT14:DT28,ROW()-ROW($DT$31)+1),"")</f>
        <v>0</v>
      </c>
      <c r="DU34">
        <f>IFERROR(SMALL(DU14:DU28,ROW()-ROW($DU$31)+1),"")</f>
        <v>0</v>
      </c>
      <c r="DV34">
        <f>IFERROR(SMALL(DV14:DV28,ROW()-ROW($DV$31)+1),"")</f>
        <v>0</v>
      </c>
      <c r="DW34">
        <f>IFERROR(SMALL(DW14:DW28,ROW()-ROW($DW$31)+1),"")</f>
        <v>0</v>
      </c>
      <c r="DX34">
        <f>IFERROR(SMALL(DX14:DX28,ROW()-ROW($DX$31)+1),"")</f>
        <v>0</v>
      </c>
      <c r="DY34">
        <f>IFERROR(SMALL(DY14:DY28,ROW()-ROW($DY$31)+1),"")</f>
        <v>0</v>
      </c>
      <c r="DZ34">
        <f>IFERROR(SMALL(DZ14:DZ28,ROW()-ROW($DZ$31)+1),"")</f>
        <v>0</v>
      </c>
      <c r="EA34">
        <f>IFERROR(SMALL(EA14:EA28,ROW()-ROW($EA$31)+1),"")</f>
        <v>0</v>
      </c>
      <c r="EB34">
        <f>IFERROR(SMALL(EB14:EB28,ROW()-ROW($EB$31)+1),"")</f>
        <v>0</v>
      </c>
      <c r="EC34">
        <f>IFERROR(SMALL(EC14:EC28,ROW()-ROW($EC$31)+1),"")</f>
        <v>0</v>
      </c>
      <c r="ED34">
        <f>IFERROR(SMALL(ED14:ED28,ROW()-ROW($ED$31)+1),"")</f>
        <v>0</v>
      </c>
    </row>
    <row r="35" spans="4:134">
      <c r="E35">
        <f>IFERROR(SMALL(E14:E28,ROW()-ROW($E$31)+1),"")</f>
        <v>0</v>
      </c>
      <c r="F35">
        <f>IFERROR(SMALL(F14:F28,ROW()-ROW($F$31)+1),"")</f>
        <v>0</v>
      </c>
      <c r="G35">
        <f>IFERROR(SMALL(G14:G28,ROW()-ROW($G$31)+1),"")</f>
        <v>0</v>
      </c>
      <c r="H35">
        <f>IFERROR(SMALL(H14:H28,ROW()-ROW($H$31)+1),"")</f>
        <v>0</v>
      </c>
      <c r="I35">
        <f>IFERROR(SMALL(I14:I28,ROW()-ROW($I$31)+1),"")</f>
        <v>0</v>
      </c>
      <c r="J35">
        <f>IFERROR(SMALL(J14:J28,ROW()-ROW($J$31)+1),"")</f>
        <v>0</v>
      </c>
      <c r="K35">
        <f>IFERROR(SMALL(K14:K28,ROW()-ROW($K$31)+1),"")</f>
        <v>0</v>
      </c>
      <c r="L35">
        <f>IFERROR(SMALL(L14:L28,ROW()-ROW($L$31)+1),"")</f>
        <v>0</v>
      </c>
      <c r="M35">
        <f>IFERROR(SMALL(M14:M28,ROW()-ROW($M$31)+1),"")</f>
        <v>0</v>
      </c>
      <c r="N35">
        <f>IFERROR(SMALL(N14:N28,ROW()-ROW($N$31)+1),"")</f>
        <v>0</v>
      </c>
      <c r="O35">
        <f>IFERROR(SMALL(O14:O28,ROW()-ROW($O$31)+1),"")</f>
        <v>0</v>
      </c>
      <c r="P35">
        <f>IFERROR(SMALL(P14:P28,ROW()-ROW($P$31)+1),"")</f>
        <v>0</v>
      </c>
      <c r="Q35">
        <f>IFERROR(SMALL(Q14:Q28,ROW()-ROW($Q$31)+1),"")</f>
        <v>0</v>
      </c>
      <c r="R35">
        <f>IFERROR(SMALL(R14:R28,ROW()-ROW($R$31)+1),"")</f>
        <v>0</v>
      </c>
      <c r="S35">
        <f>IFERROR(SMALL(S14:S28,ROW()-ROW($S$31)+1),"")</f>
        <v>0</v>
      </c>
      <c r="T35">
        <f>IFERROR(SMALL(T14:T28,ROW()-ROW($T$31)+1),"")</f>
        <v>0</v>
      </c>
      <c r="U35">
        <f>IFERROR(SMALL(U14:U28,ROW()-ROW($U$31)+1),"")</f>
        <v>0</v>
      </c>
      <c r="V35">
        <f>IFERROR(SMALL(V14:V28,ROW()-ROW($V$31)+1),"")</f>
        <v>0</v>
      </c>
      <c r="W35">
        <f>IFERROR(SMALL(W14:W28,ROW()-ROW($W$31)+1),"")</f>
        <v>0</v>
      </c>
      <c r="X35">
        <f>IFERROR(SMALL(X14:X28,ROW()-ROW($X$31)+1),"")</f>
        <v>0</v>
      </c>
      <c r="Y35">
        <f>IFERROR(SMALL(Y14:Y28,ROW()-ROW($Y$31)+1),"")</f>
        <v>0</v>
      </c>
      <c r="Z35">
        <f>IFERROR(SMALL(Z14:Z28,ROW()-ROW($Z$31)+1),"")</f>
        <v>0</v>
      </c>
      <c r="AA35">
        <f>IFERROR(SMALL(AA14:AA28,ROW()-ROW($AA$31)+1),"")</f>
        <v>0</v>
      </c>
      <c r="AB35">
        <f>IFERROR(SMALL(AB14:AB28,ROW()-ROW($AB$31)+1),"")</f>
        <v>0</v>
      </c>
      <c r="AC35">
        <f>IFERROR(SMALL(AC14:AC28,ROW()-ROW($AC$31)+1),"")</f>
        <v>0</v>
      </c>
      <c r="AD35">
        <f>IFERROR(SMALL(AD14:AD28,ROW()-ROW($AD$31)+1),"")</f>
        <v>0</v>
      </c>
      <c r="AE35">
        <f>IFERROR(SMALL(AE14:AE28,ROW()-ROW($AE$31)+1),"")</f>
        <v>0</v>
      </c>
      <c r="AF35">
        <f>IFERROR(SMALL(AF14:AF28,ROW()-ROW($AF$31)+1),"")</f>
        <v>0</v>
      </c>
      <c r="AG35">
        <f>IFERROR(SMALL(AG14:AG28,ROW()-ROW($AG$31)+1),"")</f>
        <v>0</v>
      </c>
      <c r="AH35">
        <f>IFERROR(SMALL(AH14:AH28,ROW()-ROW($AH$31)+1),"")</f>
        <v>0</v>
      </c>
      <c r="AI35">
        <f>IFERROR(SMALL(AI14:AI28,ROW()-ROW($AI$31)+1),"")</f>
        <v>0</v>
      </c>
      <c r="AJ35">
        <f>IFERROR(SMALL(AJ14:AJ28,ROW()-ROW($AJ$31)+1),"")</f>
        <v>0</v>
      </c>
      <c r="AK35">
        <f>IFERROR(SMALL(AK14:AK28,ROW()-ROW($AK$31)+1),"")</f>
        <v>0</v>
      </c>
      <c r="AL35">
        <f>IFERROR(SMALL(AL14:AL28,ROW()-ROW($AL$31)+1),"")</f>
        <v>0</v>
      </c>
      <c r="AM35">
        <f>IFERROR(SMALL(AM14:AM28,ROW()-ROW($AM$31)+1),"")</f>
        <v>0</v>
      </c>
      <c r="AN35">
        <f>IFERROR(SMALL(AN14:AN28,ROW()-ROW($AN$31)+1),"")</f>
        <v>0</v>
      </c>
      <c r="AO35">
        <f>IFERROR(SMALL(AO14:AO28,ROW()-ROW($AO$31)+1),"")</f>
        <v>0</v>
      </c>
      <c r="AP35">
        <f>IFERROR(SMALL(AP14:AP28,ROW()-ROW($AP$31)+1),"")</f>
        <v>0</v>
      </c>
      <c r="AQ35">
        <f>IFERROR(SMALL(AQ14:AQ28,ROW()-ROW($AQ$31)+1),"")</f>
        <v>0</v>
      </c>
      <c r="AR35">
        <f>IFERROR(SMALL(AR14:AR28,ROW()-ROW($AR$31)+1),"")</f>
        <v>0</v>
      </c>
      <c r="AS35">
        <f>IFERROR(SMALL(AS14:AS28,ROW()-ROW($AS$31)+1),"")</f>
        <v>0</v>
      </c>
      <c r="AT35">
        <f>IFERROR(SMALL(AT14:AT28,ROW()-ROW($AT$31)+1),"")</f>
        <v>0</v>
      </c>
      <c r="AU35">
        <f>IFERROR(SMALL(AU14:AU28,ROW()-ROW($AU$31)+1),"")</f>
        <v>0</v>
      </c>
      <c r="AV35">
        <f>IFERROR(SMALL(AV14:AV28,ROW()-ROW($AV$31)+1),"")</f>
        <v>0</v>
      </c>
      <c r="AW35">
        <f>IFERROR(SMALL(AW14:AW28,ROW()-ROW($AW$31)+1),"")</f>
        <v>0</v>
      </c>
      <c r="AX35">
        <f>IFERROR(SMALL(AX14:AX28,ROW()-ROW($AX$31)+1),"")</f>
        <v>0</v>
      </c>
      <c r="AY35">
        <f>IFERROR(SMALL(AY14:AY28,ROW()-ROW($AY$31)+1),"")</f>
        <v>0</v>
      </c>
      <c r="AZ35">
        <f>IFERROR(SMALL(AZ14:AZ28,ROW()-ROW($AZ$31)+1),"")</f>
        <v>0</v>
      </c>
      <c r="BA35">
        <f>IFERROR(SMALL(BA14:BA28,ROW()-ROW($BA$31)+1),"")</f>
        <v>0</v>
      </c>
      <c r="BB35">
        <f>IFERROR(SMALL(BB14:BB28,ROW()-ROW($BB$31)+1),"")</f>
        <v>0</v>
      </c>
      <c r="BC35">
        <f>IFERROR(SMALL(BC14:BC28,ROW()-ROW($BC$31)+1),"")</f>
        <v>0</v>
      </c>
      <c r="BD35">
        <f>IFERROR(SMALL(BD14:BD28,ROW()-ROW($BD$31)+1),"")</f>
        <v>0</v>
      </c>
      <c r="BE35">
        <f>IFERROR(SMALL(BE14:BE28,ROW()-ROW($BE$31)+1),"")</f>
        <v>0</v>
      </c>
      <c r="BF35">
        <f>IFERROR(SMALL(BF14:BF28,ROW()-ROW($BF$31)+1),"")</f>
        <v>0</v>
      </c>
      <c r="BG35">
        <f>IFERROR(SMALL(BG14:BG28,ROW()-ROW($BG$31)+1),"")</f>
        <v>0</v>
      </c>
      <c r="BH35">
        <f>IFERROR(SMALL(BH14:BH28,ROW()-ROW($BH$31)+1),"")</f>
        <v>0</v>
      </c>
      <c r="BI35">
        <f>IFERROR(SMALL(BI14:BI28,ROW()-ROW($BI$31)+1),"")</f>
        <v>0</v>
      </c>
      <c r="BJ35">
        <f>IFERROR(SMALL(BJ14:BJ28,ROW()-ROW($BJ$31)+1),"")</f>
        <v>0</v>
      </c>
      <c r="BK35">
        <f>IFERROR(SMALL(BK14:BK28,ROW()-ROW($BK$31)+1),"")</f>
        <v>0</v>
      </c>
      <c r="BL35">
        <f>IFERROR(SMALL(BL14:BL28,ROW()-ROW($BL$31)+1),"")</f>
        <v>0</v>
      </c>
      <c r="BM35">
        <f>IFERROR(SMALL(BM14:BM28,ROW()-ROW($BM$31)+1),"")</f>
        <v>0</v>
      </c>
      <c r="BN35">
        <f>IFERROR(SMALL(BN14:BN28,ROW()-ROW($BN$31)+1),"")</f>
        <v>0</v>
      </c>
      <c r="BO35">
        <f>IFERROR(SMALL(BO14:BO28,ROW()-ROW($BO$31)+1),"")</f>
        <v>0</v>
      </c>
      <c r="BP35">
        <f>IFERROR(SMALL(BP14:BP28,ROW()-ROW($BP$31)+1),"")</f>
        <v>0</v>
      </c>
      <c r="BS35">
        <f>IFERROR(SMALL(BS14:BS28,ROW()-ROW($BS$31)+1),"")</f>
        <v>0</v>
      </c>
      <c r="BT35">
        <f>IFERROR(SMALL(BT14:BT28,ROW()-ROW($BT$31)+1),"")</f>
        <v>0</v>
      </c>
      <c r="BU35">
        <f>IFERROR(SMALL(BU14:BU28,ROW()-ROW($BU$31)+1),"")</f>
        <v>0</v>
      </c>
      <c r="BV35">
        <f>IFERROR(SMALL(BV14:BV28,ROW()-ROW($BV$31)+1),"")</f>
        <v>0</v>
      </c>
      <c r="BW35">
        <f>IFERROR(SMALL(BW14:BW28,ROW()-ROW($BW$31)+1),"")</f>
        <v>0</v>
      </c>
      <c r="BX35">
        <f>IFERROR(SMALL(BX14:BX28,ROW()-ROW($BX$31)+1),"")</f>
        <v>0</v>
      </c>
      <c r="BY35">
        <f>IFERROR(SMALL(BY14:BY28,ROW()-ROW($BY$31)+1),"")</f>
        <v>0</v>
      </c>
      <c r="BZ35">
        <f>IFERROR(SMALL(BZ14:BZ28,ROW()-ROW($BZ$31)+1),"")</f>
        <v>0</v>
      </c>
      <c r="CA35">
        <f>IFERROR(SMALL(CA14:CA28,ROW()-ROW($CA$31)+1),"")</f>
        <v>0</v>
      </c>
      <c r="CB35">
        <f>IFERROR(SMALL(CB14:CB28,ROW()-ROW($CB$31)+1),"")</f>
        <v>0</v>
      </c>
      <c r="CC35">
        <f>IFERROR(SMALL(CC14:CC28,ROW()-ROW($CC$31)+1),"")</f>
        <v>0</v>
      </c>
      <c r="CD35">
        <f>IFERROR(SMALL(CD14:CD28,ROW()-ROW($CD$31)+1),"")</f>
        <v>0</v>
      </c>
      <c r="CE35">
        <f>IFERROR(SMALL(CE14:CE28,ROW()-ROW($CE$31)+1),"")</f>
        <v>0</v>
      </c>
      <c r="CF35">
        <f>IFERROR(SMALL(CF14:CF28,ROW()-ROW($CF$31)+1),"")</f>
        <v>0</v>
      </c>
      <c r="CG35">
        <f>IFERROR(SMALL(CG14:CG28,ROW()-ROW($CG$31)+1),"")</f>
        <v>0</v>
      </c>
      <c r="CH35">
        <f>IFERROR(SMALL(CH14:CH28,ROW()-ROW($CH$31)+1),"")</f>
        <v>0</v>
      </c>
      <c r="CI35">
        <f>IFERROR(SMALL(CI14:CI28,ROW()-ROW($CI$31)+1),"")</f>
        <v>0</v>
      </c>
      <c r="CJ35">
        <f>IFERROR(SMALL(CJ14:CJ28,ROW()-ROW($CJ$31)+1),"")</f>
        <v>0</v>
      </c>
      <c r="CK35">
        <f>IFERROR(SMALL(CK14:CK28,ROW()-ROW($CK$31)+1),"")</f>
        <v>0</v>
      </c>
      <c r="CL35">
        <f>IFERROR(SMALL(CL14:CL28,ROW()-ROW($CL$31)+1),"")</f>
        <v>0</v>
      </c>
      <c r="CM35">
        <f>IFERROR(SMALL(CM14:CM28,ROW()-ROW($CM$31)+1),"")</f>
        <v>0</v>
      </c>
      <c r="CN35">
        <f>IFERROR(SMALL(CN14:CN28,ROW()-ROW($CN$31)+1),"")</f>
        <v>0</v>
      </c>
      <c r="CO35">
        <f>IFERROR(SMALL(CO14:CO28,ROW()-ROW($CO$31)+1),"")</f>
        <v>0</v>
      </c>
      <c r="CP35">
        <f>IFERROR(SMALL(CP14:CP28,ROW()-ROW($CP$31)+1),"")</f>
        <v>0</v>
      </c>
      <c r="CQ35">
        <f>IFERROR(SMALL(CQ14:CQ28,ROW()-ROW($CQ$31)+1),"")</f>
        <v>0</v>
      </c>
      <c r="CR35">
        <f>IFERROR(SMALL(CR14:CR28,ROW()-ROW($CR$31)+1),"")</f>
        <v>0</v>
      </c>
      <c r="CS35">
        <f>IFERROR(SMALL(CS14:CS28,ROW()-ROW($CS$31)+1),"")</f>
        <v>0</v>
      </c>
      <c r="CT35">
        <f>IFERROR(SMALL(CT14:CT28,ROW()-ROW($CT$31)+1),"")</f>
        <v>0</v>
      </c>
      <c r="CU35">
        <f>IFERROR(SMALL(CU14:CU28,ROW()-ROW($CU$31)+1),"")</f>
        <v>0</v>
      </c>
      <c r="CV35">
        <f>IFERROR(SMALL(CV14:CV28,ROW()-ROW($CV$31)+1),"")</f>
        <v>0</v>
      </c>
      <c r="CW35">
        <f>IFERROR(SMALL(CW14:CW28,ROW()-ROW($CW$31)+1),"")</f>
        <v>0</v>
      </c>
      <c r="CX35">
        <f>IFERROR(SMALL(CX14:CX28,ROW()-ROW($CX$31)+1),"")</f>
        <v>0</v>
      </c>
      <c r="CY35">
        <f>IFERROR(SMALL(CY14:CY28,ROW()-ROW($CY$31)+1),"")</f>
        <v>0</v>
      </c>
      <c r="CZ35">
        <f>IFERROR(SMALL(CZ14:CZ28,ROW()-ROW($CZ$31)+1),"")</f>
        <v>0</v>
      </c>
      <c r="DA35">
        <f>IFERROR(SMALL(DA14:DA28,ROW()-ROW($DA$31)+1),"")</f>
        <v>0</v>
      </c>
      <c r="DB35">
        <f>IFERROR(SMALL(DB14:DB28,ROW()-ROW($DB$31)+1),"")</f>
        <v>0</v>
      </c>
      <c r="DC35">
        <f>IFERROR(SMALL(DC14:DC28,ROW()-ROW($DC$31)+1),"")</f>
        <v>0</v>
      </c>
      <c r="DD35">
        <f>IFERROR(SMALL(DD14:DD28,ROW()-ROW($DD$31)+1),"")</f>
        <v>0</v>
      </c>
      <c r="DE35">
        <f>IFERROR(SMALL(DE14:DE28,ROW()-ROW($DE$31)+1),"")</f>
        <v>0</v>
      </c>
      <c r="DF35">
        <f>IFERROR(SMALL(DF14:DF28,ROW()-ROW($DF$31)+1),"")</f>
        <v>0</v>
      </c>
      <c r="DG35">
        <f>IFERROR(SMALL(DG14:DG28,ROW()-ROW($DG$31)+1),"")</f>
        <v>0</v>
      </c>
      <c r="DH35">
        <f>IFERROR(SMALL(DH14:DH28,ROW()-ROW($DH$31)+1),"")</f>
        <v>0</v>
      </c>
      <c r="DI35">
        <f>IFERROR(SMALL(DI14:DI28,ROW()-ROW($DI$31)+1),"")</f>
        <v>0</v>
      </c>
      <c r="DJ35">
        <f>IFERROR(SMALL(DJ14:DJ28,ROW()-ROW($DJ$31)+1),"")</f>
        <v>0</v>
      </c>
      <c r="DK35">
        <f>IFERROR(SMALL(DK14:DK28,ROW()-ROW($DK$31)+1),"")</f>
        <v>0</v>
      </c>
      <c r="DL35">
        <f>IFERROR(SMALL(DL14:DL28,ROW()-ROW($DL$31)+1),"")</f>
        <v>0</v>
      </c>
      <c r="DM35">
        <f>IFERROR(SMALL(DM14:DM28,ROW()-ROW($DM$31)+1),"")</f>
        <v>0</v>
      </c>
      <c r="DN35">
        <f>IFERROR(SMALL(DN14:DN28,ROW()-ROW($DN$31)+1),"")</f>
        <v>0</v>
      </c>
      <c r="DO35">
        <f>IFERROR(SMALL(DO14:DO28,ROW()-ROW($DO$31)+1),"")</f>
        <v>0</v>
      </c>
      <c r="DP35">
        <f>IFERROR(SMALL(DP14:DP28,ROW()-ROW($DP$31)+1),"")</f>
        <v>0</v>
      </c>
      <c r="DQ35">
        <f>IFERROR(SMALL(DQ14:DQ28,ROW()-ROW($DQ$31)+1),"")</f>
        <v>0</v>
      </c>
      <c r="DR35">
        <f>IFERROR(SMALL(DR14:DR28,ROW()-ROW($DR$31)+1),"")</f>
        <v>0</v>
      </c>
      <c r="DS35">
        <f>IFERROR(SMALL(DS14:DS28,ROW()-ROW($DS$31)+1),"")</f>
        <v>0</v>
      </c>
      <c r="DT35">
        <f>IFERROR(SMALL(DT14:DT28,ROW()-ROW($DT$31)+1),"")</f>
        <v>0</v>
      </c>
      <c r="DU35">
        <f>IFERROR(SMALL(DU14:DU28,ROW()-ROW($DU$31)+1),"")</f>
        <v>0</v>
      </c>
      <c r="DV35">
        <f>IFERROR(SMALL(DV14:DV28,ROW()-ROW($DV$31)+1),"")</f>
        <v>0</v>
      </c>
      <c r="DW35">
        <f>IFERROR(SMALL(DW14:DW28,ROW()-ROW($DW$31)+1),"")</f>
        <v>0</v>
      </c>
      <c r="DX35">
        <f>IFERROR(SMALL(DX14:DX28,ROW()-ROW($DX$31)+1),"")</f>
        <v>0</v>
      </c>
      <c r="DY35">
        <f>IFERROR(SMALL(DY14:DY28,ROW()-ROW($DY$31)+1),"")</f>
        <v>0</v>
      </c>
      <c r="DZ35">
        <f>IFERROR(SMALL(DZ14:DZ28,ROW()-ROW($DZ$31)+1),"")</f>
        <v>0</v>
      </c>
      <c r="EA35">
        <f>IFERROR(SMALL(EA14:EA28,ROW()-ROW($EA$31)+1),"")</f>
        <v>0</v>
      </c>
      <c r="EB35">
        <f>IFERROR(SMALL(EB14:EB28,ROW()-ROW($EB$31)+1),"")</f>
        <v>0</v>
      </c>
      <c r="EC35">
        <f>IFERROR(SMALL(EC14:EC28,ROW()-ROW($EC$31)+1),"")</f>
        <v>0</v>
      </c>
      <c r="ED35">
        <f>IFERROR(SMALL(ED14:ED28,ROW()-ROW($ED$31)+1),"")</f>
        <v>0</v>
      </c>
    </row>
    <row r="36" spans="4:134">
      <c r="E36">
        <f>IFERROR(SMALL(E14:E28,ROW()-ROW($E$31)+1),"")</f>
        <v>0</v>
      </c>
      <c r="F36">
        <f>IFERROR(SMALL(F14:F28,ROW()-ROW($F$31)+1),"")</f>
        <v>0</v>
      </c>
      <c r="G36">
        <f>IFERROR(SMALL(G14:G28,ROW()-ROW($G$31)+1),"")</f>
        <v>0</v>
      </c>
      <c r="H36">
        <f>IFERROR(SMALL(H14:H28,ROW()-ROW($H$31)+1),"")</f>
        <v>0</v>
      </c>
      <c r="I36">
        <f>IFERROR(SMALL(I14:I28,ROW()-ROW($I$31)+1),"")</f>
        <v>0</v>
      </c>
      <c r="J36">
        <f>IFERROR(SMALL(J14:J28,ROW()-ROW($J$31)+1),"")</f>
        <v>0</v>
      </c>
      <c r="K36">
        <f>IFERROR(SMALL(K14:K28,ROW()-ROW($K$31)+1),"")</f>
        <v>0</v>
      </c>
      <c r="L36">
        <f>IFERROR(SMALL(L14:L28,ROW()-ROW($L$31)+1),"")</f>
        <v>0</v>
      </c>
      <c r="M36">
        <f>IFERROR(SMALL(M14:M28,ROW()-ROW($M$31)+1),"")</f>
        <v>0</v>
      </c>
      <c r="N36">
        <f>IFERROR(SMALL(N14:N28,ROW()-ROW($N$31)+1),"")</f>
        <v>0</v>
      </c>
      <c r="O36">
        <f>IFERROR(SMALL(O14:O28,ROW()-ROW($O$31)+1),"")</f>
        <v>0</v>
      </c>
      <c r="P36">
        <f>IFERROR(SMALL(P14:P28,ROW()-ROW($P$31)+1),"")</f>
        <v>0</v>
      </c>
      <c r="Q36">
        <f>IFERROR(SMALL(Q14:Q28,ROW()-ROW($Q$31)+1),"")</f>
        <v>0</v>
      </c>
      <c r="R36">
        <f>IFERROR(SMALL(R14:R28,ROW()-ROW($R$31)+1),"")</f>
        <v>0</v>
      </c>
      <c r="S36">
        <f>IFERROR(SMALL(S14:S28,ROW()-ROW($S$31)+1),"")</f>
        <v>0</v>
      </c>
      <c r="T36">
        <f>IFERROR(SMALL(T14:T28,ROW()-ROW($T$31)+1),"")</f>
        <v>0</v>
      </c>
      <c r="U36">
        <f>IFERROR(SMALL(U14:U28,ROW()-ROW($U$31)+1),"")</f>
        <v>0</v>
      </c>
      <c r="V36">
        <f>IFERROR(SMALL(V14:V28,ROW()-ROW($V$31)+1),"")</f>
        <v>0</v>
      </c>
      <c r="W36">
        <f>IFERROR(SMALL(W14:W28,ROW()-ROW($W$31)+1),"")</f>
        <v>0</v>
      </c>
      <c r="X36">
        <f>IFERROR(SMALL(X14:X28,ROW()-ROW($X$31)+1),"")</f>
        <v>0</v>
      </c>
      <c r="Y36">
        <f>IFERROR(SMALL(Y14:Y28,ROW()-ROW($Y$31)+1),"")</f>
        <v>0</v>
      </c>
      <c r="Z36">
        <f>IFERROR(SMALL(Z14:Z28,ROW()-ROW($Z$31)+1),"")</f>
        <v>0</v>
      </c>
      <c r="AA36">
        <f>IFERROR(SMALL(AA14:AA28,ROW()-ROW($AA$31)+1),"")</f>
        <v>0</v>
      </c>
      <c r="AB36">
        <f>IFERROR(SMALL(AB14:AB28,ROW()-ROW($AB$31)+1),"")</f>
        <v>0</v>
      </c>
      <c r="AC36">
        <f>IFERROR(SMALL(AC14:AC28,ROW()-ROW($AC$31)+1),"")</f>
        <v>0</v>
      </c>
      <c r="AD36">
        <f>IFERROR(SMALL(AD14:AD28,ROW()-ROW($AD$31)+1),"")</f>
        <v>0</v>
      </c>
      <c r="AE36">
        <f>IFERROR(SMALL(AE14:AE28,ROW()-ROW($AE$31)+1),"")</f>
        <v>0</v>
      </c>
      <c r="AF36">
        <f>IFERROR(SMALL(AF14:AF28,ROW()-ROW($AF$31)+1),"")</f>
        <v>0</v>
      </c>
      <c r="AG36">
        <f>IFERROR(SMALL(AG14:AG28,ROW()-ROW($AG$31)+1),"")</f>
        <v>0</v>
      </c>
      <c r="AH36">
        <f>IFERROR(SMALL(AH14:AH28,ROW()-ROW($AH$31)+1),"")</f>
        <v>0</v>
      </c>
      <c r="AI36">
        <f>IFERROR(SMALL(AI14:AI28,ROW()-ROW($AI$31)+1),"")</f>
        <v>0</v>
      </c>
      <c r="AJ36">
        <f>IFERROR(SMALL(AJ14:AJ28,ROW()-ROW($AJ$31)+1),"")</f>
        <v>0</v>
      </c>
      <c r="AK36">
        <f>IFERROR(SMALL(AK14:AK28,ROW()-ROW($AK$31)+1),"")</f>
        <v>0</v>
      </c>
      <c r="AL36">
        <f>IFERROR(SMALL(AL14:AL28,ROW()-ROW($AL$31)+1),"")</f>
        <v>0</v>
      </c>
      <c r="AM36">
        <f>IFERROR(SMALL(AM14:AM28,ROW()-ROW($AM$31)+1),"")</f>
        <v>0</v>
      </c>
      <c r="AN36">
        <f>IFERROR(SMALL(AN14:AN28,ROW()-ROW($AN$31)+1),"")</f>
        <v>0</v>
      </c>
      <c r="AO36">
        <f>IFERROR(SMALL(AO14:AO28,ROW()-ROW($AO$31)+1),"")</f>
        <v>0</v>
      </c>
      <c r="AP36">
        <f>IFERROR(SMALL(AP14:AP28,ROW()-ROW($AP$31)+1),"")</f>
        <v>0</v>
      </c>
      <c r="AQ36">
        <f>IFERROR(SMALL(AQ14:AQ28,ROW()-ROW($AQ$31)+1),"")</f>
        <v>0</v>
      </c>
      <c r="AR36">
        <f>IFERROR(SMALL(AR14:AR28,ROW()-ROW($AR$31)+1),"")</f>
        <v>0</v>
      </c>
      <c r="AS36">
        <f>IFERROR(SMALL(AS14:AS28,ROW()-ROW($AS$31)+1),"")</f>
        <v>0</v>
      </c>
      <c r="AT36">
        <f>IFERROR(SMALL(AT14:AT28,ROW()-ROW($AT$31)+1),"")</f>
        <v>0</v>
      </c>
      <c r="AU36">
        <f>IFERROR(SMALL(AU14:AU28,ROW()-ROW($AU$31)+1),"")</f>
        <v>0</v>
      </c>
      <c r="AV36">
        <f>IFERROR(SMALL(AV14:AV28,ROW()-ROW($AV$31)+1),"")</f>
        <v>0</v>
      </c>
      <c r="AW36">
        <f>IFERROR(SMALL(AW14:AW28,ROW()-ROW($AW$31)+1),"")</f>
        <v>0</v>
      </c>
      <c r="AX36">
        <f>IFERROR(SMALL(AX14:AX28,ROW()-ROW($AX$31)+1),"")</f>
        <v>0</v>
      </c>
      <c r="AY36">
        <f>IFERROR(SMALL(AY14:AY28,ROW()-ROW($AY$31)+1),"")</f>
        <v>0</v>
      </c>
      <c r="AZ36">
        <f>IFERROR(SMALL(AZ14:AZ28,ROW()-ROW($AZ$31)+1),"")</f>
        <v>0</v>
      </c>
      <c r="BA36">
        <f>IFERROR(SMALL(BA14:BA28,ROW()-ROW($BA$31)+1),"")</f>
        <v>0</v>
      </c>
      <c r="BB36">
        <f>IFERROR(SMALL(BB14:BB28,ROW()-ROW($BB$31)+1),"")</f>
        <v>0</v>
      </c>
      <c r="BC36">
        <f>IFERROR(SMALL(BC14:BC28,ROW()-ROW($BC$31)+1),"")</f>
        <v>0</v>
      </c>
      <c r="BD36">
        <f>IFERROR(SMALL(BD14:BD28,ROW()-ROW($BD$31)+1),"")</f>
        <v>0</v>
      </c>
      <c r="BE36">
        <f>IFERROR(SMALL(BE14:BE28,ROW()-ROW($BE$31)+1),"")</f>
        <v>0</v>
      </c>
      <c r="BF36">
        <f>IFERROR(SMALL(BF14:BF28,ROW()-ROW($BF$31)+1),"")</f>
        <v>0</v>
      </c>
      <c r="BG36">
        <f>IFERROR(SMALL(BG14:BG28,ROW()-ROW($BG$31)+1),"")</f>
        <v>0</v>
      </c>
      <c r="BH36">
        <f>IFERROR(SMALL(BH14:BH28,ROW()-ROW($BH$31)+1),"")</f>
        <v>0</v>
      </c>
      <c r="BI36">
        <f>IFERROR(SMALL(BI14:BI28,ROW()-ROW($BI$31)+1),"")</f>
        <v>0</v>
      </c>
      <c r="BJ36">
        <f>IFERROR(SMALL(BJ14:BJ28,ROW()-ROW($BJ$31)+1),"")</f>
        <v>0</v>
      </c>
      <c r="BK36">
        <f>IFERROR(SMALL(BK14:BK28,ROW()-ROW($BK$31)+1),"")</f>
        <v>0</v>
      </c>
      <c r="BL36">
        <f>IFERROR(SMALL(BL14:BL28,ROW()-ROW($BL$31)+1),"")</f>
        <v>0</v>
      </c>
      <c r="BM36">
        <f>IFERROR(SMALL(BM14:BM28,ROW()-ROW($BM$31)+1),"")</f>
        <v>0</v>
      </c>
      <c r="BN36">
        <f>IFERROR(SMALL(BN14:BN28,ROW()-ROW($BN$31)+1),"")</f>
        <v>0</v>
      </c>
      <c r="BO36">
        <f>IFERROR(SMALL(BO14:BO28,ROW()-ROW($BO$31)+1),"")</f>
        <v>0</v>
      </c>
      <c r="BP36">
        <f>IFERROR(SMALL(BP14:BP28,ROW()-ROW($BP$31)+1),"")</f>
        <v>0</v>
      </c>
      <c r="BS36">
        <f>IFERROR(SMALL(BS14:BS28,ROW()-ROW($BS$31)+1),"")</f>
        <v>0</v>
      </c>
      <c r="BT36">
        <f>IFERROR(SMALL(BT14:BT28,ROW()-ROW($BT$31)+1),"")</f>
        <v>0</v>
      </c>
      <c r="BU36">
        <f>IFERROR(SMALL(BU14:BU28,ROW()-ROW($BU$31)+1),"")</f>
        <v>0</v>
      </c>
      <c r="BV36">
        <f>IFERROR(SMALL(BV14:BV28,ROW()-ROW($BV$31)+1),"")</f>
        <v>0</v>
      </c>
      <c r="BW36">
        <f>IFERROR(SMALL(BW14:BW28,ROW()-ROW($BW$31)+1),"")</f>
        <v>0</v>
      </c>
      <c r="BX36">
        <f>IFERROR(SMALL(BX14:BX28,ROW()-ROW($BX$31)+1),"")</f>
        <v>0</v>
      </c>
      <c r="BY36">
        <f>IFERROR(SMALL(BY14:BY28,ROW()-ROW($BY$31)+1),"")</f>
        <v>0</v>
      </c>
      <c r="BZ36">
        <f>IFERROR(SMALL(BZ14:BZ28,ROW()-ROW($BZ$31)+1),"")</f>
        <v>0</v>
      </c>
      <c r="CA36">
        <f>IFERROR(SMALL(CA14:CA28,ROW()-ROW($CA$31)+1),"")</f>
        <v>0</v>
      </c>
      <c r="CB36">
        <f>IFERROR(SMALL(CB14:CB28,ROW()-ROW($CB$31)+1),"")</f>
        <v>0</v>
      </c>
      <c r="CC36">
        <f>IFERROR(SMALL(CC14:CC28,ROW()-ROW($CC$31)+1),"")</f>
        <v>0</v>
      </c>
      <c r="CD36">
        <f>IFERROR(SMALL(CD14:CD28,ROW()-ROW($CD$31)+1),"")</f>
        <v>0</v>
      </c>
      <c r="CE36">
        <f>IFERROR(SMALL(CE14:CE28,ROW()-ROW($CE$31)+1),"")</f>
        <v>0</v>
      </c>
      <c r="CF36">
        <f>IFERROR(SMALL(CF14:CF28,ROW()-ROW($CF$31)+1),"")</f>
        <v>0</v>
      </c>
      <c r="CG36">
        <f>IFERROR(SMALL(CG14:CG28,ROW()-ROW($CG$31)+1),"")</f>
        <v>0</v>
      </c>
      <c r="CH36">
        <f>IFERROR(SMALL(CH14:CH28,ROW()-ROW($CH$31)+1),"")</f>
        <v>0</v>
      </c>
      <c r="CI36">
        <f>IFERROR(SMALL(CI14:CI28,ROW()-ROW($CI$31)+1),"")</f>
        <v>0</v>
      </c>
      <c r="CJ36">
        <f>IFERROR(SMALL(CJ14:CJ28,ROW()-ROW($CJ$31)+1),"")</f>
        <v>0</v>
      </c>
      <c r="CK36">
        <f>IFERROR(SMALL(CK14:CK28,ROW()-ROW($CK$31)+1),"")</f>
        <v>0</v>
      </c>
      <c r="CL36">
        <f>IFERROR(SMALL(CL14:CL28,ROW()-ROW($CL$31)+1),"")</f>
        <v>0</v>
      </c>
      <c r="CM36">
        <f>IFERROR(SMALL(CM14:CM28,ROW()-ROW($CM$31)+1),"")</f>
        <v>0</v>
      </c>
      <c r="CN36">
        <f>IFERROR(SMALL(CN14:CN28,ROW()-ROW($CN$31)+1),"")</f>
        <v>0</v>
      </c>
      <c r="CO36">
        <f>IFERROR(SMALL(CO14:CO28,ROW()-ROW($CO$31)+1),"")</f>
        <v>0</v>
      </c>
      <c r="CP36">
        <f>IFERROR(SMALL(CP14:CP28,ROW()-ROW($CP$31)+1),"")</f>
        <v>0</v>
      </c>
      <c r="CQ36">
        <f>IFERROR(SMALL(CQ14:CQ28,ROW()-ROW($CQ$31)+1),"")</f>
        <v>0</v>
      </c>
      <c r="CR36">
        <f>IFERROR(SMALL(CR14:CR28,ROW()-ROW($CR$31)+1),"")</f>
        <v>0</v>
      </c>
      <c r="CS36">
        <f>IFERROR(SMALL(CS14:CS28,ROW()-ROW($CS$31)+1),"")</f>
        <v>0</v>
      </c>
      <c r="CT36">
        <f>IFERROR(SMALL(CT14:CT28,ROW()-ROW($CT$31)+1),"")</f>
        <v>0</v>
      </c>
      <c r="CU36">
        <f>IFERROR(SMALL(CU14:CU28,ROW()-ROW($CU$31)+1),"")</f>
        <v>0</v>
      </c>
      <c r="CV36">
        <f>IFERROR(SMALL(CV14:CV28,ROW()-ROW($CV$31)+1),"")</f>
        <v>0</v>
      </c>
      <c r="CW36">
        <f>IFERROR(SMALL(CW14:CW28,ROW()-ROW($CW$31)+1),"")</f>
        <v>0</v>
      </c>
      <c r="CX36">
        <f>IFERROR(SMALL(CX14:CX28,ROW()-ROW($CX$31)+1),"")</f>
        <v>0</v>
      </c>
      <c r="CY36">
        <f>IFERROR(SMALL(CY14:CY28,ROW()-ROW($CY$31)+1),"")</f>
        <v>0</v>
      </c>
      <c r="CZ36">
        <f>IFERROR(SMALL(CZ14:CZ28,ROW()-ROW($CZ$31)+1),"")</f>
        <v>0</v>
      </c>
      <c r="DA36">
        <f>IFERROR(SMALL(DA14:DA28,ROW()-ROW($DA$31)+1),"")</f>
        <v>0</v>
      </c>
      <c r="DB36">
        <f>IFERROR(SMALL(DB14:DB28,ROW()-ROW($DB$31)+1),"")</f>
        <v>0</v>
      </c>
      <c r="DC36">
        <f>IFERROR(SMALL(DC14:DC28,ROW()-ROW($DC$31)+1),"")</f>
        <v>0</v>
      </c>
      <c r="DD36">
        <f>IFERROR(SMALL(DD14:DD28,ROW()-ROW($DD$31)+1),"")</f>
        <v>0</v>
      </c>
      <c r="DE36">
        <f>IFERROR(SMALL(DE14:DE28,ROW()-ROW($DE$31)+1),"")</f>
        <v>0</v>
      </c>
      <c r="DF36">
        <f>IFERROR(SMALL(DF14:DF28,ROW()-ROW($DF$31)+1),"")</f>
        <v>0</v>
      </c>
      <c r="DG36">
        <f>IFERROR(SMALL(DG14:DG28,ROW()-ROW($DG$31)+1),"")</f>
        <v>0</v>
      </c>
      <c r="DH36">
        <f>IFERROR(SMALL(DH14:DH28,ROW()-ROW($DH$31)+1),"")</f>
        <v>0</v>
      </c>
      <c r="DI36">
        <f>IFERROR(SMALL(DI14:DI28,ROW()-ROW($DI$31)+1),"")</f>
        <v>0</v>
      </c>
      <c r="DJ36">
        <f>IFERROR(SMALL(DJ14:DJ28,ROW()-ROW($DJ$31)+1),"")</f>
        <v>0</v>
      </c>
      <c r="DK36">
        <f>IFERROR(SMALL(DK14:DK28,ROW()-ROW($DK$31)+1),"")</f>
        <v>0</v>
      </c>
      <c r="DL36">
        <f>IFERROR(SMALL(DL14:DL28,ROW()-ROW($DL$31)+1),"")</f>
        <v>0</v>
      </c>
      <c r="DM36">
        <f>IFERROR(SMALL(DM14:DM28,ROW()-ROW($DM$31)+1),"")</f>
        <v>0</v>
      </c>
      <c r="DN36">
        <f>IFERROR(SMALL(DN14:DN28,ROW()-ROW($DN$31)+1),"")</f>
        <v>0</v>
      </c>
      <c r="DO36">
        <f>IFERROR(SMALL(DO14:DO28,ROW()-ROW($DO$31)+1),"")</f>
        <v>0</v>
      </c>
      <c r="DP36">
        <f>IFERROR(SMALL(DP14:DP28,ROW()-ROW($DP$31)+1),"")</f>
        <v>0</v>
      </c>
      <c r="DQ36">
        <f>IFERROR(SMALL(DQ14:DQ28,ROW()-ROW($DQ$31)+1),"")</f>
        <v>0</v>
      </c>
      <c r="DR36">
        <f>IFERROR(SMALL(DR14:DR28,ROW()-ROW($DR$31)+1),"")</f>
        <v>0</v>
      </c>
      <c r="DS36">
        <f>IFERROR(SMALL(DS14:DS28,ROW()-ROW($DS$31)+1),"")</f>
        <v>0</v>
      </c>
      <c r="DT36">
        <f>IFERROR(SMALL(DT14:DT28,ROW()-ROW($DT$31)+1),"")</f>
        <v>0</v>
      </c>
      <c r="DU36">
        <f>IFERROR(SMALL(DU14:DU28,ROW()-ROW($DU$31)+1),"")</f>
        <v>0</v>
      </c>
      <c r="DV36">
        <f>IFERROR(SMALL(DV14:DV28,ROW()-ROW($DV$31)+1),"")</f>
        <v>0</v>
      </c>
      <c r="DW36">
        <f>IFERROR(SMALL(DW14:DW28,ROW()-ROW($DW$31)+1),"")</f>
        <v>0</v>
      </c>
      <c r="DX36">
        <f>IFERROR(SMALL(DX14:DX28,ROW()-ROW($DX$31)+1),"")</f>
        <v>0</v>
      </c>
      <c r="DY36">
        <f>IFERROR(SMALL(DY14:DY28,ROW()-ROW($DY$31)+1),"")</f>
        <v>0</v>
      </c>
      <c r="DZ36">
        <f>IFERROR(SMALL(DZ14:DZ28,ROW()-ROW($DZ$31)+1),"")</f>
        <v>0</v>
      </c>
      <c r="EA36">
        <f>IFERROR(SMALL(EA14:EA28,ROW()-ROW($EA$31)+1),"")</f>
        <v>0</v>
      </c>
      <c r="EB36">
        <f>IFERROR(SMALL(EB14:EB28,ROW()-ROW($EB$31)+1),"")</f>
        <v>0</v>
      </c>
      <c r="EC36">
        <f>IFERROR(SMALL(EC14:EC28,ROW()-ROW($EC$31)+1),"")</f>
        <v>0</v>
      </c>
      <c r="ED36">
        <f>IFERROR(SMALL(ED14:ED28,ROW()-ROW($ED$31)+1),"")</f>
        <v>0</v>
      </c>
    </row>
    <row r="37" spans="4:134">
      <c r="E37">
        <f>IFERROR(SMALL(E14:E28,ROW()-ROW($E$31)+1),"")</f>
        <v>0</v>
      </c>
      <c r="F37">
        <f>IFERROR(SMALL(F14:F28,ROW()-ROW($F$31)+1),"")</f>
        <v>0</v>
      </c>
      <c r="G37">
        <f>IFERROR(SMALL(G14:G28,ROW()-ROW($G$31)+1),"")</f>
        <v>0</v>
      </c>
      <c r="H37">
        <f>IFERROR(SMALL(H14:H28,ROW()-ROW($H$31)+1),"")</f>
        <v>0</v>
      </c>
      <c r="I37">
        <f>IFERROR(SMALL(I14:I28,ROW()-ROW($I$31)+1),"")</f>
        <v>0</v>
      </c>
      <c r="J37">
        <f>IFERROR(SMALL(J14:J28,ROW()-ROW($J$31)+1),"")</f>
        <v>0</v>
      </c>
      <c r="K37">
        <f>IFERROR(SMALL(K14:K28,ROW()-ROW($K$31)+1),"")</f>
        <v>0</v>
      </c>
      <c r="L37">
        <f>IFERROR(SMALL(L14:L28,ROW()-ROW($L$31)+1),"")</f>
        <v>0</v>
      </c>
      <c r="M37">
        <f>IFERROR(SMALL(M14:M28,ROW()-ROW($M$31)+1),"")</f>
        <v>0</v>
      </c>
      <c r="N37">
        <f>IFERROR(SMALL(N14:N28,ROW()-ROW($N$31)+1),"")</f>
        <v>0</v>
      </c>
      <c r="O37">
        <f>IFERROR(SMALL(O14:O28,ROW()-ROW($O$31)+1),"")</f>
        <v>0</v>
      </c>
      <c r="P37">
        <f>IFERROR(SMALL(P14:P28,ROW()-ROW($P$31)+1),"")</f>
        <v>0</v>
      </c>
      <c r="Q37">
        <f>IFERROR(SMALL(Q14:Q28,ROW()-ROW($Q$31)+1),"")</f>
        <v>0</v>
      </c>
      <c r="R37">
        <f>IFERROR(SMALL(R14:R28,ROW()-ROW($R$31)+1),"")</f>
        <v>0</v>
      </c>
      <c r="S37">
        <f>IFERROR(SMALL(S14:S28,ROW()-ROW($S$31)+1),"")</f>
        <v>0</v>
      </c>
      <c r="T37">
        <f>IFERROR(SMALL(T14:T28,ROW()-ROW($T$31)+1),"")</f>
        <v>0</v>
      </c>
      <c r="U37">
        <f>IFERROR(SMALL(U14:U28,ROW()-ROW($U$31)+1),"")</f>
        <v>0</v>
      </c>
      <c r="V37">
        <f>IFERROR(SMALL(V14:V28,ROW()-ROW($V$31)+1),"")</f>
        <v>0</v>
      </c>
      <c r="W37">
        <f>IFERROR(SMALL(W14:W28,ROW()-ROW($W$31)+1),"")</f>
        <v>0</v>
      </c>
      <c r="X37">
        <f>IFERROR(SMALL(X14:X28,ROW()-ROW($X$31)+1),"")</f>
        <v>0</v>
      </c>
      <c r="Y37">
        <f>IFERROR(SMALL(Y14:Y28,ROW()-ROW($Y$31)+1),"")</f>
        <v>0</v>
      </c>
      <c r="Z37">
        <f>IFERROR(SMALL(Z14:Z28,ROW()-ROW($Z$31)+1),"")</f>
        <v>0</v>
      </c>
      <c r="AA37">
        <f>IFERROR(SMALL(AA14:AA28,ROW()-ROW($AA$31)+1),"")</f>
        <v>0</v>
      </c>
      <c r="AB37">
        <f>IFERROR(SMALL(AB14:AB28,ROW()-ROW($AB$31)+1),"")</f>
        <v>0</v>
      </c>
      <c r="AC37">
        <f>IFERROR(SMALL(AC14:AC28,ROW()-ROW($AC$31)+1),"")</f>
        <v>0</v>
      </c>
      <c r="AD37">
        <f>IFERROR(SMALL(AD14:AD28,ROW()-ROW($AD$31)+1),"")</f>
        <v>0</v>
      </c>
      <c r="AE37">
        <f>IFERROR(SMALL(AE14:AE28,ROW()-ROW($AE$31)+1),"")</f>
        <v>0</v>
      </c>
      <c r="AF37">
        <f>IFERROR(SMALL(AF14:AF28,ROW()-ROW($AF$31)+1),"")</f>
        <v>0</v>
      </c>
      <c r="AG37">
        <f>IFERROR(SMALL(AG14:AG28,ROW()-ROW($AG$31)+1),"")</f>
        <v>0</v>
      </c>
      <c r="AH37">
        <f>IFERROR(SMALL(AH14:AH28,ROW()-ROW($AH$31)+1),"")</f>
        <v>0</v>
      </c>
      <c r="AI37">
        <f>IFERROR(SMALL(AI14:AI28,ROW()-ROW($AI$31)+1),"")</f>
        <v>0</v>
      </c>
      <c r="AJ37">
        <f>IFERROR(SMALL(AJ14:AJ28,ROW()-ROW($AJ$31)+1),"")</f>
        <v>0</v>
      </c>
      <c r="AK37">
        <f>IFERROR(SMALL(AK14:AK28,ROW()-ROW($AK$31)+1),"")</f>
        <v>0</v>
      </c>
      <c r="AL37">
        <f>IFERROR(SMALL(AL14:AL28,ROW()-ROW($AL$31)+1),"")</f>
        <v>0</v>
      </c>
      <c r="AM37">
        <f>IFERROR(SMALL(AM14:AM28,ROW()-ROW($AM$31)+1),"")</f>
        <v>0</v>
      </c>
      <c r="AN37">
        <f>IFERROR(SMALL(AN14:AN28,ROW()-ROW($AN$31)+1),"")</f>
        <v>0</v>
      </c>
      <c r="AO37">
        <f>IFERROR(SMALL(AO14:AO28,ROW()-ROW($AO$31)+1),"")</f>
        <v>0</v>
      </c>
      <c r="AP37">
        <f>IFERROR(SMALL(AP14:AP28,ROW()-ROW($AP$31)+1),"")</f>
        <v>0</v>
      </c>
      <c r="AQ37">
        <f>IFERROR(SMALL(AQ14:AQ28,ROW()-ROW($AQ$31)+1),"")</f>
        <v>0</v>
      </c>
      <c r="AR37">
        <f>IFERROR(SMALL(AR14:AR28,ROW()-ROW($AR$31)+1),"")</f>
        <v>0</v>
      </c>
      <c r="AS37">
        <f>IFERROR(SMALL(AS14:AS28,ROW()-ROW($AS$31)+1),"")</f>
        <v>0</v>
      </c>
      <c r="AT37">
        <f>IFERROR(SMALL(AT14:AT28,ROW()-ROW($AT$31)+1),"")</f>
        <v>0</v>
      </c>
      <c r="AU37">
        <f>IFERROR(SMALL(AU14:AU28,ROW()-ROW($AU$31)+1),"")</f>
        <v>0</v>
      </c>
      <c r="AV37">
        <f>IFERROR(SMALL(AV14:AV28,ROW()-ROW($AV$31)+1),"")</f>
        <v>0</v>
      </c>
      <c r="AW37">
        <f>IFERROR(SMALL(AW14:AW28,ROW()-ROW($AW$31)+1),"")</f>
        <v>0</v>
      </c>
      <c r="AX37">
        <f>IFERROR(SMALL(AX14:AX28,ROW()-ROW($AX$31)+1),"")</f>
        <v>0</v>
      </c>
      <c r="AY37">
        <f>IFERROR(SMALL(AY14:AY28,ROW()-ROW($AY$31)+1),"")</f>
        <v>0</v>
      </c>
      <c r="AZ37">
        <f>IFERROR(SMALL(AZ14:AZ28,ROW()-ROW($AZ$31)+1),"")</f>
        <v>0</v>
      </c>
      <c r="BA37">
        <f>IFERROR(SMALL(BA14:BA28,ROW()-ROW($BA$31)+1),"")</f>
        <v>0</v>
      </c>
      <c r="BB37">
        <f>IFERROR(SMALL(BB14:BB28,ROW()-ROW($BB$31)+1),"")</f>
        <v>0</v>
      </c>
      <c r="BC37">
        <f>IFERROR(SMALL(BC14:BC28,ROW()-ROW($BC$31)+1),"")</f>
        <v>0</v>
      </c>
      <c r="BD37">
        <f>IFERROR(SMALL(BD14:BD28,ROW()-ROW($BD$31)+1),"")</f>
        <v>0</v>
      </c>
      <c r="BE37">
        <f>IFERROR(SMALL(BE14:BE28,ROW()-ROW($BE$31)+1),"")</f>
        <v>0</v>
      </c>
      <c r="BF37">
        <f>IFERROR(SMALL(BF14:BF28,ROW()-ROW($BF$31)+1),"")</f>
        <v>0</v>
      </c>
      <c r="BG37">
        <f>IFERROR(SMALL(BG14:BG28,ROW()-ROW($BG$31)+1),"")</f>
        <v>0</v>
      </c>
      <c r="BH37">
        <f>IFERROR(SMALL(BH14:BH28,ROW()-ROW($BH$31)+1),"")</f>
        <v>0</v>
      </c>
      <c r="BI37">
        <f>IFERROR(SMALL(BI14:BI28,ROW()-ROW($BI$31)+1),"")</f>
        <v>0</v>
      </c>
      <c r="BJ37">
        <f>IFERROR(SMALL(BJ14:BJ28,ROW()-ROW($BJ$31)+1),"")</f>
        <v>0</v>
      </c>
      <c r="BK37">
        <f>IFERROR(SMALL(BK14:BK28,ROW()-ROW($BK$31)+1),"")</f>
        <v>0</v>
      </c>
      <c r="BL37">
        <f>IFERROR(SMALL(BL14:BL28,ROW()-ROW($BL$31)+1),"")</f>
        <v>0</v>
      </c>
      <c r="BM37">
        <f>IFERROR(SMALL(BM14:BM28,ROW()-ROW($BM$31)+1),"")</f>
        <v>0</v>
      </c>
      <c r="BN37">
        <f>IFERROR(SMALL(BN14:BN28,ROW()-ROW($BN$31)+1),"")</f>
        <v>0</v>
      </c>
      <c r="BO37">
        <f>IFERROR(SMALL(BO14:BO28,ROW()-ROW($BO$31)+1),"")</f>
        <v>0</v>
      </c>
      <c r="BP37">
        <f>IFERROR(SMALL(BP14:BP28,ROW()-ROW($BP$31)+1),"")</f>
        <v>0</v>
      </c>
      <c r="BS37">
        <f>IFERROR(SMALL(BS14:BS28,ROW()-ROW($BS$31)+1),"")</f>
        <v>0</v>
      </c>
      <c r="BT37">
        <f>IFERROR(SMALL(BT14:BT28,ROW()-ROW($BT$31)+1),"")</f>
        <v>0</v>
      </c>
      <c r="BU37">
        <f>IFERROR(SMALL(BU14:BU28,ROW()-ROW($BU$31)+1),"")</f>
        <v>0</v>
      </c>
      <c r="BV37">
        <f>IFERROR(SMALL(BV14:BV28,ROW()-ROW($BV$31)+1),"")</f>
        <v>0</v>
      </c>
      <c r="BW37">
        <f>IFERROR(SMALL(BW14:BW28,ROW()-ROW($BW$31)+1),"")</f>
        <v>0</v>
      </c>
      <c r="BX37">
        <f>IFERROR(SMALL(BX14:BX28,ROW()-ROW($BX$31)+1),"")</f>
        <v>0</v>
      </c>
      <c r="BY37">
        <f>IFERROR(SMALL(BY14:BY28,ROW()-ROW($BY$31)+1),"")</f>
        <v>0</v>
      </c>
      <c r="BZ37">
        <f>IFERROR(SMALL(BZ14:BZ28,ROW()-ROW($BZ$31)+1),"")</f>
        <v>0</v>
      </c>
      <c r="CA37">
        <f>IFERROR(SMALL(CA14:CA28,ROW()-ROW($CA$31)+1),"")</f>
        <v>0</v>
      </c>
      <c r="CB37">
        <f>IFERROR(SMALL(CB14:CB28,ROW()-ROW($CB$31)+1),"")</f>
        <v>0</v>
      </c>
      <c r="CC37">
        <f>IFERROR(SMALL(CC14:CC28,ROW()-ROW($CC$31)+1),"")</f>
        <v>0</v>
      </c>
      <c r="CD37">
        <f>IFERROR(SMALL(CD14:CD28,ROW()-ROW($CD$31)+1),"")</f>
        <v>0</v>
      </c>
      <c r="CE37">
        <f>IFERROR(SMALL(CE14:CE28,ROW()-ROW($CE$31)+1),"")</f>
        <v>0</v>
      </c>
      <c r="CF37">
        <f>IFERROR(SMALL(CF14:CF28,ROW()-ROW($CF$31)+1),"")</f>
        <v>0</v>
      </c>
      <c r="CG37">
        <f>IFERROR(SMALL(CG14:CG28,ROW()-ROW($CG$31)+1),"")</f>
        <v>0</v>
      </c>
      <c r="CH37">
        <f>IFERROR(SMALL(CH14:CH28,ROW()-ROW($CH$31)+1),"")</f>
        <v>0</v>
      </c>
      <c r="CI37">
        <f>IFERROR(SMALL(CI14:CI28,ROW()-ROW($CI$31)+1),"")</f>
        <v>0</v>
      </c>
      <c r="CJ37">
        <f>IFERROR(SMALL(CJ14:CJ28,ROW()-ROW($CJ$31)+1),"")</f>
        <v>0</v>
      </c>
      <c r="CK37">
        <f>IFERROR(SMALL(CK14:CK28,ROW()-ROW($CK$31)+1),"")</f>
        <v>0</v>
      </c>
      <c r="CL37">
        <f>IFERROR(SMALL(CL14:CL28,ROW()-ROW($CL$31)+1),"")</f>
        <v>0</v>
      </c>
      <c r="CM37">
        <f>IFERROR(SMALL(CM14:CM28,ROW()-ROW($CM$31)+1),"")</f>
        <v>0</v>
      </c>
      <c r="CN37">
        <f>IFERROR(SMALL(CN14:CN28,ROW()-ROW($CN$31)+1),"")</f>
        <v>0</v>
      </c>
      <c r="CO37">
        <f>IFERROR(SMALL(CO14:CO28,ROW()-ROW($CO$31)+1),"")</f>
        <v>0</v>
      </c>
      <c r="CP37">
        <f>IFERROR(SMALL(CP14:CP28,ROW()-ROW($CP$31)+1),"")</f>
        <v>0</v>
      </c>
      <c r="CQ37">
        <f>IFERROR(SMALL(CQ14:CQ28,ROW()-ROW($CQ$31)+1),"")</f>
        <v>0</v>
      </c>
      <c r="CR37">
        <f>IFERROR(SMALL(CR14:CR28,ROW()-ROW($CR$31)+1),"")</f>
        <v>0</v>
      </c>
      <c r="CS37">
        <f>IFERROR(SMALL(CS14:CS28,ROW()-ROW($CS$31)+1),"")</f>
        <v>0</v>
      </c>
      <c r="CT37">
        <f>IFERROR(SMALL(CT14:CT28,ROW()-ROW($CT$31)+1),"")</f>
        <v>0</v>
      </c>
      <c r="CU37">
        <f>IFERROR(SMALL(CU14:CU28,ROW()-ROW($CU$31)+1),"")</f>
        <v>0</v>
      </c>
      <c r="CV37">
        <f>IFERROR(SMALL(CV14:CV28,ROW()-ROW($CV$31)+1),"")</f>
        <v>0</v>
      </c>
      <c r="CW37">
        <f>IFERROR(SMALL(CW14:CW28,ROW()-ROW($CW$31)+1),"")</f>
        <v>0</v>
      </c>
      <c r="CX37">
        <f>IFERROR(SMALL(CX14:CX28,ROW()-ROW($CX$31)+1),"")</f>
        <v>0</v>
      </c>
      <c r="CY37">
        <f>IFERROR(SMALL(CY14:CY28,ROW()-ROW($CY$31)+1),"")</f>
        <v>0</v>
      </c>
      <c r="CZ37">
        <f>IFERROR(SMALL(CZ14:CZ28,ROW()-ROW($CZ$31)+1),"")</f>
        <v>0</v>
      </c>
      <c r="DA37">
        <f>IFERROR(SMALL(DA14:DA28,ROW()-ROW($DA$31)+1),"")</f>
        <v>0</v>
      </c>
      <c r="DB37">
        <f>IFERROR(SMALL(DB14:DB28,ROW()-ROW($DB$31)+1),"")</f>
        <v>0</v>
      </c>
      <c r="DC37">
        <f>IFERROR(SMALL(DC14:DC28,ROW()-ROW($DC$31)+1),"")</f>
        <v>0</v>
      </c>
      <c r="DD37">
        <f>IFERROR(SMALL(DD14:DD28,ROW()-ROW($DD$31)+1),"")</f>
        <v>0</v>
      </c>
      <c r="DE37">
        <f>IFERROR(SMALL(DE14:DE28,ROW()-ROW($DE$31)+1),"")</f>
        <v>0</v>
      </c>
      <c r="DF37">
        <f>IFERROR(SMALL(DF14:DF28,ROW()-ROW($DF$31)+1),"")</f>
        <v>0</v>
      </c>
      <c r="DG37">
        <f>IFERROR(SMALL(DG14:DG28,ROW()-ROW($DG$31)+1),"")</f>
        <v>0</v>
      </c>
      <c r="DH37">
        <f>IFERROR(SMALL(DH14:DH28,ROW()-ROW($DH$31)+1),"")</f>
        <v>0</v>
      </c>
      <c r="DI37">
        <f>IFERROR(SMALL(DI14:DI28,ROW()-ROW($DI$31)+1),"")</f>
        <v>0</v>
      </c>
      <c r="DJ37">
        <f>IFERROR(SMALL(DJ14:DJ28,ROW()-ROW($DJ$31)+1),"")</f>
        <v>0</v>
      </c>
      <c r="DK37">
        <f>IFERROR(SMALL(DK14:DK28,ROW()-ROW($DK$31)+1),"")</f>
        <v>0</v>
      </c>
      <c r="DL37">
        <f>IFERROR(SMALL(DL14:DL28,ROW()-ROW($DL$31)+1),"")</f>
        <v>0</v>
      </c>
      <c r="DM37">
        <f>IFERROR(SMALL(DM14:DM28,ROW()-ROW($DM$31)+1),"")</f>
        <v>0</v>
      </c>
      <c r="DN37">
        <f>IFERROR(SMALL(DN14:DN28,ROW()-ROW($DN$31)+1),"")</f>
        <v>0</v>
      </c>
      <c r="DO37">
        <f>IFERROR(SMALL(DO14:DO28,ROW()-ROW($DO$31)+1),"")</f>
        <v>0</v>
      </c>
      <c r="DP37">
        <f>IFERROR(SMALL(DP14:DP28,ROW()-ROW($DP$31)+1),"")</f>
        <v>0</v>
      </c>
      <c r="DQ37">
        <f>IFERROR(SMALL(DQ14:DQ28,ROW()-ROW($DQ$31)+1),"")</f>
        <v>0</v>
      </c>
      <c r="DR37">
        <f>IFERROR(SMALL(DR14:DR28,ROW()-ROW($DR$31)+1),"")</f>
        <v>0</v>
      </c>
      <c r="DS37">
        <f>IFERROR(SMALL(DS14:DS28,ROW()-ROW($DS$31)+1),"")</f>
        <v>0</v>
      </c>
      <c r="DT37">
        <f>IFERROR(SMALL(DT14:DT28,ROW()-ROW($DT$31)+1),"")</f>
        <v>0</v>
      </c>
      <c r="DU37">
        <f>IFERROR(SMALL(DU14:DU28,ROW()-ROW($DU$31)+1),"")</f>
        <v>0</v>
      </c>
      <c r="DV37">
        <f>IFERROR(SMALL(DV14:DV28,ROW()-ROW($DV$31)+1),"")</f>
        <v>0</v>
      </c>
      <c r="DW37">
        <f>IFERROR(SMALL(DW14:DW28,ROW()-ROW($DW$31)+1),"")</f>
        <v>0</v>
      </c>
      <c r="DX37">
        <f>IFERROR(SMALL(DX14:DX28,ROW()-ROW($DX$31)+1),"")</f>
        <v>0</v>
      </c>
      <c r="DY37">
        <f>IFERROR(SMALL(DY14:DY28,ROW()-ROW($DY$31)+1),"")</f>
        <v>0</v>
      </c>
      <c r="DZ37">
        <f>IFERROR(SMALL(DZ14:DZ28,ROW()-ROW($DZ$31)+1),"")</f>
        <v>0</v>
      </c>
      <c r="EA37">
        <f>IFERROR(SMALL(EA14:EA28,ROW()-ROW($EA$31)+1),"")</f>
        <v>0</v>
      </c>
      <c r="EB37">
        <f>IFERROR(SMALL(EB14:EB28,ROW()-ROW($EB$31)+1),"")</f>
        <v>0</v>
      </c>
      <c r="EC37">
        <f>IFERROR(SMALL(EC14:EC28,ROW()-ROW($EC$31)+1),"")</f>
        <v>0</v>
      </c>
      <c r="ED37">
        <f>IFERROR(SMALL(ED14:ED28,ROW()-ROW($ED$31)+1),"")</f>
        <v>0</v>
      </c>
    </row>
    <row r="38" spans="4:134">
      <c r="E38">
        <f>IFERROR(SMALL(E14:E28,ROW()-ROW($E$31)+1),"")</f>
        <v>0</v>
      </c>
      <c r="F38">
        <f>IFERROR(SMALL(F14:F28,ROW()-ROW($F$31)+1),"")</f>
        <v>0</v>
      </c>
      <c r="G38">
        <f>IFERROR(SMALL(G14:G28,ROW()-ROW($G$31)+1),"")</f>
        <v>0</v>
      </c>
      <c r="H38">
        <f>IFERROR(SMALL(H14:H28,ROW()-ROW($H$31)+1),"")</f>
        <v>0</v>
      </c>
      <c r="I38">
        <f>IFERROR(SMALL(I14:I28,ROW()-ROW($I$31)+1),"")</f>
        <v>0</v>
      </c>
      <c r="J38">
        <f>IFERROR(SMALL(J14:J28,ROW()-ROW($J$31)+1),"")</f>
        <v>0</v>
      </c>
      <c r="K38">
        <f>IFERROR(SMALL(K14:K28,ROW()-ROW($K$31)+1),"")</f>
        <v>0</v>
      </c>
      <c r="L38">
        <f>IFERROR(SMALL(L14:L28,ROW()-ROW($L$31)+1),"")</f>
        <v>0</v>
      </c>
      <c r="M38">
        <f>IFERROR(SMALL(M14:M28,ROW()-ROW($M$31)+1),"")</f>
        <v>0</v>
      </c>
      <c r="N38">
        <f>IFERROR(SMALL(N14:N28,ROW()-ROW($N$31)+1),"")</f>
        <v>0</v>
      </c>
      <c r="O38">
        <f>IFERROR(SMALL(O14:O28,ROW()-ROW($O$31)+1),"")</f>
        <v>0</v>
      </c>
      <c r="P38">
        <f>IFERROR(SMALL(P14:P28,ROW()-ROW($P$31)+1),"")</f>
        <v>0</v>
      </c>
      <c r="Q38">
        <f>IFERROR(SMALL(Q14:Q28,ROW()-ROW($Q$31)+1),"")</f>
        <v>0</v>
      </c>
      <c r="R38">
        <f>IFERROR(SMALL(R14:R28,ROW()-ROW($R$31)+1),"")</f>
        <v>0</v>
      </c>
      <c r="S38">
        <f>IFERROR(SMALL(S14:S28,ROW()-ROW($S$31)+1),"")</f>
        <v>0</v>
      </c>
      <c r="T38">
        <f>IFERROR(SMALL(T14:T28,ROW()-ROW($T$31)+1),"")</f>
        <v>0</v>
      </c>
      <c r="U38">
        <f>IFERROR(SMALL(U14:U28,ROW()-ROW($U$31)+1),"")</f>
        <v>0</v>
      </c>
      <c r="V38">
        <f>IFERROR(SMALL(V14:V28,ROW()-ROW($V$31)+1),"")</f>
        <v>0</v>
      </c>
      <c r="W38">
        <f>IFERROR(SMALL(W14:W28,ROW()-ROW($W$31)+1),"")</f>
        <v>0</v>
      </c>
      <c r="X38">
        <f>IFERROR(SMALL(X14:X28,ROW()-ROW($X$31)+1),"")</f>
        <v>0</v>
      </c>
      <c r="Y38">
        <f>IFERROR(SMALL(Y14:Y28,ROW()-ROW($Y$31)+1),"")</f>
        <v>0</v>
      </c>
      <c r="Z38">
        <f>IFERROR(SMALL(Z14:Z28,ROW()-ROW($Z$31)+1),"")</f>
        <v>0</v>
      </c>
      <c r="AA38">
        <f>IFERROR(SMALL(AA14:AA28,ROW()-ROW($AA$31)+1),"")</f>
        <v>0</v>
      </c>
      <c r="AB38">
        <f>IFERROR(SMALL(AB14:AB28,ROW()-ROW($AB$31)+1),"")</f>
        <v>0</v>
      </c>
      <c r="AC38">
        <f>IFERROR(SMALL(AC14:AC28,ROW()-ROW($AC$31)+1),"")</f>
        <v>0</v>
      </c>
      <c r="AD38">
        <f>IFERROR(SMALL(AD14:AD28,ROW()-ROW($AD$31)+1),"")</f>
        <v>0</v>
      </c>
      <c r="AE38">
        <f>IFERROR(SMALL(AE14:AE28,ROW()-ROW($AE$31)+1),"")</f>
        <v>0</v>
      </c>
      <c r="AF38">
        <f>IFERROR(SMALL(AF14:AF28,ROW()-ROW($AF$31)+1),"")</f>
        <v>0</v>
      </c>
      <c r="AG38">
        <f>IFERROR(SMALL(AG14:AG28,ROW()-ROW($AG$31)+1),"")</f>
        <v>0</v>
      </c>
      <c r="AH38">
        <f>IFERROR(SMALL(AH14:AH28,ROW()-ROW($AH$31)+1),"")</f>
        <v>0</v>
      </c>
      <c r="AI38">
        <f>IFERROR(SMALL(AI14:AI28,ROW()-ROW($AI$31)+1),"")</f>
        <v>0</v>
      </c>
      <c r="AJ38">
        <f>IFERROR(SMALL(AJ14:AJ28,ROW()-ROW($AJ$31)+1),"")</f>
        <v>0</v>
      </c>
      <c r="AK38">
        <f>IFERROR(SMALL(AK14:AK28,ROW()-ROW($AK$31)+1),"")</f>
        <v>0</v>
      </c>
      <c r="AL38">
        <f>IFERROR(SMALL(AL14:AL28,ROW()-ROW($AL$31)+1),"")</f>
        <v>0</v>
      </c>
      <c r="AM38">
        <f>IFERROR(SMALL(AM14:AM28,ROW()-ROW($AM$31)+1),"")</f>
        <v>0</v>
      </c>
      <c r="AN38">
        <f>IFERROR(SMALL(AN14:AN28,ROW()-ROW($AN$31)+1),"")</f>
        <v>0</v>
      </c>
      <c r="AO38">
        <f>IFERROR(SMALL(AO14:AO28,ROW()-ROW($AO$31)+1),"")</f>
        <v>0</v>
      </c>
      <c r="AP38">
        <f>IFERROR(SMALL(AP14:AP28,ROW()-ROW($AP$31)+1),"")</f>
        <v>0</v>
      </c>
      <c r="AQ38">
        <f>IFERROR(SMALL(AQ14:AQ28,ROW()-ROW($AQ$31)+1),"")</f>
        <v>0</v>
      </c>
      <c r="AR38">
        <f>IFERROR(SMALL(AR14:AR28,ROW()-ROW($AR$31)+1),"")</f>
        <v>0</v>
      </c>
      <c r="AS38">
        <f>IFERROR(SMALL(AS14:AS28,ROW()-ROW($AS$31)+1),"")</f>
        <v>0</v>
      </c>
      <c r="AT38">
        <f>IFERROR(SMALL(AT14:AT28,ROW()-ROW($AT$31)+1),"")</f>
        <v>0</v>
      </c>
      <c r="AU38">
        <f>IFERROR(SMALL(AU14:AU28,ROW()-ROW($AU$31)+1),"")</f>
        <v>0</v>
      </c>
      <c r="AV38">
        <f>IFERROR(SMALL(AV14:AV28,ROW()-ROW($AV$31)+1),"")</f>
        <v>0</v>
      </c>
      <c r="AW38">
        <f>IFERROR(SMALL(AW14:AW28,ROW()-ROW($AW$31)+1),"")</f>
        <v>0</v>
      </c>
      <c r="AX38">
        <f>IFERROR(SMALL(AX14:AX28,ROW()-ROW($AX$31)+1),"")</f>
        <v>0</v>
      </c>
      <c r="AY38">
        <f>IFERROR(SMALL(AY14:AY28,ROW()-ROW($AY$31)+1),"")</f>
        <v>0</v>
      </c>
      <c r="AZ38">
        <f>IFERROR(SMALL(AZ14:AZ28,ROW()-ROW($AZ$31)+1),"")</f>
        <v>0</v>
      </c>
      <c r="BA38">
        <f>IFERROR(SMALL(BA14:BA28,ROW()-ROW($BA$31)+1),"")</f>
        <v>0</v>
      </c>
      <c r="BB38">
        <f>IFERROR(SMALL(BB14:BB28,ROW()-ROW($BB$31)+1),"")</f>
        <v>0</v>
      </c>
      <c r="BC38">
        <f>IFERROR(SMALL(BC14:BC28,ROW()-ROW($BC$31)+1),"")</f>
        <v>0</v>
      </c>
      <c r="BD38">
        <f>IFERROR(SMALL(BD14:BD28,ROW()-ROW($BD$31)+1),"")</f>
        <v>0</v>
      </c>
      <c r="BE38">
        <f>IFERROR(SMALL(BE14:BE28,ROW()-ROW($BE$31)+1),"")</f>
        <v>0</v>
      </c>
      <c r="BF38">
        <f>IFERROR(SMALL(BF14:BF28,ROW()-ROW($BF$31)+1),"")</f>
        <v>0</v>
      </c>
      <c r="BG38">
        <f>IFERROR(SMALL(BG14:BG28,ROW()-ROW($BG$31)+1),"")</f>
        <v>0</v>
      </c>
      <c r="BH38">
        <f>IFERROR(SMALL(BH14:BH28,ROW()-ROW($BH$31)+1),"")</f>
        <v>0</v>
      </c>
      <c r="BI38">
        <f>IFERROR(SMALL(BI14:BI28,ROW()-ROW($BI$31)+1),"")</f>
        <v>0</v>
      </c>
      <c r="BJ38">
        <f>IFERROR(SMALL(BJ14:BJ28,ROW()-ROW($BJ$31)+1),"")</f>
        <v>0</v>
      </c>
      <c r="BK38">
        <f>IFERROR(SMALL(BK14:BK28,ROW()-ROW($BK$31)+1),"")</f>
        <v>0</v>
      </c>
      <c r="BL38">
        <f>IFERROR(SMALL(BL14:BL28,ROW()-ROW($BL$31)+1),"")</f>
        <v>0</v>
      </c>
      <c r="BM38">
        <f>IFERROR(SMALL(BM14:BM28,ROW()-ROW($BM$31)+1),"")</f>
        <v>0</v>
      </c>
      <c r="BN38">
        <f>IFERROR(SMALL(BN14:BN28,ROW()-ROW($BN$31)+1),"")</f>
        <v>0</v>
      </c>
      <c r="BO38">
        <f>IFERROR(SMALL(BO14:BO28,ROW()-ROW($BO$31)+1),"")</f>
        <v>0</v>
      </c>
      <c r="BP38">
        <f>IFERROR(SMALL(BP14:BP28,ROW()-ROW($BP$31)+1),"")</f>
        <v>0</v>
      </c>
      <c r="BS38">
        <f>IFERROR(SMALL(BS14:BS28,ROW()-ROW($BS$31)+1),"")</f>
        <v>0</v>
      </c>
      <c r="BT38">
        <f>IFERROR(SMALL(BT14:BT28,ROW()-ROW($BT$31)+1),"")</f>
        <v>0</v>
      </c>
      <c r="BU38">
        <f>IFERROR(SMALL(BU14:BU28,ROW()-ROW($BU$31)+1),"")</f>
        <v>0</v>
      </c>
      <c r="BV38">
        <f>IFERROR(SMALL(BV14:BV28,ROW()-ROW($BV$31)+1),"")</f>
        <v>0</v>
      </c>
      <c r="BW38">
        <f>IFERROR(SMALL(BW14:BW28,ROW()-ROW($BW$31)+1),"")</f>
        <v>0</v>
      </c>
      <c r="BX38">
        <f>IFERROR(SMALL(BX14:BX28,ROW()-ROW($BX$31)+1),"")</f>
        <v>0</v>
      </c>
      <c r="BY38">
        <f>IFERROR(SMALL(BY14:BY28,ROW()-ROW($BY$31)+1),"")</f>
        <v>0</v>
      </c>
      <c r="BZ38">
        <f>IFERROR(SMALL(BZ14:BZ28,ROW()-ROW($BZ$31)+1),"")</f>
        <v>0</v>
      </c>
      <c r="CA38">
        <f>IFERROR(SMALL(CA14:CA28,ROW()-ROW($CA$31)+1),"")</f>
        <v>0</v>
      </c>
      <c r="CB38">
        <f>IFERROR(SMALL(CB14:CB28,ROW()-ROW($CB$31)+1),"")</f>
        <v>0</v>
      </c>
      <c r="CC38">
        <f>IFERROR(SMALL(CC14:CC28,ROW()-ROW($CC$31)+1),"")</f>
        <v>0</v>
      </c>
      <c r="CD38">
        <f>IFERROR(SMALL(CD14:CD28,ROW()-ROW($CD$31)+1),"")</f>
        <v>0</v>
      </c>
      <c r="CE38">
        <f>IFERROR(SMALL(CE14:CE28,ROW()-ROW($CE$31)+1),"")</f>
        <v>0</v>
      </c>
      <c r="CF38">
        <f>IFERROR(SMALL(CF14:CF28,ROW()-ROW($CF$31)+1),"")</f>
        <v>0</v>
      </c>
      <c r="CG38">
        <f>IFERROR(SMALL(CG14:CG28,ROW()-ROW($CG$31)+1),"")</f>
        <v>0</v>
      </c>
      <c r="CH38">
        <f>IFERROR(SMALL(CH14:CH28,ROW()-ROW($CH$31)+1),"")</f>
        <v>0</v>
      </c>
      <c r="CI38">
        <f>IFERROR(SMALL(CI14:CI28,ROW()-ROW($CI$31)+1),"")</f>
        <v>0</v>
      </c>
      <c r="CJ38">
        <f>IFERROR(SMALL(CJ14:CJ28,ROW()-ROW($CJ$31)+1),"")</f>
        <v>0</v>
      </c>
      <c r="CK38">
        <f>IFERROR(SMALL(CK14:CK28,ROW()-ROW($CK$31)+1),"")</f>
        <v>0</v>
      </c>
      <c r="CL38">
        <f>IFERROR(SMALL(CL14:CL28,ROW()-ROW($CL$31)+1),"")</f>
        <v>0</v>
      </c>
      <c r="CM38">
        <f>IFERROR(SMALL(CM14:CM28,ROW()-ROW($CM$31)+1),"")</f>
        <v>0</v>
      </c>
      <c r="CN38">
        <f>IFERROR(SMALL(CN14:CN28,ROW()-ROW($CN$31)+1),"")</f>
        <v>0</v>
      </c>
      <c r="CO38">
        <f>IFERROR(SMALL(CO14:CO28,ROW()-ROW($CO$31)+1),"")</f>
        <v>0</v>
      </c>
      <c r="CP38">
        <f>IFERROR(SMALL(CP14:CP28,ROW()-ROW($CP$31)+1),"")</f>
        <v>0</v>
      </c>
      <c r="CQ38">
        <f>IFERROR(SMALL(CQ14:CQ28,ROW()-ROW($CQ$31)+1),"")</f>
        <v>0</v>
      </c>
      <c r="CR38">
        <f>IFERROR(SMALL(CR14:CR28,ROW()-ROW($CR$31)+1),"")</f>
        <v>0</v>
      </c>
      <c r="CS38">
        <f>IFERROR(SMALL(CS14:CS28,ROW()-ROW($CS$31)+1),"")</f>
        <v>0</v>
      </c>
      <c r="CT38">
        <f>IFERROR(SMALL(CT14:CT28,ROW()-ROW($CT$31)+1),"")</f>
        <v>0</v>
      </c>
      <c r="CU38">
        <f>IFERROR(SMALL(CU14:CU28,ROW()-ROW($CU$31)+1),"")</f>
        <v>0</v>
      </c>
      <c r="CV38">
        <f>IFERROR(SMALL(CV14:CV28,ROW()-ROW($CV$31)+1),"")</f>
        <v>0</v>
      </c>
      <c r="CW38">
        <f>IFERROR(SMALL(CW14:CW28,ROW()-ROW($CW$31)+1),"")</f>
        <v>0</v>
      </c>
      <c r="CX38">
        <f>IFERROR(SMALL(CX14:CX28,ROW()-ROW($CX$31)+1),"")</f>
        <v>0</v>
      </c>
      <c r="CY38">
        <f>IFERROR(SMALL(CY14:CY28,ROW()-ROW($CY$31)+1),"")</f>
        <v>0</v>
      </c>
      <c r="CZ38">
        <f>IFERROR(SMALL(CZ14:CZ28,ROW()-ROW($CZ$31)+1),"")</f>
        <v>0</v>
      </c>
      <c r="DA38">
        <f>IFERROR(SMALL(DA14:DA28,ROW()-ROW($DA$31)+1),"")</f>
        <v>0</v>
      </c>
      <c r="DB38">
        <f>IFERROR(SMALL(DB14:DB28,ROW()-ROW($DB$31)+1),"")</f>
        <v>0</v>
      </c>
      <c r="DC38">
        <f>IFERROR(SMALL(DC14:DC28,ROW()-ROW($DC$31)+1),"")</f>
        <v>0</v>
      </c>
      <c r="DD38">
        <f>IFERROR(SMALL(DD14:DD28,ROW()-ROW($DD$31)+1),"")</f>
        <v>0</v>
      </c>
      <c r="DE38">
        <f>IFERROR(SMALL(DE14:DE28,ROW()-ROW($DE$31)+1),"")</f>
        <v>0</v>
      </c>
      <c r="DF38">
        <f>IFERROR(SMALL(DF14:DF28,ROW()-ROW($DF$31)+1),"")</f>
        <v>0</v>
      </c>
      <c r="DG38">
        <f>IFERROR(SMALL(DG14:DG28,ROW()-ROW($DG$31)+1),"")</f>
        <v>0</v>
      </c>
      <c r="DH38">
        <f>IFERROR(SMALL(DH14:DH28,ROW()-ROW($DH$31)+1),"")</f>
        <v>0</v>
      </c>
      <c r="DI38">
        <f>IFERROR(SMALL(DI14:DI28,ROW()-ROW($DI$31)+1),"")</f>
        <v>0</v>
      </c>
      <c r="DJ38">
        <f>IFERROR(SMALL(DJ14:DJ28,ROW()-ROW($DJ$31)+1),"")</f>
        <v>0</v>
      </c>
      <c r="DK38">
        <f>IFERROR(SMALL(DK14:DK28,ROW()-ROW($DK$31)+1),"")</f>
        <v>0</v>
      </c>
      <c r="DL38">
        <f>IFERROR(SMALL(DL14:DL28,ROW()-ROW($DL$31)+1),"")</f>
        <v>0</v>
      </c>
      <c r="DM38">
        <f>IFERROR(SMALL(DM14:DM28,ROW()-ROW($DM$31)+1),"")</f>
        <v>0</v>
      </c>
      <c r="DN38">
        <f>IFERROR(SMALL(DN14:DN28,ROW()-ROW($DN$31)+1),"")</f>
        <v>0</v>
      </c>
      <c r="DO38">
        <f>IFERROR(SMALL(DO14:DO28,ROW()-ROW($DO$31)+1),"")</f>
        <v>0</v>
      </c>
      <c r="DP38">
        <f>IFERROR(SMALL(DP14:DP28,ROW()-ROW($DP$31)+1),"")</f>
        <v>0</v>
      </c>
      <c r="DQ38">
        <f>IFERROR(SMALL(DQ14:DQ28,ROW()-ROW($DQ$31)+1),"")</f>
        <v>0</v>
      </c>
      <c r="DR38">
        <f>IFERROR(SMALL(DR14:DR28,ROW()-ROW($DR$31)+1),"")</f>
        <v>0</v>
      </c>
      <c r="DS38">
        <f>IFERROR(SMALL(DS14:DS28,ROW()-ROW($DS$31)+1),"")</f>
        <v>0</v>
      </c>
      <c r="DT38">
        <f>IFERROR(SMALL(DT14:DT28,ROW()-ROW($DT$31)+1),"")</f>
        <v>0</v>
      </c>
      <c r="DU38">
        <f>IFERROR(SMALL(DU14:DU28,ROW()-ROW($DU$31)+1),"")</f>
        <v>0</v>
      </c>
      <c r="DV38">
        <f>IFERROR(SMALL(DV14:DV28,ROW()-ROW($DV$31)+1),"")</f>
        <v>0</v>
      </c>
      <c r="DW38">
        <f>IFERROR(SMALL(DW14:DW28,ROW()-ROW($DW$31)+1),"")</f>
        <v>0</v>
      </c>
      <c r="DX38">
        <f>IFERROR(SMALL(DX14:DX28,ROW()-ROW($DX$31)+1),"")</f>
        <v>0</v>
      </c>
      <c r="DY38">
        <f>IFERROR(SMALL(DY14:DY28,ROW()-ROW($DY$31)+1),"")</f>
        <v>0</v>
      </c>
      <c r="DZ38">
        <f>IFERROR(SMALL(DZ14:DZ28,ROW()-ROW($DZ$31)+1),"")</f>
        <v>0</v>
      </c>
      <c r="EA38">
        <f>IFERROR(SMALL(EA14:EA28,ROW()-ROW($EA$31)+1),"")</f>
        <v>0</v>
      </c>
      <c r="EB38">
        <f>IFERROR(SMALL(EB14:EB28,ROW()-ROW($EB$31)+1),"")</f>
        <v>0</v>
      </c>
      <c r="EC38">
        <f>IFERROR(SMALL(EC14:EC28,ROW()-ROW($EC$31)+1),"")</f>
        <v>0</v>
      </c>
      <c r="ED38">
        <f>IFERROR(SMALL(ED14:ED28,ROW()-ROW($ED$31)+1),"")</f>
        <v>0</v>
      </c>
    </row>
    <row r="39" spans="4:134">
      <c r="E39">
        <f>IFERROR(SMALL(E14:E28,ROW()-ROW($E$31)+1),"")</f>
        <v>0</v>
      </c>
      <c r="F39">
        <f>IFERROR(SMALL(F14:F28,ROW()-ROW($F$31)+1),"")</f>
        <v>0</v>
      </c>
      <c r="G39">
        <f>IFERROR(SMALL(G14:G28,ROW()-ROW($G$31)+1),"")</f>
        <v>0</v>
      </c>
      <c r="H39">
        <f>IFERROR(SMALL(H14:H28,ROW()-ROW($H$31)+1),"")</f>
        <v>0</v>
      </c>
      <c r="I39">
        <f>IFERROR(SMALL(I14:I28,ROW()-ROW($I$31)+1),"")</f>
        <v>0</v>
      </c>
      <c r="J39">
        <f>IFERROR(SMALL(J14:J28,ROW()-ROW($J$31)+1),"")</f>
        <v>0</v>
      </c>
      <c r="K39">
        <f>IFERROR(SMALL(K14:K28,ROW()-ROW($K$31)+1),"")</f>
        <v>0</v>
      </c>
      <c r="L39">
        <f>IFERROR(SMALL(L14:L28,ROW()-ROW($L$31)+1),"")</f>
        <v>0</v>
      </c>
      <c r="M39">
        <f>IFERROR(SMALL(M14:M28,ROW()-ROW($M$31)+1),"")</f>
        <v>0</v>
      </c>
      <c r="N39">
        <f>IFERROR(SMALL(N14:N28,ROW()-ROW($N$31)+1),"")</f>
        <v>0</v>
      </c>
      <c r="O39">
        <f>IFERROR(SMALL(O14:O28,ROW()-ROW($O$31)+1),"")</f>
        <v>0</v>
      </c>
      <c r="P39">
        <f>IFERROR(SMALL(P14:P28,ROW()-ROW($P$31)+1),"")</f>
        <v>0</v>
      </c>
      <c r="Q39">
        <f>IFERROR(SMALL(Q14:Q28,ROW()-ROW($Q$31)+1),"")</f>
        <v>0</v>
      </c>
      <c r="R39">
        <f>IFERROR(SMALL(R14:R28,ROW()-ROW($R$31)+1),"")</f>
        <v>0</v>
      </c>
      <c r="S39">
        <f>IFERROR(SMALL(S14:S28,ROW()-ROW($S$31)+1),"")</f>
        <v>0</v>
      </c>
      <c r="T39">
        <f>IFERROR(SMALL(T14:T28,ROW()-ROW($T$31)+1),"")</f>
        <v>0</v>
      </c>
      <c r="U39">
        <f>IFERROR(SMALL(U14:U28,ROW()-ROW($U$31)+1),"")</f>
        <v>0</v>
      </c>
      <c r="V39">
        <f>IFERROR(SMALL(V14:V28,ROW()-ROW($V$31)+1),"")</f>
        <v>0</v>
      </c>
      <c r="W39">
        <f>IFERROR(SMALL(W14:W28,ROW()-ROW($W$31)+1),"")</f>
        <v>0</v>
      </c>
      <c r="X39">
        <f>IFERROR(SMALL(X14:X28,ROW()-ROW($X$31)+1),"")</f>
        <v>0</v>
      </c>
      <c r="Y39">
        <f>IFERROR(SMALL(Y14:Y28,ROW()-ROW($Y$31)+1),"")</f>
        <v>0</v>
      </c>
      <c r="Z39">
        <f>IFERROR(SMALL(Z14:Z28,ROW()-ROW($Z$31)+1),"")</f>
        <v>0</v>
      </c>
      <c r="AA39">
        <f>IFERROR(SMALL(AA14:AA28,ROW()-ROW($AA$31)+1),"")</f>
        <v>0</v>
      </c>
      <c r="AB39">
        <f>IFERROR(SMALL(AB14:AB28,ROW()-ROW($AB$31)+1),"")</f>
        <v>0</v>
      </c>
      <c r="AC39">
        <f>IFERROR(SMALL(AC14:AC28,ROW()-ROW($AC$31)+1),"")</f>
        <v>0</v>
      </c>
      <c r="AD39">
        <f>IFERROR(SMALL(AD14:AD28,ROW()-ROW($AD$31)+1),"")</f>
        <v>0</v>
      </c>
      <c r="AE39">
        <f>IFERROR(SMALL(AE14:AE28,ROW()-ROW($AE$31)+1),"")</f>
        <v>0</v>
      </c>
      <c r="AF39">
        <f>IFERROR(SMALL(AF14:AF28,ROW()-ROW($AF$31)+1),"")</f>
        <v>0</v>
      </c>
      <c r="AG39">
        <f>IFERROR(SMALL(AG14:AG28,ROW()-ROW($AG$31)+1),"")</f>
        <v>0</v>
      </c>
      <c r="AH39">
        <f>IFERROR(SMALL(AH14:AH28,ROW()-ROW($AH$31)+1),"")</f>
        <v>0</v>
      </c>
      <c r="AI39">
        <f>IFERROR(SMALL(AI14:AI28,ROW()-ROW($AI$31)+1),"")</f>
        <v>0</v>
      </c>
      <c r="AJ39">
        <f>IFERROR(SMALL(AJ14:AJ28,ROW()-ROW($AJ$31)+1),"")</f>
        <v>0</v>
      </c>
      <c r="AK39">
        <f>IFERROR(SMALL(AK14:AK28,ROW()-ROW($AK$31)+1),"")</f>
        <v>0</v>
      </c>
      <c r="AL39">
        <f>IFERROR(SMALL(AL14:AL28,ROW()-ROW($AL$31)+1),"")</f>
        <v>0</v>
      </c>
      <c r="AM39">
        <f>IFERROR(SMALL(AM14:AM28,ROW()-ROW($AM$31)+1),"")</f>
        <v>0</v>
      </c>
      <c r="AN39">
        <f>IFERROR(SMALL(AN14:AN28,ROW()-ROW($AN$31)+1),"")</f>
        <v>0</v>
      </c>
      <c r="AO39">
        <f>IFERROR(SMALL(AO14:AO28,ROW()-ROW($AO$31)+1),"")</f>
        <v>0</v>
      </c>
      <c r="AP39">
        <f>IFERROR(SMALL(AP14:AP28,ROW()-ROW($AP$31)+1),"")</f>
        <v>0</v>
      </c>
      <c r="AQ39">
        <f>IFERROR(SMALL(AQ14:AQ28,ROW()-ROW($AQ$31)+1),"")</f>
        <v>0</v>
      </c>
      <c r="AR39">
        <f>IFERROR(SMALL(AR14:AR28,ROW()-ROW($AR$31)+1),"")</f>
        <v>0</v>
      </c>
      <c r="AS39">
        <f>IFERROR(SMALL(AS14:AS28,ROW()-ROW($AS$31)+1),"")</f>
        <v>0</v>
      </c>
      <c r="AT39">
        <f>IFERROR(SMALL(AT14:AT28,ROW()-ROW($AT$31)+1),"")</f>
        <v>0</v>
      </c>
      <c r="AU39">
        <f>IFERROR(SMALL(AU14:AU28,ROW()-ROW($AU$31)+1),"")</f>
        <v>0</v>
      </c>
      <c r="AV39">
        <f>IFERROR(SMALL(AV14:AV28,ROW()-ROW($AV$31)+1),"")</f>
        <v>0</v>
      </c>
      <c r="AW39">
        <f>IFERROR(SMALL(AW14:AW28,ROW()-ROW($AW$31)+1),"")</f>
        <v>0</v>
      </c>
      <c r="AX39">
        <f>IFERROR(SMALL(AX14:AX28,ROW()-ROW($AX$31)+1),"")</f>
        <v>0</v>
      </c>
      <c r="AY39">
        <f>IFERROR(SMALL(AY14:AY28,ROW()-ROW($AY$31)+1),"")</f>
        <v>0</v>
      </c>
      <c r="AZ39">
        <f>IFERROR(SMALL(AZ14:AZ28,ROW()-ROW($AZ$31)+1),"")</f>
        <v>0</v>
      </c>
      <c r="BA39">
        <f>IFERROR(SMALL(BA14:BA28,ROW()-ROW($BA$31)+1),"")</f>
        <v>0</v>
      </c>
      <c r="BB39">
        <f>IFERROR(SMALL(BB14:BB28,ROW()-ROW($BB$31)+1),"")</f>
        <v>0</v>
      </c>
      <c r="BC39">
        <f>IFERROR(SMALL(BC14:BC28,ROW()-ROW($BC$31)+1),"")</f>
        <v>0</v>
      </c>
      <c r="BD39">
        <f>IFERROR(SMALL(BD14:BD28,ROW()-ROW($BD$31)+1),"")</f>
        <v>0</v>
      </c>
      <c r="BE39">
        <f>IFERROR(SMALL(BE14:BE28,ROW()-ROW($BE$31)+1),"")</f>
        <v>0</v>
      </c>
      <c r="BF39">
        <f>IFERROR(SMALL(BF14:BF28,ROW()-ROW($BF$31)+1),"")</f>
        <v>0</v>
      </c>
      <c r="BG39">
        <f>IFERROR(SMALL(BG14:BG28,ROW()-ROW($BG$31)+1),"")</f>
        <v>0</v>
      </c>
      <c r="BH39">
        <f>IFERROR(SMALL(BH14:BH28,ROW()-ROW($BH$31)+1),"")</f>
        <v>0</v>
      </c>
      <c r="BI39">
        <f>IFERROR(SMALL(BI14:BI28,ROW()-ROW($BI$31)+1),"")</f>
        <v>0</v>
      </c>
      <c r="BJ39">
        <f>IFERROR(SMALL(BJ14:BJ28,ROW()-ROW($BJ$31)+1),"")</f>
        <v>0</v>
      </c>
      <c r="BK39">
        <f>IFERROR(SMALL(BK14:BK28,ROW()-ROW($BK$31)+1),"")</f>
        <v>0</v>
      </c>
      <c r="BL39">
        <f>IFERROR(SMALL(BL14:BL28,ROW()-ROW($BL$31)+1),"")</f>
        <v>0</v>
      </c>
      <c r="BM39">
        <f>IFERROR(SMALL(BM14:BM28,ROW()-ROW($BM$31)+1),"")</f>
        <v>0</v>
      </c>
      <c r="BN39">
        <f>IFERROR(SMALL(BN14:BN28,ROW()-ROW($BN$31)+1),"")</f>
        <v>0</v>
      </c>
      <c r="BO39">
        <f>IFERROR(SMALL(BO14:BO28,ROW()-ROW($BO$31)+1),"")</f>
        <v>0</v>
      </c>
      <c r="BP39">
        <f>IFERROR(SMALL(BP14:BP28,ROW()-ROW($BP$31)+1),"")</f>
        <v>0</v>
      </c>
      <c r="BS39">
        <f>IFERROR(SMALL(BS14:BS28,ROW()-ROW($BS$31)+1),"")</f>
        <v>0</v>
      </c>
      <c r="BT39">
        <f>IFERROR(SMALL(BT14:BT28,ROW()-ROW($BT$31)+1),"")</f>
        <v>0</v>
      </c>
      <c r="BU39">
        <f>IFERROR(SMALL(BU14:BU28,ROW()-ROW($BU$31)+1),"")</f>
        <v>0</v>
      </c>
      <c r="BV39">
        <f>IFERROR(SMALL(BV14:BV28,ROW()-ROW($BV$31)+1),"")</f>
        <v>0</v>
      </c>
      <c r="BW39">
        <f>IFERROR(SMALL(BW14:BW28,ROW()-ROW($BW$31)+1),"")</f>
        <v>0</v>
      </c>
      <c r="BX39">
        <f>IFERROR(SMALL(BX14:BX28,ROW()-ROW($BX$31)+1),"")</f>
        <v>0</v>
      </c>
      <c r="BY39">
        <f>IFERROR(SMALL(BY14:BY28,ROW()-ROW($BY$31)+1),"")</f>
        <v>0</v>
      </c>
      <c r="BZ39">
        <f>IFERROR(SMALL(BZ14:BZ28,ROW()-ROW($BZ$31)+1),"")</f>
        <v>0</v>
      </c>
      <c r="CA39">
        <f>IFERROR(SMALL(CA14:CA28,ROW()-ROW($CA$31)+1),"")</f>
        <v>0</v>
      </c>
      <c r="CB39">
        <f>IFERROR(SMALL(CB14:CB28,ROW()-ROW($CB$31)+1),"")</f>
        <v>0</v>
      </c>
      <c r="CC39">
        <f>IFERROR(SMALL(CC14:CC28,ROW()-ROW($CC$31)+1),"")</f>
        <v>0</v>
      </c>
      <c r="CD39">
        <f>IFERROR(SMALL(CD14:CD28,ROW()-ROW($CD$31)+1),"")</f>
        <v>0</v>
      </c>
      <c r="CE39">
        <f>IFERROR(SMALL(CE14:CE28,ROW()-ROW($CE$31)+1),"")</f>
        <v>0</v>
      </c>
      <c r="CF39">
        <f>IFERROR(SMALL(CF14:CF28,ROW()-ROW($CF$31)+1),"")</f>
        <v>0</v>
      </c>
      <c r="CG39">
        <f>IFERROR(SMALL(CG14:CG28,ROW()-ROW($CG$31)+1),"")</f>
        <v>0</v>
      </c>
      <c r="CH39">
        <f>IFERROR(SMALL(CH14:CH28,ROW()-ROW($CH$31)+1),"")</f>
        <v>0</v>
      </c>
      <c r="CI39">
        <f>IFERROR(SMALL(CI14:CI28,ROW()-ROW($CI$31)+1),"")</f>
        <v>0</v>
      </c>
      <c r="CJ39">
        <f>IFERROR(SMALL(CJ14:CJ28,ROW()-ROW($CJ$31)+1),"")</f>
        <v>0</v>
      </c>
      <c r="CK39">
        <f>IFERROR(SMALL(CK14:CK28,ROW()-ROW($CK$31)+1),"")</f>
        <v>0</v>
      </c>
      <c r="CL39">
        <f>IFERROR(SMALL(CL14:CL28,ROW()-ROW($CL$31)+1),"")</f>
        <v>0</v>
      </c>
      <c r="CM39">
        <f>IFERROR(SMALL(CM14:CM28,ROW()-ROW($CM$31)+1),"")</f>
        <v>0</v>
      </c>
      <c r="CN39">
        <f>IFERROR(SMALL(CN14:CN28,ROW()-ROW($CN$31)+1),"")</f>
        <v>0</v>
      </c>
      <c r="CO39">
        <f>IFERROR(SMALL(CO14:CO28,ROW()-ROW($CO$31)+1),"")</f>
        <v>0</v>
      </c>
      <c r="CP39">
        <f>IFERROR(SMALL(CP14:CP28,ROW()-ROW($CP$31)+1),"")</f>
        <v>0</v>
      </c>
      <c r="CQ39">
        <f>IFERROR(SMALL(CQ14:CQ28,ROW()-ROW($CQ$31)+1),"")</f>
        <v>0</v>
      </c>
      <c r="CR39">
        <f>IFERROR(SMALL(CR14:CR28,ROW()-ROW($CR$31)+1),"")</f>
        <v>0</v>
      </c>
      <c r="CS39">
        <f>IFERROR(SMALL(CS14:CS28,ROW()-ROW($CS$31)+1),"")</f>
        <v>0</v>
      </c>
      <c r="CT39">
        <f>IFERROR(SMALL(CT14:CT28,ROW()-ROW($CT$31)+1),"")</f>
        <v>0</v>
      </c>
      <c r="CU39">
        <f>IFERROR(SMALL(CU14:CU28,ROW()-ROW($CU$31)+1),"")</f>
        <v>0</v>
      </c>
      <c r="CV39">
        <f>IFERROR(SMALL(CV14:CV28,ROW()-ROW($CV$31)+1),"")</f>
        <v>0</v>
      </c>
      <c r="CW39">
        <f>IFERROR(SMALL(CW14:CW28,ROW()-ROW($CW$31)+1),"")</f>
        <v>0</v>
      </c>
      <c r="CX39">
        <f>IFERROR(SMALL(CX14:CX28,ROW()-ROW($CX$31)+1),"")</f>
        <v>0</v>
      </c>
      <c r="CY39">
        <f>IFERROR(SMALL(CY14:CY28,ROW()-ROW($CY$31)+1),"")</f>
        <v>0</v>
      </c>
      <c r="CZ39">
        <f>IFERROR(SMALL(CZ14:CZ28,ROW()-ROW($CZ$31)+1),"")</f>
        <v>0</v>
      </c>
      <c r="DA39">
        <f>IFERROR(SMALL(DA14:DA28,ROW()-ROW($DA$31)+1),"")</f>
        <v>0</v>
      </c>
      <c r="DB39">
        <f>IFERROR(SMALL(DB14:DB28,ROW()-ROW($DB$31)+1),"")</f>
        <v>0</v>
      </c>
      <c r="DC39">
        <f>IFERROR(SMALL(DC14:DC28,ROW()-ROW($DC$31)+1),"")</f>
        <v>0</v>
      </c>
      <c r="DD39">
        <f>IFERROR(SMALL(DD14:DD28,ROW()-ROW($DD$31)+1),"")</f>
        <v>0</v>
      </c>
      <c r="DE39">
        <f>IFERROR(SMALL(DE14:DE28,ROW()-ROW($DE$31)+1),"")</f>
        <v>0</v>
      </c>
      <c r="DF39">
        <f>IFERROR(SMALL(DF14:DF28,ROW()-ROW($DF$31)+1),"")</f>
        <v>0</v>
      </c>
      <c r="DG39">
        <f>IFERROR(SMALL(DG14:DG28,ROW()-ROW($DG$31)+1),"")</f>
        <v>0</v>
      </c>
      <c r="DH39">
        <f>IFERROR(SMALL(DH14:DH28,ROW()-ROW($DH$31)+1),"")</f>
        <v>0</v>
      </c>
      <c r="DI39">
        <f>IFERROR(SMALL(DI14:DI28,ROW()-ROW($DI$31)+1),"")</f>
        <v>0</v>
      </c>
      <c r="DJ39">
        <f>IFERROR(SMALL(DJ14:DJ28,ROW()-ROW($DJ$31)+1),"")</f>
        <v>0</v>
      </c>
      <c r="DK39">
        <f>IFERROR(SMALL(DK14:DK28,ROW()-ROW($DK$31)+1),"")</f>
        <v>0</v>
      </c>
      <c r="DL39">
        <f>IFERROR(SMALL(DL14:DL28,ROW()-ROW($DL$31)+1),"")</f>
        <v>0</v>
      </c>
      <c r="DM39">
        <f>IFERROR(SMALL(DM14:DM28,ROW()-ROW($DM$31)+1),"")</f>
        <v>0</v>
      </c>
      <c r="DN39">
        <f>IFERROR(SMALL(DN14:DN28,ROW()-ROW($DN$31)+1),"")</f>
        <v>0</v>
      </c>
      <c r="DO39">
        <f>IFERROR(SMALL(DO14:DO28,ROW()-ROW($DO$31)+1),"")</f>
        <v>0</v>
      </c>
      <c r="DP39">
        <f>IFERROR(SMALL(DP14:DP28,ROW()-ROW($DP$31)+1),"")</f>
        <v>0</v>
      </c>
      <c r="DQ39">
        <f>IFERROR(SMALL(DQ14:DQ28,ROW()-ROW($DQ$31)+1),"")</f>
        <v>0</v>
      </c>
      <c r="DR39">
        <f>IFERROR(SMALL(DR14:DR28,ROW()-ROW($DR$31)+1),"")</f>
        <v>0</v>
      </c>
      <c r="DS39">
        <f>IFERROR(SMALL(DS14:DS28,ROW()-ROW($DS$31)+1),"")</f>
        <v>0</v>
      </c>
      <c r="DT39">
        <f>IFERROR(SMALL(DT14:DT28,ROW()-ROW($DT$31)+1),"")</f>
        <v>0</v>
      </c>
      <c r="DU39">
        <f>IFERROR(SMALL(DU14:DU28,ROW()-ROW($DU$31)+1),"")</f>
        <v>0</v>
      </c>
      <c r="DV39">
        <f>IFERROR(SMALL(DV14:DV28,ROW()-ROW($DV$31)+1),"")</f>
        <v>0</v>
      </c>
      <c r="DW39">
        <f>IFERROR(SMALL(DW14:DW28,ROW()-ROW($DW$31)+1),"")</f>
        <v>0</v>
      </c>
      <c r="DX39">
        <f>IFERROR(SMALL(DX14:DX28,ROW()-ROW($DX$31)+1),"")</f>
        <v>0</v>
      </c>
      <c r="DY39">
        <f>IFERROR(SMALL(DY14:DY28,ROW()-ROW($DY$31)+1),"")</f>
        <v>0</v>
      </c>
      <c r="DZ39">
        <f>IFERROR(SMALL(DZ14:DZ28,ROW()-ROW($DZ$31)+1),"")</f>
        <v>0</v>
      </c>
      <c r="EA39">
        <f>IFERROR(SMALL(EA14:EA28,ROW()-ROW($EA$31)+1),"")</f>
        <v>0</v>
      </c>
      <c r="EB39">
        <f>IFERROR(SMALL(EB14:EB28,ROW()-ROW($EB$31)+1),"")</f>
        <v>0</v>
      </c>
      <c r="EC39">
        <f>IFERROR(SMALL(EC14:EC28,ROW()-ROW($EC$31)+1),"")</f>
        <v>0</v>
      </c>
      <c r="ED39">
        <f>IFERROR(SMALL(ED14:ED28,ROW()-ROW($ED$31)+1),"")</f>
        <v>0</v>
      </c>
    </row>
    <row r="40" spans="4:134">
      <c r="E40">
        <f>IFERROR(SMALL(E14:E28,ROW()-ROW($E$31)+1),"")</f>
        <v>0</v>
      </c>
      <c r="F40">
        <f>IFERROR(SMALL(F14:F28,ROW()-ROW($F$31)+1),"")</f>
        <v>0</v>
      </c>
      <c r="G40">
        <f>IFERROR(SMALL(G14:G28,ROW()-ROW($G$31)+1),"")</f>
        <v>0</v>
      </c>
      <c r="H40">
        <f>IFERROR(SMALL(H14:H28,ROW()-ROW($H$31)+1),"")</f>
        <v>0</v>
      </c>
      <c r="I40">
        <f>IFERROR(SMALL(I14:I28,ROW()-ROW($I$31)+1),"")</f>
        <v>0</v>
      </c>
      <c r="J40">
        <f>IFERROR(SMALL(J14:J28,ROW()-ROW($J$31)+1),"")</f>
        <v>0</v>
      </c>
      <c r="K40">
        <f>IFERROR(SMALL(K14:K28,ROW()-ROW($K$31)+1),"")</f>
        <v>0</v>
      </c>
      <c r="L40">
        <f>IFERROR(SMALL(L14:L28,ROW()-ROW($L$31)+1),"")</f>
        <v>0</v>
      </c>
      <c r="M40">
        <f>IFERROR(SMALL(M14:M28,ROW()-ROW($M$31)+1),"")</f>
        <v>0</v>
      </c>
      <c r="N40">
        <f>IFERROR(SMALL(N14:N28,ROW()-ROW($N$31)+1),"")</f>
        <v>0</v>
      </c>
      <c r="O40">
        <f>IFERROR(SMALL(O14:O28,ROW()-ROW($O$31)+1),"")</f>
        <v>0</v>
      </c>
      <c r="P40">
        <f>IFERROR(SMALL(P14:P28,ROW()-ROW($P$31)+1),"")</f>
        <v>0</v>
      </c>
      <c r="Q40">
        <f>IFERROR(SMALL(Q14:Q28,ROW()-ROW($Q$31)+1),"")</f>
        <v>0</v>
      </c>
      <c r="R40">
        <f>IFERROR(SMALL(R14:R28,ROW()-ROW($R$31)+1),"")</f>
        <v>0</v>
      </c>
      <c r="S40">
        <f>IFERROR(SMALL(S14:S28,ROW()-ROW($S$31)+1),"")</f>
        <v>0</v>
      </c>
      <c r="T40">
        <f>IFERROR(SMALL(T14:T28,ROW()-ROW($T$31)+1),"")</f>
        <v>0</v>
      </c>
      <c r="U40">
        <f>IFERROR(SMALL(U14:U28,ROW()-ROW($U$31)+1),"")</f>
        <v>0</v>
      </c>
      <c r="V40">
        <f>IFERROR(SMALL(V14:V28,ROW()-ROW($V$31)+1),"")</f>
        <v>0</v>
      </c>
      <c r="W40">
        <f>IFERROR(SMALL(W14:W28,ROW()-ROW($W$31)+1),"")</f>
        <v>0</v>
      </c>
      <c r="X40">
        <f>IFERROR(SMALL(X14:X28,ROW()-ROW($X$31)+1),"")</f>
        <v>0</v>
      </c>
      <c r="Y40">
        <f>IFERROR(SMALL(Y14:Y28,ROW()-ROW($Y$31)+1),"")</f>
        <v>0</v>
      </c>
      <c r="Z40">
        <f>IFERROR(SMALL(Z14:Z28,ROW()-ROW($Z$31)+1),"")</f>
        <v>0</v>
      </c>
      <c r="AA40">
        <f>IFERROR(SMALL(AA14:AA28,ROW()-ROW($AA$31)+1),"")</f>
        <v>0</v>
      </c>
      <c r="AB40">
        <f>IFERROR(SMALL(AB14:AB28,ROW()-ROW($AB$31)+1),"")</f>
        <v>0</v>
      </c>
      <c r="AC40">
        <f>IFERROR(SMALL(AC14:AC28,ROW()-ROW($AC$31)+1),"")</f>
        <v>0</v>
      </c>
      <c r="AD40">
        <f>IFERROR(SMALL(AD14:AD28,ROW()-ROW($AD$31)+1),"")</f>
        <v>0</v>
      </c>
      <c r="AE40">
        <f>IFERROR(SMALL(AE14:AE28,ROW()-ROW($AE$31)+1),"")</f>
        <v>0</v>
      </c>
      <c r="AF40">
        <f>IFERROR(SMALL(AF14:AF28,ROW()-ROW($AF$31)+1),"")</f>
        <v>0</v>
      </c>
      <c r="AG40">
        <f>IFERROR(SMALL(AG14:AG28,ROW()-ROW($AG$31)+1),"")</f>
        <v>0</v>
      </c>
      <c r="AH40">
        <f>IFERROR(SMALL(AH14:AH28,ROW()-ROW($AH$31)+1),"")</f>
        <v>0</v>
      </c>
      <c r="AI40">
        <f>IFERROR(SMALL(AI14:AI28,ROW()-ROW($AI$31)+1),"")</f>
        <v>0</v>
      </c>
      <c r="AJ40">
        <f>IFERROR(SMALL(AJ14:AJ28,ROW()-ROW($AJ$31)+1),"")</f>
        <v>0</v>
      </c>
      <c r="AK40">
        <f>IFERROR(SMALL(AK14:AK28,ROW()-ROW($AK$31)+1),"")</f>
        <v>0</v>
      </c>
      <c r="AL40">
        <f>IFERROR(SMALL(AL14:AL28,ROW()-ROW($AL$31)+1),"")</f>
        <v>0</v>
      </c>
      <c r="AM40">
        <f>IFERROR(SMALL(AM14:AM28,ROW()-ROW($AM$31)+1),"")</f>
        <v>0</v>
      </c>
      <c r="AN40">
        <f>IFERROR(SMALL(AN14:AN28,ROW()-ROW($AN$31)+1),"")</f>
        <v>0</v>
      </c>
      <c r="AO40">
        <f>IFERROR(SMALL(AO14:AO28,ROW()-ROW($AO$31)+1),"")</f>
        <v>0</v>
      </c>
      <c r="AP40">
        <f>IFERROR(SMALL(AP14:AP28,ROW()-ROW($AP$31)+1),"")</f>
        <v>0</v>
      </c>
      <c r="AQ40">
        <f>IFERROR(SMALL(AQ14:AQ28,ROW()-ROW($AQ$31)+1),"")</f>
        <v>0</v>
      </c>
      <c r="AR40">
        <f>IFERROR(SMALL(AR14:AR28,ROW()-ROW($AR$31)+1),"")</f>
        <v>0</v>
      </c>
      <c r="AS40">
        <f>IFERROR(SMALL(AS14:AS28,ROW()-ROW($AS$31)+1),"")</f>
        <v>0</v>
      </c>
      <c r="AT40">
        <f>IFERROR(SMALL(AT14:AT28,ROW()-ROW($AT$31)+1),"")</f>
        <v>0</v>
      </c>
      <c r="AU40">
        <f>IFERROR(SMALL(AU14:AU28,ROW()-ROW($AU$31)+1),"")</f>
        <v>0</v>
      </c>
      <c r="AV40">
        <f>IFERROR(SMALL(AV14:AV28,ROW()-ROW($AV$31)+1),"")</f>
        <v>0</v>
      </c>
      <c r="AW40">
        <f>IFERROR(SMALL(AW14:AW28,ROW()-ROW($AW$31)+1),"")</f>
        <v>0</v>
      </c>
      <c r="AX40">
        <f>IFERROR(SMALL(AX14:AX28,ROW()-ROW($AX$31)+1),"")</f>
        <v>0</v>
      </c>
      <c r="AY40">
        <f>IFERROR(SMALL(AY14:AY28,ROW()-ROW($AY$31)+1),"")</f>
        <v>0</v>
      </c>
      <c r="AZ40">
        <f>IFERROR(SMALL(AZ14:AZ28,ROW()-ROW($AZ$31)+1),"")</f>
        <v>0</v>
      </c>
      <c r="BA40">
        <f>IFERROR(SMALL(BA14:BA28,ROW()-ROW($BA$31)+1),"")</f>
        <v>0</v>
      </c>
      <c r="BB40">
        <f>IFERROR(SMALL(BB14:BB28,ROW()-ROW($BB$31)+1),"")</f>
        <v>0</v>
      </c>
      <c r="BC40">
        <f>IFERROR(SMALL(BC14:BC28,ROW()-ROW($BC$31)+1),"")</f>
        <v>0</v>
      </c>
      <c r="BD40">
        <f>IFERROR(SMALL(BD14:BD28,ROW()-ROW($BD$31)+1),"")</f>
        <v>0</v>
      </c>
      <c r="BE40">
        <f>IFERROR(SMALL(BE14:BE28,ROW()-ROW($BE$31)+1),"")</f>
        <v>0</v>
      </c>
      <c r="BF40">
        <f>IFERROR(SMALL(BF14:BF28,ROW()-ROW($BF$31)+1),"")</f>
        <v>0</v>
      </c>
      <c r="BG40">
        <f>IFERROR(SMALL(BG14:BG28,ROW()-ROW($BG$31)+1),"")</f>
        <v>0</v>
      </c>
      <c r="BH40">
        <f>IFERROR(SMALL(BH14:BH28,ROW()-ROW($BH$31)+1),"")</f>
        <v>0</v>
      </c>
      <c r="BI40">
        <f>IFERROR(SMALL(BI14:BI28,ROW()-ROW($BI$31)+1),"")</f>
        <v>0</v>
      </c>
      <c r="BJ40">
        <f>IFERROR(SMALL(BJ14:BJ28,ROW()-ROW($BJ$31)+1),"")</f>
        <v>0</v>
      </c>
      <c r="BK40">
        <f>IFERROR(SMALL(BK14:BK28,ROW()-ROW($BK$31)+1),"")</f>
        <v>0</v>
      </c>
      <c r="BL40">
        <f>IFERROR(SMALL(BL14:BL28,ROW()-ROW($BL$31)+1),"")</f>
        <v>0</v>
      </c>
      <c r="BM40">
        <f>IFERROR(SMALL(BM14:BM28,ROW()-ROW($BM$31)+1),"")</f>
        <v>0</v>
      </c>
      <c r="BN40">
        <f>IFERROR(SMALL(BN14:BN28,ROW()-ROW($BN$31)+1),"")</f>
        <v>0</v>
      </c>
      <c r="BO40">
        <f>IFERROR(SMALL(BO14:BO28,ROW()-ROW($BO$31)+1),"")</f>
        <v>0</v>
      </c>
      <c r="BP40">
        <f>IFERROR(SMALL(BP14:BP28,ROW()-ROW($BP$31)+1),"")</f>
        <v>0</v>
      </c>
      <c r="BS40">
        <f>IFERROR(SMALL(BS14:BS28,ROW()-ROW($BS$31)+1),"")</f>
        <v>0</v>
      </c>
      <c r="BT40">
        <f>IFERROR(SMALL(BT14:BT28,ROW()-ROW($BT$31)+1),"")</f>
        <v>0</v>
      </c>
      <c r="BU40">
        <f>IFERROR(SMALL(BU14:BU28,ROW()-ROW($BU$31)+1),"")</f>
        <v>0</v>
      </c>
      <c r="BV40">
        <f>IFERROR(SMALL(BV14:BV28,ROW()-ROW($BV$31)+1),"")</f>
        <v>0</v>
      </c>
      <c r="BW40">
        <f>IFERROR(SMALL(BW14:BW28,ROW()-ROW($BW$31)+1),"")</f>
        <v>0</v>
      </c>
      <c r="BX40">
        <f>IFERROR(SMALL(BX14:BX28,ROW()-ROW($BX$31)+1),"")</f>
        <v>0</v>
      </c>
      <c r="BY40">
        <f>IFERROR(SMALL(BY14:BY28,ROW()-ROW($BY$31)+1),"")</f>
        <v>0</v>
      </c>
      <c r="BZ40">
        <f>IFERROR(SMALL(BZ14:BZ28,ROW()-ROW($BZ$31)+1),"")</f>
        <v>0</v>
      </c>
      <c r="CA40">
        <f>IFERROR(SMALL(CA14:CA28,ROW()-ROW($CA$31)+1),"")</f>
        <v>0</v>
      </c>
      <c r="CB40">
        <f>IFERROR(SMALL(CB14:CB28,ROW()-ROW($CB$31)+1),"")</f>
        <v>0</v>
      </c>
      <c r="CC40">
        <f>IFERROR(SMALL(CC14:CC28,ROW()-ROW($CC$31)+1),"")</f>
        <v>0</v>
      </c>
      <c r="CD40">
        <f>IFERROR(SMALL(CD14:CD28,ROW()-ROW($CD$31)+1),"")</f>
        <v>0</v>
      </c>
      <c r="CE40">
        <f>IFERROR(SMALL(CE14:CE28,ROW()-ROW($CE$31)+1),"")</f>
        <v>0</v>
      </c>
      <c r="CF40">
        <f>IFERROR(SMALL(CF14:CF28,ROW()-ROW($CF$31)+1),"")</f>
        <v>0</v>
      </c>
      <c r="CG40">
        <f>IFERROR(SMALL(CG14:CG28,ROW()-ROW($CG$31)+1),"")</f>
        <v>0</v>
      </c>
      <c r="CH40">
        <f>IFERROR(SMALL(CH14:CH28,ROW()-ROW($CH$31)+1),"")</f>
        <v>0</v>
      </c>
      <c r="CI40">
        <f>IFERROR(SMALL(CI14:CI28,ROW()-ROW($CI$31)+1),"")</f>
        <v>0</v>
      </c>
      <c r="CJ40">
        <f>IFERROR(SMALL(CJ14:CJ28,ROW()-ROW($CJ$31)+1),"")</f>
        <v>0</v>
      </c>
      <c r="CK40">
        <f>IFERROR(SMALL(CK14:CK28,ROW()-ROW($CK$31)+1),"")</f>
        <v>0</v>
      </c>
      <c r="CL40">
        <f>IFERROR(SMALL(CL14:CL28,ROW()-ROW($CL$31)+1),"")</f>
        <v>0</v>
      </c>
      <c r="CM40">
        <f>IFERROR(SMALL(CM14:CM28,ROW()-ROW($CM$31)+1),"")</f>
        <v>0</v>
      </c>
      <c r="CN40">
        <f>IFERROR(SMALL(CN14:CN28,ROW()-ROW($CN$31)+1),"")</f>
        <v>0</v>
      </c>
      <c r="CO40">
        <f>IFERROR(SMALL(CO14:CO28,ROW()-ROW($CO$31)+1),"")</f>
        <v>0</v>
      </c>
      <c r="CP40">
        <f>IFERROR(SMALL(CP14:CP28,ROW()-ROW($CP$31)+1),"")</f>
        <v>0</v>
      </c>
      <c r="CQ40">
        <f>IFERROR(SMALL(CQ14:CQ28,ROW()-ROW($CQ$31)+1),"")</f>
        <v>0</v>
      </c>
      <c r="CR40">
        <f>IFERROR(SMALL(CR14:CR28,ROW()-ROW($CR$31)+1),"")</f>
        <v>0</v>
      </c>
      <c r="CS40">
        <f>IFERROR(SMALL(CS14:CS28,ROW()-ROW($CS$31)+1),"")</f>
        <v>0</v>
      </c>
      <c r="CT40">
        <f>IFERROR(SMALL(CT14:CT28,ROW()-ROW($CT$31)+1),"")</f>
        <v>0</v>
      </c>
      <c r="CU40">
        <f>IFERROR(SMALL(CU14:CU28,ROW()-ROW($CU$31)+1),"")</f>
        <v>0</v>
      </c>
      <c r="CV40">
        <f>IFERROR(SMALL(CV14:CV28,ROW()-ROW($CV$31)+1),"")</f>
        <v>0</v>
      </c>
      <c r="CW40">
        <f>IFERROR(SMALL(CW14:CW28,ROW()-ROW($CW$31)+1),"")</f>
        <v>0</v>
      </c>
      <c r="CX40">
        <f>IFERROR(SMALL(CX14:CX28,ROW()-ROW($CX$31)+1),"")</f>
        <v>0</v>
      </c>
      <c r="CY40">
        <f>IFERROR(SMALL(CY14:CY28,ROW()-ROW($CY$31)+1),"")</f>
        <v>0</v>
      </c>
      <c r="CZ40">
        <f>IFERROR(SMALL(CZ14:CZ28,ROW()-ROW($CZ$31)+1),"")</f>
        <v>0</v>
      </c>
      <c r="DA40">
        <f>IFERROR(SMALL(DA14:DA28,ROW()-ROW($DA$31)+1),"")</f>
        <v>0</v>
      </c>
      <c r="DB40">
        <f>IFERROR(SMALL(DB14:DB28,ROW()-ROW($DB$31)+1),"")</f>
        <v>0</v>
      </c>
      <c r="DC40">
        <f>IFERROR(SMALL(DC14:DC28,ROW()-ROW($DC$31)+1),"")</f>
        <v>0</v>
      </c>
      <c r="DD40">
        <f>IFERROR(SMALL(DD14:DD28,ROW()-ROW($DD$31)+1),"")</f>
        <v>0</v>
      </c>
      <c r="DE40">
        <f>IFERROR(SMALL(DE14:DE28,ROW()-ROW($DE$31)+1),"")</f>
        <v>0</v>
      </c>
      <c r="DF40">
        <f>IFERROR(SMALL(DF14:DF28,ROW()-ROW($DF$31)+1),"")</f>
        <v>0</v>
      </c>
      <c r="DG40">
        <f>IFERROR(SMALL(DG14:DG28,ROW()-ROW($DG$31)+1),"")</f>
        <v>0</v>
      </c>
      <c r="DH40">
        <f>IFERROR(SMALL(DH14:DH28,ROW()-ROW($DH$31)+1),"")</f>
        <v>0</v>
      </c>
      <c r="DI40">
        <f>IFERROR(SMALL(DI14:DI28,ROW()-ROW($DI$31)+1),"")</f>
        <v>0</v>
      </c>
      <c r="DJ40">
        <f>IFERROR(SMALL(DJ14:DJ28,ROW()-ROW($DJ$31)+1),"")</f>
        <v>0</v>
      </c>
      <c r="DK40">
        <f>IFERROR(SMALL(DK14:DK28,ROW()-ROW($DK$31)+1),"")</f>
        <v>0</v>
      </c>
      <c r="DL40">
        <f>IFERROR(SMALL(DL14:DL28,ROW()-ROW($DL$31)+1),"")</f>
        <v>0</v>
      </c>
      <c r="DM40">
        <f>IFERROR(SMALL(DM14:DM28,ROW()-ROW($DM$31)+1),"")</f>
        <v>0</v>
      </c>
      <c r="DN40">
        <f>IFERROR(SMALL(DN14:DN28,ROW()-ROW($DN$31)+1),"")</f>
        <v>0</v>
      </c>
      <c r="DO40">
        <f>IFERROR(SMALL(DO14:DO28,ROW()-ROW($DO$31)+1),"")</f>
        <v>0</v>
      </c>
      <c r="DP40">
        <f>IFERROR(SMALL(DP14:DP28,ROW()-ROW($DP$31)+1),"")</f>
        <v>0</v>
      </c>
      <c r="DQ40">
        <f>IFERROR(SMALL(DQ14:DQ28,ROW()-ROW($DQ$31)+1),"")</f>
        <v>0</v>
      </c>
      <c r="DR40">
        <f>IFERROR(SMALL(DR14:DR28,ROW()-ROW($DR$31)+1),"")</f>
        <v>0</v>
      </c>
      <c r="DS40">
        <f>IFERROR(SMALL(DS14:DS28,ROW()-ROW($DS$31)+1),"")</f>
        <v>0</v>
      </c>
      <c r="DT40">
        <f>IFERROR(SMALL(DT14:DT28,ROW()-ROW($DT$31)+1),"")</f>
        <v>0</v>
      </c>
      <c r="DU40">
        <f>IFERROR(SMALL(DU14:DU28,ROW()-ROW($DU$31)+1),"")</f>
        <v>0</v>
      </c>
      <c r="DV40">
        <f>IFERROR(SMALL(DV14:DV28,ROW()-ROW($DV$31)+1),"")</f>
        <v>0</v>
      </c>
      <c r="DW40">
        <f>IFERROR(SMALL(DW14:DW28,ROW()-ROW($DW$31)+1),"")</f>
        <v>0</v>
      </c>
      <c r="DX40">
        <f>IFERROR(SMALL(DX14:DX28,ROW()-ROW($DX$31)+1),"")</f>
        <v>0</v>
      </c>
      <c r="DY40">
        <f>IFERROR(SMALL(DY14:DY28,ROW()-ROW($DY$31)+1),"")</f>
        <v>0</v>
      </c>
      <c r="DZ40">
        <f>IFERROR(SMALL(DZ14:DZ28,ROW()-ROW($DZ$31)+1),"")</f>
        <v>0</v>
      </c>
      <c r="EA40">
        <f>IFERROR(SMALL(EA14:EA28,ROW()-ROW($EA$31)+1),"")</f>
        <v>0</v>
      </c>
      <c r="EB40">
        <f>IFERROR(SMALL(EB14:EB28,ROW()-ROW($EB$31)+1),"")</f>
        <v>0</v>
      </c>
      <c r="EC40">
        <f>IFERROR(SMALL(EC14:EC28,ROW()-ROW($EC$31)+1),"")</f>
        <v>0</v>
      </c>
      <c r="ED40">
        <f>IFERROR(SMALL(ED14:ED28,ROW()-ROW($ED$31)+1),"")</f>
        <v>0</v>
      </c>
    </row>
    <row r="41" spans="4:134">
      <c r="E41">
        <f>IFERROR(SMALL(E14:E28,ROW()-ROW($E$31)+1),"")</f>
        <v>0</v>
      </c>
      <c r="F41">
        <f>IFERROR(SMALL(F14:F28,ROW()-ROW($F$31)+1),"")</f>
        <v>0</v>
      </c>
      <c r="G41">
        <f>IFERROR(SMALL(G14:G28,ROW()-ROW($G$31)+1),"")</f>
        <v>0</v>
      </c>
      <c r="H41">
        <f>IFERROR(SMALL(H14:H28,ROW()-ROW($H$31)+1),"")</f>
        <v>0</v>
      </c>
      <c r="I41">
        <f>IFERROR(SMALL(I14:I28,ROW()-ROW($I$31)+1),"")</f>
        <v>0</v>
      </c>
      <c r="J41">
        <f>IFERROR(SMALL(J14:J28,ROW()-ROW($J$31)+1),"")</f>
        <v>0</v>
      </c>
      <c r="K41">
        <f>IFERROR(SMALL(K14:K28,ROW()-ROW($K$31)+1),"")</f>
        <v>0</v>
      </c>
      <c r="L41">
        <f>IFERROR(SMALL(L14:L28,ROW()-ROW($L$31)+1),"")</f>
        <v>0</v>
      </c>
      <c r="M41">
        <f>IFERROR(SMALL(M14:M28,ROW()-ROW($M$31)+1),"")</f>
        <v>0</v>
      </c>
      <c r="N41">
        <f>IFERROR(SMALL(N14:N28,ROW()-ROW($N$31)+1),"")</f>
        <v>0</v>
      </c>
      <c r="O41">
        <f>IFERROR(SMALL(O14:O28,ROW()-ROW($O$31)+1),"")</f>
        <v>0</v>
      </c>
      <c r="P41">
        <f>IFERROR(SMALL(P14:P28,ROW()-ROW($P$31)+1),"")</f>
        <v>0</v>
      </c>
      <c r="Q41">
        <f>IFERROR(SMALL(Q14:Q28,ROW()-ROW($Q$31)+1),"")</f>
        <v>0</v>
      </c>
      <c r="R41">
        <f>IFERROR(SMALL(R14:R28,ROW()-ROW($R$31)+1),"")</f>
        <v>0</v>
      </c>
      <c r="S41">
        <f>IFERROR(SMALL(S14:S28,ROW()-ROW($S$31)+1),"")</f>
        <v>0</v>
      </c>
      <c r="T41">
        <f>IFERROR(SMALL(T14:T28,ROW()-ROW($T$31)+1),"")</f>
        <v>0</v>
      </c>
      <c r="U41">
        <f>IFERROR(SMALL(U14:U28,ROW()-ROW($U$31)+1),"")</f>
        <v>0</v>
      </c>
      <c r="V41">
        <f>IFERROR(SMALL(V14:V28,ROW()-ROW($V$31)+1),"")</f>
        <v>0</v>
      </c>
      <c r="W41">
        <f>IFERROR(SMALL(W14:W28,ROW()-ROW($W$31)+1),"")</f>
        <v>0</v>
      </c>
      <c r="X41">
        <f>IFERROR(SMALL(X14:X28,ROW()-ROW($X$31)+1),"")</f>
        <v>0</v>
      </c>
      <c r="Y41">
        <f>IFERROR(SMALL(Y14:Y28,ROW()-ROW($Y$31)+1),"")</f>
        <v>0</v>
      </c>
      <c r="Z41">
        <f>IFERROR(SMALL(Z14:Z28,ROW()-ROW($Z$31)+1),"")</f>
        <v>0</v>
      </c>
      <c r="AA41">
        <f>IFERROR(SMALL(AA14:AA28,ROW()-ROW($AA$31)+1),"")</f>
        <v>0</v>
      </c>
      <c r="AB41">
        <f>IFERROR(SMALL(AB14:AB28,ROW()-ROW($AB$31)+1),"")</f>
        <v>0</v>
      </c>
      <c r="AC41">
        <f>IFERROR(SMALL(AC14:AC28,ROW()-ROW($AC$31)+1),"")</f>
        <v>0</v>
      </c>
      <c r="AD41">
        <f>IFERROR(SMALL(AD14:AD28,ROW()-ROW($AD$31)+1),"")</f>
        <v>0</v>
      </c>
      <c r="AE41">
        <f>IFERROR(SMALL(AE14:AE28,ROW()-ROW($AE$31)+1),"")</f>
        <v>0</v>
      </c>
      <c r="AF41">
        <f>IFERROR(SMALL(AF14:AF28,ROW()-ROW($AF$31)+1),"")</f>
        <v>0</v>
      </c>
      <c r="AG41">
        <f>IFERROR(SMALL(AG14:AG28,ROW()-ROW($AG$31)+1),"")</f>
        <v>0</v>
      </c>
      <c r="AH41">
        <f>IFERROR(SMALL(AH14:AH28,ROW()-ROW($AH$31)+1),"")</f>
        <v>0</v>
      </c>
      <c r="AI41">
        <f>IFERROR(SMALL(AI14:AI28,ROW()-ROW($AI$31)+1),"")</f>
        <v>0</v>
      </c>
      <c r="AJ41">
        <f>IFERROR(SMALL(AJ14:AJ28,ROW()-ROW($AJ$31)+1),"")</f>
        <v>0</v>
      </c>
      <c r="AK41">
        <f>IFERROR(SMALL(AK14:AK28,ROW()-ROW($AK$31)+1),"")</f>
        <v>0</v>
      </c>
      <c r="AL41">
        <f>IFERROR(SMALL(AL14:AL28,ROW()-ROW($AL$31)+1),"")</f>
        <v>0</v>
      </c>
      <c r="AM41">
        <f>IFERROR(SMALL(AM14:AM28,ROW()-ROW($AM$31)+1),"")</f>
        <v>0</v>
      </c>
      <c r="AN41">
        <f>IFERROR(SMALL(AN14:AN28,ROW()-ROW($AN$31)+1),"")</f>
        <v>0</v>
      </c>
      <c r="AO41">
        <f>IFERROR(SMALL(AO14:AO28,ROW()-ROW($AO$31)+1),"")</f>
        <v>0</v>
      </c>
      <c r="AP41">
        <f>IFERROR(SMALL(AP14:AP28,ROW()-ROW($AP$31)+1),"")</f>
        <v>0</v>
      </c>
      <c r="AQ41">
        <f>IFERROR(SMALL(AQ14:AQ28,ROW()-ROW($AQ$31)+1),"")</f>
        <v>0</v>
      </c>
      <c r="AR41">
        <f>IFERROR(SMALL(AR14:AR28,ROW()-ROW($AR$31)+1),"")</f>
        <v>0</v>
      </c>
      <c r="AS41">
        <f>IFERROR(SMALL(AS14:AS28,ROW()-ROW($AS$31)+1),"")</f>
        <v>0</v>
      </c>
      <c r="AT41">
        <f>IFERROR(SMALL(AT14:AT28,ROW()-ROW($AT$31)+1),"")</f>
        <v>0</v>
      </c>
      <c r="AU41">
        <f>IFERROR(SMALL(AU14:AU28,ROW()-ROW($AU$31)+1),"")</f>
        <v>0</v>
      </c>
      <c r="AV41">
        <f>IFERROR(SMALL(AV14:AV28,ROW()-ROW($AV$31)+1),"")</f>
        <v>0</v>
      </c>
      <c r="AW41">
        <f>IFERROR(SMALL(AW14:AW28,ROW()-ROW($AW$31)+1),"")</f>
        <v>0</v>
      </c>
      <c r="AX41">
        <f>IFERROR(SMALL(AX14:AX28,ROW()-ROW($AX$31)+1),"")</f>
        <v>0</v>
      </c>
      <c r="AY41">
        <f>IFERROR(SMALL(AY14:AY28,ROW()-ROW($AY$31)+1),"")</f>
        <v>0</v>
      </c>
      <c r="AZ41">
        <f>IFERROR(SMALL(AZ14:AZ28,ROW()-ROW($AZ$31)+1),"")</f>
        <v>0</v>
      </c>
      <c r="BA41">
        <f>IFERROR(SMALL(BA14:BA28,ROW()-ROW($BA$31)+1),"")</f>
        <v>0</v>
      </c>
      <c r="BB41">
        <f>IFERROR(SMALL(BB14:BB28,ROW()-ROW($BB$31)+1),"")</f>
        <v>0</v>
      </c>
      <c r="BC41">
        <f>IFERROR(SMALL(BC14:BC28,ROW()-ROW($BC$31)+1),"")</f>
        <v>0</v>
      </c>
      <c r="BD41">
        <f>IFERROR(SMALL(BD14:BD28,ROW()-ROW($BD$31)+1),"")</f>
        <v>0</v>
      </c>
      <c r="BE41">
        <f>IFERROR(SMALL(BE14:BE28,ROW()-ROW($BE$31)+1),"")</f>
        <v>0</v>
      </c>
      <c r="BF41">
        <f>IFERROR(SMALL(BF14:BF28,ROW()-ROW($BF$31)+1),"")</f>
        <v>0</v>
      </c>
      <c r="BG41">
        <f>IFERROR(SMALL(BG14:BG28,ROW()-ROW($BG$31)+1),"")</f>
        <v>0</v>
      </c>
      <c r="BH41">
        <f>IFERROR(SMALL(BH14:BH28,ROW()-ROW($BH$31)+1),"")</f>
        <v>0</v>
      </c>
      <c r="BI41">
        <f>IFERROR(SMALL(BI14:BI28,ROW()-ROW($BI$31)+1),"")</f>
        <v>0</v>
      </c>
      <c r="BJ41">
        <f>IFERROR(SMALL(BJ14:BJ28,ROW()-ROW($BJ$31)+1),"")</f>
        <v>0</v>
      </c>
      <c r="BK41">
        <f>IFERROR(SMALL(BK14:BK28,ROW()-ROW($BK$31)+1),"")</f>
        <v>0</v>
      </c>
      <c r="BL41">
        <f>IFERROR(SMALL(BL14:BL28,ROW()-ROW($BL$31)+1),"")</f>
        <v>0</v>
      </c>
      <c r="BM41">
        <f>IFERROR(SMALL(BM14:BM28,ROW()-ROW($BM$31)+1),"")</f>
        <v>0</v>
      </c>
      <c r="BN41">
        <f>IFERROR(SMALL(BN14:BN28,ROW()-ROW($BN$31)+1),"")</f>
        <v>0</v>
      </c>
      <c r="BO41">
        <f>IFERROR(SMALL(BO14:BO28,ROW()-ROW($BO$31)+1),"")</f>
        <v>0</v>
      </c>
      <c r="BP41">
        <f>IFERROR(SMALL(BP14:BP28,ROW()-ROW($BP$31)+1),"")</f>
        <v>0</v>
      </c>
      <c r="BS41">
        <f>IFERROR(SMALL(BS14:BS28,ROW()-ROW($BS$31)+1),"")</f>
        <v>0</v>
      </c>
      <c r="BT41">
        <f>IFERROR(SMALL(BT14:BT28,ROW()-ROW($BT$31)+1),"")</f>
        <v>0</v>
      </c>
      <c r="BU41">
        <f>IFERROR(SMALL(BU14:BU28,ROW()-ROW($BU$31)+1),"")</f>
        <v>0</v>
      </c>
      <c r="BV41">
        <f>IFERROR(SMALL(BV14:BV28,ROW()-ROW($BV$31)+1),"")</f>
        <v>0</v>
      </c>
      <c r="BW41">
        <f>IFERROR(SMALL(BW14:BW28,ROW()-ROW($BW$31)+1),"")</f>
        <v>0</v>
      </c>
      <c r="BX41">
        <f>IFERROR(SMALL(BX14:BX28,ROW()-ROW($BX$31)+1),"")</f>
        <v>0</v>
      </c>
      <c r="BY41">
        <f>IFERROR(SMALL(BY14:BY28,ROW()-ROW($BY$31)+1),"")</f>
        <v>0</v>
      </c>
      <c r="BZ41">
        <f>IFERROR(SMALL(BZ14:BZ28,ROW()-ROW($BZ$31)+1),"")</f>
        <v>0</v>
      </c>
      <c r="CA41">
        <f>IFERROR(SMALL(CA14:CA28,ROW()-ROW($CA$31)+1),"")</f>
        <v>0</v>
      </c>
      <c r="CB41">
        <f>IFERROR(SMALL(CB14:CB28,ROW()-ROW($CB$31)+1),"")</f>
        <v>0</v>
      </c>
      <c r="CC41">
        <f>IFERROR(SMALL(CC14:CC28,ROW()-ROW($CC$31)+1),"")</f>
        <v>0</v>
      </c>
      <c r="CD41">
        <f>IFERROR(SMALL(CD14:CD28,ROW()-ROW($CD$31)+1),"")</f>
        <v>0</v>
      </c>
      <c r="CE41">
        <f>IFERROR(SMALL(CE14:CE28,ROW()-ROW($CE$31)+1),"")</f>
        <v>0</v>
      </c>
      <c r="CF41">
        <f>IFERROR(SMALL(CF14:CF28,ROW()-ROW($CF$31)+1),"")</f>
        <v>0</v>
      </c>
      <c r="CG41">
        <f>IFERROR(SMALL(CG14:CG28,ROW()-ROW($CG$31)+1),"")</f>
        <v>0</v>
      </c>
      <c r="CH41">
        <f>IFERROR(SMALL(CH14:CH28,ROW()-ROW($CH$31)+1),"")</f>
        <v>0</v>
      </c>
      <c r="CI41">
        <f>IFERROR(SMALL(CI14:CI28,ROW()-ROW($CI$31)+1),"")</f>
        <v>0</v>
      </c>
      <c r="CJ41">
        <f>IFERROR(SMALL(CJ14:CJ28,ROW()-ROW($CJ$31)+1),"")</f>
        <v>0</v>
      </c>
      <c r="CK41">
        <f>IFERROR(SMALL(CK14:CK28,ROW()-ROW($CK$31)+1),"")</f>
        <v>0</v>
      </c>
      <c r="CL41">
        <f>IFERROR(SMALL(CL14:CL28,ROW()-ROW($CL$31)+1),"")</f>
        <v>0</v>
      </c>
      <c r="CM41">
        <f>IFERROR(SMALL(CM14:CM28,ROW()-ROW($CM$31)+1),"")</f>
        <v>0</v>
      </c>
      <c r="CN41">
        <f>IFERROR(SMALL(CN14:CN28,ROW()-ROW($CN$31)+1),"")</f>
        <v>0</v>
      </c>
      <c r="CO41">
        <f>IFERROR(SMALL(CO14:CO28,ROW()-ROW($CO$31)+1),"")</f>
        <v>0</v>
      </c>
      <c r="CP41">
        <f>IFERROR(SMALL(CP14:CP28,ROW()-ROW($CP$31)+1),"")</f>
        <v>0</v>
      </c>
      <c r="CQ41">
        <f>IFERROR(SMALL(CQ14:CQ28,ROW()-ROW($CQ$31)+1),"")</f>
        <v>0</v>
      </c>
      <c r="CR41">
        <f>IFERROR(SMALL(CR14:CR28,ROW()-ROW($CR$31)+1),"")</f>
        <v>0</v>
      </c>
      <c r="CS41">
        <f>IFERROR(SMALL(CS14:CS28,ROW()-ROW($CS$31)+1),"")</f>
        <v>0</v>
      </c>
      <c r="CT41">
        <f>IFERROR(SMALL(CT14:CT28,ROW()-ROW($CT$31)+1),"")</f>
        <v>0</v>
      </c>
      <c r="CU41">
        <f>IFERROR(SMALL(CU14:CU28,ROW()-ROW($CU$31)+1),"")</f>
        <v>0</v>
      </c>
      <c r="CV41">
        <f>IFERROR(SMALL(CV14:CV28,ROW()-ROW($CV$31)+1),"")</f>
        <v>0</v>
      </c>
      <c r="CW41">
        <f>IFERROR(SMALL(CW14:CW28,ROW()-ROW($CW$31)+1),"")</f>
        <v>0</v>
      </c>
      <c r="CX41">
        <f>IFERROR(SMALL(CX14:CX28,ROW()-ROW($CX$31)+1),"")</f>
        <v>0</v>
      </c>
      <c r="CY41">
        <f>IFERROR(SMALL(CY14:CY28,ROW()-ROW($CY$31)+1),"")</f>
        <v>0</v>
      </c>
      <c r="CZ41">
        <f>IFERROR(SMALL(CZ14:CZ28,ROW()-ROW($CZ$31)+1),"")</f>
        <v>0</v>
      </c>
      <c r="DA41">
        <f>IFERROR(SMALL(DA14:DA28,ROW()-ROW($DA$31)+1),"")</f>
        <v>0</v>
      </c>
      <c r="DB41">
        <f>IFERROR(SMALL(DB14:DB28,ROW()-ROW($DB$31)+1),"")</f>
        <v>0</v>
      </c>
      <c r="DC41">
        <f>IFERROR(SMALL(DC14:DC28,ROW()-ROW($DC$31)+1),"")</f>
        <v>0</v>
      </c>
      <c r="DD41">
        <f>IFERROR(SMALL(DD14:DD28,ROW()-ROW($DD$31)+1),"")</f>
        <v>0</v>
      </c>
      <c r="DE41">
        <f>IFERROR(SMALL(DE14:DE28,ROW()-ROW($DE$31)+1),"")</f>
        <v>0</v>
      </c>
      <c r="DF41">
        <f>IFERROR(SMALL(DF14:DF28,ROW()-ROW($DF$31)+1),"")</f>
        <v>0</v>
      </c>
      <c r="DG41">
        <f>IFERROR(SMALL(DG14:DG28,ROW()-ROW($DG$31)+1),"")</f>
        <v>0</v>
      </c>
      <c r="DH41">
        <f>IFERROR(SMALL(DH14:DH28,ROW()-ROW($DH$31)+1),"")</f>
        <v>0</v>
      </c>
      <c r="DI41">
        <f>IFERROR(SMALL(DI14:DI28,ROW()-ROW($DI$31)+1),"")</f>
        <v>0</v>
      </c>
      <c r="DJ41">
        <f>IFERROR(SMALL(DJ14:DJ28,ROW()-ROW($DJ$31)+1),"")</f>
        <v>0</v>
      </c>
      <c r="DK41">
        <f>IFERROR(SMALL(DK14:DK28,ROW()-ROW($DK$31)+1),"")</f>
        <v>0</v>
      </c>
      <c r="DL41">
        <f>IFERROR(SMALL(DL14:DL28,ROW()-ROW($DL$31)+1),"")</f>
        <v>0</v>
      </c>
      <c r="DM41">
        <f>IFERROR(SMALL(DM14:DM28,ROW()-ROW($DM$31)+1),"")</f>
        <v>0</v>
      </c>
      <c r="DN41">
        <f>IFERROR(SMALL(DN14:DN28,ROW()-ROW($DN$31)+1),"")</f>
        <v>0</v>
      </c>
      <c r="DO41">
        <f>IFERROR(SMALL(DO14:DO28,ROW()-ROW($DO$31)+1),"")</f>
        <v>0</v>
      </c>
      <c r="DP41">
        <f>IFERROR(SMALL(DP14:DP28,ROW()-ROW($DP$31)+1),"")</f>
        <v>0</v>
      </c>
      <c r="DQ41">
        <f>IFERROR(SMALL(DQ14:DQ28,ROW()-ROW($DQ$31)+1),"")</f>
        <v>0</v>
      </c>
      <c r="DR41">
        <f>IFERROR(SMALL(DR14:DR28,ROW()-ROW($DR$31)+1),"")</f>
        <v>0</v>
      </c>
      <c r="DS41">
        <f>IFERROR(SMALL(DS14:DS28,ROW()-ROW($DS$31)+1),"")</f>
        <v>0</v>
      </c>
      <c r="DT41">
        <f>IFERROR(SMALL(DT14:DT28,ROW()-ROW($DT$31)+1),"")</f>
        <v>0</v>
      </c>
      <c r="DU41">
        <f>IFERROR(SMALL(DU14:DU28,ROW()-ROW($DU$31)+1),"")</f>
        <v>0</v>
      </c>
      <c r="DV41">
        <f>IFERROR(SMALL(DV14:DV28,ROW()-ROW($DV$31)+1),"")</f>
        <v>0</v>
      </c>
      <c r="DW41">
        <f>IFERROR(SMALL(DW14:DW28,ROW()-ROW($DW$31)+1),"")</f>
        <v>0</v>
      </c>
      <c r="DX41">
        <f>IFERROR(SMALL(DX14:DX28,ROW()-ROW($DX$31)+1),"")</f>
        <v>0</v>
      </c>
      <c r="DY41">
        <f>IFERROR(SMALL(DY14:DY28,ROW()-ROW($DY$31)+1),"")</f>
        <v>0</v>
      </c>
      <c r="DZ41">
        <f>IFERROR(SMALL(DZ14:DZ28,ROW()-ROW($DZ$31)+1),"")</f>
        <v>0</v>
      </c>
      <c r="EA41">
        <f>IFERROR(SMALL(EA14:EA28,ROW()-ROW($EA$31)+1),"")</f>
        <v>0</v>
      </c>
      <c r="EB41">
        <f>IFERROR(SMALL(EB14:EB28,ROW()-ROW($EB$31)+1),"")</f>
        <v>0</v>
      </c>
      <c r="EC41">
        <f>IFERROR(SMALL(EC14:EC28,ROW()-ROW($EC$31)+1),"")</f>
        <v>0</v>
      </c>
      <c r="ED41">
        <f>IFERROR(SMALL(ED14:ED28,ROW()-ROW($ED$31)+1),"")</f>
        <v>0</v>
      </c>
    </row>
    <row r="42" spans="4:134">
      <c r="E42">
        <f>IFERROR(SMALL(E14:E28,ROW()-ROW($E$31)+1),"")</f>
        <v>0</v>
      </c>
      <c r="F42">
        <f>IFERROR(SMALL(F14:F28,ROW()-ROW($F$31)+1),"")</f>
        <v>0</v>
      </c>
      <c r="G42">
        <f>IFERROR(SMALL(G14:G28,ROW()-ROW($G$31)+1),"")</f>
        <v>0</v>
      </c>
      <c r="H42">
        <f>IFERROR(SMALL(H14:H28,ROW()-ROW($H$31)+1),"")</f>
        <v>0</v>
      </c>
      <c r="I42">
        <f>IFERROR(SMALL(I14:I28,ROW()-ROW($I$31)+1),"")</f>
        <v>0</v>
      </c>
      <c r="J42">
        <f>IFERROR(SMALL(J14:J28,ROW()-ROW($J$31)+1),"")</f>
        <v>0</v>
      </c>
      <c r="K42">
        <f>IFERROR(SMALL(K14:K28,ROW()-ROW($K$31)+1),"")</f>
        <v>0</v>
      </c>
      <c r="L42">
        <f>IFERROR(SMALL(L14:L28,ROW()-ROW($L$31)+1),"")</f>
        <v>0</v>
      </c>
      <c r="M42">
        <f>IFERROR(SMALL(M14:M28,ROW()-ROW($M$31)+1),"")</f>
        <v>0</v>
      </c>
      <c r="N42">
        <f>IFERROR(SMALL(N14:N28,ROW()-ROW($N$31)+1),"")</f>
        <v>0</v>
      </c>
      <c r="O42">
        <f>IFERROR(SMALL(O14:O28,ROW()-ROW($O$31)+1),"")</f>
        <v>0</v>
      </c>
      <c r="P42">
        <f>IFERROR(SMALL(P14:P28,ROW()-ROW($P$31)+1),"")</f>
        <v>0</v>
      </c>
      <c r="Q42">
        <f>IFERROR(SMALL(Q14:Q28,ROW()-ROW($Q$31)+1),"")</f>
        <v>0</v>
      </c>
      <c r="R42">
        <f>IFERROR(SMALL(R14:R28,ROW()-ROW($R$31)+1),"")</f>
        <v>0</v>
      </c>
      <c r="S42">
        <f>IFERROR(SMALL(S14:S28,ROW()-ROW($S$31)+1),"")</f>
        <v>0</v>
      </c>
      <c r="T42">
        <f>IFERROR(SMALL(T14:T28,ROW()-ROW($T$31)+1),"")</f>
        <v>0</v>
      </c>
      <c r="U42">
        <f>IFERROR(SMALL(U14:U28,ROW()-ROW($U$31)+1),"")</f>
        <v>0</v>
      </c>
      <c r="V42">
        <f>IFERROR(SMALL(V14:V28,ROW()-ROW($V$31)+1),"")</f>
        <v>0</v>
      </c>
      <c r="W42">
        <f>IFERROR(SMALL(W14:W28,ROW()-ROW($W$31)+1),"")</f>
        <v>0</v>
      </c>
      <c r="X42">
        <f>IFERROR(SMALL(X14:X28,ROW()-ROW($X$31)+1),"")</f>
        <v>0</v>
      </c>
      <c r="Y42">
        <f>IFERROR(SMALL(Y14:Y28,ROW()-ROW($Y$31)+1),"")</f>
        <v>0</v>
      </c>
      <c r="Z42">
        <f>IFERROR(SMALL(Z14:Z28,ROW()-ROW($Z$31)+1),"")</f>
        <v>0</v>
      </c>
      <c r="AA42">
        <f>IFERROR(SMALL(AA14:AA28,ROW()-ROW($AA$31)+1),"")</f>
        <v>0</v>
      </c>
      <c r="AB42">
        <f>IFERROR(SMALL(AB14:AB28,ROW()-ROW($AB$31)+1),"")</f>
        <v>0</v>
      </c>
      <c r="AC42">
        <f>IFERROR(SMALL(AC14:AC28,ROW()-ROW($AC$31)+1),"")</f>
        <v>0</v>
      </c>
      <c r="AD42">
        <f>IFERROR(SMALL(AD14:AD28,ROW()-ROW($AD$31)+1),"")</f>
        <v>0</v>
      </c>
      <c r="AE42">
        <f>IFERROR(SMALL(AE14:AE28,ROW()-ROW($AE$31)+1),"")</f>
        <v>0</v>
      </c>
      <c r="AF42">
        <f>IFERROR(SMALL(AF14:AF28,ROW()-ROW($AF$31)+1),"")</f>
        <v>0</v>
      </c>
      <c r="AG42">
        <f>IFERROR(SMALL(AG14:AG28,ROW()-ROW($AG$31)+1),"")</f>
        <v>0</v>
      </c>
      <c r="AH42">
        <f>IFERROR(SMALL(AH14:AH28,ROW()-ROW($AH$31)+1),"")</f>
        <v>0</v>
      </c>
      <c r="AI42">
        <f>IFERROR(SMALL(AI14:AI28,ROW()-ROW($AI$31)+1),"")</f>
        <v>0</v>
      </c>
      <c r="AJ42">
        <f>IFERROR(SMALL(AJ14:AJ28,ROW()-ROW($AJ$31)+1),"")</f>
        <v>0</v>
      </c>
      <c r="AK42">
        <f>IFERROR(SMALL(AK14:AK28,ROW()-ROW($AK$31)+1),"")</f>
        <v>0</v>
      </c>
      <c r="AL42">
        <f>IFERROR(SMALL(AL14:AL28,ROW()-ROW($AL$31)+1),"")</f>
        <v>0</v>
      </c>
      <c r="AM42">
        <f>IFERROR(SMALL(AM14:AM28,ROW()-ROW($AM$31)+1),"")</f>
        <v>0</v>
      </c>
      <c r="AN42">
        <f>IFERROR(SMALL(AN14:AN28,ROW()-ROW($AN$31)+1),"")</f>
        <v>0</v>
      </c>
      <c r="AO42">
        <f>IFERROR(SMALL(AO14:AO28,ROW()-ROW($AO$31)+1),"")</f>
        <v>0</v>
      </c>
      <c r="AP42">
        <f>IFERROR(SMALL(AP14:AP28,ROW()-ROW($AP$31)+1),"")</f>
        <v>0</v>
      </c>
      <c r="AQ42">
        <f>IFERROR(SMALL(AQ14:AQ28,ROW()-ROW($AQ$31)+1),"")</f>
        <v>0</v>
      </c>
      <c r="AR42">
        <f>IFERROR(SMALL(AR14:AR28,ROW()-ROW($AR$31)+1),"")</f>
        <v>0</v>
      </c>
      <c r="AS42">
        <f>IFERROR(SMALL(AS14:AS28,ROW()-ROW($AS$31)+1),"")</f>
        <v>0</v>
      </c>
      <c r="AT42">
        <f>IFERROR(SMALL(AT14:AT28,ROW()-ROW($AT$31)+1),"")</f>
        <v>0</v>
      </c>
      <c r="AU42">
        <f>IFERROR(SMALL(AU14:AU28,ROW()-ROW($AU$31)+1),"")</f>
        <v>0</v>
      </c>
      <c r="AV42">
        <f>IFERROR(SMALL(AV14:AV28,ROW()-ROW($AV$31)+1),"")</f>
        <v>0</v>
      </c>
      <c r="AW42">
        <f>IFERROR(SMALL(AW14:AW28,ROW()-ROW($AW$31)+1),"")</f>
        <v>0</v>
      </c>
      <c r="AX42">
        <f>IFERROR(SMALL(AX14:AX28,ROW()-ROW($AX$31)+1),"")</f>
        <v>0</v>
      </c>
      <c r="AY42">
        <f>IFERROR(SMALL(AY14:AY28,ROW()-ROW($AY$31)+1),"")</f>
        <v>0</v>
      </c>
      <c r="AZ42">
        <f>IFERROR(SMALL(AZ14:AZ28,ROW()-ROW($AZ$31)+1),"")</f>
        <v>0</v>
      </c>
      <c r="BA42">
        <f>IFERROR(SMALL(BA14:BA28,ROW()-ROW($BA$31)+1),"")</f>
        <v>0</v>
      </c>
      <c r="BB42">
        <f>IFERROR(SMALL(BB14:BB28,ROW()-ROW($BB$31)+1),"")</f>
        <v>0</v>
      </c>
      <c r="BC42">
        <f>IFERROR(SMALL(BC14:BC28,ROW()-ROW($BC$31)+1),"")</f>
        <v>0</v>
      </c>
      <c r="BD42">
        <f>IFERROR(SMALL(BD14:BD28,ROW()-ROW($BD$31)+1),"")</f>
        <v>0</v>
      </c>
      <c r="BE42">
        <f>IFERROR(SMALL(BE14:BE28,ROW()-ROW($BE$31)+1),"")</f>
        <v>0</v>
      </c>
      <c r="BF42">
        <f>IFERROR(SMALL(BF14:BF28,ROW()-ROW($BF$31)+1),"")</f>
        <v>0</v>
      </c>
      <c r="BG42">
        <f>IFERROR(SMALL(BG14:BG28,ROW()-ROW($BG$31)+1),"")</f>
        <v>0</v>
      </c>
      <c r="BH42">
        <f>IFERROR(SMALL(BH14:BH28,ROW()-ROW($BH$31)+1),"")</f>
        <v>0</v>
      </c>
      <c r="BI42">
        <f>IFERROR(SMALL(BI14:BI28,ROW()-ROW($BI$31)+1),"")</f>
        <v>0</v>
      </c>
      <c r="BJ42">
        <f>IFERROR(SMALL(BJ14:BJ28,ROW()-ROW($BJ$31)+1),"")</f>
        <v>0</v>
      </c>
      <c r="BK42">
        <f>IFERROR(SMALL(BK14:BK28,ROW()-ROW($BK$31)+1),"")</f>
        <v>0</v>
      </c>
      <c r="BL42">
        <f>IFERROR(SMALL(BL14:BL28,ROW()-ROW($BL$31)+1),"")</f>
        <v>0</v>
      </c>
      <c r="BM42">
        <f>IFERROR(SMALL(BM14:BM28,ROW()-ROW($BM$31)+1),"")</f>
        <v>0</v>
      </c>
      <c r="BN42">
        <f>IFERROR(SMALL(BN14:BN28,ROW()-ROW($BN$31)+1),"")</f>
        <v>0</v>
      </c>
      <c r="BO42">
        <f>IFERROR(SMALL(BO14:BO28,ROW()-ROW($BO$31)+1),"")</f>
        <v>0</v>
      </c>
      <c r="BP42">
        <f>IFERROR(SMALL(BP14:BP28,ROW()-ROW($BP$31)+1),"")</f>
        <v>0</v>
      </c>
      <c r="BS42">
        <f>IFERROR(SMALL(BS14:BS28,ROW()-ROW($BS$31)+1),"")</f>
        <v>0</v>
      </c>
      <c r="BT42">
        <f>IFERROR(SMALL(BT14:BT28,ROW()-ROW($BT$31)+1),"")</f>
        <v>0</v>
      </c>
      <c r="BU42">
        <f>IFERROR(SMALL(BU14:BU28,ROW()-ROW($BU$31)+1),"")</f>
        <v>0</v>
      </c>
      <c r="BV42">
        <f>IFERROR(SMALL(BV14:BV28,ROW()-ROW($BV$31)+1),"")</f>
        <v>0</v>
      </c>
      <c r="BW42">
        <f>IFERROR(SMALL(BW14:BW28,ROW()-ROW($BW$31)+1),"")</f>
        <v>0</v>
      </c>
      <c r="BX42">
        <f>IFERROR(SMALL(BX14:BX28,ROW()-ROW($BX$31)+1),"")</f>
        <v>0</v>
      </c>
      <c r="BY42">
        <f>IFERROR(SMALL(BY14:BY28,ROW()-ROW($BY$31)+1),"")</f>
        <v>0</v>
      </c>
      <c r="BZ42">
        <f>IFERROR(SMALL(BZ14:BZ28,ROW()-ROW($BZ$31)+1),"")</f>
        <v>0</v>
      </c>
      <c r="CA42">
        <f>IFERROR(SMALL(CA14:CA28,ROW()-ROW($CA$31)+1),"")</f>
        <v>0</v>
      </c>
      <c r="CB42">
        <f>IFERROR(SMALL(CB14:CB28,ROW()-ROW($CB$31)+1),"")</f>
        <v>0</v>
      </c>
      <c r="CC42">
        <f>IFERROR(SMALL(CC14:CC28,ROW()-ROW($CC$31)+1),"")</f>
        <v>0</v>
      </c>
      <c r="CD42">
        <f>IFERROR(SMALL(CD14:CD28,ROW()-ROW($CD$31)+1),"")</f>
        <v>0</v>
      </c>
      <c r="CE42">
        <f>IFERROR(SMALL(CE14:CE28,ROW()-ROW($CE$31)+1),"")</f>
        <v>0</v>
      </c>
      <c r="CF42">
        <f>IFERROR(SMALL(CF14:CF28,ROW()-ROW($CF$31)+1),"")</f>
        <v>0</v>
      </c>
      <c r="CG42">
        <f>IFERROR(SMALL(CG14:CG28,ROW()-ROW($CG$31)+1),"")</f>
        <v>0</v>
      </c>
      <c r="CH42">
        <f>IFERROR(SMALL(CH14:CH28,ROW()-ROW($CH$31)+1),"")</f>
        <v>0</v>
      </c>
      <c r="CI42">
        <f>IFERROR(SMALL(CI14:CI28,ROW()-ROW($CI$31)+1),"")</f>
        <v>0</v>
      </c>
      <c r="CJ42">
        <f>IFERROR(SMALL(CJ14:CJ28,ROW()-ROW($CJ$31)+1),"")</f>
        <v>0</v>
      </c>
      <c r="CK42">
        <f>IFERROR(SMALL(CK14:CK28,ROW()-ROW($CK$31)+1),"")</f>
        <v>0</v>
      </c>
      <c r="CL42">
        <f>IFERROR(SMALL(CL14:CL28,ROW()-ROW($CL$31)+1),"")</f>
        <v>0</v>
      </c>
      <c r="CM42">
        <f>IFERROR(SMALL(CM14:CM28,ROW()-ROW($CM$31)+1),"")</f>
        <v>0</v>
      </c>
      <c r="CN42">
        <f>IFERROR(SMALL(CN14:CN28,ROW()-ROW($CN$31)+1),"")</f>
        <v>0</v>
      </c>
      <c r="CO42">
        <f>IFERROR(SMALL(CO14:CO28,ROW()-ROW($CO$31)+1),"")</f>
        <v>0</v>
      </c>
      <c r="CP42">
        <f>IFERROR(SMALL(CP14:CP28,ROW()-ROW($CP$31)+1),"")</f>
        <v>0</v>
      </c>
      <c r="CQ42">
        <f>IFERROR(SMALL(CQ14:CQ28,ROW()-ROW($CQ$31)+1),"")</f>
        <v>0</v>
      </c>
      <c r="CR42">
        <f>IFERROR(SMALL(CR14:CR28,ROW()-ROW($CR$31)+1),"")</f>
        <v>0</v>
      </c>
      <c r="CS42">
        <f>IFERROR(SMALL(CS14:CS28,ROW()-ROW($CS$31)+1),"")</f>
        <v>0</v>
      </c>
      <c r="CT42">
        <f>IFERROR(SMALL(CT14:CT28,ROW()-ROW($CT$31)+1),"")</f>
        <v>0</v>
      </c>
      <c r="CU42">
        <f>IFERROR(SMALL(CU14:CU28,ROW()-ROW($CU$31)+1),"")</f>
        <v>0</v>
      </c>
      <c r="CV42">
        <f>IFERROR(SMALL(CV14:CV28,ROW()-ROW($CV$31)+1),"")</f>
        <v>0</v>
      </c>
      <c r="CW42">
        <f>IFERROR(SMALL(CW14:CW28,ROW()-ROW($CW$31)+1),"")</f>
        <v>0</v>
      </c>
      <c r="CX42">
        <f>IFERROR(SMALL(CX14:CX28,ROW()-ROW($CX$31)+1),"")</f>
        <v>0</v>
      </c>
      <c r="CY42">
        <f>IFERROR(SMALL(CY14:CY28,ROW()-ROW($CY$31)+1),"")</f>
        <v>0</v>
      </c>
      <c r="CZ42">
        <f>IFERROR(SMALL(CZ14:CZ28,ROW()-ROW($CZ$31)+1),"")</f>
        <v>0</v>
      </c>
      <c r="DA42">
        <f>IFERROR(SMALL(DA14:DA28,ROW()-ROW($DA$31)+1),"")</f>
        <v>0</v>
      </c>
      <c r="DB42">
        <f>IFERROR(SMALL(DB14:DB28,ROW()-ROW($DB$31)+1),"")</f>
        <v>0</v>
      </c>
      <c r="DC42">
        <f>IFERROR(SMALL(DC14:DC28,ROW()-ROW($DC$31)+1),"")</f>
        <v>0</v>
      </c>
      <c r="DD42">
        <f>IFERROR(SMALL(DD14:DD28,ROW()-ROW($DD$31)+1),"")</f>
        <v>0</v>
      </c>
      <c r="DE42">
        <f>IFERROR(SMALL(DE14:DE28,ROW()-ROW($DE$31)+1),"")</f>
        <v>0</v>
      </c>
      <c r="DF42">
        <f>IFERROR(SMALL(DF14:DF28,ROW()-ROW($DF$31)+1),"")</f>
        <v>0</v>
      </c>
      <c r="DG42">
        <f>IFERROR(SMALL(DG14:DG28,ROW()-ROW($DG$31)+1),"")</f>
        <v>0</v>
      </c>
      <c r="DH42">
        <f>IFERROR(SMALL(DH14:DH28,ROW()-ROW($DH$31)+1),"")</f>
        <v>0</v>
      </c>
      <c r="DI42">
        <f>IFERROR(SMALL(DI14:DI28,ROW()-ROW($DI$31)+1),"")</f>
        <v>0</v>
      </c>
      <c r="DJ42">
        <f>IFERROR(SMALL(DJ14:DJ28,ROW()-ROW($DJ$31)+1),"")</f>
        <v>0</v>
      </c>
      <c r="DK42">
        <f>IFERROR(SMALL(DK14:DK28,ROW()-ROW($DK$31)+1),"")</f>
        <v>0</v>
      </c>
      <c r="DL42">
        <f>IFERROR(SMALL(DL14:DL28,ROW()-ROW($DL$31)+1),"")</f>
        <v>0</v>
      </c>
      <c r="DM42">
        <f>IFERROR(SMALL(DM14:DM28,ROW()-ROW($DM$31)+1),"")</f>
        <v>0</v>
      </c>
      <c r="DN42">
        <f>IFERROR(SMALL(DN14:DN28,ROW()-ROW($DN$31)+1),"")</f>
        <v>0</v>
      </c>
      <c r="DO42">
        <f>IFERROR(SMALL(DO14:DO28,ROW()-ROW($DO$31)+1),"")</f>
        <v>0</v>
      </c>
      <c r="DP42">
        <f>IFERROR(SMALL(DP14:DP28,ROW()-ROW($DP$31)+1),"")</f>
        <v>0</v>
      </c>
      <c r="DQ42">
        <f>IFERROR(SMALL(DQ14:DQ28,ROW()-ROW($DQ$31)+1),"")</f>
        <v>0</v>
      </c>
      <c r="DR42">
        <f>IFERROR(SMALL(DR14:DR28,ROW()-ROW($DR$31)+1),"")</f>
        <v>0</v>
      </c>
      <c r="DS42">
        <f>IFERROR(SMALL(DS14:DS28,ROW()-ROW($DS$31)+1),"")</f>
        <v>0</v>
      </c>
      <c r="DT42">
        <f>IFERROR(SMALL(DT14:DT28,ROW()-ROW($DT$31)+1),"")</f>
        <v>0</v>
      </c>
      <c r="DU42">
        <f>IFERROR(SMALL(DU14:DU28,ROW()-ROW($DU$31)+1),"")</f>
        <v>0</v>
      </c>
      <c r="DV42">
        <f>IFERROR(SMALL(DV14:DV28,ROW()-ROW($DV$31)+1),"")</f>
        <v>0</v>
      </c>
      <c r="DW42">
        <f>IFERROR(SMALL(DW14:DW28,ROW()-ROW($DW$31)+1),"")</f>
        <v>0</v>
      </c>
      <c r="DX42">
        <f>IFERROR(SMALL(DX14:DX28,ROW()-ROW($DX$31)+1),"")</f>
        <v>0</v>
      </c>
      <c r="DY42">
        <f>IFERROR(SMALL(DY14:DY28,ROW()-ROW($DY$31)+1),"")</f>
        <v>0</v>
      </c>
      <c r="DZ42">
        <f>IFERROR(SMALL(DZ14:DZ28,ROW()-ROW($DZ$31)+1),"")</f>
        <v>0</v>
      </c>
      <c r="EA42">
        <f>IFERROR(SMALL(EA14:EA28,ROW()-ROW($EA$31)+1),"")</f>
        <v>0</v>
      </c>
      <c r="EB42">
        <f>IFERROR(SMALL(EB14:EB28,ROW()-ROW($EB$31)+1),"")</f>
        <v>0</v>
      </c>
      <c r="EC42">
        <f>IFERROR(SMALL(EC14:EC28,ROW()-ROW($EC$31)+1),"")</f>
        <v>0</v>
      </c>
      <c r="ED42">
        <f>IFERROR(SMALL(ED14:ED28,ROW()-ROW($ED$31)+1),"")</f>
        <v>0</v>
      </c>
    </row>
    <row r="43" spans="4:134">
      <c r="E43">
        <f>IFERROR(SMALL(E14:E28,ROW()-ROW($E$31)+1),"")</f>
        <v>0</v>
      </c>
      <c r="F43">
        <f>IFERROR(SMALL(F14:F28,ROW()-ROW($F$31)+1),"")</f>
        <v>0</v>
      </c>
      <c r="G43">
        <f>IFERROR(SMALL(G14:G28,ROW()-ROW($G$31)+1),"")</f>
        <v>0</v>
      </c>
      <c r="H43">
        <f>IFERROR(SMALL(H14:H28,ROW()-ROW($H$31)+1),"")</f>
        <v>0</v>
      </c>
      <c r="I43">
        <f>IFERROR(SMALL(I14:I28,ROW()-ROW($I$31)+1),"")</f>
        <v>0</v>
      </c>
      <c r="J43">
        <f>IFERROR(SMALL(J14:J28,ROW()-ROW($J$31)+1),"")</f>
        <v>0</v>
      </c>
      <c r="K43">
        <f>IFERROR(SMALL(K14:K28,ROW()-ROW($K$31)+1),"")</f>
        <v>0</v>
      </c>
      <c r="L43">
        <f>IFERROR(SMALL(L14:L28,ROW()-ROW($L$31)+1),"")</f>
        <v>0</v>
      </c>
      <c r="M43">
        <f>IFERROR(SMALL(M14:M28,ROW()-ROW($M$31)+1),"")</f>
        <v>0</v>
      </c>
      <c r="N43">
        <f>IFERROR(SMALL(N14:N28,ROW()-ROW($N$31)+1),"")</f>
        <v>0</v>
      </c>
      <c r="O43">
        <f>IFERROR(SMALL(O14:O28,ROW()-ROW($O$31)+1),"")</f>
        <v>0</v>
      </c>
      <c r="P43">
        <f>IFERROR(SMALL(P14:P28,ROW()-ROW($P$31)+1),"")</f>
        <v>0</v>
      </c>
      <c r="Q43">
        <f>IFERROR(SMALL(Q14:Q28,ROW()-ROW($Q$31)+1),"")</f>
        <v>0</v>
      </c>
      <c r="R43">
        <f>IFERROR(SMALL(R14:R28,ROW()-ROW($R$31)+1),"")</f>
        <v>0</v>
      </c>
      <c r="S43">
        <f>IFERROR(SMALL(S14:S28,ROW()-ROW($S$31)+1),"")</f>
        <v>0</v>
      </c>
      <c r="T43">
        <f>IFERROR(SMALL(T14:T28,ROW()-ROW($T$31)+1),"")</f>
        <v>0</v>
      </c>
      <c r="U43">
        <f>IFERROR(SMALL(U14:U28,ROW()-ROW($U$31)+1),"")</f>
        <v>0</v>
      </c>
      <c r="V43">
        <f>IFERROR(SMALL(V14:V28,ROW()-ROW($V$31)+1),"")</f>
        <v>0</v>
      </c>
      <c r="W43">
        <f>IFERROR(SMALL(W14:W28,ROW()-ROW($W$31)+1),"")</f>
        <v>0</v>
      </c>
      <c r="X43">
        <f>IFERROR(SMALL(X14:X28,ROW()-ROW($X$31)+1),"")</f>
        <v>0</v>
      </c>
      <c r="Y43">
        <f>IFERROR(SMALL(Y14:Y28,ROW()-ROW($Y$31)+1),"")</f>
        <v>0</v>
      </c>
      <c r="Z43">
        <f>IFERROR(SMALL(Z14:Z28,ROW()-ROW($Z$31)+1),"")</f>
        <v>0</v>
      </c>
      <c r="AA43">
        <f>IFERROR(SMALL(AA14:AA28,ROW()-ROW($AA$31)+1),"")</f>
        <v>0</v>
      </c>
      <c r="AB43">
        <f>IFERROR(SMALL(AB14:AB28,ROW()-ROW($AB$31)+1),"")</f>
        <v>0</v>
      </c>
      <c r="AC43">
        <f>IFERROR(SMALL(AC14:AC28,ROW()-ROW($AC$31)+1),"")</f>
        <v>0</v>
      </c>
      <c r="AD43">
        <f>IFERROR(SMALL(AD14:AD28,ROW()-ROW($AD$31)+1),"")</f>
        <v>0</v>
      </c>
      <c r="AE43">
        <f>IFERROR(SMALL(AE14:AE28,ROW()-ROW($AE$31)+1),"")</f>
        <v>0</v>
      </c>
      <c r="AF43">
        <f>IFERROR(SMALL(AF14:AF28,ROW()-ROW($AF$31)+1),"")</f>
        <v>0</v>
      </c>
      <c r="AG43">
        <f>IFERROR(SMALL(AG14:AG28,ROW()-ROW($AG$31)+1),"")</f>
        <v>0</v>
      </c>
      <c r="AH43">
        <f>IFERROR(SMALL(AH14:AH28,ROW()-ROW($AH$31)+1),"")</f>
        <v>0</v>
      </c>
      <c r="AI43">
        <f>IFERROR(SMALL(AI14:AI28,ROW()-ROW($AI$31)+1),"")</f>
        <v>0</v>
      </c>
      <c r="AJ43">
        <f>IFERROR(SMALL(AJ14:AJ28,ROW()-ROW($AJ$31)+1),"")</f>
        <v>0</v>
      </c>
      <c r="AK43">
        <f>IFERROR(SMALL(AK14:AK28,ROW()-ROW($AK$31)+1),"")</f>
        <v>0</v>
      </c>
      <c r="AL43">
        <f>IFERROR(SMALL(AL14:AL28,ROW()-ROW($AL$31)+1),"")</f>
        <v>0</v>
      </c>
      <c r="AM43">
        <f>IFERROR(SMALL(AM14:AM28,ROW()-ROW($AM$31)+1),"")</f>
        <v>0</v>
      </c>
      <c r="AN43">
        <f>IFERROR(SMALL(AN14:AN28,ROW()-ROW($AN$31)+1),"")</f>
        <v>0</v>
      </c>
      <c r="AO43">
        <f>IFERROR(SMALL(AO14:AO28,ROW()-ROW($AO$31)+1),"")</f>
        <v>0</v>
      </c>
      <c r="AP43">
        <f>IFERROR(SMALL(AP14:AP28,ROW()-ROW($AP$31)+1),"")</f>
        <v>0</v>
      </c>
      <c r="AQ43">
        <f>IFERROR(SMALL(AQ14:AQ28,ROW()-ROW($AQ$31)+1),"")</f>
        <v>0</v>
      </c>
      <c r="AR43">
        <f>IFERROR(SMALL(AR14:AR28,ROW()-ROW($AR$31)+1),"")</f>
        <v>0</v>
      </c>
      <c r="AS43">
        <f>IFERROR(SMALL(AS14:AS28,ROW()-ROW($AS$31)+1),"")</f>
        <v>0</v>
      </c>
      <c r="AT43">
        <f>IFERROR(SMALL(AT14:AT28,ROW()-ROW($AT$31)+1),"")</f>
        <v>0</v>
      </c>
      <c r="AU43">
        <f>IFERROR(SMALL(AU14:AU28,ROW()-ROW($AU$31)+1),"")</f>
        <v>0</v>
      </c>
      <c r="AV43">
        <f>IFERROR(SMALL(AV14:AV28,ROW()-ROW($AV$31)+1),"")</f>
        <v>0</v>
      </c>
      <c r="AW43">
        <f>IFERROR(SMALL(AW14:AW28,ROW()-ROW($AW$31)+1),"")</f>
        <v>0</v>
      </c>
      <c r="AX43">
        <f>IFERROR(SMALL(AX14:AX28,ROW()-ROW($AX$31)+1),"")</f>
        <v>0</v>
      </c>
      <c r="AY43">
        <f>IFERROR(SMALL(AY14:AY28,ROW()-ROW($AY$31)+1),"")</f>
        <v>0</v>
      </c>
      <c r="AZ43">
        <f>IFERROR(SMALL(AZ14:AZ28,ROW()-ROW($AZ$31)+1),"")</f>
        <v>0</v>
      </c>
      <c r="BA43">
        <f>IFERROR(SMALL(BA14:BA28,ROW()-ROW($BA$31)+1),"")</f>
        <v>0</v>
      </c>
      <c r="BB43">
        <f>IFERROR(SMALL(BB14:BB28,ROW()-ROW($BB$31)+1),"")</f>
        <v>0</v>
      </c>
      <c r="BC43">
        <f>IFERROR(SMALL(BC14:BC28,ROW()-ROW($BC$31)+1),"")</f>
        <v>0</v>
      </c>
      <c r="BD43">
        <f>IFERROR(SMALL(BD14:BD28,ROW()-ROW($BD$31)+1),"")</f>
        <v>0</v>
      </c>
      <c r="BE43">
        <f>IFERROR(SMALL(BE14:BE28,ROW()-ROW($BE$31)+1),"")</f>
        <v>0</v>
      </c>
      <c r="BF43">
        <f>IFERROR(SMALL(BF14:BF28,ROW()-ROW($BF$31)+1),"")</f>
        <v>0</v>
      </c>
      <c r="BG43">
        <f>IFERROR(SMALL(BG14:BG28,ROW()-ROW($BG$31)+1),"")</f>
        <v>0</v>
      </c>
      <c r="BH43">
        <f>IFERROR(SMALL(BH14:BH28,ROW()-ROW($BH$31)+1),"")</f>
        <v>0</v>
      </c>
      <c r="BI43">
        <f>IFERROR(SMALL(BI14:BI28,ROW()-ROW($BI$31)+1),"")</f>
        <v>0</v>
      </c>
      <c r="BJ43">
        <f>IFERROR(SMALL(BJ14:BJ28,ROW()-ROW($BJ$31)+1),"")</f>
        <v>0</v>
      </c>
      <c r="BK43">
        <f>IFERROR(SMALL(BK14:BK28,ROW()-ROW($BK$31)+1),"")</f>
        <v>0</v>
      </c>
      <c r="BL43">
        <f>IFERROR(SMALL(BL14:BL28,ROW()-ROW($BL$31)+1),"")</f>
        <v>0</v>
      </c>
      <c r="BM43">
        <f>IFERROR(SMALL(BM14:BM28,ROW()-ROW($BM$31)+1),"")</f>
        <v>0</v>
      </c>
      <c r="BN43">
        <f>IFERROR(SMALL(BN14:BN28,ROW()-ROW($BN$31)+1),"")</f>
        <v>0</v>
      </c>
      <c r="BO43">
        <f>IFERROR(SMALL(BO14:BO28,ROW()-ROW($BO$31)+1),"")</f>
        <v>0</v>
      </c>
      <c r="BP43">
        <f>IFERROR(SMALL(BP14:BP28,ROW()-ROW($BP$31)+1),"")</f>
        <v>0</v>
      </c>
      <c r="BS43">
        <f>IFERROR(SMALL(BS14:BS28,ROW()-ROW($BS$31)+1),"")</f>
        <v>0</v>
      </c>
      <c r="BT43">
        <f>IFERROR(SMALL(BT14:BT28,ROW()-ROW($BT$31)+1),"")</f>
        <v>0</v>
      </c>
      <c r="BU43">
        <f>IFERROR(SMALL(BU14:BU28,ROW()-ROW($BU$31)+1),"")</f>
        <v>0</v>
      </c>
      <c r="BV43">
        <f>IFERROR(SMALL(BV14:BV28,ROW()-ROW($BV$31)+1),"")</f>
        <v>0</v>
      </c>
      <c r="BW43">
        <f>IFERROR(SMALL(BW14:BW28,ROW()-ROW($BW$31)+1),"")</f>
        <v>0</v>
      </c>
      <c r="BX43">
        <f>IFERROR(SMALL(BX14:BX28,ROW()-ROW($BX$31)+1),"")</f>
        <v>0</v>
      </c>
      <c r="BY43">
        <f>IFERROR(SMALL(BY14:BY28,ROW()-ROW($BY$31)+1),"")</f>
        <v>0</v>
      </c>
      <c r="BZ43">
        <f>IFERROR(SMALL(BZ14:BZ28,ROW()-ROW($BZ$31)+1),"")</f>
        <v>0</v>
      </c>
      <c r="CA43">
        <f>IFERROR(SMALL(CA14:CA28,ROW()-ROW($CA$31)+1),"")</f>
        <v>0</v>
      </c>
      <c r="CB43">
        <f>IFERROR(SMALL(CB14:CB28,ROW()-ROW($CB$31)+1),"")</f>
        <v>0</v>
      </c>
      <c r="CC43">
        <f>IFERROR(SMALL(CC14:CC28,ROW()-ROW($CC$31)+1),"")</f>
        <v>0</v>
      </c>
      <c r="CD43">
        <f>IFERROR(SMALL(CD14:CD28,ROW()-ROW($CD$31)+1),"")</f>
        <v>0</v>
      </c>
      <c r="CE43">
        <f>IFERROR(SMALL(CE14:CE28,ROW()-ROW($CE$31)+1),"")</f>
        <v>0</v>
      </c>
      <c r="CF43">
        <f>IFERROR(SMALL(CF14:CF28,ROW()-ROW($CF$31)+1),"")</f>
        <v>0</v>
      </c>
      <c r="CG43">
        <f>IFERROR(SMALL(CG14:CG28,ROW()-ROW($CG$31)+1),"")</f>
        <v>0</v>
      </c>
      <c r="CH43">
        <f>IFERROR(SMALL(CH14:CH28,ROW()-ROW($CH$31)+1),"")</f>
        <v>0</v>
      </c>
      <c r="CI43">
        <f>IFERROR(SMALL(CI14:CI28,ROW()-ROW($CI$31)+1),"")</f>
        <v>0</v>
      </c>
      <c r="CJ43">
        <f>IFERROR(SMALL(CJ14:CJ28,ROW()-ROW($CJ$31)+1),"")</f>
        <v>0</v>
      </c>
      <c r="CK43">
        <f>IFERROR(SMALL(CK14:CK28,ROW()-ROW($CK$31)+1),"")</f>
        <v>0</v>
      </c>
      <c r="CL43">
        <f>IFERROR(SMALL(CL14:CL28,ROW()-ROW($CL$31)+1),"")</f>
        <v>0</v>
      </c>
      <c r="CM43">
        <f>IFERROR(SMALL(CM14:CM28,ROW()-ROW($CM$31)+1),"")</f>
        <v>0</v>
      </c>
      <c r="CN43">
        <f>IFERROR(SMALL(CN14:CN28,ROW()-ROW($CN$31)+1),"")</f>
        <v>0</v>
      </c>
      <c r="CO43">
        <f>IFERROR(SMALL(CO14:CO28,ROW()-ROW($CO$31)+1),"")</f>
        <v>0</v>
      </c>
      <c r="CP43">
        <f>IFERROR(SMALL(CP14:CP28,ROW()-ROW($CP$31)+1),"")</f>
        <v>0</v>
      </c>
      <c r="CQ43">
        <f>IFERROR(SMALL(CQ14:CQ28,ROW()-ROW($CQ$31)+1),"")</f>
        <v>0</v>
      </c>
      <c r="CR43">
        <f>IFERROR(SMALL(CR14:CR28,ROW()-ROW($CR$31)+1),"")</f>
        <v>0</v>
      </c>
      <c r="CS43">
        <f>IFERROR(SMALL(CS14:CS28,ROW()-ROW($CS$31)+1),"")</f>
        <v>0</v>
      </c>
      <c r="CT43">
        <f>IFERROR(SMALL(CT14:CT28,ROW()-ROW($CT$31)+1),"")</f>
        <v>0</v>
      </c>
      <c r="CU43">
        <f>IFERROR(SMALL(CU14:CU28,ROW()-ROW($CU$31)+1),"")</f>
        <v>0</v>
      </c>
      <c r="CV43">
        <f>IFERROR(SMALL(CV14:CV28,ROW()-ROW($CV$31)+1),"")</f>
        <v>0</v>
      </c>
      <c r="CW43">
        <f>IFERROR(SMALL(CW14:CW28,ROW()-ROW($CW$31)+1),"")</f>
        <v>0</v>
      </c>
      <c r="CX43">
        <f>IFERROR(SMALL(CX14:CX28,ROW()-ROW($CX$31)+1),"")</f>
        <v>0</v>
      </c>
      <c r="CY43">
        <f>IFERROR(SMALL(CY14:CY28,ROW()-ROW($CY$31)+1),"")</f>
        <v>0</v>
      </c>
      <c r="CZ43">
        <f>IFERROR(SMALL(CZ14:CZ28,ROW()-ROW($CZ$31)+1),"")</f>
        <v>0</v>
      </c>
      <c r="DA43">
        <f>IFERROR(SMALL(DA14:DA28,ROW()-ROW($DA$31)+1),"")</f>
        <v>0</v>
      </c>
      <c r="DB43">
        <f>IFERROR(SMALL(DB14:DB28,ROW()-ROW($DB$31)+1),"")</f>
        <v>0</v>
      </c>
      <c r="DC43">
        <f>IFERROR(SMALL(DC14:DC28,ROW()-ROW($DC$31)+1),"")</f>
        <v>0</v>
      </c>
      <c r="DD43">
        <f>IFERROR(SMALL(DD14:DD28,ROW()-ROW($DD$31)+1),"")</f>
        <v>0</v>
      </c>
      <c r="DE43">
        <f>IFERROR(SMALL(DE14:DE28,ROW()-ROW($DE$31)+1),"")</f>
        <v>0</v>
      </c>
      <c r="DF43">
        <f>IFERROR(SMALL(DF14:DF28,ROW()-ROW($DF$31)+1),"")</f>
        <v>0</v>
      </c>
      <c r="DG43">
        <f>IFERROR(SMALL(DG14:DG28,ROW()-ROW($DG$31)+1),"")</f>
        <v>0</v>
      </c>
      <c r="DH43">
        <f>IFERROR(SMALL(DH14:DH28,ROW()-ROW($DH$31)+1),"")</f>
        <v>0</v>
      </c>
      <c r="DI43">
        <f>IFERROR(SMALL(DI14:DI28,ROW()-ROW($DI$31)+1),"")</f>
        <v>0</v>
      </c>
      <c r="DJ43">
        <f>IFERROR(SMALL(DJ14:DJ28,ROW()-ROW($DJ$31)+1),"")</f>
        <v>0</v>
      </c>
      <c r="DK43">
        <f>IFERROR(SMALL(DK14:DK28,ROW()-ROW($DK$31)+1),"")</f>
        <v>0</v>
      </c>
      <c r="DL43">
        <f>IFERROR(SMALL(DL14:DL28,ROW()-ROW($DL$31)+1),"")</f>
        <v>0</v>
      </c>
      <c r="DM43">
        <f>IFERROR(SMALL(DM14:DM28,ROW()-ROW($DM$31)+1),"")</f>
        <v>0</v>
      </c>
      <c r="DN43">
        <f>IFERROR(SMALL(DN14:DN28,ROW()-ROW($DN$31)+1),"")</f>
        <v>0</v>
      </c>
      <c r="DO43">
        <f>IFERROR(SMALL(DO14:DO28,ROW()-ROW($DO$31)+1),"")</f>
        <v>0</v>
      </c>
      <c r="DP43">
        <f>IFERROR(SMALL(DP14:DP28,ROW()-ROW($DP$31)+1),"")</f>
        <v>0</v>
      </c>
      <c r="DQ43">
        <f>IFERROR(SMALL(DQ14:DQ28,ROW()-ROW($DQ$31)+1),"")</f>
        <v>0</v>
      </c>
      <c r="DR43">
        <f>IFERROR(SMALL(DR14:DR28,ROW()-ROW($DR$31)+1),"")</f>
        <v>0</v>
      </c>
      <c r="DS43">
        <f>IFERROR(SMALL(DS14:DS28,ROW()-ROW($DS$31)+1),"")</f>
        <v>0</v>
      </c>
      <c r="DT43">
        <f>IFERROR(SMALL(DT14:DT28,ROW()-ROW($DT$31)+1),"")</f>
        <v>0</v>
      </c>
      <c r="DU43">
        <f>IFERROR(SMALL(DU14:DU28,ROW()-ROW($DU$31)+1),"")</f>
        <v>0</v>
      </c>
      <c r="DV43">
        <f>IFERROR(SMALL(DV14:DV28,ROW()-ROW($DV$31)+1),"")</f>
        <v>0</v>
      </c>
      <c r="DW43">
        <f>IFERROR(SMALL(DW14:DW28,ROW()-ROW($DW$31)+1),"")</f>
        <v>0</v>
      </c>
      <c r="DX43">
        <f>IFERROR(SMALL(DX14:DX28,ROW()-ROW($DX$31)+1),"")</f>
        <v>0</v>
      </c>
      <c r="DY43">
        <f>IFERROR(SMALL(DY14:DY28,ROW()-ROW($DY$31)+1),"")</f>
        <v>0</v>
      </c>
      <c r="DZ43">
        <f>IFERROR(SMALL(DZ14:DZ28,ROW()-ROW($DZ$31)+1),"")</f>
        <v>0</v>
      </c>
      <c r="EA43">
        <f>IFERROR(SMALL(EA14:EA28,ROW()-ROW($EA$31)+1),"")</f>
        <v>0</v>
      </c>
      <c r="EB43">
        <f>IFERROR(SMALL(EB14:EB28,ROW()-ROW($EB$31)+1),"")</f>
        <v>0</v>
      </c>
      <c r="EC43">
        <f>IFERROR(SMALL(EC14:EC28,ROW()-ROW($EC$31)+1),"")</f>
        <v>0</v>
      </c>
      <c r="ED43">
        <f>IFERROR(SMALL(ED14:ED28,ROW()-ROW($ED$31)+1),"")</f>
        <v>0</v>
      </c>
    </row>
    <row r="44" spans="4:134">
      <c r="E44">
        <f>IFERROR(SMALL(E14:E28,ROW()-ROW($E$31)+1),"")</f>
        <v>0</v>
      </c>
      <c r="F44">
        <f>IFERROR(SMALL(F14:F28,ROW()-ROW($F$31)+1),"")</f>
        <v>0</v>
      </c>
      <c r="G44">
        <f>IFERROR(SMALL(G14:G28,ROW()-ROW($G$31)+1),"")</f>
        <v>0</v>
      </c>
      <c r="H44">
        <f>IFERROR(SMALL(H14:H28,ROW()-ROW($H$31)+1),"")</f>
        <v>0</v>
      </c>
      <c r="I44">
        <f>IFERROR(SMALL(I14:I28,ROW()-ROW($I$31)+1),"")</f>
        <v>0</v>
      </c>
      <c r="J44">
        <f>IFERROR(SMALL(J14:J28,ROW()-ROW($J$31)+1),"")</f>
        <v>0</v>
      </c>
      <c r="K44">
        <f>IFERROR(SMALL(K14:K28,ROW()-ROW($K$31)+1),"")</f>
        <v>0</v>
      </c>
      <c r="L44">
        <f>IFERROR(SMALL(L14:L28,ROW()-ROW($L$31)+1),"")</f>
        <v>0</v>
      </c>
      <c r="M44">
        <f>IFERROR(SMALL(M14:M28,ROW()-ROW($M$31)+1),"")</f>
        <v>0</v>
      </c>
      <c r="N44">
        <f>IFERROR(SMALL(N14:N28,ROW()-ROW($N$31)+1),"")</f>
        <v>0</v>
      </c>
      <c r="O44">
        <f>IFERROR(SMALL(O14:O28,ROW()-ROW($O$31)+1),"")</f>
        <v>0</v>
      </c>
      <c r="P44">
        <f>IFERROR(SMALL(P14:P28,ROW()-ROW($P$31)+1),"")</f>
        <v>0</v>
      </c>
      <c r="Q44">
        <f>IFERROR(SMALL(Q14:Q28,ROW()-ROW($Q$31)+1),"")</f>
        <v>0</v>
      </c>
      <c r="R44">
        <f>IFERROR(SMALL(R14:R28,ROW()-ROW($R$31)+1),"")</f>
        <v>0</v>
      </c>
      <c r="S44">
        <f>IFERROR(SMALL(S14:S28,ROW()-ROW($S$31)+1),"")</f>
        <v>0</v>
      </c>
      <c r="T44">
        <f>IFERROR(SMALL(T14:T28,ROW()-ROW($T$31)+1),"")</f>
        <v>0</v>
      </c>
      <c r="U44">
        <f>IFERROR(SMALL(U14:U28,ROW()-ROW($U$31)+1),"")</f>
        <v>0</v>
      </c>
      <c r="V44">
        <f>IFERROR(SMALL(V14:V28,ROW()-ROW($V$31)+1),"")</f>
        <v>0</v>
      </c>
      <c r="W44">
        <f>IFERROR(SMALL(W14:W28,ROW()-ROW($W$31)+1),"")</f>
        <v>0</v>
      </c>
      <c r="X44">
        <f>IFERROR(SMALL(X14:X28,ROW()-ROW($X$31)+1),"")</f>
        <v>0</v>
      </c>
      <c r="Y44">
        <f>IFERROR(SMALL(Y14:Y28,ROW()-ROW($Y$31)+1),"")</f>
        <v>0</v>
      </c>
      <c r="Z44">
        <f>IFERROR(SMALL(Z14:Z28,ROW()-ROW($Z$31)+1),"")</f>
        <v>0</v>
      </c>
      <c r="AA44">
        <f>IFERROR(SMALL(AA14:AA28,ROW()-ROW($AA$31)+1),"")</f>
        <v>0</v>
      </c>
      <c r="AB44">
        <f>IFERROR(SMALL(AB14:AB28,ROW()-ROW($AB$31)+1),"")</f>
        <v>0</v>
      </c>
      <c r="AC44">
        <f>IFERROR(SMALL(AC14:AC28,ROW()-ROW($AC$31)+1),"")</f>
        <v>0</v>
      </c>
      <c r="AD44">
        <f>IFERROR(SMALL(AD14:AD28,ROW()-ROW($AD$31)+1),"")</f>
        <v>0</v>
      </c>
      <c r="AE44">
        <f>IFERROR(SMALL(AE14:AE28,ROW()-ROW($AE$31)+1),"")</f>
        <v>0</v>
      </c>
      <c r="AF44">
        <f>IFERROR(SMALL(AF14:AF28,ROW()-ROW($AF$31)+1),"")</f>
        <v>0</v>
      </c>
      <c r="AG44">
        <f>IFERROR(SMALL(AG14:AG28,ROW()-ROW($AG$31)+1),"")</f>
        <v>0</v>
      </c>
      <c r="AH44">
        <f>IFERROR(SMALL(AH14:AH28,ROW()-ROW($AH$31)+1),"")</f>
        <v>0</v>
      </c>
      <c r="AI44">
        <f>IFERROR(SMALL(AI14:AI28,ROW()-ROW($AI$31)+1),"")</f>
        <v>0</v>
      </c>
      <c r="AJ44">
        <f>IFERROR(SMALL(AJ14:AJ28,ROW()-ROW($AJ$31)+1),"")</f>
        <v>0</v>
      </c>
      <c r="AK44">
        <f>IFERROR(SMALL(AK14:AK28,ROW()-ROW($AK$31)+1),"")</f>
        <v>0</v>
      </c>
      <c r="AL44">
        <f>IFERROR(SMALL(AL14:AL28,ROW()-ROW($AL$31)+1),"")</f>
        <v>0</v>
      </c>
      <c r="AM44">
        <f>IFERROR(SMALL(AM14:AM28,ROW()-ROW($AM$31)+1),"")</f>
        <v>0</v>
      </c>
      <c r="AN44">
        <f>IFERROR(SMALL(AN14:AN28,ROW()-ROW($AN$31)+1),"")</f>
        <v>0</v>
      </c>
      <c r="AO44">
        <f>IFERROR(SMALL(AO14:AO28,ROW()-ROW($AO$31)+1),"")</f>
        <v>0</v>
      </c>
      <c r="AP44">
        <f>IFERROR(SMALL(AP14:AP28,ROW()-ROW($AP$31)+1),"")</f>
        <v>0</v>
      </c>
      <c r="AQ44">
        <f>IFERROR(SMALL(AQ14:AQ28,ROW()-ROW($AQ$31)+1),"")</f>
        <v>0</v>
      </c>
      <c r="AR44">
        <f>IFERROR(SMALL(AR14:AR28,ROW()-ROW($AR$31)+1),"")</f>
        <v>0</v>
      </c>
      <c r="AS44">
        <f>IFERROR(SMALL(AS14:AS28,ROW()-ROW($AS$31)+1),"")</f>
        <v>0</v>
      </c>
      <c r="AT44">
        <f>IFERROR(SMALL(AT14:AT28,ROW()-ROW($AT$31)+1),"")</f>
        <v>0</v>
      </c>
      <c r="AU44">
        <f>IFERROR(SMALL(AU14:AU28,ROW()-ROW($AU$31)+1),"")</f>
        <v>0</v>
      </c>
      <c r="AV44">
        <f>IFERROR(SMALL(AV14:AV28,ROW()-ROW($AV$31)+1),"")</f>
        <v>0</v>
      </c>
      <c r="AW44">
        <f>IFERROR(SMALL(AW14:AW28,ROW()-ROW($AW$31)+1),"")</f>
        <v>0</v>
      </c>
      <c r="AX44">
        <f>IFERROR(SMALL(AX14:AX28,ROW()-ROW($AX$31)+1),"")</f>
        <v>0</v>
      </c>
      <c r="AY44">
        <f>IFERROR(SMALL(AY14:AY28,ROW()-ROW($AY$31)+1),"")</f>
        <v>0</v>
      </c>
      <c r="AZ44">
        <f>IFERROR(SMALL(AZ14:AZ28,ROW()-ROW($AZ$31)+1),"")</f>
        <v>0</v>
      </c>
      <c r="BA44">
        <f>IFERROR(SMALL(BA14:BA28,ROW()-ROW($BA$31)+1),"")</f>
        <v>0</v>
      </c>
      <c r="BB44">
        <f>IFERROR(SMALL(BB14:BB28,ROW()-ROW($BB$31)+1),"")</f>
        <v>0</v>
      </c>
      <c r="BC44">
        <f>IFERROR(SMALL(BC14:BC28,ROW()-ROW($BC$31)+1),"")</f>
        <v>0</v>
      </c>
      <c r="BD44">
        <f>IFERROR(SMALL(BD14:BD28,ROW()-ROW($BD$31)+1),"")</f>
        <v>0</v>
      </c>
      <c r="BE44">
        <f>IFERROR(SMALL(BE14:BE28,ROW()-ROW($BE$31)+1),"")</f>
        <v>0</v>
      </c>
      <c r="BF44">
        <f>IFERROR(SMALL(BF14:BF28,ROW()-ROW($BF$31)+1),"")</f>
        <v>0</v>
      </c>
      <c r="BG44">
        <f>IFERROR(SMALL(BG14:BG28,ROW()-ROW($BG$31)+1),"")</f>
        <v>0</v>
      </c>
      <c r="BH44">
        <f>IFERROR(SMALL(BH14:BH28,ROW()-ROW($BH$31)+1),"")</f>
        <v>0</v>
      </c>
      <c r="BI44">
        <f>IFERROR(SMALL(BI14:BI28,ROW()-ROW($BI$31)+1),"")</f>
        <v>0</v>
      </c>
      <c r="BJ44">
        <f>IFERROR(SMALL(BJ14:BJ28,ROW()-ROW($BJ$31)+1),"")</f>
        <v>0</v>
      </c>
      <c r="BK44">
        <f>IFERROR(SMALL(BK14:BK28,ROW()-ROW($BK$31)+1),"")</f>
        <v>0</v>
      </c>
      <c r="BL44">
        <f>IFERROR(SMALL(BL14:BL28,ROW()-ROW($BL$31)+1),"")</f>
        <v>0</v>
      </c>
      <c r="BM44">
        <f>IFERROR(SMALL(BM14:BM28,ROW()-ROW($BM$31)+1),"")</f>
        <v>0</v>
      </c>
      <c r="BN44">
        <f>IFERROR(SMALL(BN14:BN28,ROW()-ROW($BN$31)+1),"")</f>
        <v>0</v>
      </c>
      <c r="BO44">
        <f>IFERROR(SMALL(BO14:BO28,ROW()-ROW($BO$31)+1),"")</f>
        <v>0</v>
      </c>
      <c r="BP44">
        <f>IFERROR(SMALL(BP14:BP28,ROW()-ROW($BP$31)+1),"")</f>
        <v>0</v>
      </c>
      <c r="BS44">
        <f>IFERROR(SMALL(BS14:BS28,ROW()-ROW($BS$31)+1),"")</f>
        <v>0</v>
      </c>
      <c r="BT44">
        <f>IFERROR(SMALL(BT14:BT28,ROW()-ROW($BT$31)+1),"")</f>
        <v>0</v>
      </c>
      <c r="BU44">
        <f>IFERROR(SMALL(BU14:BU28,ROW()-ROW($BU$31)+1),"")</f>
        <v>0</v>
      </c>
      <c r="BV44">
        <f>IFERROR(SMALL(BV14:BV28,ROW()-ROW($BV$31)+1),"")</f>
        <v>0</v>
      </c>
      <c r="BW44">
        <f>IFERROR(SMALL(BW14:BW28,ROW()-ROW($BW$31)+1),"")</f>
        <v>0</v>
      </c>
      <c r="BX44">
        <f>IFERROR(SMALL(BX14:BX28,ROW()-ROW($BX$31)+1),"")</f>
        <v>0</v>
      </c>
      <c r="BY44">
        <f>IFERROR(SMALL(BY14:BY28,ROW()-ROW($BY$31)+1),"")</f>
        <v>0</v>
      </c>
      <c r="BZ44">
        <f>IFERROR(SMALL(BZ14:BZ28,ROW()-ROW($BZ$31)+1),"")</f>
        <v>0</v>
      </c>
      <c r="CA44">
        <f>IFERROR(SMALL(CA14:CA28,ROW()-ROW($CA$31)+1),"")</f>
        <v>0</v>
      </c>
      <c r="CB44">
        <f>IFERROR(SMALL(CB14:CB28,ROW()-ROW($CB$31)+1),"")</f>
        <v>0</v>
      </c>
      <c r="CC44">
        <f>IFERROR(SMALL(CC14:CC28,ROW()-ROW($CC$31)+1),"")</f>
        <v>0</v>
      </c>
      <c r="CD44">
        <f>IFERROR(SMALL(CD14:CD28,ROW()-ROW($CD$31)+1),"")</f>
        <v>0</v>
      </c>
      <c r="CE44">
        <f>IFERROR(SMALL(CE14:CE28,ROW()-ROW($CE$31)+1),"")</f>
        <v>0</v>
      </c>
      <c r="CF44">
        <f>IFERROR(SMALL(CF14:CF28,ROW()-ROW($CF$31)+1),"")</f>
        <v>0</v>
      </c>
      <c r="CG44">
        <f>IFERROR(SMALL(CG14:CG28,ROW()-ROW($CG$31)+1),"")</f>
        <v>0</v>
      </c>
      <c r="CH44">
        <f>IFERROR(SMALL(CH14:CH28,ROW()-ROW($CH$31)+1),"")</f>
        <v>0</v>
      </c>
      <c r="CI44">
        <f>IFERROR(SMALL(CI14:CI28,ROW()-ROW($CI$31)+1),"")</f>
        <v>0</v>
      </c>
      <c r="CJ44">
        <f>IFERROR(SMALL(CJ14:CJ28,ROW()-ROW($CJ$31)+1),"")</f>
        <v>0</v>
      </c>
      <c r="CK44">
        <f>IFERROR(SMALL(CK14:CK28,ROW()-ROW($CK$31)+1),"")</f>
        <v>0</v>
      </c>
      <c r="CL44">
        <f>IFERROR(SMALL(CL14:CL28,ROW()-ROW($CL$31)+1),"")</f>
        <v>0</v>
      </c>
      <c r="CM44">
        <f>IFERROR(SMALL(CM14:CM28,ROW()-ROW($CM$31)+1),"")</f>
        <v>0</v>
      </c>
      <c r="CN44">
        <f>IFERROR(SMALL(CN14:CN28,ROW()-ROW($CN$31)+1),"")</f>
        <v>0</v>
      </c>
      <c r="CO44">
        <f>IFERROR(SMALL(CO14:CO28,ROW()-ROW($CO$31)+1),"")</f>
        <v>0</v>
      </c>
      <c r="CP44">
        <f>IFERROR(SMALL(CP14:CP28,ROW()-ROW($CP$31)+1),"")</f>
        <v>0</v>
      </c>
      <c r="CQ44">
        <f>IFERROR(SMALL(CQ14:CQ28,ROW()-ROW($CQ$31)+1),"")</f>
        <v>0</v>
      </c>
      <c r="CR44">
        <f>IFERROR(SMALL(CR14:CR28,ROW()-ROW($CR$31)+1),"")</f>
        <v>0</v>
      </c>
      <c r="CS44">
        <f>IFERROR(SMALL(CS14:CS28,ROW()-ROW($CS$31)+1),"")</f>
        <v>0</v>
      </c>
      <c r="CT44">
        <f>IFERROR(SMALL(CT14:CT28,ROW()-ROW($CT$31)+1),"")</f>
        <v>0</v>
      </c>
      <c r="CU44">
        <f>IFERROR(SMALL(CU14:CU28,ROW()-ROW($CU$31)+1),"")</f>
        <v>0</v>
      </c>
      <c r="CV44">
        <f>IFERROR(SMALL(CV14:CV28,ROW()-ROW($CV$31)+1),"")</f>
        <v>0</v>
      </c>
      <c r="CW44">
        <f>IFERROR(SMALL(CW14:CW28,ROW()-ROW($CW$31)+1),"")</f>
        <v>0</v>
      </c>
      <c r="CX44">
        <f>IFERROR(SMALL(CX14:CX28,ROW()-ROW($CX$31)+1),"")</f>
        <v>0</v>
      </c>
      <c r="CY44">
        <f>IFERROR(SMALL(CY14:CY28,ROW()-ROW($CY$31)+1),"")</f>
        <v>0</v>
      </c>
      <c r="CZ44">
        <f>IFERROR(SMALL(CZ14:CZ28,ROW()-ROW($CZ$31)+1),"")</f>
        <v>0</v>
      </c>
      <c r="DA44">
        <f>IFERROR(SMALL(DA14:DA28,ROW()-ROW($DA$31)+1),"")</f>
        <v>0</v>
      </c>
      <c r="DB44">
        <f>IFERROR(SMALL(DB14:DB28,ROW()-ROW($DB$31)+1),"")</f>
        <v>0</v>
      </c>
      <c r="DC44">
        <f>IFERROR(SMALL(DC14:DC28,ROW()-ROW($DC$31)+1),"")</f>
        <v>0</v>
      </c>
      <c r="DD44">
        <f>IFERROR(SMALL(DD14:DD28,ROW()-ROW($DD$31)+1),"")</f>
        <v>0</v>
      </c>
      <c r="DE44">
        <f>IFERROR(SMALL(DE14:DE28,ROW()-ROW($DE$31)+1),"")</f>
        <v>0</v>
      </c>
      <c r="DF44">
        <f>IFERROR(SMALL(DF14:DF28,ROW()-ROW($DF$31)+1),"")</f>
        <v>0</v>
      </c>
      <c r="DG44">
        <f>IFERROR(SMALL(DG14:DG28,ROW()-ROW($DG$31)+1),"")</f>
        <v>0</v>
      </c>
      <c r="DH44">
        <f>IFERROR(SMALL(DH14:DH28,ROW()-ROW($DH$31)+1),"")</f>
        <v>0</v>
      </c>
      <c r="DI44">
        <f>IFERROR(SMALL(DI14:DI28,ROW()-ROW($DI$31)+1),"")</f>
        <v>0</v>
      </c>
      <c r="DJ44">
        <f>IFERROR(SMALL(DJ14:DJ28,ROW()-ROW($DJ$31)+1),"")</f>
        <v>0</v>
      </c>
      <c r="DK44">
        <f>IFERROR(SMALL(DK14:DK28,ROW()-ROW($DK$31)+1),"")</f>
        <v>0</v>
      </c>
      <c r="DL44">
        <f>IFERROR(SMALL(DL14:DL28,ROW()-ROW($DL$31)+1),"")</f>
        <v>0</v>
      </c>
      <c r="DM44">
        <f>IFERROR(SMALL(DM14:DM28,ROW()-ROW($DM$31)+1),"")</f>
        <v>0</v>
      </c>
      <c r="DN44">
        <f>IFERROR(SMALL(DN14:DN28,ROW()-ROW($DN$31)+1),"")</f>
        <v>0</v>
      </c>
      <c r="DO44">
        <f>IFERROR(SMALL(DO14:DO28,ROW()-ROW($DO$31)+1),"")</f>
        <v>0</v>
      </c>
      <c r="DP44">
        <f>IFERROR(SMALL(DP14:DP28,ROW()-ROW($DP$31)+1),"")</f>
        <v>0</v>
      </c>
      <c r="DQ44">
        <f>IFERROR(SMALL(DQ14:DQ28,ROW()-ROW($DQ$31)+1),"")</f>
        <v>0</v>
      </c>
      <c r="DR44">
        <f>IFERROR(SMALL(DR14:DR28,ROW()-ROW($DR$31)+1),"")</f>
        <v>0</v>
      </c>
      <c r="DS44">
        <f>IFERROR(SMALL(DS14:DS28,ROW()-ROW($DS$31)+1),"")</f>
        <v>0</v>
      </c>
      <c r="DT44">
        <f>IFERROR(SMALL(DT14:DT28,ROW()-ROW($DT$31)+1),"")</f>
        <v>0</v>
      </c>
      <c r="DU44">
        <f>IFERROR(SMALL(DU14:DU28,ROW()-ROW($DU$31)+1),"")</f>
        <v>0</v>
      </c>
      <c r="DV44">
        <f>IFERROR(SMALL(DV14:DV28,ROW()-ROW($DV$31)+1),"")</f>
        <v>0</v>
      </c>
      <c r="DW44">
        <f>IFERROR(SMALL(DW14:DW28,ROW()-ROW($DW$31)+1),"")</f>
        <v>0</v>
      </c>
      <c r="DX44">
        <f>IFERROR(SMALL(DX14:DX28,ROW()-ROW($DX$31)+1),"")</f>
        <v>0</v>
      </c>
      <c r="DY44">
        <f>IFERROR(SMALL(DY14:DY28,ROW()-ROW($DY$31)+1),"")</f>
        <v>0</v>
      </c>
      <c r="DZ44">
        <f>IFERROR(SMALL(DZ14:DZ28,ROW()-ROW($DZ$31)+1),"")</f>
        <v>0</v>
      </c>
      <c r="EA44">
        <f>IFERROR(SMALL(EA14:EA28,ROW()-ROW($EA$31)+1),"")</f>
        <v>0</v>
      </c>
      <c r="EB44">
        <f>IFERROR(SMALL(EB14:EB28,ROW()-ROW($EB$31)+1),"")</f>
        <v>0</v>
      </c>
      <c r="EC44">
        <f>IFERROR(SMALL(EC14:EC28,ROW()-ROW($EC$31)+1),"")</f>
        <v>0</v>
      </c>
      <c r="ED44">
        <f>IFERROR(SMALL(ED14:ED28,ROW()-ROW($ED$31)+1),"")</f>
        <v>0</v>
      </c>
    </row>
    <row r="46" spans="4:134">
      <c r="D46" t="s">
        <v>59</v>
      </c>
      <c r="E46" t="s">
        <v>56</v>
      </c>
      <c r="F46" t="s">
        <v>61</v>
      </c>
      <c r="G46" t="s">
        <v>56</v>
      </c>
      <c r="H46" t="s">
        <v>62</v>
      </c>
      <c r="I46" t="s">
        <v>56</v>
      </c>
      <c r="J46" t="s">
        <v>61</v>
      </c>
      <c r="K46" t="s">
        <v>56</v>
      </c>
      <c r="L46" t="s">
        <v>62</v>
      </c>
      <c r="M46" t="s">
        <v>56</v>
      </c>
      <c r="N46" t="s">
        <v>61</v>
      </c>
      <c r="O46" t="s">
        <v>56</v>
      </c>
      <c r="P46" t="s">
        <v>62</v>
      </c>
      <c r="Q46" t="s">
        <v>56</v>
      </c>
      <c r="R46" t="s">
        <v>61</v>
      </c>
      <c r="S46" t="s">
        <v>56</v>
      </c>
      <c r="T46" t="s">
        <v>62</v>
      </c>
      <c r="U46" t="s">
        <v>56</v>
      </c>
      <c r="V46" t="s">
        <v>61</v>
      </c>
      <c r="W46" t="s">
        <v>56</v>
      </c>
      <c r="X46" t="s">
        <v>62</v>
      </c>
      <c r="Y46" t="s">
        <v>56</v>
      </c>
      <c r="Z46" t="s">
        <v>61</v>
      </c>
      <c r="AA46" t="s">
        <v>56</v>
      </c>
      <c r="AB46" t="s">
        <v>62</v>
      </c>
      <c r="AC46" t="s">
        <v>56</v>
      </c>
      <c r="AD46" t="s">
        <v>61</v>
      </c>
      <c r="AE46" t="s">
        <v>56</v>
      </c>
      <c r="AF46" t="s">
        <v>62</v>
      </c>
      <c r="AG46" t="s">
        <v>56</v>
      </c>
      <c r="AH46" t="s">
        <v>61</v>
      </c>
      <c r="AI46" t="s">
        <v>56</v>
      </c>
      <c r="AJ46" t="s">
        <v>62</v>
      </c>
      <c r="AK46" t="s">
        <v>56</v>
      </c>
      <c r="AL46" t="s">
        <v>61</v>
      </c>
      <c r="AM46" t="s">
        <v>56</v>
      </c>
      <c r="AN46" t="s">
        <v>62</v>
      </c>
      <c r="AO46" t="s">
        <v>56</v>
      </c>
      <c r="AP46" t="s">
        <v>61</v>
      </c>
      <c r="AQ46" t="s">
        <v>56</v>
      </c>
      <c r="AR46" t="s">
        <v>62</v>
      </c>
      <c r="AS46" t="s">
        <v>56</v>
      </c>
      <c r="AT46" t="s">
        <v>61</v>
      </c>
      <c r="AU46" t="s">
        <v>56</v>
      </c>
      <c r="AV46" t="s">
        <v>62</v>
      </c>
      <c r="AW46" t="s">
        <v>56</v>
      </c>
      <c r="AX46" t="s">
        <v>61</v>
      </c>
      <c r="AY46" t="s">
        <v>56</v>
      </c>
      <c r="AZ46" t="s">
        <v>62</v>
      </c>
      <c r="BA46" t="s">
        <v>56</v>
      </c>
      <c r="BB46" t="s">
        <v>61</v>
      </c>
      <c r="BC46" t="s">
        <v>56</v>
      </c>
      <c r="BD46" t="s">
        <v>62</v>
      </c>
      <c r="BE46" t="s">
        <v>56</v>
      </c>
      <c r="BF46" t="s">
        <v>61</v>
      </c>
      <c r="BG46" t="s">
        <v>56</v>
      </c>
      <c r="BH46" t="s">
        <v>62</v>
      </c>
      <c r="BI46" t="s">
        <v>56</v>
      </c>
      <c r="BJ46" t="s">
        <v>61</v>
      </c>
      <c r="BK46" t="s">
        <v>56</v>
      </c>
      <c r="BL46" t="s">
        <v>62</v>
      </c>
      <c r="BM46" t="s">
        <v>56</v>
      </c>
      <c r="BN46" t="s">
        <v>61</v>
      </c>
      <c r="BO46" t="s">
        <v>56</v>
      </c>
      <c r="BP46" t="s">
        <v>62</v>
      </c>
      <c r="BR46" t="s">
        <v>59</v>
      </c>
      <c r="BS46" t="s">
        <v>56</v>
      </c>
      <c r="BT46" t="s">
        <v>61</v>
      </c>
      <c r="BU46" t="s">
        <v>56</v>
      </c>
      <c r="BV46" t="s">
        <v>62</v>
      </c>
      <c r="BW46" t="s">
        <v>56</v>
      </c>
      <c r="BX46" t="s">
        <v>61</v>
      </c>
      <c r="BY46" t="s">
        <v>56</v>
      </c>
      <c r="BZ46" t="s">
        <v>62</v>
      </c>
      <c r="CA46" t="s">
        <v>56</v>
      </c>
      <c r="CB46" t="s">
        <v>61</v>
      </c>
      <c r="CC46" t="s">
        <v>56</v>
      </c>
      <c r="CD46" t="s">
        <v>62</v>
      </c>
      <c r="CE46" t="s">
        <v>56</v>
      </c>
      <c r="CF46" t="s">
        <v>61</v>
      </c>
      <c r="CG46" t="s">
        <v>56</v>
      </c>
      <c r="CH46" t="s">
        <v>62</v>
      </c>
      <c r="CI46" t="s">
        <v>56</v>
      </c>
      <c r="CJ46" t="s">
        <v>61</v>
      </c>
      <c r="CK46" t="s">
        <v>56</v>
      </c>
      <c r="CL46" t="s">
        <v>62</v>
      </c>
      <c r="CM46" t="s">
        <v>56</v>
      </c>
      <c r="CN46" t="s">
        <v>61</v>
      </c>
      <c r="CO46" t="s">
        <v>56</v>
      </c>
      <c r="CP46" t="s">
        <v>62</v>
      </c>
      <c r="CQ46" t="s">
        <v>56</v>
      </c>
      <c r="CR46" t="s">
        <v>61</v>
      </c>
      <c r="CS46" t="s">
        <v>56</v>
      </c>
      <c r="CT46" t="s">
        <v>62</v>
      </c>
      <c r="CU46" t="s">
        <v>56</v>
      </c>
      <c r="CV46" t="s">
        <v>61</v>
      </c>
      <c r="CW46" t="s">
        <v>56</v>
      </c>
      <c r="CX46" t="s">
        <v>62</v>
      </c>
      <c r="CY46" t="s">
        <v>56</v>
      </c>
      <c r="CZ46" t="s">
        <v>61</v>
      </c>
      <c r="DA46" t="s">
        <v>56</v>
      </c>
      <c r="DB46" t="s">
        <v>62</v>
      </c>
      <c r="DC46" t="s">
        <v>56</v>
      </c>
      <c r="DD46" t="s">
        <v>61</v>
      </c>
      <c r="DE46" t="s">
        <v>56</v>
      </c>
      <c r="DF46" t="s">
        <v>62</v>
      </c>
      <c r="DG46" t="s">
        <v>56</v>
      </c>
      <c r="DH46" t="s">
        <v>61</v>
      </c>
      <c r="DI46" t="s">
        <v>56</v>
      </c>
      <c r="DJ46" t="s">
        <v>62</v>
      </c>
      <c r="DK46" t="s">
        <v>56</v>
      </c>
      <c r="DL46" t="s">
        <v>61</v>
      </c>
      <c r="DM46" t="s">
        <v>56</v>
      </c>
      <c r="DN46" t="s">
        <v>62</v>
      </c>
      <c r="DO46" t="s">
        <v>56</v>
      </c>
      <c r="DP46" t="s">
        <v>61</v>
      </c>
      <c r="DQ46" t="s">
        <v>56</v>
      </c>
      <c r="DR46" t="s">
        <v>62</v>
      </c>
      <c r="DS46" t="s">
        <v>56</v>
      </c>
      <c r="DT46" t="s">
        <v>61</v>
      </c>
      <c r="DU46" t="s">
        <v>56</v>
      </c>
      <c r="DV46" t="s">
        <v>62</v>
      </c>
      <c r="DW46" t="s">
        <v>56</v>
      </c>
      <c r="DX46" t="s">
        <v>61</v>
      </c>
      <c r="DY46" t="s">
        <v>56</v>
      </c>
      <c r="DZ46" t="s">
        <v>62</v>
      </c>
      <c r="EA46" t="s">
        <v>56</v>
      </c>
      <c r="EB46" t="s">
        <v>61</v>
      </c>
      <c r="EC46" t="s">
        <v>56</v>
      </c>
      <c r="ED46" t="s">
        <v>62</v>
      </c>
    </row>
    <row r="47" spans="4:134">
      <c r="E47">
        <f>IF(ISNA(F47),NA(),E31)</f>
        <v>0</v>
      </c>
      <c r="F47">
        <f>IF(F31="",NA(),F31)</f>
        <v>0</v>
      </c>
      <c r="G47">
        <f>IF(ISNA(H47),NA(),G31)</f>
        <v>0</v>
      </c>
      <c r="H47">
        <f>IF(H31="",NA(),H31)</f>
        <v>0</v>
      </c>
      <c r="I47">
        <f>IF(ISNA(J47),NA(),I31)</f>
        <v>0</v>
      </c>
      <c r="J47">
        <f>IF(J31="",NA(),J31)</f>
        <v>0</v>
      </c>
      <c r="K47">
        <f>IF(ISNA(L47),NA(),K31)</f>
        <v>0</v>
      </c>
      <c r="L47">
        <f>IF(L31="",NA(),L31)</f>
        <v>0</v>
      </c>
      <c r="M47">
        <f>IF(ISNA(N47),NA(),M31)</f>
        <v>0</v>
      </c>
      <c r="N47">
        <f>IF(N31="",NA(),N31)</f>
        <v>0</v>
      </c>
      <c r="O47">
        <f>IF(ISNA(P47),NA(),O31)</f>
        <v>0</v>
      </c>
      <c r="P47">
        <f>IF(P31="",NA(),P31)</f>
        <v>0</v>
      </c>
      <c r="Q47">
        <f>IF(ISNA(R47),NA(),Q31)</f>
        <v>0</v>
      </c>
      <c r="R47">
        <f>IF(R31="",NA(),R31)</f>
        <v>0</v>
      </c>
      <c r="S47">
        <f>IF(ISNA(T47),NA(),S31)</f>
        <v>0</v>
      </c>
      <c r="T47">
        <f>IF(T31="",NA(),T31)</f>
        <v>0</v>
      </c>
      <c r="U47">
        <f>IF(ISNA(V47),NA(),U31)</f>
        <v>0</v>
      </c>
      <c r="V47">
        <f>IF(V31="",NA(),V31)</f>
        <v>0</v>
      </c>
      <c r="W47">
        <f>IF(ISNA(X47),NA(),W31)</f>
        <v>0</v>
      </c>
      <c r="X47">
        <f>IF(X31="",NA(),X31)</f>
        <v>0</v>
      </c>
      <c r="Y47">
        <f>IF(ISNA(Z47),NA(),Y31)</f>
        <v>0</v>
      </c>
      <c r="Z47">
        <f>IF(Z31="",NA(),Z31)</f>
        <v>0</v>
      </c>
      <c r="AA47">
        <f>IF(ISNA(AB47),NA(),AA31)</f>
        <v>0</v>
      </c>
      <c r="AB47">
        <f>IF(AB31="",NA(),AB31)</f>
        <v>0</v>
      </c>
      <c r="AC47">
        <f>IF(ISNA(AD47),NA(),AC31)</f>
        <v>0</v>
      </c>
      <c r="AD47">
        <f>IF(AD31="",NA(),AD31)</f>
        <v>0</v>
      </c>
      <c r="AE47">
        <f>IF(ISNA(AF47),NA(),AE31)</f>
        <v>0</v>
      </c>
      <c r="AF47">
        <f>IF(AF31="",NA(),AF31)</f>
        <v>0</v>
      </c>
      <c r="AG47">
        <f>IF(ISNA(AH47),NA(),AG31)</f>
        <v>0</v>
      </c>
      <c r="AH47">
        <f>IF(AH31="",NA(),AH31)</f>
        <v>0</v>
      </c>
      <c r="AI47">
        <f>IF(ISNA(AJ47),NA(),AI31)</f>
        <v>0</v>
      </c>
      <c r="AJ47">
        <f>IF(AJ31="",NA(),AJ31)</f>
        <v>0</v>
      </c>
      <c r="AK47">
        <f>IF(ISNA(AL47),NA(),AK31)</f>
        <v>0</v>
      </c>
      <c r="AL47">
        <f>IF(AL31="",NA(),AL31)</f>
        <v>0</v>
      </c>
      <c r="AM47">
        <f>IF(ISNA(AN47),NA(),AM31)</f>
        <v>0</v>
      </c>
      <c r="AN47">
        <f>IF(AN31="",NA(),AN31)</f>
        <v>0</v>
      </c>
      <c r="AO47">
        <f>IF(ISNA(AP47),NA(),AO31)</f>
        <v>0</v>
      </c>
      <c r="AP47">
        <f>IF(AP31="",NA(),AP31)</f>
        <v>0</v>
      </c>
      <c r="AQ47">
        <f>IF(ISNA(AR47),NA(),AQ31)</f>
        <v>0</v>
      </c>
      <c r="AR47">
        <f>IF(AR31="",NA(),AR31)</f>
        <v>0</v>
      </c>
      <c r="AS47">
        <f>IF(ISNA(AT47),NA(),AS31)</f>
        <v>0</v>
      </c>
      <c r="AT47">
        <f>IF(AT31="",NA(),AT31)</f>
        <v>0</v>
      </c>
      <c r="AU47">
        <f>IF(ISNA(AV47),NA(),AU31)</f>
        <v>0</v>
      </c>
      <c r="AV47">
        <f>IF(AV31="",NA(),AV31)</f>
        <v>0</v>
      </c>
      <c r="AW47">
        <f>IF(ISNA(AX47),NA(),AW31)</f>
        <v>0</v>
      </c>
      <c r="AX47">
        <f>IF(AX31="",NA(),AX31)</f>
        <v>0</v>
      </c>
      <c r="AY47">
        <f>IF(ISNA(AZ47),NA(),AY31)</f>
        <v>0</v>
      </c>
      <c r="AZ47">
        <f>IF(AZ31="",NA(),AZ31)</f>
        <v>0</v>
      </c>
      <c r="BA47">
        <f>IF(ISNA(BB47),NA(),BA31)</f>
        <v>0</v>
      </c>
      <c r="BB47">
        <f>IF(BB31="",NA(),BB31)</f>
        <v>0</v>
      </c>
      <c r="BC47">
        <f>IF(ISNA(BD47),NA(),BC31)</f>
        <v>0</v>
      </c>
      <c r="BD47">
        <f>IF(BD31="",NA(),BD31)</f>
        <v>0</v>
      </c>
      <c r="BE47">
        <f>IF(ISNA(BF47),NA(),BE31)</f>
        <v>0</v>
      </c>
      <c r="BF47">
        <f>IF(BF31="",NA(),BF31)</f>
        <v>0</v>
      </c>
      <c r="BG47">
        <f>IF(ISNA(BH47),NA(),BG31)</f>
        <v>0</v>
      </c>
      <c r="BH47">
        <f>IF(BH31="",NA(),BH31)</f>
        <v>0</v>
      </c>
      <c r="BI47">
        <f>IF(ISNA(BJ47),NA(),BI31)</f>
        <v>0</v>
      </c>
      <c r="BJ47">
        <f>IF(BJ31="",NA(),BJ31)</f>
        <v>0</v>
      </c>
      <c r="BK47">
        <f>IF(ISNA(BL47),NA(),BK31)</f>
        <v>0</v>
      </c>
      <c r="BL47">
        <f>IF(BL31="",NA(),BL31)</f>
        <v>0</v>
      </c>
      <c r="BM47">
        <f>IF(ISNA(BN47),NA(),BM31)</f>
        <v>0</v>
      </c>
      <c r="BN47">
        <f>IF(BN31="",NA(),BN31)</f>
        <v>0</v>
      </c>
      <c r="BO47">
        <f>IF(ISNA(BP47),NA(),BO31)</f>
        <v>0</v>
      </c>
      <c r="BP47">
        <f>IF(BP31="",NA(),BP31)</f>
        <v>0</v>
      </c>
      <c r="BS47">
        <f>IF(ISNA(BT47),NA(),BS31)</f>
        <v>0</v>
      </c>
      <c r="BT47">
        <f>IF(BT31="",NA(),BT31)</f>
        <v>0</v>
      </c>
      <c r="BU47">
        <f>IF(ISNA(BV47),NA(),BU31)</f>
        <v>0</v>
      </c>
      <c r="BV47">
        <f>IF(BV31="",NA(),BV31)</f>
        <v>0</v>
      </c>
      <c r="BW47">
        <f>IF(ISNA(BX47),NA(),BW31)</f>
        <v>0</v>
      </c>
      <c r="BX47">
        <f>IF(BX31="",NA(),BX31)</f>
        <v>0</v>
      </c>
      <c r="BY47">
        <f>IF(ISNA(BZ47),NA(),BY31)</f>
        <v>0</v>
      </c>
      <c r="BZ47">
        <f>IF(BZ31="",NA(),BZ31)</f>
        <v>0</v>
      </c>
      <c r="CA47">
        <f>IF(ISNA(CB47),NA(),CA31)</f>
        <v>0</v>
      </c>
      <c r="CB47">
        <f>IF(CB31="",NA(),CB31)</f>
        <v>0</v>
      </c>
      <c r="CC47">
        <f>IF(ISNA(CD47),NA(),CC31)</f>
        <v>0</v>
      </c>
      <c r="CD47">
        <f>IF(CD31="",NA(),CD31)</f>
        <v>0</v>
      </c>
      <c r="CE47">
        <f>IF(ISNA(CF47),NA(),CE31)</f>
        <v>0</v>
      </c>
      <c r="CF47">
        <f>IF(CF31="",NA(),CF31)</f>
        <v>0</v>
      </c>
      <c r="CG47">
        <f>IF(ISNA(CH47),NA(),CG31)</f>
        <v>0</v>
      </c>
      <c r="CH47">
        <f>IF(CH31="",NA(),CH31)</f>
        <v>0</v>
      </c>
      <c r="CI47">
        <f>IF(ISNA(CJ47),NA(),CI31)</f>
        <v>0</v>
      </c>
      <c r="CJ47">
        <f>IF(CJ31="",NA(),CJ31)</f>
        <v>0</v>
      </c>
      <c r="CK47">
        <f>IF(ISNA(CL47),NA(),CK31)</f>
        <v>0</v>
      </c>
      <c r="CL47">
        <f>IF(CL31="",NA(),CL31)</f>
        <v>0</v>
      </c>
      <c r="CM47">
        <f>IF(ISNA(CN47),NA(),CM31)</f>
        <v>0</v>
      </c>
      <c r="CN47">
        <f>IF(CN31="",NA(),CN31)</f>
        <v>0</v>
      </c>
      <c r="CO47">
        <f>IF(ISNA(CP47),NA(),CO31)</f>
        <v>0</v>
      </c>
      <c r="CP47">
        <f>IF(CP31="",NA(),CP31)</f>
        <v>0</v>
      </c>
      <c r="CQ47">
        <f>IF(ISNA(CR47),NA(),CQ31)</f>
        <v>0</v>
      </c>
      <c r="CR47">
        <f>IF(CR31="",NA(),CR31)</f>
        <v>0</v>
      </c>
      <c r="CS47">
        <f>IF(ISNA(CT47),NA(),CS31)</f>
        <v>0</v>
      </c>
      <c r="CT47">
        <f>IF(CT31="",NA(),CT31)</f>
        <v>0</v>
      </c>
      <c r="CU47">
        <f>IF(ISNA(CV47),NA(),CU31)</f>
        <v>0</v>
      </c>
      <c r="CV47">
        <f>IF(CV31="",NA(),CV31)</f>
        <v>0</v>
      </c>
      <c r="CW47">
        <f>IF(ISNA(CX47),NA(),CW31)</f>
        <v>0</v>
      </c>
      <c r="CX47">
        <f>IF(CX31="",NA(),CX31)</f>
        <v>0</v>
      </c>
      <c r="CY47">
        <f>IF(ISNA(CZ47),NA(),CY31)</f>
        <v>0</v>
      </c>
      <c r="CZ47">
        <f>IF(CZ31="",NA(),CZ31)</f>
        <v>0</v>
      </c>
      <c r="DA47">
        <f>IF(ISNA(DB47),NA(),DA31)</f>
        <v>0</v>
      </c>
      <c r="DB47">
        <f>IF(DB31="",NA(),DB31)</f>
        <v>0</v>
      </c>
      <c r="DC47">
        <f>IF(ISNA(DD47),NA(),DC31)</f>
        <v>0</v>
      </c>
      <c r="DD47">
        <f>IF(DD31="",NA(),DD31)</f>
        <v>0</v>
      </c>
      <c r="DE47">
        <f>IF(ISNA(DF47),NA(),DE31)</f>
        <v>0</v>
      </c>
      <c r="DF47">
        <f>IF(DF31="",NA(),DF31)</f>
        <v>0</v>
      </c>
      <c r="DG47">
        <f>IF(ISNA(DH47),NA(),DG31)</f>
        <v>0</v>
      </c>
      <c r="DH47">
        <f>IF(DH31="",NA(),DH31)</f>
        <v>0</v>
      </c>
      <c r="DI47">
        <f>IF(ISNA(DJ47),NA(),DI31)</f>
        <v>0</v>
      </c>
      <c r="DJ47">
        <f>IF(DJ31="",NA(),DJ31)</f>
        <v>0</v>
      </c>
      <c r="DK47">
        <f>IF(ISNA(DL47),NA(),DK31)</f>
        <v>0</v>
      </c>
      <c r="DL47">
        <f>IF(DL31="",NA(),DL31)</f>
        <v>0</v>
      </c>
      <c r="DM47">
        <f>IF(ISNA(DN47),NA(),DM31)</f>
        <v>0</v>
      </c>
      <c r="DN47">
        <f>IF(DN31="",NA(),DN31)</f>
        <v>0</v>
      </c>
      <c r="DO47">
        <f>IF(ISNA(DP47),NA(),DO31)</f>
        <v>0</v>
      </c>
      <c r="DP47">
        <f>IF(DP31="",NA(),DP31)</f>
        <v>0</v>
      </c>
      <c r="DQ47">
        <f>IF(ISNA(DR47),NA(),DQ31)</f>
        <v>0</v>
      </c>
      <c r="DR47">
        <f>IF(DR31="",NA(),DR31)</f>
        <v>0</v>
      </c>
      <c r="DS47">
        <f>IF(ISNA(DT47),NA(),DS31)</f>
        <v>0</v>
      </c>
      <c r="DT47">
        <f>IF(DT31="",NA(),DT31)</f>
        <v>0</v>
      </c>
      <c r="DU47">
        <f>IF(ISNA(DV47),NA(),DU31)</f>
        <v>0</v>
      </c>
      <c r="DV47">
        <f>IF(DV31="",NA(),DV31)</f>
        <v>0</v>
      </c>
      <c r="DW47">
        <f>IF(ISNA(DX47),NA(),DW31)</f>
        <v>0</v>
      </c>
      <c r="DX47">
        <f>IF(DX31="",NA(),DX31)</f>
        <v>0</v>
      </c>
      <c r="DY47">
        <f>IF(ISNA(DZ47),NA(),DY31)</f>
        <v>0</v>
      </c>
      <c r="DZ47">
        <f>IF(DZ31="",NA(),DZ31)</f>
        <v>0</v>
      </c>
      <c r="EA47">
        <f>IF(ISNA(EB47),NA(),EA31)</f>
        <v>0</v>
      </c>
      <c r="EB47">
        <f>IF(EB31="",NA(),EB31)</f>
        <v>0</v>
      </c>
      <c r="EC47">
        <f>IF(ISNA(ED47),NA(),EC31)</f>
        <v>0</v>
      </c>
      <c r="ED47">
        <f>IF(ED31="",NA(),ED31)</f>
        <v>0</v>
      </c>
    </row>
    <row r="48" spans="4:134">
      <c r="E48">
        <f>IF(ISNA(F48),NA(),E32)</f>
        <v>0</v>
      </c>
      <c r="F48">
        <f>IF(OR(F32="",AND(F32=F31,F32=F33)),NA(), F32)</f>
        <v>0</v>
      </c>
      <c r="G48">
        <f>IF(ISNA(H48),NA(),G32)</f>
        <v>0</v>
      </c>
      <c r="H48">
        <f>IF(OR(H32="",AND(H32=H31,H32=H33)),NA(), H32)</f>
        <v>0</v>
      </c>
      <c r="I48">
        <f>IF(ISNA(J48),NA(),I32)</f>
        <v>0</v>
      </c>
      <c r="J48">
        <f>IF(OR(J32="",AND(J32=J31,J32=J33)),NA(), J32)</f>
        <v>0</v>
      </c>
      <c r="K48">
        <f>IF(ISNA(L48),NA(),K32)</f>
        <v>0</v>
      </c>
      <c r="L48">
        <f>IF(OR(L32="",AND(L32=L31,L32=L33)),NA(), L32)</f>
        <v>0</v>
      </c>
      <c r="M48">
        <f>IF(ISNA(N48),NA(),M32)</f>
        <v>0</v>
      </c>
      <c r="N48">
        <f>IF(OR(N32="",AND(N32=N31,N32=N33)),NA(), N32)</f>
        <v>0</v>
      </c>
      <c r="O48">
        <f>IF(ISNA(P48),NA(),O32)</f>
        <v>0</v>
      </c>
      <c r="P48">
        <f>IF(OR(P32="",AND(P32=P31,P32=P33)),NA(), P32)</f>
        <v>0</v>
      </c>
      <c r="Q48">
        <f>IF(ISNA(R48),NA(),Q32)</f>
        <v>0</v>
      </c>
      <c r="R48">
        <f>IF(OR(R32="",AND(R32=R31,R32=R33)),NA(), R32)</f>
        <v>0</v>
      </c>
      <c r="S48">
        <f>IF(ISNA(T48),NA(),S32)</f>
        <v>0</v>
      </c>
      <c r="T48">
        <f>IF(OR(T32="",AND(T32=T31,T32=T33)),NA(), T32)</f>
        <v>0</v>
      </c>
      <c r="U48">
        <f>IF(ISNA(V48),NA(),U32)</f>
        <v>0</v>
      </c>
      <c r="V48">
        <f>IF(OR(V32="",AND(V32=V31,V32=V33)),NA(), V32)</f>
        <v>0</v>
      </c>
      <c r="W48">
        <f>IF(ISNA(X48),NA(),W32)</f>
        <v>0</v>
      </c>
      <c r="X48">
        <f>IF(OR(X32="",AND(X32=X31,X32=X33)),NA(), X32)</f>
        <v>0</v>
      </c>
      <c r="Y48">
        <f>IF(ISNA(Z48),NA(),Y32)</f>
        <v>0</v>
      </c>
      <c r="Z48">
        <f>IF(OR(Z32="",AND(Z32=Z31,Z32=Z33)),NA(), Z32)</f>
        <v>0</v>
      </c>
      <c r="AA48">
        <f>IF(ISNA(AB48),NA(),AA32)</f>
        <v>0</v>
      </c>
      <c r="AB48">
        <f>IF(OR(AB32="",AND(AB32=AB31,AB32=AB33)),NA(), AB32)</f>
        <v>0</v>
      </c>
      <c r="AC48">
        <f>IF(ISNA(AD48),NA(),AC32)</f>
        <v>0</v>
      </c>
      <c r="AD48">
        <f>IF(OR(AD32="",AND(AD32=AD31,AD32=AD33)),NA(), AD32)</f>
        <v>0</v>
      </c>
      <c r="AE48">
        <f>IF(ISNA(AF48),NA(),AE32)</f>
        <v>0</v>
      </c>
      <c r="AF48">
        <f>IF(OR(AF32="",AND(AF32=AF31,AF32=AF33)),NA(), AF32)</f>
        <v>0</v>
      </c>
      <c r="AG48">
        <f>IF(ISNA(AH48),NA(),AG32)</f>
        <v>0</v>
      </c>
      <c r="AH48">
        <f>IF(OR(AH32="",AND(AH32=AH31,AH32=AH33)),NA(), AH32)</f>
        <v>0</v>
      </c>
      <c r="AI48">
        <f>IF(ISNA(AJ48),NA(),AI32)</f>
        <v>0</v>
      </c>
      <c r="AJ48">
        <f>IF(OR(AJ32="",AND(AJ32=AJ31,AJ32=AJ33)),NA(), AJ32)</f>
        <v>0</v>
      </c>
      <c r="AK48">
        <f>IF(ISNA(AL48),NA(),AK32)</f>
        <v>0</v>
      </c>
      <c r="AL48">
        <f>IF(OR(AL32="",AND(AL32=AL31,AL32=AL33)),NA(), AL32)</f>
        <v>0</v>
      </c>
      <c r="AM48">
        <f>IF(ISNA(AN48),NA(),AM32)</f>
        <v>0</v>
      </c>
      <c r="AN48">
        <f>IF(OR(AN32="",AND(AN32=AN31,AN32=AN33)),NA(), AN32)</f>
        <v>0</v>
      </c>
      <c r="AO48">
        <f>IF(ISNA(AP48),NA(),AO32)</f>
        <v>0</v>
      </c>
      <c r="AP48">
        <f>IF(OR(AP32="",AND(AP32=AP31,AP32=AP33)),NA(), AP32)</f>
        <v>0</v>
      </c>
      <c r="AQ48">
        <f>IF(ISNA(AR48),NA(),AQ32)</f>
        <v>0</v>
      </c>
      <c r="AR48">
        <f>IF(OR(AR32="",AND(AR32=AR31,AR32=AR33)),NA(), AR32)</f>
        <v>0</v>
      </c>
      <c r="AS48">
        <f>IF(ISNA(AT48),NA(),AS32)</f>
        <v>0</v>
      </c>
      <c r="AT48">
        <f>IF(OR(AT32="",AND(AT32=AT31,AT32=AT33)),NA(), AT32)</f>
        <v>0</v>
      </c>
      <c r="AU48">
        <f>IF(ISNA(AV48),NA(),AU32)</f>
        <v>0</v>
      </c>
      <c r="AV48">
        <f>IF(OR(AV32="",AND(AV32=AV31,AV32=AV33)),NA(), AV32)</f>
        <v>0</v>
      </c>
      <c r="AW48">
        <f>IF(ISNA(AX48),NA(),AW32)</f>
        <v>0</v>
      </c>
      <c r="AX48">
        <f>IF(OR(AX32="",AND(AX32=AX31,AX32=AX33)),NA(), AX32)</f>
        <v>0</v>
      </c>
      <c r="AY48">
        <f>IF(ISNA(AZ48),NA(),AY32)</f>
        <v>0</v>
      </c>
      <c r="AZ48">
        <f>IF(OR(AZ32="",AND(AZ32=AZ31,AZ32=AZ33)),NA(), AZ32)</f>
        <v>0</v>
      </c>
      <c r="BA48">
        <f>IF(ISNA(BB48),NA(),BA32)</f>
        <v>0</v>
      </c>
      <c r="BB48">
        <f>IF(OR(BB32="",AND(BB32=BB31,BB32=BB33)),NA(), BB32)</f>
        <v>0</v>
      </c>
      <c r="BC48">
        <f>IF(ISNA(BD48),NA(),BC32)</f>
        <v>0</v>
      </c>
      <c r="BD48">
        <f>IF(OR(BD32="",AND(BD32=BD31,BD32=BD33)),NA(), BD32)</f>
        <v>0</v>
      </c>
      <c r="BE48">
        <f>IF(ISNA(BF48),NA(),BE32)</f>
        <v>0</v>
      </c>
      <c r="BF48">
        <f>IF(OR(BF32="",AND(BF32=BF31,BF32=BF33)),NA(), BF32)</f>
        <v>0</v>
      </c>
      <c r="BG48">
        <f>IF(ISNA(BH48),NA(),BG32)</f>
        <v>0</v>
      </c>
      <c r="BH48">
        <f>IF(OR(BH32="",AND(BH32=BH31,BH32=BH33)),NA(), BH32)</f>
        <v>0</v>
      </c>
      <c r="BI48">
        <f>IF(ISNA(BJ48),NA(),BI32)</f>
        <v>0</v>
      </c>
      <c r="BJ48">
        <f>IF(OR(BJ32="",AND(BJ32=BJ31,BJ32=BJ33)),NA(), BJ32)</f>
        <v>0</v>
      </c>
      <c r="BK48">
        <f>IF(ISNA(BL48),NA(),BK32)</f>
        <v>0</v>
      </c>
      <c r="BL48">
        <f>IF(OR(BL32="",AND(BL32=BL31,BL32=BL33)),NA(), BL32)</f>
        <v>0</v>
      </c>
      <c r="BM48">
        <f>IF(ISNA(BN48),NA(),BM32)</f>
        <v>0</v>
      </c>
      <c r="BN48">
        <f>IF(OR(BN32="",AND(BN32=BN31,BN32=BN33)),NA(), BN32)</f>
        <v>0</v>
      </c>
      <c r="BO48">
        <f>IF(ISNA(BP48),NA(),BO32)</f>
        <v>0</v>
      </c>
      <c r="BP48">
        <f>IF(OR(BP32="",AND(BP32=BP31,BP32=BP33)),NA(), BP32)</f>
        <v>0</v>
      </c>
      <c r="BS48">
        <f>IF(ISNA(BT48),NA(),BS32)</f>
        <v>0</v>
      </c>
      <c r="BT48">
        <f>IF(OR(BT32="",AND(BT32=BT31,BT32=BT33)),NA(), BT32)</f>
        <v>0</v>
      </c>
      <c r="BU48">
        <f>IF(ISNA(BV48),NA(),BU32)</f>
        <v>0</v>
      </c>
      <c r="BV48">
        <f>IF(OR(BV32="",AND(BV32=BV31,BV32=BV33)),NA(), BV32)</f>
        <v>0</v>
      </c>
      <c r="BW48">
        <f>IF(ISNA(BX48),NA(),BW32)</f>
        <v>0</v>
      </c>
      <c r="BX48">
        <f>IF(OR(BX32="",AND(BX32=BX31,BX32=BX33)),NA(), BX32)</f>
        <v>0</v>
      </c>
      <c r="BY48">
        <f>IF(ISNA(BZ48),NA(),BY32)</f>
        <v>0</v>
      </c>
      <c r="BZ48">
        <f>IF(OR(BZ32="",AND(BZ32=BZ31,BZ32=BZ33)),NA(), BZ32)</f>
        <v>0</v>
      </c>
      <c r="CA48">
        <f>IF(ISNA(CB48),NA(),CA32)</f>
        <v>0</v>
      </c>
      <c r="CB48">
        <f>IF(OR(CB32="",AND(CB32=CB31,CB32=CB33)),NA(), CB32)</f>
        <v>0</v>
      </c>
      <c r="CC48">
        <f>IF(ISNA(CD48),NA(),CC32)</f>
        <v>0</v>
      </c>
      <c r="CD48">
        <f>IF(OR(CD32="",AND(CD32=CD31,CD32=CD33)),NA(), CD32)</f>
        <v>0</v>
      </c>
      <c r="CE48">
        <f>IF(ISNA(CF48),NA(),CE32)</f>
        <v>0</v>
      </c>
      <c r="CF48">
        <f>IF(OR(CF32="",AND(CF32=CF31,CF32=CF33)),NA(), CF32)</f>
        <v>0</v>
      </c>
      <c r="CG48">
        <f>IF(ISNA(CH48),NA(),CG32)</f>
        <v>0</v>
      </c>
      <c r="CH48">
        <f>IF(OR(CH32="",AND(CH32=CH31,CH32=CH33)),NA(), CH32)</f>
        <v>0</v>
      </c>
      <c r="CI48">
        <f>IF(ISNA(CJ48),NA(),CI32)</f>
        <v>0</v>
      </c>
      <c r="CJ48">
        <f>IF(OR(CJ32="",AND(CJ32=CJ31,CJ32=CJ33)),NA(), CJ32)</f>
        <v>0</v>
      </c>
      <c r="CK48">
        <f>IF(ISNA(CL48),NA(),CK32)</f>
        <v>0</v>
      </c>
      <c r="CL48">
        <f>IF(OR(CL32="",AND(CL32=CL31,CL32=CL33)),NA(), CL32)</f>
        <v>0</v>
      </c>
      <c r="CM48">
        <f>IF(ISNA(CN48),NA(),CM32)</f>
        <v>0</v>
      </c>
      <c r="CN48">
        <f>IF(OR(CN32="",AND(CN32=CN31,CN32=CN33)),NA(), CN32)</f>
        <v>0</v>
      </c>
      <c r="CO48">
        <f>IF(ISNA(CP48),NA(),CO32)</f>
        <v>0</v>
      </c>
      <c r="CP48">
        <f>IF(OR(CP32="",AND(CP32=CP31,CP32=CP33)),NA(), CP32)</f>
        <v>0</v>
      </c>
      <c r="CQ48">
        <f>IF(ISNA(CR48),NA(),CQ32)</f>
        <v>0</v>
      </c>
      <c r="CR48">
        <f>IF(OR(CR32="",AND(CR32=CR31,CR32=CR33)),NA(), CR32)</f>
        <v>0</v>
      </c>
      <c r="CS48">
        <f>IF(ISNA(CT48),NA(),CS32)</f>
        <v>0</v>
      </c>
      <c r="CT48">
        <f>IF(OR(CT32="",AND(CT32=CT31,CT32=CT33)),NA(), CT32)</f>
        <v>0</v>
      </c>
      <c r="CU48">
        <f>IF(ISNA(CV48),NA(),CU32)</f>
        <v>0</v>
      </c>
      <c r="CV48">
        <f>IF(OR(CV32="",AND(CV32=CV31,CV32=CV33)),NA(), CV32)</f>
        <v>0</v>
      </c>
      <c r="CW48">
        <f>IF(ISNA(CX48),NA(),CW32)</f>
        <v>0</v>
      </c>
      <c r="CX48">
        <f>IF(OR(CX32="",AND(CX32=CX31,CX32=CX33)),NA(), CX32)</f>
        <v>0</v>
      </c>
      <c r="CY48">
        <f>IF(ISNA(CZ48),NA(),CY32)</f>
        <v>0</v>
      </c>
      <c r="CZ48">
        <f>IF(OR(CZ32="",AND(CZ32=CZ31,CZ32=CZ33)),NA(), CZ32)</f>
        <v>0</v>
      </c>
      <c r="DA48">
        <f>IF(ISNA(DB48),NA(),DA32)</f>
        <v>0</v>
      </c>
      <c r="DB48">
        <f>IF(OR(DB32="",AND(DB32=DB31,DB32=DB33)),NA(), DB32)</f>
        <v>0</v>
      </c>
      <c r="DC48">
        <f>IF(ISNA(DD48),NA(),DC32)</f>
        <v>0</v>
      </c>
      <c r="DD48">
        <f>IF(OR(DD32="",AND(DD32=DD31,DD32=DD33)),NA(), DD32)</f>
        <v>0</v>
      </c>
      <c r="DE48">
        <f>IF(ISNA(DF48),NA(),DE32)</f>
        <v>0</v>
      </c>
      <c r="DF48">
        <f>IF(OR(DF32="",AND(DF32=DF31,DF32=DF33)),NA(), DF32)</f>
        <v>0</v>
      </c>
      <c r="DG48">
        <f>IF(ISNA(DH48),NA(),DG32)</f>
        <v>0</v>
      </c>
      <c r="DH48">
        <f>IF(OR(DH32="",AND(DH32=DH31,DH32=DH33)),NA(), DH32)</f>
        <v>0</v>
      </c>
      <c r="DI48">
        <f>IF(ISNA(DJ48),NA(),DI32)</f>
        <v>0</v>
      </c>
      <c r="DJ48">
        <f>IF(OR(DJ32="",AND(DJ32=DJ31,DJ32=DJ33)),NA(), DJ32)</f>
        <v>0</v>
      </c>
      <c r="DK48">
        <f>IF(ISNA(DL48),NA(),DK32)</f>
        <v>0</v>
      </c>
      <c r="DL48">
        <f>IF(OR(DL32="",AND(DL32=DL31,DL32=DL33)),NA(), DL32)</f>
        <v>0</v>
      </c>
      <c r="DM48">
        <f>IF(ISNA(DN48),NA(),DM32)</f>
        <v>0</v>
      </c>
      <c r="DN48">
        <f>IF(OR(DN32="",AND(DN32=DN31,DN32=DN33)),NA(), DN32)</f>
        <v>0</v>
      </c>
      <c r="DO48">
        <f>IF(ISNA(DP48),NA(),DO32)</f>
        <v>0</v>
      </c>
      <c r="DP48">
        <f>IF(OR(DP32="",AND(DP32=DP31,DP32=DP33)),NA(), DP32)</f>
        <v>0</v>
      </c>
      <c r="DQ48">
        <f>IF(ISNA(DR48),NA(),DQ32)</f>
        <v>0</v>
      </c>
      <c r="DR48">
        <f>IF(OR(DR32="",AND(DR32=DR31,DR32=DR33)),NA(), DR32)</f>
        <v>0</v>
      </c>
      <c r="DS48">
        <f>IF(ISNA(DT48),NA(),DS32)</f>
        <v>0</v>
      </c>
      <c r="DT48">
        <f>IF(OR(DT32="",AND(DT32=DT31,DT32=DT33)),NA(), DT32)</f>
        <v>0</v>
      </c>
      <c r="DU48">
        <f>IF(ISNA(DV48),NA(),DU32)</f>
        <v>0</v>
      </c>
      <c r="DV48">
        <f>IF(OR(DV32="",AND(DV32=DV31,DV32=DV33)),NA(), DV32)</f>
        <v>0</v>
      </c>
      <c r="DW48">
        <f>IF(ISNA(DX48),NA(),DW32)</f>
        <v>0</v>
      </c>
      <c r="DX48">
        <f>IF(OR(DX32="",AND(DX32=DX31,DX32=DX33)),NA(), DX32)</f>
        <v>0</v>
      </c>
      <c r="DY48">
        <f>IF(ISNA(DZ48),NA(),DY32)</f>
        <v>0</v>
      </c>
      <c r="DZ48">
        <f>IF(OR(DZ32="",AND(DZ32=DZ31,DZ32=DZ33)),NA(), DZ32)</f>
        <v>0</v>
      </c>
      <c r="EA48">
        <f>IF(ISNA(EB48),NA(),EA32)</f>
        <v>0</v>
      </c>
      <c r="EB48">
        <f>IF(OR(EB32="",AND(EB32=EB31,EB32=EB33)),NA(), EB32)</f>
        <v>0</v>
      </c>
      <c r="EC48">
        <f>IF(ISNA(ED48),NA(),EC32)</f>
        <v>0</v>
      </c>
      <c r="ED48">
        <f>IF(OR(ED32="",AND(ED32=ED31,ED32=ED33)),NA(), ED32)</f>
        <v>0</v>
      </c>
    </row>
    <row r="49" spans="5:134">
      <c r="E49">
        <f>IF(ISNA(F49),NA(),E33)</f>
        <v>0</v>
      </c>
      <c r="F49">
        <f>IF(OR(F33="",AND(F33=F32,F33=F34)),NA(), F33)</f>
        <v>0</v>
      </c>
      <c r="G49">
        <f>IF(ISNA(H49),NA(),G33)</f>
        <v>0</v>
      </c>
      <c r="H49">
        <f>IF(OR(H33="",AND(H33=H32,H33=H34)),NA(), H33)</f>
        <v>0</v>
      </c>
      <c r="I49">
        <f>IF(ISNA(J49),NA(),I33)</f>
        <v>0</v>
      </c>
      <c r="J49">
        <f>IF(OR(J33="",AND(J33=J32,J33=J34)),NA(), J33)</f>
        <v>0</v>
      </c>
      <c r="K49">
        <f>IF(ISNA(L49),NA(),K33)</f>
        <v>0</v>
      </c>
      <c r="L49">
        <f>IF(OR(L33="",AND(L33=L32,L33=L34)),NA(), L33)</f>
        <v>0</v>
      </c>
      <c r="M49">
        <f>IF(ISNA(N49),NA(),M33)</f>
        <v>0</v>
      </c>
      <c r="N49">
        <f>IF(OR(N33="",AND(N33=N32,N33=N34)),NA(), N33)</f>
        <v>0</v>
      </c>
      <c r="O49">
        <f>IF(ISNA(P49),NA(),O33)</f>
        <v>0</v>
      </c>
      <c r="P49">
        <f>IF(OR(P33="",AND(P33=P32,P33=P34)),NA(), P33)</f>
        <v>0</v>
      </c>
      <c r="Q49">
        <f>IF(ISNA(R49),NA(),Q33)</f>
        <v>0</v>
      </c>
      <c r="R49">
        <f>IF(OR(R33="",AND(R33=R32,R33=R34)),NA(), R33)</f>
        <v>0</v>
      </c>
      <c r="S49">
        <f>IF(ISNA(T49),NA(),S33)</f>
        <v>0</v>
      </c>
      <c r="T49">
        <f>IF(OR(T33="",AND(T33=T32,T33=T34)),NA(), T33)</f>
        <v>0</v>
      </c>
      <c r="U49">
        <f>IF(ISNA(V49),NA(),U33)</f>
        <v>0</v>
      </c>
      <c r="V49">
        <f>IF(OR(V33="",AND(V33=V32,V33=V34)),NA(), V33)</f>
        <v>0</v>
      </c>
      <c r="W49">
        <f>IF(ISNA(X49),NA(),W33)</f>
        <v>0</v>
      </c>
      <c r="X49">
        <f>IF(OR(X33="",AND(X33=X32,X33=X34)),NA(), X33)</f>
        <v>0</v>
      </c>
      <c r="Y49">
        <f>IF(ISNA(Z49),NA(),Y33)</f>
        <v>0</v>
      </c>
      <c r="Z49">
        <f>IF(OR(Z33="",AND(Z33=Z32,Z33=Z34)),NA(), Z33)</f>
        <v>0</v>
      </c>
      <c r="AA49">
        <f>IF(ISNA(AB49),NA(),AA33)</f>
        <v>0</v>
      </c>
      <c r="AB49">
        <f>IF(OR(AB33="",AND(AB33=AB32,AB33=AB34)),NA(), AB33)</f>
        <v>0</v>
      </c>
      <c r="AC49">
        <f>IF(ISNA(AD49),NA(),AC33)</f>
        <v>0</v>
      </c>
      <c r="AD49">
        <f>IF(OR(AD33="",AND(AD33=AD32,AD33=AD34)),NA(), AD33)</f>
        <v>0</v>
      </c>
      <c r="AE49">
        <f>IF(ISNA(AF49),NA(),AE33)</f>
        <v>0</v>
      </c>
      <c r="AF49">
        <f>IF(OR(AF33="",AND(AF33=AF32,AF33=AF34)),NA(), AF33)</f>
        <v>0</v>
      </c>
      <c r="AG49">
        <f>IF(ISNA(AH49),NA(),AG33)</f>
        <v>0</v>
      </c>
      <c r="AH49">
        <f>IF(OR(AH33="",AND(AH33=AH32,AH33=AH34)),NA(), AH33)</f>
        <v>0</v>
      </c>
      <c r="AI49">
        <f>IF(ISNA(AJ49),NA(),AI33)</f>
        <v>0</v>
      </c>
      <c r="AJ49">
        <f>IF(OR(AJ33="",AND(AJ33=AJ32,AJ33=AJ34)),NA(), AJ33)</f>
        <v>0</v>
      </c>
      <c r="AK49">
        <f>IF(ISNA(AL49),NA(),AK33)</f>
        <v>0</v>
      </c>
      <c r="AL49">
        <f>IF(OR(AL33="",AND(AL33=AL32,AL33=AL34)),NA(), AL33)</f>
        <v>0</v>
      </c>
      <c r="AM49">
        <f>IF(ISNA(AN49),NA(),AM33)</f>
        <v>0</v>
      </c>
      <c r="AN49">
        <f>IF(OR(AN33="",AND(AN33=AN32,AN33=AN34)),NA(), AN33)</f>
        <v>0</v>
      </c>
      <c r="AO49">
        <f>IF(ISNA(AP49),NA(),AO33)</f>
        <v>0</v>
      </c>
      <c r="AP49">
        <f>IF(OR(AP33="",AND(AP33=AP32,AP33=AP34)),NA(), AP33)</f>
        <v>0</v>
      </c>
      <c r="AQ49">
        <f>IF(ISNA(AR49),NA(),AQ33)</f>
        <v>0</v>
      </c>
      <c r="AR49">
        <f>IF(OR(AR33="",AND(AR33=AR32,AR33=AR34)),NA(), AR33)</f>
        <v>0</v>
      </c>
      <c r="AS49">
        <f>IF(ISNA(AT49),NA(),AS33)</f>
        <v>0</v>
      </c>
      <c r="AT49">
        <f>IF(OR(AT33="",AND(AT33=AT32,AT33=AT34)),NA(), AT33)</f>
        <v>0</v>
      </c>
      <c r="AU49">
        <f>IF(ISNA(AV49),NA(),AU33)</f>
        <v>0</v>
      </c>
      <c r="AV49">
        <f>IF(OR(AV33="",AND(AV33=AV32,AV33=AV34)),NA(), AV33)</f>
        <v>0</v>
      </c>
      <c r="AW49">
        <f>IF(ISNA(AX49),NA(),AW33)</f>
        <v>0</v>
      </c>
      <c r="AX49">
        <f>IF(OR(AX33="",AND(AX33=AX32,AX33=AX34)),NA(), AX33)</f>
        <v>0</v>
      </c>
      <c r="AY49">
        <f>IF(ISNA(AZ49),NA(),AY33)</f>
        <v>0</v>
      </c>
      <c r="AZ49">
        <f>IF(OR(AZ33="",AND(AZ33=AZ32,AZ33=AZ34)),NA(), AZ33)</f>
        <v>0</v>
      </c>
      <c r="BA49">
        <f>IF(ISNA(BB49),NA(),BA33)</f>
        <v>0</v>
      </c>
      <c r="BB49">
        <f>IF(OR(BB33="",AND(BB33=BB32,BB33=BB34)),NA(), BB33)</f>
        <v>0</v>
      </c>
      <c r="BC49">
        <f>IF(ISNA(BD49),NA(),BC33)</f>
        <v>0</v>
      </c>
      <c r="BD49">
        <f>IF(OR(BD33="",AND(BD33=BD32,BD33=BD34)),NA(), BD33)</f>
        <v>0</v>
      </c>
      <c r="BE49">
        <f>IF(ISNA(BF49),NA(),BE33)</f>
        <v>0</v>
      </c>
      <c r="BF49">
        <f>IF(OR(BF33="",AND(BF33=BF32,BF33=BF34)),NA(), BF33)</f>
        <v>0</v>
      </c>
      <c r="BG49">
        <f>IF(ISNA(BH49),NA(),BG33)</f>
        <v>0</v>
      </c>
      <c r="BH49">
        <f>IF(OR(BH33="",AND(BH33=BH32,BH33=BH34)),NA(), BH33)</f>
        <v>0</v>
      </c>
      <c r="BI49">
        <f>IF(ISNA(BJ49),NA(),BI33)</f>
        <v>0</v>
      </c>
      <c r="BJ49">
        <f>IF(OR(BJ33="",AND(BJ33=BJ32,BJ33=BJ34)),NA(), BJ33)</f>
        <v>0</v>
      </c>
      <c r="BK49">
        <f>IF(ISNA(BL49),NA(),BK33)</f>
        <v>0</v>
      </c>
      <c r="BL49">
        <f>IF(OR(BL33="",AND(BL33=BL32,BL33=BL34)),NA(), BL33)</f>
        <v>0</v>
      </c>
      <c r="BM49">
        <f>IF(ISNA(BN49),NA(),BM33)</f>
        <v>0</v>
      </c>
      <c r="BN49">
        <f>IF(OR(BN33="",AND(BN33=BN32,BN33=BN34)),NA(), BN33)</f>
        <v>0</v>
      </c>
      <c r="BO49">
        <f>IF(ISNA(BP49),NA(),BO33)</f>
        <v>0</v>
      </c>
      <c r="BP49">
        <f>IF(OR(BP33="",AND(BP33=BP32,BP33=BP34)),NA(), BP33)</f>
        <v>0</v>
      </c>
      <c r="BS49">
        <f>IF(ISNA(BT49),NA(),BS33)</f>
        <v>0</v>
      </c>
      <c r="BT49">
        <f>IF(OR(BT33="",AND(BT33=BT32,BT33=BT34)),NA(), BT33)</f>
        <v>0</v>
      </c>
      <c r="BU49">
        <f>IF(ISNA(BV49),NA(),BU33)</f>
        <v>0</v>
      </c>
      <c r="BV49">
        <f>IF(OR(BV33="",AND(BV33=BV32,BV33=BV34)),NA(), BV33)</f>
        <v>0</v>
      </c>
      <c r="BW49">
        <f>IF(ISNA(BX49),NA(),BW33)</f>
        <v>0</v>
      </c>
      <c r="BX49">
        <f>IF(OR(BX33="",AND(BX33=BX32,BX33=BX34)),NA(), BX33)</f>
        <v>0</v>
      </c>
      <c r="BY49">
        <f>IF(ISNA(BZ49),NA(),BY33)</f>
        <v>0</v>
      </c>
      <c r="BZ49">
        <f>IF(OR(BZ33="",AND(BZ33=BZ32,BZ33=BZ34)),NA(), BZ33)</f>
        <v>0</v>
      </c>
      <c r="CA49">
        <f>IF(ISNA(CB49),NA(),CA33)</f>
        <v>0</v>
      </c>
      <c r="CB49">
        <f>IF(OR(CB33="",AND(CB33=CB32,CB33=CB34)),NA(), CB33)</f>
        <v>0</v>
      </c>
      <c r="CC49">
        <f>IF(ISNA(CD49),NA(),CC33)</f>
        <v>0</v>
      </c>
      <c r="CD49">
        <f>IF(OR(CD33="",AND(CD33=CD32,CD33=CD34)),NA(), CD33)</f>
        <v>0</v>
      </c>
      <c r="CE49">
        <f>IF(ISNA(CF49),NA(),CE33)</f>
        <v>0</v>
      </c>
      <c r="CF49">
        <f>IF(OR(CF33="",AND(CF33=CF32,CF33=CF34)),NA(), CF33)</f>
        <v>0</v>
      </c>
      <c r="CG49">
        <f>IF(ISNA(CH49),NA(),CG33)</f>
        <v>0</v>
      </c>
      <c r="CH49">
        <f>IF(OR(CH33="",AND(CH33=CH32,CH33=CH34)),NA(), CH33)</f>
        <v>0</v>
      </c>
      <c r="CI49">
        <f>IF(ISNA(CJ49),NA(),CI33)</f>
        <v>0</v>
      </c>
      <c r="CJ49">
        <f>IF(OR(CJ33="",AND(CJ33=CJ32,CJ33=CJ34)),NA(), CJ33)</f>
        <v>0</v>
      </c>
      <c r="CK49">
        <f>IF(ISNA(CL49),NA(),CK33)</f>
        <v>0</v>
      </c>
      <c r="CL49">
        <f>IF(OR(CL33="",AND(CL33=CL32,CL33=CL34)),NA(), CL33)</f>
        <v>0</v>
      </c>
      <c r="CM49">
        <f>IF(ISNA(CN49),NA(),CM33)</f>
        <v>0</v>
      </c>
      <c r="CN49">
        <f>IF(OR(CN33="",AND(CN33=CN32,CN33=CN34)),NA(), CN33)</f>
        <v>0</v>
      </c>
      <c r="CO49">
        <f>IF(ISNA(CP49),NA(),CO33)</f>
        <v>0</v>
      </c>
      <c r="CP49">
        <f>IF(OR(CP33="",AND(CP33=CP32,CP33=CP34)),NA(), CP33)</f>
        <v>0</v>
      </c>
      <c r="CQ49">
        <f>IF(ISNA(CR49),NA(),CQ33)</f>
        <v>0</v>
      </c>
      <c r="CR49">
        <f>IF(OR(CR33="",AND(CR33=CR32,CR33=CR34)),NA(), CR33)</f>
        <v>0</v>
      </c>
      <c r="CS49">
        <f>IF(ISNA(CT49),NA(),CS33)</f>
        <v>0</v>
      </c>
      <c r="CT49">
        <f>IF(OR(CT33="",AND(CT33=CT32,CT33=CT34)),NA(), CT33)</f>
        <v>0</v>
      </c>
      <c r="CU49">
        <f>IF(ISNA(CV49),NA(),CU33)</f>
        <v>0</v>
      </c>
      <c r="CV49">
        <f>IF(OR(CV33="",AND(CV33=CV32,CV33=CV34)),NA(), CV33)</f>
        <v>0</v>
      </c>
      <c r="CW49">
        <f>IF(ISNA(CX49),NA(),CW33)</f>
        <v>0</v>
      </c>
      <c r="CX49">
        <f>IF(OR(CX33="",AND(CX33=CX32,CX33=CX34)),NA(), CX33)</f>
        <v>0</v>
      </c>
      <c r="CY49">
        <f>IF(ISNA(CZ49),NA(),CY33)</f>
        <v>0</v>
      </c>
      <c r="CZ49">
        <f>IF(OR(CZ33="",AND(CZ33=CZ32,CZ33=CZ34)),NA(), CZ33)</f>
        <v>0</v>
      </c>
      <c r="DA49">
        <f>IF(ISNA(DB49),NA(),DA33)</f>
        <v>0</v>
      </c>
      <c r="DB49">
        <f>IF(OR(DB33="",AND(DB33=DB32,DB33=DB34)),NA(), DB33)</f>
        <v>0</v>
      </c>
      <c r="DC49">
        <f>IF(ISNA(DD49),NA(),DC33)</f>
        <v>0</v>
      </c>
      <c r="DD49">
        <f>IF(OR(DD33="",AND(DD33=DD32,DD33=DD34)),NA(), DD33)</f>
        <v>0</v>
      </c>
      <c r="DE49">
        <f>IF(ISNA(DF49),NA(),DE33)</f>
        <v>0</v>
      </c>
      <c r="DF49">
        <f>IF(OR(DF33="",AND(DF33=DF32,DF33=DF34)),NA(), DF33)</f>
        <v>0</v>
      </c>
      <c r="DG49">
        <f>IF(ISNA(DH49),NA(),DG33)</f>
        <v>0</v>
      </c>
      <c r="DH49">
        <f>IF(OR(DH33="",AND(DH33=DH32,DH33=DH34)),NA(), DH33)</f>
        <v>0</v>
      </c>
      <c r="DI49">
        <f>IF(ISNA(DJ49),NA(),DI33)</f>
        <v>0</v>
      </c>
      <c r="DJ49">
        <f>IF(OR(DJ33="",AND(DJ33=DJ32,DJ33=DJ34)),NA(), DJ33)</f>
        <v>0</v>
      </c>
      <c r="DK49">
        <f>IF(ISNA(DL49),NA(),DK33)</f>
        <v>0</v>
      </c>
      <c r="DL49">
        <f>IF(OR(DL33="",AND(DL33=DL32,DL33=DL34)),NA(), DL33)</f>
        <v>0</v>
      </c>
      <c r="DM49">
        <f>IF(ISNA(DN49),NA(),DM33)</f>
        <v>0</v>
      </c>
      <c r="DN49">
        <f>IF(OR(DN33="",AND(DN33=DN32,DN33=DN34)),NA(), DN33)</f>
        <v>0</v>
      </c>
      <c r="DO49">
        <f>IF(ISNA(DP49),NA(),DO33)</f>
        <v>0</v>
      </c>
      <c r="DP49">
        <f>IF(OR(DP33="",AND(DP33=DP32,DP33=DP34)),NA(), DP33)</f>
        <v>0</v>
      </c>
      <c r="DQ49">
        <f>IF(ISNA(DR49),NA(),DQ33)</f>
        <v>0</v>
      </c>
      <c r="DR49">
        <f>IF(OR(DR33="",AND(DR33=DR32,DR33=DR34)),NA(), DR33)</f>
        <v>0</v>
      </c>
      <c r="DS49">
        <f>IF(ISNA(DT49),NA(),DS33)</f>
        <v>0</v>
      </c>
      <c r="DT49">
        <f>IF(OR(DT33="",AND(DT33=DT32,DT33=DT34)),NA(), DT33)</f>
        <v>0</v>
      </c>
      <c r="DU49">
        <f>IF(ISNA(DV49),NA(),DU33)</f>
        <v>0</v>
      </c>
      <c r="DV49">
        <f>IF(OR(DV33="",AND(DV33=DV32,DV33=DV34)),NA(), DV33)</f>
        <v>0</v>
      </c>
      <c r="DW49">
        <f>IF(ISNA(DX49),NA(),DW33)</f>
        <v>0</v>
      </c>
      <c r="DX49">
        <f>IF(OR(DX33="",AND(DX33=DX32,DX33=DX34)),NA(), DX33)</f>
        <v>0</v>
      </c>
      <c r="DY49">
        <f>IF(ISNA(DZ49),NA(),DY33)</f>
        <v>0</v>
      </c>
      <c r="DZ49">
        <f>IF(OR(DZ33="",AND(DZ33=DZ32,DZ33=DZ34)),NA(), DZ33)</f>
        <v>0</v>
      </c>
      <c r="EA49">
        <f>IF(ISNA(EB49),NA(),EA33)</f>
        <v>0</v>
      </c>
      <c r="EB49">
        <f>IF(OR(EB33="",AND(EB33=EB32,EB33=EB34)),NA(), EB33)</f>
        <v>0</v>
      </c>
      <c r="EC49">
        <f>IF(ISNA(ED49),NA(),EC33)</f>
        <v>0</v>
      </c>
      <c r="ED49">
        <f>IF(OR(ED33="",AND(ED33=ED32,ED33=ED34)),NA(), ED33)</f>
        <v>0</v>
      </c>
    </row>
    <row r="50" spans="5:134">
      <c r="E50">
        <f>IF(ISNA(F50),NA(),E34)</f>
        <v>0</v>
      </c>
      <c r="F50">
        <f>IF(OR(F34="",AND(F34=F33,F34=F35)),NA(), F34)</f>
        <v>0</v>
      </c>
      <c r="G50">
        <f>IF(ISNA(H50),NA(),G34)</f>
        <v>0</v>
      </c>
      <c r="H50">
        <f>IF(OR(H34="",AND(H34=H33,H34=H35)),NA(), H34)</f>
        <v>0</v>
      </c>
      <c r="I50">
        <f>IF(ISNA(J50),NA(),I34)</f>
        <v>0</v>
      </c>
      <c r="J50">
        <f>IF(OR(J34="",AND(J34=J33,J34=J35)),NA(), J34)</f>
        <v>0</v>
      </c>
      <c r="K50">
        <f>IF(ISNA(L50),NA(),K34)</f>
        <v>0</v>
      </c>
      <c r="L50">
        <f>IF(OR(L34="",AND(L34=L33,L34=L35)),NA(), L34)</f>
        <v>0</v>
      </c>
      <c r="M50">
        <f>IF(ISNA(N50),NA(),M34)</f>
        <v>0</v>
      </c>
      <c r="N50">
        <f>IF(OR(N34="",AND(N34=N33,N34=N35)),NA(), N34)</f>
        <v>0</v>
      </c>
      <c r="O50">
        <f>IF(ISNA(P50),NA(),O34)</f>
        <v>0</v>
      </c>
      <c r="P50">
        <f>IF(OR(P34="",AND(P34=P33,P34=P35)),NA(), P34)</f>
        <v>0</v>
      </c>
      <c r="Q50">
        <f>IF(ISNA(R50),NA(),Q34)</f>
        <v>0</v>
      </c>
      <c r="R50">
        <f>IF(OR(R34="",AND(R34=R33,R34=R35)),NA(), R34)</f>
        <v>0</v>
      </c>
      <c r="S50">
        <f>IF(ISNA(T50),NA(),S34)</f>
        <v>0</v>
      </c>
      <c r="T50">
        <f>IF(OR(T34="",AND(T34=T33,T34=T35)),NA(), T34)</f>
        <v>0</v>
      </c>
      <c r="U50">
        <f>IF(ISNA(V50),NA(),U34)</f>
        <v>0</v>
      </c>
      <c r="V50">
        <f>IF(OR(V34="",AND(V34=V33,V34=V35)),NA(), V34)</f>
        <v>0</v>
      </c>
      <c r="W50">
        <f>IF(ISNA(X50),NA(),W34)</f>
        <v>0</v>
      </c>
      <c r="X50">
        <f>IF(OR(X34="",AND(X34=X33,X34=X35)),NA(), X34)</f>
        <v>0</v>
      </c>
      <c r="Y50">
        <f>IF(ISNA(Z50),NA(),Y34)</f>
        <v>0</v>
      </c>
      <c r="Z50">
        <f>IF(OR(Z34="",AND(Z34=Z33,Z34=Z35)),NA(), Z34)</f>
        <v>0</v>
      </c>
      <c r="AA50">
        <f>IF(ISNA(AB50),NA(),AA34)</f>
        <v>0</v>
      </c>
      <c r="AB50">
        <f>IF(OR(AB34="",AND(AB34=AB33,AB34=AB35)),NA(), AB34)</f>
        <v>0</v>
      </c>
      <c r="AC50">
        <f>IF(ISNA(AD50),NA(),AC34)</f>
        <v>0</v>
      </c>
      <c r="AD50">
        <f>IF(OR(AD34="",AND(AD34=AD33,AD34=AD35)),NA(), AD34)</f>
        <v>0</v>
      </c>
      <c r="AE50">
        <f>IF(ISNA(AF50),NA(),AE34)</f>
        <v>0</v>
      </c>
      <c r="AF50">
        <f>IF(OR(AF34="",AND(AF34=AF33,AF34=AF35)),NA(), AF34)</f>
        <v>0</v>
      </c>
      <c r="AG50">
        <f>IF(ISNA(AH50),NA(),AG34)</f>
        <v>0</v>
      </c>
      <c r="AH50">
        <f>IF(OR(AH34="",AND(AH34=AH33,AH34=AH35)),NA(), AH34)</f>
        <v>0</v>
      </c>
      <c r="AI50">
        <f>IF(ISNA(AJ50),NA(),AI34)</f>
        <v>0</v>
      </c>
      <c r="AJ50">
        <f>IF(OR(AJ34="",AND(AJ34=AJ33,AJ34=AJ35)),NA(), AJ34)</f>
        <v>0</v>
      </c>
      <c r="AK50">
        <f>IF(ISNA(AL50),NA(),AK34)</f>
        <v>0</v>
      </c>
      <c r="AL50">
        <f>IF(OR(AL34="",AND(AL34=AL33,AL34=AL35)),NA(), AL34)</f>
        <v>0</v>
      </c>
      <c r="AM50">
        <f>IF(ISNA(AN50),NA(),AM34)</f>
        <v>0</v>
      </c>
      <c r="AN50">
        <f>IF(OR(AN34="",AND(AN34=AN33,AN34=AN35)),NA(), AN34)</f>
        <v>0</v>
      </c>
      <c r="AO50">
        <f>IF(ISNA(AP50),NA(),AO34)</f>
        <v>0</v>
      </c>
      <c r="AP50">
        <f>IF(OR(AP34="",AND(AP34=AP33,AP34=AP35)),NA(), AP34)</f>
        <v>0</v>
      </c>
      <c r="AQ50">
        <f>IF(ISNA(AR50),NA(),AQ34)</f>
        <v>0</v>
      </c>
      <c r="AR50">
        <f>IF(OR(AR34="",AND(AR34=AR33,AR34=AR35)),NA(), AR34)</f>
        <v>0</v>
      </c>
      <c r="AS50">
        <f>IF(ISNA(AT50),NA(),AS34)</f>
        <v>0</v>
      </c>
      <c r="AT50">
        <f>IF(OR(AT34="",AND(AT34=AT33,AT34=AT35)),NA(), AT34)</f>
        <v>0</v>
      </c>
      <c r="AU50">
        <f>IF(ISNA(AV50),NA(),AU34)</f>
        <v>0</v>
      </c>
      <c r="AV50">
        <f>IF(OR(AV34="",AND(AV34=AV33,AV34=AV35)),NA(), AV34)</f>
        <v>0</v>
      </c>
      <c r="AW50">
        <f>IF(ISNA(AX50),NA(),AW34)</f>
        <v>0</v>
      </c>
      <c r="AX50">
        <f>IF(OR(AX34="",AND(AX34=AX33,AX34=AX35)),NA(), AX34)</f>
        <v>0</v>
      </c>
      <c r="AY50">
        <f>IF(ISNA(AZ50),NA(),AY34)</f>
        <v>0</v>
      </c>
      <c r="AZ50">
        <f>IF(OR(AZ34="",AND(AZ34=AZ33,AZ34=AZ35)),NA(), AZ34)</f>
        <v>0</v>
      </c>
      <c r="BA50">
        <f>IF(ISNA(BB50),NA(),BA34)</f>
        <v>0</v>
      </c>
      <c r="BB50">
        <f>IF(OR(BB34="",AND(BB34=BB33,BB34=BB35)),NA(), BB34)</f>
        <v>0</v>
      </c>
      <c r="BC50">
        <f>IF(ISNA(BD50),NA(),BC34)</f>
        <v>0</v>
      </c>
      <c r="BD50">
        <f>IF(OR(BD34="",AND(BD34=BD33,BD34=BD35)),NA(), BD34)</f>
        <v>0</v>
      </c>
      <c r="BE50">
        <f>IF(ISNA(BF50),NA(),BE34)</f>
        <v>0</v>
      </c>
      <c r="BF50">
        <f>IF(OR(BF34="",AND(BF34=BF33,BF34=BF35)),NA(), BF34)</f>
        <v>0</v>
      </c>
      <c r="BG50">
        <f>IF(ISNA(BH50),NA(),BG34)</f>
        <v>0</v>
      </c>
      <c r="BH50">
        <f>IF(OR(BH34="",AND(BH34=BH33,BH34=BH35)),NA(), BH34)</f>
        <v>0</v>
      </c>
      <c r="BI50">
        <f>IF(ISNA(BJ50),NA(),BI34)</f>
        <v>0</v>
      </c>
      <c r="BJ50">
        <f>IF(OR(BJ34="",AND(BJ34=BJ33,BJ34=BJ35)),NA(), BJ34)</f>
        <v>0</v>
      </c>
      <c r="BK50">
        <f>IF(ISNA(BL50),NA(),BK34)</f>
        <v>0</v>
      </c>
      <c r="BL50">
        <f>IF(OR(BL34="",AND(BL34=BL33,BL34=BL35)),NA(), BL34)</f>
        <v>0</v>
      </c>
      <c r="BM50">
        <f>IF(ISNA(BN50),NA(),BM34)</f>
        <v>0</v>
      </c>
      <c r="BN50">
        <f>IF(OR(BN34="",AND(BN34=BN33,BN34=BN35)),NA(), BN34)</f>
        <v>0</v>
      </c>
      <c r="BO50">
        <f>IF(ISNA(BP50),NA(),BO34)</f>
        <v>0</v>
      </c>
      <c r="BP50">
        <f>IF(OR(BP34="",AND(BP34=BP33,BP34=BP35)),NA(), BP34)</f>
        <v>0</v>
      </c>
      <c r="BS50">
        <f>IF(ISNA(BT50),NA(),BS34)</f>
        <v>0</v>
      </c>
      <c r="BT50">
        <f>IF(OR(BT34="",AND(BT34=BT33,BT34=BT35)),NA(), BT34)</f>
        <v>0</v>
      </c>
      <c r="BU50">
        <f>IF(ISNA(BV50),NA(),BU34)</f>
        <v>0</v>
      </c>
      <c r="BV50">
        <f>IF(OR(BV34="",AND(BV34=BV33,BV34=BV35)),NA(), BV34)</f>
        <v>0</v>
      </c>
      <c r="BW50">
        <f>IF(ISNA(BX50),NA(),BW34)</f>
        <v>0</v>
      </c>
      <c r="BX50">
        <f>IF(OR(BX34="",AND(BX34=BX33,BX34=BX35)),NA(), BX34)</f>
        <v>0</v>
      </c>
      <c r="BY50">
        <f>IF(ISNA(BZ50),NA(),BY34)</f>
        <v>0</v>
      </c>
      <c r="BZ50">
        <f>IF(OR(BZ34="",AND(BZ34=BZ33,BZ34=BZ35)),NA(), BZ34)</f>
        <v>0</v>
      </c>
      <c r="CA50">
        <f>IF(ISNA(CB50),NA(),CA34)</f>
        <v>0</v>
      </c>
      <c r="CB50">
        <f>IF(OR(CB34="",AND(CB34=CB33,CB34=CB35)),NA(), CB34)</f>
        <v>0</v>
      </c>
      <c r="CC50">
        <f>IF(ISNA(CD50),NA(),CC34)</f>
        <v>0</v>
      </c>
      <c r="CD50">
        <f>IF(OR(CD34="",AND(CD34=CD33,CD34=CD35)),NA(), CD34)</f>
        <v>0</v>
      </c>
      <c r="CE50">
        <f>IF(ISNA(CF50),NA(),CE34)</f>
        <v>0</v>
      </c>
      <c r="CF50">
        <f>IF(OR(CF34="",AND(CF34=CF33,CF34=CF35)),NA(), CF34)</f>
        <v>0</v>
      </c>
      <c r="CG50">
        <f>IF(ISNA(CH50),NA(),CG34)</f>
        <v>0</v>
      </c>
      <c r="CH50">
        <f>IF(OR(CH34="",AND(CH34=CH33,CH34=CH35)),NA(), CH34)</f>
        <v>0</v>
      </c>
      <c r="CI50">
        <f>IF(ISNA(CJ50),NA(),CI34)</f>
        <v>0</v>
      </c>
      <c r="CJ50">
        <f>IF(OR(CJ34="",AND(CJ34=CJ33,CJ34=CJ35)),NA(), CJ34)</f>
        <v>0</v>
      </c>
      <c r="CK50">
        <f>IF(ISNA(CL50),NA(),CK34)</f>
        <v>0</v>
      </c>
      <c r="CL50">
        <f>IF(OR(CL34="",AND(CL34=CL33,CL34=CL35)),NA(), CL34)</f>
        <v>0</v>
      </c>
      <c r="CM50">
        <f>IF(ISNA(CN50),NA(),CM34)</f>
        <v>0</v>
      </c>
      <c r="CN50">
        <f>IF(OR(CN34="",AND(CN34=CN33,CN34=CN35)),NA(), CN34)</f>
        <v>0</v>
      </c>
      <c r="CO50">
        <f>IF(ISNA(CP50),NA(),CO34)</f>
        <v>0</v>
      </c>
      <c r="CP50">
        <f>IF(OR(CP34="",AND(CP34=CP33,CP34=CP35)),NA(), CP34)</f>
        <v>0</v>
      </c>
      <c r="CQ50">
        <f>IF(ISNA(CR50),NA(),CQ34)</f>
        <v>0</v>
      </c>
      <c r="CR50">
        <f>IF(OR(CR34="",AND(CR34=CR33,CR34=CR35)),NA(), CR34)</f>
        <v>0</v>
      </c>
      <c r="CS50">
        <f>IF(ISNA(CT50),NA(),CS34)</f>
        <v>0</v>
      </c>
      <c r="CT50">
        <f>IF(OR(CT34="",AND(CT34=CT33,CT34=CT35)),NA(), CT34)</f>
        <v>0</v>
      </c>
      <c r="CU50">
        <f>IF(ISNA(CV50),NA(),CU34)</f>
        <v>0</v>
      </c>
      <c r="CV50">
        <f>IF(OR(CV34="",AND(CV34=CV33,CV34=CV35)),NA(), CV34)</f>
        <v>0</v>
      </c>
      <c r="CW50">
        <f>IF(ISNA(CX50),NA(),CW34)</f>
        <v>0</v>
      </c>
      <c r="CX50">
        <f>IF(OR(CX34="",AND(CX34=CX33,CX34=CX35)),NA(), CX34)</f>
        <v>0</v>
      </c>
      <c r="CY50">
        <f>IF(ISNA(CZ50),NA(),CY34)</f>
        <v>0</v>
      </c>
      <c r="CZ50">
        <f>IF(OR(CZ34="",AND(CZ34=CZ33,CZ34=CZ35)),NA(), CZ34)</f>
        <v>0</v>
      </c>
      <c r="DA50">
        <f>IF(ISNA(DB50),NA(),DA34)</f>
        <v>0</v>
      </c>
      <c r="DB50">
        <f>IF(OR(DB34="",AND(DB34=DB33,DB34=DB35)),NA(), DB34)</f>
        <v>0</v>
      </c>
      <c r="DC50">
        <f>IF(ISNA(DD50),NA(),DC34)</f>
        <v>0</v>
      </c>
      <c r="DD50">
        <f>IF(OR(DD34="",AND(DD34=DD33,DD34=DD35)),NA(), DD34)</f>
        <v>0</v>
      </c>
      <c r="DE50">
        <f>IF(ISNA(DF50),NA(),DE34)</f>
        <v>0</v>
      </c>
      <c r="DF50">
        <f>IF(OR(DF34="",AND(DF34=DF33,DF34=DF35)),NA(), DF34)</f>
        <v>0</v>
      </c>
      <c r="DG50">
        <f>IF(ISNA(DH50),NA(),DG34)</f>
        <v>0</v>
      </c>
      <c r="DH50">
        <f>IF(OR(DH34="",AND(DH34=DH33,DH34=DH35)),NA(), DH34)</f>
        <v>0</v>
      </c>
      <c r="DI50">
        <f>IF(ISNA(DJ50),NA(),DI34)</f>
        <v>0</v>
      </c>
      <c r="DJ50">
        <f>IF(OR(DJ34="",AND(DJ34=DJ33,DJ34=DJ35)),NA(), DJ34)</f>
        <v>0</v>
      </c>
      <c r="DK50">
        <f>IF(ISNA(DL50),NA(),DK34)</f>
        <v>0</v>
      </c>
      <c r="DL50">
        <f>IF(OR(DL34="",AND(DL34=DL33,DL34=DL35)),NA(), DL34)</f>
        <v>0</v>
      </c>
      <c r="DM50">
        <f>IF(ISNA(DN50),NA(),DM34)</f>
        <v>0</v>
      </c>
      <c r="DN50">
        <f>IF(OR(DN34="",AND(DN34=DN33,DN34=DN35)),NA(), DN34)</f>
        <v>0</v>
      </c>
      <c r="DO50">
        <f>IF(ISNA(DP50),NA(),DO34)</f>
        <v>0</v>
      </c>
      <c r="DP50">
        <f>IF(OR(DP34="",AND(DP34=DP33,DP34=DP35)),NA(), DP34)</f>
        <v>0</v>
      </c>
      <c r="DQ50">
        <f>IF(ISNA(DR50),NA(),DQ34)</f>
        <v>0</v>
      </c>
      <c r="DR50">
        <f>IF(OR(DR34="",AND(DR34=DR33,DR34=DR35)),NA(), DR34)</f>
        <v>0</v>
      </c>
      <c r="DS50">
        <f>IF(ISNA(DT50),NA(),DS34)</f>
        <v>0</v>
      </c>
      <c r="DT50">
        <f>IF(OR(DT34="",AND(DT34=DT33,DT34=DT35)),NA(), DT34)</f>
        <v>0</v>
      </c>
      <c r="DU50">
        <f>IF(ISNA(DV50),NA(),DU34)</f>
        <v>0</v>
      </c>
      <c r="DV50">
        <f>IF(OR(DV34="",AND(DV34=DV33,DV34=DV35)),NA(), DV34)</f>
        <v>0</v>
      </c>
      <c r="DW50">
        <f>IF(ISNA(DX50),NA(),DW34)</f>
        <v>0</v>
      </c>
      <c r="DX50">
        <f>IF(OR(DX34="",AND(DX34=DX33,DX34=DX35)),NA(), DX34)</f>
        <v>0</v>
      </c>
      <c r="DY50">
        <f>IF(ISNA(DZ50),NA(),DY34)</f>
        <v>0</v>
      </c>
      <c r="DZ50">
        <f>IF(OR(DZ34="",AND(DZ34=DZ33,DZ34=DZ35)),NA(), DZ34)</f>
        <v>0</v>
      </c>
      <c r="EA50">
        <f>IF(ISNA(EB50),NA(),EA34)</f>
        <v>0</v>
      </c>
      <c r="EB50">
        <f>IF(OR(EB34="",AND(EB34=EB33,EB34=EB35)),NA(), EB34)</f>
        <v>0</v>
      </c>
      <c r="EC50">
        <f>IF(ISNA(ED50),NA(),EC34)</f>
        <v>0</v>
      </c>
      <c r="ED50">
        <f>IF(OR(ED34="",AND(ED34=ED33,ED34=ED35)),NA(), ED34)</f>
        <v>0</v>
      </c>
    </row>
    <row r="51" spans="5:134">
      <c r="E51">
        <f>IF(ISNA(F51),NA(),E35)</f>
        <v>0</v>
      </c>
      <c r="F51">
        <f>IF(OR(F35="",AND(F35=F34,F35=F36)),NA(), F35)</f>
        <v>0</v>
      </c>
      <c r="G51">
        <f>IF(ISNA(H51),NA(),G35)</f>
        <v>0</v>
      </c>
      <c r="H51">
        <f>IF(OR(H35="",AND(H35=H34,H35=H36)),NA(), H35)</f>
        <v>0</v>
      </c>
      <c r="I51">
        <f>IF(ISNA(J51),NA(),I35)</f>
        <v>0</v>
      </c>
      <c r="J51">
        <f>IF(OR(J35="",AND(J35=J34,J35=J36)),NA(), J35)</f>
        <v>0</v>
      </c>
      <c r="K51">
        <f>IF(ISNA(L51),NA(),K35)</f>
        <v>0</v>
      </c>
      <c r="L51">
        <f>IF(OR(L35="",AND(L35=L34,L35=L36)),NA(), L35)</f>
        <v>0</v>
      </c>
      <c r="M51">
        <f>IF(ISNA(N51),NA(),M35)</f>
        <v>0</v>
      </c>
      <c r="N51">
        <f>IF(OR(N35="",AND(N35=N34,N35=N36)),NA(), N35)</f>
        <v>0</v>
      </c>
      <c r="O51">
        <f>IF(ISNA(P51),NA(),O35)</f>
        <v>0</v>
      </c>
      <c r="P51">
        <f>IF(OR(P35="",AND(P35=P34,P35=P36)),NA(), P35)</f>
        <v>0</v>
      </c>
      <c r="Q51">
        <f>IF(ISNA(R51),NA(),Q35)</f>
        <v>0</v>
      </c>
      <c r="R51">
        <f>IF(OR(R35="",AND(R35=R34,R35=R36)),NA(), R35)</f>
        <v>0</v>
      </c>
      <c r="S51">
        <f>IF(ISNA(T51),NA(),S35)</f>
        <v>0</v>
      </c>
      <c r="T51">
        <f>IF(OR(T35="",AND(T35=T34,T35=T36)),NA(), T35)</f>
        <v>0</v>
      </c>
      <c r="U51">
        <f>IF(ISNA(V51),NA(),U35)</f>
        <v>0</v>
      </c>
      <c r="V51">
        <f>IF(OR(V35="",AND(V35=V34,V35=V36)),NA(), V35)</f>
        <v>0</v>
      </c>
      <c r="W51">
        <f>IF(ISNA(X51),NA(),W35)</f>
        <v>0</v>
      </c>
      <c r="X51">
        <f>IF(OR(X35="",AND(X35=X34,X35=X36)),NA(), X35)</f>
        <v>0</v>
      </c>
      <c r="Y51">
        <f>IF(ISNA(Z51),NA(),Y35)</f>
        <v>0</v>
      </c>
      <c r="Z51">
        <f>IF(OR(Z35="",AND(Z35=Z34,Z35=Z36)),NA(), Z35)</f>
        <v>0</v>
      </c>
      <c r="AA51">
        <f>IF(ISNA(AB51),NA(),AA35)</f>
        <v>0</v>
      </c>
      <c r="AB51">
        <f>IF(OR(AB35="",AND(AB35=AB34,AB35=AB36)),NA(), AB35)</f>
        <v>0</v>
      </c>
      <c r="AC51">
        <f>IF(ISNA(AD51),NA(),AC35)</f>
        <v>0</v>
      </c>
      <c r="AD51">
        <f>IF(OR(AD35="",AND(AD35=AD34,AD35=AD36)),NA(), AD35)</f>
        <v>0</v>
      </c>
      <c r="AE51">
        <f>IF(ISNA(AF51),NA(),AE35)</f>
        <v>0</v>
      </c>
      <c r="AF51">
        <f>IF(OR(AF35="",AND(AF35=AF34,AF35=AF36)),NA(), AF35)</f>
        <v>0</v>
      </c>
      <c r="AG51">
        <f>IF(ISNA(AH51),NA(),AG35)</f>
        <v>0</v>
      </c>
      <c r="AH51">
        <f>IF(OR(AH35="",AND(AH35=AH34,AH35=AH36)),NA(), AH35)</f>
        <v>0</v>
      </c>
      <c r="AI51">
        <f>IF(ISNA(AJ51),NA(),AI35)</f>
        <v>0</v>
      </c>
      <c r="AJ51">
        <f>IF(OR(AJ35="",AND(AJ35=AJ34,AJ35=AJ36)),NA(), AJ35)</f>
        <v>0</v>
      </c>
      <c r="AK51">
        <f>IF(ISNA(AL51),NA(),AK35)</f>
        <v>0</v>
      </c>
      <c r="AL51">
        <f>IF(OR(AL35="",AND(AL35=AL34,AL35=AL36)),NA(), AL35)</f>
        <v>0</v>
      </c>
      <c r="AM51">
        <f>IF(ISNA(AN51),NA(),AM35)</f>
        <v>0</v>
      </c>
      <c r="AN51">
        <f>IF(OR(AN35="",AND(AN35=AN34,AN35=AN36)),NA(), AN35)</f>
        <v>0</v>
      </c>
      <c r="AO51">
        <f>IF(ISNA(AP51),NA(),AO35)</f>
        <v>0</v>
      </c>
      <c r="AP51">
        <f>IF(OR(AP35="",AND(AP35=AP34,AP35=AP36)),NA(), AP35)</f>
        <v>0</v>
      </c>
      <c r="AQ51">
        <f>IF(ISNA(AR51),NA(),AQ35)</f>
        <v>0</v>
      </c>
      <c r="AR51">
        <f>IF(OR(AR35="",AND(AR35=AR34,AR35=AR36)),NA(), AR35)</f>
        <v>0</v>
      </c>
      <c r="AS51">
        <f>IF(ISNA(AT51),NA(),AS35)</f>
        <v>0</v>
      </c>
      <c r="AT51">
        <f>IF(OR(AT35="",AND(AT35=AT34,AT35=AT36)),NA(), AT35)</f>
        <v>0</v>
      </c>
      <c r="AU51">
        <f>IF(ISNA(AV51),NA(),AU35)</f>
        <v>0</v>
      </c>
      <c r="AV51">
        <f>IF(OR(AV35="",AND(AV35=AV34,AV35=AV36)),NA(), AV35)</f>
        <v>0</v>
      </c>
      <c r="AW51">
        <f>IF(ISNA(AX51),NA(),AW35)</f>
        <v>0</v>
      </c>
      <c r="AX51">
        <f>IF(OR(AX35="",AND(AX35=AX34,AX35=AX36)),NA(), AX35)</f>
        <v>0</v>
      </c>
      <c r="AY51">
        <f>IF(ISNA(AZ51),NA(),AY35)</f>
        <v>0</v>
      </c>
      <c r="AZ51">
        <f>IF(OR(AZ35="",AND(AZ35=AZ34,AZ35=AZ36)),NA(), AZ35)</f>
        <v>0</v>
      </c>
      <c r="BA51">
        <f>IF(ISNA(BB51),NA(),BA35)</f>
        <v>0</v>
      </c>
      <c r="BB51">
        <f>IF(OR(BB35="",AND(BB35=BB34,BB35=BB36)),NA(), BB35)</f>
        <v>0</v>
      </c>
      <c r="BC51">
        <f>IF(ISNA(BD51),NA(),BC35)</f>
        <v>0</v>
      </c>
      <c r="BD51">
        <f>IF(OR(BD35="",AND(BD35=BD34,BD35=BD36)),NA(), BD35)</f>
        <v>0</v>
      </c>
      <c r="BE51">
        <f>IF(ISNA(BF51),NA(),BE35)</f>
        <v>0</v>
      </c>
      <c r="BF51">
        <f>IF(OR(BF35="",AND(BF35=BF34,BF35=BF36)),NA(), BF35)</f>
        <v>0</v>
      </c>
      <c r="BG51">
        <f>IF(ISNA(BH51),NA(),BG35)</f>
        <v>0</v>
      </c>
      <c r="BH51">
        <f>IF(OR(BH35="",AND(BH35=BH34,BH35=BH36)),NA(), BH35)</f>
        <v>0</v>
      </c>
      <c r="BI51">
        <f>IF(ISNA(BJ51),NA(),BI35)</f>
        <v>0</v>
      </c>
      <c r="BJ51">
        <f>IF(OR(BJ35="",AND(BJ35=BJ34,BJ35=BJ36)),NA(), BJ35)</f>
        <v>0</v>
      </c>
      <c r="BK51">
        <f>IF(ISNA(BL51),NA(),BK35)</f>
        <v>0</v>
      </c>
      <c r="BL51">
        <f>IF(OR(BL35="",AND(BL35=BL34,BL35=BL36)),NA(), BL35)</f>
        <v>0</v>
      </c>
      <c r="BM51">
        <f>IF(ISNA(BN51),NA(),BM35)</f>
        <v>0</v>
      </c>
      <c r="BN51">
        <f>IF(OR(BN35="",AND(BN35=BN34,BN35=BN36)),NA(), BN35)</f>
        <v>0</v>
      </c>
      <c r="BO51">
        <f>IF(ISNA(BP51),NA(),BO35)</f>
        <v>0</v>
      </c>
      <c r="BP51">
        <f>IF(OR(BP35="",AND(BP35=BP34,BP35=BP36)),NA(), BP35)</f>
        <v>0</v>
      </c>
      <c r="BS51">
        <f>IF(ISNA(BT51),NA(),BS35)</f>
        <v>0</v>
      </c>
      <c r="BT51">
        <f>IF(OR(BT35="",AND(BT35=BT34,BT35=BT36)),NA(), BT35)</f>
        <v>0</v>
      </c>
      <c r="BU51">
        <f>IF(ISNA(BV51),NA(),BU35)</f>
        <v>0</v>
      </c>
      <c r="BV51">
        <f>IF(OR(BV35="",AND(BV35=BV34,BV35=BV36)),NA(), BV35)</f>
        <v>0</v>
      </c>
      <c r="BW51">
        <f>IF(ISNA(BX51),NA(),BW35)</f>
        <v>0</v>
      </c>
      <c r="BX51">
        <f>IF(OR(BX35="",AND(BX35=BX34,BX35=BX36)),NA(), BX35)</f>
        <v>0</v>
      </c>
      <c r="BY51">
        <f>IF(ISNA(BZ51),NA(),BY35)</f>
        <v>0</v>
      </c>
      <c r="BZ51">
        <f>IF(OR(BZ35="",AND(BZ35=BZ34,BZ35=BZ36)),NA(), BZ35)</f>
        <v>0</v>
      </c>
      <c r="CA51">
        <f>IF(ISNA(CB51),NA(),CA35)</f>
        <v>0</v>
      </c>
      <c r="CB51">
        <f>IF(OR(CB35="",AND(CB35=CB34,CB35=CB36)),NA(), CB35)</f>
        <v>0</v>
      </c>
      <c r="CC51">
        <f>IF(ISNA(CD51),NA(),CC35)</f>
        <v>0</v>
      </c>
      <c r="CD51">
        <f>IF(OR(CD35="",AND(CD35=CD34,CD35=CD36)),NA(), CD35)</f>
        <v>0</v>
      </c>
      <c r="CE51">
        <f>IF(ISNA(CF51),NA(),CE35)</f>
        <v>0</v>
      </c>
      <c r="CF51">
        <f>IF(OR(CF35="",AND(CF35=CF34,CF35=CF36)),NA(), CF35)</f>
        <v>0</v>
      </c>
      <c r="CG51">
        <f>IF(ISNA(CH51),NA(),CG35)</f>
        <v>0</v>
      </c>
      <c r="CH51">
        <f>IF(OR(CH35="",AND(CH35=CH34,CH35=CH36)),NA(), CH35)</f>
        <v>0</v>
      </c>
      <c r="CI51">
        <f>IF(ISNA(CJ51),NA(),CI35)</f>
        <v>0</v>
      </c>
      <c r="CJ51">
        <f>IF(OR(CJ35="",AND(CJ35=CJ34,CJ35=CJ36)),NA(), CJ35)</f>
        <v>0</v>
      </c>
      <c r="CK51">
        <f>IF(ISNA(CL51),NA(),CK35)</f>
        <v>0</v>
      </c>
      <c r="CL51">
        <f>IF(OR(CL35="",AND(CL35=CL34,CL35=CL36)),NA(), CL35)</f>
        <v>0</v>
      </c>
      <c r="CM51">
        <f>IF(ISNA(CN51),NA(),CM35)</f>
        <v>0</v>
      </c>
      <c r="CN51">
        <f>IF(OR(CN35="",AND(CN35=CN34,CN35=CN36)),NA(), CN35)</f>
        <v>0</v>
      </c>
      <c r="CO51">
        <f>IF(ISNA(CP51),NA(),CO35)</f>
        <v>0</v>
      </c>
      <c r="CP51">
        <f>IF(OR(CP35="",AND(CP35=CP34,CP35=CP36)),NA(), CP35)</f>
        <v>0</v>
      </c>
      <c r="CQ51">
        <f>IF(ISNA(CR51),NA(),CQ35)</f>
        <v>0</v>
      </c>
      <c r="CR51">
        <f>IF(OR(CR35="",AND(CR35=CR34,CR35=CR36)),NA(), CR35)</f>
        <v>0</v>
      </c>
      <c r="CS51">
        <f>IF(ISNA(CT51),NA(),CS35)</f>
        <v>0</v>
      </c>
      <c r="CT51">
        <f>IF(OR(CT35="",AND(CT35=CT34,CT35=CT36)),NA(), CT35)</f>
        <v>0</v>
      </c>
      <c r="CU51">
        <f>IF(ISNA(CV51),NA(),CU35)</f>
        <v>0</v>
      </c>
      <c r="CV51">
        <f>IF(OR(CV35="",AND(CV35=CV34,CV35=CV36)),NA(), CV35)</f>
        <v>0</v>
      </c>
      <c r="CW51">
        <f>IF(ISNA(CX51),NA(),CW35)</f>
        <v>0</v>
      </c>
      <c r="CX51">
        <f>IF(OR(CX35="",AND(CX35=CX34,CX35=CX36)),NA(), CX35)</f>
        <v>0</v>
      </c>
      <c r="CY51">
        <f>IF(ISNA(CZ51),NA(),CY35)</f>
        <v>0</v>
      </c>
      <c r="CZ51">
        <f>IF(OR(CZ35="",AND(CZ35=CZ34,CZ35=CZ36)),NA(), CZ35)</f>
        <v>0</v>
      </c>
      <c r="DA51">
        <f>IF(ISNA(DB51),NA(),DA35)</f>
        <v>0</v>
      </c>
      <c r="DB51">
        <f>IF(OR(DB35="",AND(DB35=DB34,DB35=DB36)),NA(), DB35)</f>
        <v>0</v>
      </c>
      <c r="DC51">
        <f>IF(ISNA(DD51),NA(),DC35)</f>
        <v>0</v>
      </c>
      <c r="DD51">
        <f>IF(OR(DD35="",AND(DD35=DD34,DD35=DD36)),NA(), DD35)</f>
        <v>0</v>
      </c>
      <c r="DE51">
        <f>IF(ISNA(DF51),NA(),DE35)</f>
        <v>0</v>
      </c>
      <c r="DF51">
        <f>IF(OR(DF35="",AND(DF35=DF34,DF35=DF36)),NA(), DF35)</f>
        <v>0</v>
      </c>
      <c r="DG51">
        <f>IF(ISNA(DH51),NA(),DG35)</f>
        <v>0</v>
      </c>
      <c r="DH51">
        <f>IF(OR(DH35="",AND(DH35=DH34,DH35=DH36)),NA(), DH35)</f>
        <v>0</v>
      </c>
      <c r="DI51">
        <f>IF(ISNA(DJ51),NA(),DI35)</f>
        <v>0</v>
      </c>
      <c r="DJ51">
        <f>IF(OR(DJ35="",AND(DJ35=DJ34,DJ35=DJ36)),NA(), DJ35)</f>
        <v>0</v>
      </c>
      <c r="DK51">
        <f>IF(ISNA(DL51),NA(),DK35)</f>
        <v>0</v>
      </c>
      <c r="DL51">
        <f>IF(OR(DL35="",AND(DL35=DL34,DL35=DL36)),NA(), DL35)</f>
        <v>0</v>
      </c>
      <c r="DM51">
        <f>IF(ISNA(DN51),NA(),DM35)</f>
        <v>0</v>
      </c>
      <c r="DN51">
        <f>IF(OR(DN35="",AND(DN35=DN34,DN35=DN36)),NA(), DN35)</f>
        <v>0</v>
      </c>
      <c r="DO51">
        <f>IF(ISNA(DP51),NA(),DO35)</f>
        <v>0</v>
      </c>
      <c r="DP51">
        <f>IF(OR(DP35="",AND(DP35=DP34,DP35=DP36)),NA(), DP35)</f>
        <v>0</v>
      </c>
      <c r="DQ51">
        <f>IF(ISNA(DR51),NA(),DQ35)</f>
        <v>0</v>
      </c>
      <c r="DR51">
        <f>IF(OR(DR35="",AND(DR35=DR34,DR35=DR36)),NA(), DR35)</f>
        <v>0</v>
      </c>
      <c r="DS51">
        <f>IF(ISNA(DT51),NA(),DS35)</f>
        <v>0</v>
      </c>
      <c r="DT51">
        <f>IF(OR(DT35="",AND(DT35=DT34,DT35=DT36)),NA(), DT35)</f>
        <v>0</v>
      </c>
      <c r="DU51">
        <f>IF(ISNA(DV51),NA(),DU35)</f>
        <v>0</v>
      </c>
      <c r="DV51">
        <f>IF(OR(DV35="",AND(DV35=DV34,DV35=DV36)),NA(), DV35)</f>
        <v>0</v>
      </c>
      <c r="DW51">
        <f>IF(ISNA(DX51),NA(),DW35)</f>
        <v>0</v>
      </c>
      <c r="DX51">
        <f>IF(OR(DX35="",AND(DX35=DX34,DX35=DX36)),NA(), DX35)</f>
        <v>0</v>
      </c>
      <c r="DY51">
        <f>IF(ISNA(DZ51),NA(),DY35)</f>
        <v>0</v>
      </c>
      <c r="DZ51">
        <f>IF(OR(DZ35="",AND(DZ35=DZ34,DZ35=DZ36)),NA(), DZ35)</f>
        <v>0</v>
      </c>
      <c r="EA51">
        <f>IF(ISNA(EB51),NA(),EA35)</f>
        <v>0</v>
      </c>
      <c r="EB51">
        <f>IF(OR(EB35="",AND(EB35=EB34,EB35=EB36)),NA(), EB35)</f>
        <v>0</v>
      </c>
      <c r="EC51">
        <f>IF(ISNA(ED51),NA(),EC35)</f>
        <v>0</v>
      </c>
      <c r="ED51">
        <f>IF(OR(ED35="",AND(ED35=ED34,ED35=ED36)),NA(), ED35)</f>
        <v>0</v>
      </c>
    </row>
    <row r="52" spans="5:134">
      <c r="E52">
        <f>IF(ISNA(F52),NA(),E36)</f>
        <v>0</v>
      </c>
      <c r="F52">
        <f>IF(OR(F36="",AND(F36=F35,F36=F37)),NA(), F36)</f>
        <v>0</v>
      </c>
      <c r="G52">
        <f>IF(ISNA(H52),NA(),G36)</f>
        <v>0</v>
      </c>
      <c r="H52">
        <f>IF(OR(H36="",AND(H36=H35,H36=H37)),NA(), H36)</f>
        <v>0</v>
      </c>
      <c r="I52">
        <f>IF(ISNA(J52),NA(),I36)</f>
        <v>0</v>
      </c>
      <c r="J52">
        <f>IF(OR(J36="",AND(J36=J35,J36=J37)),NA(), J36)</f>
        <v>0</v>
      </c>
      <c r="K52">
        <f>IF(ISNA(L52),NA(),K36)</f>
        <v>0</v>
      </c>
      <c r="L52">
        <f>IF(OR(L36="",AND(L36=L35,L36=L37)),NA(), L36)</f>
        <v>0</v>
      </c>
      <c r="M52">
        <f>IF(ISNA(N52),NA(),M36)</f>
        <v>0</v>
      </c>
      <c r="N52">
        <f>IF(OR(N36="",AND(N36=N35,N36=N37)),NA(), N36)</f>
        <v>0</v>
      </c>
      <c r="O52">
        <f>IF(ISNA(P52),NA(),O36)</f>
        <v>0</v>
      </c>
      <c r="P52">
        <f>IF(OR(P36="",AND(P36=P35,P36=P37)),NA(), P36)</f>
        <v>0</v>
      </c>
      <c r="Q52">
        <f>IF(ISNA(R52),NA(),Q36)</f>
        <v>0</v>
      </c>
      <c r="R52">
        <f>IF(OR(R36="",AND(R36=R35,R36=R37)),NA(), R36)</f>
        <v>0</v>
      </c>
      <c r="S52">
        <f>IF(ISNA(T52),NA(),S36)</f>
        <v>0</v>
      </c>
      <c r="T52">
        <f>IF(OR(T36="",AND(T36=T35,T36=T37)),NA(), T36)</f>
        <v>0</v>
      </c>
      <c r="U52">
        <f>IF(ISNA(V52),NA(),U36)</f>
        <v>0</v>
      </c>
      <c r="V52">
        <f>IF(OR(V36="",AND(V36=V35,V36=V37)),NA(), V36)</f>
        <v>0</v>
      </c>
      <c r="W52">
        <f>IF(ISNA(X52),NA(),W36)</f>
        <v>0</v>
      </c>
      <c r="X52">
        <f>IF(OR(X36="",AND(X36=X35,X36=X37)),NA(), X36)</f>
        <v>0</v>
      </c>
      <c r="Y52">
        <f>IF(ISNA(Z52),NA(),Y36)</f>
        <v>0</v>
      </c>
      <c r="Z52">
        <f>IF(OR(Z36="",AND(Z36=Z35,Z36=Z37)),NA(), Z36)</f>
        <v>0</v>
      </c>
      <c r="AA52">
        <f>IF(ISNA(AB52),NA(),AA36)</f>
        <v>0</v>
      </c>
      <c r="AB52">
        <f>IF(OR(AB36="",AND(AB36=AB35,AB36=AB37)),NA(), AB36)</f>
        <v>0</v>
      </c>
      <c r="AC52">
        <f>IF(ISNA(AD52),NA(),AC36)</f>
        <v>0</v>
      </c>
      <c r="AD52">
        <f>IF(OR(AD36="",AND(AD36=AD35,AD36=AD37)),NA(), AD36)</f>
        <v>0</v>
      </c>
      <c r="AE52">
        <f>IF(ISNA(AF52),NA(),AE36)</f>
        <v>0</v>
      </c>
      <c r="AF52">
        <f>IF(OR(AF36="",AND(AF36=AF35,AF36=AF37)),NA(), AF36)</f>
        <v>0</v>
      </c>
      <c r="AG52">
        <f>IF(ISNA(AH52),NA(),AG36)</f>
        <v>0</v>
      </c>
      <c r="AH52">
        <f>IF(OR(AH36="",AND(AH36=AH35,AH36=AH37)),NA(), AH36)</f>
        <v>0</v>
      </c>
      <c r="AI52">
        <f>IF(ISNA(AJ52),NA(),AI36)</f>
        <v>0</v>
      </c>
      <c r="AJ52">
        <f>IF(OR(AJ36="",AND(AJ36=AJ35,AJ36=AJ37)),NA(), AJ36)</f>
        <v>0</v>
      </c>
      <c r="AK52">
        <f>IF(ISNA(AL52),NA(),AK36)</f>
        <v>0</v>
      </c>
      <c r="AL52">
        <f>IF(OR(AL36="",AND(AL36=AL35,AL36=AL37)),NA(), AL36)</f>
        <v>0</v>
      </c>
      <c r="AM52">
        <f>IF(ISNA(AN52),NA(),AM36)</f>
        <v>0</v>
      </c>
      <c r="AN52">
        <f>IF(OR(AN36="",AND(AN36=AN35,AN36=AN37)),NA(), AN36)</f>
        <v>0</v>
      </c>
      <c r="AO52">
        <f>IF(ISNA(AP52),NA(),AO36)</f>
        <v>0</v>
      </c>
      <c r="AP52">
        <f>IF(OR(AP36="",AND(AP36=AP35,AP36=AP37)),NA(), AP36)</f>
        <v>0</v>
      </c>
      <c r="AQ52">
        <f>IF(ISNA(AR52),NA(),AQ36)</f>
        <v>0</v>
      </c>
      <c r="AR52">
        <f>IF(OR(AR36="",AND(AR36=AR35,AR36=AR37)),NA(), AR36)</f>
        <v>0</v>
      </c>
      <c r="AS52">
        <f>IF(ISNA(AT52),NA(),AS36)</f>
        <v>0</v>
      </c>
      <c r="AT52">
        <f>IF(OR(AT36="",AND(AT36=AT35,AT36=AT37)),NA(), AT36)</f>
        <v>0</v>
      </c>
      <c r="AU52">
        <f>IF(ISNA(AV52),NA(),AU36)</f>
        <v>0</v>
      </c>
      <c r="AV52">
        <f>IF(OR(AV36="",AND(AV36=AV35,AV36=AV37)),NA(), AV36)</f>
        <v>0</v>
      </c>
      <c r="AW52">
        <f>IF(ISNA(AX52),NA(),AW36)</f>
        <v>0</v>
      </c>
      <c r="AX52">
        <f>IF(OR(AX36="",AND(AX36=AX35,AX36=AX37)),NA(), AX36)</f>
        <v>0</v>
      </c>
      <c r="AY52">
        <f>IF(ISNA(AZ52),NA(),AY36)</f>
        <v>0</v>
      </c>
      <c r="AZ52">
        <f>IF(OR(AZ36="",AND(AZ36=AZ35,AZ36=AZ37)),NA(), AZ36)</f>
        <v>0</v>
      </c>
      <c r="BA52">
        <f>IF(ISNA(BB52),NA(),BA36)</f>
        <v>0</v>
      </c>
      <c r="BB52">
        <f>IF(OR(BB36="",AND(BB36=BB35,BB36=BB37)),NA(), BB36)</f>
        <v>0</v>
      </c>
      <c r="BC52">
        <f>IF(ISNA(BD52),NA(),BC36)</f>
        <v>0</v>
      </c>
      <c r="BD52">
        <f>IF(OR(BD36="",AND(BD36=BD35,BD36=BD37)),NA(), BD36)</f>
        <v>0</v>
      </c>
      <c r="BE52">
        <f>IF(ISNA(BF52),NA(),BE36)</f>
        <v>0</v>
      </c>
      <c r="BF52">
        <f>IF(OR(BF36="",AND(BF36=BF35,BF36=BF37)),NA(), BF36)</f>
        <v>0</v>
      </c>
      <c r="BG52">
        <f>IF(ISNA(BH52),NA(),BG36)</f>
        <v>0</v>
      </c>
      <c r="BH52">
        <f>IF(OR(BH36="",AND(BH36=BH35,BH36=BH37)),NA(), BH36)</f>
        <v>0</v>
      </c>
      <c r="BI52">
        <f>IF(ISNA(BJ52),NA(),BI36)</f>
        <v>0</v>
      </c>
      <c r="BJ52">
        <f>IF(OR(BJ36="",AND(BJ36=BJ35,BJ36=BJ37)),NA(), BJ36)</f>
        <v>0</v>
      </c>
      <c r="BK52">
        <f>IF(ISNA(BL52),NA(),BK36)</f>
        <v>0</v>
      </c>
      <c r="BL52">
        <f>IF(OR(BL36="",AND(BL36=BL35,BL36=BL37)),NA(), BL36)</f>
        <v>0</v>
      </c>
      <c r="BM52">
        <f>IF(ISNA(BN52),NA(),BM36)</f>
        <v>0</v>
      </c>
      <c r="BN52">
        <f>IF(OR(BN36="",AND(BN36=BN35,BN36=BN37)),NA(), BN36)</f>
        <v>0</v>
      </c>
      <c r="BO52">
        <f>IF(ISNA(BP52),NA(),BO36)</f>
        <v>0</v>
      </c>
      <c r="BP52">
        <f>IF(OR(BP36="",AND(BP36=BP35,BP36=BP37)),NA(), BP36)</f>
        <v>0</v>
      </c>
      <c r="BS52">
        <f>IF(ISNA(BT52),NA(),BS36)</f>
        <v>0</v>
      </c>
      <c r="BT52">
        <f>IF(OR(BT36="",AND(BT36=BT35,BT36=BT37)),NA(), BT36)</f>
        <v>0</v>
      </c>
      <c r="BU52">
        <f>IF(ISNA(BV52),NA(),BU36)</f>
        <v>0</v>
      </c>
      <c r="BV52">
        <f>IF(OR(BV36="",AND(BV36=BV35,BV36=BV37)),NA(), BV36)</f>
        <v>0</v>
      </c>
      <c r="BW52">
        <f>IF(ISNA(BX52),NA(),BW36)</f>
        <v>0</v>
      </c>
      <c r="BX52">
        <f>IF(OR(BX36="",AND(BX36=BX35,BX36=BX37)),NA(), BX36)</f>
        <v>0</v>
      </c>
      <c r="BY52">
        <f>IF(ISNA(BZ52),NA(),BY36)</f>
        <v>0</v>
      </c>
      <c r="BZ52">
        <f>IF(OR(BZ36="",AND(BZ36=BZ35,BZ36=BZ37)),NA(), BZ36)</f>
        <v>0</v>
      </c>
      <c r="CA52">
        <f>IF(ISNA(CB52),NA(),CA36)</f>
        <v>0</v>
      </c>
      <c r="CB52">
        <f>IF(OR(CB36="",AND(CB36=CB35,CB36=CB37)),NA(), CB36)</f>
        <v>0</v>
      </c>
      <c r="CC52">
        <f>IF(ISNA(CD52),NA(),CC36)</f>
        <v>0</v>
      </c>
      <c r="CD52">
        <f>IF(OR(CD36="",AND(CD36=CD35,CD36=CD37)),NA(), CD36)</f>
        <v>0</v>
      </c>
      <c r="CE52">
        <f>IF(ISNA(CF52),NA(),CE36)</f>
        <v>0</v>
      </c>
      <c r="CF52">
        <f>IF(OR(CF36="",AND(CF36=CF35,CF36=CF37)),NA(), CF36)</f>
        <v>0</v>
      </c>
      <c r="CG52">
        <f>IF(ISNA(CH52),NA(),CG36)</f>
        <v>0</v>
      </c>
      <c r="CH52">
        <f>IF(OR(CH36="",AND(CH36=CH35,CH36=CH37)),NA(), CH36)</f>
        <v>0</v>
      </c>
      <c r="CI52">
        <f>IF(ISNA(CJ52),NA(),CI36)</f>
        <v>0</v>
      </c>
      <c r="CJ52">
        <f>IF(OR(CJ36="",AND(CJ36=CJ35,CJ36=CJ37)),NA(), CJ36)</f>
        <v>0</v>
      </c>
      <c r="CK52">
        <f>IF(ISNA(CL52),NA(),CK36)</f>
        <v>0</v>
      </c>
      <c r="CL52">
        <f>IF(OR(CL36="",AND(CL36=CL35,CL36=CL37)),NA(), CL36)</f>
        <v>0</v>
      </c>
      <c r="CM52">
        <f>IF(ISNA(CN52),NA(),CM36)</f>
        <v>0</v>
      </c>
      <c r="CN52">
        <f>IF(OR(CN36="",AND(CN36=CN35,CN36=CN37)),NA(), CN36)</f>
        <v>0</v>
      </c>
      <c r="CO52">
        <f>IF(ISNA(CP52),NA(),CO36)</f>
        <v>0</v>
      </c>
      <c r="CP52">
        <f>IF(OR(CP36="",AND(CP36=CP35,CP36=CP37)),NA(), CP36)</f>
        <v>0</v>
      </c>
      <c r="CQ52">
        <f>IF(ISNA(CR52),NA(),CQ36)</f>
        <v>0</v>
      </c>
      <c r="CR52">
        <f>IF(OR(CR36="",AND(CR36=CR35,CR36=CR37)),NA(), CR36)</f>
        <v>0</v>
      </c>
      <c r="CS52">
        <f>IF(ISNA(CT52),NA(),CS36)</f>
        <v>0</v>
      </c>
      <c r="CT52">
        <f>IF(OR(CT36="",AND(CT36=CT35,CT36=CT37)),NA(), CT36)</f>
        <v>0</v>
      </c>
      <c r="CU52">
        <f>IF(ISNA(CV52),NA(),CU36)</f>
        <v>0</v>
      </c>
      <c r="CV52">
        <f>IF(OR(CV36="",AND(CV36=CV35,CV36=CV37)),NA(), CV36)</f>
        <v>0</v>
      </c>
      <c r="CW52">
        <f>IF(ISNA(CX52),NA(),CW36)</f>
        <v>0</v>
      </c>
      <c r="CX52">
        <f>IF(OR(CX36="",AND(CX36=CX35,CX36=CX37)),NA(), CX36)</f>
        <v>0</v>
      </c>
      <c r="CY52">
        <f>IF(ISNA(CZ52),NA(),CY36)</f>
        <v>0</v>
      </c>
      <c r="CZ52">
        <f>IF(OR(CZ36="",AND(CZ36=CZ35,CZ36=CZ37)),NA(), CZ36)</f>
        <v>0</v>
      </c>
      <c r="DA52">
        <f>IF(ISNA(DB52),NA(),DA36)</f>
        <v>0</v>
      </c>
      <c r="DB52">
        <f>IF(OR(DB36="",AND(DB36=DB35,DB36=DB37)),NA(), DB36)</f>
        <v>0</v>
      </c>
      <c r="DC52">
        <f>IF(ISNA(DD52),NA(),DC36)</f>
        <v>0</v>
      </c>
      <c r="DD52">
        <f>IF(OR(DD36="",AND(DD36=DD35,DD36=DD37)),NA(), DD36)</f>
        <v>0</v>
      </c>
      <c r="DE52">
        <f>IF(ISNA(DF52),NA(),DE36)</f>
        <v>0</v>
      </c>
      <c r="DF52">
        <f>IF(OR(DF36="",AND(DF36=DF35,DF36=DF37)),NA(), DF36)</f>
        <v>0</v>
      </c>
      <c r="DG52">
        <f>IF(ISNA(DH52),NA(),DG36)</f>
        <v>0</v>
      </c>
      <c r="DH52">
        <f>IF(OR(DH36="",AND(DH36=DH35,DH36=DH37)),NA(), DH36)</f>
        <v>0</v>
      </c>
      <c r="DI52">
        <f>IF(ISNA(DJ52),NA(),DI36)</f>
        <v>0</v>
      </c>
      <c r="DJ52">
        <f>IF(OR(DJ36="",AND(DJ36=DJ35,DJ36=DJ37)),NA(), DJ36)</f>
        <v>0</v>
      </c>
      <c r="DK52">
        <f>IF(ISNA(DL52),NA(),DK36)</f>
        <v>0</v>
      </c>
      <c r="DL52">
        <f>IF(OR(DL36="",AND(DL36=DL35,DL36=DL37)),NA(), DL36)</f>
        <v>0</v>
      </c>
      <c r="DM52">
        <f>IF(ISNA(DN52),NA(),DM36)</f>
        <v>0</v>
      </c>
      <c r="DN52">
        <f>IF(OR(DN36="",AND(DN36=DN35,DN36=DN37)),NA(), DN36)</f>
        <v>0</v>
      </c>
      <c r="DO52">
        <f>IF(ISNA(DP52),NA(),DO36)</f>
        <v>0</v>
      </c>
      <c r="DP52">
        <f>IF(OR(DP36="",AND(DP36=DP35,DP36=DP37)),NA(), DP36)</f>
        <v>0</v>
      </c>
      <c r="DQ52">
        <f>IF(ISNA(DR52),NA(),DQ36)</f>
        <v>0</v>
      </c>
      <c r="DR52">
        <f>IF(OR(DR36="",AND(DR36=DR35,DR36=DR37)),NA(), DR36)</f>
        <v>0</v>
      </c>
      <c r="DS52">
        <f>IF(ISNA(DT52),NA(),DS36)</f>
        <v>0</v>
      </c>
      <c r="DT52">
        <f>IF(OR(DT36="",AND(DT36=DT35,DT36=DT37)),NA(), DT36)</f>
        <v>0</v>
      </c>
      <c r="DU52">
        <f>IF(ISNA(DV52),NA(),DU36)</f>
        <v>0</v>
      </c>
      <c r="DV52">
        <f>IF(OR(DV36="",AND(DV36=DV35,DV36=DV37)),NA(), DV36)</f>
        <v>0</v>
      </c>
      <c r="DW52">
        <f>IF(ISNA(DX52),NA(),DW36)</f>
        <v>0</v>
      </c>
      <c r="DX52">
        <f>IF(OR(DX36="",AND(DX36=DX35,DX36=DX37)),NA(), DX36)</f>
        <v>0</v>
      </c>
      <c r="DY52">
        <f>IF(ISNA(DZ52),NA(),DY36)</f>
        <v>0</v>
      </c>
      <c r="DZ52">
        <f>IF(OR(DZ36="",AND(DZ36=DZ35,DZ36=DZ37)),NA(), DZ36)</f>
        <v>0</v>
      </c>
      <c r="EA52">
        <f>IF(ISNA(EB52),NA(),EA36)</f>
        <v>0</v>
      </c>
      <c r="EB52">
        <f>IF(OR(EB36="",AND(EB36=EB35,EB36=EB37)),NA(), EB36)</f>
        <v>0</v>
      </c>
      <c r="EC52">
        <f>IF(ISNA(ED52),NA(),EC36)</f>
        <v>0</v>
      </c>
      <c r="ED52">
        <f>IF(OR(ED36="",AND(ED36=ED35,ED36=ED37)),NA(), ED36)</f>
        <v>0</v>
      </c>
    </row>
    <row r="53" spans="5:134">
      <c r="E53">
        <f>IF(ISNA(F53),NA(),E37)</f>
        <v>0</v>
      </c>
      <c r="F53">
        <f>IF(OR(F37="",AND(F37=F36,F37=F38)),NA(), F37)</f>
        <v>0</v>
      </c>
      <c r="G53">
        <f>IF(ISNA(H53),NA(),G37)</f>
        <v>0</v>
      </c>
      <c r="H53">
        <f>IF(OR(H37="",AND(H37=H36,H37=H38)),NA(), H37)</f>
        <v>0</v>
      </c>
      <c r="I53">
        <f>IF(ISNA(J53),NA(),I37)</f>
        <v>0</v>
      </c>
      <c r="J53">
        <f>IF(OR(J37="",AND(J37=J36,J37=J38)),NA(), J37)</f>
        <v>0</v>
      </c>
      <c r="K53">
        <f>IF(ISNA(L53),NA(),K37)</f>
        <v>0</v>
      </c>
      <c r="L53">
        <f>IF(OR(L37="",AND(L37=L36,L37=L38)),NA(), L37)</f>
        <v>0</v>
      </c>
      <c r="M53">
        <f>IF(ISNA(N53),NA(),M37)</f>
        <v>0</v>
      </c>
      <c r="N53">
        <f>IF(OR(N37="",AND(N37=N36,N37=N38)),NA(), N37)</f>
        <v>0</v>
      </c>
      <c r="O53">
        <f>IF(ISNA(P53),NA(),O37)</f>
        <v>0</v>
      </c>
      <c r="P53">
        <f>IF(OR(P37="",AND(P37=P36,P37=P38)),NA(), P37)</f>
        <v>0</v>
      </c>
      <c r="Q53">
        <f>IF(ISNA(R53),NA(),Q37)</f>
        <v>0</v>
      </c>
      <c r="R53">
        <f>IF(OR(R37="",AND(R37=R36,R37=R38)),NA(), R37)</f>
        <v>0</v>
      </c>
      <c r="S53">
        <f>IF(ISNA(T53),NA(),S37)</f>
        <v>0</v>
      </c>
      <c r="T53">
        <f>IF(OR(T37="",AND(T37=T36,T37=T38)),NA(), T37)</f>
        <v>0</v>
      </c>
      <c r="U53">
        <f>IF(ISNA(V53),NA(),U37)</f>
        <v>0</v>
      </c>
      <c r="V53">
        <f>IF(OR(V37="",AND(V37=V36,V37=V38)),NA(), V37)</f>
        <v>0</v>
      </c>
      <c r="W53">
        <f>IF(ISNA(X53),NA(),W37)</f>
        <v>0</v>
      </c>
      <c r="X53">
        <f>IF(OR(X37="",AND(X37=X36,X37=X38)),NA(), X37)</f>
        <v>0</v>
      </c>
      <c r="Y53">
        <f>IF(ISNA(Z53),NA(),Y37)</f>
        <v>0</v>
      </c>
      <c r="Z53">
        <f>IF(OR(Z37="",AND(Z37=Z36,Z37=Z38)),NA(), Z37)</f>
        <v>0</v>
      </c>
      <c r="AA53">
        <f>IF(ISNA(AB53),NA(),AA37)</f>
        <v>0</v>
      </c>
      <c r="AB53">
        <f>IF(OR(AB37="",AND(AB37=AB36,AB37=AB38)),NA(), AB37)</f>
        <v>0</v>
      </c>
      <c r="AC53">
        <f>IF(ISNA(AD53),NA(),AC37)</f>
        <v>0</v>
      </c>
      <c r="AD53">
        <f>IF(OR(AD37="",AND(AD37=AD36,AD37=AD38)),NA(), AD37)</f>
        <v>0</v>
      </c>
      <c r="AE53">
        <f>IF(ISNA(AF53),NA(),AE37)</f>
        <v>0</v>
      </c>
      <c r="AF53">
        <f>IF(OR(AF37="",AND(AF37=AF36,AF37=AF38)),NA(), AF37)</f>
        <v>0</v>
      </c>
      <c r="AG53">
        <f>IF(ISNA(AH53),NA(),AG37)</f>
        <v>0</v>
      </c>
      <c r="AH53">
        <f>IF(OR(AH37="",AND(AH37=AH36,AH37=AH38)),NA(), AH37)</f>
        <v>0</v>
      </c>
      <c r="AI53">
        <f>IF(ISNA(AJ53),NA(),AI37)</f>
        <v>0</v>
      </c>
      <c r="AJ53">
        <f>IF(OR(AJ37="",AND(AJ37=AJ36,AJ37=AJ38)),NA(), AJ37)</f>
        <v>0</v>
      </c>
      <c r="AK53">
        <f>IF(ISNA(AL53),NA(),AK37)</f>
        <v>0</v>
      </c>
      <c r="AL53">
        <f>IF(OR(AL37="",AND(AL37=AL36,AL37=AL38)),NA(), AL37)</f>
        <v>0</v>
      </c>
      <c r="AM53">
        <f>IF(ISNA(AN53),NA(),AM37)</f>
        <v>0</v>
      </c>
      <c r="AN53">
        <f>IF(OR(AN37="",AND(AN37=AN36,AN37=AN38)),NA(), AN37)</f>
        <v>0</v>
      </c>
      <c r="AO53">
        <f>IF(ISNA(AP53),NA(),AO37)</f>
        <v>0</v>
      </c>
      <c r="AP53">
        <f>IF(OR(AP37="",AND(AP37=AP36,AP37=AP38)),NA(), AP37)</f>
        <v>0</v>
      </c>
      <c r="AQ53">
        <f>IF(ISNA(AR53),NA(),AQ37)</f>
        <v>0</v>
      </c>
      <c r="AR53">
        <f>IF(OR(AR37="",AND(AR37=AR36,AR37=AR38)),NA(), AR37)</f>
        <v>0</v>
      </c>
      <c r="AS53">
        <f>IF(ISNA(AT53),NA(),AS37)</f>
        <v>0</v>
      </c>
      <c r="AT53">
        <f>IF(OR(AT37="",AND(AT37=AT36,AT37=AT38)),NA(), AT37)</f>
        <v>0</v>
      </c>
      <c r="AU53">
        <f>IF(ISNA(AV53),NA(),AU37)</f>
        <v>0</v>
      </c>
      <c r="AV53">
        <f>IF(OR(AV37="",AND(AV37=AV36,AV37=AV38)),NA(), AV37)</f>
        <v>0</v>
      </c>
      <c r="AW53">
        <f>IF(ISNA(AX53),NA(),AW37)</f>
        <v>0</v>
      </c>
      <c r="AX53">
        <f>IF(OR(AX37="",AND(AX37=AX36,AX37=AX38)),NA(), AX37)</f>
        <v>0</v>
      </c>
      <c r="AY53">
        <f>IF(ISNA(AZ53),NA(),AY37)</f>
        <v>0</v>
      </c>
      <c r="AZ53">
        <f>IF(OR(AZ37="",AND(AZ37=AZ36,AZ37=AZ38)),NA(), AZ37)</f>
        <v>0</v>
      </c>
      <c r="BA53">
        <f>IF(ISNA(BB53),NA(),BA37)</f>
        <v>0</v>
      </c>
      <c r="BB53">
        <f>IF(OR(BB37="",AND(BB37=BB36,BB37=BB38)),NA(), BB37)</f>
        <v>0</v>
      </c>
      <c r="BC53">
        <f>IF(ISNA(BD53),NA(),BC37)</f>
        <v>0</v>
      </c>
      <c r="BD53">
        <f>IF(OR(BD37="",AND(BD37=BD36,BD37=BD38)),NA(), BD37)</f>
        <v>0</v>
      </c>
      <c r="BE53">
        <f>IF(ISNA(BF53),NA(),BE37)</f>
        <v>0</v>
      </c>
      <c r="BF53">
        <f>IF(OR(BF37="",AND(BF37=BF36,BF37=BF38)),NA(), BF37)</f>
        <v>0</v>
      </c>
      <c r="BG53">
        <f>IF(ISNA(BH53),NA(),BG37)</f>
        <v>0</v>
      </c>
      <c r="BH53">
        <f>IF(OR(BH37="",AND(BH37=BH36,BH37=BH38)),NA(), BH37)</f>
        <v>0</v>
      </c>
      <c r="BI53">
        <f>IF(ISNA(BJ53),NA(),BI37)</f>
        <v>0</v>
      </c>
      <c r="BJ53">
        <f>IF(OR(BJ37="",AND(BJ37=BJ36,BJ37=BJ38)),NA(), BJ37)</f>
        <v>0</v>
      </c>
      <c r="BK53">
        <f>IF(ISNA(BL53),NA(),BK37)</f>
        <v>0</v>
      </c>
      <c r="BL53">
        <f>IF(OR(BL37="",AND(BL37=BL36,BL37=BL38)),NA(), BL37)</f>
        <v>0</v>
      </c>
      <c r="BM53">
        <f>IF(ISNA(BN53),NA(),BM37)</f>
        <v>0</v>
      </c>
      <c r="BN53">
        <f>IF(OR(BN37="",AND(BN37=BN36,BN37=BN38)),NA(), BN37)</f>
        <v>0</v>
      </c>
      <c r="BO53">
        <f>IF(ISNA(BP53),NA(),BO37)</f>
        <v>0</v>
      </c>
      <c r="BP53">
        <f>IF(OR(BP37="",AND(BP37=BP36,BP37=BP38)),NA(), BP37)</f>
        <v>0</v>
      </c>
      <c r="BS53">
        <f>IF(ISNA(BT53),NA(),BS37)</f>
        <v>0</v>
      </c>
      <c r="BT53">
        <f>IF(OR(BT37="",AND(BT37=BT36,BT37=BT38)),NA(), BT37)</f>
        <v>0</v>
      </c>
      <c r="BU53">
        <f>IF(ISNA(BV53),NA(),BU37)</f>
        <v>0</v>
      </c>
      <c r="BV53">
        <f>IF(OR(BV37="",AND(BV37=BV36,BV37=BV38)),NA(), BV37)</f>
        <v>0</v>
      </c>
      <c r="BW53">
        <f>IF(ISNA(BX53),NA(),BW37)</f>
        <v>0</v>
      </c>
      <c r="BX53">
        <f>IF(OR(BX37="",AND(BX37=BX36,BX37=BX38)),NA(), BX37)</f>
        <v>0</v>
      </c>
      <c r="BY53">
        <f>IF(ISNA(BZ53),NA(),BY37)</f>
        <v>0</v>
      </c>
      <c r="BZ53">
        <f>IF(OR(BZ37="",AND(BZ37=BZ36,BZ37=BZ38)),NA(), BZ37)</f>
        <v>0</v>
      </c>
      <c r="CA53">
        <f>IF(ISNA(CB53),NA(),CA37)</f>
        <v>0</v>
      </c>
      <c r="CB53">
        <f>IF(OR(CB37="",AND(CB37=CB36,CB37=CB38)),NA(), CB37)</f>
        <v>0</v>
      </c>
      <c r="CC53">
        <f>IF(ISNA(CD53),NA(),CC37)</f>
        <v>0</v>
      </c>
      <c r="CD53">
        <f>IF(OR(CD37="",AND(CD37=CD36,CD37=CD38)),NA(), CD37)</f>
        <v>0</v>
      </c>
      <c r="CE53">
        <f>IF(ISNA(CF53),NA(),CE37)</f>
        <v>0</v>
      </c>
      <c r="CF53">
        <f>IF(OR(CF37="",AND(CF37=CF36,CF37=CF38)),NA(), CF37)</f>
        <v>0</v>
      </c>
      <c r="CG53">
        <f>IF(ISNA(CH53),NA(),CG37)</f>
        <v>0</v>
      </c>
      <c r="CH53">
        <f>IF(OR(CH37="",AND(CH37=CH36,CH37=CH38)),NA(), CH37)</f>
        <v>0</v>
      </c>
      <c r="CI53">
        <f>IF(ISNA(CJ53),NA(),CI37)</f>
        <v>0</v>
      </c>
      <c r="CJ53">
        <f>IF(OR(CJ37="",AND(CJ37=CJ36,CJ37=CJ38)),NA(), CJ37)</f>
        <v>0</v>
      </c>
      <c r="CK53">
        <f>IF(ISNA(CL53),NA(),CK37)</f>
        <v>0</v>
      </c>
      <c r="CL53">
        <f>IF(OR(CL37="",AND(CL37=CL36,CL37=CL38)),NA(), CL37)</f>
        <v>0</v>
      </c>
      <c r="CM53">
        <f>IF(ISNA(CN53),NA(),CM37)</f>
        <v>0</v>
      </c>
      <c r="CN53">
        <f>IF(OR(CN37="",AND(CN37=CN36,CN37=CN38)),NA(), CN37)</f>
        <v>0</v>
      </c>
      <c r="CO53">
        <f>IF(ISNA(CP53),NA(),CO37)</f>
        <v>0</v>
      </c>
      <c r="CP53">
        <f>IF(OR(CP37="",AND(CP37=CP36,CP37=CP38)),NA(), CP37)</f>
        <v>0</v>
      </c>
      <c r="CQ53">
        <f>IF(ISNA(CR53),NA(),CQ37)</f>
        <v>0</v>
      </c>
      <c r="CR53">
        <f>IF(OR(CR37="",AND(CR37=CR36,CR37=CR38)),NA(), CR37)</f>
        <v>0</v>
      </c>
      <c r="CS53">
        <f>IF(ISNA(CT53),NA(),CS37)</f>
        <v>0</v>
      </c>
      <c r="CT53">
        <f>IF(OR(CT37="",AND(CT37=CT36,CT37=CT38)),NA(), CT37)</f>
        <v>0</v>
      </c>
      <c r="CU53">
        <f>IF(ISNA(CV53),NA(),CU37)</f>
        <v>0</v>
      </c>
      <c r="CV53">
        <f>IF(OR(CV37="",AND(CV37=CV36,CV37=CV38)),NA(), CV37)</f>
        <v>0</v>
      </c>
      <c r="CW53">
        <f>IF(ISNA(CX53),NA(),CW37)</f>
        <v>0</v>
      </c>
      <c r="CX53">
        <f>IF(OR(CX37="",AND(CX37=CX36,CX37=CX38)),NA(), CX37)</f>
        <v>0</v>
      </c>
      <c r="CY53">
        <f>IF(ISNA(CZ53),NA(),CY37)</f>
        <v>0</v>
      </c>
      <c r="CZ53">
        <f>IF(OR(CZ37="",AND(CZ37=CZ36,CZ37=CZ38)),NA(), CZ37)</f>
        <v>0</v>
      </c>
      <c r="DA53">
        <f>IF(ISNA(DB53),NA(),DA37)</f>
        <v>0</v>
      </c>
      <c r="DB53">
        <f>IF(OR(DB37="",AND(DB37=DB36,DB37=DB38)),NA(), DB37)</f>
        <v>0</v>
      </c>
      <c r="DC53">
        <f>IF(ISNA(DD53),NA(),DC37)</f>
        <v>0</v>
      </c>
      <c r="DD53">
        <f>IF(OR(DD37="",AND(DD37=DD36,DD37=DD38)),NA(), DD37)</f>
        <v>0</v>
      </c>
      <c r="DE53">
        <f>IF(ISNA(DF53),NA(),DE37)</f>
        <v>0</v>
      </c>
      <c r="DF53">
        <f>IF(OR(DF37="",AND(DF37=DF36,DF37=DF38)),NA(), DF37)</f>
        <v>0</v>
      </c>
      <c r="DG53">
        <f>IF(ISNA(DH53),NA(),DG37)</f>
        <v>0</v>
      </c>
      <c r="DH53">
        <f>IF(OR(DH37="",AND(DH37=DH36,DH37=DH38)),NA(), DH37)</f>
        <v>0</v>
      </c>
      <c r="DI53">
        <f>IF(ISNA(DJ53),NA(),DI37)</f>
        <v>0</v>
      </c>
      <c r="DJ53">
        <f>IF(OR(DJ37="",AND(DJ37=DJ36,DJ37=DJ38)),NA(), DJ37)</f>
        <v>0</v>
      </c>
      <c r="DK53">
        <f>IF(ISNA(DL53),NA(),DK37)</f>
        <v>0</v>
      </c>
      <c r="DL53">
        <f>IF(OR(DL37="",AND(DL37=DL36,DL37=DL38)),NA(), DL37)</f>
        <v>0</v>
      </c>
      <c r="DM53">
        <f>IF(ISNA(DN53),NA(),DM37)</f>
        <v>0</v>
      </c>
      <c r="DN53">
        <f>IF(OR(DN37="",AND(DN37=DN36,DN37=DN38)),NA(), DN37)</f>
        <v>0</v>
      </c>
      <c r="DO53">
        <f>IF(ISNA(DP53),NA(),DO37)</f>
        <v>0</v>
      </c>
      <c r="DP53">
        <f>IF(OR(DP37="",AND(DP37=DP36,DP37=DP38)),NA(), DP37)</f>
        <v>0</v>
      </c>
      <c r="DQ53">
        <f>IF(ISNA(DR53),NA(),DQ37)</f>
        <v>0</v>
      </c>
      <c r="DR53">
        <f>IF(OR(DR37="",AND(DR37=DR36,DR37=DR38)),NA(), DR37)</f>
        <v>0</v>
      </c>
      <c r="DS53">
        <f>IF(ISNA(DT53),NA(),DS37)</f>
        <v>0</v>
      </c>
      <c r="DT53">
        <f>IF(OR(DT37="",AND(DT37=DT36,DT37=DT38)),NA(), DT37)</f>
        <v>0</v>
      </c>
      <c r="DU53">
        <f>IF(ISNA(DV53),NA(),DU37)</f>
        <v>0</v>
      </c>
      <c r="DV53">
        <f>IF(OR(DV37="",AND(DV37=DV36,DV37=DV38)),NA(), DV37)</f>
        <v>0</v>
      </c>
      <c r="DW53">
        <f>IF(ISNA(DX53),NA(),DW37)</f>
        <v>0</v>
      </c>
      <c r="DX53">
        <f>IF(OR(DX37="",AND(DX37=DX36,DX37=DX38)),NA(), DX37)</f>
        <v>0</v>
      </c>
      <c r="DY53">
        <f>IF(ISNA(DZ53),NA(),DY37)</f>
        <v>0</v>
      </c>
      <c r="DZ53">
        <f>IF(OR(DZ37="",AND(DZ37=DZ36,DZ37=DZ38)),NA(), DZ37)</f>
        <v>0</v>
      </c>
      <c r="EA53">
        <f>IF(ISNA(EB53),NA(),EA37)</f>
        <v>0</v>
      </c>
      <c r="EB53">
        <f>IF(OR(EB37="",AND(EB37=EB36,EB37=EB38)),NA(), EB37)</f>
        <v>0</v>
      </c>
      <c r="EC53">
        <f>IF(ISNA(ED53),NA(),EC37)</f>
        <v>0</v>
      </c>
      <c r="ED53">
        <f>IF(OR(ED37="",AND(ED37=ED36,ED37=ED38)),NA(), ED37)</f>
        <v>0</v>
      </c>
    </row>
    <row r="54" spans="5:134">
      <c r="E54">
        <f>IF(ISNA(F54),NA(),E38)</f>
        <v>0</v>
      </c>
      <c r="F54">
        <f>IF(OR(F38="",AND(F38=F37,F38=F39)),NA(), F38)</f>
        <v>0</v>
      </c>
      <c r="G54">
        <f>IF(ISNA(H54),NA(),G38)</f>
        <v>0</v>
      </c>
      <c r="H54">
        <f>IF(OR(H38="",AND(H38=H37,H38=H39)),NA(), H38)</f>
        <v>0</v>
      </c>
      <c r="I54">
        <f>IF(ISNA(J54),NA(),I38)</f>
        <v>0</v>
      </c>
      <c r="J54">
        <f>IF(OR(J38="",AND(J38=J37,J38=J39)),NA(), J38)</f>
        <v>0</v>
      </c>
      <c r="K54">
        <f>IF(ISNA(L54),NA(),K38)</f>
        <v>0</v>
      </c>
      <c r="L54">
        <f>IF(OR(L38="",AND(L38=L37,L38=L39)),NA(), L38)</f>
        <v>0</v>
      </c>
      <c r="M54">
        <f>IF(ISNA(N54),NA(),M38)</f>
        <v>0</v>
      </c>
      <c r="N54">
        <f>IF(OR(N38="",AND(N38=N37,N38=N39)),NA(), N38)</f>
        <v>0</v>
      </c>
      <c r="O54">
        <f>IF(ISNA(P54),NA(),O38)</f>
        <v>0</v>
      </c>
      <c r="P54">
        <f>IF(OR(P38="",AND(P38=P37,P38=P39)),NA(), P38)</f>
        <v>0</v>
      </c>
      <c r="Q54">
        <f>IF(ISNA(R54),NA(),Q38)</f>
        <v>0</v>
      </c>
      <c r="R54">
        <f>IF(OR(R38="",AND(R38=R37,R38=R39)),NA(), R38)</f>
        <v>0</v>
      </c>
      <c r="S54">
        <f>IF(ISNA(T54),NA(),S38)</f>
        <v>0</v>
      </c>
      <c r="T54">
        <f>IF(OR(T38="",AND(T38=T37,T38=T39)),NA(), T38)</f>
        <v>0</v>
      </c>
      <c r="U54">
        <f>IF(ISNA(V54),NA(),U38)</f>
        <v>0</v>
      </c>
      <c r="V54">
        <f>IF(OR(V38="",AND(V38=V37,V38=V39)),NA(), V38)</f>
        <v>0</v>
      </c>
      <c r="W54">
        <f>IF(ISNA(X54),NA(),W38)</f>
        <v>0</v>
      </c>
      <c r="X54">
        <f>IF(OR(X38="",AND(X38=X37,X38=X39)),NA(), X38)</f>
        <v>0</v>
      </c>
      <c r="Y54">
        <f>IF(ISNA(Z54),NA(),Y38)</f>
        <v>0</v>
      </c>
      <c r="Z54">
        <f>IF(OR(Z38="",AND(Z38=Z37,Z38=Z39)),NA(), Z38)</f>
        <v>0</v>
      </c>
      <c r="AA54">
        <f>IF(ISNA(AB54),NA(),AA38)</f>
        <v>0</v>
      </c>
      <c r="AB54">
        <f>IF(OR(AB38="",AND(AB38=AB37,AB38=AB39)),NA(), AB38)</f>
        <v>0</v>
      </c>
      <c r="AC54">
        <f>IF(ISNA(AD54),NA(),AC38)</f>
        <v>0</v>
      </c>
      <c r="AD54">
        <f>IF(OR(AD38="",AND(AD38=AD37,AD38=AD39)),NA(), AD38)</f>
        <v>0</v>
      </c>
      <c r="AE54">
        <f>IF(ISNA(AF54),NA(),AE38)</f>
        <v>0</v>
      </c>
      <c r="AF54">
        <f>IF(OR(AF38="",AND(AF38=AF37,AF38=AF39)),NA(), AF38)</f>
        <v>0</v>
      </c>
      <c r="AG54">
        <f>IF(ISNA(AH54),NA(),AG38)</f>
        <v>0</v>
      </c>
      <c r="AH54">
        <f>IF(OR(AH38="",AND(AH38=AH37,AH38=AH39)),NA(), AH38)</f>
        <v>0</v>
      </c>
      <c r="AI54">
        <f>IF(ISNA(AJ54),NA(),AI38)</f>
        <v>0</v>
      </c>
      <c r="AJ54">
        <f>IF(OR(AJ38="",AND(AJ38=AJ37,AJ38=AJ39)),NA(), AJ38)</f>
        <v>0</v>
      </c>
      <c r="AK54">
        <f>IF(ISNA(AL54),NA(),AK38)</f>
        <v>0</v>
      </c>
      <c r="AL54">
        <f>IF(OR(AL38="",AND(AL38=AL37,AL38=AL39)),NA(), AL38)</f>
        <v>0</v>
      </c>
      <c r="AM54">
        <f>IF(ISNA(AN54),NA(),AM38)</f>
        <v>0</v>
      </c>
      <c r="AN54">
        <f>IF(OR(AN38="",AND(AN38=AN37,AN38=AN39)),NA(), AN38)</f>
        <v>0</v>
      </c>
      <c r="AO54">
        <f>IF(ISNA(AP54),NA(),AO38)</f>
        <v>0</v>
      </c>
      <c r="AP54">
        <f>IF(OR(AP38="",AND(AP38=AP37,AP38=AP39)),NA(), AP38)</f>
        <v>0</v>
      </c>
      <c r="AQ54">
        <f>IF(ISNA(AR54),NA(),AQ38)</f>
        <v>0</v>
      </c>
      <c r="AR54">
        <f>IF(OR(AR38="",AND(AR38=AR37,AR38=AR39)),NA(), AR38)</f>
        <v>0</v>
      </c>
      <c r="AS54">
        <f>IF(ISNA(AT54),NA(),AS38)</f>
        <v>0</v>
      </c>
      <c r="AT54">
        <f>IF(OR(AT38="",AND(AT38=AT37,AT38=AT39)),NA(), AT38)</f>
        <v>0</v>
      </c>
      <c r="AU54">
        <f>IF(ISNA(AV54),NA(),AU38)</f>
        <v>0</v>
      </c>
      <c r="AV54">
        <f>IF(OR(AV38="",AND(AV38=AV37,AV38=AV39)),NA(), AV38)</f>
        <v>0</v>
      </c>
      <c r="AW54">
        <f>IF(ISNA(AX54),NA(),AW38)</f>
        <v>0</v>
      </c>
      <c r="AX54">
        <f>IF(OR(AX38="",AND(AX38=AX37,AX38=AX39)),NA(), AX38)</f>
        <v>0</v>
      </c>
      <c r="AY54">
        <f>IF(ISNA(AZ54),NA(),AY38)</f>
        <v>0</v>
      </c>
      <c r="AZ54">
        <f>IF(OR(AZ38="",AND(AZ38=AZ37,AZ38=AZ39)),NA(), AZ38)</f>
        <v>0</v>
      </c>
      <c r="BA54">
        <f>IF(ISNA(BB54),NA(),BA38)</f>
        <v>0</v>
      </c>
      <c r="BB54">
        <f>IF(OR(BB38="",AND(BB38=BB37,BB38=BB39)),NA(), BB38)</f>
        <v>0</v>
      </c>
      <c r="BC54">
        <f>IF(ISNA(BD54),NA(),BC38)</f>
        <v>0</v>
      </c>
      <c r="BD54">
        <f>IF(OR(BD38="",AND(BD38=BD37,BD38=BD39)),NA(), BD38)</f>
        <v>0</v>
      </c>
      <c r="BE54">
        <f>IF(ISNA(BF54),NA(),BE38)</f>
        <v>0</v>
      </c>
      <c r="BF54">
        <f>IF(OR(BF38="",AND(BF38=BF37,BF38=BF39)),NA(), BF38)</f>
        <v>0</v>
      </c>
      <c r="BG54">
        <f>IF(ISNA(BH54),NA(),BG38)</f>
        <v>0</v>
      </c>
      <c r="BH54">
        <f>IF(OR(BH38="",AND(BH38=BH37,BH38=BH39)),NA(), BH38)</f>
        <v>0</v>
      </c>
      <c r="BI54">
        <f>IF(ISNA(BJ54),NA(),BI38)</f>
        <v>0</v>
      </c>
      <c r="BJ54">
        <f>IF(OR(BJ38="",AND(BJ38=BJ37,BJ38=BJ39)),NA(), BJ38)</f>
        <v>0</v>
      </c>
      <c r="BK54">
        <f>IF(ISNA(BL54),NA(),BK38)</f>
        <v>0</v>
      </c>
      <c r="BL54">
        <f>IF(OR(BL38="",AND(BL38=BL37,BL38=BL39)),NA(), BL38)</f>
        <v>0</v>
      </c>
      <c r="BM54">
        <f>IF(ISNA(BN54),NA(),BM38)</f>
        <v>0</v>
      </c>
      <c r="BN54">
        <f>IF(OR(BN38="",AND(BN38=BN37,BN38=BN39)),NA(), BN38)</f>
        <v>0</v>
      </c>
      <c r="BO54">
        <f>IF(ISNA(BP54),NA(),BO38)</f>
        <v>0</v>
      </c>
      <c r="BP54">
        <f>IF(OR(BP38="",AND(BP38=BP37,BP38=BP39)),NA(), BP38)</f>
        <v>0</v>
      </c>
      <c r="BS54">
        <f>IF(ISNA(BT54),NA(),BS38)</f>
        <v>0</v>
      </c>
      <c r="BT54">
        <f>IF(OR(BT38="",AND(BT38=BT37,BT38=BT39)),NA(), BT38)</f>
        <v>0</v>
      </c>
      <c r="BU54">
        <f>IF(ISNA(BV54),NA(),BU38)</f>
        <v>0</v>
      </c>
      <c r="BV54">
        <f>IF(OR(BV38="",AND(BV38=BV37,BV38=BV39)),NA(), BV38)</f>
        <v>0</v>
      </c>
      <c r="BW54">
        <f>IF(ISNA(BX54),NA(),BW38)</f>
        <v>0</v>
      </c>
      <c r="BX54">
        <f>IF(OR(BX38="",AND(BX38=BX37,BX38=BX39)),NA(), BX38)</f>
        <v>0</v>
      </c>
      <c r="BY54">
        <f>IF(ISNA(BZ54),NA(),BY38)</f>
        <v>0</v>
      </c>
      <c r="BZ54">
        <f>IF(OR(BZ38="",AND(BZ38=BZ37,BZ38=BZ39)),NA(), BZ38)</f>
        <v>0</v>
      </c>
      <c r="CA54">
        <f>IF(ISNA(CB54),NA(),CA38)</f>
        <v>0</v>
      </c>
      <c r="CB54">
        <f>IF(OR(CB38="",AND(CB38=CB37,CB38=CB39)),NA(), CB38)</f>
        <v>0</v>
      </c>
      <c r="CC54">
        <f>IF(ISNA(CD54),NA(),CC38)</f>
        <v>0</v>
      </c>
      <c r="CD54">
        <f>IF(OR(CD38="",AND(CD38=CD37,CD38=CD39)),NA(), CD38)</f>
        <v>0</v>
      </c>
      <c r="CE54">
        <f>IF(ISNA(CF54),NA(),CE38)</f>
        <v>0</v>
      </c>
      <c r="CF54">
        <f>IF(OR(CF38="",AND(CF38=CF37,CF38=CF39)),NA(), CF38)</f>
        <v>0</v>
      </c>
      <c r="CG54">
        <f>IF(ISNA(CH54),NA(),CG38)</f>
        <v>0</v>
      </c>
      <c r="CH54">
        <f>IF(OR(CH38="",AND(CH38=CH37,CH38=CH39)),NA(), CH38)</f>
        <v>0</v>
      </c>
      <c r="CI54">
        <f>IF(ISNA(CJ54),NA(),CI38)</f>
        <v>0</v>
      </c>
      <c r="CJ54">
        <f>IF(OR(CJ38="",AND(CJ38=CJ37,CJ38=CJ39)),NA(), CJ38)</f>
        <v>0</v>
      </c>
      <c r="CK54">
        <f>IF(ISNA(CL54),NA(),CK38)</f>
        <v>0</v>
      </c>
      <c r="CL54">
        <f>IF(OR(CL38="",AND(CL38=CL37,CL38=CL39)),NA(), CL38)</f>
        <v>0</v>
      </c>
      <c r="CM54">
        <f>IF(ISNA(CN54),NA(),CM38)</f>
        <v>0</v>
      </c>
      <c r="CN54">
        <f>IF(OR(CN38="",AND(CN38=CN37,CN38=CN39)),NA(), CN38)</f>
        <v>0</v>
      </c>
      <c r="CO54">
        <f>IF(ISNA(CP54),NA(),CO38)</f>
        <v>0</v>
      </c>
      <c r="CP54">
        <f>IF(OR(CP38="",AND(CP38=CP37,CP38=CP39)),NA(), CP38)</f>
        <v>0</v>
      </c>
      <c r="CQ54">
        <f>IF(ISNA(CR54),NA(),CQ38)</f>
        <v>0</v>
      </c>
      <c r="CR54">
        <f>IF(OR(CR38="",AND(CR38=CR37,CR38=CR39)),NA(), CR38)</f>
        <v>0</v>
      </c>
      <c r="CS54">
        <f>IF(ISNA(CT54),NA(),CS38)</f>
        <v>0</v>
      </c>
      <c r="CT54">
        <f>IF(OR(CT38="",AND(CT38=CT37,CT38=CT39)),NA(), CT38)</f>
        <v>0</v>
      </c>
      <c r="CU54">
        <f>IF(ISNA(CV54),NA(),CU38)</f>
        <v>0</v>
      </c>
      <c r="CV54">
        <f>IF(OR(CV38="",AND(CV38=CV37,CV38=CV39)),NA(), CV38)</f>
        <v>0</v>
      </c>
      <c r="CW54">
        <f>IF(ISNA(CX54),NA(),CW38)</f>
        <v>0</v>
      </c>
      <c r="CX54">
        <f>IF(OR(CX38="",AND(CX38=CX37,CX38=CX39)),NA(), CX38)</f>
        <v>0</v>
      </c>
      <c r="CY54">
        <f>IF(ISNA(CZ54),NA(),CY38)</f>
        <v>0</v>
      </c>
      <c r="CZ54">
        <f>IF(OR(CZ38="",AND(CZ38=CZ37,CZ38=CZ39)),NA(), CZ38)</f>
        <v>0</v>
      </c>
      <c r="DA54">
        <f>IF(ISNA(DB54),NA(),DA38)</f>
        <v>0</v>
      </c>
      <c r="DB54">
        <f>IF(OR(DB38="",AND(DB38=DB37,DB38=DB39)),NA(), DB38)</f>
        <v>0</v>
      </c>
      <c r="DC54">
        <f>IF(ISNA(DD54),NA(),DC38)</f>
        <v>0</v>
      </c>
      <c r="DD54">
        <f>IF(OR(DD38="",AND(DD38=DD37,DD38=DD39)),NA(), DD38)</f>
        <v>0</v>
      </c>
      <c r="DE54">
        <f>IF(ISNA(DF54),NA(),DE38)</f>
        <v>0</v>
      </c>
      <c r="DF54">
        <f>IF(OR(DF38="",AND(DF38=DF37,DF38=DF39)),NA(), DF38)</f>
        <v>0</v>
      </c>
      <c r="DG54">
        <f>IF(ISNA(DH54),NA(),DG38)</f>
        <v>0</v>
      </c>
      <c r="DH54">
        <f>IF(OR(DH38="",AND(DH38=DH37,DH38=DH39)),NA(), DH38)</f>
        <v>0</v>
      </c>
      <c r="DI54">
        <f>IF(ISNA(DJ54),NA(),DI38)</f>
        <v>0</v>
      </c>
      <c r="DJ54">
        <f>IF(OR(DJ38="",AND(DJ38=DJ37,DJ38=DJ39)),NA(), DJ38)</f>
        <v>0</v>
      </c>
      <c r="DK54">
        <f>IF(ISNA(DL54),NA(),DK38)</f>
        <v>0</v>
      </c>
      <c r="DL54">
        <f>IF(OR(DL38="",AND(DL38=DL37,DL38=DL39)),NA(), DL38)</f>
        <v>0</v>
      </c>
      <c r="DM54">
        <f>IF(ISNA(DN54),NA(),DM38)</f>
        <v>0</v>
      </c>
      <c r="DN54">
        <f>IF(OR(DN38="",AND(DN38=DN37,DN38=DN39)),NA(), DN38)</f>
        <v>0</v>
      </c>
      <c r="DO54">
        <f>IF(ISNA(DP54),NA(),DO38)</f>
        <v>0</v>
      </c>
      <c r="DP54">
        <f>IF(OR(DP38="",AND(DP38=DP37,DP38=DP39)),NA(), DP38)</f>
        <v>0</v>
      </c>
      <c r="DQ54">
        <f>IF(ISNA(DR54),NA(),DQ38)</f>
        <v>0</v>
      </c>
      <c r="DR54">
        <f>IF(OR(DR38="",AND(DR38=DR37,DR38=DR39)),NA(), DR38)</f>
        <v>0</v>
      </c>
      <c r="DS54">
        <f>IF(ISNA(DT54),NA(),DS38)</f>
        <v>0</v>
      </c>
      <c r="DT54">
        <f>IF(OR(DT38="",AND(DT38=DT37,DT38=DT39)),NA(), DT38)</f>
        <v>0</v>
      </c>
      <c r="DU54">
        <f>IF(ISNA(DV54),NA(),DU38)</f>
        <v>0</v>
      </c>
      <c r="DV54">
        <f>IF(OR(DV38="",AND(DV38=DV37,DV38=DV39)),NA(), DV38)</f>
        <v>0</v>
      </c>
      <c r="DW54">
        <f>IF(ISNA(DX54),NA(),DW38)</f>
        <v>0</v>
      </c>
      <c r="DX54">
        <f>IF(OR(DX38="",AND(DX38=DX37,DX38=DX39)),NA(), DX38)</f>
        <v>0</v>
      </c>
      <c r="DY54">
        <f>IF(ISNA(DZ54),NA(),DY38)</f>
        <v>0</v>
      </c>
      <c r="DZ54">
        <f>IF(OR(DZ38="",AND(DZ38=DZ37,DZ38=DZ39)),NA(), DZ38)</f>
        <v>0</v>
      </c>
      <c r="EA54">
        <f>IF(ISNA(EB54),NA(),EA38)</f>
        <v>0</v>
      </c>
      <c r="EB54">
        <f>IF(OR(EB38="",AND(EB38=EB37,EB38=EB39)),NA(), EB38)</f>
        <v>0</v>
      </c>
      <c r="EC54">
        <f>IF(ISNA(ED54),NA(),EC38)</f>
        <v>0</v>
      </c>
      <c r="ED54">
        <f>IF(OR(ED38="",AND(ED38=ED37,ED38=ED39)),NA(), ED38)</f>
        <v>0</v>
      </c>
    </row>
    <row r="55" spans="5:134">
      <c r="E55">
        <f>IF(ISNA(F55),NA(),E39)</f>
        <v>0</v>
      </c>
      <c r="F55">
        <f>IF(OR(F39="",AND(F39=F38,F39=F40)),NA(), F39)</f>
        <v>0</v>
      </c>
      <c r="G55">
        <f>IF(ISNA(H55),NA(),G39)</f>
        <v>0</v>
      </c>
      <c r="H55">
        <f>IF(OR(H39="",AND(H39=H38,H39=H40)),NA(), H39)</f>
        <v>0</v>
      </c>
      <c r="I55">
        <f>IF(ISNA(J55),NA(),I39)</f>
        <v>0</v>
      </c>
      <c r="J55">
        <f>IF(OR(J39="",AND(J39=J38,J39=J40)),NA(), J39)</f>
        <v>0</v>
      </c>
      <c r="K55">
        <f>IF(ISNA(L55),NA(),K39)</f>
        <v>0</v>
      </c>
      <c r="L55">
        <f>IF(OR(L39="",AND(L39=L38,L39=L40)),NA(), L39)</f>
        <v>0</v>
      </c>
      <c r="M55">
        <f>IF(ISNA(N55),NA(),M39)</f>
        <v>0</v>
      </c>
      <c r="N55">
        <f>IF(OR(N39="",AND(N39=N38,N39=N40)),NA(), N39)</f>
        <v>0</v>
      </c>
      <c r="O55">
        <f>IF(ISNA(P55),NA(),O39)</f>
        <v>0</v>
      </c>
      <c r="P55">
        <f>IF(OR(P39="",AND(P39=P38,P39=P40)),NA(), P39)</f>
        <v>0</v>
      </c>
      <c r="Q55">
        <f>IF(ISNA(R55),NA(),Q39)</f>
        <v>0</v>
      </c>
      <c r="R55">
        <f>IF(OR(R39="",AND(R39=R38,R39=R40)),NA(), R39)</f>
        <v>0</v>
      </c>
      <c r="S55">
        <f>IF(ISNA(T55),NA(),S39)</f>
        <v>0</v>
      </c>
      <c r="T55">
        <f>IF(OR(T39="",AND(T39=T38,T39=T40)),NA(), T39)</f>
        <v>0</v>
      </c>
      <c r="U55">
        <f>IF(ISNA(V55),NA(),U39)</f>
        <v>0</v>
      </c>
      <c r="V55">
        <f>IF(OR(V39="",AND(V39=V38,V39=V40)),NA(), V39)</f>
        <v>0</v>
      </c>
      <c r="W55">
        <f>IF(ISNA(X55),NA(),W39)</f>
        <v>0</v>
      </c>
      <c r="X55">
        <f>IF(OR(X39="",AND(X39=X38,X39=X40)),NA(), X39)</f>
        <v>0</v>
      </c>
      <c r="Y55">
        <f>IF(ISNA(Z55),NA(),Y39)</f>
        <v>0</v>
      </c>
      <c r="Z55">
        <f>IF(OR(Z39="",AND(Z39=Z38,Z39=Z40)),NA(), Z39)</f>
        <v>0</v>
      </c>
      <c r="AA55">
        <f>IF(ISNA(AB55),NA(),AA39)</f>
        <v>0</v>
      </c>
      <c r="AB55">
        <f>IF(OR(AB39="",AND(AB39=AB38,AB39=AB40)),NA(), AB39)</f>
        <v>0</v>
      </c>
      <c r="AC55">
        <f>IF(ISNA(AD55),NA(),AC39)</f>
        <v>0</v>
      </c>
      <c r="AD55">
        <f>IF(OR(AD39="",AND(AD39=AD38,AD39=AD40)),NA(), AD39)</f>
        <v>0</v>
      </c>
      <c r="AE55">
        <f>IF(ISNA(AF55),NA(),AE39)</f>
        <v>0</v>
      </c>
      <c r="AF55">
        <f>IF(OR(AF39="",AND(AF39=AF38,AF39=AF40)),NA(), AF39)</f>
        <v>0</v>
      </c>
      <c r="AG55">
        <f>IF(ISNA(AH55),NA(),AG39)</f>
        <v>0</v>
      </c>
      <c r="AH55">
        <f>IF(OR(AH39="",AND(AH39=AH38,AH39=AH40)),NA(), AH39)</f>
        <v>0</v>
      </c>
      <c r="AI55">
        <f>IF(ISNA(AJ55),NA(),AI39)</f>
        <v>0</v>
      </c>
      <c r="AJ55">
        <f>IF(OR(AJ39="",AND(AJ39=AJ38,AJ39=AJ40)),NA(), AJ39)</f>
        <v>0</v>
      </c>
      <c r="AK55">
        <f>IF(ISNA(AL55),NA(),AK39)</f>
        <v>0</v>
      </c>
      <c r="AL55">
        <f>IF(OR(AL39="",AND(AL39=AL38,AL39=AL40)),NA(), AL39)</f>
        <v>0</v>
      </c>
      <c r="AM55">
        <f>IF(ISNA(AN55),NA(),AM39)</f>
        <v>0</v>
      </c>
      <c r="AN55">
        <f>IF(OR(AN39="",AND(AN39=AN38,AN39=AN40)),NA(), AN39)</f>
        <v>0</v>
      </c>
      <c r="AO55">
        <f>IF(ISNA(AP55),NA(),AO39)</f>
        <v>0</v>
      </c>
      <c r="AP55">
        <f>IF(OR(AP39="",AND(AP39=AP38,AP39=AP40)),NA(), AP39)</f>
        <v>0</v>
      </c>
      <c r="AQ55">
        <f>IF(ISNA(AR55),NA(),AQ39)</f>
        <v>0</v>
      </c>
      <c r="AR55">
        <f>IF(OR(AR39="",AND(AR39=AR38,AR39=AR40)),NA(), AR39)</f>
        <v>0</v>
      </c>
      <c r="AS55">
        <f>IF(ISNA(AT55),NA(),AS39)</f>
        <v>0</v>
      </c>
      <c r="AT55">
        <f>IF(OR(AT39="",AND(AT39=AT38,AT39=AT40)),NA(), AT39)</f>
        <v>0</v>
      </c>
      <c r="AU55">
        <f>IF(ISNA(AV55),NA(),AU39)</f>
        <v>0</v>
      </c>
      <c r="AV55">
        <f>IF(OR(AV39="",AND(AV39=AV38,AV39=AV40)),NA(), AV39)</f>
        <v>0</v>
      </c>
      <c r="AW55">
        <f>IF(ISNA(AX55),NA(),AW39)</f>
        <v>0</v>
      </c>
      <c r="AX55">
        <f>IF(OR(AX39="",AND(AX39=AX38,AX39=AX40)),NA(), AX39)</f>
        <v>0</v>
      </c>
      <c r="AY55">
        <f>IF(ISNA(AZ55),NA(),AY39)</f>
        <v>0</v>
      </c>
      <c r="AZ55">
        <f>IF(OR(AZ39="",AND(AZ39=AZ38,AZ39=AZ40)),NA(), AZ39)</f>
        <v>0</v>
      </c>
      <c r="BA55">
        <f>IF(ISNA(BB55),NA(),BA39)</f>
        <v>0</v>
      </c>
      <c r="BB55">
        <f>IF(OR(BB39="",AND(BB39=BB38,BB39=BB40)),NA(), BB39)</f>
        <v>0</v>
      </c>
      <c r="BC55">
        <f>IF(ISNA(BD55),NA(),BC39)</f>
        <v>0</v>
      </c>
      <c r="BD55">
        <f>IF(OR(BD39="",AND(BD39=BD38,BD39=BD40)),NA(), BD39)</f>
        <v>0</v>
      </c>
      <c r="BE55">
        <f>IF(ISNA(BF55),NA(),BE39)</f>
        <v>0</v>
      </c>
      <c r="BF55">
        <f>IF(OR(BF39="",AND(BF39=BF38,BF39=BF40)),NA(), BF39)</f>
        <v>0</v>
      </c>
      <c r="BG55">
        <f>IF(ISNA(BH55),NA(),BG39)</f>
        <v>0</v>
      </c>
      <c r="BH55">
        <f>IF(OR(BH39="",AND(BH39=BH38,BH39=BH40)),NA(), BH39)</f>
        <v>0</v>
      </c>
      <c r="BI55">
        <f>IF(ISNA(BJ55),NA(),BI39)</f>
        <v>0</v>
      </c>
      <c r="BJ55">
        <f>IF(OR(BJ39="",AND(BJ39=BJ38,BJ39=BJ40)),NA(), BJ39)</f>
        <v>0</v>
      </c>
      <c r="BK55">
        <f>IF(ISNA(BL55),NA(),BK39)</f>
        <v>0</v>
      </c>
      <c r="BL55">
        <f>IF(OR(BL39="",AND(BL39=BL38,BL39=BL40)),NA(), BL39)</f>
        <v>0</v>
      </c>
      <c r="BM55">
        <f>IF(ISNA(BN55),NA(),BM39)</f>
        <v>0</v>
      </c>
      <c r="BN55">
        <f>IF(OR(BN39="",AND(BN39=BN38,BN39=BN40)),NA(), BN39)</f>
        <v>0</v>
      </c>
      <c r="BO55">
        <f>IF(ISNA(BP55),NA(),BO39)</f>
        <v>0</v>
      </c>
      <c r="BP55">
        <f>IF(OR(BP39="",AND(BP39=BP38,BP39=BP40)),NA(), BP39)</f>
        <v>0</v>
      </c>
      <c r="BS55">
        <f>IF(ISNA(BT55),NA(),BS39)</f>
        <v>0</v>
      </c>
      <c r="BT55">
        <f>IF(OR(BT39="",AND(BT39=BT38,BT39=BT40)),NA(), BT39)</f>
        <v>0</v>
      </c>
      <c r="BU55">
        <f>IF(ISNA(BV55),NA(),BU39)</f>
        <v>0</v>
      </c>
      <c r="BV55">
        <f>IF(OR(BV39="",AND(BV39=BV38,BV39=BV40)),NA(), BV39)</f>
        <v>0</v>
      </c>
      <c r="BW55">
        <f>IF(ISNA(BX55),NA(),BW39)</f>
        <v>0</v>
      </c>
      <c r="BX55">
        <f>IF(OR(BX39="",AND(BX39=BX38,BX39=BX40)),NA(), BX39)</f>
        <v>0</v>
      </c>
      <c r="BY55">
        <f>IF(ISNA(BZ55),NA(),BY39)</f>
        <v>0</v>
      </c>
      <c r="BZ55">
        <f>IF(OR(BZ39="",AND(BZ39=BZ38,BZ39=BZ40)),NA(), BZ39)</f>
        <v>0</v>
      </c>
      <c r="CA55">
        <f>IF(ISNA(CB55),NA(),CA39)</f>
        <v>0</v>
      </c>
      <c r="CB55">
        <f>IF(OR(CB39="",AND(CB39=CB38,CB39=CB40)),NA(), CB39)</f>
        <v>0</v>
      </c>
      <c r="CC55">
        <f>IF(ISNA(CD55),NA(),CC39)</f>
        <v>0</v>
      </c>
      <c r="CD55">
        <f>IF(OR(CD39="",AND(CD39=CD38,CD39=CD40)),NA(), CD39)</f>
        <v>0</v>
      </c>
      <c r="CE55">
        <f>IF(ISNA(CF55),NA(),CE39)</f>
        <v>0</v>
      </c>
      <c r="CF55">
        <f>IF(OR(CF39="",AND(CF39=CF38,CF39=CF40)),NA(), CF39)</f>
        <v>0</v>
      </c>
      <c r="CG55">
        <f>IF(ISNA(CH55),NA(),CG39)</f>
        <v>0</v>
      </c>
      <c r="CH55">
        <f>IF(OR(CH39="",AND(CH39=CH38,CH39=CH40)),NA(), CH39)</f>
        <v>0</v>
      </c>
      <c r="CI55">
        <f>IF(ISNA(CJ55),NA(),CI39)</f>
        <v>0</v>
      </c>
      <c r="CJ55">
        <f>IF(OR(CJ39="",AND(CJ39=CJ38,CJ39=CJ40)),NA(), CJ39)</f>
        <v>0</v>
      </c>
      <c r="CK55">
        <f>IF(ISNA(CL55),NA(),CK39)</f>
        <v>0</v>
      </c>
      <c r="CL55">
        <f>IF(OR(CL39="",AND(CL39=CL38,CL39=CL40)),NA(), CL39)</f>
        <v>0</v>
      </c>
      <c r="CM55">
        <f>IF(ISNA(CN55),NA(),CM39)</f>
        <v>0</v>
      </c>
      <c r="CN55">
        <f>IF(OR(CN39="",AND(CN39=CN38,CN39=CN40)),NA(), CN39)</f>
        <v>0</v>
      </c>
      <c r="CO55">
        <f>IF(ISNA(CP55),NA(),CO39)</f>
        <v>0</v>
      </c>
      <c r="CP55">
        <f>IF(OR(CP39="",AND(CP39=CP38,CP39=CP40)),NA(), CP39)</f>
        <v>0</v>
      </c>
      <c r="CQ55">
        <f>IF(ISNA(CR55),NA(),CQ39)</f>
        <v>0</v>
      </c>
      <c r="CR55">
        <f>IF(OR(CR39="",AND(CR39=CR38,CR39=CR40)),NA(), CR39)</f>
        <v>0</v>
      </c>
      <c r="CS55">
        <f>IF(ISNA(CT55),NA(),CS39)</f>
        <v>0</v>
      </c>
      <c r="CT55">
        <f>IF(OR(CT39="",AND(CT39=CT38,CT39=CT40)),NA(), CT39)</f>
        <v>0</v>
      </c>
      <c r="CU55">
        <f>IF(ISNA(CV55),NA(),CU39)</f>
        <v>0</v>
      </c>
      <c r="CV55">
        <f>IF(OR(CV39="",AND(CV39=CV38,CV39=CV40)),NA(), CV39)</f>
        <v>0</v>
      </c>
      <c r="CW55">
        <f>IF(ISNA(CX55),NA(),CW39)</f>
        <v>0</v>
      </c>
      <c r="CX55">
        <f>IF(OR(CX39="",AND(CX39=CX38,CX39=CX40)),NA(), CX39)</f>
        <v>0</v>
      </c>
      <c r="CY55">
        <f>IF(ISNA(CZ55),NA(),CY39)</f>
        <v>0</v>
      </c>
      <c r="CZ55">
        <f>IF(OR(CZ39="",AND(CZ39=CZ38,CZ39=CZ40)),NA(), CZ39)</f>
        <v>0</v>
      </c>
      <c r="DA55">
        <f>IF(ISNA(DB55),NA(),DA39)</f>
        <v>0</v>
      </c>
      <c r="DB55">
        <f>IF(OR(DB39="",AND(DB39=DB38,DB39=DB40)),NA(), DB39)</f>
        <v>0</v>
      </c>
      <c r="DC55">
        <f>IF(ISNA(DD55),NA(),DC39)</f>
        <v>0</v>
      </c>
      <c r="DD55">
        <f>IF(OR(DD39="",AND(DD39=DD38,DD39=DD40)),NA(), DD39)</f>
        <v>0</v>
      </c>
      <c r="DE55">
        <f>IF(ISNA(DF55),NA(),DE39)</f>
        <v>0</v>
      </c>
      <c r="DF55">
        <f>IF(OR(DF39="",AND(DF39=DF38,DF39=DF40)),NA(), DF39)</f>
        <v>0</v>
      </c>
      <c r="DG55">
        <f>IF(ISNA(DH55),NA(),DG39)</f>
        <v>0</v>
      </c>
      <c r="DH55">
        <f>IF(OR(DH39="",AND(DH39=DH38,DH39=DH40)),NA(), DH39)</f>
        <v>0</v>
      </c>
      <c r="DI55">
        <f>IF(ISNA(DJ55),NA(),DI39)</f>
        <v>0</v>
      </c>
      <c r="DJ55">
        <f>IF(OR(DJ39="",AND(DJ39=DJ38,DJ39=DJ40)),NA(), DJ39)</f>
        <v>0</v>
      </c>
      <c r="DK55">
        <f>IF(ISNA(DL55),NA(),DK39)</f>
        <v>0</v>
      </c>
      <c r="DL55">
        <f>IF(OR(DL39="",AND(DL39=DL38,DL39=DL40)),NA(), DL39)</f>
        <v>0</v>
      </c>
      <c r="DM55">
        <f>IF(ISNA(DN55),NA(),DM39)</f>
        <v>0</v>
      </c>
      <c r="DN55">
        <f>IF(OR(DN39="",AND(DN39=DN38,DN39=DN40)),NA(), DN39)</f>
        <v>0</v>
      </c>
      <c r="DO55">
        <f>IF(ISNA(DP55),NA(),DO39)</f>
        <v>0</v>
      </c>
      <c r="DP55">
        <f>IF(OR(DP39="",AND(DP39=DP38,DP39=DP40)),NA(), DP39)</f>
        <v>0</v>
      </c>
      <c r="DQ55">
        <f>IF(ISNA(DR55),NA(),DQ39)</f>
        <v>0</v>
      </c>
      <c r="DR55">
        <f>IF(OR(DR39="",AND(DR39=DR38,DR39=DR40)),NA(), DR39)</f>
        <v>0</v>
      </c>
      <c r="DS55">
        <f>IF(ISNA(DT55),NA(),DS39)</f>
        <v>0</v>
      </c>
      <c r="DT55">
        <f>IF(OR(DT39="",AND(DT39=DT38,DT39=DT40)),NA(), DT39)</f>
        <v>0</v>
      </c>
      <c r="DU55">
        <f>IF(ISNA(DV55),NA(),DU39)</f>
        <v>0</v>
      </c>
      <c r="DV55">
        <f>IF(OR(DV39="",AND(DV39=DV38,DV39=DV40)),NA(), DV39)</f>
        <v>0</v>
      </c>
      <c r="DW55">
        <f>IF(ISNA(DX55),NA(),DW39)</f>
        <v>0</v>
      </c>
      <c r="DX55">
        <f>IF(OR(DX39="",AND(DX39=DX38,DX39=DX40)),NA(), DX39)</f>
        <v>0</v>
      </c>
      <c r="DY55">
        <f>IF(ISNA(DZ55),NA(),DY39)</f>
        <v>0</v>
      </c>
      <c r="DZ55">
        <f>IF(OR(DZ39="",AND(DZ39=DZ38,DZ39=DZ40)),NA(), DZ39)</f>
        <v>0</v>
      </c>
      <c r="EA55">
        <f>IF(ISNA(EB55),NA(),EA39)</f>
        <v>0</v>
      </c>
      <c r="EB55">
        <f>IF(OR(EB39="",AND(EB39=EB38,EB39=EB40)),NA(), EB39)</f>
        <v>0</v>
      </c>
      <c r="EC55">
        <f>IF(ISNA(ED55),NA(),EC39)</f>
        <v>0</v>
      </c>
      <c r="ED55">
        <f>IF(OR(ED39="",AND(ED39=ED38,ED39=ED40)),NA(), ED39)</f>
        <v>0</v>
      </c>
    </row>
    <row r="56" spans="5:134">
      <c r="E56">
        <f>IF(ISNA(F56),NA(),E40)</f>
        <v>0</v>
      </c>
      <c r="F56">
        <f>IF(OR(F40="",AND(F40=F39,F40=F41)),NA(), F40)</f>
        <v>0</v>
      </c>
      <c r="G56">
        <f>IF(ISNA(H56),NA(),G40)</f>
        <v>0</v>
      </c>
      <c r="H56">
        <f>IF(OR(H40="",AND(H40=H39,H40=H41)),NA(), H40)</f>
        <v>0</v>
      </c>
      <c r="I56">
        <f>IF(ISNA(J56),NA(),I40)</f>
        <v>0</v>
      </c>
      <c r="J56">
        <f>IF(OR(J40="",AND(J40=J39,J40=J41)),NA(), J40)</f>
        <v>0</v>
      </c>
      <c r="K56">
        <f>IF(ISNA(L56),NA(),K40)</f>
        <v>0</v>
      </c>
      <c r="L56">
        <f>IF(OR(L40="",AND(L40=L39,L40=L41)),NA(), L40)</f>
        <v>0</v>
      </c>
      <c r="M56">
        <f>IF(ISNA(N56),NA(),M40)</f>
        <v>0</v>
      </c>
      <c r="N56">
        <f>IF(OR(N40="",AND(N40=N39,N40=N41)),NA(), N40)</f>
        <v>0</v>
      </c>
      <c r="O56">
        <f>IF(ISNA(P56),NA(),O40)</f>
        <v>0</v>
      </c>
      <c r="P56">
        <f>IF(OR(P40="",AND(P40=P39,P40=P41)),NA(), P40)</f>
        <v>0</v>
      </c>
      <c r="Q56">
        <f>IF(ISNA(R56),NA(),Q40)</f>
        <v>0</v>
      </c>
      <c r="R56">
        <f>IF(OR(R40="",AND(R40=R39,R40=R41)),NA(), R40)</f>
        <v>0</v>
      </c>
      <c r="S56">
        <f>IF(ISNA(T56),NA(),S40)</f>
        <v>0</v>
      </c>
      <c r="T56">
        <f>IF(OR(T40="",AND(T40=T39,T40=T41)),NA(), T40)</f>
        <v>0</v>
      </c>
      <c r="U56">
        <f>IF(ISNA(V56),NA(),U40)</f>
        <v>0</v>
      </c>
      <c r="V56">
        <f>IF(OR(V40="",AND(V40=V39,V40=V41)),NA(), V40)</f>
        <v>0</v>
      </c>
      <c r="W56">
        <f>IF(ISNA(X56),NA(),W40)</f>
        <v>0</v>
      </c>
      <c r="X56">
        <f>IF(OR(X40="",AND(X40=X39,X40=X41)),NA(), X40)</f>
        <v>0</v>
      </c>
      <c r="Y56">
        <f>IF(ISNA(Z56),NA(),Y40)</f>
        <v>0</v>
      </c>
      <c r="Z56">
        <f>IF(OR(Z40="",AND(Z40=Z39,Z40=Z41)),NA(), Z40)</f>
        <v>0</v>
      </c>
      <c r="AA56">
        <f>IF(ISNA(AB56),NA(),AA40)</f>
        <v>0</v>
      </c>
      <c r="AB56">
        <f>IF(OR(AB40="",AND(AB40=AB39,AB40=AB41)),NA(), AB40)</f>
        <v>0</v>
      </c>
      <c r="AC56">
        <f>IF(ISNA(AD56),NA(),AC40)</f>
        <v>0</v>
      </c>
      <c r="AD56">
        <f>IF(OR(AD40="",AND(AD40=AD39,AD40=AD41)),NA(), AD40)</f>
        <v>0</v>
      </c>
      <c r="AE56">
        <f>IF(ISNA(AF56),NA(),AE40)</f>
        <v>0</v>
      </c>
      <c r="AF56">
        <f>IF(OR(AF40="",AND(AF40=AF39,AF40=AF41)),NA(), AF40)</f>
        <v>0</v>
      </c>
      <c r="AG56">
        <f>IF(ISNA(AH56),NA(),AG40)</f>
        <v>0</v>
      </c>
      <c r="AH56">
        <f>IF(OR(AH40="",AND(AH40=AH39,AH40=AH41)),NA(), AH40)</f>
        <v>0</v>
      </c>
      <c r="AI56">
        <f>IF(ISNA(AJ56),NA(),AI40)</f>
        <v>0</v>
      </c>
      <c r="AJ56">
        <f>IF(OR(AJ40="",AND(AJ40=AJ39,AJ40=AJ41)),NA(), AJ40)</f>
        <v>0</v>
      </c>
      <c r="AK56">
        <f>IF(ISNA(AL56),NA(),AK40)</f>
        <v>0</v>
      </c>
      <c r="AL56">
        <f>IF(OR(AL40="",AND(AL40=AL39,AL40=AL41)),NA(), AL40)</f>
        <v>0</v>
      </c>
      <c r="AM56">
        <f>IF(ISNA(AN56),NA(),AM40)</f>
        <v>0</v>
      </c>
      <c r="AN56">
        <f>IF(OR(AN40="",AND(AN40=AN39,AN40=AN41)),NA(), AN40)</f>
        <v>0</v>
      </c>
      <c r="AO56">
        <f>IF(ISNA(AP56),NA(),AO40)</f>
        <v>0</v>
      </c>
      <c r="AP56">
        <f>IF(OR(AP40="",AND(AP40=AP39,AP40=AP41)),NA(), AP40)</f>
        <v>0</v>
      </c>
      <c r="AQ56">
        <f>IF(ISNA(AR56),NA(),AQ40)</f>
        <v>0</v>
      </c>
      <c r="AR56">
        <f>IF(OR(AR40="",AND(AR40=AR39,AR40=AR41)),NA(), AR40)</f>
        <v>0</v>
      </c>
      <c r="AS56">
        <f>IF(ISNA(AT56),NA(),AS40)</f>
        <v>0</v>
      </c>
      <c r="AT56">
        <f>IF(OR(AT40="",AND(AT40=AT39,AT40=AT41)),NA(), AT40)</f>
        <v>0</v>
      </c>
      <c r="AU56">
        <f>IF(ISNA(AV56),NA(),AU40)</f>
        <v>0</v>
      </c>
      <c r="AV56">
        <f>IF(OR(AV40="",AND(AV40=AV39,AV40=AV41)),NA(), AV40)</f>
        <v>0</v>
      </c>
      <c r="AW56">
        <f>IF(ISNA(AX56),NA(),AW40)</f>
        <v>0</v>
      </c>
      <c r="AX56">
        <f>IF(OR(AX40="",AND(AX40=AX39,AX40=AX41)),NA(), AX40)</f>
        <v>0</v>
      </c>
      <c r="AY56">
        <f>IF(ISNA(AZ56),NA(),AY40)</f>
        <v>0</v>
      </c>
      <c r="AZ56">
        <f>IF(OR(AZ40="",AND(AZ40=AZ39,AZ40=AZ41)),NA(), AZ40)</f>
        <v>0</v>
      </c>
      <c r="BA56">
        <f>IF(ISNA(BB56),NA(),BA40)</f>
        <v>0</v>
      </c>
      <c r="BB56">
        <f>IF(OR(BB40="",AND(BB40=BB39,BB40=BB41)),NA(), BB40)</f>
        <v>0</v>
      </c>
      <c r="BC56">
        <f>IF(ISNA(BD56),NA(),BC40)</f>
        <v>0</v>
      </c>
      <c r="BD56">
        <f>IF(OR(BD40="",AND(BD40=BD39,BD40=BD41)),NA(), BD40)</f>
        <v>0</v>
      </c>
      <c r="BE56">
        <f>IF(ISNA(BF56),NA(),BE40)</f>
        <v>0</v>
      </c>
      <c r="BF56">
        <f>IF(OR(BF40="",AND(BF40=BF39,BF40=BF41)),NA(), BF40)</f>
        <v>0</v>
      </c>
      <c r="BG56">
        <f>IF(ISNA(BH56),NA(),BG40)</f>
        <v>0</v>
      </c>
      <c r="BH56">
        <f>IF(OR(BH40="",AND(BH40=BH39,BH40=BH41)),NA(), BH40)</f>
        <v>0</v>
      </c>
      <c r="BI56">
        <f>IF(ISNA(BJ56),NA(),BI40)</f>
        <v>0</v>
      </c>
      <c r="BJ56">
        <f>IF(OR(BJ40="",AND(BJ40=BJ39,BJ40=BJ41)),NA(), BJ40)</f>
        <v>0</v>
      </c>
      <c r="BK56">
        <f>IF(ISNA(BL56),NA(),BK40)</f>
        <v>0</v>
      </c>
      <c r="BL56">
        <f>IF(OR(BL40="",AND(BL40=BL39,BL40=BL41)),NA(), BL40)</f>
        <v>0</v>
      </c>
      <c r="BM56">
        <f>IF(ISNA(BN56),NA(),BM40)</f>
        <v>0</v>
      </c>
      <c r="BN56">
        <f>IF(OR(BN40="",AND(BN40=BN39,BN40=BN41)),NA(), BN40)</f>
        <v>0</v>
      </c>
      <c r="BO56">
        <f>IF(ISNA(BP56),NA(),BO40)</f>
        <v>0</v>
      </c>
      <c r="BP56">
        <f>IF(OR(BP40="",AND(BP40=BP39,BP40=BP41)),NA(), BP40)</f>
        <v>0</v>
      </c>
      <c r="BS56">
        <f>IF(ISNA(BT56),NA(),BS40)</f>
        <v>0</v>
      </c>
      <c r="BT56">
        <f>IF(OR(BT40="",AND(BT40=BT39,BT40=BT41)),NA(), BT40)</f>
        <v>0</v>
      </c>
      <c r="BU56">
        <f>IF(ISNA(BV56),NA(),BU40)</f>
        <v>0</v>
      </c>
      <c r="BV56">
        <f>IF(OR(BV40="",AND(BV40=BV39,BV40=BV41)),NA(), BV40)</f>
        <v>0</v>
      </c>
      <c r="BW56">
        <f>IF(ISNA(BX56),NA(),BW40)</f>
        <v>0</v>
      </c>
      <c r="BX56">
        <f>IF(OR(BX40="",AND(BX40=BX39,BX40=BX41)),NA(), BX40)</f>
        <v>0</v>
      </c>
      <c r="BY56">
        <f>IF(ISNA(BZ56),NA(),BY40)</f>
        <v>0</v>
      </c>
      <c r="BZ56">
        <f>IF(OR(BZ40="",AND(BZ40=BZ39,BZ40=BZ41)),NA(), BZ40)</f>
        <v>0</v>
      </c>
      <c r="CA56">
        <f>IF(ISNA(CB56),NA(),CA40)</f>
        <v>0</v>
      </c>
      <c r="CB56">
        <f>IF(OR(CB40="",AND(CB40=CB39,CB40=CB41)),NA(), CB40)</f>
        <v>0</v>
      </c>
      <c r="CC56">
        <f>IF(ISNA(CD56),NA(),CC40)</f>
        <v>0</v>
      </c>
      <c r="CD56">
        <f>IF(OR(CD40="",AND(CD40=CD39,CD40=CD41)),NA(), CD40)</f>
        <v>0</v>
      </c>
      <c r="CE56">
        <f>IF(ISNA(CF56),NA(),CE40)</f>
        <v>0</v>
      </c>
      <c r="CF56">
        <f>IF(OR(CF40="",AND(CF40=CF39,CF40=CF41)),NA(), CF40)</f>
        <v>0</v>
      </c>
      <c r="CG56">
        <f>IF(ISNA(CH56),NA(),CG40)</f>
        <v>0</v>
      </c>
      <c r="CH56">
        <f>IF(OR(CH40="",AND(CH40=CH39,CH40=CH41)),NA(), CH40)</f>
        <v>0</v>
      </c>
      <c r="CI56">
        <f>IF(ISNA(CJ56),NA(),CI40)</f>
        <v>0</v>
      </c>
      <c r="CJ56">
        <f>IF(OR(CJ40="",AND(CJ40=CJ39,CJ40=CJ41)),NA(), CJ40)</f>
        <v>0</v>
      </c>
      <c r="CK56">
        <f>IF(ISNA(CL56),NA(),CK40)</f>
        <v>0</v>
      </c>
      <c r="CL56">
        <f>IF(OR(CL40="",AND(CL40=CL39,CL40=CL41)),NA(), CL40)</f>
        <v>0</v>
      </c>
      <c r="CM56">
        <f>IF(ISNA(CN56),NA(),CM40)</f>
        <v>0</v>
      </c>
      <c r="CN56">
        <f>IF(OR(CN40="",AND(CN40=CN39,CN40=CN41)),NA(), CN40)</f>
        <v>0</v>
      </c>
      <c r="CO56">
        <f>IF(ISNA(CP56),NA(),CO40)</f>
        <v>0</v>
      </c>
      <c r="CP56">
        <f>IF(OR(CP40="",AND(CP40=CP39,CP40=CP41)),NA(), CP40)</f>
        <v>0</v>
      </c>
      <c r="CQ56">
        <f>IF(ISNA(CR56),NA(),CQ40)</f>
        <v>0</v>
      </c>
      <c r="CR56">
        <f>IF(OR(CR40="",AND(CR40=CR39,CR40=CR41)),NA(), CR40)</f>
        <v>0</v>
      </c>
      <c r="CS56">
        <f>IF(ISNA(CT56),NA(),CS40)</f>
        <v>0</v>
      </c>
      <c r="CT56">
        <f>IF(OR(CT40="",AND(CT40=CT39,CT40=CT41)),NA(), CT40)</f>
        <v>0</v>
      </c>
      <c r="CU56">
        <f>IF(ISNA(CV56),NA(),CU40)</f>
        <v>0</v>
      </c>
      <c r="CV56">
        <f>IF(OR(CV40="",AND(CV40=CV39,CV40=CV41)),NA(), CV40)</f>
        <v>0</v>
      </c>
      <c r="CW56">
        <f>IF(ISNA(CX56),NA(),CW40)</f>
        <v>0</v>
      </c>
      <c r="CX56">
        <f>IF(OR(CX40="",AND(CX40=CX39,CX40=CX41)),NA(), CX40)</f>
        <v>0</v>
      </c>
      <c r="CY56">
        <f>IF(ISNA(CZ56),NA(),CY40)</f>
        <v>0</v>
      </c>
      <c r="CZ56">
        <f>IF(OR(CZ40="",AND(CZ40=CZ39,CZ40=CZ41)),NA(), CZ40)</f>
        <v>0</v>
      </c>
      <c r="DA56">
        <f>IF(ISNA(DB56),NA(),DA40)</f>
        <v>0</v>
      </c>
      <c r="DB56">
        <f>IF(OR(DB40="",AND(DB40=DB39,DB40=DB41)),NA(), DB40)</f>
        <v>0</v>
      </c>
      <c r="DC56">
        <f>IF(ISNA(DD56),NA(),DC40)</f>
        <v>0</v>
      </c>
      <c r="DD56">
        <f>IF(OR(DD40="",AND(DD40=DD39,DD40=DD41)),NA(), DD40)</f>
        <v>0</v>
      </c>
      <c r="DE56">
        <f>IF(ISNA(DF56),NA(),DE40)</f>
        <v>0</v>
      </c>
      <c r="DF56">
        <f>IF(OR(DF40="",AND(DF40=DF39,DF40=DF41)),NA(), DF40)</f>
        <v>0</v>
      </c>
      <c r="DG56">
        <f>IF(ISNA(DH56),NA(),DG40)</f>
        <v>0</v>
      </c>
      <c r="DH56">
        <f>IF(OR(DH40="",AND(DH40=DH39,DH40=DH41)),NA(), DH40)</f>
        <v>0</v>
      </c>
      <c r="DI56">
        <f>IF(ISNA(DJ56),NA(),DI40)</f>
        <v>0</v>
      </c>
      <c r="DJ56">
        <f>IF(OR(DJ40="",AND(DJ40=DJ39,DJ40=DJ41)),NA(), DJ40)</f>
        <v>0</v>
      </c>
      <c r="DK56">
        <f>IF(ISNA(DL56),NA(),DK40)</f>
        <v>0</v>
      </c>
      <c r="DL56">
        <f>IF(OR(DL40="",AND(DL40=DL39,DL40=DL41)),NA(), DL40)</f>
        <v>0</v>
      </c>
      <c r="DM56">
        <f>IF(ISNA(DN56),NA(),DM40)</f>
        <v>0</v>
      </c>
      <c r="DN56">
        <f>IF(OR(DN40="",AND(DN40=DN39,DN40=DN41)),NA(), DN40)</f>
        <v>0</v>
      </c>
      <c r="DO56">
        <f>IF(ISNA(DP56),NA(),DO40)</f>
        <v>0</v>
      </c>
      <c r="DP56">
        <f>IF(OR(DP40="",AND(DP40=DP39,DP40=DP41)),NA(), DP40)</f>
        <v>0</v>
      </c>
      <c r="DQ56">
        <f>IF(ISNA(DR56),NA(),DQ40)</f>
        <v>0</v>
      </c>
      <c r="DR56">
        <f>IF(OR(DR40="",AND(DR40=DR39,DR40=DR41)),NA(), DR40)</f>
        <v>0</v>
      </c>
      <c r="DS56">
        <f>IF(ISNA(DT56),NA(),DS40)</f>
        <v>0</v>
      </c>
      <c r="DT56">
        <f>IF(OR(DT40="",AND(DT40=DT39,DT40=DT41)),NA(), DT40)</f>
        <v>0</v>
      </c>
      <c r="DU56">
        <f>IF(ISNA(DV56),NA(),DU40)</f>
        <v>0</v>
      </c>
      <c r="DV56">
        <f>IF(OR(DV40="",AND(DV40=DV39,DV40=DV41)),NA(), DV40)</f>
        <v>0</v>
      </c>
      <c r="DW56">
        <f>IF(ISNA(DX56),NA(),DW40)</f>
        <v>0</v>
      </c>
      <c r="DX56">
        <f>IF(OR(DX40="",AND(DX40=DX39,DX40=DX41)),NA(), DX40)</f>
        <v>0</v>
      </c>
      <c r="DY56">
        <f>IF(ISNA(DZ56),NA(),DY40)</f>
        <v>0</v>
      </c>
      <c r="DZ56">
        <f>IF(OR(DZ40="",AND(DZ40=DZ39,DZ40=DZ41)),NA(), DZ40)</f>
        <v>0</v>
      </c>
      <c r="EA56">
        <f>IF(ISNA(EB56),NA(),EA40)</f>
        <v>0</v>
      </c>
      <c r="EB56">
        <f>IF(OR(EB40="",AND(EB40=EB39,EB40=EB41)),NA(), EB40)</f>
        <v>0</v>
      </c>
      <c r="EC56">
        <f>IF(ISNA(ED56),NA(),EC40)</f>
        <v>0</v>
      </c>
      <c r="ED56">
        <f>IF(OR(ED40="",AND(ED40=ED39,ED40=ED41)),NA(), ED40)</f>
        <v>0</v>
      </c>
    </row>
    <row r="57" spans="5:134">
      <c r="E57">
        <f>IF(ISNA(F57),NA(),E41)</f>
        <v>0</v>
      </c>
      <c r="F57">
        <f>IF(OR(F41="",AND(F41=F40,F41=F42)),NA(), F41)</f>
        <v>0</v>
      </c>
      <c r="G57">
        <f>IF(ISNA(H57),NA(),G41)</f>
        <v>0</v>
      </c>
      <c r="H57">
        <f>IF(OR(H41="",AND(H41=H40,H41=H42)),NA(), H41)</f>
        <v>0</v>
      </c>
      <c r="I57">
        <f>IF(ISNA(J57),NA(),I41)</f>
        <v>0</v>
      </c>
      <c r="J57">
        <f>IF(OR(J41="",AND(J41=J40,J41=J42)),NA(), J41)</f>
        <v>0</v>
      </c>
      <c r="K57">
        <f>IF(ISNA(L57),NA(),K41)</f>
        <v>0</v>
      </c>
      <c r="L57">
        <f>IF(OR(L41="",AND(L41=L40,L41=L42)),NA(), L41)</f>
        <v>0</v>
      </c>
      <c r="M57">
        <f>IF(ISNA(N57),NA(),M41)</f>
        <v>0</v>
      </c>
      <c r="N57">
        <f>IF(OR(N41="",AND(N41=N40,N41=N42)),NA(), N41)</f>
        <v>0</v>
      </c>
      <c r="O57">
        <f>IF(ISNA(P57),NA(),O41)</f>
        <v>0</v>
      </c>
      <c r="P57">
        <f>IF(OR(P41="",AND(P41=P40,P41=P42)),NA(), P41)</f>
        <v>0</v>
      </c>
      <c r="Q57">
        <f>IF(ISNA(R57),NA(),Q41)</f>
        <v>0</v>
      </c>
      <c r="R57">
        <f>IF(OR(R41="",AND(R41=R40,R41=R42)),NA(), R41)</f>
        <v>0</v>
      </c>
      <c r="S57">
        <f>IF(ISNA(T57),NA(),S41)</f>
        <v>0</v>
      </c>
      <c r="T57">
        <f>IF(OR(T41="",AND(T41=T40,T41=T42)),NA(), T41)</f>
        <v>0</v>
      </c>
      <c r="U57">
        <f>IF(ISNA(V57),NA(),U41)</f>
        <v>0</v>
      </c>
      <c r="V57">
        <f>IF(OR(V41="",AND(V41=V40,V41=V42)),NA(), V41)</f>
        <v>0</v>
      </c>
      <c r="W57">
        <f>IF(ISNA(X57),NA(),W41)</f>
        <v>0</v>
      </c>
      <c r="X57">
        <f>IF(OR(X41="",AND(X41=X40,X41=X42)),NA(), X41)</f>
        <v>0</v>
      </c>
      <c r="Y57">
        <f>IF(ISNA(Z57),NA(),Y41)</f>
        <v>0</v>
      </c>
      <c r="Z57">
        <f>IF(OR(Z41="",AND(Z41=Z40,Z41=Z42)),NA(), Z41)</f>
        <v>0</v>
      </c>
      <c r="AA57">
        <f>IF(ISNA(AB57),NA(),AA41)</f>
        <v>0</v>
      </c>
      <c r="AB57">
        <f>IF(OR(AB41="",AND(AB41=AB40,AB41=AB42)),NA(), AB41)</f>
        <v>0</v>
      </c>
      <c r="AC57">
        <f>IF(ISNA(AD57),NA(),AC41)</f>
        <v>0</v>
      </c>
      <c r="AD57">
        <f>IF(OR(AD41="",AND(AD41=AD40,AD41=AD42)),NA(), AD41)</f>
        <v>0</v>
      </c>
      <c r="AE57">
        <f>IF(ISNA(AF57),NA(),AE41)</f>
        <v>0</v>
      </c>
      <c r="AF57">
        <f>IF(OR(AF41="",AND(AF41=AF40,AF41=AF42)),NA(), AF41)</f>
        <v>0</v>
      </c>
      <c r="AG57">
        <f>IF(ISNA(AH57),NA(),AG41)</f>
        <v>0</v>
      </c>
      <c r="AH57">
        <f>IF(OR(AH41="",AND(AH41=AH40,AH41=AH42)),NA(), AH41)</f>
        <v>0</v>
      </c>
      <c r="AI57">
        <f>IF(ISNA(AJ57),NA(),AI41)</f>
        <v>0</v>
      </c>
      <c r="AJ57">
        <f>IF(OR(AJ41="",AND(AJ41=AJ40,AJ41=AJ42)),NA(), AJ41)</f>
        <v>0</v>
      </c>
      <c r="AK57">
        <f>IF(ISNA(AL57),NA(),AK41)</f>
        <v>0</v>
      </c>
      <c r="AL57">
        <f>IF(OR(AL41="",AND(AL41=AL40,AL41=AL42)),NA(), AL41)</f>
        <v>0</v>
      </c>
      <c r="AM57">
        <f>IF(ISNA(AN57),NA(),AM41)</f>
        <v>0</v>
      </c>
      <c r="AN57">
        <f>IF(OR(AN41="",AND(AN41=AN40,AN41=AN42)),NA(), AN41)</f>
        <v>0</v>
      </c>
      <c r="AO57">
        <f>IF(ISNA(AP57),NA(),AO41)</f>
        <v>0</v>
      </c>
      <c r="AP57">
        <f>IF(OR(AP41="",AND(AP41=AP40,AP41=AP42)),NA(), AP41)</f>
        <v>0</v>
      </c>
      <c r="AQ57">
        <f>IF(ISNA(AR57),NA(),AQ41)</f>
        <v>0</v>
      </c>
      <c r="AR57">
        <f>IF(OR(AR41="",AND(AR41=AR40,AR41=AR42)),NA(), AR41)</f>
        <v>0</v>
      </c>
      <c r="AS57">
        <f>IF(ISNA(AT57),NA(),AS41)</f>
        <v>0</v>
      </c>
      <c r="AT57">
        <f>IF(OR(AT41="",AND(AT41=AT40,AT41=AT42)),NA(), AT41)</f>
        <v>0</v>
      </c>
      <c r="AU57">
        <f>IF(ISNA(AV57),NA(),AU41)</f>
        <v>0</v>
      </c>
      <c r="AV57">
        <f>IF(OR(AV41="",AND(AV41=AV40,AV41=AV42)),NA(), AV41)</f>
        <v>0</v>
      </c>
      <c r="AW57">
        <f>IF(ISNA(AX57),NA(),AW41)</f>
        <v>0</v>
      </c>
      <c r="AX57">
        <f>IF(OR(AX41="",AND(AX41=AX40,AX41=AX42)),NA(), AX41)</f>
        <v>0</v>
      </c>
      <c r="AY57">
        <f>IF(ISNA(AZ57),NA(),AY41)</f>
        <v>0</v>
      </c>
      <c r="AZ57">
        <f>IF(OR(AZ41="",AND(AZ41=AZ40,AZ41=AZ42)),NA(), AZ41)</f>
        <v>0</v>
      </c>
      <c r="BA57">
        <f>IF(ISNA(BB57),NA(),BA41)</f>
        <v>0</v>
      </c>
      <c r="BB57">
        <f>IF(OR(BB41="",AND(BB41=BB40,BB41=BB42)),NA(), BB41)</f>
        <v>0</v>
      </c>
      <c r="BC57">
        <f>IF(ISNA(BD57),NA(),BC41)</f>
        <v>0</v>
      </c>
      <c r="BD57">
        <f>IF(OR(BD41="",AND(BD41=BD40,BD41=BD42)),NA(), BD41)</f>
        <v>0</v>
      </c>
      <c r="BE57">
        <f>IF(ISNA(BF57),NA(),BE41)</f>
        <v>0</v>
      </c>
      <c r="BF57">
        <f>IF(OR(BF41="",AND(BF41=BF40,BF41=BF42)),NA(), BF41)</f>
        <v>0</v>
      </c>
      <c r="BG57">
        <f>IF(ISNA(BH57),NA(),BG41)</f>
        <v>0</v>
      </c>
      <c r="BH57">
        <f>IF(OR(BH41="",AND(BH41=BH40,BH41=BH42)),NA(), BH41)</f>
        <v>0</v>
      </c>
      <c r="BI57">
        <f>IF(ISNA(BJ57),NA(),BI41)</f>
        <v>0</v>
      </c>
      <c r="BJ57">
        <f>IF(OR(BJ41="",AND(BJ41=BJ40,BJ41=BJ42)),NA(), BJ41)</f>
        <v>0</v>
      </c>
      <c r="BK57">
        <f>IF(ISNA(BL57),NA(),BK41)</f>
        <v>0</v>
      </c>
      <c r="BL57">
        <f>IF(OR(BL41="",AND(BL41=BL40,BL41=BL42)),NA(), BL41)</f>
        <v>0</v>
      </c>
      <c r="BM57">
        <f>IF(ISNA(BN57),NA(),BM41)</f>
        <v>0</v>
      </c>
      <c r="BN57">
        <f>IF(OR(BN41="",AND(BN41=BN40,BN41=BN42)),NA(), BN41)</f>
        <v>0</v>
      </c>
      <c r="BO57">
        <f>IF(ISNA(BP57),NA(),BO41)</f>
        <v>0</v>
      </c>
      <c r="BP57">
        <f>IF(OR(BP41="",AND(BP41=BP40,BP41=BP42)),NA(), BP41)</f>
        <v>0</v>
      </c>
      <c r="BS57">
        <f>IF(ISNA(BT57),NA(),BS41)</f>
        <v>0</v>
      </c>
      <c r="BT57">
        <f>IF(OR(BT41="",AND(BT41=BT40,BT41=BT42)),NA(), BT41)</f>
        <v>0</v>
      </c>
      <c r="BU57">
        <f>IF(ISNA(BV57),NA(),BU41)</f>
        <v>0</v>
      </c>
      <c r="BV57">
        <f>IF(OR(BV41="",AND(BV41=BV40,BV41=BV42)),NA(), BV41)</f>
        <v>0</v>
      </c>
      <c r="BW57">
        <f>IF(ISNA(BX57),NA(),BW41)</f>
        <v>0</v>
      </c>
      <c r="BX57">
        <f>IF(OR(BX41="",AND(BX41=BX40,BX41=BX42)),NA(), BX41)</f>
        <v>0</v>
      </c>
      <c r="BY57">
        <f>IF(ISNA(BZ57),NA(),BY41)</f>
        <v>0</v>
      </c>
      <c r="BZ57">
        <f>IF(OR(BZ41="",AND(BZ41=BZ40,BZ41=BZ42)),NA(), BZ41)</f>
        <v>0</v>
      </c>
      <c r="CA57">
        <f>IF(ISNA(CB57),NA(),CA41)</f>
        <v>0</v>
      </c>
      <c r="CB57">
        <f>IF(OR(CB41="",AND(CB41=CB40,CB41=CB42)),NA(), CB41)</f>
        <v>0</v>
      </c>
      <c r="CC57">
        <f>IF(ISNA(CD57),NA(),CC41)</f>
        <v>0</v>
      </c>
      <c r="CD57">
        <f>IF(OR(CD41="",AND(CD41=CD40,CD41=CD42)),NA(), CD41)</f>
        <v>0</v>
      </c>
      <c r="CE57">
        <f>IF(ISNA(CF57),NA(),CE41)</f>
        <v>0</v>
      </c>
      <c r="CF57">
        <f>IF(OR(CF41="",AND(CF41=CF40,CF41=CF42)),NA(), CF41)</f>
        <v>0</v>
      </c>
      <c r="CG57">
        <f>IF(ISNA(CH57),NA(),CG41)</f>
        <v>0</v>
      </c>
      <c r="CH57">
        <f>IF(OR(CH41="",AND(CH41=CH40,CH41=CH42)),NA(), CH41)</f>
        <v>0</v>
      </c>
      <c r="CI57">
        <f>IF(ISNA(CJ57),NA(),CI41)</f>
        <v>0</v>
      </c>
      <c r="CJ57">
        <f>IF(OR(CJ41="",AND(CJ41=CJ40,CJ41=CJ42)),NA(), CJ41)</f>
        <v>0</v>
      </c>
      <c r="CK57">
        <f>IF(ISNA(CL57),NA(),CK41)</f>
        <v>0</v>
      </c>
      <c r="CL57">
        <f>IF(OR(CL41="",AND(CL41=CL40,CL41=CL42)),NA(), CL41)</f>
        <v>0</v>
      </c>
      <c r="CM57">
        <f>IF(ISNA(CN57),NA(),CM41)</f>
        <v>0</v>
      </c>
      <c r="CN57">
        <f>IF(OR(CN41="",AND(CN41=CN40,CN41=CN42)),NA(), CN41)</f>
        <v>0</v>
      </c>
      <c r="CO57">
        <f>IF(ISNA(CP57),NA(),CO41)</f>
        <v>0</v>
      </c>
      <c r="CP57">
        <f>IF(OR(CP41="",AND(CP41=CP40,CP41=CP42)),NA(), CP41)</f>
        <v>0</v>
      </c>
      <c r="CQ57">
        <f>IF(ISNA(CR57),NA(),CQ41)</f>
        <v>0</v>
      </c>
      <c r="CR57">
        <f>IF(OR(CR41="",AND(CR41=CR40,CR41=CR42)),NA(), CR41)</f>
        <v>0</v>
      </c>
      <c r="CS57">
        <f>IF(ISNA(CT57),NA(),CS41)</f>
        <v>0</v>
      </c>
      <c r="CT57">
        <f>IF(OR(CT41="",AND(CT41=CT40,CT41=CT42)),NA(), CT41)</f>
        <v>0</v>
      </c>
      <c r="CU57">
        <f>IF(ISNA(CV57),NA(),CU41)</f>
        <v>0</v>
      </c>
      <c r="CV57">
        <f>IF(OR(CV41="",AND(CV41=CV40,CV41=CV42)),NA(), CV41)</f>
        <v>0</v>
      </c>
      <c r="CW57">
        <f>IF(ISNA(CX57),NA(),CW41)</f>
        <v>0</v>
      </c>
      <c r="CX57">
        <f>IF(OR(CX41="",AND(CX41=CX40,CX41=CX42)),NA(), CX41)</f>
        <v>0</v>
      </c>
      <c r="CY57">
        <f>IF(ISNA(CZ57),NA(),CY41)</f>
        <v>0</v>
      </c>
      <c r="CZ57">
        <f>IF(OR(CZ41="",AND(CZ41=CZ40,CZ41=CZ42)),NA(), CZ41)</f>
        <v>0</v>
      </c>
      <c r="DA57">
        <f>IF(ISNA(DB57),NA(),DA41)</f>
        <v>0</v>
      </c>
      <c r="DB57">
        <f>IF(OR(DB41="",AND(DB41=DB40,DB41=DB42)),NA(), DB41)</f>
        <v>0</v>
      </c>
      <c r="DC57">
        <f>IF(ISNA(DD57),NA(),DC41)</f>
        <v>0</v>
      </c>
      <c r="DD57">
        <f>IF(OR(DD41="",AND(DD41=DD40,DD41=DD42)),NA(), DD41)</f>
        <v>0</v>
      </c>
      <c r="DE57">
        <f>IF(ISNA(DF57),NA(),DE41)</f>
        <v>0</v>
      </c>
      <c r="DF57">
        <f>IF(OR(DF41="",AND(DF41=DF40,DF41=DF42)),NA(), DF41)</f>
        <v>0</v>
      </c>
      <c r="DG57">
        <f>IF(ISNA(DH57),NA(),DG41)</f>
        <v>0</v>
      </c>
      <c r="DH57">
        <f>IF(OR(DH41="",AND(DH41=DH40,DH41=DH42)),NA(), DH41)</f>
        <v>0</v>
      </c>
      <c r="DI57">
        <f>IF(ISNA(DJ57),NA(),DI41)</f>
        <v>0</v>
      </c>
      <c r="DJ57">
        <f>IF(OR(DJ41="",AND(DJ41=DJ40,DJ41=DJ42)),NA(), DJ41)</f>
        <v>0</v>
      </c>
      <c r="DK57">
        <f>IF(ISNA(DL57),NA(),DK41)</f>
        <v>0</v>
      </c>
      <c r="DL57">
        <f>IF(OR(DL41="",AND(DL41=DL40,DL41=DL42)),NA(), DL41)</f>
        <v>0</v>
      </c>
      <c r="DM57">
        <f>IF(ISNA(DN57),NA(),DM41)</f>
        <v>0</v>
      </c>
      <c r="DN57">
        <f>IF(OR(DN41="",AND(DN41=DN40,DN41=DN42)),NA(), DN41)</f>
        <v>0</v>
      </c>
      <c r="DO57">
        <f>IF(ISNA(DP57),NA(),DO41)</f>
        <v>0</v>
      </c>
      <c r="DP57">
        <f>IF(OR(DP41="",AND(DP41=DP40,DP41=DP42)),NA(), DP41)</f>
        <v>0</v>
      </c>
      <c r="DQ57">
        <f>IF(ISNA(DR57),NA(),DQ41)</f>
        <v>0</v>
      </c>
      <c r="DR57">
        <f>IF(OR(DR41="",AND(DR41=DR40,DR41=DR42)),NA(), DR41)</f>
        <v>0</v>
      </c>
      <c r="DS57">
        <f>IF(ISNA(DT57),NA(),DS41)</f>
        <v>0</v>
      </c>
      <c r="DT57">
        <f>IF(OR(DT41="",AND(DT41=DT40,DT41=DT42)),NA(), DT41)</f>
        <v>0</v>
      </c>
      <c r="DU57">
        <f>IF(ISNA(DV57),NA(),DU41)</f>
        <v>0</v>
      </c>
      <c r="DV57">
        <f>IF(OR(DV41="",AND(DV41=DV40,DV41=DV42)),NA(), DV41)</f>
        <v>0</v>
      </c>
      <c r="DW57">
        <f>IF(ISNA(DX57),NA(),DW41)</f>
        <v>0</v>
      </c>
      <c r="DX57">
        <f>IF(OR(DX41="",AND(DX41=DX40,DX41=DX42)),NA(), DX41)</f>
        <v>0</v>
      </c>
      <c r="DY57">
        <f>IF(ISNA(DZ57),NA(),DY41)</f>
        <v>0</v>
      </c>
      <c r="DZ57">
        <f>IF(OR(DZ41="",AND(DZ41=DZ40,DZ41=DZ42)),NA(), DZ41)</f>
        <v>0</v>
      </c>
      <c r="EA57">
        <f>IF(ISNA(EB57),NA(),EA41)</f>
        <v>0</v>
      </c>
      <c r="EB57">
        <f>IF(OR(EB41="",AND(EB41=EB40,EB41=EB42)),NA(), EB41)</f>
        <v>0</v>
      </c>
      <c r="EC57">
        <f>IF(ISNA(ED57),NA(),EC41)</f>
        <v>0</v>
      </c>
      <c r="ED57">
        <f>IF(OR(ED41="",AND(ED41=ED40,ED41=ED42)),NA(), ED41)</f>
        <v>0</v>
      </c>
    </row>
    <row r="58" spans="5:134">
      <c r="E58">
        <f>IF(ISNA(F58),NA(),E42)</f>
        <v>0</v>
      </c>
      <c r="F58">
        <f>IF(OR(F42="",AND(F42=F41,F42=F43)),NA(), F42)</f>
        <v>0</v>
      </c>
      <c r="G58">
        <f>IF(ISNA(H58),NA(),G42)</f>
        <v>0</v>
      </c>
      <c r="H58">
        <f>IF(OR(H42="",AND(H42=H41,H42=H43)),NA(), H42)</f>
        <v>0</v>
      </c>
      <c r="I58">
        <f>IF(ISNA(J58),NA(),I42)</f>
        <v>0</v>
      </c>
      <c r="J58">
        <f>IF(OR(J42="",AND(J42=J41,J42=J43)),NA(), J42)</f>
        <v>0</v>
      </c>
      <c r="K58">
        <f>IF(ISNA(L58),NA(),K42)</f>
        <v>0</v>
      </c>
      <c r="L58">
        <f>IF(OR(L42="",AND(L42=L41,L42=L43)),NA(), L42)</f>
        <v>0</v>
      </c>
      <c r="M58">
        <f>IF(ISNA(N58),NA(),M42)</f>
        <v>0</v>
      </c>
      <c r="N58">
        <f>IF(OR(N42="",AND(N42=N41,N42=N43)),NA(), N42)</f>
        <v>0</v>
      </c>
      <c r="O58">
        <f>IF(ISNA(P58),NA(),O42)</f>
        <v>0</v>
      </c>
      <c r="P58">
        <f>IF(OR(P42="",AND(P42=P41,P42=P43)),NA(), P42)</f>
        <v>0</v>
      </c>
      <c r="Q58">
        <f>IF(ISNA(R58),NA(),Q42)</f>
        <v>0</v>
      </c>
      <c r="R58">
        <f>IF(OR(R42="",AND(R42=R41,R42=R43)),NA(), R42)</f>
        <v>0</v>
      </c>
      <c r="S58">
        <f>IF(ISNA(T58),NA(),S42)</f>
        <v>0</v>
      </c>
      <c r="T58">
        <f>IF(OR(T42="",AND(T42=T41,T42=T43)),NA(), T42)</f>
        <v>0</v>
      </c>
      <c r="U58">
        <f>IF(ISNA(V58),NA(),U42)</f>
        <v>0</v>
      </c>
      <c r="V58">
        <f>IF(OR(V42="",AND(V42=V41,V42=V43)),NA(), V42)</f>
        <v>0</v>
      </c>
      <c r="W58">
        <f>IF(ISNA(X58),NA(),W42)</f>
        <v>0</v>
      </c>
      <c r="X58">
        <f>IF(OR(X42="",AND(X42=X41,X42=X43)),NA(), X42)</f>
        <v>0</v>
      </c>
      <c r="Y58">
        <f>IF(ISNA(Z58),NA(),Y42)</f>
        <v>0</v>
      </c>
      <c r="Z58">
        <f>IF(OR(Z42="",AND(Z42=Z41,Z42=Z43)),NA(), Z42)</f>
        <v>0</v>
      </c>
      <c r="AA58">
        <f>IF(ISNA(AB58),NA(),AA42)</f>
        <v>0</v>
      </c>
      <c r="AB58">
        <f>IF(OR(AB42="",AND(AB42=AB41,AB42=AB43)),NA(), AB42)</f>
        <v>0</v>
      </c>
      <c r="AC58">
        <f>IF(ISNA(AD58),NA(),AC42)</f>
        <v>0</v>
      </c>
      <c r="AD58">
        <f>IF(OR(AD42="",AND(AD42=AD41,AD42=AD43)),NA(), AD42)</f>
        <v>0</v>
      </c>
      <c r="AE58">
        <f>IF(ISNA(AF58),NA(),AE42)</f>
        <v>0</v>
      </c>
      <c r="AF58">
        <f>IF(OR(AF42="",AND(AF42=AF41,AF42=AF43)),NA(), AF42)</f>
        <v>0</v>
      </c>
      <c r="AG58">
        <f>IF(ISNA(AH58),NA(),AG42)</f>
        <v>0</v>
      </c>
      <c r="AH58">
        <f>IF(OR(AH42="",AND(AH42=AH41,AH42=AH43)),NA(), AH42)</f>
        <v>0</v>
      </c>
      <c r="AI58">
        <f>IF(ISNA(AJ58),NA(),AI42)</f>
        <v>0</v>
      </c>
      <c r="AJ58">
        <f>IF(OR(AJ42="",AND(AJ42=AJ41,AJ42=AJ43)),NA(), AJ42)</f>
        <v>0</v>
      </c>
      <c r="AK58">
        <f>IF(ISNA(AL58),NA(),AK42)</f>
        <v>0</v>
      </c>
      <c r="AL58">
        <f>IF(OR(AL42="",AND(AL42=AL41,AL42=AL43)),NA(), AL42)</f>
        <v>0</v>
      </c>
      <c r="AM58">
        <f>IF(ISNA(AN58),NA(),AM42)</f>
        <v>0</v>
      </c>
      <c r="AN58">
        <f>IF(OR(AN42="",AND(AN42=AN41,AN42=AN43)),NA(), AN42)</f>
        <v>0</v>
      </c>
      <c r="AO58">
        <f>IF(ISNA(AP58),NA(),AO42)</f>
        <v>0</v>
      </c>
      <c r="AP58">
        <f>IF(OR(AP42="",AND(AP42=AP41,AP42=AP43)),NA(), AP42)</f>
        <v>0</v>
      </c>
      <c r="AQ58">
        <f>IF(ISNA(AR58),NA(),AQ42)</f>
        <v>0</v>
      </c>
      <c r="AR58">
        <f>IF(OR(AR42="",AND(AR42=AR41,AR42=AR43)),NA(), AR42)</f>
        <v>0</v>
      </c>
      <c r="AS58">
        <f>IF(ISNA(AT58),NA(),AS42)</f>
        <v>0</v>
      </c>
      <c r="AT58">
        <f>IF(OR(AT42="",AND(AT42=AT41,AT42=AT43)),NA(), AT42)</f>
        <v>0</v>
      </c>
      <c r="AU58">
        <f>IF(ISNA(AV58),NA(),AU42)</f>
        <v>0</v>
      </c>
      <c r="AV58">
        <f>IF(OR(AV42="",AND(AV42=AV41,AV42=AV43)),NA(), AV42)</f>
        <v>0</v>
      </c>
      <c r="AW58">
        <f>IF(ISNA(AX58),NA(),AW42)</f>
        <v>0</v>
      </c>
      <c r="AX58">
        <f>IF(OR(AX42="",AND(AX42=AX41,AX42=AX43)),NA(), AX42)</f>
        <v>0</v>
      </c>
      <c r="AY58">
        <f>IF(ISNA(AZ58),NA(),AY42)</f>
        <v>0</v>
      </c>
      <c r="AZ58">
        <f>IF(OR(AZ42="",AND(AZ42=AZ41,AZ42=AZ43)),NA(), AZ42)</f>
        <v>0</v>
      </c>
      <c r="BA58">
        <f>IF(ISNA(BB58),NA(),BA42)</f>
        <v>0</v>
      </c>
      <c r="BB58">
        <f>IF(OR(BB42="",AND(BB42=BB41,BB42=BB43)),NA(), BB42)</f>
        <v>0</v>
      </c>
      <c r="BC58">
        <f>IF(ISNA(BD58),NA(),BC42)</f>
        <v>0</v>
      </c>
      <c r="BD58">
        <f>IF(OR(BD42="",AND(BD42=BD41,BD42=BD43)),NA(), BD42)</f>
        <v>0</v>
      </c>
      <c r="BE58">
        <f>IF(ISNA(BF58),NA(),BE42)</f>
        <v>0</v>
      </c>
      <c r="BF58">
        <f>IF(OR(BF42="",AND(BF42=BF41,BF42=BF43)),NA(), BF42)</f>
        <v>0</v>
      </c>
      <c r="BG58">
        <f>IF(ISNA(BH58),NA(),BG42)</f>
        <v>0</v>
      </c>
      <c r="BH58">
        <f>IF(OR(BH42="",AND(BH42=BH41,BH42=BH43)),NA(), BH42)</f>
        <v>0</v>
      </c>
      <c r="BI58">
        <f>IF(ISNA(BJ58),NA(),BI42)</f>
        <v>0</v>
      </c>
      <c r="BJ58">
        <f>IF(OR(BJ42="",AND(BJ42=BJ41,BJ42=BJ43)),NA(), BJ42)</f>
        <v>0</v>
      </c>
      <c r="BK58">
        <f>IF(ISNA(BL58),NA(),BK42)</f>
        <v>0</v>
      </c>
      <c r="BL58">
        <f>IF(OR(BL42="",AND(BL42=BL41,BL42=BL43)),NA(), BL42)</f>
        <v>0</v>
      </c>
      <c r="BM58">
        <f>IF(ISNA(BN58),NA(),BM42)</f>
        <v>0</v>
      </c>
      <c r="BN58">
        <f>IF(OR(BN42="",AND(BN42=BN41,BN42=BN43)),NA(), BN42)</f>
        <v>0</v>
      </c>
      <c r="BO58">
        <f>IF(ISNA(BP58),NA(),BO42)</f>
        <v>0</v>
      </c>
      <c r="BP58">
        <f>IF(OR(BP42="",AND(BP42=BP41,BP42=BP43)),NA(), BP42)</f>
        <v>0</v>
      </c>
      <c r="BS58">
        <f>IF(ISNA(BT58),NA(),BS42)</f>
        <v>0</v>
      </c>
      <c r="BT58">
        <f>IF(OR(BT42="",AND(BT42=BT41,BT42=BT43)),NA(), BT42)</f>
        <v>0</v>
      </c>
      <c r="BU58">
        <f>IF(ISNA(BV58),NA(),BU42)</f>
        <v>0</v>
      </c>
      <c r="BV58">
        <f>IF(OR(BV42="",AND(BV42=BV41,BV42=BV43)),NA(), BV42)</f>
        <v>0</v>
      </c>
      <c r="BW58">
        <f>IF(ISNA(BX58),NA(),BW42)</f>
        <v>0</v>
      </c>
      <c r="BX58">
        <f>IF(OR(BX42="",AND(BX42=BX41,BX42=BX43)),NA(), BX42)</f>
        <v>0</v>
      </c>
      <c r="BY58">
        <f>IF(ISNA(BZ58),NA(),BY42)</f>
        <v>0</v>
      </c>
      <c r="BZ58">
        <f>IF(OR(BZ42="",AND(BZ42=BZ41,BZ42=BZ43)),NA(), BZ42)</f>
        <v>0</v>
      </c>
      <c r="CA58">
        <f>IF(ISNA(CB58),NA(),CA42)</f>
        <v>0</v>
      </c>
      <c r="CB58">
        <f>IF(OR(CB42="",AND(CB42=CB41,CB42=CB43)),NA(), CB42)</f>
        <v>0</v>
      </c>
      <c r="CC58">
        <f>IF(ISNA(CD58),NA(),CC42)</f>
        <v>0</v>
      </c>
      <c r="CD58">
        <f>IF(OR(CD42="",AND(CD42=CD41,CD42=CD43)),NA(), CD42)</f>
        <v>0</v>
      </c>
      <c r="CE58">
        <f>IF(ISNA(CF58),NA(),CE42)</f>
        <v>0</v>
      </c>
      <c r="CF58">
        <f>IF(OR(CF42="",AND(CF42=CF41,CF42=CF43)),NA(), CF42)</f>
        <v>0</v>
      </c>
      <c r="CG58">
        <f>IF(ISNA(CH58),NA(),CG42)</f>
        <v>0</v>
      </c>
      <c r="CH58">
        <f>IF(OR(CH42="",AND(CH42=CH41,CH42=CH43)),NA(), CH42)</f>
        <v>0</v>
      </c>
      <c r="CI58">
        <f>IF(ISNA(CJ58),NA(),CI42)</f>
        <v>0</v>
      </c>
      <c r="CJ58">
        <f>IF(OR(CJ42="",AND(CJ42=CJ41,CJ42=CJ43)),NA(), CJ42)</f>
        <v>0</v>
      </c>
      <c r="CK58">
        <f>IF(ISNA(CL58),NA(),CK42)</f>
        <v>0</v>
      </c>
      <c r="CL58">
        <f>IF(OR(CL42="",AND(CL42=CL41,CL42=CL43)),NA(), CL42)</f>
        <v>0</v>
      </c>
      <c r="CM58">
        <f>IF(ISNA(CN58),NA(),CM42)</f>
        <v>0</v>
      </c>
      <c r="CN58">
        <f>IF(OR(CN42="",AND(CN42=CN41,CN42=CN43)),NA(), CN42)</f>
        <v>0</v>
      </c>
      <c r="CO58">
        <f>IF(ISNA(CP58),NA(),CO42)</f>
        <v>0</v>
      </c>
      <c r="CP58">
        <f>IF(OR(CP42="",AND(CP42=CP41,CP42=CP43)),NA(), CP42)</f>
        <v>0</v>
      </c>
      <c r="CQ58">
        <f>IF(ISNA(CR58),NA(),CQ42)</f>
        <v>0</v>
      </c>
      <c r="CR58">
        <f>IF(OR(CR42="",AND(CR42=CR41,CR42=CR43)),NA(), CR42)</f>
        <v>0</v>
      </c>
      <c r="CS58">
        <f>IF(ISNA(CT58),NA(),CS42)</f>
        <v>0</v>
      </c>
      <c r="CT58">
        <f>IF(OR(CT42="",AND(CT42=CT41,CT42=CT43)),NA(), CT42)</f>
        <v>0</v>
      </c>
      <c r="CU58">
        <f>IF(ISNA(CV58),NA(),CU42)</f>
        <v>0</v>
      </c>
      <c r="CV58">
        <f>IF(OR(CV42="",AND(CV42=CV41,CV42=CV43)),NA(), CV42)</f>
        <v>0</v>
      </c>
      <c r="CW58">
        <f>IF(ISNA(CX58),NA(),CW42)</f>
        <v>0</v>
      </c>
      <c r="CX58">
        <f>IF(OR(CX42="",AND(CX42=CX41,CX42=CX43)),NA(), CX42)</f>
        <v>0</v>
      </c>
      <c r="CY58">
        <f>IF(ISNA(CZ58),NA(),CY42)</f>
        <v>0</v>
      </c>
      <c r="CZ58">
        <f>IF(OR(CZ42="",AND(CZ42=CZ41,CZ42=CZ43)),NA(), CZ42)</f>
        <v>0</v>
      </c>
      <c r="DA58">
        <f>IF(ISNA(DB58),NA(),DA42)</f>
        <v>0</v>
      </c>
      <c r="DB58">
        <f>IF(OR(DB42="",AND(DB42=DB41,DB42=DB43)),NA(), DB42)</f>
        <v>0</v>
      </c>
      <c r="DC58">
        <f>IF(ISNA(DD58),NA(),DC42)</f>
        <v>0</v>
      </c>
      <c r="DD58">
        <f>IF(OR(DD42="",AND(DD42=DD41,DD42=DD43)),NA(), DD42)</f>
        <v>0</v>
      </c>
      <c r="DE58">
        <f>IF(ISNA(DF58),NA(),DE42)</f>
        <v>0</v>
      </c>
      <c r="DF58">
        <f>IF(OR(DF42="",AND(DF42=DF41,DF42=DF43)),NA(), DF42)</f>
        <v>0</v>
      </c>
      <c r="DG58">
        <f>IF(ISNA(DH58),NA(),DG42)</f>
        <v>0</v>
      </c>
      <c r="DH58">
        <f>IF(OR(DH42="",AND(DH42=DH41,DH42=DH43)),NA(), DH42)</f>
        <v>0</v>
      </c>
      <c r="DI58">
        <f>IF(ISNA(DJ58),NA(),DI42)</f>
        <v>0</v>
      </c>
      <c r="DJ58">
        <f>IF(OR(DJ42="",AND(DJ42=DJ41,DJ42=DJ43)),NA(), DJ42)</f>
        <v>0</v>
      </c>
      <c r="DK58">
        <f>IF(ISNA(DL58),NA(),DK42)</f>
        <v>0</v>
      </c>
      <c r="DL58">
        <f>IF(OR(DL42="",AND(DL42=DL41,DL42=DL43)),NA(), DL42)</f>
        <v>0</v>
      </c>
      <c r="DM58">
        <f>IF(ISNA(DN58),NA(),DM42)</f>
        <v>0</v>
      </c>
      <c r="DN58">
        <f>IF(OR(DN42="",AND(DN42=DN41,DN42=DN43)),NA(), DN42)</f>
        <v>0</v>
      </c>
      <c r="DO58">
        <f>IF(ISNA(DP58),NA(),DO42)</f>
        <v>0</v>
      </c>
      <c r="DP58">
        <f>IF(OR(DP42="",AND(DP42=DP41,DP42=DP43)),NA(), DP42)</f>
        <v>0</v>
      </c>
      <c r="DQ58">
        <f>IF(ISNA(DR58),NA(),DQ42)</f>
        <v>0</v>
      </c>
      <c r="DR58">
        <f>IF(OR(DR42="",AND(DR42=DR41,DR42=DR43)),NA(), DR42)</f>
        <v>0</v>
      </c>
      <c r="DS58">
        <f>IF(ISNA(DT58),NA(),DS42)</f>
        <v>0</v>
      </c>
      <c r="DT58">
        <f>IF(OR(DT42="",AND(DT42=DT41,DT42=DT43)),NA(), DT42)</f>
        <v>0</v>
      </c>
      <c r="DU58">
        <f>IF(ISNA(DV58),NA(),DU42)</f>
        <v>0</v>
      </c>
      <c r="DV58">
        <f>IF(OR(DV42="",AND(DV42=DV41,DV42=DV43)),NA(), DV42)</f>
        <v>0</v>
      </c>
      <c r="DW58">
        <f>IF(ISNA(DX58),NA(),DW42)</f>
        <v>0</v>
      </c>
      <c r="DX58">
        <f>IF(OR(DX42="",AND(DX42=DX41,DX42=DX43)),NA(), DX42)</f>
        <v>0</v>
      </c>
      <c r="DY58">
        <f>IF(ISNA(DZ58),NA(),DY42)</f>
        <v>0</v>
      </c>
      <c r="DZ58">
        <f>IF(OR(DZ42="",AND(DZ42=DZ41,DZ42=DZ43)),NA(), DZ42)</f>
        <v>0</v>
      </c>
      <c r="EA58">
        <f>IF(ISNA(EB58),NA(),EA42)</f>
        <v>0</v>
      </c>
      <c r="EB58">
        <f>IF(OR(EB42="",AND(EB42=EB41,EB42=EB43)),NA(), EB42)</f>
        <v>0</v>
      </c>
      <c r="EC58">
        <f>IF(ISNA(ED58),NA(),EC42)</f>
        <v>0</v>
      </c>
      <c r="ED58">
        <f>IF(OR(ED42="",AND(ED42=ED41,ED42=ED43)),NA(), ED42)</f>
        <v>0</v>
      </c>
    </row>
    <row r="59" spans="5:134">
      <c r="E59">
        <f>IF(ISNA(F59),NA(),E43)</f>
        <v>0</v>
      </c>
      <c r="F59">
        <f>IF(OR(F43="",AND(F43=F42,F43=F44)),NA(), F43)</f>
        <v>0</v>
      </c>
      <c r="G59">
        <f>IF(ISNA(H59),NA(),G43)</f>
        <v>0</v>
      </c>
      <c r="H59">
        <f>IF(OR(H43="",AND(H43=H42,H43=H44)),NA(), H43)</f>
        <v>0</v>
      </c>
      <c r="I59">
        <f>IF(ISNA(J59),NA(),I43)</f>
        <v>0</v>
      </c>
      <c r="J59">
        <f>IF(OR(J43="",AND(J43=J42,J43=J44)),NA(), J43)</f>
        <v>0</v>
      </c>
      <c r="K59">
        <f>IF(ISNA(L59),NA(),K43)</f>
        <v>0</v>
      </c>
      <c r="L59">
        <f>IF(OR(L43="",AND(L43=L42,L43=L44)),NA(), L43)</f>
        <v>0</v>
      </c>
      <c r="M59">
        <f>IF(ISNA(N59),NA(),M43)</f>
        <v>0</v>
      </c>
      <c r="N59">
        <f>IF(OR(N43="",AND(N43=N42,N43=N44)),NA(), N43)</f>
        <v>0</v>
      </c>
      <c r="O59">
        <f>IF(ISNA(P59),NA(),O43)</f>
        <v>0</v>
      </c>
      <c r="P59">
        <f>IF(OR(P43="",AND(P43=P42,P43=P44)),NA(), P43)</f>
        <v>0</v>
      </c>
      <c r="Q59">
        <f>IF(ISNA(R59),NA(),Q43)</f>
        <v>0</v>
      </c>
      <c r="R59">
        <f>IF(OR(R43="",AND(R43=R42,R43=R44)),NA(), R43)</f>
        <v>0</v>
      </c>
      <c r="S59">
        <f>IF(ISNA(T59),NA(),S43)</f>
        <v>0</v>
      </c>
      <c r="T59">
        <f>IF(OR(T43="",AND(T43=T42,T43=T44)),NA(), T43)</f>
        <v>0</v>
      </c>
      <c r="U59">
        <f>IF(ISNA(V59),NA(),U43)</f>
        <v>0</v>
      </c>
      <c r="V59">
        <f>IF(OR(V43="",AND(V43=V42,V43=V44)),NA(), V43)</f>
        <v>0</v>
      </c>
      <c r="W59">
        <f>IF(ISNA(X59),NA(),W43)</f>
        <v>0</v>
      </c>
      <c r="X59">
        <f>IF(OR(X43="",AND(X43=X42,X43=X44)),NA(), X43)</f>
        <v>0</v>
      </c>
      <c r="Y59">
        <f>IF(ISNA(Z59),NA(),Y43)</f>
        <v>0</v>
      </c>
      <c r="Z59">
        <f>IF(OR(Z43="",AND(Z43=Z42,Z43=Z44)),NA(), Z43)</f>
        <v>0</v>
      </c>
      <c r="AA59">
        <f>IF(ISNA(AB59),NA(),AA43)</f>
        <v>0</v>
      </c>
      <c r="AB59">
        <f>IF(OR(AB43="",AND(AB43=AB42,AB43=AB44)),NA(), AB43)</f>
        <v>0</v>
      </c>
      <c r="AC59">
        <f>IF(ISNA(AD59),NA(),AC43)</f>
        <v>0</v>
      </c>
      <c r="AD59">
        <f>IF(OR(AD43="",AND(AD43=AD42,AD43=AD44)),NA(), AD43)</f>
        <v>0</v>
      </c>
      <c r="AE59">
        <f>IF(ISNA(AF59),NA(),AE43)</f>
        <v>0</v>
      </c>
      <c r="AF59">
        <f>IF(OR(AF43="",AND(AF43=AF42,AF43=AF44)),NA(), AF43)</f>
        <v>0</v>
      </c>
      <c r="AG59">
        <f>IF(ISNA(AH59),NA(),AG43)</f>
        <v>0</v>
      </c>
      <c r="AH59">
        <f>IF(OR(AH43="",AND(AH43=AH42,AH43=AH44)),NA(), AH43)</f>
        <v>0</v>
      </c>
      <c r="AI59">
        <f>IF(ISNA(AJ59),NA(),AI43)</f>
        <v>0</v>
      </c>
      <c r="AJ59">
        <f>IF(OR(AJ43="",AND(AJ43=AJ42,AJ43=AJ44)),NA(), AJ43)</f>
        <v>0</v>
      </c>
      <c r="AK59">
        <f>IF(ISNA(AL59),NA(),AK43)</f>
        <v>0</v>
      </c>
      <c r="AL59">
        <f>IF(OR(AL43="",AND(AL43=AL42,AL43=AL44)),NA(), AL43)</f>
        <v>0</v>
      </c>
      <c r="AM59">
        <f>IF(ISNA(AN59),NA(),AM43)</f>
        <v>0</v>
      </c>
      <c r="AN59">
        <f>IF(OR(AN43="",AND(AN43=AN42,AN43=AN44)),NA(), AN43)</f>
        <v>0</v>
      </c>
      <c r="AO59">
        <f>IF(ISNA(AP59),NA(),AO43)</f>
        <v>0</v>
      </c>
      <c r="AP59">
        <f>IF(OR(AP43="",AND(AP43=AP42,AP43=AP44)),NA(), AP43)</f>
        <v>0</v>
      </c>
      <c r="AQ59">
        <f>IF(ISNA(AR59),NA(),AQ43)</f>
        <v>0</v>
      </c>
      <c r="AR59">
        <f>IF(OR(AR43="",AND(AR43=AR42,AR43=AR44)),NA(), AR43)</f>
        <v>0</v>
      </c>
      <c r="AS59">
        <f>IF(ISNA(AT59),NA(),AS43)</f>
        <v>0</v>
      </c>
      <c r="AT59">
        <f>IF(OR(AT43="",AND(AT43=AT42,AT43=AT44)),NA(), AT43)</f>
        <v>0</v>
      </c>
      <c r="AU59">
        <f>IF(ISNA(AV59),NA(),AU43)</f>
        <v>0</v>
      </c>
      <c r="AV59">
        <f>IF(OR(AV43="",AND(AV43=AV42,AV43=AV44)),NA(), AV43)</f>
        <v>0</v>
      </c>
      <c r="AW59">
        <f>IF(ISNA(AX59),NA(),AW43)</f>
        <v>0</v>
      </c>
      <c r="AX59">
        <f>IF(OR(AX43="",AND(AX43=AX42,AX43=AX44)),NA(), AX43)</f>
        <v>0</v>
      </c>
      <c r="AY59">
        <f>IF(ISNA(AZ59),NA(),AY43)</f>
        <v>0</v>
      </c>
      <c r="AZ59">
        <f>IF(OR(AZ43="",AND(AZ43=AZ42,AZ43=AZ44)),NA(), AZ43)</f>
        <v>0</v>
      </c>
      <c r="BA59">
        <f>IF(ISNA(BB59),NA(),BA43)</f>
        <v>0</v>
      </c>
      <c r="BB59">
        <f>IF(OR(BB43="",AND(BB43=BB42,BB43=BB44)),NA(), BB43)</f>
        <v>0</v>
      </c>
      <c r="BC59">
        <f>IF(ISNA(BD59),NA(),BC43)</f>
        <v>0</v>
      </c>
      <c r="BD59">
        <f>IF(OR(BD43="",AND(BD43=BD42,BD43=BD44)),NA(), BD43)</f>
        <v>0</v>
      </c>
      <c r="BE59">
        <f>IF(ISNA(BF59),NA(),BE43)</f>
        <v>0</v>
      </c>
      <c r="BF59">
        <f>IF(OR(BF43="",AND(BF43=BF42,BF43=BF44)),NA(), BF43)</f>
        <v>0</v>
      </c>
      <c r="BG59">
        <f>IF(ISNA(BH59),NA(),BG43)</f>
        <v>0</v>
      </c>
      <c r="BH59">
        <f>IF(OR(BH43="",AND(BH43=BH42,BH43=BH44)),NA(), BH43)</f>
        <v>0</v>
      </c>
      <c r="BI59">
        <f>IF(ISNA(BJ59),NA(),BI43)</f>
        <v>0</v>
      </c>
      <c r="BJ59">
        <f>IF(OR(BJ43="",AND(BJ43=BJ42,BJ43=BJ44)),NA(), BJ43)</f>
        <v>0</v>
      </c>
      <c r="BK59">
        <f>IF(ISNA(BL59),NA(),BK43)</f>
        <v>0</v>
      </c>
      <c r="BL59">
        <f>IF(OR(BL43="",AND(BL43=BL42,BL43=BL44)),NA(), BL43)</f>
        <v>0</v>
      </c>
      <c r="BM59">
        <f>IF(ISNA(BN59),NA(),BM43)</f>
        <v>0</v>
      </c>
      <c r="BN59">
        <f>IF(OR(BN43="",AND(BN43=BN42,BN43=BN44)),NA(), BN43)</f>
        <v>0</v>
      </c>
      <c r="BO59">
        <f>IF(ISNA(BP59),NA(),BO43)</f>
        <v>0</v>
      </c>
      <c r="BP59">
        <f>IF(OR(BP43="",AND(BP43=BP42,BP43=BP44)),NA(), BP43)</f>
        <v>0</v>
      </c>
      <c r="BS59">
        <f>IF(ISNA(BT59),NA(),BS43)</f>
        <v>0</v>
      </c>
      <c r="BT59">
        <f>IF(OR(BT43="",AND(BT43=BT42,BT43=BT44)),NA(), BT43)</f>
        <v>0</v>
      </c>
      <c r="BU59">
        <f>IF(ISNA(BV59),NA(),BU43)</f>
        <v>0</v>
      </c>
      <c r="BV59">
        <f>IF(OR(BV43="",AND(BV43=BV42,BV43=BV44)),NA(), BV43)</f>
        <v>0</v>
      </c>
      <c r="BW59">
        <f>IF(ISNA(BX59),NA(),BW43)</f>
        <v>0</v>
      </c>
      <c r="BX59">
        <f>IF(OR(BX43="",AND(BX43=BX42,BX43=BX44)),NA(), BX43)</f>
        <v>0</v>
      </c>
      <c r="BY59">
        <f>IF(ISNA(BZ59),NA(),BY43)</f>
        <v>0</v>
      </c>
      <c r="BZ59">
        <f>IF(OR(BZ43="",AND(BZ43=BZ42,BZ43=BZ44)),NA(), BZ43)</f>
        <v>0</v>
      </c>
      <c r="CA59">
        <f>IF(ISNA(CB59),NA(),CA43)</f>
        <v>0</v>
      </c>
      <c r="CB59">
        <f>IF(OR(CB43="",AND(CB43=CB42,CB43=CB44)),NA(), CB43)</f>
        <v>0</v>
      </c>
      <c r="CC59">
        <f>IF(ISNA(CD59),NA(),CC43)</f>
        <v>0</v>
      </c>
      <c r="CD59">
        <f>IF(OR(CD43="",AND(CD43=CD42,CD43=CD44)),NA(), CD43)</f>
        <v>0</v>
      </c>
      <c r="CE59">
        <f>IF(ISNA(CF59),NA(),CE43)</f>
        <v>0</v>
      </c>
      <c r="CF59">
        <f>IF(OR(CF43="",AND(CF43=CF42,CF43=CF44)),NA(), CF43)</f>
        <v>0</v>
      </c>
      <c r="CG59">
        <f>IF(ISNA(CH59),NA(),CG43)</f>
        <v>0</v>
      </c>
      <c r="CH59">
        <f>IF(OR(CH43="",AND(CH43=CH42,CH43=CH44)),NA(), CH43)</f>
        <v>0</v>
      </c>
      <c r="CI59">
        <f>IF(ISNA(CJ59),NA(),CI43)</f>
        <v>0</v>
      </c>
      <c r="CJ59">
        <f>IF(OR(CJ43="",AND(CJ43=CJ42,CJ43=CJ44)),NA(), CJ43)</f>
        <v>0</v>
      </c>
      <c r="CK59">
        <f>IF(ISNA(CL59),NA(),CK43)</f>
        <v>0</v>
      </c>
      <c r="CL59">
        <f>IF(OR(CL43="",AND(CL43=CL42,CL43=CL44)),NA(), CL43)</f>
        <v>0</v>
      </c>
      <c r="CM59">
        <f>IF(ISNA(CN59),NA(),CM43)</f>
        <v>0</v>
      </c>
      <c r="CN59">
        <f>IF(OR(CN43="",AND(CN43=CN42,CN43=CN44)),NA(), CN43)</f>
        <v>0</v>
      </c>
      <c r="CO59">
        <f>IF(ISNA(CP59),NA(),CO43)</f>
        <v>0</v>
      </c>
      <c r="CP59">
        <f>IF(OR(CP43="",AND(CP43=CP42,CP43=CP44)),NA(), CP43)</f>
        <v>0</v>
      </c>
      <c r="CQ59">
        <f>IF(ISNA(CR59),NA(),CQ43)</f>
        <v>0</v>
      </c>
      <c r="CR59">
        <f>IF(OR(CR43="",AND(CR43=CR42,CR43=CR44)),NA(), CR43)</f>
        <v>0</v>
      </c>
      <c r="CS59">
        <f>IF(ISNA(CT59),NA(),CS43)</f>
        <v>0</v>
      </c>
      <c r="CT59">
        <f>IF(OR(CT43="",AND(CT43=CT42,CT43=CT44)),NA(), CT43)</f>
        <v>0</v>
      </c>
      <c r="CU59">
        <f>IF(ISNA(CV59),NA(),CU43)</f>
        <v>0</v>
      </c>
      <c r="CV59">
        <f>IF(OR(CV43="",AND(CV43=CV42,CV43=CV44)),NA(), CV43)</f>
        <v>0</v>
      </c>
      <c r="CW59">
        <f>IF(ISNA(CX59),NA(),CW43)</f>
        <v>0</v>
      </c>
      <c r="CX59">
        <f>IF(OR(CX43="",AND(CX43=CX42,CX43=CX44)),NA(), CX43)</f>
        <v>0</v>
      </c>
      <c r="CY59">
        <f>IF(ISNA(CZ59),NA(),CY43)</f>
        <v>0</v>
      </c>
      <c r="CZ59">
        <f>IF(OR(CZ43="",AND(CZ43=CZ42,CZ43=CZ44)),NA(), CZ43)</f>
        <v>0</v>
      </c>
      <c r="DA59">
        <f>IF(ISNA(DB59),NA(),DA43)</f>
        <v>0</v>
      </c>
      <c r="DB59">
        <f>IF(OR(DB43="",AND(DB43=DB42,DB43=DB44)),NA(), DB43)</f>
        <v>0</v>
      </c>
      <c r="DC59">
        <f>IF(ISNA(DD59),NA(),DC43)</f>
        <v>0</v>
      </c>
      <c r="DD59">
        <f>IF(OR(DD43="",AND(DD43=DD42,DD43=DD44)),NA(), DD43)</f>
        <v>0</v>
      </c>
      <c r="DE59">
        <f>IF(ISNA(DF59),NA(),DE43)</f>
        <v>0</v>
      </c>
      <c r="DF59">
        <f>IF(OR(DF43="",AND(DF43=DF42,DF43=DF44)),NA(), DF43)</f>
        <v>0</v>
      </c>
      <c r="DG59">
        <f>IF(ISNA(DH59),NA(),DG43)</f>
        <v>0</v>
      </c>
      <c r="DH59">
        <f>IF(OR(DH43="",AND(DH43=DH42,DH43=DH44)),NA(), DH43)</f>
        <v>0</v>
      </c>
      <c r="DI59">
        <f>IF(ISNA(DJ59),NA(),DI43)</f>
        <v>0</v>
      </c>
      <c r="DJ59">
        <f>IF(OR(DJ43="",AND(DJ43=DJ42,DJ43=DJ44)),NA(), DJ43)</f>
        <v>0</v>
      </c>
      <c r="DK59">
        <f>IF(ISNA(DL59),NA(),DK43)</f>
        <v>0</v>
      </c>
      <c r="DL59">
        <f>IF(OR(DL43="",AND(DL43=DL42,DL43=DL44)),NA(), DL43)</f>
        <v>0</v>
      </c>
      <c r="DM59">
        <f>IF(ISNA(DN59),NA(),DM43)</f>
        <v>0</v>
      </c>
      <c r="DN59">
        <f>IF(OR(DN43="",AND(DN43=DN42,DN43=DN44)),NA(), DN43)</f>
        <v>0</v>
      </c>
      <c r="DO59">
        <f>IF(ISNA(DP59),NA(),DO43)</f>
        <v>0</v>
      </c>
      <c r="DP59">
        <f>IF(OR(DP43="",AND(DP43=DP42,DP43=DP44)),NA(), DP43)</f>
        <v>0</v>
      </c>
      <c r="DQ59">
        <f>IF(ISNA(DR59),NA(),DQ43)</f>
        <v>0</v>
      </c>
      <c r="DR59">
        <f>IF(OR(DR43="",AND(DR43=DR42,DR43=DR44)),NA(), DR43)</f>
        <v>0</v>
      </c>
      <c r="DS59">
        <f>IF(ISNA(DT59),NA(),DS43)</f>
        <v>0</v>
      </c>
      <c r="DT59">
        <f>IF(OR(DT43="",AND(DT43=DT42,DT43=DT44)),NA(), DT43)</f>
        <v>0</v>
      </c>
      <c r="DU59">
        <f>IF(ISNA(DV59),NA(),DU43)</f>
        <v>0</v>
      </c>
      <c r="DV59">
        <f>IF(OR(DV43="",AND(DV43=DV42,DV43=DV44)),NA(), DV43)</f>
        <v>0</v>
      </c>
      <c r="DW59">
        <f>IF(ISNA(DX59),NA(),DW43)</f>
        <v>0</v>
      </c>
      <c r="DX59">
        <f>IF(OR(DX43="",AND(DX43=DX42,DX43=DX44)),NA(), DX43)</f>
        <v>0</v>
      </c>
      <c r="DY59">
        <f>IF(ISNA(DZ59),NA(),DY43)</f>
        <v>0</v>
      </c>
      <c r="DZ59">
        <f>IF(OR(DZ43="",AND(DZ43=DZ42,DZ43=DZ44)),NA(), DZ43)</f>
        <v>0</v>
      </c>
      <c r="EA59">
        <f>IF(ISNA(EB59),NA(),EA43)</f>
        <v>0</v>
      </c>
      <c r="EB59">
        <f>IF(OR(EB43="",AND(EB43=EB42,EB43=EB44)),NA(), EB43)</f>
        <v>0</v>
      </c>
      <c r="EC59">
        <f>IF(ISNA(ED59),NA(),EC43)</f>
        <v>0</v>
      </c>
      <c r="ED59">
        <f>IF(OR(ED43="",AND(ED43=ED42,ED43=ED44)),NA(), ED43)</f>
        <v>0</v>
      </c>
    </row>
    <row r="60" spans="5:134">
      <c r="E60">
        <f>IF(ISNA(F60),NA(),E44)</f>
        <v>0</v>
      </c>
      <c r="F60">
        <f>IF(F44="",NA(),F44)</f>
        <v>0</v>
      </c>
      <c r="G60">
        <f>IF(ISNA(H60),NA(),G44)</f>
        <v>0</v>
      </c>
      <c r="H60">
        <f>IF(H44="",NA(),H44)</f>
        <v>0</v>
      </c>
      <c r="I60">
        <f>IF(ISNA(J60),NA(),I44)</f>
        <v>0</v>
      </c>
      <c r="J60">
        <f>IF(J44="",NA(),J44)</f>
        <v>0</v>
      </c>
      <c r="K60">
        <f>IF(ISNA(L60),NA(),K44)</f>
        <v>0</v>
      </c>
      <c r="L60">
        <f>IF(L44="",NA(),L44)</f>
        <v>0</v>
      </c>
      <c r="M60">
        <f>IF(ISNA(N60),NA(),M44)</f>
        <v>0</v>
      </c>
      <c r="N60">
        <f>IF(N44="",NA(),N44)</f>
        <v>0</v>
      </c>
      <c r="O60">
        <f>IF(ISNA(P60),NA(),O44)</f>
        <v>0</v>
      </c>
      <c r="P60">
        <f>IF(P44="",NA(),P44)</f>
        <v>0</v>
      </c>
      <c r="Q60">
        <f>IF(ISNA(R60),NA(),Q44)</f>
        <v>0</v>
      </c>
      <c r="R60">
        <f>IF(R44="",NA(),R44)</f>
        <v>0</v>
      </c>
      <c r="S60">
        <f>IF(ISNA(T60),NA(),S44)</f>
        <v>0</v>
      </c>
      <c r="T60">
        <f>IF(T44="",NA(),T44)</f>
        <v>0</v>
      </c>
      <c r="U60">
        <f>IF(ISNA(V60),NA(),U44)</f>
        <v>0</v>
      </c>
      <c r="V60">
        <f>IF(V44="",NA(),V44)</f>
        <v>0</v>
      </c>
      <c r="W60">
        <f>IF(ISNA(X60),NA(),W44)</f>
        <v>0</v>
      </c>
      <c r="X60">
        <f>IF(X44="",NA(),X44)</f>
        <v>0</v>
      </c>
      <c r="Y60">
        <f>IF(ISNA(Z60),NA(),Y44)</f>
        <v>0</v>
      </c>
      <c r="Z60">
        <f>IF(Z44="",NA(),Z44)</f>
        <v>0</v>
      </c>
      <c r="AA60">
        <f>IF(ISNA(AB60),NA(),AA44)</f>
        <v>0</v>
      </c>
      <c r="AB60">
        <f>IF(AB44="",NA(),AB44)</f>
        <v>0</v>
      </c>
      <c r="AC60">
        <f>IF(ISNA(AD60),NA(),AC44)</f>
        <v>0</v>
      </c>
      <c r="AD60">
        <f>IF(AD44="",NA(),AD44)</f>
        <v>0</v>
      </c>
      <c r="AE60">
        <f>IF(ISNA(AF60),NA(),AE44)</f>
        <v>0</v>
      </c>
      <c r="AF60">
        <f>IF(AF44="",NA(),AF44)</f>
        <v>0</v>
      </c>
      <c r="AG60">
        <f>IF(ISNA(AH60),NA(),AG44)</f>
        <v>0</v>
      </c>
      <c r="AH60">
        <f>IF(AH44="",NA(),AH44)</f>
        <v>0</v>
      </c>
      <c r="AI60">
        <f>IF(ISNA(AJ60),NA(),AI44)</f>
        <v>0</v>
      </c>
      <c r="AJ60">
        <f>IF(AJ44="",NA(),AJ44)</f>
        <v>0</v>
      </c>
      <c r="AK60">
        <f>IF(ISNA(AL60),NA(),AK44)</f>
        <v>0</v>
      </c>
      <c r="AL60">
        <f>IF(AL44="",NA(),AL44)</f>
        <v>0</v>
      </c>
      <c r="AM60">
        <f>IF(ISNA(AN60),NA(),AM44)</f>
        <v>0</v>
      </c>
      <c r="AN60">
        <f>IF(AN44="",NA(),AN44)</f>
        <v>0</v>
      </c>
      <c r="AO60">
        <f>IF(ISNA(AP60),NA(),AO44)</f>
        <v>0</v>
      </c>
      <c r="AP60">
        <f>IF(AP44="",NA(),AP44)</f>
        <v>0</v>
      </c>
      <c r="AQ60">
        <f>IF(ISNA(AR60),NA(),AQ44)</f>
        <v>0</v>
      </c>
      <c r="AR60">
        <f>IF(AR44="",NA(),AR44)</f>
        <v>0</v>
      </c>
      <c r="AS60">
        <f>IF(ISNA(AT60),NA(),AS44)</f>
        <v>0</v>
      </c>
      <c r="AT60">
        <f>IF(AT44="",NA(),AT44)</f>
        <v>0</v>
      </c>
      <c r="AU60">
        <f>IF(ISNA(AV60),NA(),AU44)</f>
        <v>0</v>
      </c>
      <c r="AV60">
        <f>IF(AV44="",NA(),AV44)</f>
        <v>0</v>
      </c>
      <c r="AW60">
        <f>IF(ISNA(AX60),NA(),AW44)</f>
        <v>0</v>
      </c>
      <c r="AX60">
        <f>IF(AX44="",NA(),AX44)</f>
        <v>0</v>
      </c>
      <c r="AY60">
        <f>IF(ISNA(AZ60),NA(),AY44)</f>
        <v>0</v>
      </c>
      <c r="AZ60">
        <f>IF(AZ44="",NA(),AZ44)</f>
        <v>0</v>
      </c>
      <c r="BA60">
        <f>IF(ISNA(BB60),NA(),BA44)</f>
        <v>0</v>
      </c>
      <c r="BB60">
        <f>IF(BB44="",NA(),BB44)</f>
        <v>0</v>
      </c>
      <c r="BC60">
        <f>IF(ISNA(BD60),NA(),BC44)</f>
        <v>0</v>
      </c>
      <c r="BD60">
        <f>IF(BD44="",NA(),BD44)</f>
        <v>0</v>
      </c>
      <c r="BE60">
        <f>IF(ISNA(BF60),NA(),BE44)</f>
        <v>0</v>
      </c>
      <c r="BF60">
        <f>IF(BF44="",NA(),BF44)</f>
        <v>0</v>
      </c>
      <c r="BG60">
        <f>IF(ISNA(BH60),NA(),BG44)</f>
        <v>0</v>
      </c>
      <c r="BH60">
        <f>IF(BH44="",NA(),BH44)</f>
        <v>0</v>
      </c>
      <c r="BI60">
        <f>IF(ISNA(BJ60),NA(),BI44)</f>
        <v>0</v>
      </c>
      <c r="BJ60">
        <f>IF(BJ44="",NA(),BJ44)</f>
        <v>0</v>
      </c>
      <c r="BK60">
        <f>IF(ISNA(BL60),NA(),BK44)</f>
        <v>0</v>
      </c>
      <c r="BL60">
        <f>IF(BL44="",NA(),BL44)</f>
        <v>0</v>
      </c>
      <c r="BM60">
        <f>IF(ISNA(BN60),NA(),BM44)</f>
        <v>0</v>
      </c>
      <c r="BN60">
        <f>IF(BN44="",NA(),BN44)</f>
        <v>0</v>
      </c>
      <c r="BO60">
        <f>IF(ISNA(BP60),NA(),BO44)</f>
        <v>0</v>
      </c>
      <c r="BP60">
        <f>IF(BP44="",NA(),BP44)</f>
        <v>0</v>
      </c>
      <c r="BS60">
        <f>IF(ISNA(BT60),NA(),BS44)</f>
        <v>0</v>
      </c>
      <c r="BT60">
        <f>IF(BT44="",NA(),BT44)</f>
        <v>0</v>
      </c>
      <c r="BU60">
        <f>IF(ISNA(BV60),NA(),BU44)</f>
        <v>0</v>
      </c>
      <c r="BV60">
        <f>IF(BV44="",NA(),BV44)</f>
        <v>0</v>
      </c>
      <c r="BW60">
        <f>IF(ISNA(BX60),NA(),BW44)</f>
        <v>0</v>
      </c>
      <c r="BX60">
        <f>IF(BX44="",NA(),BX44)</f>
        <v>0</v>
      </c>
      <c r="BY60">
        <f>IF(ISNA(BZ60),NA(),BY44)</f>
        <v>0</v>
      </c>
      <c r="BZ60">
        <f>IF(BZ44="",NA(),BZ44)</f>
        <v>0</v>
      </c>
      <c r="CA60">
        <f>IF(ISNA(CB60),NA(),CA44)</f>
        <v>0</v>
      </c>
      <c r="CB60">
        <f>IF(CB44="",NA(),CB44)</f>
        <v>0</v>
      </c>
      <c r="CC60">
        <f>IF(ISNA(CD60),NA(),CC44)</f>
        <v>0</v>
      </c>
      <c r="CD60">
        <f>IF(CD44="",NA(),CD44)</f>
        <v>0</v>
      </c>
      <c r="CE60">
        <f>IF(ISNA(CF60),NA(),CE44)</f>
        <v>0</v>
      </c>
      <c r="CF60">
        <f>IF(CF44="",NA(),CF44)</f>
        <v>0</v>
      </c>
      <c r="CG60">
        <f>IF(ISNA(CH60),NA(),CG44)</f>
        <v>0</v>
      </c>
      <c r="CH60">
        <f>IF(CH44="",NA(),CH44)</f>
        <v>0</v>
      </c>
      <c r="CI60">
        <f>IF(ISNA(CJ60),NA(),CI44)</f>
        <v>0</v>
      </c>
      <c r="CJ60">
        <f>IF(CJ44="",NA(),CJ44)</f>
        <v>0</v>
      </c>
      <c r="CK60">
        <f>IF(ISNA(CL60),NA(),CK44)</f>
        <v>0</v>
      </c>
      <c r="CL60">
        <f>IF(CL44="",NA(),CL44)</f>
        <v>0</v>
      </c>
      <c r="CM60">
        <f>IF(ISNA(CN60),NA(),CM44)</f>
        <v>0</v>
      </c>
      <c r="CN60">
        <f>IF(CN44="",NA(),CN44)</f>
        <v>0</v>
      </c>
      <c r="CO60">
        <f>IF(ISNA(CP60),NA(),CO44)</f>
        <v>0</v>
      </c>
      <c r="CP60">
        <f>IF(CP44="",NA(),CP44)</f>
        <v>0</v>
      </c>
      <c r="CQ60">
        <f>IF(ISNA(CR60),NA(),CQ44)</f>
        <v>0</v>
      </c>
      <c r="CR60">
        <f>IF(CR44="",NA(),CR44)</f>
        <v>0</v>
      </c>
      <c r="CS60">
        <f>IF(ISNA(CT60),NA(),CS44)</f>
        <v>0</v>
      </c>
      <c r="CT60">
        <f>IF(CT44="",NA(),CT44)</f>
        <v>0</v>
      </c>
      <c r="CU60">
        <f>IF(ISNA(CV60),NA(),CU44)</f>
        <v>0</v>
      </c>
      <c r="CV60">
        <f>IF(CV44="",NA(),CV44)</f>
        <v>0</v>
      </c>
      <c r="CW60">
        <f>IF(ISNA(CX60),NA(),CW44)</f>
        <v>0</v>
      </c>
      <c r="CX60">
        <f>IF(CX44="",NA(),CX44)</f>
        <v>0</v>
      </c>
      <c r="CY60">
        <f>IF(ISNA(CZ60),NA(),CY44)</f>
        <v>0</v>
      </c>
      <c r="CZ60">
        <f>IF(CZ44="",NA(),CZ44)</f>
        <v>0</v>
      </c>
      <c r="DA60">
        <f>IF(ISNA(DB60),NA(),DA44)</f>
        <v>0</v>
      </c>
      <c r="DB60">
        <f>IF(DB44="",NA(),DB44)</f>
        <v>0</v>
      </c>
      <c r="DC60">
        <f>IF(ISNA(DD60),NA(),DC44)</f>
        <v>0</v>
      </c>
      <c r="DD60">
        <f>IF(DD44="",NA(),DD44)</f>
        <v>0</v>
      </c>
      <c r="DE60">
        <f>IF(ISNA(DF60),NA(),DE44)</f>
        <v>0</v>
      </c>
      <c r="DF60">
        <f>IF(DF44="",NA(),DF44)</f>
        <v>0</v>
      </c>
      <c r="DG60">
        <f>IF(ISNA(DH60),NA(),DG44)</f>
        <v>0</v>
      </c>
      <c r="DH60">
        <f>IF(DH44="",NA(),DH44)</f>
        <v>0</v>
      </c>
      <c r="DI60">
        <f>IF(ISNA(DJ60),NA(),DI44)</f>
        <v>0</v>
      </c>
      <c r="DJ60">
        <f>IF(DJ44="",NA(),DJ44)</f>
        <v>0</v>
      </c>
      <c r="DK60">
        <f>IF(ISNA(DL60),NA(),DK44)</f>
        <v>0</v>
      </c>
      <c r="DL60">
        <f>IF(DL44="",NA(),DL44)</f>
        <v>0</v>
      </c>
      <c r="DM60">
        <f>IF(ISNA(DN60),NA(),DM44)</f>
        <v>0</v>
      </c>
      <c r="DN60">
        <f>IF(DN44="",NA(),DN44)</f>
        <v>0</v>
      </c>
      <c r="DO60">
        <f>IF(ISNA(DP60),NA(),DO44)</f>
        <v>0</v>
      </c>
      <c r="DP60">
        <f>IF(DP44="",NA(),DP44)</f>
        <v>0</v>
      </c>
      <c r="DQ60">
        <f>IF(ISNA(DR60),NA(),DQ44)</f>
        <v>0</v>
      </c>
      <c r="DR60">
        <f>IF(DR44="",NA(),DR44)</f>
        <v>0</v>
      </c>
      <c r="DS60">
        <f>IF(ISNA(DT60),NA(),DS44)</f>
        <v>0</v>
      </c>
      <c r="DT60">
        <f>IF(DT44="",NA(),DT44)</f>
        <v>0</v>
      </c>
      <c r="DU60">
        <f>IF(ISNA(DV60),NA(),DU44)</f>
        <v>0</v>
      </c>
      <c r="DV60">
        <f>IF(DV44="",NA(),DV44)</f>
        <v>0</v>
      </c>
      <c r="DW60">
        <f>IF(ISNA(DX60),NA(),DW44)</f>
        <v>0</v>
      </c>
      <c r="DX60">
        <f>IF(DX44="",NA(),DX44)</f>
        <v>0</v>
      </c>
      <c r="DY60">
        <f>IF(ISNA(DZ60),NA(),DY44)</f>
        <v>0</v>
      </c>
      <c r="DZ60">
        <f>IF(DZ44="",NA(),DZ44)</f>
        <v>0</v>
      </c>
      <c r="EA60">
        <f>IF(ISNA(EB60),NA(),EA44)</f>
        <v>0</v>
      </c>
      <c r="EB60">
        <f>IF(EB44="",NA(),EB44)</f>
        <v>0</v>
      </c>
      <c r="EC60">
        <f>IF(ISNA(ED60),NA(),EC44)</f>
        <v>0</v>
      </c>
      <c r="ED60">
        <f>IF(ED44="",NA(),ED44)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64</v>
      </c>
      <c r="F2" t="s">
        <v>66</v>
      </c>
    </row>
    <row r="3" spans="2:6">
      <c r="B3" s="2" t="s">
        <v>65</v>
      </c>
      <c r="F3" s="2" t="s">
        <v>16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"atoms,choices,clingo_total,conflicts,constraints,error,grounding,mem,memout,models,par2,restarts,rules,solving,time,timeout,variables"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2026-07-07T14:10:48Z</dcterms:created>
  <dcterms:modified xsi:type="dcterms:W3CDTF">2026-07-07T14:10:48Z</dcterms:modified>
</cp:coreProperties>
</file>