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<sst xmlns="http://schemas.openxmlformats.org/spreadsheetml/2006/main" count="2279" uniqueCount="101">
  <si>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</si>
  <si>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</si>
  <si>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</si>
  <si>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</si>
  <si>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</si>
  <si>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</si>
  <si>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</si>
  <si>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</si>
  <si>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</si>
  <si>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</si>
  <si>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</si>
  <si>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</si>
  <si>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./bsp-0130</t>
  </si>
  <si>
    <t>./bsp-0140</t>
  </si>
  <si>
    <t>./bsp-0150</t>
  </si>
  <si>
    <t>./bsp-0160</t>
  </si>
  <si>
    <t>./bsp-0170</t>
  </si>
  <si>
    <t>./bsp-0180</t>
  </si>
  <si>
    <t>./bsp-0190</t>
  </si>
  <si>
    <t>./bsp-0200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</si>
  <si>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</si>
  <si>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</si>
  <si>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</si>
  <si>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</si>
  <si>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</si>
  <si>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</si>
  <si>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</si>
  <si>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</si>
  <si>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</si>
  <si>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</si>
  <si>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</si>
  <si>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</si>
  <si>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</si>
  <si>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</si>
  <si>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</si>
  <si>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</si>
  <si>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</si>
  <si>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</si>
  <si>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</si>
  <si>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</si>
  <si>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</si>
  <si>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</si>
  <si>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</si>
  <si>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</si>
  <si>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</si>
  <si>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</si>
  <si>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</si>
  <si>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</si>
  <si>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</si>
  <si>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</si>
  <si>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</si>
  <si>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</si>
  <si>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</si>
  <si>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</si>
  <si>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</si>
  <si>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</si>
  <si>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</si>
  <si>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</si>
  <si>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</si>
  <si>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</si>
  <si>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</si>
  <si>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</si>
  <si>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</si>
  <si>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</si>
  <si>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</si>
  <si>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UNKNOWN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</si>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</sst>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(Helper!EJ5:EJ85)</c:f>
            </c:numRef>
          </c:xVal>
          <c:yVal>
            <c:numRef>
              <c:f>(Helper!EI5:EI85)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(Helper!EN5:EN85)</c:f>
            </c:numRef>
          </c:xVal>
          <c:yVal>
            <c:numRef>
              <c:f>(Helper!EM5:EM85)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(Helper!ER5:ER85)</c:f>
            </c:numRef>
          </c:xVal>
          <c:yVal>
            <c:numRef>
              <c:f>(Helper!EQ5:EQ85)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(Helper!EV5:EV85)</c:f>
            </c:numRef>
          </c:xVal>
          <c:yVal>
            <c:numRef>
              <c:f>(Helper!EU5:EU85)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(Helper!EZ5:EZ85)</c:f>
            </c:numRef>
          </c:xVal>
          <c:yVal>
            <c:numRef>
              <c:f>(Helper!EY5:EY85)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(Helper!FD5:FD85)</c:f>
            </c:numRef>
          </c:xVal>
          <c:yVal>
            <c:numRef>
              <c:f>(Helper!FC5:FC85)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(Helper!FH5:FH85)</c:f>
            </c:numRef>
          </c:xVal>
          <c:yVal>
            <c:numRef>
              <c:f>(Helper!FG5:FG85)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(Helper!FL5:FL85)</c:f>
            </c:numRef>
          </c:xVal>
          <c:yVal>
            <c:numRef>
              <c:f>(Helper!FK5:FK85)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(Helper!FP5:FP85)</c:f>
            </c:numRef>
          </c:xVal>
          <c:yVal>
            <c:numRef>
              <c:f>(Helper!FO5:FO85)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(Helper!FT5:FT85)</c:f>
            </c:numRef>
          </c:xVal>
          <c:yVal>
            <c:numRef>
              <c:f>(Helper!FS5:FS85)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(Helper!FX5:FX85)</c:f>
            </c:numRef>
          </c:xVal>
          <c:yVal>
            <c:numRef>
              <c:f>(Helper!FW5:FW85)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(Helper!GB5:GB85)</c:f>
            </c:numRef>
          </c:xVal>
          <c:yVal>
            <c:numRef>
              <c:f>(Helper!GA5:GA85)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(Helper!GF5:GF85)</c:f>
            </c:numRef>
          </c:xVal>
          <c:yVal>
            <c:numRef>
              <c:f>(Helper!GE5:GE85)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(Helper!GJ5:GJ85)</c:f>
            </c:numRef>
          </c:xVal>
          <c:yVal>
            <c:numRef>
              <c:f>(Helper!GI5:GI85)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(Helper!GN5:GN85)</c:f>
            </c:numRef>
          </c:xVal>
          <c:yVal>
            <c:numRef>
              <c:f>(Helper!GM5:GM85)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(Helper!GR5:GR85)</c:f>
            </c:numRef>
          </c:xVal>
          <c:yVal>
            <c:numRef>
              <c:f>(Helper!GQ5:GQ85)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(Helper!EG5:EG85)</c:f>
            </c:numRef>
          </c:xVal>
          <c:yVal>
            <c:numRef>
              <c:f>(Helper!EH5:EH85)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(Helper!EK5:EK85)</c:f>
            </c:numRef>
          </c:xVal>
          <c:yVal>
            <c:numRef>
              <c:f>(Helper!EL5:EL85)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(Helper!EO5:EO85)</c:f>
            </c:numRef>
          </c:xVal>
          <c:yVal>
            <c:numRef>
              <c:f>(Helper!EP5:EP85)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(Helper!ES5:ES85)</c:f>
            </c:numRef>
          </c:xVal>
          <c:yVal>
            <c:numRef>
              <c:f>(Helper!ET5:ET85)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(Helper!EW5:EW85)</c:f>
            </c:numRef>
          </c:xVal>
          <c:yVal>
            <c:numRef>
              <c:f>(Helper!EX5:EX85)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(Helper!FA5:FA85)</c:f>
            </c:numRef>
          </c:xVal>
          <c:yVal>
            <c:numRef>
              <c:f>(Helper!FB5:FB85)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(Helper!FE5:FE85)</c:f>
            </c:numRef>
          </c:xVal>
          <c:yVal>
            <c:numRef>
              <c:f>(Helper!FF5:FF85)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(Helper!FI5:FI85)</c:f>
            </c:numRef>
          </c:xVal>
          <c:yVal>
            <c:numRef>
              <c:f>(Helper!FJ5:FJ85)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(Helper!FM5:FM85)</c:f>
            </c:numRef>
          </c:xVal>
          <c:yVal>
            <c:numRef>
              <c:f>(Helper!FN5:FN85)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(Helper!FQ5:FQ85)</c:f>
            </c:numRef>
          </c:xVal>
          <c:yVal>
            <c:numRef>
              <c:f>(Helper!FR5:FR85)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(Helper!FU5:FU85)</c:f>
            </c:numRef>
          </c:xVal>
          <c:yVal>
            <c:numRef>
              <c:f>(Helper!FV5:FV85)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(Helper!FY5:FY85)</c:f>
            </c:numRef>
          </c:xVal>
          <c:yVal>
            <c:numRef>
              <c:f>(Helper!FZ5:FZ85)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(Helper!GC5:GC85)</c:f>
            </c:numRef>
          </c:xVal>
          <c:yVal>
            <c:numRef>
              <c:f>(Helper!GD5:GD85)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(Helper!GG5:GG85)</c:f>
            </c:numRef>
          </c:xVal>
          <c:yVal>
            <c:numRef>
              <c:f>(Helper!GH5:GH85)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(Helper!GK5:GK85)</c:f>
            </c:numRef>
          </c:xVal>
          <c:yVal>
            <c:numRef>
              <c:f>(Helper!GL5:GL85)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(Helper!GO5:GO85)</c:f>
            </c:numRef>
          </c:xVal>
          <c:yVal>
            <c:numRef>
              <c:f>(Helper!GP5:GP85)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(Helper!EH5:EH85)</c:f>
            </c:numRef>
          </c:xVal>
          <c:yVal>
            <c:numRef>
              <c:f>(Helper!EG5:EG85)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(Helper!EL5:EL85)</c:f>
            </c:numRef>
          </c:xVal>
          <c:yVal>
            <c:numRef>
              <c:f>(Helper!EK5:EK85)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(Helper!EP5:EP85)</c:f>
            </c:numRef>
          </c:xVal>
          <c:yVal>
            <c:numRef>
              <c:f>(Helper!EO5:EO85)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(Helper!ET5:ET85)</c:f>
            </c:numRef>
          </c:xVal>
          <c:yVal>
            <c:numRef>
              <c:f>(Helper!ES5:ES85)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(Helper!EX5:EX85)</c:f>
            </c:numRef>
          </c:xVal>
          <c:yVal>
            <c:numRef>
              <c:f>(Helper!EW5:EW85)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(Helper!FB5:FB85)</c:f>
            </c:numRef>
          </c:xVal>
          <c:yVal>
            <c:numRef>
              <c:f>(Helper!FA5:FA85)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(Helper!FF5:FF85)</c:f>
            </c:numRef>
          </c:xVal>
          <c:yVal>
            <c:numRef>
              <c:f>(Helper!FE5:FE85)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(Helper!FJ5:FJ85)</c:f>
            </c:numRef>
          </c:xVal>
          <c:yVal>
            <c:numRef>
              <c:f>(Helper!FI5:FI85)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(Helper!FN5:FN85)</c:f>
            </c:numRef>
          </c:xVal>
          <c:yVal>
            <c:numRef>
              <c:f>(Helper!FM5:FM85)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(Helper!FR5:FR85)</c:f>
            </c:numRef>
          </c:xVal>
          <c:yVal>
            <c:numRef>
              <c:f>(Helper!FQ5:FQ85)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(Helper!FV5:FV85)</c:f>
            </c:numRef>
          </c:xVal>
          <c:yVal>
            <c:numRef>
              <c:f>(Helper!FU5:FU85)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(Helper!FZ5:FZ85)</c:f>
            </c:numRef>
          </c:xVal>
          <c:yVal>
            <c:numRef>
              <c:f>(Helper!FY5:FY85)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(Helper!GD5:GD85)</c:f>
            </c:numRef>
          </c:xVal>
          <c:yVal>
            <c:numRef>
              <c:f>(Helper!GC5:GC85)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(Helper!GH5:GH85)</c:f>
            </c:numRef>
          </c:xVal>
          <c:yVal>
            <c:numRef>
              <c:f>(Helper!GG5:GG85)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(Helper!GL5:GL85)</c:f>
            </c:numRef>
          </c:xVal>
          <c:yVal>
            <c:numRef>
              <c:f>(Helper!GK5:GK85)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(Helper!GP5:GP85)</c:f>
            </c:numRef>
          </c:xVal>
          <c:yVal>
            <c:numRef>
              <c:f>(Helper!GO5:GO85)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5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0</v>
      </c>
      <c r="B3" s="1">
        <v>636</v>
      </c>
      <c r="C3" s="1">
        <v>10</v>
      </c>
      <c r="D3" s="1">
        <v>0.006</v>
      </c>
      <c r="E3" s="1">
        <v>0</v>
      </c>
      <c r="F3" s="1">
        <v>3508</v>
      </c>
      <c r="G3" s="1">
        <v>0</v>
      </c>
      <c r="H3" s="1">
        <v>0.006</v>
      </c>
      <c r="I3" s="1">
        <v>0</v>
      </c>
      <c r="J3" s="1">
        <v>0</v>
      </c>
      <c r="K3" s="1">
        <v>1</v>
      </c>
      <c r="L3" s="1">
        <v>0.02</v>
      </c>
      <c r="M3" s="1">
        <v>0</v>
      </c>
      <c r="N3" s="1">
        <v>4780</v>
      </c>
      <c r="O3" s="1">
        <v>0</v>
      </c>
      <c r="P3" s="1" t="s">
        <v>64</v>
      </c>
      <c r="Q3" s="1">
        <v>0.02</v>
      </c>
      <c r="R3" s="1">
        <v>0</v>
      </c>
      <c r="S3" s="1">
        <v>242</v>
      </c>
      <c r="T3" s="1">
        <v>798</v>
      </c>
      <c r="U3" s="1">
        <v>52</v>
      </c>
      <c r="V3" s="1">
        <v>0.007</v>
      </c>
      <c r="W3" s="1">
        <v>46</v>
      </c>
      <c r="X3" s="1">
        <v>3536</v>
      </c>
      <c r="Y3" s="1">
        <v>0</v>
      </c>
      <c r="Z3" s="1">
        <v>0.007</v>
      </c>
      <c r="AA3" s="1">
        <v>0</v>
      </c>
      <c r="AB3" s="1">
        <v>0</v>
      </c>
      <c r="AC3" s="1">
        <v>1</v>
      </c>
      <c r="AD3" s="1">
        <v>0.03</v>
      </c>
      <c r="AE3" s="1">
        <v>0</v>
      </c>
      <c r="AF3" s="1">
        <v>4960</v>
      </c>
      <c r="AG3" s="1">
        <v>0</v>
      </c>
      <c r="AH3" s="1" t="s">
        <v>64</v>
      </c>
      <c r="AI3" s="1">
        <v>0.03</v>
      </c>
      <c r="AJ3" s="1">
        <v>0</v>
      </c>
      <c r="AK3" s="1">
        <v>246</v>
      </c>
      <c r="AL3" s="1">
        <v>798</v>
      </c>
      <c r="AM3" s="1">
        <v>60</v>
      </c>
      <c r="AN3" s="1">
        <v>0.024</v>
      </c>
      <c r="AO3" s="1">
        <v>55</v>
      </c>
      <c r="AP3" s="1">
        <v>6896</v>
      </c>
      <c r="AQ3" s="1">
        <v>0</v>
      </c>
      <c r="AR3" s="1">
        <v>0.024</v>
      </c>
      <c r="AS3" s="1">
        <v>1</v>
      </c>
      <c r="AT3" s="1">
        <v>0</v>
      </c>
      <c r="AU3" s="1">
        <v>1</v>
      </c>
      <c r="AV3" s="1">
        <v>0.18</v>
      </c>
      <c r="AW3" s="1">
        <v>0</v>
      </c>
      <c r="AX3" s="1">
        <v>4960</v>
      </c>
      <c r="AY3" s="1">
        <v>0</v>
      </c>
      <c r="AZ3" s="1" t="s">
        <v>64</v>
      </c>
      <c r="BA3" s="1">
        <v>0.18</v>
      </c>
      <c r="BB3" s="1">
        <v>0</v>
      </c>
      <c r="BC3" s="1">
        <v>1366</v>
      </c>
      <c r="BD3" s="1">
        <v>470</v>
      </c>
      <c r="BE3" s="1">
        <v>21</v>
      </c>
      <c r="BF3" s="1">
        <v>0.004</v>
      </c>
      <c r="BG3" s="1">
        <v>15</v>
      </c>
      <c r="BH3" s="1">
        <v>3466</v>
      </c>
      <c r="BI3" s="1">
        <v>0</v>
      </c>
      <c r="BJ3" s="1">
        <v>0.004</v>
      </c>
      <c r="BK3" s="1">
        <v>0</v>
      </c>
      <c r="BL3" s="1">
        <v>0</v>
      </c>
      <c r="BM3" s="1">
        <v>1</v>
      </c>
      <c r="BN3" s="1">
        <v>0.02</v>
      </c>
      <c r="BO3" s="1">
        <v>0</v>
      </c>
      <c r="BP3" s="1">
        <v>3476</v>
      </c>
      <c r="BQ3" s="1">
        <v>0</v>
      </c>
      <c r="BR3" s="1" t="s">
        <v>64</v>
      </c>
      <c r="BS3" s="1">
        <v>0.02</v>
      </c>
      <c r="BT3" s="1">
        <v>0</v>
      </c>
      <c r="BU3" s="1">
        <v>230</v>
      </c>
      <c r="BV3" s="1">
        <v>472</v>
      </c>
      <c r="BW3" s="1">
        <v>10</v>
      </c>
      <c r="BX3" s="1">
        <v>0.004</v>
      </c>
      <c r="BY3" s="1">
        <v>0</v>
      </c>
      <c r="BZ3" s="1">
        <v>3466</v>
      </c>
      <c r="CA3" s="1">
        <v>0</v>
      </c>
      <c r="CB3" s="1">
        <v>0.004</v>
      </c>
      <c r="CC3" s="1">
        <v>0</v>
      </c>
      <c r="CD3" s="1">
        <v>0</v>
      </c>
      <c r="CE3" s="1">
        <v>1</v>
      </c>
      <c r="CF3" s="1">
        <v>0.02</v>
      </c>
      <c r="CG3" s="1">
        <v>0</v>
      </c>
      <c r="CH3" s="1">
        <v>3478</v>
      </c>
      <c r="CI3" s="1">
        <v>0</v>
      </c>
      <c r="CJ3" s="1" t="s">
        <v>64</v>
      </c>
      <c r="CK3" s="1">
        <v>0.02</v>
      </c>
      <c r="CL3" s="1">
        <v>0</v>
      </c>
      <c r="CM3" s="1">
        <v>230</v>
      </c>
      <c r="CN3" s="1">
        <v>1920</v>
      </c>
      <c r="CO3" s="1">
        <v>60</v>
      </c>
      <c r="CP3" s="1">
        <v>0.008999999999999999</v>
      </c>
      <c r="CQ3" s="1">
        <v>55</v>
      </c>
      <c r="CR3" s="1">
        <v>6876</v>
      </c>
      <c r="CS3" s="1">
        <v>0</v>
      </c>
      <c r="CT3" s="1">
        <v>0.008999999999999999</v>
      </c>
      <c r="CU3" s="1">
        <v>0</v>
      </c>
      <c r="CV3" s="1">
        <v>0</v>
      </c>
      <c r="CW3" s="1">
        <v>1</v>
      </c>
      <c r="CX3" s="1">
        <v>0.03</v>
      </c>
      <c r="CY3" s="1">
        <v>0</v>
      </c>
      <c r="CZ3" s="1">
        <v>4962</v>
      </c>
      <c r="DA3" s="1">
        <v>0</v>
      </c>
      <c r="DB3" s="1" t="s">
        <v>64</v>
      </c>
      <c r="DC3" s="1">
        <v>0.03</v>
      </c>
      <c r="DD3" s="1">
        <v>0</v>
      </c>
      <c r="DE3" s="1">
        <v>1356</v>
      </c>
      <c r="DF3" s="1">
        <v>35</v>
      </c>
      <c r="DG3" s="1">
        <v>8</v>
      </c>
      <c r="DH3" s="1">
        <v>0.001</v>
      </c>
      <c r="DI3" s="1">
        <v>0</v>
      </c>
      <c r="DJ3" s="1">
        <v>2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0.03</v>
      </c>
      <c r="DQ3" s="1">
        <v>0</v>
      </c>
      <c r="DR3" s="1">
        <v>36</v>
      </c>
      <c r="DS3" s="1">
        <v>0</v>
      </c>
      <c r="DT3" s="1" t="s">
        <v>64</v>
      </c>
      <c r="DU3" s="1">
        <v>0.03</v>
      </c>
      <c r="DV3" s="1">
        <v>0</v>
      </c>
      <c r="DW3" s="1">
        <v>11</v>
      </c>
      <c r="DX3" s="1">
        <v>472</v>
      </c>
      <c r="DY3" s="1">
        <v>21</v>
      </c>
      <c r="DZ3" s="1">
        <v>0.005</v>
      </c>
      <c r="EA3" s="1">
        <v>15</v>
      </c>
      <c r="EB3" s="1">
        <v>3466</v>
      </c>
      <c r="EC3" s="1">
        <v>0</v>
      </c>
      <c r="ED3" s="1">
        <v>0.005</v>
      </c>
      <c r="EE3" s="1">
        <v>0</v>
      </c>
      <c r="EF3" s="1">
        <v>0</v>
      </c>
      <c r="EG3" s="1">
        <v>1</v>
      </c>
      <c r="EH3" s="1">
        <v>0.04</v>
      </c>
      <c r="EI3" s="1">
        <v>0</v>
      </c>
      <c r="EJ3" s="1">
        <v>3478</v>
      </c>
      <c r="EK3" s="1">
        <v>0</v>
      </c>
      <c r="EL3" s="1" t="s">
        <v>64</v>
      </c>
      <c r="EM3" s="1">
        <v>0.04</v>
      </c>
      <c r="EN3" s="1">
        <v>0</v>
      </c>
      <c r="EO3" s="1">
        <v>230</v>
      </c>
      <c r="EP3" s="1">
        <v>636</v>
      </c>
      <c r="EQ3" s="1">
        <v>10</v>
      </c>
      <c r="ER3" s="1">
        <v>0.01</v>
      </c>
      <c r="ES3" s="1">
        <v>0</v>
      </c>
      <c r="ET3" s="1">
        <v>3508</v>
      </c>
      <c r="EU3" s="1">
        <v>0</v>
      </c>
      <c r="EV3" s="1">
        <v>0.01</v>
      </c>
      <c r="EW3" s="1">
        <v>0</v>
      </c>
      <c r="EX3" s="1">
        <v>0</v>
      </c>
      <c r="EY3" s="1">
        <v>1</v>
      </c>
      <c r="EZ3" s="1">
        <v>0.05</v>
      </c>
      <c r="FA3" s="1">
        <v>0</v>
      </c>
      <c r="FB3" s="1">
        <v>4780</v>
      </c>
      <c r="FC3" s="1">
        <v>0</v>
      </c>
      <c r="FD3" s="1" t="s">
        <v>64</v>
      </c>
      <c r="FE3" s="1">
        <v>0.05</v>
      </c>
      <c r="FF3" s="1">
        <v>0</v>
      </c>
      <c r="FG3" s="1">
        <v>242</v>
      </c>
      <c r="FH3" s="1">
        <v>798</v>
      </c>
      <c r="FI3" s="1">
        <v>52</v>
      </c>
      <c r="FJ3" s="1">
        <v>0.007</v>
      </c>
      <c r="FK3" s="1">
        <v>46</v>
      </c>
      <c r="FL3" s="1">
        <v>3536</v>
      </c>
      <c r="FM3" s="1">
        <v>0</v>
      </c>
      <c r="FN3" s="1">
        <v>0.007</v>
      </c>
      <c r="FO3" s="1">
        <v>0</v>
      </c>
      <c r="FP3" s="1">
        <v>0</v>
      </c>
      <c r="FQ3" s="1">
        <v>1</v>
      </c>
      <c r="FR3" s="1">
        <v>0.04</v>
      </c>
      <c r="FS3" s="1">
        <v>0</v>
      </c>
      <c r="FT3" s="1">
        <v>4960</v>
      </c>
      <c r="FU3" s="1">
        <v>0</v>
      </c>
      <c r="FV3" s="1" t="s">
        <v>64</v>
      </c>
      <c r="FW3" s="1">
        <v>0.04</v>
      </c>
      <c r="FX3" s="1">
        <v>0</v>
      </c>
      <c r="FY3" s="1">
        <v>246</v>
      </c>
      <c r="FZ3" s="1">
        <v>798</v>
      </c>
      <c r="GA3" s="1">
        <v>60</v>
      </c>
      <c r="GB3" s="1">
        <v>0.006</v>
      </c>
      <c r="GC3" s="1">
        <v>55</v>
      </c>
      <c r="GD3" s="1">
        <v>6896</v>
      </c>
      <c r="GE3" s="1">
        <v>0</v>
      </c>
      <c r="GF3" s="1">
        <v>0.006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4960</v>
      </c>
      <c r="GM3" s="1">
        <v>0</v>
      </c>
      <c r="GN3" s="1" t="s">
        <v>64</v>
      </c>
      <c r="GO3" s="1">
        <v>0.03</v>
      </c>
      <c r="GP3" s="1">
        <v>0</v>
      </c>
      <c r="GQ3" s="1">
        <v>1366</v>
      </c>
      <c r="GR3" s="1">
        <v>470</v>
      </c>
      <c r="GS3" s="1">
        <v>21</v>
      </c>
      <c r="GT3" s="1">
        <v>0.019</v>
      </c>
      <c r="GU3" s="1">
        <v>15</v>
      </c>
      <c r="GV3" s="1">
        <v>3466</v>
      </c>
      <c r="GW3" s="1">
        <v>0</v>
      </c>
      <c r="GX3" s="1">
        <v>0.019</v>
      </c>
      <c r="GY3" s="1">
        <v>1</v>
      </c>
      <c r="GZ3" s="1">
        <v>0</v>
      </c>
      <c r="HA3" s="1">
        <v>1</v>
      </c>
      <c r="HB3" s="1">
        <v>0.19</v>
      </c>
      <c r="HC3" s="1">
        <v>0</v>
      </c>
      <c r="HD3" s="1">
        <v>3476</v>
      </c>
      <c r="HE3" s="1">
        <v>0</v>
      </c>
      <c r="HF3" s="1" t="s">
        <v>64</v>
      </c>
      <c r="HG3" s="1">
        <v>0.19</v>
      </c>
      <c r="HH3" s="1">
        <v>0</v>
      </c>
      <c r="HI3" s="1">
        <v>230</v>
      </c>
      <c r="HJ3" s="1">
        <v>473</v>
      </c>
      <c r="HK3" s="1">
        <v>10</v>
      </c>
      <c r="HL3" s="1">
        <v>0.026</v>
      </c>
      <c r="HM3" s="1">
        <v>0</v>
      </c>
      <c r="HN3" s="1">
        <v>3466</v>
      </c>
      <c r="HO3" s="1">
        <v>0</v>
      </c>
      <c r="HP3" s="1">
        <v>0.026</v>
      </c>
      <c r="HQ3" s="1">
        <v>0</v>
      </c>
      <c r="HR3" s="1">
        <v>0</v>
      </c>
      <c r="HS3" s="1">
        <v>1</v>
      </c>
      <c r="HT3" s="1">
        <v>0.05</v>
      </c>
      <c r="HU3" s="1">
        <v>0</v>
      </c>
      <c r="HV3" s="1">
        <v>3479</v>
      </c>
      <c r="HW3" s="1">
        <v>0</v>
      </c>
      <c r="HX3" s="1" t="s">
        <v>64</v>
      </c>
      <c r="HY3" s="1">
        <v>0.05</v>
      </c>
      <c r="HZ3" s="1">
        <v>0</v>
      </c>
      <c r="IA3" s="1">
        <v>230</v>
      </c>
      <c r="IB3" s="1">
        <v>1921</v>
      </c>
      <c r="IC3" s="1">
        <v>60</v>
      </c>
      <c r="ID3" s="1">
        <v>0.119</v>
      </c>
      <c r="IE3" s="1">
        <v>55</v>
      </c>
      <c r="IF3" s="1">
        <v>6876</v>
      </c>
      <c r="IG3" s="1">
        <v>0</v>
      </c>
      <c r="IH3" s="1">
        <v>0.059</v>
      </c>
      <c r="II3" s="1">
        <v>15</v>
      </c>
      <c r="IJ3" s="1">
        <v>0</v>
      </c>
      <c r="IK3" s="1">
        <v>1</v>
      </c>
      <c r="IL3" s="1">
        <v>0.15</v>
      </c>
      <c r="IM3" s="1">
        <v>0</v>
      </c>
      <c r="IN3" s="1">
        <v>4963</v>
      </c>
      <c r="IO3" s="1">
        <v>0.06</v>
      </c>
      <c r="IP3" s="1" t="s">
        <v>64</v>
      </c>
      <c r="IQ3" s="1">
        <v>0.15</v>
      </c>
      <c r="IR3" s="1">
        <v>0</v>
      </c>
      <c r="IS3" s="1">
        <v>1356</v>
      </c>
      <c r="IT3" s="1">
        <v>36</v>
      </c>
      <c r="IU3" s="1">
        <v>8</v>
      </c>
      <c r="IV3" s="1">
        <v>0.042</v>
      </c>
      <c r="IW3" s="1">
        <v>0</v>
      </c>
      <c r="IX3" s="1">
        <v>2</v>
      </c>
      <c r="IY3" s="1">
        <v>0</v>
      </c>
      <c r="IZ3" s="1">
        <v>0.042</v>
      </c>
      <c r="JA3" s="1">
        <v>13</v>
      </c>
      <c r="JB3" s="1">
        <v>0</v>
      </c>
      <c r="JC3" s="1">
        <v>1</v>
      </c>
      <c r="JD3" s="1">
        <v>0.12</v>
      </c>
      <c r="JE3" s="1">
        <v>0</v>
      </c>
      <c r="JF3" s="1">
        <v>37</v>
      </c>
      <c r="JG3" s="1">
        <v>0</v>
      </c>
      <c r="JH3" s="1" t="s">
        <v>64</v>
      </c>
      <c r="JI3" s="1">
        <v>0.12</v>
      </c>
      <c r="JJ3" s="1">
        <v>0</v>
      </c>
      <c r="JK3" s="1">
        <v>11</v>
      </c>
      <c r="JL3" s="1">
        <v>473</v>
      </c>
      <c r="JM3" s="1">
        <v>21</v>
      </c>
      <c r="JN3" s="1">
        <v>0.033</v>
      </c>
      <c r="JO3" s="1">
        <v>15</v>
      </c>
      <c r="JP3" s="1">
        <v>3466</v>
      </c>
      <c r="JQ3" s="1">
        <v>0</v>
      </c>
      <c r="JR3" s="1">
        <v>0.033</v>
      </c>
      <c r="JS3" s="1">
        <v>0</v>
      </c>
      <c r="JT3" s="1">
        <v>0</v>
      </c>
      <c r="JU3" s="1">
        <v>1</v>
      </c>
      <c r="JV3" s="1">
        <v>0.07000000000000001</v>
      </c>
      <c r="JW3" s="1">
        <v>0</v>
      </c>
      <c r="JX3" s="1">
        <v>3479</v>
      </c>
      <c r="JY3" s="1">
        <v>0</v>
      </c>
      <c r="JZ3" s="1" t="s">
        <v>64</v>
      </c>
      <c r="KA3" s="1">
        <v>0.07000000000000001</v>
      </c>
      <c r="KB3" s="1">
        <v>0</v>
      </c>
      <c r="KC3" s="1">
        <v>230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2371</v>
      </c>
      <c r="C4" s="1">
        <v>20</v>
      </c>
      <c r="D4" s="1">
        <v>0.066</v>
      </c>
      <c r="E4" s="1">
        <v>0</v>
      </c>
      <c r="F4" s="1">
        <v>45768</v>
      </c>
      <c r="G4" s="1">
        <v>0</v>
      </c>
      <c r="H4" s="1">
        <v>0.066</v>
      </c>
      <c r="I4" s="1">
        <v>0</v>
      </c>
      <c r="J4" s="1">
        <v>0</v>
      </c>
      <c r="K4" s="1">
        <v>1</v>
      </c>
      <c r="L4" s="1">
        <v>0.1</v>
      </c>
      <c r="M4" s="1">
        <v>0</v>
      </c>
      <c r="N4" s="1">
        <v>54815</v>
      </c>
      <c r="O4" s="1">
        <v>0</v>
      </c>
      <c r="P4" s="1" t="s">
        <v>64</v>
      </c>
      <c r="Q4" s="1">
        <v>0.1</v>
      </c>
      <c r="R4" s="1">
        <v>0</v>
      </c>
      <c r="S4" s="1">
        <v>882</v>
      </c>
      <c r="T4" s="1">
        <v>2998</v>
      </c>
      <c r="U4" s="1">
        <v>606</v>
      </c>
      <c r="V4" s="1">
        <v>0.068</v>
      </c>
      <c r="W4" s="1">
        <v>524</v>
      </c>
      <c r="X4" s="1">
        <v>45816</v>
      </c>
      <c r="Y4" s="1">
        <v>0</v>
      </c>
      <c r="Z4" s="1">
        <v>0.058</v>
      </c>
      <c r="AA4" s="1">
        <v>0</v>
      </c>
      <c r="AB4" s="1">
        <v>0</v>
      </c>
      <c r="AC4" s="1">
        <v>1</v>
      </c>
      <c r="AD4" s="1">
        <v>0.1</v>
      </c>
      <c r="AE4" s="1">
        <v>5</v>
      </c>
      <c r="AF4" s="1">
        <v>55480</v>
      </c>
      <c r="AG4" s="1">
        <v>0.01</v>
      </c>
      <c r="AH4" s="1" t="s">
        <v>64</v>
      </c>
      <c r="AI4" s="1">
        <v>0.1</v>
      </c>
      <c r="AJ4" s="1">
        <v>0</v>
      </c>
      <c r="AK4" s="1">
        <v>886</v>
      </c>
      <c r="AL4" s="1">
        <v>2998</v>
      </c>
      <c r="AM4" s="1">
        <v>578</v>
      </c>
      <c r="AN4" s="1">
        <v>0.068</v>
      </c>
      <c r="AO4" s="1">
        <v>498</v>
      </c>
      <c r="AP4" s="1">
        <v>71136</v>
      </c>
      <c r="AQ4" s="1">
        <v>0</v>
      </c>
      <c r="AR4" s="1">
        <v>0.058</v>
      </c>
      <c r="AS4" s="1">
        <v>0</v>
      </c>
      <c r="AT4" s="1">
        <v>0</v>
      </c>
      <c r="AU4" s="1">
        <v>1</v>
      </c>
      <c r="AV4" s="1">
        <v>0.09</v>
      </c>
      <c r="AW4" s="1">
        <v>5</v>
      </c>
      <c r="AX4" s="1">
        <v>55480</v>
      </c>
      <c r="AY4" s="1">
        <v>0.01</v>
      </c>
      <c r="AZ4" s="1" t="s">
        <v>64</v>
      </c>
      <c r="BA4" s="1">
        <v>0.09</v>
      </c>
      <c r="BB4" s="1">
        <v>0</v>
      </c>
      <c r="BC4" s="1">
        <v>9326</v>
      </c>
      <c r="BD4" s="1">
        <v>1740</v>
      </c>
      <c r="BE4" s="1">
        <v>1510</v>
      </c>
      <c r="BF4" s="1">
        <v>0.067</v>
      </c>
      <c r="BG4" s="1">
        <v>1338</v>
      </c>
      <c r="BH4" s="1">
        <v>45686</v>
      </c>
      <c r="BI4" s="1">
        <v>0</v>
      </c>
      <c r="BJ4" s="1">
        <v>0.047</v>
      </c>
      <c r="BK4" s="1">
        <v>0</v>
      </c>
      <c r="BL4" s="1">
        <v>0</v>
      </c>
      <c r="BM4" s="1">
        <v>1</v>
      </c>
      <c r="BN4" s="1">
        <v>0.09</v>
      </c>
      <c r="BO4" s="1">
        <v>12</v>
      </c>
      <c r="BP4" s="1">
        <v>45706</v>
      </c>
      <c r="BQ4" s="1">
        <v>0.02</v>
      </c>
      <c r="BR4" s="1" t="s">
        <v>64</v>
      </c>
      <c r="BS4" s="1">
        <v>0.09</v>
      </c>
      <c r="BT4" s="1">
        <v>0</v>
      </c>
      <c r="BU4" s="1">
        <v>860</v>
      </c>
      <c r="BV4" s="1">
        <v>1742</v>
      </c>
      <c r="BW4" s="1">
        <v>20</v>
      </c>
      <c r="BX4" s="1">
        <v>0.052</v>
      </c>
      <c r="BY4" s="1">
        <v>0</v>
      </c>
      <c r="BZ4" s="1">
        <v>45686</v>
      </c>
      <c r="CA4" s="1">
        <v>0</v>
      </c>
      <c r="CB4" s="1">
        <v>0.052</v>
      </c>
      <c r="CC4" s="1">
        <v>0</v>
      </c>
      <c r="CD4" s="1">
        <v>0</v>
      </c>
      <c r="CE4" s="1">
        <v>1</v>
      </c>
      <c r="CF4" s="1">
        <v>0.08</v>
      </c>
      <c r="CG4" s="1">
        <v>0</v>
      </c>
      <c r="CH4" s="1">
        <v>45708</v>
      </c>
      <c r="CI4" s="1">
        <v>0</v>
      </c>
      <c r="CJ4" s="1" t="s">
        <v>64</v>
      </c>
      <c r="CK4" s="1">
        <v>0.08</v>
      </c>
      <c r="CL4" s="1">
        <v>0</v>
      </c>
      <c r="CM4" s="1">
        <v>860</v>
      </c>
      <c r="CN4" s="1">
        <v>11440</v>
      </c>
      <c r="CO4" s="1">
        <v>573</v>
      </c>
      <c r="CP4" s="1">
        <v>0.188</v>
      </c>
      <c r="CQ4" s="1">
        <v>492</v>
      </c>
      <c r="CR4" s="1">
        <v>71096</v>
      </c>
      <c r="CS4" s="1">
        <v>0</v>
      </c>
      <c r="CT4" s="1">
        <v>0.078</v>
      </c>
      <c r="CU4" s="1">
        <v>26</v>
      </c>
      <c r="CV4" s="1">
        <v>0</v>
      </c>
      <c r="CW4" s="1">
        <v>1</v>
      </c>
      <c r="CX4" s="1">
        <v>0.21</v>
      </c>
      <c r="CY4" s="1">
        <v>5</v>
      </c>
      <c r="CZ4" s="1">
        <v>55482</v>
      </c>
      <c r="DA4" s="1">
        <v>0.11</v>
      </c>
      <c r="DB4" s="1" t="s">
        <v>64</v>
      </c>
      <c r="DC4" s="1">
        <v>0.21</v>
      </c>
      <c r="DD4" s="1">
        <v>0</v>
      </c>
      <c r="DE4" s="1">
        <v>9306</v>
      </c>
      <c r="DF4" s="1">
        <v>65</v>
      </c>
      <c r="DG4" s="1">
        <v>17</v>
      </c>
      <c r="DH4" s="1">
        <v>0.002</v>
      </c>
      <c r="DI4" s="1">
        <v>0</v>
      </c>
      <c r="DJ4" s="1">
        <v>2</v>
      </c>
      <c r="DK4" s="1">
        <v>0</v>
      </c>
      <c r="DL4" s="1">
        <v>0.002</v>
      </c>
      <c r="DM4" s="1">
        <v>0</v>
      </c>
      <c r="DN4" s="1">
        <v>0</v>
      </c>
      <c r="DO4" s="1">
        <v>1</v>
      </c>
      <c r="DP4" s="1">
        <v>0.03</v>
      </c>
      <c r="DQ4" s="1">
        <v>0</v>
      </c>
      <c r="DR4" s="1">
        <v>66</v>
      </c>
      <c r="DS4" s="1">
        <v>0</v>
      </c>
      <c r="DT4" s="1" t="s">
        <v>64</v>
      </c>
      <c r="DU4" s="1">
        <v>0.03</v>
      </c>
      <c r="DV4" s="1">
        <v>0</v>
      </c>
      <c r="DW4" s="1">
        <v>21</v>
      </c>
      <c r="DX4" s="1">
        <v>1742</v>
      </c>
      <c r="DY4" s="1">
        <v>1510</v>
      </c>
      <c r="DZ4" s="1">
        <v>0.109</v>
      </c>
      <c r="EA4" s="1">
        <v>1338</v>
      </c>
      <c r="EB4" s="1">
        <v>45686</v>
      </c>
      <c r="EC4" s="1">
        <v>0</v>
      </c>
      <c r="ED4" s="1">
        <v>0.089</v>
      </c>
      <c r="EE4" s="1">
        <v>14</v>
      </c>
      <c r="EF4" s="1">
        <v>0</v>
      </c>
      <c r="EG4" s="1">
        <v>1</v>
      </c>
      <c r="EH4" s="1">
        <v>0.26</v>
      </c>
      <c r="EI4" s="1">
        <v>12</v>
      </c>
      <c r="EJ4" s="1">
        <v>45708</v>
      </c>
      <c r="EK4" s="1">
        <v>0.02</v>
      </c>
      <c r="EL4" s="1" t="s">
        <v>64</v>
      </c>
      <c r="EM4" s="1">
        <v>0.26</v>
      </c>
      <c r="EN4" s="1">
        <v>0</v>
      </c>
      <c r="EO4" s="1">
        <v>860</v>
      </c>
      <c r="EP4" s="1">
        <v>2371</v>
      </c>
      <c r="EQ4" s="1">
        <v>20</v>
      </c>
      <c r="ER4" s="1">
        <v>0.055</v>
      </c>
      <c r="ES4" s="1">
        <v>0</v>
      </c>
      <c r="ET4" s="1">
        <v>45768</v>
      </c>
      <c r="EU4" s="1">
        <v>0</v>
      </c>
      <c r="EV4" s="1">
        <v>0.055</v>
      </c>
      <c r="EW4" s="1">
        <v>0</v>
      </c>
      <c r="EX4" s="1">
        <v>0</v>
      </c>
      <c r="EY4" s="1">
        <v>1</v>
      </c>
      <c r="EZ4" s="1">
        <v>0.08</v>
      </c>
      <c r="FA4" s="1">
        <v>0</v>
      </c>
      <c r="FB4" s="1">
        <v>54815</v>
      </c>
      <c r="FC4" s="1">
        <v>0</v>
      </c>
      <c r="FD4" s="1" t="s">
        <v>64</v>
      </c>
      <c r="FE4" s="1">
        <v>0.08</v>
      </c>
      <c r="FF4" s="1">
        <v>0</v>
      </c>
      <c r="FG4" s="1">
        <v>882</v>
      </c>
      <c r="FH4" s="1">
        <v>2998</v>
      </c>
      <c r="FI4" s="1">
        <v>606</v>
      </c>
      <c r="FJ4" s="1">
        <v>0.056</v>
      </c>
      <c r="FK4" s="1">
        <v>524</v>
      </c>
      <c r="FL4" s="1">
        <v>45816</v>
      </c>
      <c r="FM4" s="1">
        <v>0</v>
      </c>
      <c r="FN4" s="1">
        <v>0.046</v>
      </c>
      <c r="FO4" s="1">
        <v>0</v>
      </c>
      <c r="FP4" s="1">
        <v>0</v>
      </c>
      <c r="FQ4" s="1">
        <v>1</v>
      </c>
      <c r="FR4" s="1">
        <v>0.08</v>
      </c>
      <c r="FS4" s="1">
        <v>5</v>
      </c>
      <c r="FT4" s="1">
        <v>55480</v>
      </c>
      <c r="FU4" s="1">
        <v>0.01</v>
      </c>
      <c r="FV4" s="1" t="s">
        <v>64</v>
      </c>
      <c r="FW4" s="1">
        <v>0.08</v>
      </c>
      <c r="FX4" s="1">
        <v>0</v>
      </c>
      <c r="FY4" s="1">
        <v>886</v>
      </c>
      <c r="FZ4" s="1">
        <v>2998</v>
      </c>
      <c r="GA4" s="1">
        <v>578</v>
      </c>
      <c r="GB4" s="1">
        <v>0.093</v>
      </c>
      <c r="GC4" s="1">
        <v>498</v>
      </c>
      <c r="GD4" s="1">
        <v>71136</v>
      </c>
      <c r="GE4" s="1">
        <v>0</v>
      </c>
      <c r="GF4" s="1">
        <v>0.083</v>
      </c>
      <c r="GG4" s="1">
        <v>17</v>
      </c>
      <c r="GH4" s="1">
        <v>0</v>
      </c>
      <c r="GI4" s="1">
        <v>1</v>
      </c>
      <c r="GJ4" s="1">
        <v>0.18</v>
      </c>
      <c r="GK4" s="1">
        <v>5</v>
      </c>
      <c r="GL4" s="1">
        <v>55480</v>
      </c>
      <c r="GM4" s="1">
        <v>0.01</v>
      </c>
      <c r="GN4" s="1" t="s">
        <v>64</v>
      </c>
      <c r="GO4" s="1">
        <v>0.18</v>
      </c>
      <c r="GP4" s="1">
        <v>0</v>
      </c>
      <c r="GQ4" s="1">
        <v>9326</v>
      </c>
      <c r="GR4" s="1">
        <v>1740</v>
      </c>
      <c r="GS4" s="1">
        <v>1510</v>
      </c>
      <c r="GT4" s="1">
        <v>0.078</v>
      </c>
      <c r="GU4" s="1">
        <v>1338</v>
      </c>
      <c r="GV4" s="1">
        <v>45686</v>
      </c>
      <c r="GW4" s="1">
        <v>0</v>
      </c>
      <c r="GX4" s="1">
        <v>0.058</v>
      </c>
      <c r="GY4" s="1">
        <v>0</v>
      </c>
      <c r="GZ4" s="1">
        <v>0</v>
      </c>
      <c r="HA4" s="1">
        <v>1</v>
      </c>
      <c r="HB4" s="1">
        <v>0.11</v>
      </c>
      <c r="HC4" s="1">
        <v>12</v>
      </c>
      <c r="HD4" s="1">
        <v>45706</v>
      </c>
      <c r="HE4" s="1">
        <v>0.02</v>
      </c>
      <c r="HF4" s="1" t="s">
        <v>64</v>
      </c>
      <c r="HG4" s="1">
        <v>0.11</v>
      </c>
      <c r="HH4" s="1">
        <v>0</v>
      </c>
      <c r="HI4" s="1">
        <v>860</v>
      </c>
      <c r="HJ4" s="1">
        <v>1743</v>
      </c>
      <c r="HK4" s="1">
        <v>20</v>
      </c>
      <c r="HL4" s="1">
        <v>0.18</v>
      </c>
      <c r="HM4" s="1">
        <v>0</v>
      </c>
      <c r="HN4" s="1">
        <v>45686</v>
      </c>
      <c r="HO4" s="1">
        <v>0</v>
      </c>
      <c r="HP4" s="1">
        <v>0.18</v>
      </c>
      <c r="HQ4" s="1">
        <v>19</v>
      </c>
      <c r="HR4" s="1">
        <v>0</v>
      </c>
      <c r="HS4" s="1">
        <v>1</v>
      </c>
      <c r="HT4" s="1">
        <v>0.37</v>
      </c>
      <c r="HU4" s="1">
        <v>0</v>
      </c>
      <c r="HV4" s="1">
        <v>45709</v>
      </c>
      <c r="HW4" s="1">
        <v>0</v>
      </c>
      <c r="HX4" s="1" t="s">
        <v>64</v>
      </c>
      <c r="HY4" s="1">
        <v>0.37</v>
      </c>
      <c r="HZ4" s="1">
        <v>0</v>
      </c>
      <c r="IA4" s="1">
        <v>860</v>
      </c>
      <c r="IB4" s="1">
        <v>11441</v>
      </c>
      <c r="IC4" s="1">
        <v>573</v>
      </c>
      <c r="ID4" s="1">
        <v>3.271</v>
      </c>
      <c r="IE4" s="1">
        <v>492</v>
      </c>
      <c r="IF4" s="1">
        <v>71096</v>
      </c>
      <c r="IG4" s="1">
        <v>0</v>
      </c>
      <c r="IH4" s="1">
        <v>0.3409999999999997</v>
      </c>
      <c r="II4" s="1">
        <v>29</v>
      </c>
      <c r="IJ4" s="1">
        <v>0</v>
      </c>
      <c r="IK4" s="1">
        <v>1</v>
      </c>
      <c r="IL4" s="1">
        <v>3.33</v>
      </c>
      <c r="IM4" s="1">
        <v>5</v>
      </c>
      <c r="IN4" s="1">
        <v>55483</v>
      </c>
      <c r="IO4" s="1">
        <v>2.93</v>
      </c>
      <c r="IP4" s="1" t="s">
        <v>64</v>
      </c>
      <c r="IQ4" s="1">
        <v>3.33</v>
      </c>
      <c r="IR4" s="1">
        <v>0</v>
      </c>
      <c r="IS4" s="1">
        <v>9306</v>
      </c>
      <c r="IT4" s="1">
        <v>66</v>
      </c>
      <c r="IU4" s="1">
        <v>17</v>
      </c>
      <c r="IV4" s="1">
        <v>0.024</v>
      </c>
      <c r="IW4" s="1">
        <v>0</v>
      </c>
      <c r="IX4" s="1">
        <v>2</v>
      </c>
      <c r="IY4" s="1">
        <v>0</v>
      </c>
      <c r="IZ4" s="1">
        <v>0.024</v>
      </c>
      <c r="JA4" s="1">
        <v>0</v>
      </c>
      <c r="JB4" s="1">
        <v>0</v>
      </c>
      <c r="JC4" s="1">
        <v>1</v>
      </c>
      <c r="JD4" s="1">
        <v>0.04</v>
      </c>
      <c r="JE4" s="1">
        <v>0</v>
      </c>
      <c r="JF4" s="1">
        <v>67</v>
      </c>
      <c r="JG4" s="1">
        <v>0</v>
      </c>
      <c r="JH4" s="1" t="s">
        <v>64</v>
      </c>
      <c r="JI4" s="1">
        <v>0.04</v>
      </c>
      <c r="JJ4" s="1">
        <v>0</v>
      </c>
      <c r="JK4" s="1">
        <v>21</v>
      </c>
      <c r="JL4" s="1">
        <v>1743</v>
      </c>
      <c r="JM4" s="1">
        <v>1510</v>
      </c>
      <c r="JN4" s="1">
        <v>0.217</v>
      </c>
      <c r="JO4" s="1">
        <v>1338</v>
      </c>
      <c r="JP4" s="1">
        <v>45686</v>
      </c>
      <c r="JQ4" s="1">
        <v>0</v>
      </c>
      <c r="JR4" s="1">
        <v>0.08699999999999999</v>
      </c>
      <c r="JS4" s="1">
        <v>19</v>
      </c>
      <c r="JT4" s="1">
        <v>0</v>
      </c>
      <c r="JU4" s="1">
        <v>1</v>
      </c>
      <c r="JV4" s="1">
        <v>0.25</v>
      </c>
      <c r="JW4" s="1">
        <v>12</v>
      </c>
      <c r="JX4" s="1">
        <v>45709</v>
      </c>
      <c r="JY4" s="1">
        <v>0.13</v>
      </c>
      <c r="JZ4" s="1" t="s">
        <v>64</v>
      </c>
      <c r="KA4" s="1">
        <v>0.25</v>
      </c>
      <c r="KB4" s="1">
        <v>0</v>
      </c>
      <c r="KC4" s="1">
        <v>860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5206</v>
      </c>
      <c r="C5" s="1">
        <v>30</v>
      </c>
      <c r="D5" s="1">
        <v>0.453</v>
      </c>
      <c r="E5" s="1">
        <v>0</v>
      </c>
      <c r="F5" s="1">
        <v>219778</v>
      </c>
      <c r="G5" s="1">
        <v>0</v>
      </c>
      <c r="H5" s="1">
        <v>0.453</v>
      </c>
      <c r="I5" s="1">
        <v>39</v>
      </c>
      <c r="J5" s="1">
        <v>0</v>
      </c>
      <c r="K5" s="1">
        <v>1</v>
      </c>
      <c r="L5" s="1">
        <v>0.48</v>
      </c>
      <c r="M5" s="1">
        <v>0</v>
      </c>
      <c r="N5" s="1">
        <v>249100</v>
      </c>
      <c r="O5" s="1">
        <v>0</v>
      </c>
      <c r="P5" s="1" t="s">
        <v>64</v>
      </c>
      <c r="Q5" s="1">
        <v>0.48</v>
      </c>
      <c r="R5" s="1">
        <v>0</v>
      </c>
      <c r="S5" s="1">
        <v>1922</v>
      </c>
      <c r="T5" s="1">
        <v>6598</v>
      </c>
      <c r="U5" s="1">
        <v>7181</v>
      </c>
      <c r="V5" s="1">
        <v>0.575</v>
      </c>
      <c r="W5" s="1">
        <v>6262</v>
      </c>
      <c r="X5" s="1">
        <v>219846</v>
      </c>
      <c r="Y5" s="1">
        <v>0</v>
      </c>
      <c r="Z5" s="1">
        <v>0.4249999999999999</v>
      </c>
      <c r="AA5" s="1">
        <v>38</v>
      </c>
      <c r="AB5" s="1">
        <v>0</v>
      </c>
      <c r="AC5" s="1">
        <v>1</v>
      </c>
      <c r="AD5" s="1">
        <v>0.6</v>
      </c>
      <c r="AE5" s="1">
        <v>39</v>
      </c>
      <c r="AF5" s="1">
        <v>250550</v>
      </c>
      <c r="AG5" s="1">
        <v>0.15</v>
      </c>
      <c r="AH5" s="1" t="s">
        <v>64</v>
      </c>
      <c r="AI5" s="1">
        <v>0.6</v>
      </c>
      <c r="AJ5" s="1">
        <v>0</v>
      </c>
      <c r="AK5" s="1">
        <v>1926</v>
      </c>
      <c r="AL5" s="1">
        <v>6598</v>
      </c>
      <c r="AM5" s="1">
        <v>3024</v>
      </c>
      <c r="AN5" s="1">
        <v>0.593</v>
      </c>
      <c r="AO5" s="1">
        <v>2539</v>
      </c>
      <c r="AP5" s="1">
        <v>303726</v>
      </c>
      <c r="AQ5" s="1">
        <v>0</v>
      </c>
      <c r="AR5" s="1">
        <v>0.463</v>
      </c>
      <c r="AS5" s="1">
        <v>47</v>
      </c>
      <c r="AT5" s="1">
        <v>0</v>
      </c>
      <c r="AU5" s="1">
        <v>1</v>
      </c>
      <c r="AV5" s="1">
        <v>0.63</v>
      </c>
      <c r="AW5" s="1">
        <v>20</v>
      </c>
      <c r="AX5" s="1">
        <v>250550</v>
      </c>
      <c r="AY5" s="1">
        <v>0.13</v>
      </c>
      <c r="AZ5" s="1" t="s">
        <v>64</v>
      </c>
      <c r="BA5" s="1">
        <v>0.63</v>
      </c>
      <c r="BB5" s="1">
        <v>0</v>
      </c>
      <c r="BC5" s="1">
        <v>29886</v>
      </c>
      <c r="BD5" s="1">
        <v>3810</v>
      </c>
      <c r="BE5" s="1">
        <v>4708</v>
      </c>
      <c r="BF5" s="1">
        <v>0.291</v>
      </c>
      <c r="BG5" s="1">
        <v>4020</v>
      </c>
      <c r="BH5" s="1">
        <v>219656</v>
      </c>
      <c r="BI5" s="1">
        <v>0</v>
      </c>
      <c r="BJ5" s="1">
        <v>0.221</v>
      </c>
      <c r="BK5" s="1">
        <v>37</v>
      </c>
      <c r="BL5" s="1">
        <v>0</v>
      </c>
      <c r="BM5" s="1">
        <v>1</v>
      </c>
      <c r="BN5" s="1">
        <v>0.31</v>
      </c>
      <c r="BO5" s="1">
        <v>29</v>
      </c>
      <c r="BP5" s="1">
        <v>219686</v>
      </c>
      <c r="BQ5" s="1">
        <v>0.07000000000000001</v>
      </c>
      <c r="BR5" s="1" t="s">
        <v>64</v>
      </c>
      <c r="BS5" s="1">
        <v>0.31</v>
      </c>
      <c r="BT5" s="1">
        <v>0</v>
      </c>
      <c r="BU5" s="1">
        <v>1890</v>
      </c>
      <c r="BV5" s="1">
        <v>3812</v>
      </c>
      <c r="BW5" s="1">
        <v>30</v>
      </c>
      <c r="BX5" s="1">
        <v>0.388</v>
      </c>
      <c r="BY5" s="1">
        <v>0</v>
      </c>
      <c r="BZ5" s="1">
        <v>219656</v>
      </c>
      <c r="CA5" s="1">
        <v>0</v>
      </c>
      <c r="CB5" s="1">
        <v>0.388</v>
      </c>
      <c r="CC5" s="1">
        <v>36</v>
      </c>
      <c r="CD5" s="1">
        <v>0</v>
      </c>
      <c r="CE5" s="1">
        <v>1</v>
      </c>
      <c r="CF5" s="1">
        <v>0.42</v>
      </c>
      <c r="CG5" s="1">
        <v>0</v>
      </c>
      <c r="CH5" s="1">
        <v>219688</v>
      </c>
      <c r="CI5" s="1">
        <v>0</v>
      </c>
      <c r="CJ5" s="1" t="s">
        <v>64</v>
      </c>
      <c r="CK5" s="1">
        <v>0.42</v>
      </c>
      <c r="CL5" s="1">
        <v>0</v>
      </c>
      <c r="CM5" s="1">
        <v>1890</v>
      </c>
      <c r="CN5" s="1">
        <v>34560</v>
      </c>
      <c r="CO5" s="1">
        <v>8452</v>
      </c>
      <c r="CP5" s="1">
        <v>7.53</v>
      </c>
      <c r="CQ5" s="1">
        <v>7405</v>
      </c>
      <c r="CR5" s="1">
        <v>303666</v>
      </c>
      <c r="CS5" s="1">
        <v>0</v>
      </c>
      <c r="CT5" s="1">
        <v>0.3399999999999999</v>
      </c>
      <c r="CU5" s="1">
        <v>68</v>
      </c>
      <c r="CV5" s="1">
        <v>0</v>
      </c>
      <c r="CW5" s="1">
        <v>1</v>
      </c>
      <c r="CX5" s="1">
        <v>7.56</v>
      </c>
      <c r="CY5" s="1">
        <v>45</v>
      </c>
      <c r="CZ5" s="1">
        <v>250552</v>
      </c>
      <c r="DA5" s="1">
        <v>7.19</v>
      </c>
      <c r="DB5" s="1" t="s">
        <v>64</v>
      </c>
      <c r="DC5" s="1">
        <v>7.56</v>
      </c>
      <c r="DD5" s="1">
        <v>0</v>
      </c>
      <c r="DE5" s="1">
        <v>29856</v>
      </c>
      <c r="DF5" s="1">
        <v>95</v>
      </c>
      <c r="DG5" s="1">
        <v>28</v>
      </c>
      <c r="DH5" s="1">
        <v>0.002</v>
      </c>
      <c r="DI5" s="1">
        <v>0</v>
      </c>
      <c r="DJ5" s="1">
        <v>2</v>
      </c>
      <c r="DK5" s="1">
        <v>0</v>
      </c>
      <c r="DL5" s="1">
        <v>0.002</v>
      </c>
      <c r="DM5" s="1">
        <v>0</v>
      </c>
      <c r="DN5" s="1">
        <v>0</v>
      </c>
      <c r="DO5" s="1">
        <v>1</v>
      </c>
      <c r="DP5" s="1">
        <v>0.03</v>
      </c>
      <c r="DQ5" s="1">
        <v>0</v>
      </c>
      <c r="DR5" s="1">
        <v>96</v>
      </c>
      <c r="DS5" s="1">
        <v>0</v>
      </c>
      <c r="DT5" s="1" t="s">
        <v>64</v>
      </c>
      <c r="DU5" s="1">
        <v>0.03</v>
      </c>
      <c r="DV5" s="1">
        <v>0</v>
      </c>
      <c r="DW5" s="1">
        <v>31</v>
      </c>
      <c r="DX5" s="1">
        <v>3812</v>
      </c>
      <c r="DY5" s="1">
        <v>4708</v>
      </c>
      <c r="DZ5" s="1">
        <v>0.331</v>
      </c>
      <c r="EA5" s="1">
        <v>4020</v>
      </c>
      <c r="EB5" s="1">
        <v>219656</v>
      </c>
      <c r="EC5" s="1">
        <v>0</v>
      </c>
      <c r="ED5" s="1">
        <v>0.241</v>
      </c>
      <c r="EE5" s="1">
        <v>36</v>
      </c>
      <c r="EF5" s="1">
        <v>0</v>
      </c>
      <c r="EG5" s="1">
        <v>1</v>
      </c>
      <c r="EH5" s="1">
        <v>0.41</v>
      </c>
      <c r="EI5" s="1">
        <v>29</v>
      </c>
      <c r="EJ5" s="1">
        <v>219688</v>
      </c>
      <c r="EK5" s="1">
        <v>0.09</v>
      </c>
      <c r="EL5" s="1" t="s">
        <v>64</v>
      </c>
      <c r="EM5" s="1">
        <v>0.41</v>
      </c>
      <c r="EN5" s="1">
        <v>0</v>
      </c>
      <c r="EO5" s="1">
        <v>1890</v>
      </c>
      <c r="EP5" s="1">
        <v>5206</v>
      </c>
      <c r="EQ5" s="1">
        <v>30</v>
      </c>
      <c r="ER5" s="1">
        <v>0.435</v>
      </c>
      <c r="ES5" s="1">
        <v>0</v>
      </c>
      <c r="ET5" s="1">
        <v>219778</v>
      </c>
      <c r="EU5" s="1">
        <v>0</v>
      </c>
      <c r="EV5" s="1">
        <v>0.435</v>
      </c>
      <c r="EW5" s="1">
        <v>40</v>
      </c>
      <c r="EX5" s="1">
        <v>0</v>
      </c>
      <c r="EY5" s="1">
        <v>1</v>
      </c>
      <c r="EZ5" s="1">
        <v>0.52</v>
      </c>
      <c r="FA5" s="1">
        <v>0</v>
      </c>
      <c r="FB5" s="1">
        <v>249100</v>
      </c>
      <c r="FC5" s="1">
        <v>0</v>
      </c>
      <c r="FD5" s="1" t="s">
        <v>64</v>
      </c>
      <c r="FE5" s="1">
        <v>0.52</v>
      </c>
      <c r="FF5" s="1">
        <v>0</v>
      </c>
      <c r="FG5" s="1">
        <v>1922</v>
      </c>
      <c r="FH5" s="1">
        <v>6598</v>
      </c>
      <c r="FI5" s="1">
        <v>7181</v>
      </c>
      <c r="FJ5" s="1">
        <v>0.583</v>
      </c>
      <c r="FK5" s="1">
        <v>6262</v>
      </c>
      <c r="FL5" s="1">
        <v>219846</v>
      </c>
      <c r="FM5" s="1">
        <v>0</v>
      </c>
      <c r="FN5" s="1">
        <v>0.4329999999999999</v>
      </c>
      <c r="FO5" s="1">
        <v>38</v>
      </c>
      <c r="FP5" s="1">
        <v>0</v>
      </c>
      <c r="FQ5" s="1">
        <v>1</v>
      </c>
      <c r="FR5" s="1">
        <v>0.62</v>
      </c>
      <c r="FS5" s="1">
        <v>39</v>
      </c>
      <c r="FT5" s="1">
        <v>250550</v>
      </c>
      <c r="FU5" s="1">
        <v>0.15</v>
      </c>
      <c r="FV5" s="1" t="s">
        <v>64</v>
      </c>
      <c r="FW5" s="1">
        <v>0.62</v>
      </c>
      <c r="FX5" s="1">
        <v>0</v>
      </c>
      <c r="FY5" s="1">
        <v>1926</v>
      </c>
      <c r="FZ5" s="1">
        <v>6598</v>
      </c>
      <c r="GA5" s="1">
        <v>3024</v>
      </c>
      <c r="GB5" s="1">
        <v>0.363</v>
      </c>
      <c r="GC5" s="1">
        <v>2539</v>
      </c>
      <c r="GD5" s="1">
        <v>303726</v>
      </c>
      <c r="GE5" s="1">
        <v>0</v>
      </c>
      <c r="GF5" s="1">
        <v>0.273</v>
      </c>
      <c r="GG5" s="1">
        <v>47</v>
      </c>
      <c r="GH5" s="1">
        <v>0</v>
      </c>
      <c r="GI5" s="1">
        <v>1</v>
      </c>
      <c r="GJ5" s="1">
        <v>0.38</v>
      </c>
      <c r="GK5" s="1">
        <v>20</v>
      </c>
      <c r="GL5" s="1">
        <v>250550</v>
      </c>
      <c r="GM5" s="1">
        <v>0.09</v>
      </c>
      <c r="GN5" s="1" t="s">
        <v>64</v>
      </c>
      <c r="GO5" s="1">
        <v>0.38</v>
      </c>
      <c r="GP5" s="1">
        <v>0</v>
      </c>
      <c r="GQ5" s="1">
        <v>29886</v>
      </c>
      <c r="GR5" s="1">
        <v>3810</v>
      </c>
      <c r="GS5" s="1">
        <v>4708</v>
      </c>
      <c r="GT5" s="1">
        <v>0.492</v>
      </c>
      <c r="GU5" s="1">
        <v>4020</v>
      </c>
      <c r="GV5" s="1">
        <v>219656</v>
      </c>
      <c r="GW5" s="1">
        <v>0</v>
      </c>
      <c r="GX5" s="1">
        <v>0.382</v>
      </c>
      <c r="GY5" s="1">
        <v>37</v>
      </c>
      <c r="GZ5" s="1">
        <v>0</v>
      </c>
      <c r="HA5" s="1">
        <v>1</v>
      </c>
      <c r="HB5" s="1">
        <v>0.52</v>
      </c>
      <c r="HC5" s="1">
        <v>29</v>
      </c>
      <c r="HD5" s="1">
        <v>219686</v>
      </c>
      <c r="HE5" s="1">
        <v>0.11</v>
      </c>
      <c r="HF5" s="1" t="s">
        <v>64</v>
      </c>
      <c r="HG5" s="1">
        <v>0.52</v>
      </c>
      <c r="HH5" s="1">
        <v>0</v>
      </c>
      <c r="HI5" s="1">
        <v>1890</v>
      </c>
      <c r="HJ5" s="1">
        <v>3813</v>
      </c>
      <c r="HK5" s="1">
        <v>30</v>
      </c>
      <c r="HL5" s="1">
        <v>0.544</v>
      </c>
      <c r="HM5" s="1">
        <v>0</v>
      </c>
      <c r="HN5" s="1">
        <v>219656</v>
      </c>
      <c r="HO5" s="1">
        <v>0</v>
      </c>
      <c r="HP5" s="1">
        <v>0.534</v>
      </c>
      <c r="HQ5" s="1">
        <v>42</v>
      </c>
      <c r="HR5" s="1">
        <v>0</v>
      </c>
      <c r="HS5" s="1">
        <v>1</v>
      </c>
      <c r="HT5" s="1">
        <v>0.68</v>
      </c>
      <c r="HU5" s="1">
        <v>0</v>
      </c>
      <c r="HV5" s="1">
        <v>219689</v>
      </c>
      <c r="HW5" s="1">
        <v>0.01</v>
      </c>
      <c r="HX5" s="1" t="s">
        <v>64</v>
      </c>
      <c r="HY5" s="1">
        <v>0.68</v>
      </c>
      <c r="HZ5" s="1">
        <v>0</v>
      </c>
      <c r="IA5" s="1">
        <v>1890</v>
      </c>
      <c r="IB5" s="1">
        <v>34561</v>
      </c>
      <c r="IC5" s="1">
        <v>8452</v>
      </c>
      <c r="ID5" s="1">
        <v>365.848</v>
      </c>
      <c r="IE5" s="1">
        <v>7405</v>
      </c>
      <c r="IF5" s="1">
        <v>303666</v>
      </c>
      <c r="IG5" s="1">
        <v>0</v>
      </c>
      <c r="IH5" s="1">
        <v>1.377999999999986</v>
      </c>
      <c r="II5" s="1">
        <v>70</v>
      </c>
      <c r="IJ5" s="1">
        <v>0</v>
      </c>
      <c r="IK5" s="1">
        <v>1</v>
      </c>
      <c r="IL5" s="1">
        <v>365.9</v>
      </c>
      <c r="IM5" s="1">
        <v>45</v>
      </c>
      <c r="IN5" s="1">
        <v>250553</v>
      </c>
      <c r="IO5" s="1">
        <v>364.47</v>
      </c>
      <c r="IP5" s="1" t="s">
        <v>64</v>
      </c>
      <c r="IQ5" s="1">
        <v>365.9</v>
      </c>
      <c r="IR5" s="1">
        <v>0</v>
      </c>
      <c r="IS5" s="1">
        <v>29856</v>
      </c>
      <c r="IT5" s="1">
        <v>96</v>
      </c>
      <c r="IU5" s="1">
        <v>28</v>
      </c>
      <c r="IV5" s="1">
        <v>0.027</v>
      </c>
      <c r="IW5" s="1">
        <v>0</v>
      </c>
      <c r="IX5" s="1">
        <v>2</v>
      </c>
      <c r="IY5" s="1">
        <v>0</v>
      </c>
      <c r="IZ5" s="1">
        <v>0.027</v>
      </c>
      <c r="JA5" s="1">
        <v>0</v>
      </c>
      <c r="JB5" s="1">
        <v>0</v>
      </c>
      <c r="JC5" s="1">
        <v>1</v>
      </c>
      <c r="JD5" s="1">
        <v>0.04</v>
      </c>
      <c r="JE5" s="1">
        <v>0</v>
      </c>
      <c r="JF5" s="1">
        <v>97</v>
      </c>
      <c r="JG5" s="1">
        <v>0</v>
      </c>
      <c r="JH5" s="1" t="s">
        <v>64</v>
      </c>
      <c r="JI5" s="1">
        <v>0.04</v>
      </c>
      <c r="JJ5" s="1">
        <v>0</v>
      </c>
      <c r="JK5" s="1">
        <v>31</v>
      </c>
      <c r="JL5" s="1">
        <v>3813</v>
      </c>
      <c r="JM5" s="1">
        <v>4708</v>
      </c>
      <c r="JN5" s="1">
        <v>0.924</v>
      </c>
      <c r="JO5" s="1">
        <v>4020</v>
      </c>
      <c r="JP5" s="1">
        <v>219656</v>
      </c>
      <c r="JQ5" s="1">
        <v>0</v>
      </c>
      <c r="JR5" s="1">
        <v>0.424</v>
      </c>
      <c r="JS5" s="1">
        <v>42</v>
      </c>
      <c r="JT5" s="1">
        <v>0</v>
      </c>
      <c r="JU5" s="1">
        <v>1</v>
      </c>
      <c r="JV5" s="1">
        <v>0.96</v>
      </c>
      <c r="JW5" s="1">
        <v>29</v>
      </c>
      <c r="JX5" s="1">
        <v>219689</v>
      </c>
      <c r="JY5" s="1">
        <v>0.5</v>
      </c>
      <c r="JZ5" s="1" t="s">
        <v>64</v>
      </c>
      <c r="KA5" s="1">
        <v>0.96</v>
      </c>
      <c r="KB5" s="1">
        <v>0</v>
      </c>
      <c r="KC5" s="1">
        <v>1890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9141</v>
      </c>
      <c r="C6" s="1">
        <v>40</v>
      </c>
      <c r="D6" s="1">
        <v>1.6</v>
      </c>
      <c r="E6" s="1">
        <v>0</v>
      </c>
      <c r="F6" s="1">
        <v>678538</v>
      </c>
      <c r="G6" s="1">
        <v>0</v>
      </c>
      <c r="H6" s="1">
        <v>1.6</v>
      </c>
      <c r="I6" s="1">
        <v>99</v>
      </c>
      <c r="J6" s="1">
        <v>0</v>
      </c>
      <c r="K6" s="1">
        <v>1</v>
      </c>
      <c r="L6" s="1">
        <v>1.63</v>
      </c>
      <c r="M6" s="1">
        <v>0</v>
      </c>
      <c r="N6" s="1">
        <v>746635</v>
      </c>
      <c r="O6" s="1">
        <v>0</v>
      </c>
      <c r="P6" s="1" t="s">
        <v>64</v>
      </c>
      <c r="Q6" s="1">
        <v>1.63</v>
      </c>
      <c r="R6" s="1">
        <v>0</v>
      </c>
      <c r="S6" s="1">
        <v>3362</v>
      </c>
      <c r="T6" s="1">
        <v>11598</v>
      </c>
      <c r="U6" s="1">
        <v>8336</v>
      </c>
      <c r="V6" s="1">
        <v>1.834</v>
      </c>
      <c r="W6" s="1">
        <v>6820</v>
      </c>
      <c r="X6" s="1">
        <v>678626</v>
      </c>
      <c r="Y6" s="1">
        <v>0</v>
      </c>
      <c r="Z6" s="1">
        <v>1.524</v>
      </c>
      <c r="AA6" s="1">
        <v>94</v>
      </c>
      <c r="AB6" s="1">
        <v>0</v>
      </c>
      <c r="AC6" s="1">
        <v>1</v>
      </c>
      <c r="AD6" s="1">
        <v>1.88</v>
      </c>
      <c r="AE6" s="1">
        <v>45</v>
      </c>
      <c r="AF6" s="1">
        <v>749170</v>
      </c>
      <c r="AG6" s="1">
        <v>0.31</v>
      </c>
      <c r="AH6" s="1" t="s">
        <v>64</v>
      </c>
      <c r="AI6" s="1">
        <v>1.88</v>
      </c>
      <c r="AJ6" s="1">
        <v>0</v>
      </c>
      <c r="AK6" s="1">
        <v>3366</v>
      </c>
      <c r="AL6" s="1">
        <v>11598</v>
      </c>
      <c r="AM6" s="1">
        <v>4628</v>
      </c>
      <c r="AN6" s="1">
        <v>1.957</v>
      </c>
      <c r="AO6" s="1">
        <v>3635</v>
      </c>
      <c r="AP6" s="1">
        <v>875666</v>
      </c>
      <c r="AQ6" s="1">
        <v>0</v>
      </c>
      <c r="AR6" s="1">
        <v>1.627</v>
      </c>
      <c r="AS6" s="1">
        <v>121</v>
      </c>
      <c r="AT6" s="1">
        <v>0</v>
      </c>
      <c r="AU6" s="1">
        <v>1</v>
      </c>
      <c r="AV6" s="1">
        <v>1.99</v>
      </c>
      <c r="AW6" s="1">
        <v>29</v>
      </c>
      <c r="AX6" s="1">
        <v>749170</v>
      </c>
      <c r="AY6" s="1">
        <v>0.33</v>
      </c>
      <c r="AZ6" s="1" t="s">
        <v>64</v>
      </c>
      <c r="BA6" s="1">
        <v>1.99</v>
      </c>
      <c r="BB6" s="1">
        <v>0</v>
      </c>
      <c r="BC6" s="1">
        <v>69046</v>
      </c>
      <c r="BD6" s="1">
        <v>6680</v>
      </c>
      <c r="BE6" s="1">
        <v>10253</v>
      </c>
      <c r="BF6" s="1">
        <v>1.115</v>
      </c>
      <c r="BG6" s="1">
        <v>8409</v>
      </c>
      <c r="BH6" s="1">
        <v>678376</v>
      </c>
      <c r="BI6" s="1">
        <v>0</v>
      </c>
      <c r="BJ6" s="1">
        <v>0.875</v>
      </c>
      <c r="BK6" s="1">
        <v>92</v>
      </c>
      <c r="BL6" s="1">
        <v>0</v>
      </c>
      <c r="BM6" s="1">
        <v>1</v>
      </c>
      <c r="BN6" s="1">
        <v>1.14</v>
      </c>
      <c r="BO6" s="1">
        <v>55</v>
      </c>
      <c r="BP6" s="1">
        <v>678416</v>
      </c>
      <c r="BQ6" s="1">
        <v>0.24</v>
      </c>
      <c r="BR6" s="1" t="s">
        <v>64</v>
      </c>
      <c r="BS6" s="1">
        <v>1.14</v>
      </c>
      <c r="BT6" s="1">
        <v>0</v>
      </c>
      <c r="BU6" s="1">
        <v>3320</v>
      </c>
      <c r="BV6" s="1">
        <v>6682</v>
      </c>
      <c r="BW6" s="1">
        <v>40</v>
      </c>
      <c r="BX6" s="1">
        <v>1.48</v>
      </c>
      <c r="BY6" s="1">
        <v>0</v>
      </c>
      <c r="BZ6" s="1">
        <v>678376</v>
      </c>
      <c r="CA6" s="1">
        <v>0</v>
      </c>
      <c r="CB6" s="1">
        <v>1.48</v>
      </c>
      <c r="CC6" s="1">
        <v>92</v>
      </c>
      <c r="CD6" s="1">
        <v>0</v>
      </c>
      <c r="CE6" s="1">
        <v>1</v>
      </c>
      <c r="CF6" s="1">
        <v>1.52</v>
      </c>
      <c r="CG6" s="1">
        <v>0</v>
      </c>
      <c r="CH6" s="1">
        <v>678418</v>
      </c>
      <c r="CI6" s="1">
        <v>0</v>
      </c>
      <c r="CJ6" s="1" t="s">
        <v>64</v>
      </c>
      <c r="CK6" s="1">
        <v>1.52</v>
      </c>
      <c r="CL6" s="1">
        <v>0</v>
      </c>
      <c r="CM6" s="1">
        <v>3320</v>
      </c>
      <c r="CN6" s="1">
        <v>77280</v>
      </c>
      <c r="CO6" s="1">
        <v>4318</v>
      </c>
      <c r="CP6" s="1">
        <v>11.997</v>
      </c>
      <c r="CQ6" s="1">
        <v>3356</v>
      </c>
      <c r="CR6" s="1">
        <v>875586</v>
      </c>
      <c r="CS6" s="1">
        <v>0</v>
      </c>
      <c r="CT6" s="1">
        <v>1.247</v>
      </c>
      <c r="CU6" s="1">
        <v>186</v>
      </c>
      <c r="CV6" s="1">
        <v>0</v>
      </c>
      <c r="CW6" s="1">
        <v>1</v>
      </c>
      <c r="CX6" s="1">
        <v>12.12</v>
      </c>
      <c r="CY6" s="1">
        <v>28</v>
      </c>
      <c r="CZ6" s="1">
        <v>749172</v>
      </c>
      <c r="DA6" s="1">
        <v>10.75</v>
      </c>
      <c r="DB6" s="1" t="s">
        <v>64</v>
      </c>
      <c r="DC6" s="1">
        <v>12.12</v>
      </c>
      <c r="DD6" s="1">
        <v>0</v>
      </c>
      <c r="DE6" s="1">
        <v>69006</v>
      </c>
      <c r="DF6" s="1">
        <v>125</v>
      </c>
      <c r="DG6" s="1">
        <v>37</v>
      </c>
      <c r="DH6" s="1">
        <v>0.003</v>
      </c>
      <c r="DI6" s="1">
        <v>0</v>
      </c>
      <c r="DJ6" s="1">
        <v>2</v>
      </c>
      <c r="DK6" s="1">
        <v>0</v>
      </c>
      <c r="DL6" s="1">
        <v>0.003</v>
      </c>
      <c r="DM6" s="1">
        <v>0</v>
      </c>
      <c r="DN6" s="1">
        <v>0</v>
      </c>
      <c r="DO6" s="1">
        <v>1</v>
      </c>
      <c r="DP6" s="1">
        <v>0.04</v>
      </c>
      <c r="DQ6" s="1">
        <v>0</v>
      </c>
      <c r="DR6" s="1">
        <v>126</v>
      </c>
      <c r="DS6" s="1">
        <v>0</v>
      </c>
      <c r="DT6" s="1" t="s">
        <v>64</v>
      </c>
      <c r="DU6" s="1">
        <v>0.04</v>
      </c>
      <c r="DV6" s="1">
        <v>0</v>
      </c>
      <c r="DW6" s="1">
        <v>41</v>
      </c>
      <c r="DX6" s="1">
        <v>6682</v>
      </c>
      <c r="DY6" s="1">
        <v>10253</v>
      </c>
      <c r="DZ6" s="1">
        <v>1.202</v>
      </c>
      <c r="EA6" s="1">
        <v>8409</v>
      </c>
      <c r="EB6" s="1">
        <v>678376</v>
      </c>
      <c r="EC6" s="1">
        <v>0</v>
      </c>
      <c r="ED6" s="1">
        <v>0.9019999999999999</v>
      </c>
      <c r="EE6" s="1">
        <v>92</v>
      </c>
      <c r="EF6" s="1">
        <v>0</v>
      </c>
      <c r="EG6" s="1">
        <v>1</v>
      </c>
      <c r="EH6" s="1">
        <v>1.22</v>
      </c>
      <c r="EI6" s="1">
        <v>55</v>
      </c>
      <c r="EJ6" s="1">
        <v>678418</v>
      </c>
      <c r="EK6" s="1">
        <v>0.3</v>
      </c>
      <c r="EL6" s="1" t="s">
        <v>64</v>
      </c>
      <c r="EM6" s="1">
        <v>1.22</v>
      </c>
      <c r="EN6" s="1">
        <v>0</v>
      </c>
      <c r="EO6" s="1">
        <v>3320</v>
      </c>
      <c r="EP6" s="1">
        <v>9141</v>
      </c>
      <c r="EQ6" s="1">
        <v>40</v>
      </c>
      <c r="ER6" s="1">
        <v>1.578</v>
      </c>
      <c r="ES6" s="1">
        <v>0</v>
      </c>
      <c r="ET6" s="1">
        <v>678538</v>
      </c>
      <c r="EU6" s="1">
        <v>0</v>
      </c>
      <c r="EV6" s="1">
        <v>1.578</v>
      </c>
      <c r="EW6" s="1">
        <v>99</v>
      </c>
      <c r="EX6" s="1">
        <v>0</v>
      </c>
      <c r="EY6" s="1">
        <v>1</v>
      </c>
      <c r="EZ6" s="1">
        <v>1.64</v>
      </c>
      <c r="FA6" s="1">
        <v>0</v>
      </c>
      <c r="FB6" s="1">
        <v>746635</v>
      </c>
      <c r="FC6" s="1">
        <v>0</v>
      </c>
      <c r="FD6" s="1" t="s">
        <v>64</v>
      </c>
      <c r="FE6" s="1">
        <v>1.64</v>
      </c>
      <c r="FF6" s="1">
        <v>0</v>
      </c>
      <c r="FG6" s="1">
        <v>3362</v>
      </c>
      <c r="FH6" s="1">
        <v>11598</v>
      </c>
      <c r="FI6" s="1">
        <v>8336</v>
      </c>
      <c r="FJ6" s="1">
        <v>1.154</v>
      </c>
      <c r="FK6" s="1">
        <v>6820</v>
      </c>
      <c r="FL6" s="1">
        <v>678626</v>
      </c>
      <c r="FM6" s="1">
        <v>0</v>
      </c>
      <c r="FN6" s="1">
        <v>0.964</v>
      </c>
      <c r="FO6" s="1">
        <v>95</v>
      </c>
      <c r="FP6" s="1">
        <v>0</v>
      </c>
      <c r="FQ6" s="1">
        <v>1</v>
      </c>
      <c r="FR6" s="1">
        <v>1.24</v>
      </c>
      <c r="FS6" s="1">
        <v>45</v>
      </c>
      <c r="FT6" s="1">
        <v>749170</v>
      </c>
      <c r="FU6" s="1">
        <v>0.19</v>
      </c>
      <c r="FV6" s="1" t="s">
        <v>64</v>
      </c>
      <c r="FW6" s="1">
        <v>1.24</v>
      </c>
      <c r="FX6" s="1">
        <v>0</v>
      </c>
      <c r="FY6" s="1">
        <v>3366</v>
      </c>
      <c r="FZ6" s="1">
        <v>11598</v>
      </c>
      <c r="GA6" s="1">
        <v>4628</v>
      </c>
      <c r="GB6" s="1">
        <v>1.345</v>
      </c>
      <c r="GC6" s="1">
        <v>3635</v>
      </c>
      <c r="GD6" s="1">
        <v>875666</v>
      </c>
      <c r="GE6" s="1">
        <v>0</v>
      </c>
      <c r="GF6" s="1">
        <v>1.085</v>
      </c>
      <c r="GG6" s="1">
        <v>125</v>
      </c>
      <c r="GH6" s="1">
        <v>0</v>
      </c>
      <c r="GI6" s="1">
        <v>1</v>
      </c>
      <c r="GJ6" s="1">
        <v>1.37</v>
      </c>
      <c r="GK6" s="1">
        <v>29</v>
      </c>
      <c r="GL6" s="1">
        <v>749170</v>
      </c>
      <c r="GM6" s="1">
        <v>0.26</v>
      </c>
      <c r="GN6" s="1" t="s">
        <v>64</v>
      </c>
      <c r="GO6" s="1">
        <v>1.37</v>
      </c>
      <c r="GP6" s="1">
        <v>0</v>
      </c>
      <c r="GQ6" s="1">
        <v>69046</v>
      </c>
      <c r="GR6" s="1">
        <v>6680</v>
      </c>
      <c r="GS6" s="1">
        <v>10253</v>
      </c>
      <c r="GT6" s="1">
        <v>1.836</v>
      </c>
      <c r="GU6" s="1">
        <v>8409</v>
      </c>
      <c r="GV6" s="1">
        <v>678376</v>
      </c>
      <c r="GW6" s="1">
        <v>0</v>
      </c>
      <c r="GX6" s="1">
        <v>1.476</v>
      </c>
      <c r="GY6" s="1">
        <v>94</v>
      </c>
      <c r="GZ6" s="1">
        <v>0</v>
      </c>
      <c r="HA6" s="1">
        <v>1</v>
      </c>
      <c r="HB6" s="1">
        <v>1.87</v>
      </c>
      <c r="HC6" s="1">
        <v>55</v>
      </c>
      <c r="HD6" s="1">
        <v>678416</v>
      </c>
      <c r="HE6" s="1">
        <v>0.36</v>
      </c>
      <c r="HF6" s="1" t="s">
        <v>64</v>
      </c>
      <c r="HG6" s="1">
        <v>1.87</v>
      </c>
      <c r="HH6" s="1">
        <v>0</v>
      </c>
      <c r="HI6" s="1">
        <v>3320</v>
      </c>
      <c r="HJ6" s="1">
        <v>6683</v>
      </c>
      <c r="HK6" s="1">
        <v>40</v>
      </c>
      <c r="HL6" s="1">
        <v>1.513</v>
      </c>
      <c r="HM6" s="1">
        <v>0</v>
      </c>
      <c r="HN6" s="1">
        <v>678376</v>
      </c>
      <c r="HO6" s="1">
        <v>0</v>
      </c>
      <c r="HP6" s="1">
        <v>1.503</v>
      </c>
      <c r="HQ6" s="1">
        <v>101</v>
      </c>
      <c r="HR6" s="1">
        <v>0</v>
      </c>
      <c r="HS6" s="1">
        <v>1</v>
      </c>
      <c r="HT6" s="1">
        <v>1.57</v>
      </c>
      <c r="HU6" s="1">
        <v>0</v>
      </c>
      <c r="HV6" s="1">
        <v>678419</v>
      </c>
      <c r="HW6" s="1">
        <v>0.01</v>
      </c>
      <c r="HX6" s="1" t="s">
        <v>64</v>
      </c>
      <c r="HY6" s="1">
        <v>1.57</v>
      </c>
      <c r="HZ6" s="1">
        <v>0</v>
      </c>
      <c r="IA6" s="1">
        <v>3320</v>
      </c>
      <c r="IB6" s="1">
        <v>77281</v>
      </c>
      <c r="IC6" s="1">
        <v>3060</v>
      </c>
      <c r="ID6" s="1">
        <v>599.987</v>
      </c>
      <c r="IE6" s="1">
        <v>2398</v>
      </c>
      <c r="IF6" s="1">
        <v>875586</v>
      </c>
      <c r="IG6" s="1">
        <v>0</v>
      </c>
      <c r="IH6" s="1">
        <v>3.746999999999957</v>
      </c>
      <c r="II6" s="1">
        <v>168</v>
      </c>
      <c r="IJ6" s="1">
        <v>0</v>
      </c>
      <c r="IK6" s="1">
        <v>0</v>
      </c>
      <c r="IL6" s="1">
        <v>1200</v>
      </c>
      <c r="IM6" s="1">
        <v>19</v>
      </c>
      <c r="IN6" s="1">
        <v>749173</v>
      </c>
      <c r="IO6" s="1">
        <v>596.24</v>
      </c>
      <c r="IP6" s="1" t="s">
        <v>65</v>
      </c>
      <c r="IQ6" s="1">
        <v>600</v>
      </c>
      <c r="IR6" s="1">
        <v>1</v>
      </c>
      <c r="IS6" s="1">
        <v>69006</v>
      </c>
      <c r="IT6" s="1">
        <v>126</v>
      </c>
      <c r="IU6" s="1">
        <v>37</v>
      </c>
      <c r="IV6" s="1">
        <v>0.029</v>
      </c>
      <c r="IW6" s="1">
        <v>0</v>
      </c>
      <c r="IX6" s="1">
        <v>2</v>
      </c>
      <c r="IY6" s="1">
        <v>0</v>
      </c>
      <c r="IZ6" s="1">
        <v>0.019</v>
      </c>
      <c r="JA6" s="1">
        <v>0</v>
      </c>
      <c r="JB6" s="1">
        <v>0</v>
      </c>
      <c r="JC6" s="1">
        <v>1</v>
      </c>
      <c r="JD6" s="1">
        <v>0.05</v>
      </c>
      <c r="JE6" s="1">
        <v>0</v>
      </c>
      <c r="JF6" s="1">
        <v>127</v>
      </c>
      <c r="JG6" s="1">
        <v>0.01</v>
      </c>
      <c r="JH6" s="1" t="s">
        <v>64</v>
      </c>
      <c r="JI6" s="1">
        <v>0.05</v>
      </c>
      <c r="JJ6" s="1">
        <v>0</v>
      </c>
      <c r="JK6" s="1">
        <v>41</v>
      </c>
      <c r="JL6" s="1">
        <v>6683</v>
      </c>
      <c r="JM6" s="1">
        <v>10253</v>
      </c>
      <c r="JN6" s="1">
        <v>3.078</v>
      </c>
      <c r="JO6" s="1">
        <v>8409</v>
      </c>
      <c r="JP6" s="1">
        <v>678376</v>
      </c>
      <c r="JQ6" s="1">
        <v>0</v>
      </c>
      <c r="JR6" s="1">
        <v>1.718</v>
      </c>
      <c r="JS6" s="1">
        <v>101</v>
      </c>
      <c r="JT6" s="1">
        <v>0</v>
      </c>
      <c r="JU6" s="1">
        <v>1</v>
      </c>
      <c r="JV6" s="1">
        <v>3.18</v>
      </c>
      <c r="JW6" s="1">
        <v>55</v>
      </c>
      <c r="JX6" s="1">
        <v>678419</v>
      </c>
      <c r="JY6" s="1">
        <v>1.36</v>
      </c>
      <c r="JZ6" s="1" t="s">
        <v>64</v>
      </c>
      <c r="KA6" s="1">
        <v>3.18</v>
      </c>
      <c r="KB6" s="1">
        <v>0</v>
      </c>
      <c r="KC6" s="1">
        <v>3320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14176</v>
      </c>
      <c r="C7" s="1">
        <v>50</v>
      </c>
      <c r="D7" s="1">
        <v>3.977</v>
      </c>
      <c r="E7" s="1">
        <v>0</v>
      </c>
      <c r="F7" s="1">
        <v>1635048</v>
      </c>
      <c r="G7" s="1">
        <v>0</v>
      </c>
      <c r="H7" s="1">
        <v>3.977</v>
      </c>
      <c r="I7" s="1">
        <v>232</v>
      </c>
      <c r="J7" s="1">
        <v>0</v>
      </c>
      <c r="K7" s="1">
        <v>1</v>
      </c>
      <c r="L7" s="1">
        <v>4.11</v>
      </c>
      <c r="M7" s="1">
        <v>0</v>
      </c>
      <c r="N7" s="1">
        <v>1766420</v>
      </c>
      <c r="O7" s="1">
        <v>0</v>
      </c>
      <c r="P7" s="1" t="s">
        <v>64</v>
      </c>
      <c r="Q7" s="1">
        <v>4.11</v>
      </c>
      <c r="R7" s="1">
        <v>0</v>
      </c>
      <c r="S7" s="1">
        <v>5202</v>
      </c>
      <c r="T7" s="1">
        <v>17998</v>
      </c>
      <c r="U7" s="1">
        <v>10885</v>
      </c>
      <c r="V7" s="1">
        <v>4.49</v>
      </c>
      <c r="W7" s="1">
        <v>8301</v>
      </c>
      <c r="X7" s="1">
        <v>1635156</v>
      </c>
      <c r="Y7" s="1">
        <v>0</v>
      </c>
      <c r="Z7" s="1">
        <v>3.93</v>
      </c>
      <c r="AA7" s="1">
        <v>230</v>
      </c>
      <c r="AB7" s="1">
        <v>0</v>
      </c>
      <c r="AC7" s="1">
        <v>1</v>
      </c>
      <c r="AD7" s="1">
        <v>4.53</v>
      </c>
      <c r="AE7" s="1">
        <v>59</v>
      </c>
      <c r="AF7" s="1">
        <v>1770340</v>
      </c>
      <c r="AG7" s="1">
        <v>0.5600000000000001</v>
      </c>
      <c r="AH7" s="1" t="s">
        <v>64</v>
      </c>
      <c r="AI7" s="1">
        <v>4.53</v>
      </c>
      <c r="AJ7" s="1">
        <v>0</v>
      </c>
      <c r="AK7" s="1">
        <v>5206</v>
      </c>
      <c r="AL7" s="1">
        <v>17998</v>
      </c>
      <c r="AM7" s="1">
        <v>20823</v>
      </c>
      <c r="AN7" s="1">
        <v>6.366</v>
      </c>
      <c r="AO7" s="1">
        <v>16789</v>
      </c>
      <c r="AP7" s="1">
        <v>2017956</v>
      </c>
      <c r="AQ7" s="1">
        <v>0</v>
      </c>
      <c r="AR7" s="1">
        <v>4.125999999999999</v>
      </c>
      <c r="AS7" s="1">
        <v>275</v>
      </c>
      <c r="AT7" s="1">
        <v>0</v>
      </c>
      <c r="AU7" s="1">
        <v>1</v>
      </c>
      <c r="AV7" s="1">
        <v>6.41</v>
      </c>
      <c r="AW7" s="1">
        <v>93</v>
      </c>
      <c r="AX7" s="1">
        <v>1770340</v>
      </c>
      <c r="AY7" s="1">
        <v>2.24</v>
      </c>
      <c r="AZ7" s="1" t="s">
        <v>64</v>
      </c>
      <c r="BA7" s="1">
        <v>6.41</v>
      </c>
      <c r="BB7" s="1">
        <v>0</v>
      </c>
      <c r="BC7" s="1">
        <v>132806</v>
      </c>
      <c r="BD7" s="1">
        <v>10350</v>
      </c>
      <c r="BE7" s="1">
        <v>4432</v>
      </c>
      <c r="BF7" s="1">
        <v>2.848</v>
      </c>
      <c r="BG7" s="1">
        <v>3222</v>
      </c>
      <c r="BH7" s="1">
        <v>1634846</v>
      </c>
      <c r="BI7" s="1">
        <v>0</v>
      </c>
      <c r="BJ7" s="1">
        <v>2.698</v>
      </c>
      <c r="BK7" s="1">
        <v>226</v>
      </c>
      <c r="BL7" s="1">
        <v>0</v>
      </c>
      <c r="BM7" s="1">
        <v>1</v>
      </c>
      <c r="BN7" s="1">
        <v>2.87</v>
      </c>
      <c r="BO7" s="1">
        <v>27</v>
      </c>
      <c r="BP7" s="1">
        <v>1634896</v>
      </c>
      <c r="BQ7" s="1">
        <v>0.15</v>
      </c>
      <c r="BR7" s="1" t="s">
        <v>64</v>
      </c>
      <c r="BS7" s="1">
        <v>2.87</v>
      </c>
      <c r="BT7" s="1">
        <v>0</v>
      </c>
      <c r="BU7" s="1">
        <v>5150</v>
      </c>
      <c r="BV7" s="1">
        <v>10352</v>
      </c>
      <c r="BW7" s="1">
        <v>50</v>
      </c>
      <c r="BX7" s="1">
        <v>2.71</v>
      </c>
      <c r="BY7" s="1">
        <v>0</v>
      </c>
      <c r="BZ7" s="1">
        <v>1634846</v>
      </c>
      <c r="CA7" s="1">
        <v>0</v>
      </c>
      <c r="CB7" s="1">
        <v>2.71</v>
      </c>
      <c r="CC7" s="1">
        <v>226</v>
      </c>
      <c r="CD7" s="1">
        <v>0</v>
      </c>
      <c r="CE7" s="1">
        <v>1</v>
      </c>
      <c r="CF7" s="1">
        <v>2.73</v>
      </c>
      <c r="CG7" s="1">
        <v>0</v>
      </c>
      <c r="CH7" s="1">
        <v>1634898</v>
      </c>
      <c r="CI7" s="1">
        <v>0</v>
      </c>
      <c r="CJ7" s="1" t="s">
        <v>64</v>
      </c>
      <c r="CK7" s="1">
        <v>2.73</v>
      </c>
      <c r="CL7" s="1">
        <v>0</v>
      </c>
      <c r="CM7" s="1">
        <v>5150</v>
      </c>
      <c r="CN7" s="1">
        <v>145600</v>
      </c>
      <c r="CO7" s="1">
        <v>4854</v>
      </c>
      <c r="CP7" s="1">
        <v>32.274</v>
      </c>
      <c r="CQ7" s="1">
        <v>3562</v>
      </c>
      <c r="CR7" s="1">
        <v>2017856</v>
      </c>
      <c r="CS7" s="1">
        <v>0</v>
      </c>
      <c r="CT7" s="1">
        <v>3.364000000000001</v>
      </c>
      <c r="CU7" s="1">
        <v>376</v>
      </c>
      <c r="CV7" s="1">
        <v>0</v>
      </c>
      <c r="CW7" s="1">
        <v>1</v>
      </c>
      <c r="CX7" s="1">
        <v>32.39</v>
      </c>
      <c r="CY7" s="1">
        <v>29</v>
      </c>
      <c r="CZ7" s="1">
        <v>1770342</v>
      </c>
      <c r="DA7" s="1">
        <v>28.91</v>
      </c>
      <c r="DB7" s="1" t="s">
        <v>64</v>
      </c>
      <c r="DC7" s="1">
        <v>32.39</v>
      </c>
      <c r="DD7" s="1">
        <v>0</v>
      </c>
      <c r="DE7" s="1">
        <v>132756</v>
      </c>
      <c r="DF7" s="1">
        <v>155</v>
      </c>
      <c r="DG7" s="1">
        <v>48</v>
      </c>
      <c r="DH7" s="1">
        <v>0.003</v>
      </c>
      <c r="DI7" s="1">
        <v>0</v>
      </c>
      <c r="DJ7" s="1">
        <v>2</v>
      </c>
      <c r="DK7" s="1">
        <v>0</v>
      </c>
      <c r="DL7" s="1">
        <v>0.003</v>
      </c>
      <c r="DM7" s="1">
        <v>0</v>
      </c>
      <c r="DN7" s="1">
        <v>0</v>
      </c>
      <c r="DO7" s="1">
        <v>1</v>
      </c>
      <c r="DP7" s="1">
        <v>0.04</v>
      </c>
      <c r="DQ7" s="1">
        <v>0</v>
      </c>
      <c r="DR7" s="1">
        <v>156</v>
      </c>
      <c r="DS7" s="1">
        <v>0</v>
      </c>
      <c r="DT7" s="1" t="s">
        <v>64</v>
      </c>
      <c r="DU7" s="1">
        <v>0.04</v>
      </c>
      <c r="DV7" s="1">
        <v>0</v>
      </c>
      <c r="DW7" s="1">
        <v>51</v>
      </c>
      <c r="DX7" s="1">
        <v>10352</v>
      </c>
      <c r="DY7" s="1">
        <v>4432</v>
      </c>
      <c r="DZ7" s="1">
        <v>4.005</v>
      </c>
      <c r="EA7" s="1">
        <v>3222</v>
      </c>
      <c r="EB7" s="1">
        <v>1634846</v>
      </c>
      <c r="EC7" s="1">
        <v>0</v>
      </c>
      <c r="ED7" s="1">
        <v>3.705</v>
      </c>
      <c r="EE7" s="1">
        <v>226</v>
      </c>
      <c r="EF7" s="1">
        <v>0</v>
      </c>
      <c r="EG7" s="1">
        <v>1</v>
      </c>
      <c r="EH7" s="1">
        <v>4.04</v>
      </c>
      <c r="EI7" s="1">
        <v>27</v>
      </c>
      <c r="EJ7" s="1">
        <v>1634898</v>
      </c>
      <c r="EK7" s="1">
        <v>0.3</v>
      </c>
      <c r="EL7" s="1" t="s">
        <v>64</v>
      </c>
      <c r="EM7" s="1">
        <v>4.04</v>
      </c>
      <c r="EN7" s="1">
        <v>0</v>
      </c>
      <c r="EO7" s="1">
        <v>5150</v>
      </c>
      <c r="EP7" s="1">
        <v>14176</v>
      </c>
      <c r="EQ7" s="1">
        <v>50</v>
      </c>
      <c r="ER7" s="1">
        <v>3.856</v>
      </c>
      <c r="ES7" s="1">
        <v>0</v>
      </c>
      <c r="ET7" s="1">
        <v>1635048</v>
      </c>
      <c r="EU7" s="1">
        <v>0</v>
      </c>
      <c r="EV7" s="1">
        <v>3.856</v>
      </c>
      <c r="EW7" s="1">
        <v>234</v>
      </c>
      <c r="EX7" s="1">
        <v>0</v>
      </c>
      <c r="EY7" s="1">
        <v>1</v>
      </c>
      <c r="EZ7" s="1">
        <v>3.9</v>
      </c>
      <c r="FA7" s="1">
        <v>0</v>
      </c>
      <c r="FB7" s="1">
        <v>1766420</v>
      </c>
      <c r="FC7" s="1">
        <v>0</v>
      </c>
      <c r="FD7" s="1" t="s">
        <v>64</v>
      </c>
      <c r="FE7" s="1">
        <v>3.9</v>
      </c>
      <c r="FF7" s="1">
        <v>0</v>
      </c>
      <c r="FG7" s="1">
        <v>5202</v>
      </c>
      <c r="FH7" s="1">
        <v>17998</v>
      </c>
      <c r="FI7" s="1">
        <v>10885</v>
      </c>
      <c r="FJ7" s="1">
        <v>4.448</v>
      </c>
      <c r="FK7" s="1">
        <v>8301</v>
      </c>
      <c r="FL7" s="1">
        <v>1635156</v>
      </c>
      <c r="FM7" s="1">
        <v>0</v>
      </c>
      <c r="FN7" s="1">
        <v>3.908</v>
      </c>
      <c r="FO7" s="1">
        <v>234</v>
      </c>
      <c r="FP7" s="1">
        <v>0</v>
      </c>
      <c r="FQ7" s="1">
        <v>1</v>
      </c>
      <c r="FR7" s="1">
        <v>4.48</v>
      </c>
      <c r="FS7" s="1">
        <v>59</v>
      </c>
      <c r="FT7" s="1">
        <v>1770340</v>
      </c>
      <c r="FU7" s="1">
        <v>0.54</v>
      </c>
      <c r="FV7" s="1" t="s">
        <v>64</v>
      </c>
      <c r="FW7" s="1">
        <v>4.48</v>
      </c>
      <c r="FX7" s="1">
        <v>0</v>
      </c>
      <c r="FY7" s="1">
        <v>5206</v>
      </c>
      <c r="FZ7" s="1">
        <v>17998</v>
      </c>
      <c r="GA7" s="1">
        <v>20823</v>
      </c>
      <c r="GB7" s="1">
        <v>5.01</v>
      </c>
      <c r="GC7" s="1">
        <v>16789</v>
      </c>
      <c r="GD7" s="1">
        <v>2017956</v>
      </c>
      <c r="GE7" s="1">
        <v>0</v>
      </c>
      <c r="GF7" s="1">
        <v>3.09</v>
      </c>
      <c r="GG7" s="1">
        <v>270</v>
      </c>
      <c r="GH7" s="1">
        <v>0</v>
      </c>
      <c r="GI7" s="1">
        <v>1</v>
      </c>
      <c r="GJ7" s="1">
        <v>5.11</v>
      </c>
      <c r="GK7" s="1">
        <v>93</v>
      </c>
      <c r="GL7" s="1">
        <v>1770340</v>
      </c>
      <c r="GM7" s="1">
        <v>1.92</v>
      </c>
      <c r="GN7" s="1" t="s">
        <v>64</v>
      </c>
      <c r="GO7" s="1">
        <v>5.11</v>
      </c>
      <c r="GP7" s="1">
        <v>0</v>
      </c>
      <c r="GQ7" s="1">
        <v>132806</v>
      </c>
      <c r="GR7" s="1">
        <v>10350</v>
      </c>
      <c r="GS7" s="1">
        <v>4432</v>
      </c>
      <c r="GT7" s="1">
        <v>3.982</v>
      </c>
      <c r="GU7" s="1">
        <v>3222</v>
      </c>
      <c r="GV7" s="1">
        <v>1634846</v>
      </c>
      <c r="GW7" s="1">
        <v>0</v>
      </c>
      <c r="GX7" s="1">
        <v>3.742</v>
      </c>
      <c r="GY7" s="1">
        <v>227</v>
      </c>
      <c r="GZ7" s="1">
        <v>0</v>
      </c>
      <c r="HA7" s="1">
        <v>1</v>
      </c>
      <c r="HB7" s="1">
        <v>4.04</v>
      </c>
      <c r="HC7" s="1">
        <v>27</v>
      </c>
      <c r="HD7" s="1">
        <v>1634896</v>
      </c>
      <c r="HE7" s="1">
        <v>0.24</v>
      </c>
      <c r="HF7" s="1" t="s">
        <v>64</v>
      </c>
      <c r="HG7" s="1">
        <v>4.04</v>
      </c>
      <c r="HH7" s="1">
        <v>0</v>
      </c>
      <c r="HI7" s="1">
        <v>5150</v>
      </c>
      <c r="HJ7" s="1">
        <v>10353</v>
      </c>
      <c r="HK7" s="1">
        <v>50</v>
      </c>
      <c r="HL7" s="1">
        <v>2.719</v>
      </c>
      <c r="HM7" s="1">
        <v>0</v>
      </c>
      <c r="HN7" s="1">
        <v>1634846</v>
      </c>
      <c r="HO7" s="1">
        <v>0</v>
      </c>
      <c r="HP7" s="1">
        <v>2.709</v>
      </c>
      <c r="HQ7" s="1">
        <v>227</v>
      </c>
      <c r="HR7" s="1">
        <v>0</v>
      </c>
      <c r="HS7" s="1">
        <v>1</v>
      </c>
      <c r="HT7" s="1">
        <v>2.74</v>
      </c>
      <c r="HU7" s="1">
        <v>0</v>
      </c>
      <c r="HV7" s="1">
        <v>1634899</v>
      </c>
      <c r="HW7" s="1">
        <v>0.01</v>
      </c>
      <c r="HX7" s="1" t="s">
        <v>64</v>
      </c>
      <c r="HY7" s="1">
        <v>2.74</v>
      </c>
      <c r="HZ7" s="1">
        <v>0</v>
      </c>
      <c r="IA7" s="1">
        <v>5150</v>
      </c>
      <c r="IB7" s="1">
        <v>145601</v>
      </c>
      <c r="IC7" s="1">
        <v>1028</v>
      </c>
      <c r="ID7" s="1">
        <v>599.992</v>
      </c>
      <c r="IE7" s="1">
        <v>727</v>
      </c>
      <c r="IF7" s="1">
        <v>2017856</v>
      </c>
      <c r="IG7" s="1">
        <v>0</v>
      </c>
      <c r="IH7" s="1">
        <v>8.182000000000016</v>
      </c>
      <c r="II7" s="1">
        <v>350</v>
      </c>
      <c r="IJ7" s="1">
        <v>0</v>
      </c>
      <c r="IK7" s="1">
        <v>0</v>
      </c>
      <c r="IL7" s="1">
        <v>1200</v>
      </c>
      <c r="IM7" s="1">
        <v>6</v>
      </c>
      <c r="IN7" s="1">
        <v>1770343</v>
      </c>
      <c r="IO7" s="1">
        <v>591.8099999999999</v>
      </c>
      <c r="IP7" s="1" t="s">
        <v>65</v>
      </c>
      <c r="IQ7" s="1">
        <v>600</v>
      </c>
      <c r="IR7" s="1">
        <v>1</v>
      </c>
      <c r="IS7" s="1">
        <v>132756</v>
      </c>
      <c r="IT7" s="1">
        <v>156</v>
      </c>
      <c r="IU7" s="1">
        <v>48</v>
      </c>
      <c r="IV7" s="1">
        <v>0.033</v>
      </c>
      <c r="IW7" s="1">
        <v>0</v>
      </c>
      <c r="IX7" s="1">
        <v>2</v>
      </c>
      <c r="IY7" s="1">
        <v>0</v>
      </c>
      <c r="IZ7" s="1">
        <v>0.023</v>
      </c>
      <c r="JA7" s="1">
        <v>0</v>
      </c>
      <c r="JB7" s="1">
        <v>0</v>
      </c>
      <c r="JC7" s="1">
        <v>1</v>
      </c>
      <c r="JD7" s="1">
        <v>0.05</v>
      </c>
      <c r="JE7" s="1">
        <v>0</v>
      </c>
      <c r="JF7" s="1">
        <v>157</v>
      </c>
      <c r="JG7" s="1">
        <v>0.01</v>
      </c>
      <c r="JH7" s="1" t="s">
        <v>64</v>
      </c>
      <c r="JI7" s="1">
        <v>0.05</v>
      </c>
      <c r="JJ7" s="1">
        <v>0</v>
      </c>
      <c r="JK7" s="1">
        <v>51</v>
      </c>
      <c r="JL7" s="1">
        <v>10353</v>
      </c>
      <c r="JM7" s="1">
        <v>4432</v>
      </c>
      <c r="JN7" s="1">
        <v>4.387</v>
      </c>
      <c r="JO7" s="1">
        <v>3222</v>
      </c>
      <c r="JP7" s="1">
        <v>1634846</v>
      </c>
      <c r="JQ7" s="1">
        <v>0</v>
      </c>
      <c r="JR7" s="1">
        <v>3.686999999999999</v>
      </c>
      <c r="JS7" s="1">
        <v>231</v>
      </c>
      <c r="JT7" s="1">
        <v>0</v>
      </c>
      <c r="JU7" s="1">
        <v>1</v>
      </c>
      <c r="JV7" s="1">
        <v>4.43</v>
      </c>
      <c r="JW7" s="1">
        <v>27</v>
      </c>
      <c r="JX7" s="1">
        <v>1634899</v>
      </c>
      <c r="JY7" s="1">
        <v>0.7</v>
      </c>
      <c r="JZ7" s="1" t="s">
        <v>64</v>
      </c>
      <c r="KA7" s="1">
        <v>4.43</v>
      </c>
      <c r="KB7" s="1">
        <v>0</v>
      </c>
      <c r="KC7" s="1">
        <v>5150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20311</v>
      </c>
      <c r="C8" s="1">
        <v>1668059</v>
      </c>
      <c r="D8" s="1">
        <v>153.188</v>
      </c>
      <c r="E8" s="1">
        <v>1462705</v>
      </c>
      <c r="F8" s="1">
        <v>3362308</v>
      </c>
      <c r="G8" s="1">
        <v>0</v>
      </c>
      <c r="H8" s="1">
        <v>8.268000000000001</v>
      </c>
      <c r="I8" s="1">
        <v>473</v>
      </c>
      <c r="J8" s="1">
        <v>0</v>
      </c>
      <c r="K8" s="1">
        <v>1</v>
      </c>
      <c r="L8" s="1">
        <v>153.22</v>
      </c>
      <c r="M8" s="1">
        <v>4092</v>
      </c>
      <c r="N8" s="1">
        <v>3587455</v>
      </c>
      <c r="O8" s="1">
        <v>144.92</v>
      </c>
      <c r="P8" s="1" t="s">
        <v>64</v>
      </c>
      <c r="Q8" s="1">
        <v>153.22</v>
      </c>
      <c r="R8" s="1">
        <v>0</v>
      </c>
      <c r="S8" s="1">
        <v>7442</v>
      </c>
      <c r="T8" s="1">
        <v>25798</v>
      </c>
      <c r="U8" s="1">
        <v>23762</v>
      </c>
      <c r="V8" s="1">
        <v>9.432</v>
      </c>
      <c r="W8" s="1">
        <v>18034</v>
      </c>
      <c r="X8" s="1">
        <v>3362436</v>
      </c>
      <c r="Y8" s="1">
        <v>0</v>
      </c>
      <c r="Z8" s="1">
        <v>7.852</v>
      </c>
      <c r="AA8" s="1">
        <v>460</v>
      </c>
      <c r="AB8" s="1">
        <v>0</v>
      </c>
      <c r="AC8" s="1">
        <v>1</v>
      </c>
      <c r="AD8" s="1">
        <v>9.470000000000001</v>
      </c>
      <c r="AE8" s="1">
        <v>107</v>
      </c>
      <c r="AF8" s="1">
        <v>3593060</v>
      </c>
      <c r="AG8" s="1">
        <v>1.58</v>
      </c>
      <c r="AH8" s="1" t="s">
        <v>64</v>
      </c>
      <c r="AI8" s="1">
        <v>9.470000000000001</v>
      </c>
      <c r="AJ8" s="1">
        <v>0</v>
      </c>
      <c r="AK8" s="1">
        <v>7446</v>
      </c>
      <c r="AL8" s="1">
        <v>25798</v>
      </c>
      <c r="AM8" s="1">
        <v>13853</v>
      </c>
      <c r="AN8" s="1">
        <v>10.471</v>
      </c>
      <c r="AO8" s="1">
        <v>10513</v>
      </c>
      <c r="AP8" s="1">
        <v>4021596</v>
      </c>
      <c r="AQ8" s="1">
        <v>0</v>
      </c>
      <c r="AR8" s="1">
        <v>8.341000000000001</v>
      </c>
      <c r="AS8" s="1">
        <v>546</v>
      </c>
      <c r="AT8" s="1">
        <v>0</v>
      </c>
      <c r="AU8" s="1">
        <v>1</v>
      </c>
      <c r="AV8" s="1">
        <v>10.52</v>
      </c>
      <c r="AW8" s="1">
        <v>62</v>
      </c>
      <c r="AX8" s="1">
        <v>3593060</v>
      </c>
      <c r="AY8" s="1">
        <v>2.13</v>
      </c>
      <c r="AZ8" s="1" t="s">
        <v>64</v>
      </c>
      <c r="BA8" s="1">
        <v>10.52</v>
      </c>
      <c r="BB8" s="1">
        <v>0</v>
      </c>
      <c r="BC8" s="1">
        <v>227166</v>
      </c>
      <c r="BD8" s="1">
        <v>14820</v>
      </c>
      <c r="BE8" s="1">
        <v>11810</v>
      </c>
      <c r="BF8" s="1">
        <v>8.768000000000001</v>
      </c>
      <c r="BG8" s="1">
        <v>8573</v>
      </c>
      <c r="BH8" s="1">
        <v>3362066</v>
      </c>
      <c r="BI8" s="1">
        <v>0</v>
      </c>
      <c r="BJ8" s="1">
        <v>7.918000000000001</v>
      </c>
      <c r="BK8" s="1">
        <v>454</v>
      </c>
      <c r="BL8" s="1">
        <v>0</v>
      </c>
      <c r="BM8" s="1">
        <v>1</v>
      </c>
      <c r="BN8" s="1">
        <v>8.92</v>
      </c>
      <c r="BO8" s="1">
        <v>60</v>
      </c>
      <c r="BP8" s="1">
        <v>3362126</v>
      </c>
      <c r="BQ8" s="1">
        <v>0.85</v>
      </c>
      <c r="BR8" s="1" t="s">
        <v>64</v>
      </c>
      <c r="BS8" s="1">
        <v>8.92</v>
      </c>
      <c r="BT8" s="1">
        <v>0</v>
      </c>
      <c r="BU8" s="1">
        <v>7380</v>
      </c>
      <c r="BV8" s="1">
        <v>14822</v>
      </c>
      <c r="BW8" s="1">
        <v>60</v>
      </c>
      <c r="BX8" s="1">
        <v>7.779</v>
      </c>
      <c r="BY8" s="1">
        <v>0</v>
      </c>
      <c r="BZ8" s="1">
        <v>3362066</v>
      </c>
      <c r="CA8" s="1">
        <v>0</v>
      </c>
      <c r="CB8" s="1">
        <v>7.779</v>
      </c>
      <c r="CC8" s="1">
        <v>454</v>
      </c>
      <c r="CD8" s="1">
        <v>0</v>
      </c>
      <c r="CE8" s="1">
        <v>1</v>
      </c>
      <c r="CF8" s="1">
        <v>7.82</v>
      </c>
      <c r="CG8" s="1">
        <v>0</v>
      </c>
      <c r="CH8" s="1">
        <v>3362128</v>
      </c>
      <c r="CI8" s="1">
        <v>0</v>
      </c>
      <c r="CJ8" s="1" t="s">
        <v>64</v>
      </c>
      <c r="CK8" s="1">
        <v>7.82</v>
      </c>
      <c r="CL8" s="1">
        <v>0</v>
      </c>
      <c r="CM8" s="1">
        <v>7380</v>
      </c>
      <c r="CN8" s="1">
        <v>245520</v>
      </c>
      <c r="CO8" s="1">
        <v>22673</v>
      </c>
      <c r="CP8" s="1">
        <v>286.405</v>
      </c>
      <c r="CQ8" s="1">
        <v>17259</v>
      </c>
      <c r="CR8" s="1">
        <v>4021476</v>
      </c>
      <c r="CS8" s="1">
        <v>0</v>
      </c>
      <c r="CT8" s="1">
        <v>7.564999999999998</v>
      </c>
      <c r="CU8" s="1">
        <v>712</v>
      </c>
      <c r="CV8" s="1">
        <v>0</v>
      </c>
      <c r="CW8" s="1">
        <v>1</v>
      </c>
      <c r="CX8" s="1">
        <v>286.59</v>
      </c>
      <c r="CY8" s="1">
        <v>101</v>
      </c>
      <c r="CZ8" s="1">
        <v>3593062</v>
      </c>
      <c r="DA8" s="1">
        <v>278.84</v>
      </c>
      <c r="DB8" s="1" t="s">
        <v>64</v>
      </c>
      <c r="DC8" s="1">
        <v>286.59</v>
      </c>
      <c r="DD8" s="1">
        <v>0</v>
      </c>
      <c r="DE8" s="1">
        <v>227106</v>
      </c>
      <c r="DF8" s="1">
        <v>185</v>
      </c>
      <c r="DG8" s="1">
        <v>57</v>
      </c>
      <c r="DH8" s="1">
        <v>0.02</v>
      </c>
      <c r="DI8" s="1">
        <v>0</v>
      </c>
      <c r="DJ8" s="1">
        <v>2</v>
      </c>
      <c r="DK8" s="1">
        <v>0</v>
      </c>
      <c r="DL8" s="1">
        <v>0.02</v>
      </c>
      <c r="DM8" s="1">
        <v>1</v>
      </c>
      <c r="DN8" s="1">
        <v>0</v>
      </c>
      <c r="DO8" s="1">
        <v>1</v>
      </c>
      <c r="DP8" s="1">
        <v>0.19</v>
      </c>
      <c r="DQ8" s="1">
        <v>0</v>
      </c>
      <c r="DR8" s="1">
        <v>186</v>
      </c>
      <c r="DS8" s="1">
        <v>0</v>
      </c>
      <c r="DT8" s="1" t="s">
        <v>64</v>
      </c>
      <c r="DU8" s="1">
        <v>0.19</v>
      </c>
      <c r="DV8" s="1">
        <v>0</v>
      </c>
      <c r="DW8" s="1">
        <v>61</v>
      </c>
      <c r="DX8" s="1">
        <v>14822</v>
      </c>
      <c r="DY8" s="1">
        <v>11810</v>
      </c>
      <c r="DZ8" s="1">
        <v>6.948</v>
      </c>
      <c r="EA8" s="1">
        <v>8573</v>
      </c>
      <c r="EB8" s="1">
        <v>3362066</v>
      </c>
      <c r="EC8" s="1">
        <v>0</v>
      </c>
      <c r="ED8" s="1">
        <v>6.158</v>
      </c>
      <c r="EE8" s="1">
        <v>454</v>
      </c>
      <c r="EF8" s="1">
        <v>0</v>
      </c>
      <c r="EG8" s="1">
        <v>1</v>
      </c>
      <c r="EH8" s="1">
        <v>6.98</v>
      </c>
      <c r="EI8" s="1">
        <v>60</v>
      </c>
      <c r="EJ8" s="1">
        <v>3362128</v>
      </c>
      <c r="EK8" s="1">
        <v>0.79</v>
      </c>
      <c r="EL8" s="1" t="s">
        <v>64</v>
      </c>
      <c r="EM8" s="1">
        <v>6.98</v>
      </c>
      <c r="EN8" s="1">
        <v>0</v>
      </c>
      <c r="EO8" s="1">
        <v>7380</v>
      </c>
      <c r="EP8" s="1">
        <v>20311</v>
      </c>
      <c r="EQ8" s="1">
        <v>1668059</v>
      </c>
      <c r="ER8" s="1">
        <v>152.433</v>
      </c>
      <c r="ES8" s="1">
        <v>1462705</v>
      </c>
      <c r="ET8" s="1">
        <v>3362308</v>
      </c>
      <c r="EU8" s="1">
        <v>0</v>
      </c>
      <c r="EV8" s="1">
        <v>8.043000000000006</v>
      </c>
      <c r="EW8" s="1">
        <v>480</v>
      </c>
      <c r="EX8" s="1">
        <v>0</v>
      </c>
      <c r="EY8" s="1">
        <v>1</v>
      </c>
      <c r="EZ8" s="1">
        <v>152.47</v>
      </c>
      <c r="FA8" s="1">
        <v>4092</v>
      </c>
      <c r="FB8" s="1">
        <v>3587455</v>
      </c>
      <c r="FC8" s="1">
        <v>144.39</v>
      </c>
      <c r="FD8" s="1" t="s">
        <v>64</v>
      </c>
      <c r="FE8" s="1">
        <v>152.47</v>
      </c>
      <c r="FF8" s="1">
        <v>0</v>
      </c>
      <c r="FG8" s="1">
        <v>7442</v>
      </c>
      <c r="FH8" s="1">
        <v>25798</v>
      </c>
      <c r="FI8" s="1">
        <v>23762</v>
      </c>
      <c r="FJ8" s="1">
        <v>7.665</v>
      </c>
      <c r="FK8" s="1">
        <v>18034</v>
      </c>
      <c r="FL8" s="1">
        <v>3362436</v>
      </c>
      <c r="FM8" s="1">
        <v>0</v>
      </c>
      <c r="FN8" s="1">
        <v>6.375</v>
      </c>
      <c r="FO8" s="1">
        <v>466</v>
      </c>
      <c r="FP8" s="1">
        <v>0</v>
      </c>
      <c r="FQ8" s="1">
        <v>1</v>
      </c>
      <c r="FR8" s="1">
        <v>7.69</v>
      </c>
      <c r="FS8" s="1">
        <v>107</v>
      </c>
      <c r="FT8" s="1">
        <v>3593060</v>
      </c>
      <c r="FU8" s="1">
        <v>1.29</v>
      </c>
      <c r="FV8" s="1" t="s">
        <v>64</v>
      </c>
      <c r="FW8" s="1">
        <v>7.69</v>
      </c>
      <c r="FX8" s="1">
        <v>0</v>
      </c>
      <c r="FY8" s="1">
        <v>7446</v>
      </c>
      <c r="FZ8" s="1">
        <v>25798</v>
      </c>
      <c r="GA8" s="1">
        <v>13853</v>
      </c>
      <c r="GB8" s="1">
        <v>8.721</v>
      </c>
      <c r="GC8" s="1">
        <v>10513</v>
      </c>
      <c r="GD8" s="1">
        <v>4021596</v>
      </c>
      <c r="GE8" s="1">
        <v>0</v>
      </c>
      <c r="GF8" s="1">
        <v>6.681</v>
      </c>
      <c r="GG8" s="1">
        <v>549</v>
      </c>
      <c r="GH8" s="1">
        <v>0</v>
      </c>
      <c r="GI8" s="1">
        <v>1</v>
      </c>
      <c r="GJ8" s="1">
        <v>8.76</v>
      </c>
      <c r="GK8" s="1">
        <v>62</v>
      </c>
      <c r="GL8" s="1">
        <v>3593060</v>
      </c>
      <c r="GM8" s="1">
        <v>2.04</v>
      </c>
      <c r="GN8" s="1" t="s">
        <v>64</v>
      </c>
      <c r="GO8" s="1">
        <v>8.76</v>
      </c>
      <c r="GP8" s="1">
        <v>0</v>
      </c>
      <c r="GQ8" s="1">
        <v>227166</v>
      </c>
      <c r="GR8" s="1">
        <v>14820</v>
      </c>
      <c r="GS8" s="1">
        <v>11810</v>
      </c>
      <c r="GT8" s="1">
        <v>8.611000000000001</v>
      </c>
      <c r="GU8" s="1">
        <v>8573</v>
      </c>
      <c r="GV8" s="1">
        <v>3362066</v>
      </c>
      <c r="GW8" s="1">
        <v>0</v>
      </c>
      <c r="GX8" s="1">
        <v>7.801</v>
      </c>
      <c r="GY8" s="1">
        <v>455</v>
      </c>
      <c r="GZ8" s="1">
        <v>0</v>
      </c>
      <c r="HA8" s="1">
        <v>1</v>
      </c>
      <c r="HB8" s="1">
        <v>8.66</v>
      </c>
      <c r="HC8" s="1">
        <v>60</v>
      </c>
      <c r="HD8" s="1">
        <v>3362126</v>
      </c>
      <c r="HE8" s="1">
        <v>0.8100000000000001</v>
      </c>
      <c r="HF8" s="1" t="s">
        <v>64</v>
      </c>
      <c r="HG8" s="1">
        <v>8.66</v>
      </c>
      <c r="HH8" s="1">
        <v>0</v>
      </c>
      <c r="HI8" s="1">
        <v>7380</v>
      </c>
      <c r="HJ8" s="1">
        <v>14823</v>
      </c>
      <c r="HK8" s="1">
        <v>60</v>
      </c>
      <c r="HL8" s="1">
        <v>7.873</v>
      </c>
      <c r="HM8" s="1">
        <v>0</v>
      </c>
      <c r="HN8" s="1">
        <v>3362066</v>
      </c>
      <c r="HO8" s="1">
        <v>0</v>
      </c>
      <c r="HP8" s="1">
        <v>7.853000000000001</v>
      </c>
      <c r="HQ8" s="1">
        <v>457</v>
      </c>
      <c r="HR8" s="1">
        <v>0</v>
      </c>
      <c r="HS8" s="1">
        <v>1</v>
      </c>
      <c r="HT8" s="1">
        <v>7.91</v>
      </c>
      <c r="HU8" s="1">
        <v>0</v>
      </c>
      <c r="HV8" s="1">
        <v>3362129</v>
      </c>
      <c r="HW8" s="1">
        <v>0.02</v>
      </c>
      <c r="HX8" s="1" t="s">
        <v>64</v>
      </c>
      <c r="HY8" s="1">
        <v>7.91</v>
      </c>
      <c r="HZ8" s="1">
        <v>0</v>
      </c>
      <c r="IA8" s="1">
        <v>7380</v>
      </c>
      <c r="IB8" s="1">
        <v>245521</v>
      </c>
      <c r="IC8" s="1">
        <v>665</v>
      </c>
      <c r="ID8" s="1">
        <v>599.929</v>
      </c>
      <c r="IE8" s="1">
        <v>399</v>
      </c>
      <c r="IF8" s="1">
        <v>4021476</v>
      </c>
      <c r="IG8" s="1">
        <v>0</v>
      </c>
      <c r="IH8" s="1">
        <v>16.57899999999995</v>
      </c>
      <c r="II8" s="1">
        <v>662</v>
      </c>
      <c r="IJ8" s="1">
        <v>0</v>
      </c>
      <c r="IK8" s="1">
        <v>0</v>
      </c>
      <c r="IL8" s="1">
        <v>1200</v>
      </c>
      <c r="IM8" s="1">
        <v>4</v>
      </c>
      <c r="IN8" s="1">
        <v>3593063</v>
      </c>
      <c r="IO8" s="1">
        <v>583.35</v>
      </c>
      <c r="IP8" s="1" t="s">
        <v>65</v>
      </c>
      <c r="IQ8" s="1">
        <v>600</v>
      </c>
      <c r="IR8" s="1">
        <v>1</v>
      </c>
      <c r="IS8" s="1">
        <v>227106</v>
      </c>
      <c r="IT8" s="1">
        <v>186</v>
      </c>
      <c r="IU8" s="1">
        <v>57</v>
      </c>
      <c r="IV8" s="1">
        <v>0.038</v>
      </c>
      <c r="IW8" s="1">
        <v>0</v>
      </c>
      <c r="IX8" s="1">
        <v>2</v>
      </c>
      <c r="IY8" s="1">
        <v>0</v>
      </c>
      <c r="IZ8" s="1">
        <v>0.028</v>
      </c>
      <c r="JA8" s="1">
        <v>0</v>
      </c>
      <c r="JB8" s="1">
        <v>0</v>
      </c>
      <c r="JC8" s="1">
        <v>1</v>
      </c>
      <c r="JD8" s="1">
        <v>0.05</v>
      </c>
      <c r="JE8" s="1">
        <v>0</v>
      </c>
      <c r="JF8" s="1">
        <v>187</v>
      </c>
      <c r="JG8" s="1">
        <v>0.01</v>
      </c>
      <c r="JH8" s="1" t="s">
        <v>64</v>
      </c>
      <c r="JI8" s="1">
        <v>0.05</v>
      </c>
      <c r="JJ8" s="1">
        <v>0</v>
      </c>
      <c r="JK8" s="1">
        <v>61</v>
      </c>
      <c r="JL8" s="1">
        <v>14823</v>
      </c>
      <c r="JM8" s="1">
        <v>11810</v>
      </c>
      <c r="JN8" s="1">
        <v>10.17</v>
      </c>
      <c r="JO8" s="1">
        <v>8573</v>
      </c>
      <c r="JP8" s="1">
        <v>3362066</v>
      </c>
      <c r="JQ8" s="1">
        <v>0</v>
      </c>
      <c r="JR8" s="1">
        <v>7.96</v>
      </c>
      <c r="JS8" s="1">
        <v>454</v>
      </c>
      <c r="JT8" s="1">
        <v>0</v>
      </c>
      <c r="JU8" s="1">
        <v>1</v>
      </c>
      <c r="JV8" s="1">
        <v>10.23</v>
      </c>
      <c r="JW8" s="1">
        <v>60</v>
      </c>
      <c r="JX8" s="1">
        <v>3362129</v>
      </c>
      <c r="JY8" s="1">
        <v>2.21</v>
      </c>
      <c r="JZ8" s="1" t="s">
        <v>64</v>
      </c>
      <c r="KA8" s="1">
        <v>10.23</v>
      </c>
      <c r="KB8" s="1">
        <v>0</v>
      </c>
      <c r="KC8" s="1">
        <v>7380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27546</v>
      </c>
      <c r="C9" s="1">
        <v>5077911</v>
      </c>
      <c r="D9" s="1">
        <v>599.9829999999999</v>
      </c>
      <c r="E9" s="1">
        <v>4414072</v>
      </c>
      <c r="F9" s="1">
        <v>6193318</v>
      </c>
      <c r="G9" s="1">
        <v>0</v>
      </c>
      <c r="H9" s="1">
        <v>15.99299999999994</v>
      </c>
      <c r="I9" s="1">
        <v>882</v>
      </c>
      <c r="J9" s="1">
        <v>0</v>
      </c>
      <c r="K9" s="1">
        <v>0</v>
      </c>
      <c r="L9" s="1">
        <v>1200</v>
      </c>
      <c r="M9" s="1">
        <v>11002</v>
      </c>
      <c r="N9" s="1">
        <v>6548740</v>
      </c>
      <c r="O9" s="1">
        <v>583.99</v>
      </c>
      <c r="P9" s="1" t="s">
        <v>65</v>
      </c>
      <c r="Q9" s="1">
        <v>600</v>
      </c>
      <c r="R9" s="1">
        <v>1</v>
      </c>
      <c r="S9" s="1">
        <v>10082</v>
      </c>
      <c r="T9" s="1">
        <v>34998</v>
      </c>
      <c r="U9" s="1">
        <v>44451</v>
      </c>
      <c r="V9" s="1">
        <v>19.453</v>
      </c>
      <c r="W9" s="1">
        <v>34150</v>
      </c>
      <c r="X9" s="1">
        <v>6193466</v>
      </c>
      <c r="Y9" s="1">
        <v>0</v>
      </c>
      <c r="Z9" s="1">
        <v>15.173</v>
      </c>
      <c r="AA9" s="1">
        <v>864</v>
      </c>
      <c r="AB9" s="1">
        <v>0</v>
      </c>
      <c r="AC9" s="1">
        <v>1</v>
      </c>
      <c r="AD9" s="1">
        <v>19.51</v>
      </c>
      <c r="AE9" s="1">
        <v>163</v>
      </c>
      <c r="AF9" s="1">
        <v>6556330</v>
      </c>
      <c r="AG9" s="1">
        <v>4.28</v>
      </c>
      <c r="AH9" s="1" t="s">
        <v>64</v>
      </c>
      <c r="AI9" s="1">
        <v>19.51</v>
      </c>
      <c r="AJ9" s="1">
        <v>0</v>
      </c>
      <c r="AK9" s="1">
        <v>10086</v>
      </c>
      <c r="AL9" s="1">
        <v>34998</v>
      </c>
      <c r="AM9" s="1">
        <v>21202</v>
      </c>
      <c r="AN9" s="1">
        <v>17.551</v>
      </c>
      <c r="AO9" s="1">
        <v>15463</v>
      </c>
      <c r="AP9" s="1">
        <v>7237586</v>
      </c>
      <c r="AQ9" s="1">
        <v>0</v>
      </c>
      <c r="AR9" s="1">
        <v>12.991</v>
      </c>
      <c r="AS9" s="1">
        <v>977</v>
      </c>
      <c r="AT9" s="1">
        <v>0</v>
      </c>
      <c r="AU9" s="1">
        <v>1</v>
      </c>
      <c r="AV9" s="1">
        <v>17.6</v>
      </c>
      <c r="AW9" s="1">
        <v>90</v>
      </c>
      <c r="AX9" s="1">
        <v>6556330</v>
      </c>
      <c r="AY9" s="1">
        <v>4.56</v>
      </c>
      <c r="AZ9" s="1" t="s">
        <v>64</v>
      </c>
      <c r="BA9" s="1">
        <v>17.6</v>
      </c>
      <c r="BB9" s="1">
        <v>0</v>
      </c>
      <c r="BC9" s="1">
        <v>358126</v>
      </c>
      <c r="BD9" s="1">
        <v>20090</v>
      </c>
      <c r="BE9" s="1">
        <v>9057</v>
      </c>
      <c r="BF9" s="1">
        <v>15.491</v>
      </c>
      <c r="BG9" s="1">
        <v>6214</v>
      </c>
      <c r="BH9" s="1">
        <v>6193036</v>
      </c>
      <c r="BI9" s="1">
        <v>0</v>
      </c>
      <c r="BJ9" s="1">
        <v>14.601</v>
      </c>
      <c r="BK9" s="1">
        <v>844</v>
      </c>
      <c r="BL9" s="1">
        <v>0</v>
      </c>
      <c r="BM9" s="1">
        <v>1</v>
      </c>
      <c r="BN9" s="1">
        <v>15.62</v>
      </c>
      <c r="BO9" s="1">
        <v>44</v>
      </c>
      <c r="BP9" s="1">
        <v>6193106</v>
      </c>
      <c r="BQ9" s="1">
        <v>0.89</v>
      </c>
      <c r="BR9" s="1" t="s">
        <v>64</v>
      </c>
      <c r="BS9" s="1">
        <v>15.62</v>
      </c>
      <c r="BT9" s="1">
        <v>0</v>
      </c>
      <c r="BU9" s="1">
        <v>10010</v>
      </c>
      <c r="BV9" s="1">
        <v>20092</v>
      </c>
      <c r="BW9" s="1">
        <v>70</v>
      </c>
      <c r="BX9" s="1">
        <v>15.243</v>
      </c>
      <c r="BY9" s="1">
        <v>0</v>
      </c>
      <c r="BZ9" s="1">
        <v>6193036</v>
      </c>
      <c r="CA9" s="1">
        <v>0</v>
      </c>
      <c r="CB9" s="1">
        <v>15.233</v>
      </c>
      <c r="CC9" s="1">
        <v>845</v>
      </c>
      <c r="CD9" s="1">
        <v>0</v>
      </c>
      <c r="CE9" s="1">
        <v>1</v>
      </c>
      <c r="CF9" s="1">
        <v>15.3</v>
      </c>
      <c r="CG9" s="1">
        <v>0</v>
      </c>
      <c r="CH9" s="1">
        <v>6193108</v>
      </c>
      <c r="CI9" s="1">
        <v>0.01</v>
      </c>
      <c r="CJ9" s="1" t="s">
        <v>64</v>
      </c>
      <c r="CK9" s="1">
        <v>15.3</v>
      </c>
      <c r="CL9" s="1">
        <v>0</v>
      </c>
      <c r="CM9" s="1">
        <v>10010</v>
      </c>
      <c r="CN9" s="1">
        <v>383040</v>
      </c>
      <c r="CO9" s="1">
        <v>26186</v>
      </c>
      <c r="CP9" s="1">
        <v>599.987</v>
      </c>
      <c r="CQ9" s="1">
        <v>19270</v>
      </c>
      <c r="CR9" s="1">
        <v>7237446</v>
      </c>
      <c r="CS9" s="1">
        <v>0</v>
      </c>
      <c r="CT9" s="1">
        <v>17.21699999999998</v>
      </c>
      <c r="CU9" s="1">
        <v>1252</v>
      </c>
      <c r="CV9" s="1">
        <v>0</v>
      </c>
      <c r="CW9" s="1">
        <v>0</v>
      </c>
      <c r="CX9" s="1">
        <v>1200</v>
      </c>
      <c r="CY9" s="1">
        <v>109</v>
      </c>
      <c r="CZ9" s="1">
        <v>6556332</v>
      </c>
      <c r="DA9" s="1">
        <v>582.77</v>
      </c>
      <c r="DB9" s="1" t="s">
        <v>65</v>
      </c>
      <c r="DC9" s="1">
        <v>600</v>
      </c>
      <c r="DD9" s="1">
        <v>1</v>
      </c>
      <c r="DE9" s="1">
        <v>358056</v>
      </c>
      <c r="DF9" s="1">
        <v>215</v>
      </c>
      <c r="DG9" s="1">
        <v>68</v>
      </c>
      <c r="DH9" s="1">
        <v>0.017</v>
      </c>
      <c r="DI9" s="1">
        <v>0</v>
      </c>
      <c r="DJ9" s="1">
        <v>2</v>
      </c>
      <c r="DK9" s="1">
        <v>0</v>
      </c>
      <c r="DL9" s="1">
        <v>0.017</v>
      </c>
      <c r="DM9" s="1">
        <v>0</v>
      </c>
      <c r="DN9" s="1">
        <v>0</v>
      </c>
      <c r="DO9" s="1">
        <v>1</v>
      </c>
      <c r="DP9" s="1">
        <v>0.09</v>
      </c>
      <c r="DQ9" s="1">
        <v>0</v>
      </c>
      <c r="DR9" s="1">
        <v>216</v>
      </c>
      <c r="DS9" s="1">
        <v>0</v>
      </c>
      <c r="DT9" s="1" t="s">
        <v>64</v>
      </c>
      <c r="DU9" s="1">
        <v>0.09</v>
      </c>
      <c r="DV9" s="1">
        <v>0</v>
      </c>
      <c r="DW9" s="1">
        <v>71</v>
      </c>
      <c r="DX9" s="1">
        <v>20092</v>
      </c>
      <c r="DY9" s="1">
        <v>9057</v>
      </c>
      <c r="DZ9" s="1">
        <v>15.152</v>
      </c>
      <c r="EA9" s="1">
        <v>6214</v>
      </c>
      <c r="EB9" s="1">
        <v>6193036</v>
      </c>
      <c r="EC9" s="1">
        <v>0</v>
      </c>
      <c r="ED9" s="1">
        <v>14.142</v>
      </c>
      <c r="EE9" s="1">
        <v>845</v>
      </c>
      <c r="EF9" s="1">
        <v>0</v>
      </c>
      <c r="EG9" s="1">
        <v>1</v>
      </c>
      <c r="EH9" s="1">
        <v>15.21</v>
      </c>
      <c r="EI9" s="1">
        <v>44</v>
      </c>
      <c r="EJ9" s="1">
        <v>6193108</v>
      </c>
      <c r="EK9" s="1">
        <v>1.01</v>
      </c>
      <c r="EL9" s="1" t="s">
        <v>64</v>
      </c>
      <c r="EM9" s="1">
        <v>15.21</v>
      </c>
      <c r="EN9" s="1">
        <v>0</v>
      </c>
      <c r="EO9" s="1">
        <v>10010</v>
      </c>
      <c r="EP9" s="1">
        <v>27546</v>
      </c>
      <c r="EQ9" s="1">
        <v>5674063</v>
      </c>
      <c r="ER9" s="1">
        <v>599.997</v>
      </c>
      <c r="ES9" s="1">
        <v>4932900</v>
      </c>
      <c r="ET9" s="1">
        <v>6193318</v>
      </c>
      <c r="EU9" s="1">
        <v>0</v>
      </c>
      <c r="EV9" s="1">
        <v>12.56700000000001</v>
      </c>
      <c r="EW9" s="1">
        <v>873</v>
      </c>
      <c r="EX9" s="1">
        <v>0</v>
      </c>
      <c r="EY9" s="1">
        <v>0</v>
      </c>
      <c r="EZ9" s="1">
        <v>1200</v>
      </c>
      <c r="FA9" s="1">
        <v>12284</v>
      </c>
      <c r="FB9" s="1">
        <v>6548740</v>
      </c>
      <c r="FC9" s="1">
        <v>587.4299999999999</v>
      </c>
      <c r="FD9" s="1" t="s">
        <v>65</v>
      </c>
      <c r="FE9" s="1">
        <v>600</v>
      </c>
      <c r="FF9" s="1">
        <v>1</v>
      </c>
      <c r="FG9" s="1">
        <v>10082</v>
      </c>
      <c r="FH9" s="1">
        <v>34998</v>
      </c>
      <c r="FI9" s="1">
        <v>44451</v>
      </c>
      <c r="FJ9" s="1">
        <v>19.139</v>
      </c>
      <c r="FK9" s="1">
        <v>34150</v>
      </c>
      <c r="FL9" s="1">
        <v>6193466</v>
      </c>
      <c r="FM9" s="1">
        <v>0</v>
      </c>
      <c r="FN9" s="1">
        <v>14.899</v>
      </c>
      <c r="FO9" s="1">
        <v>865</v>
      </c>
      <c r="FP9" s="1">
        <v>0</v>
      </c>
      <c r="FQ9" s="1">
        <v>1</v>
      </c>
      <c r="FR9" s="1">
        <v>19.2</v>
      </c>
      <c r="FS9" s="1">
        <v>163</v>
      </c>
      <c r="FT9" s="1">
        <v>6556330</v>
      </c>
      <c r="FU9" s="1">
        <v>4.24</v>
      </c>
      <c r="FV9" s="1" t="s">
        <v>64</v>
      </c>
      <c r="FW9" s="1">
        <v>19.2</v>
      </c>
      <c r="FX9" s="1">
        <v>0</v>
      </c>
      <c r="FY9" s="1">
        <v>10086</v>
      </c>
      <c r="FZ9" s="1">
        <v>34998</v>
      </c>
      <c r="GA9" s="1">
        <v>21202</v>
      </c>
      <c r="GB9" s="1">
        <v>21.181</v>
      </c>
      <c r="GC9" s="1">
        <v>15463</v>
      </c>
      <c r="GD9" s="1">
        <v>7237586</v>
      </c>
      <c r="GE9" s="1">
        <v>0</v>
      </c>
      <c r="GF9" s="1">
        <v>16.241</v>
      </c>
      <c r="GG9" s="1">
        <v>992</v>
      </c>
      <c r="GH9" s="1">
        <v>0</v>
      </c>
      <c r="GI9" s="1">
        <v>1</v>
      </c>
      <c r="GJ9" s="1">
        <v>21.27</v>
      </c>
      <c r="GK9" s="1">
        <v>90</v>
      </c>
      <c r="GL9" s="1">
        <v>6556330</v>
      </c>
      <c r="GM9" s="1">
        <v>4.94</v>
      </c>
      <c r="GN9" s="1" t="s">
        <v>64</v>
      </c>
      <c r="GO9" s="1">
        <v>21.27</v>
      </c>
      <c r="GP9" s="1">
        <v>0</v>
      </c>
      <c r="GQ9" s="1">
        <v>358126</v>
      </c>
      <c r="GR9" s="1">
        <v>20090</v>
      </c>
      <c r="GS9" s="1">
        <v>9057</v>
      </c>
      <c r="GT9" s="1">
        <v>15.297</v>
      </c>
      <c r="GU9" s="1">
        <v>6214</v>
      </c>
      <c r="GV9" s="1">
        <v>6193036</v>
      </c>
      <c r="GW9" s="1">
        <v>0</v>
      </c>
      <c r="GX9" s="1">
        <v>14.417</v>
      </c>
      <c r="GY9" s="1">
        <v>846</v>
      </c>
      <c r="GZ9" s="1">
        <v>0</v>
      </c>
      <c r="HA9" s="1">
        <v>1</v>
      </c>
      <c r="HB9" s="1">
        <v>15.36</v>
      </c>
      <c r="HC9" s="1">
        <v>44</v>
      </c>
      <c r="HD9" s="1">
        <v>6193106</v>
      </c>
      <c r="HE9" s="1">
        <v>0.88</v>
      </c>
      <c r="HF9" s="1" t="s">
        <v>64</v>
      </c>
      <c r="HG9" s="1">
        <v>15.36</v>
      </c>
      <c r="HH9" s="1">
        <v>0</v>
      </c>
      <c r="HI9" s="1">
        <v>10010</v>
      </c>
      <c r="HJ9" s="1">
        <v>20093</v>
      </c>
      <c r="HK9" s="1">
        <v>70</v>
      </c>
      <c r="HL9" s="1">
        <v>15.188</v>
      </c>
      <c r="HM9" s="1">
        <v>0</v>
      </c>
      <c r="HN9" s="1">
        <v>6193036</v>
      </c>
      <c r="HO9" s="1">
        <v>0</v>
      </c>
      <c r="HP9" s="1">
        <v>15.158</v>
      </c>
      <c r="HQ9" s="1">
        <v>848</v>
      </c>
      <c r="HR9" s="1">
        <v>0</v>
      </c>
      <c r="HS9" s="1">
        <v>1</v>
      </c>
      <c r="HT9" s="1">
        <v>15.25</v>
      </c>
      <c r="HU9" s="1">
        <v>0</v>
      </c>
      <c r="HV9" s="1">
        <v>6193109</v>
      </c>
      <c r="HW9" s="1">
        <v>0.03</v>
      </c>
      <c r="HX9" s="1" t="s">
        <v>64</v>
      </c>
      <c r="HY9" s="1">
        <v>15.25</v>
      </c>
      <c r="HZ9" s="1">
        <v>0</v>
      </c>
      <c r="IA9" s="1">
        <v>10010</v>
      </c>
      <c r="IB9" s="1">
        <v>383041</v>
      </c>
      <c r="IC9" s="1">
        <v>580</v>
      </c>
      <c r="ID9" s="1">
        <v>599.92</v>
      </c>
      <c r="IE9" s="1">
        <v>327</v>
      </c>
      <c r="IF9" s="1">
        <v>7237446</v>
      </c>
      <c r="IG9" s="1">
        <v>0</v>
      </c>
      <c r="IH9" s="1">
        <v>27.96999999999991</v>
      </c>
      <c r="II9" s="1">
        <v>1164</v>
      </c>
      <c r="IJ9" s="1">
        <v>0</v>
      </c>
      <c r="IK9" s="1">
        <v>0</v>
      </c>
      <c r="IL9" s="1">
        <v>1200</v>
      </c>
      <c r="IM9" s="1">
        <v>3</v>
      </c>
      <c r="IN9" s="1">
        <v>6556333</v>
      </c>
      <c r="IO9" s="1">
        <v>571.95</v>
      </c>
      <c r="IP9" s="1" t="s">
        <v>65</v>
      </c>
      <c r="IQ9" s="1">
        <v>600</v>
      </c>
      <c r="IR9" s="1">
        <v>1</v>
      </c>
      <c r="IS9" s="1">
        <v>358056</v>
      </c>
      <c r="IT9" s="1">
        <v>216</v>
      </c>
      <c r="IU9" s="1">
        <v>68</v>
      </c>
      <c r="IV9" s="1">
        <v>0.043</v>
      </c>
      <c r="IW9" s="1">
        <v>0</v>
      </c>
      <c r="IX9" s="1">
        <v>2</v>
      </c>
      <c r="IY9" s="1">
        <v>0</v>
      </c>
      <c r="IZ9" s="1">
        <v>0.023</v>
      </c>
      <c r="JA9" s="1">
        <v>0</v>
      </c>
      <c r="JB9" s="1">
        <v>0</v>
      </c>
      <c r="JC9" s="1">
        <v>1</v>
      </c>
      <c r="JD9" s="1">
        <v>0.06</v>
      </c>
      <c r="JE9" s="1">
        <v>0</v>
      </c>
      <c r="JF9" s="1">
        <v>217</v>
      </c>
      <c r="JG9" s="1">
        <v>0.02</v>
      </c>
      <c r="JH9" s="1" t="s">
        <v>64</v>
      </c>
      <c r="JI9" s="1">
        <v>0.06</v>
      </c>
      <c r="JJ9" s="1">
        <v>0</v>
      </c>
      <c r="JK9" s="1">
        <v>71</v>
      </c>
      <c r="JL9" s="1">
        <v>20093</v>
      </c>
      <c r="JM9" s="1">
        <v>9057</v>
      </c>
      <c r="JN9" s="1">
        <v>13.944</v>
      </c>
      <c r="JO9" s="1">
        <v>6214</v>
      </c>
      <c r="JP9" s="1">
        <v>6193036</v>
      </c>
      <c r="JQ9" s="1">
        <v>0</v>
      </c>
      <c r="JR9" s="1">
        <v>12.004</v>
      </c>
      <c r="JS9" s="1">
        <v>849</v>
      </c>
      <c r="JT9" s="1">
        <v>0</v>
      </c>
      <c r="JU9" s="1">
        <v>1</v>
      </c>
      <c r="JV9" s="1">
        <v>13.99</v>
      </c>
      <c r="JW9" s="1">
        <v>44</v>
      </c>
      <c r="JX9" s="1">
        <v>6193109</v>
      </c>
      <c r="JY9" s="1">
        <v>1.94</v>
      </c>
      <c r="JZ9" s="1" t="s">
        <v>64</v>
      </c>
      <c r="KA9" s="1">
        <v>13.99</v>
      </c>
      <c r="KB9" s="1">
        <v>0</v>
      </c>
      <c r="KC9" s="1">
        <v>10010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>
        <v>35881</v>
      </c>
      <c r="C10" s="1">
        <v>3516575</v>
      </c>
      <c r="D10" s="1">
        <v>599.998</v>
      </c>
      <c r="E10" s="1">
        <v>2940500</v>
      </c>
      <c r="F10" s="1">
        <v>10521078</v>
      </c>
      <c r="G10" s="1">
        <v>0</v>
      </c>
      <c r="H10" s="1">
        <v>22.15800000000002</v>
      </c>
      <c r="I10" s="1">
        <v>1363</v>
      </c>
      <c r="J10" s="1">
        <v>0</v>
      </c>
      <c r="K10" s="1">
        <v>0</v>
      </c>
      <c r="L10" s="1">
        <v>1200</v>
      </c>
      <c r="M10" s="1">
        <v>8186</v>
      </c>
      <c r="N10" s="1">
        <v>11049275</v>
      </c>
      <c r="O10" s="1">
        <v>577.84</v>
      </c>
      <c r="P10" s="1" t="s">
        <v>65</v>
      </c>
      <c r="Q10" s="1">
        <v>600</v>
      </c>
      <c r="R10" s="1">
        <v>1</v>
      </c>
      <c r="S10" s="1">
        <v>13122</v>
      </c>
      <c r="T10" s="1">
        <v>45598</v>
      </c>
      <c r="U10" s="1">
        <v>48687</v>
      </c>
      <c r="V10" s="1">
        <v>29.815</v>
      </c>
      <c r="W10" s="1">
        <v>35332</v>
      </c>
      <c r="X10" s="1">
        <v>10521246</v>
      </c>
      <c r="Y10" s="1">
        <v>0</v>
      </c>
      <c r="Z10" s="1">
        <v>22.565</v>
      </c>
      <c r="AA10" s="1">
        <v>1338</v>
      </c>
      <c r="AB10" s="1">
        <v>0</v>
      </c>
      <c r="AC10" s="1">
        <v>1</v>
      </c>
      <c r="AD10" s="1">
        <v>30.02</v>
      </c>
      <c r="AE10" s="1">
        <v>182</v>
      </c>
      <c r="AF10" s="1">
        <v>11059150</v>
      </c>
      <c r="AG10" s="1">
        <v>7.25</v>
      </c>
      <c r="AH10" s="1" t="s">
        <v>64</v>
      </c>
      <c r="AI10" s="1">
        <v>30.02</v>
      </c>
      <c r="AJ10" s="1">
        <v>0</v>
      </c>
      <c r="AK10" s="1">
        <v>13126</v>
      </c>
      <c r="AL10" s="1">
        <v>45598</v>
      </c>
      <c r="AM10" s="1">
        <v>95489</v>
      </c>
      <c r="AN10" s="1">
        <v>52.887</v>
      </c>
      <c r="AO10" s="1">
        <v>72454</v>
      </c>
      <c r="AP10" s="1">
        <v>12076926</v>
      </c>
      <c r="AQ10" s="1">
        <v>0</v>
      </c>
      <c r="AR10" s="1">
        <v>23.377</v>
      </c>
      <c r="AS10" s="1">
        <v>1529</v>
      </c>
      <c r="AT10" s="1">
        <v>0</v>
      </c>
      <c r="AU10" s="1">
        <v>1</v>
      </c>
      <c r="AV10" s="1">
        <v>52.96</v>
      </c>
      <c r="AW10" s="1">
        <v>315</v>
      </c>
      <c r="AX10" s="1">
        <v>11059150</v>
      </c>
      <c r="AY10" s="1">
        <v>29.51</v>
      </c>
      <c r="AZ10" s="1" t="s">
        <v>64</v>
      </c>
      <c r="BA10" s="1">
        <v>52.96</v>
      </c>
      <c r="BB10" s="1">
        <v>0</v>
      </c>
      <c r="BC10" s="1">
        <v>531686</v>
      </c>
      <c r="BD10" s="1">
        <v>26160</v>
      </c>
      <c r="BE10" s="1">
        <v>46558</v>
      </c>
      <c r="BF10" s="1">
        <v>33.394</v>
      </c>
      <c r="BG10" s="1">
        <v>34310</v>
      </c>
      <c r="BH10" s="1">
        <v>10520756</v>
      </c>
      <c r="BI10" s="1">
        <v>0</v>
      </c>
      <c r="BJ10" s="1">
        <v>26.754</v>
      </c>
      <c r="BK10" s="1">
        <v>1314</v>
      </c>
      <c r="BL10" s="1">
        <v>0</v>
      </c>
      <c r="BM10" s="1">
        <v>1</v>
      </c>
      <c r="BN10" s="1">
        <v>33.48</v>
      </c>
      <c r="BO10" s="1">
        <v>167</v>
      </c>
      <c r="BP10" s="1">
        <v>10520836</v>
      </c>
      <c r="BQ10" s="1">
        <v>6.64</v>
      </c>
      <c r="BR10" s="1" t="s">
        <v>64</v>
      </c>
      <c r="BS10" s="1">
        <v>33.48</v>
      </c>
      <c r="BT10" s="1">
        <v>0</v>
      </c>
      <c r="BU10" s="1">
        <v>13040</v>
      </c>
      <c r="BV10" s="1">
        <v>26162</v>
      </c>
      <c r="BW10" s="1">
        <v>80</v>
      </c>
      <c r="BX10" s="1">
        <v>27.433</v>
      </c>
      <c r="BY10" s="1">
        <v>0</v>
      </c>
      <c r="BZ10" s="1">
        <v>10520756</v>
      </c>
      <c r="CA10" s="1">
        <v>0</v>
      </c>
      <c r="CB10" s="1">
        <v>27.423</v>
      </c>
      <c r="CC10" s="1">
        <v>1313</v>
      </c>
      <c r="CD10" s="1">
        <v>0</v>
      </c>
      <c r="CE10" s="1">
        <v>1</v>
      </c>
      <c r="CF10" s="1">
        <v>27.51</v>
      </c>
      <c r="CG10" s="1">
        <v>0</v>
      </c>
      <c r="CH10" s="1">
        <v>10520838</v>
      </c>
      <c r="CI10" s="1">
        <v>0.01</v>
      </c>
      <c r="CJ10" s="1" t="s">
        <v>64</v>
      </c>
      <c r="CK10" s="1">
        <v>27.51</v>
      </c>
      <c r="CL10" s="1">
        <v>0</v>
      </c>
      <c r="CM10" s="1">
        <v>13040</v>
      </c>
      <c r="CN10" s="1">
        <v>564160</v>
      </c>
      <c r="CO10" s="1">
        <v>15026</v>
      </c>
      <c r="CP10" s="1">
        <v>599.987</v>
      </c>
      <c r="CQ10" s="1">
        <v>10432</v>
      </c>
      <c r="CR10" s="1">
        <v>12076766</v>
      </c>
      <c r="CS10" s="1">
        <v>0</v>
      </c>
      <c r="CT10" s="1">
        <v>31.29699999999991</v>
      </c>
      <c r="CU10" s="1">
        <v>1915</v>
      </c>
      <c r="CV10" s="1">
        <v>0</v>
      </c>
      <c r="CW10" s="1">
        <v>0</v>
      </c>
      <c r="CX10" s="1">
        <v>1200</v>
      </c>
      <c r="CY10" s="1">
        <v>62</v>
      </c>
      <c r="CZ10" s="1">
        <v>11059152</v>
      </c>
      <c r="DA10" s="1">
        <v>568.6900000000001</v>
      </c>
      <c r="DB10" s="1" t="s">
        <v>65</v>
      </c>
      <c r="DC10" s="1">
        <v>600</v>
      </c>
      <c r="DD10" s="1">
        <v>1</v>
      </c>
      <c r="DE10" s="1">
        <v>531606</v>
      </c>
      <c r="DF10" s="1">
        <v>245</v>
      </c>
      <c r="DG10" s="1">
        <v>77</v>
      </c>
      <c r="DH10" s="1">
        <v>0.002</v>
      </c>
      <c r="DI10" s="1">
        <v>0</v>
      </c>
      <c r="DJ10" s="1">
        <v>2</v>
      </c>
      <c r="DK10" s="1">
        <v>0</v>
      </c>
      <c r="DL10" s="1">
        <v>0.002</v>
      </c>
      <c r="DM10" s="1">
        <v>0</v>
      </c>
      <c r="DN10" s="1">
        <v>0</v>
      </c>
      <c r="DO10" s="1">
        <v>1</v>
      </c>
      <c r="DP10" s="1">
        <v>0.02</v>
      </c>
      <c r="DQ10" s="1">
        <v>0</v>
      </c>
      <c r="DR10" s="1">
        <v>246</v>
      </c>
      <c r="DS10" s="1">
        <v>0</v>
      </c>
      <c r="DT10" s="1" t="s">
        <v>64</v>
      </c>
      <c r="DU10" s="1">
        <v>0.02</v>
      </c>
      <c r="DV10" s="1">
        <v>0</v>
      </c>
      <c r="DW10" s="1">
        <v>81</v>
      </c>
      <c r="DX10" s="1">
        <v>26162</v>
      </c>
      <c r="DY10" s="1">
        <v>46558</v>
      </c>
      <c r="DZ10" s="1">
        <v>35.058</v>
      </c>
      <c r="EA10" s="1">
        <v>34310</v>
      </c>
      <c r="EB10" s="1">
        <v>10520756</v>
      </c>
      <c r="EC10" s="1">
        <v>0</v>
      </c>
      <c r="ED10" s="1">
        <v>27.138</v>
      </c>
      <c r="EE10" s="1">
        <v>1313</v>
      </c>
      <c r="EF10" s="1">
        <v>0</v>
      </c>
      <c r="EG10" s="1">
        <v>1</v>
      </c>
      <c r="EH10" s="1">
        <v>35.15</v>
      </c>
      <c r="EI10" s="1">
        <v>167</v>
      </c>
      <c r="EJ10" s="1">
        <v>10520838</v>
      </c>
      <c r="EK10" s="1">
        <v>7.92</v>
      </c>
      <c r="EL10" s="1" t="s">
        <v>64</v>
      </c>
      <c r="EM10" s="1">
        <v>35.15</v>
      </c>
      <c r="EN10" s="1">
        <v>0</v>
      </c>
      <c r="EO10" s="1">
        <v>13040</v>
      </c>
      <c r="EP10" s="1">
        <v>35881</v>
      </c>
      <c r="EQ10" s="1">
        <v>3391492</v>
      </c>
      <c r="ER10" s="1">
        <v>599.999</v>
      </c>
      <c r="ES10" s="1">
        <v>2838624</v>
      </c>
      <c r="ET10" s="1">
        <v>10521078</v>
      </c>
      <c r="EU10" s="1">
        <v>0</v>
      </c>
      <c r="EV10" s="1">
        <v>22.32900000000006</v>
      </c>
      <c r="EW10" s="1">
        <v>1364</v>
      </c>
      <c r="EX10" s="1">
        <v>0</v>
      </c>
      <c r="EY10" s="1">
        <v>0</v>
      </c>
      <c r="EZ10" s="1">
        <v>1200</v>
      </c>
      <c r="FA10" s="1">
        <v>7856</v>
      </c>
      <c r="FB10" s="1">
        <v>11049275</v>
      </c>
      <c r="FC10" s="1">
        <v>577.67</v>
      </c>
      <c r="FD10" s="1" t="s">
        <v>65</v>
      </c>
      <c r="FE10" s="1">
        <v>600</v>
      </c>
      <c r="FF10" s="1">
        <v>1</v>
      </c>
      <c r="FG10" s="1">
        <v>13122</v>
      </c>
      <c r="FH10" s="1">
        <v>45598</v>
      </c>
      <c r="FI10" s="1">
        <v>48687</v>
      </c>
      <c r="FJ10" s="1">
        <v>34.01</v>
      </c>
      <c r="FK10" s="1">
        <v>35332</v>
      </c>
      <c r="FL10" s="1">
        <v>10521246</v>
      </c>
      <c r="FM10" s="1">
        <v>0</v>
      </c>
      <c r="FN10" s="1">
        <v>26.92</v>
      </c>
      <c r="FO10" s="1">
        <v>1339</v>
      </c>
      <c r="FP10" s="1">
        <v>0</v>
      </c>
      <c r="FQ10" s="1">
        <v>1</v>
      </c>
      <c r="FR10" s="1">
        <v>34.14</v>
      </c>
      <c r="FS10" s="1">
        <v>182</v>
      </c>
      <c r="FT10" s="1">
        <v>11059150</v>
      </c>
      <c r="FU10" s="1">
        <v>7.09</v>
      </c>
      <c r="FV10" s="1" t="s">
        <v>64</v>
      </c>
      <c r="FW10" s="1">
        <v>34.14</v>
      </c>
      <c r="FX10" s="1">
        <v>0</v>
      </c>
      <c r="FY10" s="1">
        <v>13126</v>
      </c>
      <c r="FZ10" s="1">
        <v>45598</v>
      </c>
      <c r="GA10" s="1">
        <v>95489</v>
      </c>
      <c r="GB10" s="1">
        <v>63.726</v>
      </c>
      <c r="GC10" s="1">
        <v>72454</v>
      </c>
      <c r="GD10" s="1">
        <v>12076926</v>
      </c>
      <c r="GE10" s="1">
        <v>0</v>
      </c>
      <c r="GF10" s="1">
        <v>29.166</v>
      </c>
      <c r="GG10" s="1">
        <v>1563</v>
      </c>
      <c r="GH10" s="1">
        <v>0</v>
      </c>
      <c r="GI10" s="1">
        <v>1</v>
      </c>
      <c r="GJ10" s="1">
        <v>63.84</v>
      </c>
      <c r="GK10" s="1">
        <v>315</v>
      </c>
      <c r="GL10" s="1">
        <v>11059150</v>
      </c>
      <c r="GM10" s="1">
        <v>34.56</v>
      </c>
      <c r="GN10" s="1" t="s">
        <v>64</v>
      </c>
      <c r="GO10" s="1">
        <v>63.84</v>
      </c>
      <c r="GP10" s="1">
        <v>0</v>
      </c>
      <c r="GQ10" s="1">
        <v>531686</v>
      </c>
      <c r="GR10" s="1">
        <v>26160</v>
      </c>
      <c r="GS10" s="1">
        <v>46558</v>
      </c>
      <c r="GT10" s="1">
        <v>27.702</v>
      </c>
      <c r="GU10" s="1">
        <v>34310</v>
      </c>
      <c r="GV10" s="1">
        <v>10520756</v>
      </c>
      <c r="GW10" s="1">
        <v>0</v>
      </c>
      <c r="GX10" s="1">
        <v>21.122</v>
      </c>
      <c r="GY10" s="1">
        <v>1315</v>
      </c>
      <c r="GZ10" s="1">
        <v>0</v>
      </c>
      <c r="HA10" s="1">
        <v>1</v>
      </c>
      <c r="HB10" s="1">
        <v>27.75</v>
      </c>
      <c r="HC10" s="1">
        <v>167</v>
      </c>
      <c r="HD10" s="1">
        <v>10520836</v>
      </c>
      <c r="HE10" s="1">
        <v>6.58</v>
      </c>
      <c r="HF10" s="1" t="s">
        <v>64</v>
      </c>
      <c r="HG10" s="1">
        <v>27.75</v>
      </c>
      <c r="HH10" s="1">
        <v>0</v>
      </c>
      <c r="HI10" s="1">
        <v>13040</v>
      </c>
      <c r="HJ10" s="1">
        <v>26163</v>
      </c>
      <c r="HK10" s="1">
        <v>80</v>
      </c>
      <c r="HL10" s="1">
        <v>27.175</v>
      </c>
      <c r="HM10" s="1">
        <v>0</v>
      </c>
      <c r="HN10" s="1">
        <v>10520756</v>
      </c>
      <c r="HO10" s="1">
        <v>0</v>
      </c>
      <c r="HP10" s="1">
        <v>27.135</v>
      </c>
      <c r="HQ10" s="1">
        <v>1318</v>
      </c>
      <c r="HR10" s="1">
        <v>0</v>
      </c>
      <c r="HS10" s="1">
        <v>1</v>
      </c>
      <c r="HT10" s="1">
        <v>27.27</v>
      </c>
      <c r="HU10" s="1">
        <v>0</v>
      </c>
      <c r="HV10" s="1">
        <v>10520839</v>
      </c>
      <c r="HW10" s="1">
        <v>0.04</v>
      </c>
      <c r="HX10" s="1" t="s">
        <v>64</v>
      </c>
      <c r="HY10" s="1">
        <v>27.27</v>
      </c>
      <c r="HZ10" s="1">
        <v>0</v>
      </c>
      <c r="IA10" s="1">
        <v>13040</v>
      </c>
      <c r="IB10" s="1">
        <v>564161</v>
      </c>
      <c r="IC10" s="1">
        <v>70</v>
      </c>
      <c r="ID10" s="1">
        <v>599.984</v>
      </c>
      <c r="IE10" s="1">
        <v>0</v>
      </c>
      <c r="IF10" s="1">
        <v>12076766</v>
      </c>
      <c r="IG10" s="1">
        <v>0</v>
      </c>
      <c r="IH10" s="1">
        <v>47.41399999999999</v>
      </c>
      <c r="II10" s="1">
        <v>1797</v>
      </c>
      <c r="IJ10" s="1">
        <v>0</v>
      </c>
      <c r="IK10" s="1">
        <v>0</v>
      </c>
      <c r="IL10" s="1">
        <v>1200</v>
      </c>
      <c r="IM10" s="1">
        <v>0</v>
      </c>
      <c r="IN10" s="1">
        <v>11059153</v>
      </c>
      <c r="IO10" s="1">
        <v>552.5700000000001</v>
      </c>
      <c r="IP10" s="1" t="s">
        <v>65</v>
      </c>
      <c r="IQ10" s="1">
        <v>600</v>
      </c>
      <c r="IR10" s="1">
        <v>1</v>
      </c>
      <c r="IS10" s="1">
        <v>531606</v>
      </c>
      <c r="IT10" s="1">
        <v>246</v>
      </c>
      <c r="IU10" s="1">
        <v>77</v>
      </c>
      <c r="IV10" s="1">
        <v>0.049</v>
      </c>
      <c r="IW10" s="1">
        <v>0</v>
      </c>
      <c r="IX10" s="1">
        <v>2</v>
      </c>
      <c r="IY10" s="1">
        <v>0</v>
      </c>
      <c r="IZ10" s="1">
        <v>0.029</v>
      </c>
      <c r="JA10" s="1">
        <v>0</v>
      </c>
      <c r="JB10" s="1">
        <v>0</v>
      </c>
      <c r="JC10" s="1">
        <v>1</v>
      </c>
      <c r="JD10" s="1">
        <v>0.07000000000000001</v>
      </c>
      <c r="JE10" s="1">
        <v>0</v>
      </c>
      <c r="JF10" s="1">
        <v>247</v>
      </c>
      <c r="JG10" s="1">
        <v>0.02</v>
      </c>
      <c r="JH10" s="1" t="s">
        <v>64</v>
      </c>
      <c r="JI10" s="1">
        <v>0.07000000000000001</v>
      </c>
      <c r="JJ10" s="1">
        <v>0</v>
      </c>
      <c r="JK10" s="1">
        <v>81</v>
      </c>
      <c r="JL10" s="1">
        <v>26163</v>
      </c>
      <c r="JM10" s="1">
        <v>46558</v>
      </c>
      <c r="JN10" s="1">
        <v>41.788</v>
      </c>
      <c r="JO10" s="1">
        <v>34310</v>
      </c>
      <c r="JP10" s="1">
        <v>10520756</v>
      </c>
      <c r="JQ10" s="1">
        <v>0</v>
      </c>
      <c r="JR10" s="1">
        <v>27.598</v>
      </c>
      <c r="JS10" s="1">
        <v>1316</v>
      </c>
      <c r="JT10" s="1">
        <v>0</v>
      </c>
      <c r="JU10" s="1">
        <v>1</v>
      </c>
      <c r="JV10" s="1">
        <v>42.15</v>
      </c>
      <c r="JW10" s="1">
        <v>167</v>
      </c>
      <c r="JX10" s="1">
        <v>10520839</v>
      </c>
      <c r="JY10" s="1">
        <v>14.19</v>
      </c>
      <c r="JZ10" s="1" t="s">
        <v>64</v>
      </c>
      <c r="KA10" s="1">
        <v>42.15</v>
      </c>
      <c r="KB10" s="1">
        <v>0</v>
      </c>
      <c r="KC10" s="1">
        <v>13040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>
        <v>45316</v>
      </c>
      <c r="C11" s="1">
        <v>2248659</v>
      </c>
      <c r="D11" s="1">
        <v>599.989</v>
      </c>
      <c r="E11" s="1">
        <v>1855872</v>
      </c>
      <c r="F11" s="1">
        <v>16798588</v>
      </c>
      <c r="G11" s="1">
        <v>0</v>
      </c>
      <c r="H11" s="1">
        <v>47.23900000000003</v>
      </c>
      <c r="I11" s="1">
        <v>2217</v>
      </c>
      <c r="J11" s="1">
        <v>0</v>
      </c>
      <c r="K11" s="1">
        <v>0</v>
      </c>
      <c r="L11" s="1">
        <v>1200</v>
      </c>
      <c r="M11" s="1">
        <v>4875</v>
      </c>
      <c r="N11" s="1">
        <v>17548060</v>
      </c>
      <c r="O11" s="1">
        <v>552.75</v>
      </c>
      <c r="P11" s="1" t="s">
        <v>65</v>
      </c>
      <c r="Q11" s="1">
        <v>600</v>
      </c>
      <c r="R11" s="1">
        <v>1</v>
      </c>
      <c r="S11" s="1">
        <v>16562</v>
      </c>
      <c r="T11" s="1">
        <v>57598</v>
      </c>
      <c r="U11" s="1">
        <v>52437</v>
      </c>
      <c r="V11" s="1">
        <v>57.019</v>
      </c>
      <c r="W11" s="1">
        <v>36762</v>
      </c>
      <c r="X11" s="1">
        <v>16798776</v>
      </c>
      <c r="Y11" s="1">
        <v>0</v>
      </c>
      <c r="Z11" s="1">
        <v>46.519</v>
      </c>
      <c r="AA11" s="1">
        <v>2178</v>
      </c>
      <c r="AB11" s="1">
        <v>0</v>
      </c>
      <c r="AC11" s="1">
        <v>1</v>
      </c>
      <c r="AD11" s="1">
        <v>57.13</v>
      </c>
      <c r="AE11" s="1">
        <v>188</v>
      </c>
      <c r="AF11" s="1">
        <v>17560520</v>
      </c>
      <c r="AG11" s="1">
        <v>10.5</v>
      </c>
      <c r="AH11" s="1" t="s">
        <v>64</v>
      </c>
      <c r="AI11" s="1">
        <v>57.13</v>
      </c>
      <c r="AJ11" s="1">
        <v>0</v>
      </c>
      <c r="AK11" s="1">
        <v>16566</v>
      </c>
      <c r="AL11" s="1">
        <v>57598</v>
      </c>
      <c r="AM11" s="1">
        <v>49550</v>
      </c>
      <c r="AN11" s="1">
        <v>56.65</v>
      </c>
      <c r="AO11" s="1">
        <v>34694</v>
      </c>
      <c r="AP11" s="1">
        <v>19010616</v>
      </c>
      <c r="AQ11" s="1">
        <v>0</v>
      </c>
      <c r="AR11" s="1">
        <v>37.09999999999999</v>
      </c>
      <c r="AS11" s="1">
        <v>2457</v>
      </c>
      <c r="AT11" s="1">
        <v>0</v>
      </c>
      <c r="AU11" s="1">
        <v>1</v>
      </c>
      <c r="AV11" s="1">
        <v>56.74</v>
      </c>
      <c r="AW11" s="1">
        <v>178</v>
      </c>
      <c r="AX11" s="1">
        <v>17560520</v>
      </c>
      <c r="AY11" s="1">
        <v>19.55</v>
      </c>
      <c r="AZ11" s="1" t="s">
        <v>64</v>
      </c>
      <c r="BA11" s="1">
        <v>56.74</v>
      </c>
      <c r="BB11" s="1">
        <v>0</v>
      </c>
      <c r="BC11" s="1">
        <v>753846</v>
      </c>
      <c r="BD11" s="1">
        <v>33030</v>
      </c>
      <c r="BE11" s="1">
        <v>91570</v>
      </c>
      <c r="BF11" s="1">
        <v>63.917</v>
      </c>
      <c r="BG11" s="1">
        <v>67511</v>
      </c>
      <c r="BH11" s="1">
        <v>16798226</v>
      </c>
      <c r="BI11" s="1">
        <v>0</v>
      </c>
      <c r="BJ11" s="1">
        <v>45.42700000000001</v>
      </c>
      <c r="BK11" s="1">
        <v>2145</v>
      </c>
      <c r="BL11" s="1">
        <v>0</v>
      </c>
      <c r="BM11" s="1">
        <v>1</v>
      </c>
      <c r="BN11" s="1">
        <v>64.03</v>
      </c>
      <c r="BO11" s="1">
        <v>289</v>
      </c>
      <c r="BP11" s="1">
        <v>16798316</v>
      </c>
      <c r="BQ11" s="1">
        <v>18.49</v>
      </c>
      <c r="BR11" s="1" t="s">
        <v>64</v>
      </c>
      <c r="BS11" s="1">
        <v>64.03</v>
      </c>
      <c r="BT11" s="1">
        <v>0</v>
      </c>
      <c r="BU11" s="1">
        <v>16470</v>
      </c>
      <c r="BV11" s="1">
        <v>33032</v>
      </c>
      <c r="BW11" s="1">
        <v>90</v>
      </c>
      <c r="BX11" s="1">
        <v>46.453</v>
      </c>
      <c r="BY11" s="1">
        <v>0</v>
      </c>
      <c r="BZ11" s="1">
        <v>16798226</v>
      </c>
      <c r="CA11" s="1">
        <v>0</v>
      </c>
      <c r="CB11" s="1">
        <v>46.443</v>
      </c>
      <c r="CC11" s="1">
        <v>2144</v>
      </c>
      <c r="CD11" s="1">
        <v>0</v>
      </c>
      <c r="CE11" s="1">
        <v>1</v>
      </c>
      <c r="CF11" s="1">
        <v>46.57</v>
      </c>
      <c r="CG11" s="1">
        <v>0</v>
      </c>
      <c r="CH11" s="1">
        <v>16798318</v>
      </c>
      <c r="CI11" s="1">
        <v>0.01</v>
      </c>
      <c r="CJ11" s="1" t="s">
        <v>64</v>
      </c>
      <c r="CK11" s="1">
        <v>46.57</v>
      </c>
      <c r="CL11" s="1">
        <v>0</v>
      </c>
      <c r="CM11" s="1">
        <v>16470</v>
      </c>
      <c r="CN11" s="1">
        <v>794880</v>
      </c>
      <c r="CO11" s="1">
        <v>9155</v>
      </c>
      <c r="CP11" s="1">
        <v>599.923</v>
      </c>
      <c r="CQ11" s="1">
        <v>5833</v>
      </c>
      <c r="CR11" s="1">
        <v>19010436</v>
      </c>
      <c r="CS11" s="1">
        <v>0</v>
      </c>
      <c r="CT11" s="1">
        <v>49.97299999999996</v>
      </c>
      <c r="CU11" s="1">
        <v>3003</v>
      </c>
      <c r="CV11" s="1">
        <v>0</v>
      </c>
      <c r="CW11" s="1">
        <v>0</v>
      </c>
      <c r="CX11" s="1">
        <v>1200</v>
      </c>
      <c r="CY11" s="1">
        <v>40</v>
      </c>
      <c r="CZ11" s="1">
        <v>17560522</v>
      </c>
      <c r="DA11" s="1">
        <v>549.95</v>
      </c>
      <c r="DB11" s="1" t="s">
        <v>65</v>
      </c>
      <c r="DC11" s="1">
        <v>600</v>
      </c>
      <c r="DD11" s="1">
        <v>1</v>
      </c>
      <c r="DE11" s="1">
        <v>753756</v>
      </c>
      <c r="DF11" s="1">
        <v>275</v>
      </c>
      <c r="DG11" s="1">
        <v>88</v>
      </c>
      <c r="DH11" s="1">
        <v>0.003</v>
      </c>
      <c r="DI11" s="1">
        <v>0</v>
      </c>
      <c r="DJ11" s="1">
        <v>2</v>
      </c>
      <c r="DK11" s="1">
        <v>0</v>
      </c>
      <c r="DL11" s="1">
        <v>0.003</v>
      </c>
      <c r="DM11" s="1">
        <v>0</v>
      </c>
      <c r="DN11" s="1">
        <v>0</v>
      </c>
      <c r="DO11" s="1">
        <v>1</v>
      </c>
      <c r="DP11" s="1">
        <v>0.04</v>
      </c>
      <c r="DQ11" s="1">
        <v>0</v>
      </c>
      <c r="DR11" s="1">
        <v>276</v>
      </c>
      <c r="DS11" s="1">
        <v>0</v>
      </c>
      <c r="DT11" s="1" t="s">
        <v>64</v>
      </c>
      <c r="DU11" s="1">
        <v>0.04</v>
      </c>
      <c r="DV11" s="1">
        <v>0</v>
      </c>
      <c r="DW11" s="1">
        <v>91</v>
      </c>
      <c r="DX11" s="1">
        <v>33032</v>
      </c>
      <c r="DY11" s="1">
        <v>91570</v>
      </c>
      <c r="DZ11" s="1">
        <v>63.314</v>
      </c>
      <c r="EA11" s="1">
        <v>67511</v>
      </c>
      <c r="EB11" s="1">
        <v>16798226</v>
      </c>
      <c r="EC11" s="1">
        <v>0</v>
      </c>
      <c r="ED11" s="1">
        <v>43.024</v>
      </c>
      <c r="EE11" s="1">
        <v>2144</v>
      </c>
      <c r="EF11" s="1">
        <v>0</v>
      </c>
      <c r="EG11" s="1">
        <v>1</v>
      </c>
      <c r="EH11" s="1">
        <v>63.43</v>
      </c>
      <c r="EI11" s="1">
        <v>289</v>
      </c>
      <c r="EJ11" s="1">
        <v>16798318</v>
      </c>
      <c r="EK11" s="1">
        <v>20.29</v>
      </c>
      <c r="EL11" s="1" t="s">
        <v>64</v>
      </c>
      <c r="EM11" s="1">
        <v>63.43</v>
      </c>
      <c r="EN11" s="1">
        <v>0</v>
      </c>
      <c r="EO11" s="1">
        <v>16470</v>
      </c>
      <c r="EP11" s="1">
        <v>45316</v>
      </c>
      <c r="EQ11" s="1">
        <v>2166683</v>
      </c>
      <c r="ER11" s="1">
        <v>599.997</v>
      </c>
      <c r="ES11" s="1">
        <v>1792358</v>
      </c>
      <c r="ET11" s="1">
        <v>16798588</v>
      </c>
      <c r="EU11" s="1">
        <v>0</v>
      </c>
      <c r="EV11" s="1">
        <v>36.75699999999995</v>
      </c>
      <c r="EW11" s="1">
        <v>2215</v>
      </c>
      <c r="EX11" s="1">
        <v>0</v>
      </c>
      <c r="EY11" s="1">
        <v>0</v>
      </c>
      <c r="EZ11" s="1">
        <v>1200</v>
      </c>
      <c r="FA11" s="1">
        <v>4646</v>
      </c>
      <c r="FB11" s="1">
        <v>17548060</v>
      </c>
      <c r="FC11" s="1">
        <v>563.24</v>
      </c>
      <c r="FD11" s="1" t="s">
        <v>65</v>
      </c>
      <c r="FE11" s="1">
        <v>600</v>
      </c>
      <c r="FF11" s="1">
        <v>1</v>
      </c>
      <c r="FG11" s="1">
        <v>16562</v>
      </c>
      <c r="FH11" s="1">
        <v>57598</v>
      </c>
      <c r="FI11" s="1">
        <v>52437</v>
      </c>
      <c r="FJ11" s="1">
        <v>55.323</v>
      </c>
      <c r="FK11" s="1">
        <v>36762</v>
      </c>
      <c r="FL11" s="1">
        <v>16798776</v>
      </c>
      <c r="FM11" s="1">
        <v>0</v>
      </c>
      <c r="FN11" s="1">
        <v>44.843</v>
      </c>
      <c r="FO11" s="1">
        <v>2178</v>
      </c>
      <c r="FP11" s="1">
        <v>0</v>
      </c>
      <c r="FQ11" s="1">
        <v>1</v>
      </c>
      <c r="FR11" s="1">
        <v>55.57</v>
      </c>
      <c r="FS11" s="1">
        <v>188</v>
      </c>
      <c r="FT11" s="1">
        <v>17560520</v>
      </c>
      <c r="FU11" s="1">
        <v>10.48</v>
      </c>
      <c r="FV11" s="1" t="s">
        <v>64</v>
      </c>
      <c r="FW11" s="1">
        <v>55.57</v>
      </c>
      <c r="FX11" s="1">
        <v>0</v>
      </c>
      <c r="FY11" s="1">
        <v>16566</v>
      </c>
      <c r="FZ11" s="1">
        <v>57598</v>
      </c>
      <c r="GA11" s="1">
        <v>49550</v>
      </c>
      <c r="GB11" s="1">
        <v>78.227</v>
      </c>
      <c r="GC11" s="1">
        <v>34694</v>
      </c>
      <c r="GD11" s="1">
        <v>19010616</v>
      </c>
      <c r="GE11" s="1">
        <v>0</v>
      </c>
      <c r="GF11" s="1">
        <v>49.657</v>
      </c>
      <c r="GG11" s="1">
        <v>2500</v>
      </c>
      <c r="GH11" s="1">
        <v>0</v>
      </c>
      <c r="GI11" s="1">
        <v>1</v>
      </c>
      <c r="GJ11" s="1">
        <v>78.40000000000001</v>
      </c>
      <c r="GK11" s="1">
        <v>178</v>
      </c>
      <c r="GL11" s="1">
        <v>17560520</v>
      </c>
      <c r="GM11" s="1">
        <v>28.57</v>
      </c>
      <c r="GN11" s="1" t="s">
        <v>64</v>
      </c>
      <c r="GO11" s="1">
        <v>78.40000000000001</v>
      </c>
      <c r="GP11" s="1">
        <v>0</v>
      </c>
      <c r="GQ11" s="1">
        <v>753846</v>
      </c>
      <c r="GR11" s="1">
        <v>33030</v>
      </c>
      <c r="GS11" s="1">
        <v>91570</v>
      </c>
      <c r="GT11" s="1">
        <v>60.623</v>
      </c>
      <c r="GU11" s="1">
        <v>67511</v>
      </c>
      <c r="GV11" s="1">
        <v>16798226</v>
      </c>
      <c r="GW11" s="1">
        <v>0</v>
      </c>
      <c r="GX11" s="1">
        <v>42.85299999999999</v>
      </c>
      <c r="GY11" s="1">
        <v>2145</v>
      </c>
      <c r="GZ11" s="1">
        <v>0</v>
      </c>
      <c r="HA11" s="1">
        <v>1</v>
      </c>
      <c r="HB11" s="1">
        <v>60.74</v>
      </c>
      <c r="HC11" s="1">
        <v>289</v>
      </c>
      <c r="HD11" s="1">
        <v>16798316</v>
      </c>
      <c r="HE11" s="1">
        <v>17.77</v>
      </c>
      <c r="HF11" s="1" t="s">
        <v>64</v>
      </c>
      <c r="HG11" s="1">
        <v>60.74</v>
      </c>
      <c r="HH11" s="1">
        <v>0</v>
      </c>
      <c r="HI11" s="1">
        <v>16470</v>
      </c>
      <c r="HJ11" s="1">
        <v>33033</v>
      </c>
      <c r="HK11" s="1">
        <v>90</v>
      </c>
      <c r="HL11" s="1">
        <v>45.356</v>
      </c>
      <c r="HM11" s="1">
        <v>0</v>
      </c>
      <c r="HN11" s="1">
        <v>16798226</v>
      </c>
      <c r="HO11" s="1">
        <v>0</v>
      </c>
      <c r="HP11" s="1">
        <v>45.306</v>
      </c>
      <c r="HQ11" s="1">
        <v>2146</v>
      </c>
      <c r="HR11" s="1">
        <v>0</v>
      </c>
      <c r="HS11" s="1">
        <v>1</v>
      </c>
      <c r="HT11" s="1">
        <v>45.47</v>
      </c>
      <c r="HU11" s="1">
        <v>0</v>
      </c>
      <c r="HV11" s="1">
        <v>16798319</v>
      </c>
      <c r="HW11" s="1">
        <v>0.05</v>
      </c>
      <c r="HX11" s="1" t="s">
        <v>64</v>
      </c>
      <c r="HY11" s="1">
        <v>45.47</v>
      </c>
      <c r="HZ11" s="1">
        <v>0</v>
      </c>
      <c r="IA11" s="1">
        <v>16470</v>
      </c>
      <c r="IB11" s="1">
        <v>794881</v>
      </c>
      <c r="IC11" s="1">
        <v>75</v>
      </c>
      <c r="ID11" s="1">
        <v>599.99</v>
      </c>
      <c r="IE11" s="1">
        <v>1</v>
      </c>
      <c r="IF11" s="1">
        <v>19010436</v>
      </c>
      <c r="IG11" s="1">
        <v>0</v>
      </c>
      <c r="IH11" s="1">
        <v>76.77999999999997</v>
      </c>
      <c r="II11" s="1">
        <v>2839</v>
      </c>
      <c r="IJ11" s="1">
        <v>0</v>
      </c>
      <c r="IK11" s="1">
        <v>0</v>
      </c>
      <c r="IL11" s="1">
        <v>1200</v>
      </c>
      <c r="IM11" s="1">
        <v>0</v>
      </c>
      <c r="IN11" s="1">
        <v>17560523</v>
      </c>
      <c r="IO11" s="1">
        <v>523.21</v>
      </c>
      <c r="IP11" s="1" t="s">
        <v>65</v>
      </c>
      <c r="IQ11" s="1">
        <v>600</v>
      </c>
      <c r="IR11" s="1">
        <v>1</v>
      </c>
      <c r="IS11" s="1">
        <v>753756</v>
      </c>
      <c r="IT11" s="1">
        <v>276</v>
      </c>
      <c r="IU11" s="1">
        <v>88</v>
      </c>
      <c r="IV11" s="1">
        <v>0.055</v>
      </c>
      <c r="IW11" s="1">
        <v>0</v>
      </c>
      <c r="IX11" s="1">
        <v>2</v>
      </c>
      <c r="IY11" s="1">
        <v>0</v>
      </c>
      <c r="IZ11" s="1">
        <v>0.025</v>
      </c>
      <c r="JA11" s="1">
        <v>0</v>
      </c>
      <c r="JB11" s="1">
        <v>0</v>
      </c>
      <c r="JC11" s="1">
        <v>1</v>
      </c>
      <c r="JD11" s="1">
        <v>0.07000000000000001</v>
      </c>
      <c r="JE11" s="1">
        <v>0</v>
      </c>
      <c r="JF11" s="1">
        <v>277</v>
      </c>
      <c r="JG11" s="1">
        <v>0.03</v>
      </c>
      <c r="JH11" s="1" t="s">
        <v>64</v>
      </c>
      <c r="JI11" s="1">
        <v>0.07000000000000001</v>
      </c>
      <c r="JJ11" s="1">
        <v>0</v>
      </c>
      <c r="JK11" s="1">
        <v>91</v>
      </c>
      <c r="JL11" s="1">
        <v>33033</v>
      </c>
      <c r="JM11" s="1">
        <v>91570</v>
      </c>
      <c r="JN11" s="1">
        <v>65.77500000000001</v>
      </c>
      <c r="JO11" s="1">
        <v>67511</v>
      </c>
      <c r="JP11" s="1">
        <v>16798226</v>
      </c>
      <c r="JQ11" s="1">
        <v>0</v>
      </c>
      <c r="JR11" s="1">
        <v>34.52500000000001</v>
      </c>
      <c r="JS11" s="1">
        <v>2147</v>
      </c>
      <c r="JT11" s="1">
        <v>0</v>
      </c>
      <c r="JU11" s="1">
        <v>1</v>
      </c>
      <c r="JV11" s="1">
        <v>65.86</v>
      </c>
      <c r="JW11" s="1">
        <v>289</v>
      </c>
      <c r="JX11" s="1">
        <v>16798319</v>
      </c>
      <c r="JY11" s="1">
        <v>31.25</v>
      </c>
      <c r="JZ11" s="1" t="s">
        <v>64</v>
      </c>
      <c r="KA11" s="1">
        <v>65.86</v>
      </c>
      <c r="KB11" s="1">
        <v>0</v>
      </c>
      <c r="KC11" s="1">
        <v>16470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>
        <v>55851</v>
      </c>
      <c r="C12" s="1">
        <v>1662502</v>
      </c>
      <c r="D12" s="1">
        <v>599.991</v>
      </c>
      <c r="E12" s="1">
        <v>1300808</v>
      </c>
      <c r="F12" s="1">
        <v>25538848</v>
      </c>
      <c r="G12" s="1">
        <v>0</v>
      </c>
      <c r="H12" s="1">
        <v>76.99099999999999</v>
      </c>
      <c r="I12" s="1">
        <v>3361</v>
      </c>
      <c r="J12" s="1">
        <v>0</v>
      </c>
      <c r="K12" s="1">
        <v>0</v>
      </c>
      <c r="L12" s="1">
        <v>1200</v>
      </c>
      <c r="M12" s="1">
        <v>4000</v>
      </c>
      <c r="N12" s="1">
        <v>26564095</v>
      </c>
      <c r="O12" s="1">
        <v>523</v>
      </c>
      <c r="P12" s="1" t="s">
        <v>65</v>
      </c>
      <c r="Q12" s="1">
        <v>600</v>
      </c>
      <c r="R12" s="1">
        <v>1</v>
      </c>
      <c r="S12" s="1">
        <v>20402</v>
      </c>
      <c r="T12" s="1">
        <v>70998</v>
      </c>
      <c r="U12" s="1">
        <v>54147</v>
      </c>
      <c r="V12" s="1">
        <v>91.54300000000001</v>
      </c>
      <c r="W12" s="1">
        <v>36573</v>
      </c>
      <c r="X12" s="1">
        <v>25539056</v>
      </c>
      <c r="Y12" s="1">
        <v>0</v>
      </c>
      <c r="Z12" s="1">
        <v>75.88300000000001</v>
      </c>
      <c r="AA12" s="1">
        <v>3315</v>
      </c>
      <c r="AB12" s="1">
        <v>0</v>
      </c>
      <c r="AC12" s="1">
        <v>1</v>
      </c>
      <c r="AD12" s="1">
        <v>91.69</v>
      </c>
      <c r="AE12" s="1">
        <v>188</v>
      </c>
      <c r="AF12" s="1">
        <v>26579440</v>
      </c>
      <c r="AG12" s="1">
        <v>15.66</v>
      </c>
      <c r="AH12" s="1" t="s">
        <v>64</v>
      </c>
      <c r="AI12" s="1">
        <v>91.69</v>
      </c>
      <c r="AJ12" s="1">
        <v>0</v>
      </c>
      <c r="AK12" s="1">
        <v>20406</v>
      </c>
      <c r="AL12" s="1">
        <v>70998</v>
      </c>
      <c r="AM12" s="1">
        <v>32514</v>
      </c>
      <c r="AN12" s="1">
        <v>100.539</v>
      </c>
      <c r="AO12" s="1">
        <v>20888</v>
      </c>
      <c r="AP12" s="1">
        <v>28569656</v>
      </c>
      <c r="AQ12" s="1">
        <v>0</v>
      </c>
      <c r="AR12" s="1">
        <v>77.059</v>
      </c>
      <c r="AS12" s="1">
        <v>3754</v>
      </c>
      <c r="AT12" s="1">
        <v>0</v>
      </c>
      <c r="AU12" s="1">
        <v>1</v>
      </c>
      <c r="AV12" s="1">
        <v>100.74</v>
      </c>
      <c r="AW12" s="1">
        <v>124</v>
      </c>
      <c r="AX12" s="1">
        <v>26579440</v>
      </c>
      <c r="AY12" s="1">
        <v>23.48</v>
      </c>
      <c r="AZ12" s="1" t="s">
        <v>64</v>
      </c>
      <c r="BA12" s="1">
        <v>100.74</v>
      </c>
      <c r="BB12" s="1">
        <v>0</v>
      </c>
      <c r="BC12" s="1">
        <v>1030606</v>
      </c>
      <c r="BD12" s="1">
        <v>40700</v>
      </c>
      <c r="BE12" s="1">
        <v>63255</v>
      </c>
      <c r="BF12" s="1">
        <v>69.902</v>
      </c>
      <c r="BG12" s="1">
        <v>42903</v>
      </c>
      <c r="BH12" s="1">
        <v>25538446</v>
      </c>
      <c r="BI12" s="1">
        <v>0</v>
      </c>
      <c r="BJ12" s="1">
        <v>54.692</v>
      </c>
      <c r="BK12" s="1">
        <v>3274</v>
      </c>
      <c r="BL12" s="1">
        <v>0</v>
      </c>
      <c r="BM12" s="1">
        <v>1</v>
      </c>
      <c r="BN12" s="1">
        <v>69.98</v>
      </c>
      <c r="BO12" s="1">
        <v>218</v>
      </c>
      <c r="BP12" s="1">
        <v>25538546</v>
      </c>
      <c r="BQ12" s="1">
        <v>15.21</v>
      </c>
      <c r="BR12" s="1" t="s">
        <v>64</v>
      </c>
      <c r="BS12" s="1">
        <v>69.98</v>
      </c>
      <c r="BT12" s="1">
        <v>0</v>
      </c>
      <c r="BU12" s="1">
        <v>20300</v>
      </c>
      <c r="BV12" s="1">
        <v>40702</v>
      </c>
      <c r="BW12" s="1">
        <v>100</v>
      </c>
      <c r="BX12" s="1">
        <v>73.321</v>
      </c>
      <c r="BY12" s="1">
        <v>0</v>
      </c>
      <c r="BZ12" s="1">
        <v>25538446</v>
      </c>
      <c r="CA12" s="1">
        <v>0</v>
      </c>
      <c r="CB12" s="1">
        <v>73.301</v>
      </c>
      <c r="CC12" s="1">
        <v>3274</v>
      </c>
      <c r="CD12" s="1">
        <v>0</v>
      </c>
      <c r="CE12" s="1">
        <v>1</v>
      </c>
      <c r="CF12" s="1">
        <v>73.54000000000001</v>
      </c>
      <c r="CG12" s="1">
        <v>0</v>
      </c>
      <c r="CH12" s="1">
        <v>25538548</v>
      </c>
      <c r="CI12" s="1">
        <v>0.02</v>
      </c>
      <c r="CJ12" s="1" t="s">
        <v>64</v>
      </c>
      <c r="CK12" s="1">
        <v>73.54000000000001</v>
      </c>
      <c r="CL12" s="1">
        <v>0</v>
      </c>
      <c r="CM12" s="1">
        <v>20300</v>
      </c>
      <c r="CN12" s="1">
        <v>1081200</v>
      </c>
      <c r="CO12" s="1">
        <v>5887</v>
      </c>
      <c r="CP12" s="1">
        <v>600</v>
      </c>
      <c r="CQ12" s="1">
        <v>3235</v>
      </c>
      <c r="CR12" s="1">
        <v>28569456</v>
      </c>
      <c r="CS12" s="1">
        <v>0</v>
      </c>
      <c r="CT12" s="1">
        <v>65.35000000000002</v>
      </c>
      <c r="CU12" s="1">
        <v>4462</v>
      </c>
      <c r="CV12" s="1">
        <v>0</v>
      </c>
      <c r="CW12" s="1">
        <v>0</v>
      </c>
      <c r="CX12" s="1">
        <v>1200</v>
      </c>
      <c r="CY12" s="1">
        <v>28</v>
      </c>
      <c r="CZ12" s="1">
        <v>26579442</v>
      </c>
      <c r="DA12" s="1">
        <v>534.65</v>
      </c>
      <c r="DB12" s="1" t="s">
        <v>65</v>
      </c>
      <c r="DC12" s="1">
        <v>600</v>
      </c>
      <c r="DD12" s="1">
        <v>1</v>
      </c>
      <c r="DE12" s="1">
        <v>1030506</v>
      </c>
      <c r="DF12" s="1">
        <v>305</v>
      </c>
      <c r="DG12" s="1">
        <v>97</v>
      </c>
      <c r="DH12" s="1">
        <v>0.007</v>
      </c>
      <c r="DI12" s="1">
        <v>0</v>
      </c>
      <c r="DJ12" s="1">
        <v>2</v>
      </c>
      <c r="DK12" s="1">
        <v>0</v>
      </c>
      <c r="DL12" s="1">
        <v>0.007</v>
      </c>
      <c r="DM12" s="1">
        <v>0</v>
      </c>
      <c r="DN12" s="1">
        <v>0</v>
      </c>
      <c r="DO12" s="1">
        <v>1</v>
      </c>
      <c r="DP12" s="1">
        <v>0.05</v>
      </c>
      <c r="DQ12" s="1">
        <v>0</v>
      </c>
      <c r="DR12" s="1">
        <v>306</v>
      </c>
      <c r="DS12" s="1">
        <v>0</v>
      </c>
      <c r="DT12" s="1" t="s">
        <v>64</v>
      </c>
      <c r="DU12" s="1">
        <v>0.05</v>
      </c>
      <c r="DV12" s="1">
        <v>0</v>
      </c>
      <c r="DW12" s="1">
        <v>101</v>
      </c>
      <c r="DX12" s="1">
        <v>40702</v>
      </c>
      <c r="DY12" s="1">
        <v>63255</v>
      </c>
      <c r="DZ12" s="1">
        <v>96.29300000000001</v>
      </c>
      <c r="EA12" s="1">
        <v>42903</v>
      </c>
      <c r="EB12" s="1">
        <v>25538446</v>
      </c>
      <c r="EC12" s="1">
        <v>0</v>
      </c>
      <c r="ED12" s="1">
        <v>75.173</v>
      </c>
      <c r="EE12" s="1">
        <v>3273</v>
      </c>
      <c r="EF12" s="1">
        <v>0</v>
      </c>
      <c r="EG12" s="1">
        <v>1</v>
      </c>
      <c r="EH12" s="1">
        <v>96.44</v>
      </c>
      <c r="EI12" s="1">
        <v>218</v>
      </c>
      <c r="EJ12" s="1">
        <v>25538548</v>
      </c>
      <c r="EK12" s="1">
        <v>21.12</v>
      </c>
      <c r="EL12" s="1" t="s">
        <v>64</v>
      </c>
      <c r="EM12" s="1">
        <v>96.44</v>
      </c>
      <c r="EN12" s="1">
        <v>0</v>
      </c>
      <c r="EO12" s="1">
        <v>20300</v>
      </c>
      <c r="EP12" s="1">
        <v>55851</v>
      </c>
      <c r="EQ12" s="1">
        <v>1697213</v>
      </c>
      <c r="ER12" s="1">
        <v>599.8</v>
      </c>
      <c r="ES12" s="1">
        <v>1327376</v>
      </c>
      <c r="ET12" s="1">
        <v>25538848</v>
      </c>
      <c r="EU12" s="1">
        <v>0</v>
      </c>
      <c r="EV12" s="1">
        <v>74.19999999999993</v>
      </c>
      <c r="EW12" s="1">
        <v>3361</v>
      </c>
      <c r="EX12" s="1">
        <v>0</v>
      </c>
      <c r="EY12" s="1">
        <v>0</v>
      </c>
      <c r="EZ12" s="1">
        <v>1200</v>
      </c>
      <c r="FA12" s="1">
        <v>4090</v>
      </c>
      <c r="FB12" s="1">
        <v>26564095</v>
      </c>
      <c r="FC12" s="1">
        <v>525.6</v>
      </c>
      <c r="FD12" s="1" t="s">
        <v>65</v>
      </c>
      <c r="FE12" s="1">
        <v>600</v>
      </c>
      <c r="FF12" s="1">
        <v>1</v>
      </c>
      <c r="FG12" s="1">
        <v>20402</v>
      </c>
      <c r="FH12" s="1">
        <v>70998</v>
      </c>
      <c r="FI12" s="1">
        <v>54147</v>
      </c>
      <c r="FJ12" s="1">
        <v>92.035</v>
      </c>
      <c r="FK12" s="1">
        <v>36573</v>
      </c>
      <c r="FL12" s="1">
        <v>25539056</v>
      </c>
      <c r="FM12" s="1">
        <v>0</v>
      </c>
      <c r="FN12" s="1">
        <v>76.065</v>
      </c>
      <c r="FO12" s="1">
        <v>3315</v>
      </c>
      <c r="FP12" s="1">
        <v>0</v>
      </c>
      <c r="FQ12" s="1">
        <v>1</v>
      </c>
      <c r="FR12" s="1">
        <v>92.19</v>
      </c>
      <c r="FS12" s="1">
        <v>188</v>
      </c>
      <c r="FT12" s="1">
        <v>26579440</v>
      </c>
      <c r="FU12" s="1">
        <v>15.97</v>
      </c>
      <c r="FV12" s="1" t="s">
        <v>64</v>
      </c>
      <c r="FW12" s="1">
        <v>92.19</v>
      </c>
      <c r="FX12" s="1">
        <v>0</v>
      </c>
      <c r="FY12" s="1">
        <v>20406</v>
      </c>
      <c r="FZ12" s="1">
        <v>70998</v>
      </c>
      <c r="GA12" s="1">
        <v>32514</v>
      </c>
      <c r="GB12" s="1">
        <v>73.85899999999999</v>
      </c>
      <c r="GC12" s="1">
        <v>20888</v>
      </c>
      <c r="GD12" s="1">
        <v>28569656</v>
      </c>
      <c r="GE12" s="1">
        <v>0</v>
      </c>
      <c r="GF12" s="1">
        <v>58.00899999999999</v>
      </c>
      <c r="GG12" s="1">
        <v>3708</v>
      </c>
      <c r="GH12" s="1">
        <v>0</v>
      </c>
      <c r="GI12" s="1">
        <v>1</v>
      </c>
      <c r="GJ12" s="1">
        <v>74</v>
      </c>
      <c r="GK12" s="1">
        <v>124</v>
      </c>
      <c r="GL12" s="1">
        <v>26579440</v>
      </c>
      <c r="GM12" s="1">
        <v>15.85</v>
      </c>
      <c r="GN12" s="1" t="s">
        <v>64</v>
      </c>
      <c r="GO12" s="1">
        <v>74</v>
      </c>
      <c r="GP12" s="1">
        <v>0</v>
      </c>
      <c r="GQ12" s="1">
        <v>1030606</v>
      </c>
      <c r="GR12" s="1">
        <v>40700</v>
      </c>
      <c r="GS12" s="1">
        <v>63255</v>
      </c>
      <c r="GT12" s="1">
        <v>92.264</v>
      </c>
      <c r="GU12" s="1">
        <v>42903</v>
      </c>
      <c r="GV12" s="1">
        <v>25538446</v>
      </c>
      <c r="GW12" s="1">
        <v>0</v>
      </c>
      <c r="GX12" s="1">
        <v>73.764</v>
      </c>
      <c r="GY12" s="1">
        <v>3274</v>
      </c>
      <c r="GZ12" s="1">
        <v>0</v>
      </c>
      <c r="HA12" s="1">
        <v>1</v>
      </c>
      <c r="HB12" s="1">
        <v>92.42</v>
      </c>
      <c r="HC12" s="1">
        <v>218</v>
      </c>
      <c r="HD12" s="1">
        <v>25538546</v>
      </c>
      <c r="HE12" s="1">
        <v>18.5</v>
      </c>
      <c r="HF12" s="1" t="s">
        <v>64</v>
      </c>
      <c r="HG12" s="1">
        <v>92.42</v>
      </c>
      <c r="HH12" s="1">
        <v>0</v>
      </c>
      <c r="HI12" s="1">
        <v>20300</v>
      </c>
      <c r="HJ12" s="1">
        <v>40703</v>
      </c>
      <c r="HK12" s="1">
        <v>100</v>
      </c>
      <c r="HL12" s="1">
        <v>56.178</v>
      </c>
      <c r="HM12" s="1">
        <v>0</v>
      </c>
      <c r="HN12" s="1">
        <v>25538446</v>
      </c>
      <c r="HO12" s="1">
        <v>0</v>
      </c>
      <c r="HP12" s="1">
        <v>56.108</v>
      </c>
      <c r="HQ12" s="1">
        <v>3276</v>
      </c>
      <c r="HR12" s="1">
        <v>0</v>
      </c>
      <c r="HS12" s="1">
        <v>1</v>
      </c>
      <c r="HT12" s="1">
        <v>56.26</v>
      </c>
      <c r="HU12" s="1">
        <v>0</v>
      </c>
      <c r="HV12" s="1">
        <v>25538549</v>
      </c>
      <c r="HW12" s="1">
        <v>0.07000000000000001</v>
      </c>
      <c r="HX12" s="1" t="s">
        <v>64</v>
      </c>
      <c r="HY12" s="1">
        <v>56.26</v>
      </c>
      <c r="HZ12" s="1">
        <v>0</v>
      </c>
      <c r="IA12" s="1">
        <v>20300</v>
      </c>
      <c r="IB12" s="1">
        <v>1081201</v>
      </c>
      <c r="IC12" s="1">
        <v>56</v>
      </c>
      <c r="ID12" s="1">
        <v>599.9880000000001</v>
      </c>
      <c r="IE12" s="1">
        <v>1</v>
      </c>
      <c r="IF12" s="1">
        <v>28569456</v>
      </c>
      <c r="IG12" s="1">
        <v>0</v>
      </c>
      <c r="IH12" s="1">
        <v>112.1180000000001</v>
      </c>
      <c r="II12" s="1">
        <v>4216</v>
      </c>
      <c r="IJ12" s="1">
        <v>0</v>
      </c>
      <c r="IK12" s="1">
        <v>0</v>
      </c>
      <c r="IL12" s="1">
        <v>1200</v>
      </c>
      <c r="IM12" s="1">
        <v>0</v>
      </c>
      <c r="IN12" s="1">
        <v>26579443</v>
      </c>
      <c r="IO12" s="1">
        <v>487.87</v>
      </c>
      <c r="IP12" s="1" t="s">
        <v>65</v>
      </c>
      <c r="IQ12" s="1">
        <v>600</v>
      </c>
      <c r="IR12" s="1">
        <v>1</v>
      </c>
      <c r="IS12" s="1">
        <v>1030506</v>
      </c>
      <c r="IT12" s="1">
        <v>306</v>
      </c>
      <c r="IU12" s="1">
        <v>97</v>
      </c>
      <c r="IV12" s="1">
        <v>0.062</v>
      </c>
      <c r="IW12" s="1">
        <v>0</v>
      </c>
      <c r="IX12" s="1">
        <v>2</v>
      </c>
      <c r="IY12" s="1">
        <v>0</v>
      </c>
      <c r="IZ12" s="1">
        <v>0.022</v>
      </c>
      <c r="JA12" s="1">
        <v>0</v>
      </c>
      <c r="JB12" s="1">
        <v>0</v>
      </c>
      <c r="JC12" s="1">
        <v>1</v>
      </c>
      <c r="JD12" s="1">
        <v>0.08</v>
      </c>
      <c r="JE12" s="1">
        <v>0</v>
      </c>
      <c r="JF12" s="1">
        <v>307</v>
      </c>
      <c r="JG12" s="1">
        <v>0.04</v>
      </c>
      <c r="JH12" s="1" t="s">
        <v>64</v>
      </c>
      <c r="JI12" s="1">
        <v>0.08</v>
      </c>
      <c r="JJ12" s="1">
        <v>0</v>
      </c>
      <c r="JK12" s="1">
        <v>101</v>
      </c>
      <c r="JL12" s="1">
        <v>40703</v>
      </c>
      <c r="JM12" s="1">
        <v>63255</v>
      </c>
      <c r="JN12" s="1">
        <v>102.315</v>
      </c>
      <c r="JO12" s="1">
        <v>42903</v>
      </c>
      <c r="JP12" s="1">
        <v>25538446</v>
      </c>
      <c r="JQ12" s="1">
        <v>0</v>
      </c>
      <c r="JR12" s="1">
        <v>73.345</v>
      </c>
      <c r="JS12" s="1">
        <v>3276</v>
      </c>
      <c r="JT12" s="1">
        <v>0</v>
      </c>
      <c r="JU12" s="1">
        <v>1</v>
      </c>
      <c r="JV12" s="1">
        <v>102.46</v>
      </c>
      <c r="JW12" s="1">
        <v>218</v>
      </c>
      <c r="JX12" s="1">
        <v>25538549</v>
      </c>
      <c r="JY12" s="1">
        <v>28.97</v>
      </c>
      <c r="JZ12" s="1" t="s">
        <v>64</v>
      </c>
      <c r="KA12" s="1">
        <v>102.46</v>
      </c>
      <c r="KB12" s="1">
        <v>0</v>
      </c>
      <c r="KC12" s="1">
        <v>20300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>
        <v>67486</v>
      </c>
      <c r="C13" s="1">
        <v>1162610</v>
      </c>
      <c r="D13" s="1">
        <v>599.985</v>
      </c>
      <c r="E13" s="1">
        <v>903302</v>
      </c>
      <c r="F13" s="1">
        <v>37314858</v>
      </c>
      <c r="G13" s="1">
        <v>0</v>
      </c>
      <c r="H13" s="1">
        <v>118.985</v>
      </c>
      <c r="I13" s="1">
        <v>4771</v>
      </c>
      <c r="J13" s="1">
        <v>0</v>
      </c>
      <c r="K13" s="1">
        <v>0</v>
      </c>
      <c r="L13" s="1">
        <v>1200</v>
      </c>
      <c r="M13" s="1">
        <v>2556</v>
      </c>
      <c r="N13" s="1">
        <v>38676380</v>
      </c>
      <c r="O13" s="1">
        <v>481</v>
      </c>
      <c r="P13" s="1" t="s">
        <v>65</v>
      </c>
      <c r="Q13" s="1">
        <v>600</v>
      </c>
      <c r="R13" s="1">
        <v>1</v>
      </c>
      <c r="S13" s="1">
        <v>24642</v>
      </c>
      <c r="T13" s="1">
        <v>85798</v>
      </c>
      <c r="U13" s="1">
        <v>139689</v>
      </c>
      <c r="V13" s="1">
        <v>170.467</v>
      </c>
      <c r="W13" s="1">
        <v>95842</v>
      </c>
      <c r="X13" s="1">
        <v>37315086</v>
      </c>
      <c r="Y13" s="1">
        <v>0</v>
      </c>
      <c r="Z13" s="1">
        <v>115.127</v>
      </c>
      <c r="AA13" s="1">
        <v>4712</v>
      </c>
      <c r="AB13" s="1">
        <v>0</v>
      </c>
      <c r="AC13" s="1">
        <v>1</v>
      </c>
      <c r="AD13" s="1">
        <v>170.68</v>
      </c>
      <c r="AE13" s="1">
        <v>425</v>
      </c>
      <c r="AF13" s="1">
        <v>38694910</v>
      </c>
      <c r="AG13" s="1">
        <v>55.34</v>
      </c>
      <c r="AH13" s="1" t="s">
        <v>64</v>
      </c>
      <c r="AI13" s="1">
        <v>170.68</v>
      </c>
      <c r="AJ13" s="1">
        <v>0</v>
      </c>
      <c r="AK13" s="1">
        <v>24646</v>
      </c>
      <c r="AL13" s="1">
        <v>85798</v>
      </c>
      <c r="AM13" s="1">
        <v>111869</v>
      </c>
      <c r="AN13" s="1">
        <v>154.355</v>
      </c>
      <c r="AO13" s="1">
        <v>77392</v>
      </c>
      <c r="AP13" s="1">
        <v>41345046</v>
      </c>
      <c r="AQ13" s="1">
        <v>0</v>
      </c>
      <c r="AR13" s="1">
        <v>86.035</v>
      </c>
      <c r="AS13" s="1">
        <v>5184</v>
      </c>
      <c r="AT13" s="1">
        <v>0</v>
      </c>
      <c r="AU13" s="1">
        <v>1</v>
      </c>
      <c r="AV13" s="1">
        <v>154.58</v>
      </c>
      <c r="AW13" s="1">
        <v>334</v>
      </c>
      <c r="AX13" s="1">
        <v>38694910</v>
      </c>
      <c r="AY13" s="1">
        <v>68.31999999999999</v>
      </c>
      <c r="AZ13" s="1" t="s">
        <v>64</v>
      </c>
      <c r="BA13" s="1">
        <v>154.58</v>
      </c>
      <c r="BB13" s="1">
        <v>0</v>
      </c>
      <c r="BC13" s="1">
        <v>1367966</v>
      </c>
      <c r="BD13" s="1">
        <v>49170</v>
      </c>
      <c r="BE13" s="1">
        <v>95603</v>
      </c>
      <c r="BF13" s="1">
        <v>150.905</v>
      </c>
      <c r="BG13" s="1">
        <v>66276</v>
      </c>
      <c r="BH13" s="1">
        <v>37314416</v>
      </c>
      <c r="BI13" s="1">
        <v>0</v>
      </c>
      <c r="BJ13" s="1">
        <v>112.655</v>
      </c>
      <c r="BK13" s="1">
        <v>4658</v>
      </c>
      <c r="BL13" s="1">
        <v>0</v>
      </c>
      <c r="BM13" s="1">
        <v>1</v>
      </c>
      <c r="BN13" s="1">
        <v>151.11</v>
      </c>
      <c r="BO13" s="1">
        <v>284</v>
      </c>
      <c r="BP13" s="1">
        <v>37314526</v>
      </c>
      <c r="BQ13" s="1">
        <v>38.25</v>
      </c>
      <c r="BR13" s="1" t="s">
        <v>64</v>
      </c>
      <c r="BS13" s="1">
        <v>151.11</v>
      </c>
      <c r="BT13" s="1">
        <v>0</v>
      </c>
      <c r="BU13" s="1">
        <v>24530</v>
      </c>
      <c r="BV13" s="1">
        <v>49172</v>
      </c>
      <c r="BW13" s="1">
        <v>110</v>
      </c>
      <c r="BX13" s="1">
        <v>115.563</v>
      </c>
      <c r="BY13" s="1">
        <v>0</v>
      </c>
      <c r="BZ13" s="1">
        <v>37314416</v>
      </c>
      <c r="CA13" s="1">
        <v>0</v>
      </c>
      <c r="CB13" s="1">
        <v>115.533</v>
      </c>
      <c r="CC13" s="1">
        <v>4658</v>
      </c>
      <c r="CD13" s="1">
        <v>0</v>
      </c>
      <c r="CE13" s="1">
        <v>1</v>
      </c>
      <c r="CF13" s="1">
        <v>115.77</v>
      </c>
      <c r="CG13" s="1">
        <v>0</v>
      </c>
      <c r="CH13" s="1">
        <v>37314528</v>
      </c>
      <c r="CI13" s="1">
        <v>0.03</v>
      </c>
      <c r="CJ13" s="1" t="s">
        <v>64</v>
      </c>
      <c r="CK13" s="1">
        <v>115.77</v>
      </c>
      <c r="CL13" s="1">
        <v>0</v>
      </c>
      <c r="CM13" s="1">
        <v>24530</v>
      </c>
      <c r="CN13" s="1">
        <v>1429120</v>
      </c>
      <c r="CO13" s="1">
        <v>3547</v>
      </c>
      <c r="CP13" s="1">
        <v>599.985</v>
      </c>
      <c r="CQ13" s="1">
        <v>2003</v>
      </c>
      <c r="CR13" s="1">
        <v>41344826</v>
      </c>
      <c r="CS13" s="1">
        <v>0</v>
      </c>
      <c r="CT13" s="1">
        <v>123.015</v>
      </c>
      <c r="CU13" s="1">
        <v>6200</v>
      </c>
      <c r="CV13" s="1">
        <v>0</v>
      </c>
      <c r="CW13" s="1">
        <v>0</v>
      </c>
      <c r="CX13" s="1">
        <v>1200</v>
      </c>
      <c r="CY13" s="1">
        <v>14</v>
      </c>
      <c r="CZ13" s="1">
        <v>38694912</v>
      </c>
      <c r="DA13" s="1">
        <v>476.97</v>
      </c>
      <c r="DB13" s="1" t="s">
        <v>65</v>
      </c>
      <c r="DC13" s="1">
        <v>600</v>
      </c>
      <c r="DD13" s="1">
        <v>1</v>
      </c>
      <c r="DE13" s="1">
        <v>1367856</v>
      </c>
      <c r="DF13" s="1">
        <v>335</v>
      </c>
      <c r="DG13" s="1">
        <v>108</v>
      </c>
      <c r="DH13" s="1">
        <v>0.003</v>
      </c>
      <c r="DI13" s="1">
        <v>0</v>
      </c>
      <c r="DJ13" s="1">
        <v>2</v>
      </c>
      <c r="DK13" s="1">
        <v>0</v>
      </c>
      <c r="DL13" s="1">
        <v>0.003</v>
      </c>
      <c r="DM13" s="1">
        <v>0</v>
      </c>
      <c r="DN13" s="1">
        <v>0</v>
      </c>
      <c r="DO13" s="1">
        <v>1</v>
      </c>
      <c r="DP13" s="1">
        <v>0.02</v>
      </c>
      <c r="DQ13" s="1">
        <v>0</v>
      </c>
      <c r="DR13" s="1">
        <v>336</v>
      </c>
      <c r="DS13" s="1">
        <v>0</v>
      </c>
      <c r="DT13" s="1" t="s">
        <v>64</v>
      </c>
      <c r="DU13" s="1">
        <v>0.02</v>
      </c>
      <c r="DV13" s="1">
        <v>0</v>
      </c>
      <c r="DW13" s="1">
        <v>111</v>
      </c>
      <c r="DX13" s="1">
        <v>49172</v>
      </c>
      <c r="DY13" s="1">
        <v>95603</v>
      </c>
      <c r="DZ13" s="1">
        <v>147.586</v>
      </c>
      <c r="EA13" s="1">
        <v>66276</v>
      </c>
      <c r="EB13" s="1">
        <v>37314416</v>
      </c>
      <c r="EC13" s="1">
        <v>0</v>
      </c>
      <c r="ED13" s="1">
        <v>106.926</v>
      </c>
      <c r="EE13" s="1">
        <v>4657</v>
      </c>
      <c r="EF13" s="1">
        <v>0</v>
      </c>
      <c r="EG13" s="1">
        <v>1</v>
      </c>
      <c r="EH13" s="1">
        <v>147.79</v>
      </c>
      <c r="EI13" s="1">
        <v>284</v>
      </c>
      <c r="EJ13" s="1">
        <v>37314528</v>
      </c>
      <c r="EK13" s="1">
        <v>40.66</v>
      </c>
      <c r="EL13" s="1" t="s">
        <v>64</v>
      </c>
      <c r="EM13" s="1">
        <v>147.79</v>
      </c>
      <c r="EN13" s="1">
        <v>0</v>
      </c>
      <c r="EO13" s="1">
        <v>24530</v>
      </c>
      <c r="EP13" s="1">
        <v>67486</v>
      </c>
      <c r="EQ13" s="1">
        <v>1501380</v>
      </c>
      <c r="ER13" s="1">
        <v>599.999</v>
      </c>
      <c r="ES13" s="1">
        <v>1170965</v>
      </c>
      <c r="ET13" s="1">
        <v>37314858</v>
      </c>
      <c r="EU13" s="1">
        <v>0</v>
      </c>
      <c r="EV13" s="1">
        <v>82.71900000000005</v>
      </c>
      <c r="EW13" s="1">
        <v>4774</v>
      </c>
      <c r="EX13" s="1">
        <v>0</v>
      </c>
      <c r="EY13" s="1">
        <v>0</v>
      </c>
      <c r="EZ13" s="1">
        <v>1200</v>
      </c>
      <c r="FA13" s="1">
        <v>3257</v>
      </c>
      <c r="FB13" s="1">
        <v>38676380</v>
      </c>
      <c r="FC13" s="1">
        <v>517.28</v>
      </c>
      <c r="FD13" s="1" t="s">
        <v>65</v>
      </c>
      <c r="FE13" s="1">
        <v>600</v>
      </c>
      <c r="FF13" s="1">
        <v>1</v>
      </c>
      <c r="FG13" s="1">
        <v>24642</v>
      </c>
      <c r="FH13" s="1">
        <v>85798</v>
      </c>
      <c r="FI13" s="1">
        <v>139689</v>
      </c>
      <c r="FJ13" s="1">
        <v>170.524</v>
      </c>
      <c r="FK13" s="1">
        <v>95842</v>
      </c>
      <c r="FL13" s="1">
        <v>37315086</v>
      </c>
      <c r="FM13" s="1">
        <v>0</v>
      </c>
      <c r="FN13" s="1">
        <v>113.574</v>
      </c>
      <c r="FO13" s="1">
        <v>4712</v>
      </c>
      <c r="FP13" s="1">
        <v>0</v>
      </c>
      <c r="FQ13" s="1">
        <v>1</v>
      </c>
      <c r="FR13" s="1">
        <v>170.74</v>
      </c>
      <c r="FS13" s="1">
        <v>425</v>
      </c>
      <c r="FT13" s="1">
        <v>38694910</v>
      </c>
      <c r="FU13" s="1">
        <v>56.95</v>
      </c>
      <c r="FV13" s="1" t="s">
        <v>64</v>
      </c>
      <c r="FW13" s="1">
        <v>170.74</v>
      </c>
      <c r="FX13" s="1">
        <v>0</v>
      </c>
      <c r="FY13" s="1">
        <v>24646</v>
      </c>
      <c r="FZ13" s="1">
        <v>85798</v>
      </c>
      <c r="GA13" s="1">
        <v>111869</v>
      </c>
      <c r="GB13" s="1">
        <v>235.993</v>
      </c>
      <c r="GC13" s="1">
        <v>77392</v>
      </c>
      <c r="GD13" s="1">
        <v>41345046</v>
      </c>
      <c r="GE13" s="1">
        <v>0</v>
      </c>
      <c r="GF13" s="1">
        <v>122.973</v>
      </c>
      <c r="GG13" s="1">
        <v>5294</v>
      </c>
      <c r="GH13" s="1">
        <v>0</v>
      </c>
      <c r="GI13" s="1">
        <v>1</v>
      </c>
      <c r="GJ13" s="1">
        <v>236.29</v>
      </c>
      <c r="GK13" s="1">
        <v>334</v>
      </c>
      <c r="GL13" s="1">
        <v>38694910</v>
      </c>
      <c r="GM13" s="1">
        <v>113.02</v>
      </c>
      <c r="GN13" s="1" t="s">
        <v>64</v>
      </c>
      <c r="GO13" s="1">
        <v>236.29</v>
      </c>
      <c r="GP13" s="1">
        <v>0</v>
      </c>
      <c r="GQ13" s="1">
        <v>1367966</v>
      </c>
      <c r="GR13" s="1">
        <v>49170</v>
      </c>
      <c r="GS13" s="1">
        <v>95603</v>
      </c>
      <c r="GT13" s="1">
        <v>107.357</v>
      </c>
      <c r="GU13" s="1">
        <v>66276</v>
      </c>
      <c r="GV13" s="1">
        <v>37314416</v>
      </c>
      <c r="GW13" s="1">
        <v>0</v>
      </c>
      <c r="GX13" s="1">
        <v>80.247</v>
      </c>
      <c r="GY13" s="1">
        <v>4658</v>
      </c>
      <c r="GZ13" s="1">
        <v>0</v>
      </c>
      <c r="HA13" s="1">
        <v>1</v>
      </c>
      <c r="HB13" s="1">
        <v>107.54</v>
      </c>
      <c r="HC13" s="1">
        <v>284</v>
      </c>
      <c r="HD13" s="1">
        <v>37314526</v>
      </c>
      <c r="HE13" s="1">
        <v>27.11</v>
      </c>
      <c r="HF13" s="1" t="s">
        <v>64</v>
      </c>
      <c r="HG13" s="1">
        <v>107.54</v>
      </c>
      <c r="HH13" s="1">
        <v>0</v>
      </c>
      <c r="HI13" s="1">
        <v>24530</v>
      </c>
      <c r="HJ13" s="1">
        <v>49173</v>
      </c>
      <c r="HK13" s="1">
        <v>110</v>
      </c>
      <c r="HL13" s="1">
        <v>115.063</v>
      </c>
      <c r="HM13" s="1">
        <v>0</v>
      </c>
      <c r="HN13" s="1">
        <v>37314416</v>
      </c>
      <c r="HO13" s="1">
        <v>0</v>
      </c>
      <c r="HP13" s="1">
        <v>114.973</v>
      </c>
      <c r="HQ13" s="1">
        <v>4660</v>
      </c>
      <c r="HR13" s="1">
        <v>0</v>
      </c>
      <c r="HS13" s="1">
        <v>1</v>
      </c>
      <c r="HT13" s="1">
        <v>115.27</v>
      </c>
      <c r="HU13" s="1">
        <v>0</v>
      </c>
      <c r="HV13" s="1">
        <v>37314529</v>
      </c>
      <c r="HW13" s="1">
        <v>0.09</v>
      </c>
      <c r="HX13" s="1" t="s">
        <v>64</v>
      </c>
      <c r="HY13" s="1">
        <v>115.27</v>
      </c>
      <c r="HZ13" s="1">
        <v>0</v>
      </c>
      <c r="IA13" s="1">
        <v>24530</v>
      </c>
      <c r="IB13" s="1">
        <v>1429121</v>
      </c>
      <c r="IC13" s="1">
        <v>24</v>
      </c>
      <c r="ID13" s="1">
        <v>599.9880000000001</v>
      </c>
      <c r="IE13" s="1">
        <v>0</v>
      </c>
      <c r="IF13" s="1">
        <v>41344826</v>
      </c>
      <c r="IG13" s="1">
        <v>0</v>
      </c>
      <c r="IH13" s="1">
        <v>162.9880000000001</v>
      </c>
      <c r="II13" s="1">
        <v>5881</v>
      </c>
      <c r="IJ13" s="1">
        <v>0</v>
      </c>
      <c r="IK13" s="1">
        <v>0</v>
      </c>
      <c r="IL13" s="1">
        <v>1200</v>
      </c>
      <c r="IM13" s="1">
        <v>0</v>
      </c>
      <c r="IN13" s="1">
        <v>38694913</v>
      </c>
      <c r="IO13" s="1">
        <v>437</v>
      </c>
      <c r="IP13" s="1" t="s">
        <v>65</v>
      </c>
      <c r="IQ13" s="1">
        <v>600</v>
      </c>
      <c r="IR13" s="1">
        <v>1</v>
      </c>
      <c r="IS13" s="1">
        <v>1367856</v>
      </c>
      <c r="IT13" s="1">
        <v>336</v>
      </c>
      <c r="IU13" s="1">
        <v>108</v>
      </c>
      <c r="IV13" s="1">
        <v>0.089</v>
      </c>
      <c r="IW13" s="1">
        <v>0</v>
      </c>
      <c r="IX13" s="1">
        <v>2</v>
      </c>
      <c r="IY13" s="1">
        <v>0</v>
      </c>
      <c r="IZ13" s="1">
        <v>0.04899999999999999</v>
      </c>
      <c r="JA13" s="1">
        <v>13</v>
      </c>
      <c r="JB13" s="1">
        <v>0</v>
      </c>
      <c r="JC13" s="1">
        <v>1</v>
      </c>
      <c r="JD13" s="1">
        <v>0.17</v>
      </c>
      <c r="JE13" s="1">
        <v>0</v>
      </c>
      <c r="JF13" s="1">
        <v>337</v>
      </c>
      <c r="JG13" s="1">
        <v>0.04</v>
      </c>
      <c r="JH13" s="1" t="s">
        <v>64</v>
      </c>
      <c r="JI13" s="1">
        <v>0.17</v>
      </c>
      <c r="JJ13" s="1">
        <v>0</v>
      </c>
      <c r="JK13" s="1">
        <v>111</v>
      </c>
      <c r="JL13" s="1">
        <v>49173</v>
      </c>
      <c r="JM13" s="1">
        <v>95603</v>
      </c>
      <c r="JN13" s="1">
        <v>131.199</v>
      </c>
      <c r="JO13" s="1">
        <v>66276</v>
      </c>
      <c r="JP13" s="1">
        <v>37314416</v>
      </c>
      <c r="JQ13" s="1">
        <v>0</v>
      </c>
      <c r="JR13" s="1">
        <v>83.18900000000002</v>
      </c>
      <c r="JS13" s="1">
        <v>4659</v>
      </c>
      <c r="JT13" s="1">
        <v>0</v>
      </c>
      <c r="JU13" s="1">
        <v>1</v>
      </c>
      <c r="JV13" s="1">
        <v>131.33</v>
      </c>
      <c r="JW13" s="1">
        <v>284</v>
      </c>
      <c r="JX13" s="1">
        <v>37314529</v>
      </c>
      <c r="JY13" s="1">
        <v>48.01</v>
      </c>
      <c r="JZ13" s="1" t="s">
        <v>64</v>
      </c>
      <c r="KA13" s="1">
        <v>131.33</v>
      </c>
      <c r="KB13" s="1">
        <v>0</v>
      </c>
      <c r="KC13" s="1">
        <v>24530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>
        <v>80221</v>
      </c>
      <c r="C14" s="1">
        <v>731884</v>
      </c>
      <c r="D14" s="1">
        <v>599.99</v>
      </c>
      <c r="E14" s="1">
        <v>534552</v>
      </c>
      <c r="F14" s="1">
        <v>52759618</v>
      </c>
      <c r="G14" s="1">
        <v>0</v>
      </c>
      <c r="H14" s="1">
        <v>169.12</v>
      </c>
      <c r="I14" s="1">
        <v>6935</v>
      </c>
      <c r="J14" s="1">
        <v>0</v>
      </c>
      <c r="K14" s="1">
        <v>0</v>
      </c>
      <c r="L14" s="1">
        <v>1200</v>
      </c>
      <c r="M14" s="1">
        <v>1786</v>
      </c>
      <c r="N14" s="1">
        <v>54523915</v>
      </c>
      <c r="O14" s="1">
        <v>430.87</v>
      </c>
      <c r="P14" s="1" t="s">
        <v>65</v>
      </c>
      <c r="Q14" s="1">
        <v>600</v>
      </c>
      <c r="R14" s="1">
        <v>1</v>
      </c>
      <c r="S14" s="1">
        <v>29282</v>
      </c>
      <c r="T14" s="1">
        <v>101998</v>
      </c>
      <c r="U14" s="1">
        <v>121159</v>
      </c>
      <c r="V14" s="1">
        <v>224.066</v>
      </c>
      <c r="W14" s="1">
        <v>80847</v>
      </c>
      <c r="X14" s="1">
        <v>52759866</v>
      </c>
      <c r="Y14" s="1">
        <v>0</v>
      </c>
      <c r="Z14" s="1">
        <v>158.866</v>
      </c>
      <c r="AA14" s="1">
        <v>6836</v>
      </c>
      <c r="AB14" s="1">
        <v>0</v>
      </c>
      <c r="AC14" s="1">
        <v>1</v>
      </c>
      <c r="AD14" s="1">
        <v>224.34</v>
      </c>
      <c r="AE14" s="1">
        <v>356</v>
      </c>
      <c r="AF14" s="1">
        <v>54545930</v>
      </c>
      <c r="AG14" s="1">
        <v>65.2</v>
      </c>
      <c r="AH14" s="1" t="s">
        <v>64</v>
      </c>
      <c r="AI14" s="1">
        <v>224.34</v>
      </c>
      <c r="AJ14" s="1">
        <v>0</v>
      </c>
      <c r="AK14" s="1">
        <v>29286</v>
      </c>
      <c r="AL14" s="1">
        <v>101998</v>
      </c>
      <c r="AM14" s="1">
        <v>231260</v>
      </c>
      <c r="AN14" s="1">
        <v>295.637</v>
      </c>
      <c r="AO14" s="1">
        <v>160115</v>
      </c>
      <c r="AP14" s="1">
        <v>57987786</v>
      </c>
      <c r="AQ14" s="1">
        <v>0</v>
      </c>
      <c r="AR14" s="1">
        <v>126.187</v>
      </c>
      <c r="AS14" s="1">
        <v>7514</v>
      </c>
      <c r="AT14" s="1">
        <v>0</v>
      </c>
      <c r="AU14" s="1">
        <v>1</v>
      </c>
      <c r="AV14" s="1">
        <v>295.92</v>
      </c>
      <c r="AW14" s="1">
        <v>629</v>
      </c>
      <c r="AX14" s="1">
        <v>54545930</v>
      </c>
      <c r="AY14" s="1">
        <v>169.45</v>
      </c>
      <c r="AZ14" s="1" t="s">
        <v>64</v>
      </c>
      <c r="BA14" s="1">
        <v>295.92</v>
      </c>
      <c r="BB14" s="1">
        <v>0</v>
      </c>
      <c r="BC14" s="1">
        <v>1771926</v>
      </c>
      <c r="BD14" s="1">
        <v>58440</v>
      </c>
      <c r="BE14" s="1">
        <v>78565</v>
      </c>
      <c r="BF14" s="1">
        <v>209.5</v>
      </c>
      <c r="BG14" s="1">
        <v>49993</v>
      </c>
      <c r="BH14" s="1">
        <v>52759136</v>
      </c>
      <c r="BI14" s="1">
        <v>0</v>
      </c>
      <c r="BJ14" s="1">
        <v>164.21</v>
      </c>
      <c r="BK14" s="1">
        <v>6738</v>
      </c>
      <c r="BL14" s="1">
        <v>0</v>
      </c>
      <c r="BM14" s="1">
        <v>1</v>
      </c>
      <c r="BN14" s="1">
        <v>209.77</v>
      </c>
      <c r="BO14" s="1">
        <v>252</v>
      </c>
      <c r="BP14" s="1">
        <v>52759256</v>
      </c>
      <c r="BQ14" s="1">
        <v>45.29</v>
      </c>
      <c r="BR14" s="1" t="s">
        <v>64</v>
      </c>
      <c r="BS14" s="1">
        <v>209.77</v>
      </c>
      <c r="BT14" s="1">
        <v>0</v>
      </c>
      <c r="BU14" s="1">
        <v>29160</v>
      </c>
      <c r="BV14" s="1">
        <v>58442</v>
      </c>
      <c r="BW14" s="1">
        <v>120</v>
      </c>
      <c r="BX14" s="1">
        <v>163.902</v>
      </c>
      <c r="BY14" s="1">
        <v>0</v>
      </c>
      <c r="BZ14" s="1">
        <v>52759136</v>
      </c>
      <c r="CA14" s="1">
        <v>0</v>
      </c>
      <c r="CB14" s="1">
        <v>163.862</v>
      </c>
      <c r="CC14" s="1">
        <v>6739</v>
      </c>
      <c r="CD14" s="1">
        <v>0</v>
      </c>
      <c r="CE14" s="1">
        <v>1</v>
      </c>
      <c r="CF14" s="1">
        <v>164.18</v>
      </c>
      <c r="CG14" s="1">
        <v>0</v>
      </c>
      <c r="CH14" s="1">
        <v>52759258</v>
      </c>
      <c r="CI14" s="1">
        <v>0.04</v>
      </c>
      <c r="CJ14" s="1" t="s">
        <v>64</v>
      </c>
      <c r="CK14" s="1">
        <v>164.18</v>
      </c>
      <c r="CL14" s="1">
        <v>0</v>
      </c>
      <c r="CM14" s="1">
        <v>29160</v>
      </c>
      <c r="CN14" s="1">
        <v>1844640</v>
      </c>
      <c r="CO14" s="1">
        <v>2518</v>
      </c>
      <c r="CP14" s="1">
        <v>599.998</v>
      </c>
      <c r="CQ14" s="1">
        <v>1159</v>
      </c>
      <c r="CR14" s="1">
        <v>57987546</v>
      </c>
      <c r="CS14" s="1">
        <v>0</v>
      </c>
      <c r="CT14" s="1">
        <v>137.5980000000001</v>
      </c>
      <c r="CU14" s="1">
        <v>8749</v>
      </c>
      <c r="CV14" s="1">
        <v>0</v>
      </c>
      <c r="CW14" s="1">
        <v>0</v>
      </c>
      <c r="CX14" s="1">
        <v>1200</v>
      </c>
      <c r="CY14" s="1">
        <v>11</v>
      </c>
      <c r="CZ14" s="1">
        <v>54545932</v>
      </c>
      <c r="DA14" s="1">
        <v>462.4</v>
      </c>
      <c r="DB14" s="1" t="s">
        <v>65</v>
      </c>
      <c r="DC14" s="1">
        <v>600</v>
      </c>
      <c r="DD14" s="1">
        <v>1</v>
      </c>
      <c r="DE14" s="1">
        <v>1771806</v>
      </c>
      <c r="DF14" s="1">
        <v>365</v>
      </c>
      <c r="DG14" s="1">
        <v>117</v>
      </c>
      <c r="DH14" s="1">
        <v>0.007</v>
      </c>
      <c r="DI14" s="1">
        <v>0</v>
      </c>
      <c r="DJ14" s="1">
        <v>2</v>
      </c>
      <c r="DK14" s="1">
        <v>0</v>
      </c>
      <c r="DL14" s="1">
        <v>0.007</v>
      </c>
      <c r="DM14" s="1">
        <v>0</v>
      </c>
      <c r="DN14" s="1">
        <v>0</v>
      </c>
      <c r="DO14" s="1">
        <v>1</v>
      </c>
      <c r="DP14" s="1">
        <v>0.05</v>
      </c>
      <c r="DQ14" s="1">
        <v>0</v>
      </c>
      <c r="DR14" s="1">
        <v>366</v>
      </c>
      <c r="DS14" s="1">
        <v>0</v>
      </c>
      <c r="DT14" s="1" t="s">
        <v>64</v>
      </c>
      <c r="DU14" s="1">
        <v>0.05</v>
      </c>
      <c r="DV14" s="1">
        <v>0</v>
      </c>
      <c r="DW14" s="1">
        <v>121</v>
      </c>
      <c r="DX14" s="1">
        <v>58442</v>
      </c>
      <c r="DY14" s="1">
        <v>78565</v>
      </c>
      <c r="DZ14" s="1">
        <v>146.831</v>
      </c>
      <c r="EA14" s="1">
        <v>49993</v>
      </c>
      <c r="EB14" s="1">
        <v>52759136</v>
      </c>
      <c r="EC14" s="1">
        <v>0</v>
      </c>
      <c r="ED14" s="1">
        <v>117.391</v>
      </c>
      <c r="EE14" s="1">
        <v>6738</v>
      </c>
      <c r="EF14" s="1">
        <v>0</v>
      </c>
      <c r="EG14" s="1">
        <v>1</v>
      </c>
      <c r="EH14" s="1">
        <v>146.98</v>
      </c>
      <c r="EI14" s="1">
        <v>252</v>
      </c>
      <c r="EJ14" s="1">
        <v>52759258</v>
      </c>
      <c r="EK14" s="1">
        <v>29.44</v>
      </c>
      <c r="EL14" s="1" t="s">
        <v>64</v>
      </c>
      <c r="EM14" s="1">
        <v>146.98</v>
      </c>
      <c r="EN14" s="1">
        <v>0</v>
      </c>
      <c r="EO14" s="1">
        <v>29160</v>
      </c>
      <c r="EP14" s="1">
        <v>80221</v>
      </c>
      <c r="EQ14" s="1">
        <v>764654</v>
      </c>
      <c r="ER14" s="1">
        <v>599.986</v>
      </c>
      <c r="ES14" s="1">
        <v>559848</v>
      </c>
      <c r="ET14" s="1">
        <v>52759618</v>
      </c>
      <c r="EU14" s="1">
        <v>0</v>
      </c>
      <c r="EV14" s="1">
        <v>165.956</v>
      </c>
      <c r="EW14" s="1">
        <v>6937</v>
      </c>
      <c r="EX14" s="1">
        <v>0</v>
      </c>
      <c r="EY14" s="1">
        <v>0</v>
      </c>
      <c r="EZ14" s="1">
        <v>1200</v>
      </c>
      <c r="FA14" s="1">
        <v>1854</v>
      </c>
      <c r="FB14" s="1">
        <v>54523915</v>
      </c>
      <c r="FC14" s="1">
        <v>434.03</v>
      </c>
      <c r="FD14" s="1" t="s">
        <v>65</v>
      </c>
      <c r="FE14" s="1">
        <v>600</v>
      </c>
      <c r="FF14" s="1">
        <v>1</v>
      </c>
      <c r="FG14" s="1">
        <v>29282</v>
      </c>
      <c r="FH14" s="1">
        <v>101998</v>
      </c>
      <c r="FI14" s="1">
        <v>121159</v>
      </c>
      <c r="FJ14" s="1">
        <v>162.965</v>
      </c>
      <c r="FK14" s="1">
        <v>80847</v>
      </c>
      <c r="FL14" s="1">
        <v>52759866</v>
      </c>
      <c r="FM14" s="1">
        <v>0</v>
      </c>
      <c r="FN14" s="1">
        <v>121.135</v>
      </c>
      <c r="FO14" s="1">
        <v>6834</v>
      </c>
      <c r="FP14" s="1">
        <v>0</v>
      </c>
      <c r="FQ14" s="1">
        <v>1</v>
      </c>
      <c r="FR14" s="1">
        <v>163.13</v>
      </c>
      <c r="FS14" s="1">
        <v>356</v>
      </c>
      <c r="FT14" s="1">
        <v>54545930</v>
      </c>
      <c r="FU14" s="1">
        <v>41.83</v>
      </c>
      <c r="FV14" s="1" t="s">
        <v>64</v>
      </c>
      <c r="FW14" s="1">
        <v>163.13</v>
      </c>
      <c r="FX14" s="1">
        <v>0</v>
      </c>
      <c r="FY14" s="1">
        <v>29286</v>
      </c>
      <c r="FZ14" s="1">
        <v>101998</v>
      </c>
      <c r="GA14" s="1">
        <v>231260</v>
      </c>
      <c r="GB14" s="1">
        <v>289.773</v>
      </c>
      <c r="GC14" s="1">
        <v>160115</v>
      </c>
      <c r="GD14" s="1">
        <v>57987786</v>
      </c>
      <c r="GE14" s="1">
        <v>0</v>
      </c>
      <c r="GF14" s="1">
        <v>124.233</v>
      </c>
      <c r="GG14" s="1">
        <v>7595</v>
      </c>
      <c r="GH14" s="1">
        <v>0</v>
      </c>
      <c r="GI14" s="1">
        <v>1</v>
      </c>
      <c r="GJ14" s="1">
        <v>290.01</v>
      </c>
      <c r="GK14" s="1">
        <v>629</v>
      </c>
      <c r="GL14" s="1">
        <v>54545930</v>
      </c>
      <c r="GM14" s="1">
        <v>165.54</v>
      </c>
      <c r="GN14" s="1" t="s">
        <v>64</v>
      </c>
      <c r="GO14" s="1">
        <v>290.01</v>
      </c>
      <c r="GP14" s="1">
        <v>0</v>
      </c>
      <c r="GQ14" s="1">
        <v>1771926</v>
      </c>
      <c r="GR14" s="1">
        <v>58440</v>
      </c>
      <c r="GS14" s="1">
        <v>78565</v>
      </c>
      <c r="GT14" s="1">
        <v>199.144</v>
      </c>
      <c r="GU14" s="1">
        <v>49993</v>
      </c>
      <c r="GV14" s="1">
        <v>52759136</v>
      </c>
      <c r="GW14" s="1">
        <v>0</v>
      </c>
      <c r="GX14" s="1">
        <v>155.854</v>
      </c>
      <c r="GY14" s="1">
        <v>6740</v>
      </c>
      <c r="GZ14" s="1">
        <v>0</v>
      </c>
      <c r="HA14" s="1">
        <v>1</v>
      </c>
      <c r="HB14" s="1">
        <v>199.5</v>
      </c>
      <c r="HC14" s="1">
        <v>252</v>
      </c>
      <c r="HD14" s="1">
        <v>52759256</v>
      </c>
      <c r="HE14" s="1">
        <v>43.29</v>
      </c>
      <c r="HF14" s="1" t="s">
        <v>64</v>
      </c>
      <c r="HG14" s="1">
        <v>199.5</v>
      </c>
      <c r="HH14" s="1">
        <v>0</v>
      </c>
      <c r="HI14" s="1">
        <v>29160</v>
      </c>
      <c r="HJ14" s="1">
        <v>58443</v>
      </c>
      <c r="HK14" s="1">
        <v>120</v>
      </c>
      <c r="HL14" s="1">
        <v>163.975</v>
      </c>
      <c r="HM14" s="1">
        <v>0</v>
      </c>
      <c r="HN14" s="1">
        <v>52759136</v>
      </c>
      <c r="HO14" s="1">
        <v>0</v>
      </c>
      <c r="HP14" s="1">
        <v>163.855</v>
      </c>
      <c r="HQ14" s="1">
        <v>6742</v>
      </c>
      <c r="HR14" s="1">
        <v>0</v>
      </c>
      <c r="HS14" s="1">
        <v>1</v>
      </c>
      <c r="HT14" s="1">
        <v>164.25</v>
      </c>
      <c r="HU14" s="1">
        <v>0</v>
      </c>
      <c r="HV14" s="1">
        <v>52759259</v>
      </c>
      <c r="HW14" s="1">
        <v>0.12</v>
      </c>
      <c r="HX14" s="1" t="s">
        <v>64</v>
      </c>
      <c r="HY14" s="1">
        <v>164.25</v>
      </c>
      <c r="HZ14" s="1">
        <v>0</v>
      </c>
      <c r="IA14" s="1">
        <v>29160</v>
      </c>
      <c r="IB14" s="1">
        <v>1844641</v>
      </c>
      <c r="IC14" s="1">
        <v>19</v>
      </c>
      <c r="ID14" s="1">
        <v>599.99</v>
      </c>
      <c r="IE14" s="1">
        <v>0</v>
      </c>
      <c r="IF14" s="1">
        <v>57987546</v>
      </c>
      <c r="IG14" s="1">
        <v>0</v>
      </c>
      <c r="IH14" s="1">
        <v>230.62</v>
      </c>
      <c r="II14" s="1">
        <v>8387</v>
      </c>
      <c r="IJ14" s="1">
        <v>0</v>
      </c>
      <c r="IK14" s="1">
        <v>0</v>
      </c>
      <c r="IL14" s="1">
        <v>1200</v>
      </c>
      <c r="IM14" s="1">
        <v>0</v>
      </c>
      <c r="IN14" s="1">
        <v>54545933</v>
      </c>
      <c r="IO14" s="1">
        <v>369.37</v>
      </c>
      <c r="IP14" s="1" t="s">
        <v>65</v>
      </c>
      <c r="IQ14" s="1">
        <v>600</v>
      </c>
      <c r="IR14" s="1">
        <v>1</v>
      </c>
      <c r="IS14" s="1">
        <v>1771806</v>
      </c>
      <c r="IT14" s="1">
        <v>366</v>
      </c>
      <c r="IU14" s="1">
        <v>117</v>
      </c>
      <c r="IV14" s="1">
        <v>0.098</v>
      </c>
      <c r="IW14" s="1">
        <v>0</v>
      </c>
      <c r="IX14" s="1">
        <v>2</v>
      </c>
      <c r="IY14" s="1">
        <v>0</v>
      </c>
      <c r="IZ14" s="1">
        <v>0.048</v>
      </c>
      <c r="JA14" s="1">
        <v>13</v>
      </c>
      <c r="JB14" s="1">
        <v>0</v>
      </c>
      <c r="JC14" s="1">
        <v>1</v>
      </c>
      <c r="JD14" s="1">
        <v>0.18</v>
      </c>
      <c r="JE14" s="1">
        <v>0</v>
      </c>
      <c r="JF14" s="1">
        <v>367</v>
      </c>
      <c r="JG14" s="1">
        <v>0.05</v>
      </c>
      <c r="JH14" s="1" t="s">
        <v>64</v>
      </c>
      <c r="JI14" s="1">
        <v>0.18</v>
      </c>
      <c r="JJ14" s="1">
        <v>0</v>
      </c>
      <c r="JK14" s="1">
        <v>121</v>
      </c>
      <c r="JL14" s="1">
        <v>58443</v>
      </c>
      <c r="JM14" s="1">
        <v>78565</v>
      </c>
      <c r="JN14" s="1">
        <v>227.593</v>
      </c>
      <c r="JO14" s="1">
        <v>49993</v>
      </c>
      <c r="JP14" s="1">
        <v>52759136</v>
      </c>
      <c r="JQ14" s="1">
        <v>0</v>
      </c>
      <c r="JR14" s="1">
        <v>163.363</v>
      </c>
      <c r="JS14" s="1">
        <v>6742</v>
      </c>
      <c r="JT14" s="1">
        <v>0</v>
      </c>
      <c r="JU14" s="1">
        <v>1</v>
      </c>
      <c r="JV14" s="1">
        <v>227.87</v>
      </c>
      <c r="JW14" s="1">
        <v>252</v>
      </c>
      <c r="JX14" s="1">
        <v>52759259</v>
      </c>
      <c r="JY14" s="1">
        <v>64.23</v>
      </c>
      <c r="JZ14" s="1" t="s">
        <v>64</v>
      </c>
      <c r="KA14" s="1">
        <v>227.87</v>
      </c>
      <c r="KB14" s="1">
        <v>0</v>
      </c>
      <c r="KC14" s="1">
        <v>29160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>
        <v>94056</v>
      </c>
      <c r="C15" s="1">
        <v>798141</v>
      </c>
      <c r="D15" s="1">
        <v>599.942</v>
      </c>
      <c r="E15" s="1">
        <v>574921</v>
      </c>
      <c r="F15" s="1">
        <v>72566128</v>
      </c>
      <c r="G15" s="1">
        <v>0</v>
      </c>
      <c r="H15" s="1">
        <v>173.172</v>
      </c>
      <c r="I15" s="1">
        <v>9226</v>
      </c>
      <c r="J15" s="1">
        <v>0</v>
      </c>
      <c r="K15" s="1">
        <v>0</v>
      </c>
      <c r="L15" s="1">
        <v>1200</v>
      </c>
      <c r="M15" s="1">
        <v>1856</v>
      </c>
      <c r="N15" s="1">
        <v>74805700</v>
      </c>
      <c r="O15" s="1">
        <v>426.77</v>
      </c>
      <c r="P15" s="1" t="s">
        <v>65</v>
      </c>
      <c r="Q15" s="1">
        <v>600</v>
      </c>
      <c r="R15" s="1">
        <v>1</v>
      </c>
      <c r="S15" s="1">
        <v>34322</v>
      </c>
      <c r="T15" s="1">
        <v>119598</v>
      </c>
      <c r="U15" s="1">
        <v>149333</v>
      </c>
      <c r="V15" s="1">
        <v>358.68</v>
      </c>
      <c r="W15" s="1">
        <v>96733</v>
      </c>
      <c r="X15" s="1">
        <v>72566396</v>
      </c>
      <c r="Y15" s="1">
        <v>0</v>
      </c>
      <c r="Z15" s="1">
        <v>240.45</v>
      </c>
      <c r="AA15" s="1">
        <v>9113</v>
      </c>
      <c r="AB15" s="1">
        <v>0</v>
      </c>
      <c r="AC15" s="1">
        <v>1</v>
      </c>
      <c r="AD15" s="1">
        <v>359.05</v>
      </c>
      <c r="AE15" s="1">
        <v>427</v>
      </c>
      <c r="AF15" s="1">
        <v>74831500</v>
      </c>
      <c r="AG15" s="1">
        <v>118.23</v>
      </c>
      <c r="AH15" s="1" t="s">
        <v>64</v>
      </c>
      <c r="AI15" s="1">
        <v>359.05</v>
      </c>
      <c r="AJ15" s="1">
        <v>0</v>
      </c>
      <c r="AK15" s="1">
        <v>34326</v>
      </c>
      <c r="AL15" s="1">
        <v>119598</v>
      </c>
      <c r="AM15" s="1">
        <v>104476</v>
      </c>
      <c r="AN15" s="1">
        <v>270.818</v>
      </c>
      <c r="AO15" s="1">
        <v>68594</v>
      </c>
      <c r="AP15" s="1">
        <v>79208876</v>
      </c>
      <c r="AQ15" s="1">
        <v>0</v>
      </c>
      <c r="AR15" s="1">
        <v>176.338</v>
      </c>
      <c r="AS15" s="1">
        <v>10080</v>
      </c>
      <c r="AT15" s="1">
        <v>0</v>
      </c>
      <c r="AU15" s="1">
        <v>1</v>
      </c>
      <c r="AV15" s="1">
        <v>271.11</v>
      </c>
      <c r="AW15" s="1">
        <v>291</v>
      </c>
      <c r="AX15" s="1">
        <v>74831500</v>
      </c>
      <c r="AY15" s="1">
        <v>94.48</v>
      </c>
      <c r="AZ15" s="1" t="s">
        <v>64</v>
      </c>
      <c r="BA15" s="1">
        <v>271.11</v>
      </c>
      <c r="BB15" s="1">
        <v>0</v>
      </c>
      <c r="BC15" s="1">
        <v>2248486</v>
      </c>
      <c r="BD15" s="1">
        <v>68510</v>
      </c>
      <c r="BE15" s="1">
        <v>75071</v>
      </c>
      <c r="BF15" s="1">
        <v>298.304</v>
      </c>
      <c r="BG15" s="1">
        <v>46051</v>
      </c>
      <c r="BH15" s="1">
        <v>72565606</v>
      </c>
      <c r="BI15" s="1">
        <v>0</v>
      </c>
      <c r="BJ15" s="1">
        <v>236.764</v>
      </c>
      <c r="BK15" s="1">
        <v>9031</v>
      </c>
      <c r="BL15" s="1">
        <v>0</v>
      </c>
      <c r="BM15" s="1">
        <v>1</v>
      </c>
      <c r="BN15" s="1">
        <v>298.68</v>
      </c>
      <c r="BO15" s="1">
        <v>235</v>
      </c>
      <c r="BP15" s="1">
        <v>72565736</v>
      </c>
      <c r="BQ15" s="1">
        <v>61.54</v>
      </c>
      <c r="BR15" s="1" t="s">
        <v>64</v>
      </c>
      <c r="BS15" s="1">
        <v>298.68</v>
      </c>
      <c r="BT15" s="1">
        <v>0</v>
      </c>
      <c r="BU15" s="1">
        <v>34190</v>
      </c>
      <c r="BV15" s="1">
        <v>68512</v>
      </c>
      <c r="BW15" s="1">
        <v>130</v>
      </c>
      <c r="BX15" s="1">
        <v>243.742</v>
      </c>
      <c r="BY15" s="1">
        <v>0</v>
      </c>
      <c r="BZ15" s="1">
        <v>72565606</v>
      </c>
      <c r="CA15" s="1">
        <v>0</v>
      </c>
      <c r="CB15" s="1">
        <v>243.662</v>
      </c>
      <c r="CC15" s="1">
        <v>9029</v>
      </c>
      <c r="CD15" s="1">
        <v>0</v>
      </c>
      <c r="CE15" s="1">
        <v>1</v>
      </c>
      <c r="CF15" s="1">
        <v>244.13</v>
      </c>
      <c r="CG15" s="1">
        <v>0</v>
      </c>
      <c r="CH15" s="1">
        <v>72565738</v>
      </c>
      <c r="CI15" s="1">
        <v>0.08</v>
      </c>
      <c r="CJ15" s="1" t="s">
        <v>64</v>
      </c>
      <c r="CK15" s="1">
        <v>244.13</v>
      </c>
      <c r="CL15" s="1">
        <v>0</v>
      </c>
      <c r="CM15" s="1">
        <v>34190</v>
      </c>
      <c r="CN15" s="1">
        <v>2333760</v>
      </c>
      <c r="CO15" s="1">
        <v>1256</v>
      </c>
      <c r="CP15" s="1">
        <v>599.984</v>
      </c>
      <c r="CQ15" s="1">
        <v>515</v>
      </c>
      <c r="CR15" s="1">
        <v>79208616</v>
      </c>
      <c r="CS15" s="1">
        <v>0</v>
      </c>
      <c r="CT15" s="1">
        <v>254.564</v>
      </c>
      <c r="CU15" s="1">
        <v>11626</v>
      </c>
      <c r="CV15" s="1">
        <v>0</v>
      </c>
      <c r="CW15" s="1">
        <v>0</v>
      </c>
      <c r="CX15" s="1">
        <v>1200</v>
      </c>
      <c r="CY15" s="1">
        <v>5</v>
      </c>
      <c r="CZ15" s="1">
        <v>74831502</v>
      </c>
      <c r="DA15" s="1">
        <v>345.42</v>
      </c>
      <c r="DB15" s="1" t="s">
        <v>65</v>
      </c>
      <c r="DC15" s="1">
        <v>600</v>
      </c>
      <c r="DD15" s="1">
        <v>1</v>
      </c>
      <c r="DE15" s="1">
        <v>2248356</v>
      </c>
      <c r="DF15" s="1">
        <v>395</v>
      </c>
      <c r="DG15" s="1">
        <v>128</v>
      </c>
      <c r="DH15" s="1">
        <v>0.004</v>
      </c>
      <c r="DI15" s="1">
        <v>0</v>
      </c>
      <c r="DJ15" s="1">
        <v>2</v>
      </c>
      <c r="DK15" s="1">
        <v>0</v>
      </c>
      <c r="DL15" s="1">
        <v>0.004</v>
      </c>
      <c r="DM15" s="1">
        <v>0</v>
      </c>
      <c r="DN15" s="1">
        <v>0</v>
      </c>
      <c r="DO15" s="1">
        <v>1</v>
      </c>
      <c r="DP15" s="1">
        <v>0.02</v>
      </c>
      <c r="DQ15" s="1">
        <v>0</v>
      </c>
      <c r="DR15" s="1">
        <v>396</v>
      </c>
      <c r="DS15" s="1">
        <v>0</v>
      </c>
      <c r="DT15" s="1" t="s">
        <v>64</v>
      </c>
      <c r="DU15" s="1">
        <v>0.02</v>
      </c>
      <c r="DV15" s="1">
        <v>0</v>
      </c>
      <c r="DW15" s="1">
        <v>131</v>
      </c>
      <c r="DX15" s="1">
        <v>68512</v>
      </c>
      <c r="DY15" s="1">
        <v>75071</v>
      </c>
      <c r="DZ15" s="1">
        <v>291.3</v>
      </c>
      <c r="EA15" s="1">
        <v>46051</v>
      </c>
      <c r="EB15" s="1">
        <v>72565606</v>
      </c>
      <c r="EC15" s="1">
        <v>0</v>
      </c>
      <c r="ED15" s="1">
        <v>227.79</v>
      </c>
      <c r="EE15" s="1">
        <v>9030</v>
      </c>
      <c r="EF15" s="1">
        <v>0</v>
      </c>
      <c r="EG15" s="1">
        <v>1</v>
      </c>
      <c r="EH15" s="1">
        <v>291.68</v>
      </c>
      <c r="EI15" s="1">
        <v>235</v>
      </c>
      <c r="EJ15" s="1">
        <v>72565738</v>
      </c>
      <c r="EK15" s="1">
        <v>63.51</v>
      </c>
      <c r="EL15" s="1" t="s">
        <v>64</v>
      </c>
      <c r="EM15" s="1">
        <v>291.68</v>
      </c>
      <c r="EN15" s="1">
        <v>0</v>
      </c>
      <c r="EO15" s="1">
        <v>34190</v>
      </c>
      <c r="EP15" s="1">
        <v>94056</v>
      </c>
      <c r="EQ15" s="1">
        <v>794788</v>
      </c>
      <c r="ER15" s="1">
        <v>599.997</v>
      </c>
      <c r="ES15" s="1">
        <v>572173</v>
      </c>
      <c r="ET15" s="1">
        <v>72566128</v>
      </c>
      <c r="EU15" s="1">
        <v>0</v>
      </c>
      <c r="EV15" s="1">
        <v>173.7569999999999</v>
      </c>
      <c r="EW15" s="1">
        <v>9221</v>
      </c>
      <c r="EX15" s="1">
        <v>0</v>
      </c>
      <c r="EY15" s="1">
        <v>0</v>
      </c>
      <c r="EZ15" s="1">
        <v>1200</v>
      </c>
      <c r="FA15" s="1">
        <v>1851</v>
      </c>
      <c r="FB15" s="1">
        <v>74805700</v>
      </c>
      <c r="FC15" s="1">
        <v>426.24</v>
      </c>
      <c r="FD15" s="1" t="s">
        <v>65</v>
      </c>
      <c r="FE15" s="1">
        <v>600</v>
      </c>
      <c r="FF15" s="1">
        <v>1</v>
      </c>
      <c r="FG15" s="1">
        <v>34322</v>
      </c>
      <c r="FH15" s="1">
        <v>119598</v>
      </c>
      <c r="FI15" s="1">
        <v>149333</v>
      </c>
      <c r="FJ15" s="1">
        <v>352.541</v>
      </c>
      <c r="FK15" s="1">
        <v>96733</v>
      </c>
      <c r="FL15" s="1">
        <v>72566396</v>
      </c>
      <c r="FM15" s="1">
        <v>0</v>
      </c>
      <c r="FN15" s="1">
        <v>236.261</v>
      </c>
      <c r="FO15" s="1">
        <v>9116</v>
      </c>
      <c r="FP15" s="1">
        <v>0</v>
      </c>
      <c r="FQ15" s="1">
        <v>1</v>
      </c>
      <c r="FR15" s="1">
        <v>352.93</v>
      </c>
      <c r="FS15" s="1">
        <v>427</v>
      </c>
      <c r="FT15" s="1">
        <v>74831500</v>
      </c>
      <c r="FU15" s="1">
        <v>116.28</v>
      </c>
      <c r="FV15" s="1" t="s">
        <v>64</v>
      </c>
      <c r="FW15" s="1">
        <v>352.93</v>
      </c>
      <c r="FX15" s="1">
        <v>0</v>
      </c>
      <c r="FY15" s="1">
        <v>34326</v>
      </c>
      <c r="FZ15" s="1">
        <v>119598</v>
      </c>
      <c r="GA15" s="1">
        <v>104476</v>
      </c>
      <c r="GB15" s="1">
        <v>428.103</v>
      </c>
      <c r="GC15" s="1">
        <v>68594</v>
      </c>
      <c r="GD15" s="1">
        <v>79208876</v>
      </c>
      <c r="GE15" s="1">
        <v>0</v>
      </c>
      <c r="GF15" s="1">
        <v>249.393</v>
      </c>
      <c r="GG15" s="1">
        <v>10079</v>
      </c>
      <c r="GH15" s="1">
        <v>0</v>
      </c>
      <c r="GI15" s="1">
        <v>1</v>
      </c>
      <c r="GJ15" s="1">
        <v>428.78</v>
      </c>
      <c r="GK15" s="1">
        <v>291</v>
      </c>
      <c r="GL15" s="1">
        <v>74831500</v>
      </c>
      <c r="GM15" s="1">
        <v>178.71</v>
      </c>
      <c r="GN15" s="1" t="s">
        <v>64</v>
      </c>
      <c r="GO15" s="1">
        <v>428.78</v>
      </c>
      <c r="GP15" s="1">
        <v>0</v>
      </c>
      <c r="GQ15" s="1">
        <v>2248486</v>
      </c>
      <c r="GR15" s="1">
        <v>68510</v>
      </c>
      <c r="GS15" s="1">
        <v>75071</v>
      </c>
      <c r="GT15" s="1">
        <v>203.882</v>
      </c>
      <c r="GU15" s="1">
        <v>46051</v>
      </c>
      <c r="GV15" s="1">
        <v>72565606</v>
      </c>
      <c r="GW15" s="1">
        <v>0</v>
      </c>
      <c r="GX15" s="1">
        <v>169.322</v>
      </c>
      <c r="GY15" s="1">
        <v>9033</v>
      </c>
      <c r="GZ15" s="1">
        <v>0</v>
      </c>
      <c r="HA15" s="1">
        <v>1</v>
      </c>
      <c r="HB15" s="1">
        <v>204.1</v>
      </c>
      <c r="HC15" s="1">
        <v>235</v>
      </c>
      <c r="HD15" s="1">
        <v>72565736</v>
      </c>
      <c r="HE15" s="1">
        <v>34.56</v>
      </c>
      <c r="HF15" s="1" t="s">
        <v>64</v>
      </c>
      <c r="HG15" s="1">
        <v>204.1</v>
      </c>
      <c r="HH15" s="1">
        <v>0</v>
      </c>
      <c r="HI15" s="1">
        <v>34190</v>
      </c>
      <c r="HJ15" s="1">
        <v>68513</v>
      </c>
      <c r="HK15" s="1">
        <v>130</v>
      </c>
      <c r="HL15" s="1">
        <v>239.499</v>
      </c>
      <c r="HM15" s="1">
        <v>0</v>
      </c>
      <c r="HN15" s="1">
        <v>72565606</v>
      </c>
      <c r="HO15" s="1">
        <v>0</v>
      </c>
      <c r="HP15" s="1">
        <v>239.339</v>
      </c>
      <c r="HQ15" s="1">
        <v>9026</v>
      </c>
      <c r="HR15" s="1">
        <v>0</v>
      </c>
      <c r="HS15" s="1">
        <v>1</v>
      </c>
      <c r="HT15" s="1">
        <v>239.88</v>
      </c>
      <c r="HU15" s="1">
        <v>0</v>
      </c>
      <c r="HV15" s="1">
        <v>72565739</v>
      </c>
      <c r="HW15" s="1">
        <v>0.16</v>
      </c>
      <c r="HX15" s="1" t="s">
        <v>64</v>
      </c>
      <c r="HY15" s="1">
        <v>239.88</v>
      </c>
      <c r="HZ15" s="1">
        <v>0</v>
      </c>
      <c r="IA15" s="1">
        <v>34190</v>
      </c>
      <c r="IB15" s="1">
        <v>2333761</v>
      </c>
      <c r="IC15" s="1">
        <v>15</v>
      </c>
      <c r="ID15" s="1">
        <v>599.982</v>
      </c>
      <c r="IE15" s="1">
        <v>0</v>
      </c>
      <c r="IF15" s="1">
        <v>79208616</v>
      </c>
      <c r="IG15" s="1">
        <v>0</v>
      </c>
      <c r="IH15" s="1">
        <v>324.0119999999999</v>
      </c>
      <c r="II15" s="1">
        <v>11076</v>
      </c>
      <c r="IJ15" s="1">
        <v>0</v>
      </c>
      <c r="IK15" s="1">
        <v>0</v>
      </c>
      <c r="IL15" s="1">
        <v>1200</v>
      </c>
      <c r="IM15" s="1">
        <v>0</v>
      </c>
      <c r="IN15" s="1">
        <v>74831503</v>
      </c>
      <c r="IO15" s="1">
        <v>275.97</v>
      </c>
      <c r="IP15" s="1" t="s">
        <v>65</v>
      </c>
      <c r="IQ15" s="1">
        <v>600</v>
      </c>
      <c r="IR15" s="1">
        <v>1</v>
      </c>
      <c r="IS15" s="1">
        <v>2248356</v>
      </c>
      <c r="IT15" s="1">
        <v>396</v>
      </c>
      <c r="IU15" s="1">
        <v>128</v>
      </c>
      <c r="IV15" s="1">
        <v>0.08799999999999999</v>
      </c>
      <c r="IW15" s="1">
        <v>0</v>
      </c>
      <c r="IX15" s="1">
        <v>2</v>
      </c>
      <c r="IY15" s="1">
        <v>0</v>
      </c>
      <c r="IZ15" s="1">
        <v>0.028</v>
      </c>
      <c r="JA15" s="1">
        <v>0</v>
      </c>
      <c r="JB15" s="1">
        <v>0</v>
      </c>
      <c r="JC15" s="1">
        <v>1</v>
      </c>
      <c r="JD15" s="1">
        <v>0.1</v>
      </c>
      <c r="JE15" s="1">
        <v>0</v>
      </c>
      <c r="JF15" s="1">
        <v>397</v>
      </c>
      <c r="JG15" s="1">
        <v>0.06</v>
      </c>
      <c r="JH15" s="1" t="s">
        <v>64</v>
      </c>
      <c r="JI15" s="1">
        <v>0.1</v>
      </c>
      <c r="JJ15" s="1">
        <v>0</v>
      </c>
      <c r="JK15" s="1">
        <v>131</v>
      </c>
      <c r="JL15" s="1">
        <v>68513</v>
      </c>
      <c r="JM15" s="1">
        <v>75071</v>
      </c>
      <c r="JN15" s="1">
        <v>210.717</v>
      </c>
      <c r="JO15" s="1">
        <v>46051</v>
      </c>
      <c r="JP15" s="1">
        <v>72565606</v>
      </c>
      <c r="JQ15" s="1">
        <v>0</v>
      </c>
      <c r="JR15" s="1">
        <v>164.027</v>
      </c>
      <c r="JS15" s="1">
        <v>9026</v>
      </c>
      <c r="JT15" s="1">
        <v>0</v>
      </c>
      <c r="JU15" s="1">
        <v>1</v>
      </c>
      <c r="JV15" s="1">
        <v>210.93</v>
      </c>
      <c r="JW15" s="1">
        <v>235</v>
      </c>
      <c r="JX15" s="1">
        <v>72565739</v>
      </c>
      <c r="JY15" s="1">
        <v>46.69</v>
      </c>
      <c r="JZ15" s="1" t="s">
        <v>64</v>
      </c>
      <c r="KA15" s="1">
        <v>210.93</v>
      </c>
      <c r="KB15" s="1">
        <v>0</v>
      </c>
      <c r="KC15" s="1">
        <v>34190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>
        <v>108991</v>
      </c>
      <c r="C16" s="1">
        <v>198901</v>
      </c>
      <c r="D16" s="1">
        <v>599.873</v>
      </c>
      <c r="E16" s="1">
        <v>132361</v>
      </c>
      <c r="F16" s="1">
        <v>97487388</v>
      </c>
      <c r="G16" s="1">
        <v>0</v>
      </c>
      <c r="H16" s="1">
        <v>354.933</v>
      </c>
      <c r="I16" s="1">
        <v>11942</v>
      </c>
      <c r="J16" s="1">
        <v>0</v>
      </c>
      <c r="K16" s="1">
        <v>0</v>
      </c>
      <c r="L16" s="1">
        <v>1200</v>
      </c>
      <c r="M16" s="1">
        <v>509</v>
      </c>
      <c r="N16" s="1">
        <v>100280735</v>
      </c>
      <c r="O16" s="1">
        <v>244.94</v>
      </c>
      <c r="P16" s="1" t="s">
        <v>65</v>
      </c>
      <c r="Q16" s="1">
        <v>600</v>
      </c>
      <c r="R16" s="1">
        <v>1</v>
      </c>
      <c r="S16" s="1">
        <v>39762</v>
      </c>
      <c r="T16" s="1">
        <v>138598</v>
      </c>
      <c r="U16" s="1">
        <v>113784</v>
      </c>
      <c r="V16" s="1">
        <v>462.117</v>
      </c>
      <c r="W16" s="1">
        <v>71912</v>
      </c>
      <c r="X16" s="1">
        <v>97487676</v>
      </c>
      <c r="Y16" s="1">
        <v>0</v>
      </c>
      <c r="Z16" s="1">
        <v>337.7670000000001</v>
      </c>
      <c r="AA16" s="1">
        <v>11817</v>
      </c>
      <c r="AB16" s="1">
        <v>0</v>
      </c>
      <c r="AC16" s="1">
        <v>1</v>
      </c>
      <c r="AD16" s="1">
        <v>462.59</v>
      </c>
      <c r="AE16" s="1">
        <v>314</v>
      </c>
      <c r="AF16" s="1">
        <v>100310620</v>
      </c>
      <c r="AG16" s="1">
        <v>124.35</v>
      </c>
      <c r="AH16" s="1" t="s">
        <v>64</v>
      </c>
      <c r="AI16" s="1">
        <v>462.59</v>
      </c>
      <c r="AJ16" s="1">
        <v>0</v>
      </c>
      <c r="AK16" s="1">
        <v>39766</v>
      </c>
      <c r="AL16" s="1">
        <v>138598</v>
      </c>
      <c r="AM16" s="1">
        <v>151416</v>
      </c>
      <c r="AN16" s="1">
        <v>425.648</v>
      </c>
      <c r="AO16" s="1">
        <v>95308</v>
      </c>
      <c r="AP16" s="1">
        <v>105779316</v>
      </c>
      <c r="AQ16" s="1">
        <v>0</v>
      </c>
      <c r="AR16" s="1">
        <v>253.038</v>
      </c>
      <c r="AS16" s="1">
        <v>13009</v>
      </c>
      <c r="AT16" s="1">
        <v>0</v>
      </c>
      <c r="AU16" s="1">
        <v>1</v>
      </c>
      <c r="AV16" s="1">
        <v>426.03</v>
      </c>
      <c r="AW16" s="1">
        <v>421</v>
      </c>
      <c r="AX16" s="1">
        <v>100310620</v>
      </c>
      <c r="AY16" s="1">
        <v>172.61</v>
      </c>
      <c r="AZ16" s="1" t="s">
        <v>64</v>
      </c>
      <c r="BA16" s="1">
        <v>426.03</v>
      </c>
      <c r="BB16" s="1">
        <v>0</v>
      </c>
      <c r="BC16" s="1">
        <v>2803646</v>
      </c>
      <c r="BD16" s="1">
        <v>79380</v>
      </c>
      <c r="BE16" s="1">
        <v>72843</v>
      </c>
      <c r="BF16" s="1">
        <v>426.268</v>
      </c>
      <c r="BG16" s="1">
        <v>43463</v>
      </c>
      <c r="BH16" s="1">
        <v>97486826</v>
      </c>
      <c r="BI16" s="1">
        <v>0</v>
      </c>
      <c r="BJ16" s="1">
        <v>343.728</v>
      </c>
      <c r="BK16" s="1">
        <v>11686</v>
      </c>
      <c r="BL16" s="1">
        <v>0</v>
      </c>
      <c r="BM16" s="1">
        <v>1</v>
      </c>
      <c r="BN16" s="1">
        <v>426.76</v>
      </c>
      <c r="BO16" s="1">
        <v>220</v>
      </c>
      <c r="BP16" s="1">
        <v>97486966</v>
      </c>
      <c r="BQ16" s="1">
        <v>82.54000000000001</v>
      </c>
      <c r="BR16" s="1" t="s">
        <v>64</v>
      </c>
      <c r="BS16" s="1">
        <v>426.76</v>
      </c>
      <c r="BT16" s="1">
        <v>0</v>
      </c>
      <c r="BU16" s="1">
        <v>39620</v>
      </c>
      <c r="BV16" s="1">
        <v>79382</v>
      </c>
      <c r="BW16" s="1">
        <v>140</v>
      </c>
      <c r="BX16" s="1">
        <v>347.524</v>
      </c>
      <c r="BY16" s="1">
        <v>0</v>
      </c>
      <c r="BZ16" s="1">
        <v>97486826</v>
      </c>
      <c r="CA16" s="1">
        <v>0</v>
      </c>
      <c r="CB16" s="1">
        <v>347.414</v>
      </c>
      <c r="CC16" s="1">
        <v>11684</v>
      </c>
      <c r="CD16" s="1">
        <v>0</v>
      </c>
      <c r="CE16" s="1">
        <v>1</v>
      </c>
      <c r="CF16" s="1">
        <v>348.01</v>
      </c>
      <c r="CG16" s="1">
        <v>0</v>
      </c>
      <c r="CH16" s="1">
        <v>97486968</v>
      </c>
      <c r="CI16" s="1">
        <v>0.11</v>
      </c>
      <c r="CJ16" s="1" t="s">
        <v>64</v>
      </c>
      <c r="CK16" s="1">
        <v>348.01</v>
      </c>
      <c r="CL16" s="1">
        <v>0</v>
      </c>
      <c r="CM16" s="1">
        <v>39620</v>
      </c>
      <c r="CN16" s="1">
        <v>2902480</v>
      </c>
      <c r="CO16" s="1">
        <v>992</v>
      </c>
      <c r="CP16" s="1">
        <v>599.998</v>
      </c>
      <c r="CQ16" s="1">
        <v>324</v>
      </c>
      <c r="CR16" s="1">
        <v>105779036</v>
      </c>
      <c r="CS16" s="1">
        <v>0</v>
      </c>
      <c r="CT16" s="1">
        <v>279.208</v>
      </c>
      <c r="CU16" s="1">
        <v>14854</v>
      </c>
      <c r="CV16" s="1">
        <v>0</v>
      </c>
      <c r="CW16" s="1">
        <v>0</v>
      </c>
      <c r="CX16" s="1">
        <v>1200</v>
      </c>
      <c r="CY16" s="1">
        <v>4</v>
      </c>
      <c r="CZ16" s="1">
        <v>100310622</v>
      </c>
      <c r="DA16" s="1">
        <v>320.79</v>
      </c>
      <c r="DB16" s="1" t="s">
        <v>65</v>
      </c>
      <c r="DC16" s="1">
        <v>600</v>
      </c>
      <c r="DD16" s="1">
        <v>1</v>
      </c>
      <c r="DE16" s="1">
        <v>2803506</v>
      </c>
      <c r="DF16" s="1">
        <v>425</v>
      </c>
      <c r="DG16" s="1">
        <v>137</v>
      </c>
      <c r="DH16" s="1">
        <v>0.01</v>
      </c>
      <c r="DI16" s="1">
        <v>0</v>
      </c>
      <c r="DJ16" s="1">
        <v>2</v>
      </c>
      <c r="DK16" s="1">
        <v>0</v>
      </c>
      <c r="DL16" s="1">
        <v>0</v>
      </c>
      <c r="DM16" s="1">
        <v>0</v>
      </c>
      <c r="DN16" s="1">
        <v>0</v>
      </c>
      <c r="DO16" s="1">
        <v>1</v>
      </c>
      <c r="DP16" s="1">
        <v>0.04</v>
      </c>
      <c r="DQ16" s="1">
        <v>0</v>
      </c>
      <c r="DR16" s="1">
        <v>426</v>
      </c>
      <c r="DS16" s="1">
        <v>0.01</v>
      </c>
      <c r="DT16" s="1" t="s">
        <v>64</v>
      </c>
      <c r="DU16" s="1">
        <v>0.04</v>
      </c>
      <c r="DV16" s="1">
        <v>0</v>
      </c>
      <c r="DW16" s="1">
        <v>141</v>
      </c>
      <c r="DX16" s="1">
        <v>79382</v>
      </c>
      <c r="DY16" s="1">
        <v>72843</v>
      </c>
      <c r="DZ16" s="1">
        <v>269.056</v>
      </c>
      <c r="EA16" s="1">
        <v>43463</v>
      </c>
      <c r="EB16" s="1">
        <v>97486826</v>
      </c>
      <c r="EC16" s="1">
        <v>0</v>
      </c>
      <c r="ED16" s="1">
        <v>229.016</v>
      </c>
      <c r="EE16" s="1">
        <v>11683</v>
      </c>
      <c r="EF16" s="1">
        <v>0</v>
      </c>
      <c r="EG16" s="1">
        <v>1</v>
      </c>
      <c r="EH16" s="1">
        <v>269.32</v>
      </c>
      <c r="EI16" s="1">
        <v>220</v>
      </c>
      <c r="EJ16" s="1">
        <v>97486968</v>
      </c>
      <c r="EK16" s="1">
        <v>40.04</v>
      </c>
      <c r="EL16" s="1" t="s">
        <v>64</v>
      </c>
      <c r="EM16" s="1">
        <v>269.32</v>
      </c>
      <c r="EN16" s="1">
        <v>0</v>
      </c>
      <c r="EO16" s="1">
        <v>39620</v>
      </c>
      <c r="EP16" s="1">
        <v>108991</v>
      </c>
      <c r="EQ16" s="1">
        <v>211530</v>
      </c>
      <c r="ER16" s="1">
        <v>599.9880000000001</v>
      </c>
      <c r="ES16" s="1">
        <v>144866</v>
      </c>
      <c r="ET16" s="1">
        <v>97487388</v>
      </c>
      <c r="EU16" s="1">
        <v>0</v>
      </c>
      <c r="EV16" s="1">
        <v>349.0480000000001</v>
      </c>
      <c r="EW16" s="1">
        <v>11944</v>
      </c>
      <c r="EX16" s="1">
        <v>0</v>
      </c>
      <c r="EY16" s="1">
        <v>0</v>
      </c>
      <c r="EZ16" s="1">
        <v>1200</v>
      </c>
      <c r="FA16" s="1">
        <v>510</v>
      </c>
      <c r="FB16" s="1">
        <v>100280735</v>
      </c>
      <c r="FC16" s="1">
        <v>250.94</v>
      </c>
      <c r="FD16" s="1" t="s">
        <v>65</v>
      </c>
      <c r="FE16" s="1">
        <v>600</v>
      </c>
      <c r="FF16" s="1">
        <v>1</v>
      </c>
      <c r="FG16" s="1">
        <v>39762</v>
      </c>
      <c r="FH16" s="1">
        <v>138598</v>
      </c>
      <c r="FI16" s="1">
        <v>113784</v>
      </c>
      <c r="FJ16" s="1">
        <v>297.399</v>
      </c>
      <c r="FK16" s="1">
        <v>71912</v>
      </c>
      <c r="FL16" s="1">
        <v>97487676</v>
      </c>
      <c r="FM16" s="1">
        <v>0</v>
      </c>
      <c r="FN16" s="1">
        <v>239.719</v>
      </c>
      <c r="FO16" s="1">
        <v>11813</v>
      </c>
      <c r="FP16" s="1">
        <v>0</v>
      </c>
      <c r="FQ16" s="1">
        <v>1</v>
      </c>
      <c r="FR16" s="1">
        <v>297.68</v>
      </c>
      <c r="FS16" s="1">
        <v>314</v>
      </c>
      <c r="FT16" s="1">
        <v>100310620</v>
      </c>
      <c r="FU16" s="1">
        <v>57.68</v>
      </c>
      <c r="FV16" s="1" t="s">
        <v>64</v>
      </c>
      <c r="FW16" s="1">
        <v>297.68</v>
      </c>
      <c r="FX16" s="1">
        <v>0</v>
      </c>
      <c r="FY16" s="1">
        <v>39766</v>
      </c>
      <c r="FZ16" s="1">
        <v>138598</v>
      </c>
      <c r="GA16" s="1">
        <v>106049</v>
      </c>
      <c r="GB16" s="1">
        <v>599.818</v>
      </c>
      <c r="GC16" s="1">
        <v>67631</v>
      </c>
      <c r="GD16" s="1">
        <v>105779316</v>
      </c>
      <c r="GE16" s="1">
        <v>0</v>
      </c>
      <c r="GF16" s="1">
        <v>369.658</v>
      </c>
      <c r="GG16" s="1">
        <v>13012</v>
      </c>
      <c r="GH16" s="1">
        <v>0</v>
      </c>
      <c r="GI16" s="1">
        <v>0</v>
      </c>
      <c r="GJ16" s="1">
        <v>1200</v>
      </c>
      <c r="GK16" s="1">
        <v>288</v>
      </c>
      <c r="GL16" s="1">
        <v>100310620</v>
      </c>
      <c r="GM16" s="1">
        <v>230.16</v>
      </c>
      <c r="GN16" s="1" t="s">
        <v>65</v>
      </c>
      <c r="GO16" s="1">
        <v>600</v>
      </c>
      <c r="GP16" s="1">
        <v>1</v>
      </c>
      <c r="GQ16" s="1">
        <v>2803646</v>
      </c>
      <c r="GR16" s="1">
        <v>79380</v>
      </c>
      <c r="GS16" s="1">
        <v>72843</v>
      </c>
      <c r="GT16" s="1">
        <v>414.614</v>
      </c>
      <c r="GU16" s="1">
        <v>43463</v>
      </c>
      <c r="GV16" s="1">
        <v>97486826</v>
      </c>
      <c r="GW16" s="1">
        <v>0</v>
      </c>
      <c r="GX16" s="1">
        <v>333.034</v>
      </c>
      <c r="GY16" s="1">
        <v>11687</v>
      </c>
      <c r="GZ16" s="1">
        <v>0</v>
      </c>
      <c r="HA16" s="1">
        <v>1</v>
      </c>
      <c r="HB16" s="1">
        <v>415.13</v>
      </c>
      <c r="HC16" s="1">
        <v>220</v>
      </c>
      <c r="HD16" s="1">
        <v>97486966</v>
      </c>
      <c r="HE16" s="1">
        <v>81.58</v>
      </c>
      <c r="HF16" s="1" t="s">
        <v>64</v>
      </c>
      <c r="HG16" s="1">
        <v>415.13</v>
      </c>
      <c r="HH16" s="1">
        <v>0</v>
      </c>
      <c r="HI16" s="1">
        <v>39620</v>
      </c>
      <c r="HJ16" s="1">
        <v>79383</v>
      </c>
      <c r="HK16" s="1">
        <v>140</v>
      </c>
      <c r="HL16" s="1">
        <v>346.745</v>
      </c>
      <c r="HM16" s="1">
        <v>0</v>
      </c>
      <c r="HN16" s="1">
        <v>97486826</v>
      </c>
      <c r="HO16" s="1">
        <v>0</v>
      </c>
      <c r="HP16" s="1">
        <v>346.525</v>
      </c>
      <c r="HQ16" s="1">
        <v>11687</v>
      </c>
      <c r="HR16" s="1">
        <v>0</v>
      </c>
      <c r="HS16" s="1">
        <v>1</v>
      </c>
      <c r="HT16" s="1">
        <v>347.24</v>
      </c>
      <c r="HU16" s="1">
        <v>0</v>
      </c>
      <c r="HV16" s="1">
        <v>97486969</v>
      </c>
      <c r="HW16" s="1">
        <v>0.22</v>
      </c>
      <c r="HX16" s="1" t="s">
        <v>64</v>
      </c>
      <c r="HY16" s="1">
        <v>347.24</v>
      </c>
      <c r="HZ16" s="1">
        <v>0</v>
      </c>
      <c r="IA16" s="1">
        <v>39620</v>
      </c>
      <c r="IB16" s="1">
        <v>2902481</v>
      </c>
      <c r="IC16" s="1">
        <v>15</v>
      </c>
      <c r="ID16" s="1">
        <v>599.9829999999999</v>
      </c>
      <c r="IE16" s="1">
        <v>1</v>
      </c>
      <c r="IF16" s="1">
        <v>105779036</v>
      </c>
      <c r="IG16" s="1">
        <v>0</v>
      </c>
      <c r="IH16" s="1">
        <v>455.073</v>
      </c>
      <c r="II16" s="1">
        <v>14173</v>
      </c>
      <c r="IJ16" s="1">
        <v>0</v>
      </c>
      <c r="IK16" s="1">
        <v>0</v>
      </c>
      <c r="IL16" s="1">
        <v>1200</v>
      </c>
      <c r="IM16" s="1">
        <v>0</v>
      </c>
      <c r="IN16" s="1">
        <v>100310623</v>
      </c>
      <c r="IO16" s="1">
        <v>144.91</v>
      </c>
      <c r="IP16" s="1" t="s">
        <v>65</v>
      </c>
      <c r="IQ16" s="1">
        <v>600</v>
      </c>
      <c r="IR16" s="1">
        <v>1</v>
      </c>
      <c r="IS16" s="1">
        <v>2803506</v>
      </c>
      <c r="IT16" s="1">
        <v>426</v>
      </c>
      <c r="IU16" s="1">
        <v>137</v>
      </c>
      <c r="IV16" s="1">
        <v>0.099</v>
      </c>
      <c r="IW16" s="1">
        <v>0</v>
      </c>
      <c r="IX16" s="1">
        <v>2</v>
      </c>
      <c r="IY16" s="1">
        <v>0</v>
      </c>
      <c r="IZ16" s="1">
        <v>0.029</v>
      </c>
      <c r="JA16" s="1">
        <v>13</v>
      </c>
      <c r="JB16" s="1">
        <v>0</v>
      </c>
      <c r="JC16" s="1">
        <v>1</v>
      </c>
      <c r="JD16" s="1">
        <v>0.12</v>
      </c>
      <c r="JE16" s="1">
        <v>0</v>
      </c>
      <c r="JF16" s="1">
        <v>427</v>
      </c>
      <c r="JG16" s="1">
        <v>0.07000000000000001</v>
      </c>
      <c r="JH16" s="1" t="s">
        <v>64</v>
      </c>
      <c r="JI16" s="1">
        <v>0.12</v>
      </c>
      <c r="JJ16" s="1">
        <v>0</v>
      </c>
      <c r="JK16" s="1">
        <v>141</v>
      </c>
      <c r="JL16" s="1">
        <v>79383</v>
      </c>
      <c r="JM16" s="1">
        <v>72843</v>
      </c>
      <c r="JN16" s="1">
        <v>456.804</v>
      </c>
      <c r="JO16" s="1">
        <v>43463</v>
      </c>
      <c r="JP16" s="1">
        <v>97486826</v>
      </c>
      <c r="JQ16" s="1">
        <v>0</v>
      </c>
      <c r="JR16" s="1">
        <v>347.054</v>
      </c>
      <c r="JS16" s="1">
        <v>11688</v>
      </c>
      <c r="JT16" s="1">
        <v>0</v>
      </c>
      <c r="JU16" s="1">
        <v>1</v>
      </c>
      <c r="JV16" s="1">
        <v>457.3</v>
      </c>
      <c r="JW16" s="1">
        <v>220</v>
      </c>
      <c r="JX16" s="1">
        <v>97486969</v>
      </c>
      <c r="JY16" s="1">
        <v>109.75</v>
      </c>
      <c r="JZ16" s="1" t="s">
        <v>64</v>
      </c>
      <c r="KA16" s="1">
        <v>457.3</v>
      </c>
      <c r="KB16" s="1">
        <v>0</v>
      </c>
      <c r="KC16" s="1">
        <v>39620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>
        <v>125026</v>
      </c>
      <c r="C17" s="1">
        <v>378267</v>
      </c>
      <c r="D17" s="1">
        <v>600.001</v>
      </c>
      <c r="E17" s="1">
        <v>248554</v>
      </c>
      <c r="F17" s="1">
        <v>128336398</v>
      </c>
      <c r="G17" s="1">
        <v>0</v>
      </c>
      <c r="H17" s="1">
        <v>320.121</v>
      </c>
      <c r="I17" s="1">
        <v>16160</v>
      </c>
      <c r="J17" s="1">
        <v>0</v>
      </c>
      <c r="K17" s="1">
        <v>0</v>
      </c>
      <c r="L17" s="1">
        <v>1200</v>
      </c>
      <c r="M17" s="1">
        <v>923</v>
      </c>
      <c r="N17" s="1">
        <v>131768020</v>
      </c>
      <c r="O17" s="1">
        <v>279.88</v>
      </c>
      <c r="P17" s="1" t="s">
        <v>65</v>
      </c>
      <c r="Q17" s="1">
        <v>600</v>
      </c>
      <c r="R17" s="1">
        <v>1</v>
      </c>
      <c r="S17" s="1">
        <v>45602</v>
      </c>
      <c r="T17" s="1">
        <v>158998</v>
      </c>
      <c r="U17" s="1">
        <v>86254</v>
      </c>
      <c r="V17" s="1">
        <v>599.992</v>
      </c>
      <c r="W17" s="1">
        <v>50237</v>
      </c>
      <c r="X17" s="1">
        <v>128336706</v>
      </c>
      <c r="Y17" s="1">
        <v>0</v>
      </c>
      <c r="Z17" s="1">
        <v>456.7619999999999</v>
      </c>
      <c r="AA17" s="1">
        <v>16008</v>
      </c>
      <c r="AB17" s="1">
        <v>0</v>
      </c>
      <c r="AC17" s="1">
        <v>0</v>
      </c>
      <c r="AD17" s="1">
        <v>1200</v>
      </c>
      <c r="AE17" s="1">
        <v>251</v>
      </c>
      <c r="AF17" s="1">
        <v>131802290</v>
      </c>
      <c r="AG17" s="1">
        <v>143.23</v>
      </c>
      <c r="AH17" s="1" t="s">
        <v>65</v>
      </c>
      <c r="AI17" s="1">
        <v>600</v>
      </c>
      <c r="AJ17" s="1">
        <v>1</v>
      </c>
      <c r="AK17" s="1">
        <v>45606</v>
      </c>
      <c r="AL17" s="1">
        <v>158998</v>
      </c>
      <c r="AM17" s="1">
        <v>51929</v>
      </c>
      <c r="AN17" s="1">
        <v>599.991</v>
      </c>
      <c r="AO17" s="1">
        <v>30309</v>
      </c>
      <c r="AP17" s="1">
        <v>138530106</v>
      </c>
      <c r="AQ17" s="1">
        <v>0</v>
      </c>
      <c r="AR17" s="1">
        <v>456.481</v>
      </c>
      <c r="AS17" s="1">
        <v>17487</v>
      </c>
      <c r="AT17" s="1">
        <v>0</v>
      </c>
      <c r="AU17" s="1">
        <v>0</v>
      </c>
      <c r="AV17" s="1">
        <v>1200</v>
      </c>
      <c r="AW17" s="1">
        <v>151</v>
      </c>
      <c r="AX17" s="1">
        <v>131802290</v>
      </c>
      <c r="AY17" s="1">
        <v>143.51</v>
      </c>
      <c r="AZ17" s="1" t="s">
        <v>65</v>
      </c>
      <c r="BA17" s="1">
        <v>600</v>
      </c>
      <c r="BB17" s="1">
        <v>1</v>
      </c>
      <c r="BC17" s="1">
        <v>3443406</v>
      </c>
      <c r="BD17" s="1">
        <v>91050</v>
      </c>
      <c r="BE17" s="1">
        <v>83993</v>
      </c>
      <c r="BF17" s="1">
        <v>372.135</v>
      </c>
      <c r="BG17" s="1">
        <v>48977</v>
      </c>
      <c r="BH17" s="1">
        <v>128335796</v>
      </c>
      <c r="BI17" s="1">
        <v>0</v>
      </c>
      <c r="BJ17" s="1">
        <v>315.485</v>
      </c>
      <c r="BK17" s="1">
        <v>15865</v>
      </c>
      <c r="BL17" s="1">
        <v>0</v>
      </c>
      <c r="BM17" s="1">
        <v>1</v>
      </c>
      <c r="BN17" s="1">
        <v>372.54</v>
      </c>
      <c r="BO17" s="1">
        <v>244</v>
      </c>
      <c r="BP17" s="1">
        <v>128335946</v>
      </c>
      <c r="BQ17" s="1">
        <v>56.65</v>
      </c>
      <c r="BR17" s="1" t="s">
        <v>64</v>
      </c>
      <c r="BS17" s="1">
        <v>372.54</v>
      </c>
      <c r="BT17" s="1">
        <v>0</v>
      </c>
      <c r="BU17" s="1">
        <v>45450</v>
      </c>
      <c r="BV17" s="1">
        <v>91052</v>
      </c>
      <c r="BW17" s="1">
        <v>150</v>
      </c>
      <c r="BX17" s="1">
        <v>311.837</v>
      </c>
      <c r="BY17" s="1">
        <v>0</v>
      </c>
      <c r="BZ17" s="1">
        <v>128335796</v>
      </c>
      <c r="CA17" s="1">
        <v>0</v>
      </c>
      <c r="CB17" s="1">
        <v>311.767</v>
      </c>
      <c r="CC17" s="1">
        <v>15868</v>
      </c>
      <c r="CD17" s="1">
        <v>0</v>
      </c>
      <c r="CE17" s="1">
        <v>1</v>
      </c>
      <c r="CF17" s="1">
        <v>312.19</v>
      </c>
      <c r="CG17" s="1">
        <v>0</v>
      </c>
      <c r="CH17" s="1">
        <v>128335948</v>
      </c>
      <c r="CI17" s="1">
        <v>0.07000000000000001</v>
      </c>
      <c r="CJ17" s="1" t="s">
        <v>64</v>
      </c>
      <c r="CK17" s="1">
        <v>312.19</v>
      </c>
      <c r="CL17" s="1">
        <v>0</v>
      </c>
      <c r="CM17" s="1">
        <v>45450</v>
      </c>
      <c r="CN17" s="1">
        <v>3556800</v>
      </c>
      <c r="CO17" s="1">
        <v>569</v>
      </c>
      <c r="CP17" s="1">
        <v>599.999</v>
      </c>
      <c r="CQ17" s="1">
        <v>136</v>
      </c>
      <c r="CR17" s="1">
        <v>138529806</v>
      </c>
      <c r="CS17" s="1">
        <v>0</v>
      </c>
      <c r="CT17" s="1">
        <v>374.919</v>
      </c>
      <c r="CU17" s="1">
        <v>19796</v>
      </c>
      <c r="CV17" s="1">
        <v>0</v>
      </c>
      <c r="CW17" s="1">
        <v>0</v>
      </c>
      <c r="CX17" s="1">
        <v>1200</v>
      </c>
      <c r="CY17" s="1">
        <v>2</v>
      </c>
      <c r="CZ17" s="1">
        <v>131802292</v>
      </c>
      <c r="DA17" s="1">
        <v>225.08</v>
      </c>
      <c r="DB17" s="1" t="s">
        <v>65</v>
      </c>
      <c r="DC17" s="1">
        <v>600</v>
      </c>
      <c r="DD17" s="1">
        <v>1</v>
      </c>
      <c r="DE17" s="1">
        <v>3443256</v>
      </c>
      <c r="DF17" s="1">
        <v>455</v>
      </c>
      <c r="DG17" s="1">
        <v>148</v>
      </c>
      <c r="DH17" s="1">
        <v>0.024</v>
      </c>
      <c r="DI17" s="1">
        <v>0</v>
      </c>
      <c r="DJ17" s="1">
        <v>2</v>
      </c>
      <c r="DK17" s="1">
        <v>0</v>
      </c>
      <c r="DL17" s="1">
        <v>0.024</v>
      </c>
      <c r="DM17" s="1">
        <v>1</v>
      </c>
      <c r="DN17" s="1">
        <v>0</v>
      </c>
      <c r="DO17" s="1">
        <v>1</v>
      </c>
      <c r="DP17" s="1">
        <v>0.19</v>
      </c>
      <c r="DQ17" s="1">
        <v>0</v>
      </c>
      <c r="DR17" s="1">
        <v>456</v>
      </c>
      <c r="DS17" s="1">
        <v>0</v>
      </c>
      <c r="DT17" s="1" t="s">
        <v>64</v>
      </c>
      <c r="DU17" s="1">
        <v>0.19</v>
      </c>
      <c r="DV17" s="1">
        <v>0</v>
      </c>
      <c r="DW17" s="1">
        <v>151</v>
      </c>
      <c r="DX17" s="1">
        <v>91052</v>
      </c>
      <c r="DY17" s="1">
        <v>83993</v>
      </c>
      <c r="DZ17" s="1">
        <v>597.174</v>
      </c>
      <c r="EA17" s="1">
        <v>48977</v>
      </c>
      <c r="EB17" s="1">
        <v>128335796</v>
      </c>
      <c r="EC17" s="1">
        <v>0</v>
      </c>
      <c r="ED17" s="1">
        <v>448.134</v>
      </c>
      <c r="EE17" s="1">
        <v>15867</v>
      </c>
      <c r="EF17" s="1">
        <v>0</v>
      </c>
      <c r="EG17" s="1">
        <v>1</v>
      </c>
      <c r="EH17" s="1">
        <v>597.78</v>
      </c>
      <c r="EI17" s="1">
        <v>244</v>
      </c>
      <c r="EJ17" s="1">
        <v>128335948</v>
      </c>
      <c r="EK17" s="1">
        <v>149.04</v>
      </c>
      <c r="EL17" s="1" t="s">
        <v>64</v>
      </c>
      <c r="EM17" s="1">
        <v>597.78</v>
      </c>
      <c r="EN17" s="1">
        <v>0</v>
      </c>
      <c r="EO17" s="1">
        <v>45450</v>
      </c>
      <c r="EP17" s="1">
        <v>125026</v>
      </c>
      <c r="EQ17" s="1">
        <v>83651</v>
      </c>
      <c r="ER17" s="1">
        <v>599.989</v>
      </c>
      <c r="ES17" s="1">
        <v>49768</v>
      </c>
      <c r="ET17" s="1">
        <v>128336398</v>
      </c>
      <c r="EU17" s="1">
        <v>0</v>
      </c>
      <c r="EV17" s="1">
        <v>449.4490000000001</v>
      </c>
      <c r="EW17" s="1">
        <v>16158</v>
      </c>
      <c r="EX17" s="1">
        <v>0</v>
      </c>
      <c r="EY17" s="1">
        <v>0</v>
      </c>
      <c r="EZ17" s="1">
        <v>1200</v>
      </c>
      <c r="FA17" s="1">
        <v>240</v>
      </c>
      <c r="FB17" s="1">
        <v>131768020</v>
      </c>
      <c r="FC17" s="1">
        <v>150.54</v>
      </c>
      <c r="FD17" s="1" t="s">
        <v>65</v>
      </c>
      <c r="FE17" s="1">
        <v>600</v>
      </c>
      <c r="FF17" s="1">
        <v>1</v>
      </c>
      <c r="FG17" s="1">
        <v>45602</v>
      </c>
      <c r="FH17" s="1">
        <v>158998</v>
      </c>
      <c r="FI17" s="1">
        <v>86769</v>
      </c>
      <c r="FJ17" s="1">
        <v>599.96</v>
      </c>
      <c r="FK17" s="1">
        <v>50609</v>
      </c>
      <c r="FL17" s="1">
        <v>128336706</v>
      </c>
      <c r="FM17" s="1">
        <v>0</v>
      </c>
      <c r="FN17" s="1">
        <v>457.78</v>
      </c>
      <c r="FO17" s="1">
        <v>16010</v>
      </c>
      <c r="FP17" s="1">
        <v>0</v>
      </c>
      <c r="FQ17" s="1">
        <v>0</v>
      </c>
      <c r="FR17" s="1">
        <v>1200</v>
      </c>
      <c r="FS17" s="1">
        <v>252</v>
      </c>
      <c r="FT17" s="1">
        <v>131802290</v>
      </c>
      <c r="FU17" s="1">
        <v>142.18</v>
      </c>
      <c r="FV17" s="1" t="s">
        <v>65</v>
      </c>
      <c r="FW17" s="1">
        <v>600</v>
      </c>
      <c r="FX17" s="1">
        <v>1</v>
      </c>
      <c r="FY17" s="1">
        <v>45606</v>
      </c>
      <c r="FZ17" s="1">
        <v>158998</v>
      </c>
      <c r="GA17" s="1">
        <v>168656</v>
      </c>
      <c r="GB17" s="1">
        <v>551.816</v>
      </c>
      <c r="GC17" s="1">
        <v>103048</v>
      </c>
      <c r="GD17" s="1">
        <v>138530106</v>
      </c>
      <c r="GE17" s="1">
        <v>0</v>
      </c>
      <c r="GF17" s="1">
        <v>326.926</v>
      </c>
      <c r="GG17" s="1">
        <v>17487</v>
      </c>
      <c r="GH17" s="1">
        <v>0</v>
      </c>
      <c r="GI17" s="1">
        <v>1</v>
      </c>
      <c r="GJ17" s="1">
        <v>552.35</v>
      </c>
      <c r="GK17" s="1">
        <v>458</v>
      </c>
      <c r="GL17" s="1">
        <v>131802290</v>
      </c>
      <c r="GM17" s="1">
        <v>224.89</v>
      </c>
      <c r="GN17" s="1" t="s">
        <v>64</v>
      </c>
      <c r="GO17" s="1">
        <v>552.35</v>
      </c>
      <c r="GP17" s="1">
        <v>0</v>
      </c>
      <c r="GQ17" s="1">
        <v>3443406</v>
      </c>
      <c r="GR17" s="1">
        <v>91050</v>
      </c>
      <c r="GS17" s="1">
        <v>83993</v>
      </c>
      <c r="GT17" s="1">
        <v>373.275</v>
      </c>
      <c r="GU17" s="1">
        <v>48977</v>
      </c>
      <c r="GV17" s="1">
        <v>128335796</v>
      </c>
      <c r="GW17" s="1">
        <v>0</v>
      </c>
      <c r="GX17" s="1">
        <v>316.615</v>
      </c>
      <c r="GY17" s="1">
        <v>15867</v>
      </c>
      <c r="GZ17" s="1">
        <v>0</v>
      </c>
      <c r="HA17" s="1">
        <v>1</v>
      </c>
      <c r="HB17" s="1">
        <v>373.67</v>
      </c>
      <c r="HC17" s="1">
        <v>244</v>
      </c>
      <c r="HD17" s="1">
        <v>128335946</v>
      </c>
      <c r="HE17" s="1">
        <v>56.66</v>
      </c>
      <c r="HF17" s="1" t="s">
        <v>64</v>
      </c>
      <c r="HG17" s="1">
        <v>373.67</v>
      </c>
      <c r="HH17" s="1">
        <v>0</v>
      </c>
      <c r="HI17" s="1">
        <v>45450</v>
      </c>
      <c r="HJ17" s="1">
        <v>91053</v>
      </c>
      <c r="HK17" s="1">
        <v>150</v>
      </c>
      <c r="HL17" s="1">
        <v>318.507</v>
      </c>
      <c r="HM17" s="1">
        <v>0</v>
      </c>
      <c r="HN17" s="1">
        <v>128335796</v>
      </c>
      <c r="HO17" s="1">
        <v>0</v>
      </c>
      <c r="HP17" s="1">
        <v>318.337</v>
      </c>
      <c r="HQ17" s="1">
        <v>15863</v>
      </c>
      <c r="HR17" s="1">
        <v>0</v>
      </c>
      <c r="HS17" s="1">
        <v>1</v>
      </c>
      <c r="HT17" s="1">
        <v>318.86</v>
      </c>
      <c r="HU17" s="1">
        <v>0</v>
      </c>
      <c r="HV17" s="1">
        <v>128335949</v>
      </c>
      <c r="HW17" s="1">
        <v>0.17</v>
      </c>
      <c r="HX17" s="1" t="s">
        <v>64</v>
      </c>
      <c r="HY17" s="1">
        <v>318.86</v>
      </c>
      <c r="HZ17" s="1">
        <v>0</v>
      </c>
      <c r="IA17" s="1">
        <v>45450</v>
      </c>
      <c r="IB17" s="1">
        <v>3556801</v>
      </c>
      <c r="IC17" s="1">
        <v>8</v>
      </c>
      <c r="ID17" s="1">
        <v>599.919</v>
      </c>
      <c r="IE17" s="1">
        <v>0</v>
      </c>
      <c r="IF17" s="1">
        <v>138529806</v>
      </c>
      <c r="IG17" s="1">
        <v>0</v>
      </c>
      <c r="IH17" s="1">
        <v>534.159</v>
      </c>
      <c r="II17" s="1">
        <v>19009</v>
      </c>
      <c r="IJ17" s="1">
        <v>0</v>
      </c>
      <c r="IK17" s="1">
        <v>0</v>
      </c>
      <c r="IL17" s="1">
        <v>1200</v>
      </c>
      <c r="IM17" s="1">
        <v>0</v>
      </c>
      <c r="IN17" s="1">
        <v>131802293</v>
      </c>
      <c r="IO17" s="1">
        <v>65.76000000000001</v>
      </c>
      <c r="IP17" s="1" t="s">
        <v>65</v>
      </c>
      <c r="IQ17" s="1">
        <v>600</v>
      </c>
      <c r="IR17" s="1">
        <v>1</v>
      </c>
      <c r="IS17" s="1">
        <v>3443256</v>
      </c>
      <c r="IT17" s="1">
        <v>456</v>
      </c>
      <c r="IU17" s="1">
        <v>148</v>
      </c>
      <c r="IV17" s="1">
        <v>0.136</v>
      </c>
      <c r="IW17" s="1">
        <v>0</v>
      </c>
      <c r="IX17" s="1">
        <v>2</v>
      </c>
      <c r="IY17" s="1">
        <v>0</v>
      </c>
      <c r="IZ17" s="1">
        <v>0.036</v>
      </c>
      <c r="JA17" s="1">
        <v>13</v>
      </c>
      <c r="JB17" s="1">
        <v>0</v>
      </c>
      <c r="JC17" s="1">
        <v>1</v>
      </c>
      <c r="JD17" s="1">
        <v>0.17</v>
      </c>
      <c r="JE17" s="1">
        <v>0</v>
      </c>
      <c r="JF17" s="1">
        <v>457</v>
      </c>
      <c r="JG17" s="1">
        <v>0.1</v>
      </c>
      <c r="JH17" s="1" t="s">
        <v>64</v>
      </c>
      <c r="JI17" s="1">
        <v>0.17</v>
      </c>
      <c r="JJ17" s="1">
        <v>0</v>
      </c>
      <c r="JK17" s="1">
        <v>151</v>
      </c>
      <c r="JL17" s="1">
        <v>91053</v>
      </c>
      <c r="JM17" s="1">
        <v>80101</v>
      </c>
      <c r="JN17" s="1">
        <v>599.9880000000001</v>
      </c>
      <c r="JO17" s="1">
        <v>47088</v>
      </c>
      <c r="JP17" s="1">
        <v>128335796</v>
      </c>
      <c r="JQ17" s="1">
        <v>0</v>
      </c>
      <c r="JR17" s="1">
        <v>439.0780000000001</v>
      </c>
      <c r="JS17" s="1">
        <v>15863</v>
      </c>
      <c r="JT17" s="1">
        <v>0</v>
      </c>
      <c r="JU17" s="1">
        <v>0</v>
      </c>
      <c r="JV17" s="1">
        <v>1200</v>
      </c>
      <c r="JW17" s="1">
        <v>230</v>
      </c>
      <c r="JX17" s="1">
        <v>128335949</v>
      </c>
      <c r="JY17" s="1">
        <v>160.91</v>
      </c>
      <c r="JZ17" s="1" t="s">
        <v>65</v>
      </c>
      <c r="KA17" s="1">
        <v>600</v>
      </c>
      <c r="KB17" s="1">
        <v>1</v>
      </c>
      <c r="KC17" s="1">
        <v>45450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>
        <v>0</v>
      </c>
      <c r="C18" s="1">
        <v>0</v>
      </c>
      <c r="D18" s="1">
        <v>599.985</v>
      </c>
      <c r="E18" s="1">
        <v>0</v>
      </c>
      <c r="F18" s="1">
        <v>0</v>
      </c>
      <c r="G18" s="1">
        <v>0</v>
      </c>
      <c r="H18" s="1">
        <v>599.985</v>
      </c>
      <c r="I18" s="1">
        <v>20091</v>
      </c>
      <c r="J18" s="1">
        <v>0</v>
      </c>
      <c r="K18" s="1">
        <v>0</v>
      </c>
      <c r="L18" s="1">
        <v>1200</v>
      </c>
      <c r="M18" s="1">
        <v>0</v>
      </c>
      <c r="N18" s="1">
        <v>0</v>
      </c>
      <c r="O18" s="1">
        <v>0</v>
      </c>
      <c r="P18" s="1" t="s">
        <v>65</v>
      </c>
      <c r="Q18" s="1">
        <v>600</v>
      </c>
      <c r="R18" s="1">
        <v>1</v>
      </c>
      <c r="S18" s="1">
        <v>51682</v>
      </c>
      <c r="T18" s="1">
        <v>180798</v>
      </c>
      <c r="U18" s="1">
        <v>2605</v>
      </c>
      <c r="V18" s="1">
        <v>599.9880000000001</v>
      </c>
      <c r="W18" s="1">
        <v>1075</v>
      </c>
      <c r="X18" s="1">
        <v>165986486</v>
      </c>
      <c r="Y18" s="1">
        <v>0</v>
      </c>
      <c r="Z18" s="1">
        <v>594.138</v>
      </c>
      <c r="AA18" s="1">
        <v>20404</v>
      </c>
      <c r="AB18" s="1">
        <v>0</v>
      </c>
      <c r="AC18" s="1">
        <v>0</v>
      </c>
      <c r="AD18" s="1">
        <v>1200</v>
      </c>
      <c r="AE18" s="1">
        <v>9</v>
      </c>
      <c r="AF18" s="1">
        <v>170185510</v>
      </c>
      <c r="AG18" s="1">
        <v>5.85</v>
      </c>
      <c r="AH18" s="1" t="s">
        <v>65</v>
      </c>
      <c r="AI18" s="1">
        <v>600</v>
      </c>
      <c r="AJ18" s="1">
        <v>1</v>
      </c>
      <c r="AK18" s="1">
        <v>51846</v>
      </c>
      <c r="AL18" s="1">
        <v>180798</v>
      </c>
      <c r="AM18" s="1">
        <v>83093</v>
      </c>
      <c r="AN18" s="1">
        <v>600.001</v>
      </c>
      <c r="AO18" s="1">
        <v>46799</v>
      </c>
      <c r="AP18" s="1">
        <v>178352246</v>
      </c>
      <c r="AQ18" s="1">
        <v>0</v>
      </c>
      <c r="AR18" s="1">
        <v>456.861</v>
      </c>
      <c r="AS18" s="1">
        <v>22173</v>
      </c>
      <c r="AT18" s="1">
        <v>0</v>
      </c>
      <c r="AU18" s="1">
        <v>0</v>
      </c>
      <c r="AV18" s="1">
        <v>1200</v>
      </c>
      <c r="AW18" s="1">
        <v>237</v>
      </c>
      <c r="AX18" s="1">
        <v>170185510</v>
      </c>
      <c r="AY18" s="1">
        <v>143.14</v>
      </c>
      <c r="AZ18" s="1" t="s">
        <v>65</v>
      </c>
      <c r="BA18" s="1">
        <v>600</v>
      </c>
      <c r="BB18" s="1">
        <v>1</v>
      </c>
      <c r="BC18" s="1">
        <v>4173766</v>
      </c>
      <c r="BD18" s="1">
        <v>103520</v>
      </c>
      <c r="BE18" s="1">
        <v>0</v>
      </c>
      <c r="BF18" s="1">
        <v>599.995</v>
      </c>
      <c r="BG18" s="1">
        <v>0</v>
      </c>
      <c r="BH18" s="1">
        <v>0</v>
      </c>
      <c r="BI18" s="1">
        <v>0</v>
      </c>
      <c r="BJ18" s="1">
        <v>599.995</v>
      </c>
      <c r="BK18" s="1">
        <v>20222</v>
      </c>
      <c r="BL18" s="1">
        <v>0</v>
      </c>
      <c r="BM18" s="1">
        <v>0</v>
      </c>
      <c r="BN18" s="1">
        <v>1200</v>
      </c>
      <c r="BO18" s="1">
        <v>0</v>
      </c>
      <c r="BP18" s="1">
        <v>165985676</v>
      </c>
      <c r="BQ18" s="1">
        <v>0</v>
      </c>
      <c r="BR18" s="1" t="s">
        <v>65</v>
      </c>
      <c r="BS18" s="1">
        <v>600</v>
      </c>
      <c r="BT18" s="1">
        <v>1</v>
      </c>
      <c r="BU18" s="1">
        <v>51680</v>
      </c>
      <c r="BV18" s="1">
        <v>103522</v>
      </c>
      <c r="BW18" s="1">
        <v>0</v>
      </c>
      <c r="BX18" s="1">
        <v>599.914</v>
      </c>
      <c r="BY18" s="1">
        <v>0</v>
      </c>
      <c r="BZ18" s="1">
        <v>0</v>
      </c>
      <c r="CA18" s="1">
        <v>0</v>
      </c>
      <c r="CB18" s="1">
        <v>599.914</v>
      </c>
      <c r="CC18" s="1">
        <v>20225</v>
      </c>
      <c r="CD18" s="1">
        <v>0</v>
      </c>
      <c r="CE18" s="1">
        <v>0</v>
      </c>
      <c r="CF18" s="1">
        <v>1200</v>
      </c>
      <c r="CG18" s="1">
        <v>0</v>
      </c>
      <c r="CH18" s="1">
        <v>165985678</v>
      </c>
      <c r="CI18" s="1">
        <v>0</v>
      </c>
      <c r="CJ18" s="1" t="s">
        <v>65</v>
      </c>
      <c r="CK18" s="1">
        <v>600</v>
      </c>
      <c r="CL18" s="1">
        <v>1</v>
      </c>
      <c r="CM18" s="1">
        <v>51680</v>
      </c>
      <c r="CN18" s="1">
        <v>4302720</v>
      </c>
      <c r="CO18" s="1">
        <v>214</v>
      </c>
      <c r="CP18" s="1">
        <v>599.998</v>
      </c>
      <c r="CQ18" s="1">
        <v>60</v>
      </c>
      <c r="CR18" s="1">
        <v>178351926</v>
      </c>
      <c r="CS18" s="1">
        <v>0</v>
      </c>
      <c r="CT18" s="1">
        <v>499.258</v>
      </c>
      <c r="CU18" s="1">
        <v>24971</v>
      </c>
      <c r="CV18" s="1">
        <v>0</v>
      </c>
      <c r="CW18" s="1">
        <v>0</v>
      </c>
      <c r="CX18" s="1">
        <v>1200</v>
      </c>
      <c r="CY18" s="1">
        <v>0</v>
      </c>
      <c r="CZ18" s="1">
        <v>170185512</v>
      </c>
      <c r="DA18" s="1">
        <v>100.74</v>
      </c>
      <c r="DB18" s="1" t="s">
        <v>65</v>
      </c>
      <c r="DC18" s="1">
        <v>600</v>
      </c>
      <c r="DD18" s="1">
        <v>1</v>
      </c>
      <c r="DE18" s="1">
        <v>4173606</v>
      </c>
      <c r="DF18" s="1">
        <v>485</v>
      </c>
      <c r="DG18" s="1">
        <v>157</v>
      </c>
      <c r="DH18" s="1">
        <v>0.008999999999999999</v>
      </c>
      <c r="DI18" s="1">
        <v>0</v>
      </c>
      <c r="DJ18" s="1">
        <v>2</v>
      </c>
      <c r="DK18" s="1">
        <v>0</v>
      </c>
      <c r="DL18" s="1">
        <v>0</v>
      </c>
      <c r="DM18" s="1">
        <v>0</v>
      </c>
      <c r="DN18" s="1">
        <v>0</v>
      </c>
      <c r="DO18" s="1">
        <v>1</v>
      </c>
      <c r="DP18" s="1">
        <v>0.04</v>
      </c>
      <c r="DQ18" s="1">
        <v>0</v>
      </c>
      <c r="DR18" s="1">
        <v>486</v>
      </c>
      <c r="DS18" s="1">
        <v>0.01</v>
      </c>
      <c r="DT18" s="1" t="s">
        <v>64</v>
      </c>
      <c r="DU18" s="1">
        <v>0.04</v>
      </c>
      <c r="DV18" s="1">
        <v>0</v>
      </c>
      <c r="DW18" s="1">
        <v>161</v>
      </c>
      <c r="DX18" s="1">
        <v>103522</v>
      </c>
      <c r="DY18" s="1">
        <v>118735</v>
      </c>
      <c r="DZ18" s="1">
        <v>499.928</v>
      </c>
      <c r="EA18" s="1">
        <v>71324</v>
      </c>
      <c r="EB18" s="1">
        <v>165985516</v>
      </c>
      <c r="EC18" s="1">
        <v>0</v>
      </c>
      <c r="ED18" s="1">
        <v>409.378</v>
      </c>
      <c r="EE18" s="1">
        <v>20228</v>
      </c>
      <c r="EF18" s="1">
        <v>0</v>
      </c>
      <c r="EG18" s="1">
        <v>1</v>
      </c>
      <c r="EH18" s="1">
        <v>500.37</v>
      </c>
      <c r="EI18" s="1">
        <v>309</v>
      </c>
      <c r="EJ18" s="1">
        <v>165985678</v>
      </c>
      <c r="EK18" s="1">
        <v>90.55</v>
      </c>
      <c r="EL18" s="1" t="s">
        <v>64</v>
      </c>
      <c r="EM18" s="1">
        <v>500.37</v>
      </c>
      <c r="EN18" s="1">
        <v>0</v>
      </c>
      <c r="EO18" s="1">
        <v>51680</v>
      </c>
      <c r="EP18" s="1">
        <v>142161</v>
      </c>
      <c r="EQ18" s="1">
        <v>176110</v>
      </c>
      <c r="ER18" s="1">
        <v>599.939</v>
      </c>
      <c r="ES18" s="1">
        <v>109460</v>
      </c>
      <c r="ET18" s="1">
        <v>165986158</v>
      </c>
      <c r="EU18" s="1">
        <v>0</v>
      </c>
      <c r="EV18" s="1">
        <v>433.629</v>
      </c>
      <c r="EW18" s="1">
        <v>20556</v>
      </c>
      <c r="EX18" s="1">
        <v>0</v>
      </c>
      <c r="EY18" s="1">
        <v>0</v>
      </c>
      <c r="EZ18" s="1">
        <v>1200</v>
      </c>
      <c r="FA18" s="1">
        <v>443</v>
      </c>
      <c r="FB18" s="1">
        <v>170146555</v>
      </c>
      <c r="FC18" s="1">
        <v>166.31</v>
      </c>
      <c r="FD18" s="1" t="s">
        <v>65</v>
      </c>
      <c r="FE18" s="1">
        <v>600</v>
      </c>
      <c r="FF18" s="1">
        <v>1</v>
      </c>
      <c r="FG18" s="1">
        <v>51842</v>
      </c>
      <c r="FH18" s="1">
        <v>180798</v>
      </c>
      <c r="FI18" s="1">
        <v>140300</v>
      </c>
      <c r="FJ18" s="1">
        <v>549.4640000000001</v>
      </c>
      <c r="FK18" s="1">
        <v>82487</v>
      </c>
      <c r="FL18" s="1">
        <v>165986486</v>
      </c>
      <c r="FM18" s="1">
        <v>0</v>
      </c>
      <c r="FN18" s="1">
        <v>442.4540000000001</v>
      </c>
      <c r="FO18" s="1">
        <v>20406</v>
      </c>
      <c r="FP18" s="1">
        <v>0</v>
      </c>
      <c r="FQ18" s="1">
        <v>1</v>
      </c>
      <c r="FR18" s="1">
        <v>549.9299999999999</v>
      </c>
      <c r="FS18" s="1">
        <v>377</v>
      </c>
      <c r="FT18" s="1">
        <v>170185510</v>
      </c>
      <c r="FU18" s="1">
        <v>107.01</v>
      </c>
      <c r="FV18" s="1" t="s">
        <v>64</v>
      </c>
      <c r="FW18" s="1">
        <v>549.9299999999999</v>
      </c>
      <c r="FX18" s="1">
        <v>0</v>
      </c>
      <c r="FY18" s="1">
        <v>51846</v>
      </c>
      <c r="FZ18" s="1">
        <v>0</v>
      </c>
      <c r="GA18" s="1">
        <v>0</v>
      </c>
      <c r="GB18" s="1">
        <v>599.985</v>
      </c>
      <c r="GC18" s="1">
        <v>0</v>
      </c>
      <c r="GD18" s="1">
        <v>0</v>
      </c>
      <c r="GE18" s="1">
        <v>0</v>
      </c>
      <c r="GF18" s="1">
        <v>599.985</v>
      </c>
      <c r="GG18" s="1">
        <v>20530</v>
      </c>
      <c r="GH18" s="1">
        <v>0</v>
      </c>
      <c r="GI18" s="1">
        <v>0</v>
      </c>
      <c r="GJ18" s="1">
        <v>1200</v>
      </c>
      <c r="GK18" s="1">
        <v>0</v>
      </c>
      <c r="GL18" s="1">
        <v>0</v>
      </c>
      <c r="GM18" s="1">
        <v>0</v>
      </c>
      <c r="GN18" s="1" t="s">
        <v>65</v>
      </c>
      <c r="GO18" s="1">
        <v>600</v>
      </c>
      <c r="GP18" s="1">
        <v>1</v>
      </c>
      <c r="GQ18" s="1">
        <v>4173606</v>
      </c>
      <c r="GR18" s="1">
        <v>103520</v>
      </c>
      <c r="GS18" s="1">
        <v>7606</v>
      </c>
      <c r="GT18" s="1">
        <v>599.9880000000001</v>
      </c>
      <c r="GU18" s="1">
        <v>3236</v>
      </c>
      <c r="GV18" s="1">
        <v>165985516</v>
      </c>
      <c r="GW18" s="1">
        <v>0</v>
      </c>
      <c r="GX18" s="1">
        <v>582.4880000000001</v>
      </c>
      <c r="GY18" s="1">
        <v>20221</v>
      </c>
      <c r="GZ18" s="1">
        <v>0</v>
      </c>
      <c r="HA18" s="1">
        <v>0</v>
      </c>
      <c r="HB18" s="1">
        <v>1200</v>
      </c>
      <c r="HC18" s="1">
        <v>28</v>
      </c>
      <c r="HD18" s="1">
        <v>165985676</v>
      </c>
      <c r="HE18" s="1">
        <v>17.5</v>
      </c>
      <c r="HF18" s="1" t="s">
        <v>65</v>
      </c>
      <c r="HG18" s="1">
        <v>600</v>
      </c>
      <c r="HH18" s="1">
        <v>1</v>
      </c>
      <c r="HI18" s="1">
        <v>51680</v>
      </c>
      <c r="HJ18" s="1">
        <v>103523</v>
      </c>
      <c r="HK18" s="1">
        <v>0</v>
      </c>
      <c r="HL18" s="1">
        <v>599.986</v>
      </c>
      <c r="HM18" s="1">
        <v>0</v>
      </c>
      <c r="HN18" s="1">
        <v>0</v>
      </c>
      <c r="HO18" s="1">
        <v>0</v>
      </c>
      <c r="HP18" s="1">
        <v>599.986</v>
      </c>
      <c r="HQ18" s="1">
        <v>20226</v>
      </c>
      <c r="HR18" s="1">
        <v>0</v>
      </c>
      <c r="HS18" s="1">
        <v>0</v>
      </c>
      <c r="HT18" s="1">
        <v>1200</v>
      </c>
      <c r="HU18" s="1">
        <v>0</v>
      </c>
      <c r="HV18" s="1">
        <v>165985679</v>
      </c>
      <c r="HW18" s="1">
        <v>0</v>
      </c>
      <c r="HX18" s="1" t="s">
        <v>65</v>
      </c>
      <c r="HY18" s="1">
        <v>600</v>
      </c>
      <c r="HZ18" s="1">
        <v>1</v>
      </c>
      <c r="IA18" s="1">
        <v>51680</v>
      </c>
      <c r="IB18" s="1">
        <v>0</v>
      </c>
      <c r="IC18" s="1">
        <v>0</v>
      </c>
      <c r="ID18" s="1">
        <v>599.987</v>
      </c>
      <c r="IE18" s="1">
        <v>0</v>
      </c>
      <c r="IF18" s="1">
        <v>0</v>
      </c>
      <c r="IG18" s="1">
        <v>0</v>
      </c>
      <c r="IH18" s="1">
        <v>599.987</v>
      </c>
      <c r="II18" s="1">
        <v>23371</v>
      </c>
      <c r="IJ18" s="1">
        <v>0</v>
      </c>
      <c r="IK18" s="1">
        <v>0</v>
      </c>
      <c r="IL18" s="1">
        <v>1200</v>
      </c>
      <c r="IM18" s="1">
        <v>0</v>
      </c>
      <c r="IN18" s="1">
        <v>0</v>
      </c>
      <c r="IO18" s="1">
        <v>0</v>
      </c>
      <c r="IP18" s="1" t="s">
        <v>65</v>
      </c>
      <c r="IQ18" s="1">
        <v>600</v>
      </c>
      <c r="IR18" s="1">
        <v>1</v>
      </c>
      <c r="IS18" s="1">
        <v>4173606</v>
      </c>
      <c r="IT18" s="1">
        <v>486</v>
      </c>
      <c r="IU18" s="1">
        <v>157</v>
      </c>
      <c r="IV18" s="1">
        <v>0.119</v>
      </c>
      <c r="IW18" s="1">
        <v>0</v>
      </c>
      <c r="IX18" s="1">
        <v>2</v>
      </c>
      <c r="IY18" s="1">
        <v>0</v>
      </c>
      <c r="IZ18" s="1">
        <v>0.029</v>
      </c>
      <c r="JA18" s="1">
        <v>13</v>
      </c>
      <c r="JB18" s="1">
        <v>0</v>
      </c>
      <c r="JC18" s="1">
        <v>1</v>
      </c>
      <c r="JD18" s="1">
        <v>0.14</v>
      </c>
      <c r="JE18" s="1">
        <v>0</v>
      </c>
      <c r="JF18" s="1">
        <v>487</v>
      </c>
      <c r="JG18" s="1">
        <v>0.09</v>
      </c>
      <c r="JH18" s="1" t="s">
        <v>64</v>
      </c>
      <c r="JI18" s="1">
        <v>0.14</v>
      </c>
      <c r="JJ18" s="1">
        <v>0</v>
      </c>
      <c r="JK18" s="1">
        <v>161</v>
      </c>
      <c r="JL18" s="1">
        <v>0</v>
      </c>
      <c r="JM18" s="1">
        <v>0</v>
      </c>
      <c r="JN18" s="1">
        <v>599.981</v>
      </c>
      <c r="JO18" s="1">
        <v>0</v>
      </c>
      <c r="JP18" s="1">
        <v>0</v>
      </c>
      <c r="JQ18" s="1">
        <v>0</v>
      </c>
      <c r="JR18" s="1">
        <v>599.981</v>
      </c>
      <c r="JS18" s="1">
        <v>20212</v>
      </c>
      <c r="JT18" s="1">
        <v>0</v>
      </c>
      <c r="JU18" s="1">
        <v>0</v>
      </c>
      <c r="JV18" s="1">
        <v>1200</v>
      </c>
      <c r="JW18" s="1">
        <v>0</v>
      </c>
      <c r="JX18" s="1">
        <v>0</v>
      </c>
      <c r="JY18" s="1">
        <v>0</v>
      </c>
      <c r="JZ18" s="1" t="s">
        <v>65</v>
      </c>
      <c r="KA18" s="1">
        <v>600</v>
      </c>
      <c r="KB18" s="1">
        <v>1</v>
      </c>
      <c r="KC18" s="1">
        <v>51680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>
        <v>0</v>
      </c>
      <c r="C19" s="1">
        <v>0</v>
      </c>
      <c r="D19" s="1">
        <v>599.984</v>
      </c>
      <c r="E19" s="1">
        <v>0</v>
      </c>
      <c r="F19" s="1">
        <v>0</v>
      </c>
      <c r="G19" s="1">
        <v>0</v>
      </c>
      <c r="H19" s="1">
        <v>599.984</v>
      </c>
      <c r="I19" s="1">
        <v>26432</v>
      </c>
      <c r="J19" s="1">
        <v>0</v>
      </c>
      <c r="K19" s="1">
        <v>0</v>
      </c>
      <c r="L19" s="1">
        <v>1200</v>
      </c>
      <c r="M19" s="1">
        <v>0</v>
      </c>
      <c r="N19" s="1">
        <v>0</v>
      </c>
      <c r="O19" s="1">
        <v>0</v>
      </c>
      <c r="P19" s="1" t="s">
        <v>65</v>
      </c>
      <c r="Q19" s="1">
        <v>600</v>
      </c>
      <c r="R19" s="1">
        <v>1</v>
      </c>
      <c r="S19" s="1">
        <v>58312</v>
      </c>
      <c r="T19" s="1">
        <v>0</v>
      </c>
      <c r="U19" s="1">
        <v>0</v>
      </c>
      <c r="V19" s="1">
        <v>599.927</v>
      </c>
      <c r="W19" s="1">
        <v>0</v>
      </c>
      <c r="X19" s="1">
        <v>0</v>
      </c>
      <c r="Y19" s="1">
        <v>0</v>
      </c>
      <c r="Z19" s="1">
        <v>599.927</v>
      </c>
      <c r="AA19" s="1">
        <v>26342</v>
      </c>
      <c r="AB19" s="1">
        <v>0</v>
      </c>
      <c r="AC19" s="1">
        <v>0</v>
      </c>
      <c r="AD19" s="1">
        <v>1200</v>
      </c>
      <c r="AE19" s="1">
        <v>0</v>
      </c>
      <c r="AF19" s="1">
        <v>0</v>
      </c>
      <c r="AG19" s="1">
        <v>0</v>
      </c>
      <c r="AH19" s="1" t="s">
        <v>65</v>
      </c>
      <c r="AI19" s="1">
        <v>600</v>
      </c>
      <c r="AJ19" s="1">
        <v>1</v>
      </c>
      <c r="AK19" s="1">
        <v>58316</v>
      </c>
      <c r="AL19" s="1">
        <v>0</v>
      </c>
      <c r="AM19" s="1">
        <v>0</v>
      </c>
      <c r="AN19" s="1">
        <v>599.994</v>
      </c>
      <c r="AO19" s="1">
        <v>0</v>
      </c>
      <c r="AP19" s="1">
        <v>0</v>
      </c>
      <c r="AQ19" s="1">
        <v>0</v>
      </c>
      <c r="AR19" s="1">
        <v>599.994</v>
      </c>
      <c r="AS19" s="1">
        <v>26733</v>
      </c>
      <c r="AT19" s="1">
        <v>0</v>
      </c>
      <c r="AU19" s="1">
        <v>0</v>
      </c>
      <c r="AV19" s="1">
        <v>1200</v>
      </c>
      <c r="AW19" s="1">
        <v>0</v>
      </c>
      <c r="AX19" s="1">
        <v>0</v>
      </c>
      <c r="AY19" s="1">
        <v>0</v>
      </c>
      <c r="AZ19" s="1" t="s">
        <v>65</v>
      </c>
      <c r="BA19" s="1">
        <v>600</v>
      </c>
      <c r="BB19" s="1">
        <v>1</v>
      </c>
      <c r="BC19" s="1">
        <v>5000556</v>
      </c>
      <c r="BD19" s="1">
        <v>116790</v>
      </c>
      <c r="BE19" s="1">
        <v>77472</v>
      </c>
      <c r="BF19" s="1">
        <v>600.001</v>
      </c>
      <c r="BG19" s="1">
        <v>44163</v>
      </c>
      <c r="BH19" s="1">
        <v>211368986</v>
      </c>
      <c r="BI19" s="1">
        <v>0</v>
      </c>
      <c r="BJ19" s="1">
        <v>531.9209999999999</v>
      </c>
      <c r="BK19" s="1">
        <v>26677</v>
      </c>
      <c r="BL19" s="1">
        <v>0</v>
      </c>
      <c r="BM19" s="1">
        <v>0</v>
      </c>
      <c r="BN19" s="1">
        <v>1200</v>
      </c>
      <c r="BO19" s="1">
        <v>204</v>
      </c>
      <c r="BP19" s="1">
        <v>211369156</v>
      </c>
      <c r="BQ19" s="1">
        <v>68.08</v>
      </c>
      <c r="BR19" s="1" t="s">
        <v>65</v>
      </c>
      <c r="BS19" s="1">
        <v>600</v>
      </c>
      <c r="BT19" s="1">
        <v>1</v>
      </c>
      <c r="BU19" s="1">
        <v>58310</v>
      </c>
      <c r="BV19" s="1">
        <v>0</v>
      </c>
      <c r="BW19" s="1">
        <v>0</v>
      </c>
      <c r="BX19" s="1">
        <v>599.9930000000001</v>
      </c>
      <c r="BY19" s="1">
        <v>0</v>
      </c>
      <c r="BZ19" s="1">
        <v>0</v>
      </c>
      <c r="CA19" s="1">
        <v>0</v>
      </c>
      <c r="CB19" s="1">
        <v>599.9930000000001</v>
      </c>
      <c r="CC19" s="1">
        <v>26198</v>
      </c>
      <c r="CD19" s="1">
        <v>0</v>
      </c>
      <c r="CE19" s="1">
        <v>0</v>
      </c>
      <c r="CF19" s="1">
        <v>1200</v>
      </c>
      <c r="CG19" s="1">
        <v>0</v>
      </c>
      <c r="CH19" s="1">
        <v>0</v>
      </c>
      <c r="CI19" s="1">
        <v>0</v>
      </c>
      <c r="CJ19" s="1" t="s">
        <v>65</v>
      </c>
      <c r="CK19" s="1">
        <v>600</v>
      </c>
      <c r="CL19" s="1">
        <v>1</v>
      </c>
      <c r="CM19" s="1">
        <v>58310</v>
      </c>
      <c r="CN19" s="1">
        <v>0</v>
      </c>
      <c r="CO19" s="1">
        <v>0</v>
      </c>
      <c r="CP19" s="1">
        <v>533.301</v>
      </c>
      <c r="CQ19" s="1">
        <v>0</v>
      </c>
      <c r="CR19" s="1">
        <v>0</v>
      </c>
      <c r="CS19" s="1">
        <v>0</v>
      </c>
      <c r="CT19" s="1">
        <v>533.301</v>
      </c>
      <c r="CU19" s="1">
        <v>30013</v>
      </c>
      <c r="CV19" s="1">
        <v>1</v>
      </c>
      <c r="CW19" s="1">
        <v>0</v>
      </c>
      <c r="CX19" s="1">
        <v>1200</v>
      </c>
      <c r="CY19" s="1">
        <v>0</v>
      </c>
      <c r="CZ19" s="1">
        <v>0</v>
      </c>
      <c r="DA19" s="1">
        <v>0</v>
      </c>
      <c r="DB19" s="1" t="s">
        <v>65</v>
      </c>
      <c r="DC19" s="1">
        <v>600</v>
      </c>
      <c r="DD19" s="1">
        <v>1</v>
      </c>
      <c r="DE19" s="1">
        <v>5000556</v>
      </c>
      <c r="DF19" s="1">
        <v>515</v>
      </c>
      <c r="DG19" s="1">
        <v>168</v>
      </c>
      <c r="DH19" s="1">
        <v>0.022</v>
      </c>
      <c r="DI19" s="1">
        <v>0</v>
      </c>
      <c r="DJ19" s="1">
        <v>2</v>
      </c>
      <c r="DK19" s="1">
        <v>0</v>
      </c>
      <c r="DL19" s="1">
        <v>0.001999999999999998</v>
      </c>
      <c r="DM19" s="1">
        <v>0</v>
      </c>
      <c r="DN19" s="1">
        <v>0</v>
      </c>
      <c r="DO19" s="1">
        <v>1</v>
      </c>
      <c r="DP19" s="1">
        <v>0.07000000000000001</v>
      </c>
      <c r="DQ19" s="1">
        <v>0</v>
      </c>
      <c r="DR19" s="1">
        <v>516</v>
      </c>
      <c r="DS19" s="1">
        <v>0.02</v>
      </c>
      <c r="DT19" s="1" t="s">
        <v>64</v>
      </c>
      <c r="DU19" s="1">
        <v>0.07000000000000001</v>
      </c>
      <c r="DV19" s="1">
        <v>0</v>
      </c>
      <c r="DW19" s="1">
        <v>171</v>
      </c>
      <c r="DX19" s="1">
        <v>116792</v>
      </c>
      <c r="DY19" s="1">
        <v>75516</v>
      </c>
      <c r="DZ19" s="1">
        <v>600.002</v>
      </c>
      <c r="EA19" s="1">
        <v>43187</v>
      </c>
      <c r="EB19" s="1">
        <v>211368986</v>
      </c>
      <c r="EC19" s="1">
        <v>0</v>
      </c>
      <c r="ED19" s="1">
        <v>530.472</v>
      </c>
      <c r="EE19" s="1">
        <v>26681</v>
      </c>
      <c r="EF19" s="1">
        <v>0</v>
      </c>
      <c r="EG19" s="1">
        <v>0</v>
      </c>
      <c r="EH19" s="1">
        <v>1200</v>
      </c>
      <c r="EI19" s="1">
        <v>198</v>
      </c>
      <c r="EJ19" s="1">
        <v>211369158</v>
      </c>
      <c r="EK19" s="1">
        <v>69.53</v>
      </c>
      <c r="EL19" s="1" t="s">
        <v>65</v>
      </c>
      <c r="EM19" s="1">
        <v>600</v>
      </c>
      <c r="EN19" s="1">
        <v>1</v>
      </c>
      <c r="EO19" s="1">
        <v>58310</v>
      </c>
      <c r="EP19" s="1">
        <v>0</v>
      </c>
      <c r="EQ19" s="1">
        <v>0</v>
      </c>
      <c r="ER19" s="1">
        <v>599.989</v>
      </c>
      <c r="ES19" s="1">
        <v>0</v>
      </c>
      <c r="ET19" s="1">
        <v>0</v>
      </c>
      <c r="EU19" s="1">
        <v>0</v>
      </c>
      <c r="EV19" s="1">
        <v>599.989</v>
      </c>
      <c r="EW19" s="1">
        <v>26435</v>
      </c>
      <c r="EX19" s="1">
        <v>0</v>
      </c>
      <c r="EY19" s="1">
        <v>0</v>
      </c>
      <c r="EZ19" s="1">
        <v>1200</v>
      </c>
      <c r="FA19" s="1">
        <v>0</v>
      </c>
      <c r="FB19" s="1">
        <v>0</v>
      </c>
      <c r="FC19" s="1">
        <v>0</v>
      </c>
      <c r="FD19" s="1" t="s">
        <v>65</v>
      </c>
      <c r="FE19" s="1">
        <v>600</v>
      </c>
      <c r="FF19" s="1">
        <v>1</v>
      </c>
      <c r="FG19" s="1">
        <v>58312</v>
      </c>
      <c r="FH19" s="1">
        <v>0</v>
      </c>
      <c r="FI19" s="1">
        <v>0</v>
      </c>
      <c r="FJ19" s="1">
        <v>599.994</v>
      </c>
      <c r="FK19" s="1">
        <v>0</v>
      </c>
      <c r="FL19" s="1">
        <v>0</v>
      </c>
      <c r="FM19" s="1">
        <v>0</v>
      </c>
      <c r="FN19" s="1">
        <v>599.994</v>
      </c>
      <c r="FO19" s="1">
        <v>26246</v>
      </c>
      <c r="FP19" s="1">
        <v>0</v>
      </c>
      <c r="FQ19" s="1">
        <v>0</v>
      </c>
      <c r="FR19" s="1">
        <v>1200</v>
      </c>
      <c r="FS19" s="1">
        <v>0</v>
      </c>
      <c r="FT19" s="1">
        <v>0</v>
      </c>
      <c r="FU19" s="1">
        <v>0</v>
      </c>
      <c r="FV19" s="1" t="s">
        <v>65</v>
      </c>
      <c r="FW19" s="1">
        <v>600</v>
      </c>
      <c r="FX19" s="1">
        <v>1</v>
      </c>
      <c r="FY19" s="1">
        <v>58316</v>
      </c>
      <c r="FZ19" s="1">
        <v>203998</v>
      </c>
      <c r="GA19" s="1">
        <v>7007</v>
      </c>
      <c r="GB19" s="1">
        <v>600.001</v>
      </c>
      <c r="GC19" s="1">
        <v>3024</v>
      </c>
      <c r="GD19" s="1">
        <v>226196736</v>
      </c>
      <c r="GE19" s="1">
        <v>0</v>
      </c>
      <c r="GF19" s="1">
        <v>585.151</v>
      </c>
      <c r="GG19" s="1">
        <v>29021</v>
      </c>
      <c r="GH19" s="1">
        <v>0</v>
      </c>
      <c r="GI19" s="1">
        <v>0</v>
      </c>
      <c r="GJ19" s="1">
        <v>1200</v>
      </c>
      <c r="GK19" s="1">
        <v>24</v>
      </c>
      <c r="GL19" s="1">
        <v>216399280</v>
      </c>
      <c r="GM19" s="1">
        <v>14.85</v>
      </c>
      <c r="GN19" s="1" t="s">
        <v>65</v>
      </c>
      <c r="GO19" s="1">
        <v>600</v>
      </c>
      <c r="GP19" s="1">
        <v>1</v>
      </c>
      <c r="GQ19" s="1">
        <v>5000726</v>
      </c>
      <c r="GR19" s="1">
        <v>0</v>
      </c>
      <c r="GS19" s="1">
        <v>0</v>
      </c>
      <c r="GT19" s="1">
        <v>599.994</v>
      </c>
      <c r="GU19" s="1">
        <v>0</v>
      </c>
      <c r="GV19" s="1">
        <v>0</v>
      </c>
      <c r="GW19" s="1">
        <v>0</v>
      </c>
      <c r="GX19" s="1">
        <v>599.994</v>
      </c>
      <c r="GY19" s="1">
        <v>26208</v>
      </c>
      <c r="GZ19" s="1">
        <v>0</v>
      </c>
      <c r="HA19" s="1">
        <v>0</v>
      </c>
      <c r="HB19" s="1">
        <v>1200</v>
      </c>
      <c r="HC19" s="1">
        <v>0</v>
      </c>
      <c r="HD19" s="1">
        <v>0</v>
      </c>
      <c r="HE19" s="1">
        <v>0</v>
      </c>
      <c r="HF19" s="1" t="s">
        <v>65</v>
      </c>
      <c r="HG19" s="1">
        <v>600</v>
      </c>
      <c r="HH19" s="1">
        <v>1</v>
      </c>
      <c r="HI19" s="1">
        <v>58310</v>
      </c>
      <c r="HJ19" s="1">
        <v>0</v>
      </c>
      <c r="HK19" s="1">
        <v>0</v>
      </c>
      <c r="HL19" s="1">
        <v>599.9930000000001</v>
      </c>
      <c r="HM19" s="1">
        <v>0</v>
      </c>
      <c r="HN19" s="1">
        <v>0</v>
      </c>
      <c r="HO19" s="1">
        <v>0</v>
      </c>
      <c r="HP19" s="1">
        <v>599.9930000000001</v>
      </c>
      <c r="HQ19" s="1">
        <v>26206</v>
      </c>
      <c r="HR19" s="1">
        <v>0</v>
      </c>
      <c r="HS19" s="1">
        <v>0</v>
      </c>
      <c r="HT19" s="1">
        <v>1200</v>
      </c>
      <c r="HU19" s="1">
        <v>0</v>
      </c>
      <c r="HV19" s="1">
        <v>0</v>
      </c>
      <c r="HW19" s="1">
        <v>0</v>
      </c>
      <c r="HX19" s="1" t="s">
        <v>65</v>
      </c>
      <c r="HY19" s="1">
        <v>600</v>
      </c>
      <c r="HZ19" s="1">
        <v>1</v>
      </c>
      <c r="IA19" s="1">
        <v>58310</v>
      </c>
      <c r="IB19" s="1">
        <v>0</v>
      </c>
      <c r="IC19" s="1">
        <v>0</v>
      </c>
      <c r="ID19" s="1">
        <v>599.985</v>
      </c>
      <c r="IE19" s="1">
        <v>0</v>
      </c>
      <c r="IF19" s="1">
        <v>0</v>
      </c>
      <c r="IG19" s="1">
        <v>0</v>
      </c>
      <c r="IH19" s="1">
        <v>599.985</v>
      </c>
      <c r="II19" s="1">
        <v>28125</v>
      </c>
      <c r="IJ19" s="1">
        <v>0</v>
      </c>
      <c r="IK19" s="1">
        <v>0</v>
      </c>
      <c r="IL19" s="1">
        <v>1200</v>
      </c>
      <c r="IM19" s="1">
        <v>0</v>
      </c>
      <c r="IN19" s="1">
        <v>0</v>
      </c>
      <c r="IO19" s="1">
        <v>0</v>
      </c>
      <c r="IP19" s="1" t="s">
        <v>65</v>
      </c>
      <c r="IQ19" s="1">
        <v>600</v>
      </c>
      <c r="IR19" s="1">
        <v>1</v>
      </c>
      <c r="IS19" s="1">
        <v>5000556</v>
      </c>
      <c r="IT19" s="1">
        <v>516</v>
      </c>
      <c r="IU19" s="1">
        <v>168</v>
      </c>
      <c r="IV19" s="1">
        <v>0.131</v>
      </c>
      <c r="IW19" s="1">
        <v>0</v>
      </c>
      <c r="IX19" s="1">
        <v>2</v>
      </c>
      <c r="IY19" s="1">
        <v>0</v>
      </c>
      <c r="IZ19" s="1">
        <v>0.031</v>
      </c>
      <c r="JA19" s="1">
        <v>13</v>
      </c>
      <c r="JB19" s="1">
        <v>0</v>
      </c>
      <c r="JC19" s="1">
        <v>1</v>
      </c>
      <c r="JD19" s="1">
        <v>0.15</v>
      </c>
      <c r="JE19" s="1">
        <v>0</v>
      </c>
      <c r="JF19" s="1">
        <v>517</v>
      </c>
      <c r="JG19" s="1">
        <v>0.1</v>
      </c>
      <c r="JH19" s="1" t="s">
        <v>64</v>
      </c>
      <c r="JI19" s="1">
        <v>0.15</v>
      </c>
      <c r="JJ19" s="1">
        <v>0</v>
      </c>
      <c r="JK19" s="1">
        <v>171</v>
      </c>
      <c r="JL19" s="1">
        <v>0</v>
      </c>
      <c r="JM19" s="1">
        <v>0</v>
      </c>
      <c r="JN19" s="1">
        <v>599.88</v>
      </c>
      <c r="JO19" s="1">
        <v>0</v>
      </c>
      <c r="JP19" s="1">
        <v>0</v>
      </c>
      <c r="JQ19" s="1">
        <v>0</v>
      </c>
      <c r="JR19" s="1">
        <v>599.88</v>
      </c>
      <c r="JS19" s="1">
        <v>26215</v>
      </c>
      <c r="JT19" s="1">
        <v>0</v>
      </c>
      <c r="JU19" s="1">
        <v>0</v>
      </c>
      <c r="JV19" s="1">
        <v>1200</v>
      </c>
      <c r="JW19" s="1">
        <v>0</v>
      </c>
      <c r="JX19" s="1">
        <v>0</v>
      </c>
      <c r="JY19" s="1">
        <v>0</v>
      </c>
      <c r="JZ19" s="1" t="s">
        <v>65</v>
      </c>
      <c r="KA19" s="1">
        <v>600</v>
      </c>
      <c r="KB19" s="1">
        <v>1</v>
      </c>
      <c r="KC19" s="1">
        <v>58310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>
        <v>0</v>
      </c>
      <c r="C20" s="1">
        <v>0</v>
      </c>
      <c r="D20" s="1">
        <v>283.098</v>
      </c>
      <c r="E20" s="1">
        <v>0</v>
      </c>
      <c r="F20" s="1">
        <v>0</v>
      </c>
      <c r="G20" s="1">
        <v>0</v>
      </c>
      <c r="H20" s="1">
        <v>283.098</v>
      </c>
      <c r="I20" s="1">
        <v>30263</v>
      </c>
      <c r="J20" s="1">
        <v>1</v>
      </c>
      <c r="K20" s="1">
        <v>0</v>
      </c>
      <c r="L20" s="1">
        <v>1200</v>
      </c>
      <c r="M20" s="1">
        <v>0</v>
      </c>
      <c r="N20" s="1">
        <v>0</v>
      </c>
      <c r="O20" s="1">
        <v>0</v>
      </c>
      <c r="P20" s="1" t="s">
        <v>65</v>
      </c>
      <c r="Q20" s="1">
        <v>600</v>
      </c>
      <c r="R20" s="1">
        <v>1</v>
      </c>
      <c r="S20" s="1">
        <v>65342</v>
      </c>
      <c r="T20" s="1">
        <v>0</v>
      </c>
      <c r="U20" s="1">
        <v>0</v>
      </c>
      <c r="V20" s="1">
        <v>376.487</v>
      </c>
      <c r="W20" s="1">
        <v>0</v>
      </c>
      <c r="X20" s="1">
        <v>0</v>
      </c>
      <c r="Y20" s="1">
        <v>0</v>
      </c>
      <c r="Z20" s="1">
        <v>376.487</v>
      </c>
      <c r="AA20" s="1">
        <v>30323</v>
      </c>
      <c r="AB20" s="1">
        <v>1</v>
      </c>
      <c r="AC20" s="1">
        <v>0</v>
      </c>
      <c r="AD20" s="1">
        <v>1200</v>
      </c>
      <c r="AE20" s="1">
        <v>0</v>
      </c>
      <c r="AF20" s="1">
        <v>0</v>
      </c>
      <c r="AG20" s="1">
        <v>0</v>
      </c>
      <c r="AH20" s="1" t="s">
        <v>65</v>
      </c>
      <c r="AI20" s="1">
        <v>600</v>
      </c>
      <c r="AJ20" s="1">
        <v>1</v>
      </c>
      <c r="AK20" s="1">
        <v>65346</v>
      </c>
      <c r="AL20" s="1">
        <v>0</v>
      </c>
      <c r="AM20" s="1">
        <v>0</v>
      </c>
      <c r="AN20" s="1">
        <v>290.745</v>
      </c>
      <c r="AO20" s="1">
        <v>0</v>
      </c>
      <c r="AP20" s="1">
        <v>0</v>
      </c>
      <c r="AQ20" s="1">
        <v>0</v>
      </c>
      <c r="AR20" s="1">
        <v>290.745</v>
      </c>
      <c r="AS20" s="1">
        <v>28139</v>
      </c>
      <c r="AT20" s="1">
        <v>0</v>
      </c>
      <c r="AU20" s="1">
        <v>0</v>
      </c>
      <c r="AV20" s="1">
        <v>1200</v>
      </c>
      <c r="AW20" s="1">
        <v>0</v>
      </c>
      <c r="AX20" s="1">
        <v>0</v>
      </c>
      <c r="AY20" s="1">
        <v>0</v>
      </c>
      <c r="AZ20" s="1" t="s">
        <v>65</v>
      </c>
      <c r="BA20" s="1">
        <v>600</v>
      </c>
      <c r="BB20" s="1">
        <v>1</v>
      </c>
      <c r="BC20" s="1">
        <v>0</v>
      </c>
      <c r="BD20" s="1">
        <v>0</v>
      </c>
      <c r="BE20" s="1">
        <v>0</v>
      </c>
      <c r="BF20" s="1">
        <v>398.091</v>
      </c>
      <c r="BG20" s="1">
        <v>0</v>
      </c>
      <c r="BH20" s="1">
        <v>0</v>
      </c>
      <c r="BI20" s="1">
        <v>0</v>
      </c>
      <c r="BJ20" s="1">
        <v>398.091</v>
      </c>
      <c r="BK20" s="1">
        <v>30002</v>
      </c>
      <c r="BL20" s="1">
        <v>1</v>
      </c>
      <c r="BM20" s="1">
        <v>0</v>
      </c>
      <c r="BN20" s="1">
        <v>1200</v>
      </c>
      <c r="BO20" s="1">
        <v>0</v>
      </c>
      <c r="BP20" s="1">
        <v>0</v>
      </c>
      <c r="BQ20" s="1">
        <v>0</v>
      </c>
      <c r="BR20" s="1" t="s">
        <v>65</v>
      </c>
      <c r="BS20" s="1">
        <v>600</v>
      </c>
      <c r="BT20" s="1">
        <v>1</v>
      </c>
      <c r="BU20" s="1">
        <v>65340</v>
      </c>
      <c r="BV20" s="1">
        <v>0</v>
      </c>
      <c r="BW20" s="1">
        <v>0</v>
      </c>
      <c r="BX20" s="1">
        <v>409.59</v>
      </c>
      <c r="BY20" s="1">
        <v>0</v>
      </c>
      <c r="BZ20" s="1">
        <v>0</v>
      </c>
      <c r="CA20" s="1">
        <v>0</v>
      </c>
      <c r="CB20" s="1">
        <v>409.59</v>
      </c>
      <c r="CC20" s="1">
        <v>30001</v>
      </c>
      <c r="CD20" s="1">
        <v>1</v>
      </c>
      <c r="CE20" s="1">
        <v>0</v>
      </c>
      <c r="CF20" s="1">
        <v>1200</v>
      </c>
      <c r="CG20" s="1">
        <v>0</v>
      </c>
      <c r="CH20" s="1">
        <v>0</v>
      </c>
      <c r="CI20" s="1">
        <v>0</v>
      </c>
      <c r="CJ20" s="1" t="s">
        <v>65</v>
      </c>
      <c r="CK20" s="1">
        <v>600</v>
      </c>
      <c r="CL20" s="1">
        <v>1</v>
      </c>
      <c r="CM20" s="1">
        <v>65340</v>
      </c>
      <c r="CN20" s="1">
        <v>0</v>
      </c>
      <c r="CO20" s="1">
        <v>0</v>
      </c>
      <c r="CP20" s="1">
        <v>347.997</v>
      </c>
      <c r="CQ20" s="1">
        <v>0</v>
      </c>
      <c r="CR20" s="1">
        <v>0</v>
      </c>
      <c r="CS20" s="1">
        <v>0</v>
      </c>
      <c r="CT20" s="1">
        <v>347.997</v>
      </c>
      <c r="CU20" s="1">
        <v>29203</v>
      </c>
      <c r="CV20" s="1">
        <v>0</v>
      </c>
      <c r="CW20" s="1">
        <v>0</v>
      </c>
      <c r="CX20" s="1">
        <v>1200</v>
      </c>
      <c r="CY20" s="1">
        <v>0</v>
      </c>
      <c r="CZ20" s="1">
        <v>0</v>
      </c>
      <c r="DA20" s="1">
        <v>0</v>
      </c>
      <c r="DB20" s="1" t="s">
        <v>65</v>
      </c>
      <c r="DC20" s="1">
        <v>600</v>
      </c>
      <c r="DD20" s="1">
        <v>1</v>
      </c>
      <c r="DE20" s="1">
        <v>0</v>
      </c>
      <c r="DF20" s="1">
        <v>545</v>
      </c>
      <c r="DG20" s="1">
        <v>177</v>
      </c>
      <c r="DH20" s="1">
        <v>0.007</v>
      </c>
      <c r="DI20" s="1">
        <v>0</v>
      </c>
      <c r="DJ20" s="1">
        <v>2</v>
      </c>
      <c r="DK20" s="1">
        <v>0</v>
      </c>
      <c r="DL20" s="1">
        <v>0</v>
      </c>
      <c r="DM20" s="1">
        <v>0</v>
      </c>
      <c r="DN20" s="1">
        <v>0</v>
      </c>
      <c r="DO20" s="1">
        <v>1</v>
      </c>
      <c r="DP20" s="1">
        <v>0.02</v>
      </c>
      <c r="DQ20" s="1">
        <v>0</v>
      </c>
      <c r="DR20" s="1">
        <v>546</v>
      </c>
      <c r="DS20" s="1">
        <v>0.01</v>
      </c>
      <c r="DT20" s="1" t="s">
        <v>64</v>
      </c>
      <c r="DU20" s="1">
        <v>0.02</v>
      </c>
      <c r="DV20" s="1">
        <v>0</v>
      </c>
      <c r="DW20" s="1">
        <v>181</v>
      </c>
      <c r="DX20" s="1">
        <v>0</v>
      </c>
      <c r="DY20" s="1">
        <v>0</v>
      </c>
      <c r="DZ20" s="1">
        <v>407.59</v>
      </c>
      <c r="EA20" s="1">
        <v>0</v>
      </c>
      <c r="EB20" s="1">
        <v>0</v>
      </c>
      <c r="EC20" s="1">
        <v>0</v>
      </c>
      <c r="ED20" s="1">
        <v>407.59</v>
      </c>
      <c r="EE20" s="1">
        <v>30039</v>
      </c>
      <c r="EF20" s="1">
        <v>1</v>
      </c>
      <c r="EG20" s="1">
        <v>0</v>
      </c>
      <c r="EH20" s="1">
        <v>1200</v>
      </c>
      <c r="EI20" s="1">
        <v>0</v>
      </c>
      <c r="EJ20" s="1">
        <v>0</v>
      </c>
      <c r="EK20" s="1">
        <v>0</v>
      </c>
      <c r="EL20" s="1" t="s">
        <v>65</v>
      </c>
      <c r="EM20" s="1">
        <v>600</v>
      </c>
      <c r="EN20" s="1">
        <v>1</v>
      </c>
      <c r="EO20" s="1">
        <v>65340</v>
      </c>
      <c r="EP20" s="1">
        <v>0</v>
      </c>
      <c r="EQ20" s="1">
        <v>0</v>
      </c>
      <c r="ER20" s="1">
        <v>281.599</v>
      </c>
      <c r="ES20" s="1">
        <v>0</v>
      </c>
      <c r="ET20" s="1">
        <v>0</v>
      </c>
      <c r="EU20" s="1">
        <v>0</v>
      </c>
      <c r="EV20" s="1">
        <v>281.599</v>
      </c>
      <c r="EW20" s="1">
        <v>30003</v>
      </c>
      <c r="EX20" s="1">
        <v>1</v>
      </c>
      <c r="EY20" s="1">
        <v>0</v>
      </c>
      <c r="EZ20" s="1">
        <v>1200</v>
      </c>
      <c r="FA20" s="1">
        <v>0</v>
      </c>
      <c r="FB20" s="1">
        <v>0</v>
      </c>
      <c r="FC20" s="1">
        <v>0</v>
      </c>
      <c r="FD20" s="1" t="s">
        <v>65</v>
      </c>
      <c r="FE20" s="1">
        <v>600</v>
      </c>
      <c r="FF20" s="1">
        <v>1</v>
      </c>
      <c r="FG20" s="1">
        <v>65342</v>
      </c>
      <c r="FH20" s="1">
        <v>0</v>
      </c>
      <c r="FI20" s="1">
        <v>0</v>
      </c>
      <c r="FJ20" s="1">
        <v>362.385</v>
      </c>
      <c r="FK20" s="1">
        <v>0</v>
      </c>
      <c r="FL20" s="1">
        <v>0</v>
      </c>
      <c r="FM20" s="1">
        <v>0</v>
      </c>
      <c r="FN20" s="1">
        <v>362.385</v>
      </c>
      <c r="FO20" s="1">
        <v>30456</v>
      </c>
      <c r="FP20" s="1">
        <v>1</v>
      </c>
      <c r="FQ20" s="1">
        <v>0</v>
      </c>
      <c r="FR20" s="1">
        <v>1200</v>
      </c>
      <c r="FS20" s="1">
        <v>0</v>
      </c>
      <c r="FT20" s="1">
        <v>0</v>
      </c>
      <c r="FU20" s="1">
        <v>0</v>
      </c>
      <c r="FV20" s="1" t="s">
        <v>65</v>
      </c>
      <c r="FW20" s="1">
        <v>600</v>
      </c>
      <c r="FX20" s="1">
        <v>1</v>
      </c>
      <c r="FY20" s="1">
        <v>65346</v>
      </c>
      <c r="FZ20" s="1">
        <v>0</v>
      </c>
      <c r="GA20" s="1">
        <v>0</v>
      </c>
      <c r="GB20" s="1">
        <v>352.9</v>
      </c>
      <c r="GC20" s="1">
        <v>0</v>
      </c>
      <c r="GD20" s="1">
        <v>0</v>
      </c>
      <c r="GE20" s="1">
        <v>0</v>
      </c>
      <c r="GF20" s="1">
        <v>352.9</v>
      </c>
      <c r="GG20" s="1">
        <v>28137</v>
      </c>
      <c r="GH20" s="1">
        <v>0</v>
      </c>
      <c r="GI20" s="1">
        <v>0</v>
      </c>
      <c r="GJ20" s="1">
        <v>1200</v>
      </c>
      <c r="GK20" s="1">
        <v>0</v>
      </c>
      <c r="GL20" s="1">
        <v>0</v>
      </c>
      <c r="GM20" s="1">
        <v>0</v>
      </c>
      <c r="GN20" s="1" t="s">
        <v>65</v>
      </c>
      <c r="GO20" s="1">
        <v>600</v>
      </c>
      <c r="GP20" s="1">
        <v>1</v>
      </c>
      <c r="GQ20" s="1">
        <v>0</v>
      </c>
      <c r="GR20" s="1">
        <v>0</v>
      </c>
      <c r="GS20" s="1">
        <v>0</v>
      </c>
      <c r="GT20" s="1">
        <v>270.199</v>
      </c>
      <c r="GU20" s="1">
        <v>0</v>
      </c>
      <c r="GV20" s="1">
        <v>0</v>
      </c>
      <c r="GW20" s="1">
        <v>0</v>
      </c>
      <c r="GX20" s="1">
        <v>270.199</v>
      </c>
      <c r="GY20" s="1">
        <v>30102</v>
      </c>
      <c r="GZ20" s="1">
        <v>1</v>
      </c>
      <c r="HA20" s="1">
        <v>0</v>
      </c>
      <c r="HB20" s="1">
        <v>1200</v>
      </c>
      <c r="HC20" s="1">
        <v>0</v>
      </c>
      <c r="HD20" s="1">
        <v>0</v>
      </c>
      <c r="HE20" s="1">
        <v>0</v>
      </c>
      <c r="HF20" s="1" t="s">
        <v>65</v>
      </c>
      <c r="HG20" s="1">
        <v>600</v>
      </c>
      <c r="HH20" s="1">
        <v>1</v>
      </c>
      <c r="HI20" s="1">
        <v>65340</v>
      </c>
      <c r="HJ20" s="1">
        <v>0</v>
      </c>
      <c r="HK20" s="1">
        <v>0</v>
      </c>
      <c r="HL20" s="1">
        <v>367.86</v>
      </c>
      <c r="HM20" s="1">
        <v>0</v>
      </c>
      <c r="HN20" s="1">
        <v>0</v>
      </c>
      <c r="HO20" s="1">
        <v>0</v>
      </c>
      <c r="HP20" s="1">
        <v>367.86</v>
      </c>
      <c r="HQ20" s="1">
        <v>30222</v>
      </c>
      <c r="HR20" s="1">
        <v>1</v>
      </c>
      <c r="HS20" s="1">
        <v>0</v>
      </c>
      <c r="HT20" s="1">
        <v>1200</v>
      </c>
      <c r="HU20" s="1">
        <v>0</v>
      </c>
      <c r="HV20" s="1">
        <v>0</v>
      </c>
      <c r="HW20" s="1">
        <v>0</v>
      </c>
      <c r="HX20" s="1" t="s">
        <v>65</v>
      </c>
      <c r="HY20" s="1">
        <v>600</v>
      </c>
      <c r="HZ20" s="1">
        <v>1</v>
      </c>
      <c r="IA20" s="1">
        <v>65340</v>
      </c>
      <c r="IB20" s="1">
        <v>0</v>
      </c>
      <c r="IC20" s="1">
        <v>0</v>
      </c>
      <c r="ID20" s="1">
        <v>361.176</v>
      </c>
      <c r="IE20" s="1">
        <v>0</v>
      </c>
      <c r="IF20" s="1">
        <v>0</v>
      </c>
      <c r="IG20" s="1">
        <v>0</v>
      </c>
      <c r="IH20" s="1">
        <v>361.176</v>
      </c>
      <c r="II20" s="1">
        <v>29199</v>
      </c>
      <c r="IJ20" s="1">
        <v>0</v>
      </c>
      <c r="IK20" s="1">
        <v>0</v>
      </c>
      <c r="IL20" s="1">
        <v>1200</v>
      </c>
      <c r="IM20" s="1">
        <v>0</v>
      </c>
      <c r="IN20" s="1">
        <v>0</v>
      </c>
      <c r="IO20" s="1">
        <v>0</v>
      </c>
      <c r="IP20" s="1" t="s">
        <v>65</v>
      </c>
      <c r="IQ20" s="1">
        <v>600</v>
      </c>
      <c r="IR20" s="1">
        <v>1</v>
      </c>
      <c r="IS20" s="1">
        <v>0</v>
      </c>
      <c r="IT20" s="1">
        <v>546</v>
      </c>
      <c r="IU20" s="1">
        <v>177</v>
      </c>
      <c r="IV20" s="1">
        <v>0.143</v>
      </c>
      <c r="IW20" s="1">
        <v>0</v>
      </c>
      <c r="IX20" s="1">
        <v>2</v>
      </c>
      <c r="IY20" s="1">
        <v>0</v>
      </c>
      <c r="IZ20" s="1">
        <v>0.03299999999999999</v>
      </c>
      <c r="JA20" s="1">
        <v>13</v>
      </c>
      <c r="JB20" s="1">
        <v>0</v>
      </c>
      <c r="JC20" s="1">
        <v>1</v>
      </c>
      <c r="JD20" s="1">
        <v>0.16</v>
      </c>
      <c r="JE20" s="1">
        <v>0</v>
      </c>
      <c r="JF20" s="1">
        <v>547</v>
      </c>
      <c r="JG20" s="1">
        <v>0.11</v>
      </c>
      <c r="JH20" s="1" t="s">
        <v>64</v>
      </c>
      <c r="JI20" s="1">
        <v>0.16</v>
      </c>
      <c r="JJ20" s="1">
        <v>0</v>
      </c>
      <c r="JK20" s="1">
        <v>181</v>
      </c>
      <c r="JL20" s="1">
        <v>0</v>
      </c>
      <c r="JM20" s="1">
        <v>0</v>
      </c>
      <c r="JN20" s="1">
        <v>258.799</v>
      </c>
      <c r="JO20" s="1">
        <v>0</v>
      </c>
      <c r="JP20" s="1">
        <v>0</v>
      </c>
      <c r="JQ20" s="1">
        <v>0</v>
      </c>
      <c r="JR20" s="1">
        <v>258.799</v>
      </c>
      <c r="JS20" s="1">
        <v>30079</v>
      </c>
      <c r="JT20" s="1">
        <v>1</v>
      </c>
      <c r="JU20" s="1">
        <v>0</v>
      </c>
      <c r="JV20" s="1">
        <v>1200</v>
      </c>
      <c r="JW20" s="1">
        <v>0</v>
      </c>
      <c r="JX20" s="1">
        <v>0</v>
      </c>
      <c r="JY20" s="1">
        <v>0</v>
      </c>
      <c r="JZ20" s="1" t="s">
        <v>65</v>
      </c>
      <c r="KA20" s="1">
        <v>600</v>
      </c>
      <c r="KB20" s="1">
        <v>1</v>
      </c>
      <c r="KC20" s="1">
        <v>65340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>
        <v>0</v>
      </c>
      <c r="C21" s="1">
        <v>0</v>
      </c>
      <c r="D21" s="1">
        <v>383.53</v>
      </c>
      <c r="E21" s="1">
        <v>0</v>
      </c>
      <c r="F21" s="1">
        <v>0</v>
      </c>
      <c r="G21" s="1">
        <v>0</v>
      </c>
      <c r="H21" s="1">
        <v>383.53</v>
      </c>
      <c r="I21" s="1">
        <v>28465</v>
      </c>
      <c r="J21" s="1">
        <v>0</v>
      </c>
      <c r="K21" s="1">
        <v>0</v>
      </c>
      <c r="L21" s="1">
        <v>1200</v>
      </c>
      <c r="M21" s="1">
        <v>0</v>
      </c>
      <c r="N21" s="1">
        <v>0</v>
      </c>
      <c r="O21" s="1">
        <v>0</v>
      </c>
      <c r="P21" s="1" t="s">
        <v>65</v>
      </c>
      <c r="Q21" s="1">
        <v>600</v>
      </c>
      <c r="R21" s="1">
        <v>1</v>
      </c>
      <c r="S21" s="1">
        <v>0</v>
      </c>
      <c r="T21" s="1">
        <v>0</v>
      </c>
      <c r="U21" s="1">
        <v>0</v>
      </c>
      <c r="V21" s="1">
        <v>369.069</v>
      </c>
      <c r="W21" s="1">
        <v>0</v>
      </c>
      <c r="X21" s="1">
        <v>0</v>
      </c>
      <c r="Y21" s="1">
        <v>0</v>
      </c>
      <c r="Z21" s="1">
        <v>369.069</v>
      </c>
      <c r="AA21" s="1">
        <v>28154</v>
      </c>
      <c r="AB21" s="1">
        <v>0</v>
      </c>
      <c r="AC21" s="1">
        <v>0</v>
      </c>
      <c r="AD21" s="1">
        <v>1200</v>
      </c>
      <c r="AE21" s="1">
        <v>0</v>
      </c>
      <c r="AF21" s="1">
        <v>0</v>
      </c>
      <c r="AG21" s="1">
        <v>0</v>
      </c>
      <c r="AH21" s="1" t="s">
        <v>65</v>
      </c>
      <c r="AI21" s="1">
        <v>600</v>
      </c>
      <c r="AJ21" s="1">
        <v>1</v>
      </c>
      <c r="AK21" s="1">
        <v>0</v>
      </c>
      <c r="AL21" s="1">
        <v>0</v>
      </c>
      <c r="AM21" s="1">
        <v>0</v>
      </c>
      <c r="AN21" s="1">
        <v>311.244</v>
      </c>
      <c r="AO21" s="1">
        <v>0</v>
      </c>
      <c r="AP21" s="1">
        <v>0</v>
      </c>
      <c r="AQ21" s="1">
        <v>0</v>
      </c>
      <c r="AR21" s="1">
        <v>311.244</v>
      </c>
      <c r="AS21" s="1">
        <v>28170</v>
      </c>
      <c r="AT21" s="1">
        <v>0</v>
      </c>
      <c r="AU21" s="1">
        <v>0</v>
      </c>
      <c r="AV21" s="1">
        <v>1200</v>
      </c>
      <c r="AW21" s="1">
        <v>0</v>
      </c>
      <c r="AX21" s="1">
        <v>0</v>
      </c>
      <c r="AY21" s="1">
        <v>0</v>
      </c>
      <c r="AZ21" s="1" t="s">
        <v>65</v>
      </c>
      <c r="BA21" s="1">
        <v>600</v>
      </c>
      <c r="BB21" s="1">
        <v>1</v>
      </c>
      <c r="BC21" s="1">
        <v>0</v>
      </c>
      <c r="BD21" s="1">
        <v>0</v>
      </c>
      <c r="BE21" s="1">
        <v>0</v>
      </c>
      <c r="BF21" s="1">
        <v>349.085</v>
      </c>
      <c r="BG21" s="1">
        <v>0</v>
      </c>
      <c r="BH21" s="1">
        <v>0</v>
      </c>
      <c r="BI21" s="1">
        <v>0</v>
      </c>
      <c r="BJ21" s="1">
        <v>349.085</v>
      </c>
      <c r="BK21" s="1">
        <v>28041</v>
      </c>
      <c r="BL21" s="1">
        <v>0</v>
      </c>
      <c r="BM21" s="1">
        <v>0</v>
      </c>
      <c r="BN21" s="1">
        <v>1200</v>
      </c>
      <c r="BO21" s="1">
        <v>0</v>
      </c>
      <c r="BP21" s="1">
        <v>0</v>
      </c>
      <c r="BQ21" s="1">
        <v>0</v>
      </c>
      <c r="BR21" s="1" t="s">
        <v>65</v>
      </c>
      <c r="BS21" s="1">
        <v>600</v>
      </c>
      <c r="BT21" s="1">
        <v>1</v>
      </c>
      <c r="BU21" s="1">
        <v>0</v>
      </c>
      <c r="BV21" s="1">
        <v>0</v>
      </c>
      <c r="BW21" s="1">
        <v>0</v>
      </c>
      <c r="BX21" s="1">
        <v>349.017</v>
      </c>
      <c r="BY21" s="1">
        <v>0</v>
      </c>
      <c r="BZ21" s="1">
        <v>0</v>
      </c>
      <c r="CA21" s="1">
        <v>0</v>
      </c>
      <c r="CB21" s="1">
        <v>349.017</v>
      </c>
      <c r="CC21" s="1">
        <v>28043</v>
      </c>
      <c r="CD21" s="1">
        <v>0</v>
      </c>
      <c r="CE21" s="1">
        <v>0</v>
      </c>
      <c r="CF21" s="1">
        <v>1200</v>
      </c>
      <c r="CG21" s="1">
        <v>0</v>
      </c>
      <c r="CH21" s="1">
        <v>0</v>
      </c>
      <c r="CI21" s="1">
        <v>0</v>
      </c>
      <c r="CJ21" s="1" t="s">
        <v>65</v>
      </c>
      <c r="CK21" s="1">
        <v>600</v>
      </c>
      <c r="CL21" s="1">
        <v>1</v>
      </c>
      <c r="CM21" s="1">
        <v>0</v>
      </c>
      <c r="CN21" s="1">
        <v>0</v>
      </c>
      <c r="CO21" s="1">
        <v>0</v>
      </c>
      <c r="CP21" s="1">
        <v>306.082</v>
      </c>
      <c r="CQ21" s="1">
        <v>0</v>
      </c>
      <c r="CR21" s="1">
        <v>0</v>
      </c>
      <c r="CS21" s="1">
        <v>0</v>
      </c>
      <c r="CT21" s="1">
        <v>306.082</v>
      </c>
      <c r="CU21" s="1">
        <v>29448</v>
      </c>
      <c r="CV21" s="1">
        <v>0</v>
      </c>
      <c r="CW21" s="1">
        <v>0</v>
      </c>
      <c r="CX21" s="1">
        <v>1200</v>
      </c>
      <c r="CY21" s="1">
        <v>0</v>
      </c>
      <c r="CZ21" s="1">
        <v>0</v>
      </c>
      <c r="DA21" s="1">
        <v>0</v>
      </c>
      <c r="DB21" s="1" t="s">
        <v>65</v>
      </c>
      <c r="DC21" s="1">
        <v>600</v>
      </c>
      <c r="DD21" s="1">
        <v>1</v>
      </c>
      <c r="DE21" s="1">
        <v>0</v>
      </c>
      <c r="DF21" s="1">
        <v>575</v>
      </c>
      <c r="DG21" s="1">
        <v>188</v>
      </c>
      <c r="DH21" s="1">
        <v>0.027</v>
      </c>
      <c r="DI21" s="1">
        <v>0</v>
      </c>
      <c r="DJ21" s="1">
        <v>2</v>
      </c>
      <c r="DK21" s="1">
        <v>0</v>
      </c>
      <c r="DL21" s="1">
        <v>0.006999999999999999</v>
      </c>
      <c r="DM21" s="1">
        <v>0</v>
      </c>
      <c r="DN21" s="1">
        <v>0</v>
      </c>
      <c r="DO21" s="1">
        <v>1</v>
      </c>
      <c r="DP21" s="1">
        <v>0.08</v>
      </c>
      <c r="DQ21" s="1">
        <v>0</v>
      </c>
      <c r="DR21" s="1">
        <v>576</v>
      </c>
      <c r="DS21" s="1">
        <v>0.02</v>
      </c>
      <c r="DT21" s="1" t="s">
        <v>64</v>
      </c>
      <c r="DU21" s="1">
        <v>0.08</v>
      </c>
      <c r="DV21" s="1">
        <v>0</v>
      </c>
      <c r="DW21" s="1">
        <v>191</v>
      </c>
      <c r="DX21" s="1">
        <v>0</v>
      </c>
      <c r="DY21" s="1">
        <v>0</v>
      </c>
      <c r="DZ21" s="1">
        <v>329.526</v>
      </c>
      <c r="EA21" s="1">
        <v>0</v>
      </c>
      <c r="EB21" s="1">
        <v>0</v>
      </c>
      <c r="EC21" s="1">
        <v>0</v>
      </c>
      <c r="ED21" s="1">
        <v>329.526</v>
      </c>
      <c r="EE21" s="1">
        <v>28044</v>
      </c>
      <c r="EF21" s="1">
        <v>0</v>
      </c>
      <c r="EG21" s="1">
        <v>0</v>
      </c>
      <c r="EH21" s="1">
        <v>1200</v>
      </c>
      <c r="EI21" s="1">
        <v>0</v>
      </c>
      <c r="EJ21" s="1">
        <v>0</v>
      </c>
      <c r="EK21" s="1">
        <v>0</v>
      </c>
      <c r="EL21" s="1" t="s">
        <v>65</v>
      </c>
      <c r="EM21" s="1">
        <v>600</v>
      </c>
      <c r="EN21" s="1">
        <v>1</v>
      </c>
      <c r="EO21" s="1">
        <v>0</v>
      </c>
      <c r="EP21" s="1">
        <v>0</v>
      </c>
      <c r="EQ21" s="1">
        <v>0</v>
      </c>
      <c r="ER21" s="1">
        <v>297.033</v>
      </c>
      <c r="ES21" s="1">
        <v>0</v>
      </c>
      <c r="ET21" s="1">
        <v>0</v>
      </c>
      <c r="EU21" s="1">
        <v>0</v>
      </c>
      <c r="EV21" s="1">
        <v>297.033</v>
      </c>
      <c r="EW21" s="1">
        <v>28467</v>
      </c>
      <c r="EX21" s="1">
        <v>0</v>
      </c>
      <c r="EY21" s="1">
        <v>0</v>
      </c>
      <c r="EZ21" s="1">
        <v>1200</v>
      </c>
      <c r="FA21" s="1">
        <v>0</v>
      </c>
      <c r="FB21" s="1">
        <v>0</v>
      </c>
      <c r="FC21" s="1">
        <v>0</v>
      </c>
      <c r="FD21" s="1" t="s">
        <v>65</v>
      </c>
      <c r="FE21" s="1">
        <v>600</v>
      </c>
      <c r="FF21" s="1">
        <v>1</v>
      </c>
      <c r="FG21" s="1">
        <v>0</v>
      </c>
      <c r="FH21" s="1">
        <v>0</v>
      </c>
      <c r="FI21" s="1">
        <v>0</v>
      </c>
      <c r="FJ21" s="1">
        <v>304.507</v>
      </c>
      <c r="FK21" s="1">
        <v>0</v>
      </c>
      <c r="FL21" s="1">
        <v>0</v>
      </c>
      <c r="FM21" s="1">
        <v>0</v>
      </c>
      <c r="FN21" s="1">
        <v>304.507</v>
      </c>
      <c r="FO21" s="1">
        <v>28153</v>
      </c>
      <c r="FP21" s="1">
        <v>0</v>
      </c>
      <c r="FQ21" s="1">
        <v>0</v>
      </c>
      <c r="FR21" s="1">
        <v>1200</v>
      </c>
      <c r="FS21" s="1">
        <v>0</v>
      </c>
      <c r="FT21" s="1">
        <v>0</v>
      </c>
      <c r="FU21" s="1">
        <v>0</v>
      </c>
      <c r="FV21" s="1" t="s">
        <v>65</v>
      </c>
      <c r="FW21" s="1">
        <v>600</v>
      </c>
      <c r="FX21" s="1">
        <v>1</v>
      </c>
      <c r="FY21" s="1">
        <v>0</v>
      </c>
      <c r="FZ21" s="1">
        <v>0</v>
      </c>
      <c r="GA21" s="1">
        <v>0</v>
      </c>
      <c r="GB21" s="1">
        <v>377.725</v>
      </c>
      <c r="GC21" s="1">
        <v>0</v>
      </c>
      <c r="GD21" s="1">
        <v>0</v>
      </c>
      <c r="GE21" s="1">
        <v>0</v>
      </c>
      <c r="GF21" s="1">
        <v>377.725</v>
      </c>
      <c r="GG21" s="1">
        <v>28169</v>
      </c>
      <c r="GH21" s="1">
        <v>0</v>
      </c>
      <c r="GI21" s="1">
        <v>0</v>
      </c>
      <c r="GJ21" s="1">
        <v>1200</v>
      </c>
      <c r="GK21" s="1">
        <v>0</v>
      </c>
      <c r="GL21" s="1">
        <v>0</v>
      </c>
      <c r="GM21" s="1">
        <v>0</v>
      </c>
      <c r="GN21" s="1" t="s">
        <v>65</v>
      </c>
      <c r="GO21" s="1">
        <v>600</v>
      </c>
      <c r="GP21" s="1">
        <v>1</v>
      </c>
      <c r="GQ21" s="1">
        <v>0</v>
      </c>
      <c r="GR21" s="1">
        <v>0</v>
      </c>
      <c r="GS21" s="1">
        <v>0</v>
      </c>
      <c r="GT21" s="1">
        <v>330.937</v>
      </c>
      <c r="GU21" s="1">
        <v>0</v>
      </c>
      <c r="GV21" s="1">
        <v>0</v>
      </c>
      <c r="GW21" s="1">
        <v>0</v>
      </c>
      <c r="GX21" s="1">
        <v>330.937</v>
      </c>
      <c r="GY21" s="1">
        <v>28042</v>
      </c>
      <c r="GZ21" s="1">
        <v>0</v>
      </c>
      <c r="HA21" s="1">
        <v>0</v>
      </c>
      <c r="HB21" s="1">
        <v>1200</v>
      </c>
      <c r="HC21" s="1">
        <v>0</v>
      </c>
      <c r="HD21" s="1">
        <v>0</v>
      </c>
      <c r="HE21" s="1">
        <v>0</v>
      </c>
      <c r="HF21" s="1" t="s">
        <v>65</v>
      </c>
      <c r="HG21" s="1">
        <v>600</v>
      </c>
      <c r="HH21" s="1">
        <v>1</v>
      </c>
      <c r="HI21" s="1">
        <v>0</v>
      </c>
      <c r="HJ21" s="1">
        <v>0</v>
      </c>
      <c r="HK21" s="1">
        <v>0</v>
      </c>
      <c r="HL21" s="1">
        <v>345.466</v>
      </c>
      <c r="HM21" s="1">
        <v>0</v>
      </c>
      <c r="HN21" s="1">
        <v>0</v>
      </c>
      <c r="HO21" s="1">
        <v>0</v>
      </c>
      <c r="HP21" s="1">
        <v>345.466</v>
      </c>
      <c r="HQ21" s="1">
        <v>28041</v>
      </c>
      <c r="HR21" s="1">
        <v>0</v>
      </c>
      <c r="HS21" s="1">
        <v>0</v>
      </c>
      <c r="HT21" s="1">
        <v>1200</v>
      </c>
      <c r="HU21" s="1">
        <v>0</v>
      </c>
      <c r="HV21" s="1">
        <v>0</v>
      </c>
      <c r="HW21" s="1">
        <v>0</v>
      </c>
      <c r="HX21" s="1" t="s">
        <v>65</v>
      </c>
      <c r="HY21" s="1">
        <v>600</v>
      </c>
      <c r="HZ21" s="1">
        <v>1</v>
      </c>
      <c r="IA21" s="1">
        <v>0</v>
      </c>
      <c r="IB21" s="1">
        <v>0</v>
      </c>
      <c r="IC21" s="1">
        <v>0</v>
      </c>
      <c r="ID21" s="1">
        <v>383.861</v>
      </c>
      <c r="IE21" s="1">
        <v>0</v>
      </c>
      <c r="IF21" s="1">
        <v>0</v>
      </c>
      <c r="IG21" s="1">
        <v>0</v>
      </c>
      <c r="IH21" s="1">
        <v>383.861</v>
      </c>
      <c r="II21" s="1">
        <v>29451</v>
      </c>
      <c r="IJ21" s="1">
        <v>0</v>
      </c>
      <c r="IK21" s="1">
        <v>0</v>
      </c>
      <c r="IL21" s="1">
        <v>1200</v>
      </c>
      <c r="IM21" s="1">
        <v>0</v>
      </c>
      <c r="IN21" s="1">
        <v>0</v>
      </c>
      <c r="IO21" s="1">
        <v>0</v>
      </c>
      <c r="IP21" s="1" t="s">
        <v>65</v>
      </c>
      <c r="IQ21" s="1">
        <v>600</v>
      </c>
      <c r="IR21" s="1">
        <v>1</v>
      </c>
      <c r="IS21" s="1">
        <v>0</v>
      </c>
      <c r="IT21" s="1">
        <v>576</v>
      </c>
      <c r="IU21" s="1">
        <v>188</v>
      </c>
      <c r="IV21" s="1">
        <v>0.158</v>
      </c>
      <c r="IW21" s="1">
        <v>0</v>
      </c>
      <c r="IX21" s="1">
        <v>2</v>
      </c>
      <c r="IY21" s="1">
        <v>0</v>
      </c>
      <c r="IZ21" s="1">
        <v>0.028</v>
      </c>
      <c r="JA21" s="1">
        <v>13</v>
      </c>
      <c r="JB21" s="1">
        <v>0</v>
      </c>
      <c r="JC21" s="1">
        <v>1</v>
      </c>
      <c r="JD21" s="1">
        <v>0.17</v>
      </c>
      <c r="JE21" s="1">
        <v>0</v>
      </c>
      <c r="JF21" s="1">
        <v>577</v>
      </c>
      <c r="JG21" s="1">
        <v>0.13</v>
      </c>
      <c r="JH21" s="1" t="s">
        <v>64</v>
      </c>
      <c r="JI21" s="1">
        <v>0.17</v>
      </c>
      <c r="JJ21" s="1">
        <v>0</v>
      </c>
      <c r="JK21" s="1">
        <v>191</v>
      </c>
      <c r="JL21" s="1">
        <v>0</v>
      </c>
      <c r="JM21" s="1">
        <v>0</v>
      </c>
      <c r="JN21" s="1">
        <v>254.509</v>
      </c>
      <c r="JO21" s="1">
        <v>0</v>
      </c>
      <c r="JP21" s="1">
        <v>0</v>
      </c>
      <c r="JQ21" s="1">
        <v>0</v>
      </c>
      <c r="JR21" s="1">
        <v>254.509</v>
      </c>
      <c r="JS21" s="1">
        <v>28042</v>
      </c>
      <c r="JT21" s="1">
        <v>0</v>
      </c>
      <c r="JU21" s="1">
        <v>0</v>
      </c>
      <c r="JV21" s="1">
        <v>1200</v>
      </c>
      <c r="JW21" s="1">
        <v>0</v>
      </c>
      <c r="JX21" s="1">
        <v>0</v>
      </c>
      <c r="JY21" s="1">
        <v>0</v>
      </c>
      <c r="JZ21" s="1" t="s">
        <v>65</v>
      </c>
      <c r="KA21" s="1">
        <v>600</v>
      </c>
      <c r="KB21" s="1">
        <v>1</v>
      </c>
      <c r="KC21" s="1"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>
        <v>0</v>
      </c>
      <c r="C22" s="1">
        <v>0</v>
      </c>
      <c r="D22" s="1">
        <v>325.389</v>
      </c>
      <c r="E22" s="1">
        <v>0</v>
      </c>
      <c r="F22" s="1">
        <v>0</v>
      </c>
      <c r="G22" s="1">
        <v>0</v>
      </c>
      <c r="H22" s="1">
        <v>325.389</v>
      </c>
      <c r="I22" s="1">
        <v>28665</v>
      </c>
      <c r="J22" s="1">
        <v>0</v>
      </c>
      <c r="K22" s="1">
        <v>0</v>
      </c>
      <c r="L22" s="1">
        <v>1200</v>
      </c>
      <c r="M22" s="1">
        <v>0</v>
      </c>
      <c r="N22" s="1">
        <v>0</v>
      </c>
      <c r="O22" s="1">
        <v>0</v>
      </c>
      <c r="P22" s="1" t="s">
        <v>65</v>
      </c>
      <c r="Q22" s="1">
        <v>600</v>
      </c>
      <c r="R22" s="1">
        <v>1</v>
      </c>
      <c r="S22" s="1">
        <v>0</v>
      </c>
      <c r="T22" s="1">
        <v>0</v>
      </c>
      <c r="U22" s="1">
        <v>0</v>
      </c>
      <c r="V22" s="1">
        <v>378.837</v>
      </c>
      <c r="W22" s="1">
        <v>0</v>
      </c>
      <c r="X22" s="1">
        <v>0</v>
      </c>
      <c r="Y22" s="1">
        <v>0</v>
      </c>
      <c r="Z22" s="1">
        <v>378.837</v>
      </c>
      <c r="AA22" s="1">
        <v>28318</v>
      </c>
      <c r="AB22" s="1">
        <v>0</v>
      </c>
      <c r="AC22" s="1">
        <v>0</v>
      </c>
      <c r="AD22" s="1">
        <v>1200</v>
      </c>
      <c r="AE22" s="1">
        <v>0</v>
      </c>
      <c r="AF22" s="1">
        <v>0</v>
      </c>
      <c r="AG22" s="1">
        <v>0</v>
      </c>
      <c r="AH22" s="1" t="s">
        <v>65</v>
      </c>
      <c r="AI22" s="1">
        <v>600</v>
      </c>
      <c r="AJ22" s="1">
        <v>1</v>
      </c>
      <c r="AK22" s="1">
        <v>0</v>
      </c>
      <c r="AL22" s="1">
        <v>0</v>
      </c>
      <c r="AM22" s="1">
        <v>0</v>
      </c>
      <c r="AN22" s="1">
        <v>322.789</v>
      </c>
      <c r="AO22" s="1">
        <v>0</v>
      </c>
      <c r="AP22" s="1">
        <v>0</v>
      </c>
      <c r="AQ22" s="1">
        <v>0</v>
      </c>
      <c r="AR22" s="1">
        <v>322.789</v>
      </c>
      <c r="AS22" s="1">
        <v>28319</v>
      </c>
      <c r="AT22" s="1">
        <v>0</v>
      </c>
      <c r="AU22" s="1">
        <v>0</v>
      </c>
      <c r="AV22" s="1">
        <v>1200</v>
      </c>
      <c r="AW22" s="1">
        <v>0</v>
      </c>
      <c r="AX22" s="1">
        <v>0</v>
      </c>
      <c r="AY22" s="1">
        <v>0</v>
      </c>
      <c r="AZ22" s="1" t="s">
        <v>65</v>
      </c>
      <c r="BA22" s="1">
        <v>600</v>
      </c>
      <c r="BB22" s="1">
        <v>1</v>
      </c>
      <c r="BC22" s="1">
        <v>0</v>
      </c>
      <c r="BD22" s="1">
        <v>0</v>
      </c>
      <c r="BE22" s="1">
        <v>0</v>
      </c>
      <c r="BF22" s="1">
        <v>345.756</v>
      </c>
      <c r="BG22" s="1">
        <v>0</v>
      </c>
      <c r="BH22" s="1">
        <v>0</v>
      </c>
      <c r="BI22" s="1">
        <v>0</v>
      </c>
      <c r="BJ22" s="1">
        <v>345.756</v>
      </c>
      <c r="BK22" s="1">
        <v>28189</v>
      </c>
      <c r="BL22" s="1">
        <v>0</v>
      </c>
      <c r="BM22" s="1">
        <v>0</v>
      </c>
      <c r="BN22" s="1">
        <v>1200</v>
      </c>
      <c r="BO22" s="1">
        <v>0</v>
      </c>
      <c r="BP22" s="1">
        <v>0</v>
      </c>
      <c r="BQ22" s="1">
        <v>0</v>
      </c>
      <c r="BR22" s="1" t="s">
        <v>65</v>
      </c>
      <c r="BS22" s="1">
        <v>600</v>
      </c>
      <c r="BT22" s="1">
        <v>1</v>
      </c>
      <c r="BU22" s="1">
        <v>0</v>
      </c>
      <c r="BV22" s="1">
        <v>0</v>
      </c>
      <c r="BW22" s="1">
        <v>0</v>
      </c>
      <c r="BX22" s="1">
        <v>356.308</v>
      </c>
      <c r="BY22" s="1">
        <v>0</v>
      </c>
      <c r="BZ22" s="1">
        <v>0</v>
      </c>
      <c r="CA22" s="1">
        <v>0</v>
      </c>
      <c r="CB22" s="1">
        <v>356.308</v>
      </c>
      <c r="CC22" s="1">
        <v>28195</v>
      </c>
      <c r="CD22" s="1">
        <v>0</v>
      </c>
      <c r="CE22" s="1">
        <v>0</v>
      </c>
      <c r="CF22" s="1">
        <v>1200</v>
      </c>
      <c r="CG22" s="1">
        <v>0</v>
      </c>
      <c r="CH22" s="1">
        <v>0</v>
      </c>
      <c r="CI22" s="1">
        <v>0</v>
      </c>
      <c r="CJ22" s="1" t="s">
        <v>65</v>
      </c>
      <c r="CK22" s="1">
        <v>600</v>
      </c>
      <c r="CL22" s="1">
        <v>1</v>
      </c>
      <c r="CM22" s="1">
        <v>0</v>
      </c>
      <c r="CN22" s="1">
        <v>0</v>
      </c>
      <c r="CO22" s="1">
        <v>0</v>
      </c>
      <c r="CP22" s="1">
        <v>385.754</v>
      </c>
      <c r="CQ22" s="1">
        <v>0</v>
      </c>
      <c r="CR22" s="1">
        <v>0</v>
      </c>
      <c r="CS22" s="1">
        <v>0</v>
      </c>
      <c r="CT22" s="1">
        <v>385.754</v>
      </c>
      <c r="CU22" s="1">
        <v>29902</v>
      </c>
      <c r="CV22" s="1">
        <v>0</v>
      </c>
      <c r="CW22" s="1">
        <v>0</v>
      </c>
      <c r="CX22" s="1">
        <v>1200</v>
      </c>
      <c r="CY22" s="1">
        <v>0</v>
      </c>
      <c r="CZ22" s="1">
        <v>0</v>
      </c>
      <c r="DA22" s="1">
        <v>0</v>
      </c>
      <c r="DB22" s="1" t="s">
        <v>65</v>
      </c>
      <c r="DC22" s="1">
        <v>600</v>
      </c>
      <c r="DD22" s="1">
        <v>1</v>
      </c>
      <c r="DE22" s="1">
        <v>0</v>
      </c>
      <c r="DF22" s="1">
        <v>605</v>
      </c>
      <c r="DG22" s="1">
        <v>197</v>
      </c>
      <c r="DH22" s="1">
        <v>0.008999999999999999</v>
      </c>
      <c r="DI22" s="1">
        <v>0</v>
      </c>
      <c r="DJ22" s="1">
        <v>2</v>
      </c>
      <c r="DK22" s="1">
        <v>0</v>
      </c>
      <c r="DL22" s="1">
        <v>0</v>
      </c>
      <c r="DM22" s="1">
        <v>0</v>
      </c>
      <c r="DN22" s="1">
        <v>0</v>
      </c>
      <c r="DO22" s="1">
        <v>1</v>
      </c>
      <c r="DP22" s="1">
        <v>0.02</v>
      </c>
      <c r="DQ22" s="1">
        <v>0</v>
      </c>
      <c r="DR22" s="1">
        <v>606</v>
      </c>
      <c r="DS22" s="1">
        <v>0.01</v>
      </c>
      <c r="DT22" s="1" t="s">
        <v>64</v>
      </c>
      <c r="DU22" s="1">
        <v>0.02</v>
      </c>
      <c r="DV22" s="1">
        <v>0</v>
      </c>
      <c r="DW22" s="1">
        <v>201</v>
      </c>
      <c r="DX22" s="1">
        <v>0</v>
      </c>
      <c r="DY22" s="1">
        <v>0</v>
      </c>
      <c r="DZ22" s="1">
        <v>335.168</v>
      </c>
      <c r="EA22" s="1">
        <v>0</v>
      </c>
      <c r="EB22" s="1">
        <v>0</v>
      </c>
      <c r="EC22" s="1">
        <v>0</v>
      </c>
      <c r="ED22" s="1">
        <v>335.168</v>
      </c>
      <c r="EE22" s="1">
        <v>28196</v>
      </c>
      <c r="EF22" s="1">
        <v>0</v>
      </c>
      <c r="EG22" s="1">
        <v>0</v>
      </c>
      <c r="EH22" s="1">
        <v>1200</v>
      </c>
      <c r="EI22" s="1">
        <v>0</v>
      </c>
      <c r="EJ22" s="1">
        <v>0</v>
      </c>
      <c r="EK22" s="1">
        <v>0</v>
      </c>
      <c r="EL22" s="1" t="s">
        <v>65</v>
      </c>
      <c r="EM22" s="1">
        <v>600</v>
      </c>
      <c r="EN22" s="1">
        <v>1</v>
      </c>
      <c r="EO22" s="1">
        <v>0</v>
      </c>
      <c r="EP22" s="1">
        <v>0</v>
      </c>
      <c r="EQ22" s="1">
        <v>0</v>
      </c>
      <c r="ER22" s="1">
        <v>324.639</v>
      </c>
      <c r="ES22" s="1">
        <v>0</v>
      </c>
      <c r="ET22" s="1">
        <v>0</v>
      </c>
      <c r="EU22" s="1">
        <v>0</v>
      </c>
      <c r="EV22" s="1">
        <v>324.639</v>
      </c>
      <c r="EW22" s="1">
        <v>28662</v>
      </c>
      <c r="EX22" s="1">
        <v>0</v>
      </c>
      <c r="EY22" s="1">
        <v>0</v>
      </c>
      <c r="EZ22" s="1">
        <v>1200</v>
      </c>
      <c r="FA22" s="1">
        <v>0</v>
      </c>
      <c r="FB22" s="1">
        <v>0</v>
      </c>
      <c r="FC22" s="1">
        <v>0</v>
      </c>
      <c r="FD22" s="1" t="s">
        <v>65</v>
      </c>
      <c r="FE22" s="1">
        <v>600</v>
      </c>
      <c r="FF22" s="1">
        <v>1</v>
      </c>
      <c r="FG22" s="1">
        <v>0</v>
      </c>
      <c r="FH22" s="1">
        <v>0</v>
      </c>
      <c r="FI22" s="1">
        <v>0</v>
      </c>
      <c r="FJ22" s="1">
        <v>372.529</v>
      </c>
      <c r="FK22" s="1">
        <v>0</v>
      </c>
      <c r="FL22" s="1">
        <v>0</v>
      </c>
      <c r="FM22" s="1">
        <v>0</v>
      </c>
      <c r="FN22" s="1">
        <v>372.529</v>
      </c>
      <c r="FO22" s="1">
        <v>28318</v>
      </c>
      <c r="FP22" s="1">
        <v>0</v>
      </c>
      <c r="FQ22" s="1">
        <v>0</v>
      </c>
      <c r="FR22" s="1">
        <v>1200</v>
      </c>
      <c r="FS22" s="1">
        <v>0</v>
      </c>
      <c r="FT22" s="1">
        <v>0</v>
      </c>
      <c r="FU22" s="1">
        <v>0</v>
      </c>
      <c r="FV22" s="1" t="s">
        <v>65</v>
      </c>
      <c r="FW22" s="1">
        <v>600</v>
      </c>
      <c r="FX22" s="1">
        <v>1</v>
      </c>
      <c r="FY22" s="1">
        <v>0</v>
      </c>
      <c r="FZ22" s="1">
        <v>0</v>
      </c>
      <c r="GA22" s="1">
        <v>0</v>
      </c>
      <c r="GB22" s="1">
        <v>390.84</v>
      </c>
      <c r="GC22" s="1">
        <v>0</v>
      </c>
      <c r="GD22" s="1">
        <v>0</v>
      </c>
      <c r="GE22" s="1">
        <v>0</v>
      </c>
      <c r="GF22" s="1">
        <v>390.84</v>
      </c>
      <c r="GG22" s="1">
        <v>28320</v>
      </c>
      <c r="GH22" s="1">
        <v>0</v>
      </c>
      <c r="GI22" s="1">
        <v>0</v>
      </c>
      <c r="GJ22" s="1">
        <v>1200</v>
      </c>
      <c r="GK22" s="1">
        <v>0</v>
      </c>
      <c r="GL22" s="1">
        <v>0</v>
      </c>
      <c r="GM22" s="1">
        <v>0</v>
      </c>
      <c r="GN22" s="1" t="s">
        <v>65</v>
      </c>
      <c r="GO22" s="1">
        <v>600</v>
      </c>
      <c r="GP22" s="1">
        <v>1</v>
      </c>
      <c r="GQ22" s="1">
        <v>0</v>
      </c>
      <c r="GR22" s="1">
        <v>0</v>
      </c>
      <c r="GS22" s="1">
        <v>0</v>
      </c>
      <c r="GT22" s="1">
        <v>267.12</v>
      </c>
      <c r="GU22" s="1">
        <v>0</v>
      </c>
      <c r="GV22" s="1">
        <v>0</v>
      </c>
      <c r="GW22" s="1">
        <v>0</v>
      </c>
      <c r="GX22" s="1">
        <v>267.12</v>
      </c>
      <c r="GY22" s="1">
        <v>28195</v>
      </c>
      <c r="GZ22" s="1">
        <v>0</v>
      </c>
      <c r="HA22" s="1">
        <v>0</v>
      </c>
      <c r="HB22" s="1">
        <v>1200</v>
      </c>
      <c r="HC22" s="1">
        <v>0</v>
      </c>
      <c r="HD22" s="1">
        <v>0</v>
      </c>
      <c r="HE22" s="1">
        <v>0</v>
      </c>
      <c r="HF22" s="1" t="s">
        <v>65</v>
      </c>
      <c r="HG22" s="1">
        <v>600</v>
      </c>
      <c r="HH22" s="1">
        <v>1</v>
      </c>
      <c r="HI22" s="1">
        <v>0</v>
      </c>
      <c r="HJ22" s="1">
        <v>0</v>
      </c>
      <c r="HK22" s="1">
        <v>0</v>
      </c>
      <c r="HL22" s="1">
        <v>350.1</v>
      </c>
      <c r="HM22" s="1">
        <v>0</v>
      </c>
      <c r="HN22" s="1">
        <v>0</v>
      </c>
      <c r="HO22" s="1">
        <v>0</v>
      </c>
      <c r="HP22" s="1">
        <v>350.1</v>
      </c>
      <c r="HQ22" s="1">
        <v>28196</v>
      </c>
      <c r="HR22" s="1">
        <v>0</v>
      </c>
      <c r="HS22" s="1">
        <v>0</v>
      </c>
      <c r="HT22" s="1">
        <v>1200</v>
      </c>
      <c r="HU22" s="1">
        <v>0</v>
      </c>
      <c r="HV22" s="1">
        <v>0</v>
      </c>
      <c r="HW22" s="1">
        <v>0</v>
      </c>
      <c r="HX22" s="1" t="s">
        <v>65</v>
      </c>
      <c r="HY22" s="1">
        <v>600</v>
      </c>
      <c r="HZ22" s="1">
        <v>1</v>
      </c>
      <c r="IA22" s="1">
        <v>0</v>
      </c>
      <c r="IB22" s="1">
        <v>0</v>
      </c>
      <c r="IC22" s="1">
        <v>0</v>
      </c>
      <c r="ID22" s="1">
        <v>397.997</v>
      </c>
      <c r="IE22" s="1">
        <v>0</v>
      </c>
      <c r="IF22" s="1">
        <v>0</v>
      </c>
      <c r="IG22" s="1">
        <v>0</v>
      </c>
      <c r="IH22" s="1">
        <v>397.997</v>
      </c>
      <c r="II22" s="1">
        <v>29903</v>
      </c>
      <c r="IJ22" s="1">
        <v>0</v>
      </c>
      <c r="IK22" s="1">
        <v>0</v>
      </c>
      <c r="IL22" s="1">
        <v>1200</v>
      </c>
      <c r="IM22" s="1">
        <v>0</v>
      </c>
      <c r="IN22" s="1">
        <v>0</v>
      </c>
      <c r="IO22" s="1">
        <v>0</v>
      </c>
      <c r="IP22" s="1" t="s">
        <v>65</v>
      </c>
      <c r="IQ22" s="1">
        <v>600</v>
      </c>
      <c r="IR22" s="1">
        <v>1</v>
      </c>
      <c r="IS22" s="1">
        <v>0</v>
      </c>
      <c r="IT22" s="1">
        <v>606</v>
      </c>
      <c r="IU22" s="1">
        <v>197</v>
      </c>
      <c r="IV22" s="1">
        <v>0.172</v>
      </c>
      <c r="IW22" s="1">
        <v>0</v>
      </c>
      <c r="IX22" s="1">
        <v>2</v>
      </c>
      <c r="IY22" s="1">
        <v>0</v>
      </c>
      <c r="IZ22" s="1">
        <v>0.03199999999999997</v>
      </c>
      <c r="JA22" s="1">
        <v>13</v>
      </c>
      <c r="JB22" s="1">
        <v>0</v>
      </c>
      <c r="JC22" s="1">
        <v>1</v>
      </c>
      <c r="JD22" s="1">
        <v>0.19</v>
      </c>
      <c r="JE22" s="1">
        <v>0</v>
      </c>
      <c r="JF22" s="1">
        <v>607</v>
      </c>
      <c r="JG22" s="1">
        <v>0.14</v>
      </c>
      <c r="JH22" s="1" t="s">
        <v>64</v>
      </c>
      <c r="JI22" s="1">
        <v>0.19</v>
      </c>
      <c r="JJ22" s="1">
        <v>0</v>
      </c>
      <c r="JK22" s="1">
        <v>201</v>
      </c>
      <c r="JL22" s="1">
        <v>0</v>
      </c>
      <c r="JM22" s="1">
        <v>0</v>
      </c>
      <c r="JN22" s="1">
        <v>260.562</v>
      </c>
      <c r="JO22" s="1">
        <v>0</v>
      </c>
      <c r="JP22" s="1">
        <v>0</v>
      </c>
      <c r="JQ22" s="1">
        <v>0</v>
      </c>
      <c r="JR22" s="1">
        <v>260.562</v>
      </c>
      <c r="JS22" s="1">
        <v>28192</v>
      </c>
      <c r="JT22" s="1">
        <v>0</v>
      </c>
      <c r="JU22" s="1">
        <v>0</v>
      </c>
      <c r="JV22" s="1">
        <v>1200</v>
      </c>
      <c r="JW22" s="1">
        <v>0</v>
      </c>
      <c r="JX22" s="1">
        <v>0</v>
      </c>
      <c r="JY22" s="1">
        <v>0</v>
      </c>
      <c r="JZ22" s="1" t="s">
        <v>65</v>
      </c>
      <c r="KA22" s="1">
        <v>600</v>
      </c>
      <c r="KB22" s="1">
        <v>1</v>
      </c>
      <c r="KC22" s="1"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>
        <v>1955</v>
      </c>
      <c r="C23" s="1">
        <v>64</v>
      </c>
      <c r="D23" s="1">
        <v>0.033</v>
      </c>
      <c r="E23" s="1">
        <v>0</v>
      </c>
      <c r="F23" s="1">
        <v>58432</v>
      </c>
      <c r="G23" s="1">
        <v>0</v>
      </c>
      <c r="H23" s="1">
        <v>0.033</v>
      </c>
      <c r="I23" s="1">
        <v>0</v>
      </c>
      <c r="J23" s="1">
        <v>0</v>
      </c>
      <c r="K23" s="1">
        <v>1</v>
      </c>
      <c r="L23" s="1">
        <v>0.05</v>
      </c>
      <c r="M23" s="1">
        <v>0</v>
      </c>
      <c r="N23" s="1">
        <v>38143</v>
      </c>
      <c r="O23" s="1">
        <v>0</v>
      </c>
      <c r="P23" s="1" t="s">
        <v>64</v>
      </c>
      <c r="Q23" s="1">
        <v>0.05</v>
      </c>
      <c r="R23" s="1">
        <v>0</v>
      </c>
      <c r="S23" s="1">
        <v>8904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1955</v>
      </c>
      <c r="AM23" s="1">
        <v>141</v>
      </c>
      <c r="AN23" s="1">
        <v>0.06900000000000001</v>
      </c>
      <c r="AO23" s="1">
        <v>73</v>
      </c>
      <c r="AP23" s="1">
        <v>68992</v>
      </c>
      <c r="AQ23" s="1">
        <v>0</v>
      </c>
      <c r="AR23" s="1">
        <v>0.06900000000000001</v>
      </c>
      <c r="AS23" s="1">
        <v>9</v>
      </c>
      <c r="AT23" s="1">
        <v>0</v>
      </c>
      <c r="AU23" s="1">
        <v>1</v>
      </c>
      <c r="AV23" s="1">
        <v>0.16</v>
      </c>
      <c r="AW23" s="1">
        <v>0</v>
      </c>
      <c r="AX23" s="1">
        <v>39439</v>
      </c>
      <c r="AY23" s="1">
        <v>0</v>
      </c>
      <c r="AZ23" s="1" t="s">
        <v>64</v>
      </c>
      <c r="BA23" s="1">
        <v>0.16</v>
      </c>
      <c r="BB23" s="1">
        <v>0</v>
      </c>
      <c r="BC23" s="1">
        <v>10824</v>
      </c>
      <c r="BD23" s="1">
        <v>1490</v>
      </c>
      <c r="BE23" s="1">
        <v>440</v>
      </c>
      <c r="BF23" s="1">
        <v>0.029</v>
      </c>
      <c r="BG23" s="1">
        <v>162</v>
      </c>
      <c r="BH23" s="1">
        <v>38460</v>
      </c>
      <c r="BI23" s="1">
        <v>0</v>
      </c>
      <c r="BJ23" s="1">
        <v>0.029</v>
      </c>
      <c r="BK23" s="1">
        <v>0</v>
      </c>
      <c r="BL23" s="1">
        <v>0</v>
      </c>
      <c r="BM23" s="1">
        <v>1</v>
      </c>
      <c r="BN23" s="1">
        <v>0.05</v>
      </c>
      <c r="BO23" s="1">
        <v>2</v>
      </c>
      <c r="BP23" s="1">
        <v>21634</v>
      </c>
      <c r="BQ23" s="1">
        <v>0</v>
      </c>
      <c r="BR23" s="1" t="s">
        <v>64</v>
      </c>
      <c r="BS23" s="1">
        <v>0.05</v>
      </c>
      <c r="BT23" s="1">
        <v>0</v>
      </c>
      <c r="BU23" s="1">
        <v>7004</v>
      </c>
      <c r="BV23" s="1">
        <v>4964</v>
      </c>
      <c r="BW23" s="1">
        <v>62</v>
      </c>
      <c r="BX23" s="1">
        <v>0.04</v>
      </c>
      <c r="BY23" s="1">
        <v>0</v>
      </c>
      <c r="BZ23" s="1">
        <v>66244</v>
      </c>
      <c r="CA23" s="1">
        <v>0</v>
      </c>
      <c r="CB23" s="1">
        <v>0.04</v>
      </c>
      <c r="CC23" s="1">
        <v>0</v>
      </c>
      <c r="CD23" s="1">
        <v>0</v>
      </c>
      <c r="CE23" s="1">
        <v>1</v>
      </c>
      <c r="CF23" s="1">
        <v>0.06</v>
      </c>
      <c r="CG23" s="1">
        <v>0</v>
      </c>
      <c r="CH23" s="1">
        <v>41136</v>
      </c>
      <c r="CI23" s="1">
        <v>0</v>
      </c>
      <c r="CJ23" s="1" t="s">
        <v>64</v>
      </c>
      <c r="CK23" s="1">
        <v>0.06</v>
      </c>
      <c r="CL23" s="1">
        <v>0</v>
      </c>
      <c r="CM23" s="1">
        <v>10644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4964</v>
      </c>
      <c r="DY23" s="1">
        <v>1864</v>
      </c>
      <c r="DZ23" s="1">
        <v>0.056</v>
      </c>
      <c r="EA23" s="1">
        <v>485</v>
      </c>
      <c r="EB23" s="1">
        <v>66244</v>
      </c>
      <c r="EC23" s="1">
        <v>0</v>
      </c>
      <c r="ED23" s="1">
        <v>0.036</v>
      </c>
      <c r="EE23" s="1">
        <v>0</v>
      </c>
      <c r="EF23" s="1">
        <v>0</v>
      </c>
      <c r="EG23" s="1">
        <v>1</v>
      </c>
      <c r="EH23" s="1">
        <v>0.08</v>
      </c>
      <c r="EI23" s="1">
        <v>5</v>
      </c>
      <c r="EJ23" s="1">
        <v>41136</v>
      </c>
      <c r="EK23" s="1">
        <v>0.02</v>
      </c>
      <c r="EL23" s="1" t="s">
        <v>64</v>
      </c>
      <c r="EM23" s="1">
        <v>0.08</v>
      </c>
      <c r="EN23" s="1">
        <v>0</v>
      </c>
      <c r="EO23" s="1">
        <v>10644</v>
      </c>
      <c r="EP23" s="1">
        <v>1955</v>
      </c>
      <c r="EQ23" s="1">
        <v>64</v>
      </c>
      <c r="ER23" s="1">
        <v>0.033</v>
      </c>
      <c r="ES23" s="1">
        <v>0</v>
      </c>
      <c r="ET23" s="1">
        <v>58432</v>
      </c>
      <c r="EU23" s="1">
        <v>0</v>
      </c>
      <c r="EV23" s="1">
        <v>0.033</v>
      </c>
      <c r="EW23" s="1">
        <v>0</v>
      </c>
      <c r="EX23" s="1">
        <v>0</v>
      </c>
      <c r="EY23" s="1">
        <v>1</v>
      </c>
      <c r="EZ23" s="1">
        <v>0.05</v>
      </c>
      <c r="FA23" s="1">
        <v>0</v>
      </c>
      <c r="FB23" s="1">
        <v>38143</v>
      </c>
      <c r="FC23" s="1">
        <v>0</v>
      </c>
      <c r="FD23" s="1" t="s">
        <v>64</v>
      </c>
      <c r="FE23" s="1">
        <v>0.05</v>
      </c>
      <c r="FF23" s="1">
        <v>0</v>
      </c>
      <c r="FG23" s="1">
        <v>8904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1955</v>
      </c>
      <c r="GA23" s="1">
        <v>141</v>
      </c>
      <c r="GB23" s="1">
        <v>0.045</v>
      </c>
      <c r="GC23" s="1">
        <v>73</v>
      </c>
      <c r="GD23" s="1">
        <v>68992</v>
      </c>
      <c r="GE23" s="1">
        <v>0</v>
      </c>
      <c r="GF23" s="1">
        <v>0.045</v>
      </c>
      <c r="GG23" s="1">
        <v>0</v>
      </c>
      <c r="GH23" s="1">
        <v>0</v>
      </c>
      <c r="GI23" s="1">
        <v>1</v>
      </c>
      <c r="GJ23" s="1">
        <v>0.07000000000000001</v>
      </c>
      <c r="GK23" s="1">
        <v>0</v>
      </c>
      <c r="GL23" s="1">
        <v>39439</v>
      </c>
      <c r="GM23" s="1">
        <v>0</v>
      </c>
      <c r="GN23" s="1" t="s">
        <v>64</v>
      </c>
      <c r="GO23" s="1">
        <v>0.07000000000000001</v>
      </c>
      <c r="GP23" s="1">
        <v>0</v>
      </c>
      <c r="GQ23" s="1">
        <v>10824</v>
      </c>
      <c r="GR23" s="1">
        <v>1490</v>
      </c>
      <c r="GS23" s="1">
        <v>440</v>
      </c>
      <c r="GT23" s="1">
        <v>0.024</v>
      </c>
      <c r="GU23" s="1">
        <v>162</v>
      </c>
      <c r="GV23" s="1">
        <v>38460</v>
      </c>
      <c r="GW23" s="1">
        <v>0</v>
      </c>
      <c r="GX23" s="1">
        <v>0.024</v>
      </c>
      <c r="GY23" s="1">
        <v>0</v>
      </c>
      <c r="GZ23" s="1">
        <v>0</v>
      </c>
      <c r="HA23" s="1">
        <v>1</v>
      </c>
      <c r="HB23" s="1">
        <v>0.04</v>
      </c>
      <c r="HC23" s="1">
        <v>2</v>
      </c>
      <c r="HD23" s="1">
        <v>21634</v>
      </c>
      <c r="HE23" s="1">
        <v>0</v>
      </c>
      <c r="HF23" s="1" t="s">
        <v>64</v>
      </c>
      <c r="HG23" s="1">
        <v>0.04</v>
      </c>
      <c r="HH23" s="1">
        <v>0</v>
      </c>
      <c r="HI23" s="1">
        <v>7004</v>
      </c>
      <c r="HJ23" s="1">
        <v>1968</v>
      </c>
      <c r="HK23" s="1">
        <v>62</v>
      </c>
      <c r="HL23" s="1">
        <v>0.317</v>
      </c>
      <c r="HM23" s="1">
        <v>0</v>
      </c>
      <c r="HN23" s="1">
        <v>58432</v>
      </c>
      <c r="HO23" s="1">
        <v>0</v>
      </c>
      <c r="HP23" s="1">
        <v>0.137</v>
      </c>
      <c r="HQ23" s="1">
        <v>19</v>
      </c>
      <c r="HR23" s="1">
        <v>0</v>
      </c>
      <c r="HS23" s="1">
        <v>1</v>
      </c>
      <c r="HT23" s="1">
        <v>0.44</v>
      </c>
      <c r="HU23" s="1">
        <v>0</v>
      </c>
      <c r="HV23" s="1">
        <v>36844</v>
      </c>
      <c r="HW23" s="1">
        <v>0.18</v>
      </c>
      <c r="HX23" s="1" t="s">
        <v>64</v>
      </c>
      <c r="HY23" s="1">
        <v>0.44</v>
      </c>
      <c r="HZ23" s="1">
        <v>0</v>
      </c>
      <c r="IA23" s="1">
        <v>8904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>
        <v>1968</v>
      </c>
      <c r="JM23" s="1">
        <v>1648</v>
      </c>
      <c r="JN23" s="1">
        <v>2.566</v>
      </c>
      <c r="JO23" s="1">
        <v>589</v>
      </c>
      <c r="JP23" s="1">
        <v>58432</v>
      </c>
      <c r="JQ23" s="1">
        <v>0</v>
      </c>
      <c r="JR23" s="1">
        <v>0.09599999999999964</v>
      </c>
      <c r="JS23" s="1">
        <v>19</v>
      </c>
      <c r="JT23" s="1">
        <v>0</v>
      </c>
      <c r="JU23" s="1">
        <v>1</v>
      </c>
      <c r="JV23" s="1">
        <v>2.6</v>
      </c>
      <c r="JW23" s="1">
        <v>4</v>
      </c>
      <c r="JX23" s="1">
        <v>36844</v>
      </c>
      <c r="JY23" s="1">
        <v>2.47</v>
      </c>
      <c r="JZ23" s="1" t="s">
        <v>64</v>
      </c>
      <c r="KA23" s="1">
        <v>2.6</v>
      </c>
      <c r="KB23" s="1">
        <v>0</v>
      </c>
      <c r="KC23" s="1">
        <v>8904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>
        <v>2599</v>
      </c>
      <c r="C24" s="1">
        <v>76</v>
      </c>
      <c r="D24" s="1">
        <v>0.053</v>
      </c>
      <c r="E24" s="1">
        <v>0</v>
      </c>
      <c r="F24" s="1">
        <v>99760</v>
      </c>
      <c r="G24" s="1">
        <v>0</v>
      </c>
      <c r="H24" s="1">
        <v>0.053</v>
      </c>
      <c r="I24" s="1">
        <v>0</v>
      </c>
      <c r="J24" s="1">
        <v>0</v>
      </c>
      <c r="K24" s="1">
        <v>1</v>
      </c>
      <c r="L24" s="1">
        <v>0.07000000000000001</v>
      </c>
      <c r="M24" s="1">
        <v>0</v>
      </c>
      <c r="N24" s="1">
        <v>66297</v>
      </c>
      <c r="O24" s="1">
        <v>0</v>
      </c>
      <c r="P24" s="1" t="s">
        <v>64</v>
      </c>
      <c r="Q24" s="1">
        <v>0.07000000000000001</v>
      </c>
      <c r="R24" s="1">
        <v>0</v>
      </c>
      <c r="S24" s="1">
        <v>14060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2599</v>
      </c>
      <c r="AM24" s="1">
        <v>799</v>
      </c>
      <c r="AN24" s="1">
        <v>0.08699999999999999</v>
      </c>
      <c r="AO24" s="1">
        <v>364</v>
      </c>
      <c r="AP24" s="1">
        <v>116560</v>
      </c>
      <c r="AQ24" s="1">
        <v>0</v>
      </c>
      <c r="AR24" s="1">
        <v>0.077</v>
      </c>
      <c r="AS24" s="1">
        <v>19</v>
      </c>
      <c r="AT24" s="1">
        <v>0</v>
      </c>
      <c r="AU24" s="1">
        <v>1</v>
      </c>
      <c r="AV24" s="1">
        <v>0.12</v>
      </c>
      <c r="AW24" s="1">
        <v>3</v>
      </c>
      <c r="AX24" s="1">
        <v>68453</v>
      </c>
      <c r="AY24" s="1">
        <v>0.01</v>
      </c>
      <c r="AZ24" s="1" t="s">
        <v>64</v>
      </c>
      <c r="BA24" s="1">
        <v>0.12</v>
      </c>
      <c r="BB24" s="1">
        <v>0</v>
      </c>
      <c r="BC24" s="1">
        <v>17084</v>
      </c>
      <c r="BD24" s="1">
        <v>1972</v>
      </c>
      <c r="BE24" s="1">
        <v>473</v>
      </c>
      <c r="BF24" s="1">
        <v>0.056</v>
      </c>
      <c r="BG24" s="1">
        <v>160</v>
      </c>
      <c r="BH24" s="1">
        <v>62766</v>
      </c>
      <c r="BI24" s="1">
        <v>0</v>
      </c>
      <c r="BJ24" s="1">
        <v>0.046</v>
      </c>
      <c r="BK24" s="1">
        <v>0</v>
      </c>
      <c r="BL24" s="1">
        <v>0</v>
      </c>
      <c r="BM24" s="1">
        <v>1</v>
      </c>
      <c r="BN24" s="1">
        <v>0.09</v>
      </c>
      <c r="BO24" s="1">
        <v>2</v>
      </c>
      <c r="BP24" s="1">
        <v>35164</v>
      </c>
      <c r="BQ24" s="1">
        <v>0.01</v>
      </c>
      <c r="BR24" s="1" t="s">
        <v>64</v>
      </c>
      <c r="BS24" s="1">
        <v>0.09</v>
      </c>
      <c r="BT24" s="1">
        <v>0</v>
      </c>
      <c r="BU24" s="1">
        <v>11086</v>
      </c>
      <c r="BV24" s="1">
        <v>6780</v>
      </c>
      <c r="BW24" s="1">
        <v>74</v>
      </c>
      <c r="BX24" s="1">
        <v>0.065</v>
      </c>
      <c r="BY24" s="1">
        <v>0</v>
      </c>
      <c r="BZ24" s="1">
        <v>112346</v>
      </c>
      <c r="CA24" s="1">
        <v>0</v>
      </c>
      <c r="CB24" s="1">
        <v>0.065</v>
      </c>
      <c r="CC24" s="1">
        <v>0</v>
      </c>
      <c r="CD24" s="1">
        <v>0</v>
      </c>
      <c r="CE24" s="1">
        <v>1</v>
      </c>
      <c r="CF24" s="1">
        <v>0.08</v>
      </c>
      <c r="CG24" s="1">
        <v>0</v>
      </c>
      <c r="CH24" s="1">
        <v>70822</v>
      </c>
      <c r="CI24" s="1">
        <v>0</v>
      </c>
      <c r="CJ24" s="1" t="s">
        <v>64</v>
      </c>
      <c r="CK24" s="1">
        <v>0.08</v>
      </c>
      <c r="CL24" s="1">
        <v>0</v>
      </c>
      <c r="CM24" s="1">
        <v>16818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>
        <v>6780</v>
      </c>
      <c r="DY24" s="1">
        <v>7084</v>
      </c>
      <c r="DZ24" s="1">
        <v>0.161</v>
      </c>
      <c r="EA24" s="1">
        <v>2406</v>
      </c>
      <c r="EB24" s="1">
        <v>112346</v>
      </c>
      <c r="EC24" s="1">
        <v>0</v>
      </c>
      <c r="ED24" s="1">
        <v>0.081</v>
      </c>
      <c r="EE24" s="1">
        <v>21</v>
      </c>
      <c r="EF24" s="1">
        <v>0</v>
      </c>
      <c r="EG24" s="1">
        <v>1</v>
      </c>
      <c r="EH24" s="1">
        <v>0.24</v>
      </c>
      <c r="EI24" s="1">
        <v>14</v>
      </c>
      <c r="EJ24" s="1">
        <v>70822</v>
      </c>
      <c r="EK24" s="1">
        <v>0.08</v>
      </c>
      <c r="EL24" s="1" t="s">
        <v>64</v>
      </c>
      <c r="EM24" s="1">
        <v>0.24</v>
      </c>
      <c r="EN24" s="1">
        <v>0</v>
      </c>
      <c r="EO24" s="1">
        <v>16818</v>
      </c>
      <c r="EP24" s="1">
        <v>2599</v>
      </c>
      <c r="EQ24" s="1">
        <v>76</v>
      </c>
      <c r="ER24" s="1">
        <v>0.054</v>
      </c>
      <c r="ES24" s="1">
        <v>0</v>
      </c>
      <c r="ET24" s="1">
        <v>99760</v>
      </c>
      <c r="EU24" s="1">
        <v>0</v>
      </c>
      <c r="EV24" s="1">
        <v>0.054</v>
      </c>
      <c r="EW24" s="1">
        <v>0</v>
      </c>
      <c r="EX24" s="1">
        <v>0</v>
      </c>
      <c r="EY24" s="1">
        <v>1</v>
      </c>
      <c r="EZ24" s="1">
        <v>0.07000000000000001</v>
      </c>
      <c r="FA24" s="1">
        <v>0</v>
      </c>
      <c r="FB24" s="1">
        <v>66297</v>
      </c>
      <c r="FC24" s="1">
        <v>0</v>
      </c>
      <c r="FD24" s="1" t="s">
        <v>64</v>
      </c>
      <c r="FE24" s="1">
        <v>0.07000000000000001</v>
      </c>
      <c r="FF24" s="1">
        <v>0</v>
      </c>
      <c r="FG24" s="1">
        <v>14060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2599</v>
      </c>
      <c r="GA24" s="1">
        <v>799</v>
      </c>
      <c r="GB24" s="1">
        <v>0.08500000000000001</v>
      </c>
      <c r="GC24" s="1">
        <v>364</v>
      </c>
      <c r="GD24" s="1">
        <v>116560</v>
      </c>
      <c r="GE24" s="1">
        <v>0</v>
      </c>
      <c r="GF24" s="1">
        <v>0.07500000000000001</v>
      </c>
      <c r="GG24" s="1">
        <v>0</v>
      </c>
      <c r="GH24" s="1">
        <v>0</v>
      </c>
      <c r="GI24" s="1">
        <v>1</v>
      </c>
      <c r="GJ24" s="1">
        <v>0.11</v>
      </c>
      <c r="GK24" s="1">
        <v>3</v>
      </c>
      <c r="GL24" s="1">
        <v>68453</v>
      </c>
      <c r="GM24" s="1">
        <v>0.01</v>
      </c>
      <c r="GN24" s="1" t="s">
        <v>64</v>
      </c>
      <c r="GO24" s="1">
        <v>0.11</v>
      </c>
      <c r="GP24" s="1">
        <v>0</v>
      </c>
      <c r="GQ24" s="1">
        <v>17084</v>
      </c>
      <c r="GR24" s="1">
        <v>1972</v>
      </c>
      <c r="GS24" s="1">
        <v>473</v>
      </c>
      <c r="GT24" s="1">
        <v>0.038</v>
      </c>
      <c r="GU24" s="1">
        <v>160</v>
      </c>
      <c r="GV24" s="1">
        <v>62766</v>
      </c>
      <c r="GW24" s="1">
        <v>0</v>
      </c>
      <c r="GX24" s="1">
        <v>0.038</v>
      </c>
      <c r="GY24" s="1">
        <v>0</v>
      </c>
      <c r="GZ24" s="1">
        <v>0</v>
      </c>
      <c r="HA24" s="1">
        <v>1</v>
      </c>
      <c r="HB24" s="1">
        <v>0.06</v>
      </c>
      <c r="HC24" s="1">
        <v>2</v>
      </c>
      <c r="HD24" s="1">
        <v>35164</v>
      </c>
      <c r="HE24" s="1">
        <v>0</v>
      </c>
      <c r="HF24" s="1" t="s">
        <v>64</v>
      </c>
      <c r="HG24" s="1">
        <v>0.06</v>
      </c>
      <c r="HH24" s="1">
        <v>0</v>
      </c>
      <c r="HI24" s="1">
        <v>11086</v>
      </c>
      <c r="HJ24" s="1">
        <v>2612</v>
      </c>
      <c r="HK24" s="1">
        <v>74</v>
      </c>
      <c r="HL24" s="1">
        <v>0.43</v>
      </c>
      <c r="HM24" s="1">
        <v>0</v>
      </c>
      <c r="HN24" s="1">
        <v>99760</v>
      </c>
      <c r="HO24" s="1">
        <v>0</v>
      </c>
      <c r="HP24" s="1">
        <v>0.14</v>
      </c>
      <c r="HQ24" s="1">
        <v>22</v>
      </c>
      <c r="HR24" s="1">
        <v>0</v>
      </c>
      <c r="HS24" s="1">
        <v>1</v>
      </c>
      <c r="HT24" s="1">
        <v>0.46</v>
      </c>
      <c r="HU24" s="1">
        <v>0</v>
      </c>
      <c r="HV24" s="1">
        <v>64498</v>
      </c>
      <c r="HW24" s="1">
        <v>0.29</v>
      </c>
      <c r="HX24" s="1" t="s">
        <v>64</v>
      </c>
      <c r="HY24" s="1">
        <v>0.46</v>
      </c>
      <c r="HZ24" s="1">
        <v>0</v>
      </c>
      <c r="IA24" s="1">
        <v>14060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>
        <v>2612</v>
      </c>
      <c r="JM24" s="1">
        <v>6409</v>
      </c>
      <c r="JN24" s="1">
        <v>15.906</v>
      </c>
      <c r="JO24" s="1">
        <v>2737</v>
      </c>
      <c r="JP24" s="1">
        <v>99760</v>
      </c>
      <c r="JQ24" s="1">
        <v>0</v>
      </c>
      <c r="JR24" s="1">
        <v>0.136000000000001</v>
      </c>
      <c r="JS24" s="1">
        <v>23</v>
      </c>
      <c r="JT24" s="1">
        <v>0</v>
      </c>
      <c r="JU24" s="1">
        <v>1</v>
      </c>
      <c r="JV24" s="1">
        <v>15.94</v>
      </c>
      <c r="JW24" s="1">
        <v>14</v>
      </c>
      <c r="JX24" s="1">
        <v>64498</v>
      </c>
      <c r="JY24" s="1">
        <v>15.77</v>
      </c>
      <c r="JZ24" s="1" t="s">
        <v>64</v>
      </c>
      <c r="KA24" s="1">
        <v>15.94</v>
      </c>
      <c r="KB24" s="1">
        <v>0</v>
      </c>
      <c r="KC24" s="1">
        <v>14060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>
        <v>3331</v>
      </c>
      <c r="C25" s="1">
        <v>88</v>
      </c>
      <c r="D25" s="1">
        <v>0.082</v>
      </c>
      <c r="E25" s="1">
        <v>0</v>
      </c>
      <c r="F25" s="1">
        <v>158816</v>
      </c>
      <c r="G25" s="1">
        <v>0</v>
      </c>
      <c r="H25" s="1">
        <v>0.082</v>
      </c>
      <c r="I25" s="1">
        <v>0</v>
      </c>
      <c r="J25" s="1">
        <v>0</v>
      </c>
      <c r="K25" s="1">
        <v>1</v>
      </c>
      <c r="L25" s="1">
        <v>0.1</v>
      </c>
      <c r="M25" s="1">
        <v>0</v>
      </c>
      <c r="N25" s="1">
        <v>107459</v>
      </c>
      <c r="O25" s="1">
        <v>0</v>
      </c>
      <c r="P25" s="1" t="s">
        <v>64</v>
      </c>
      <c r="Q25" s="1">
        <v>0.1</v>
      </c>
      <c r="R25" s="1">
        <v>0</v>
      </c>
      <c r="S25" s="1">
        <v>20904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3331</v>
      </c>
      <c r="AM25" s="1">
        <v>571</v>
      </c>
      <c r="AN25" s="1">
        <v>0.114</v>
      </c>
      <c r="AO25" s="1">
        <v>216</v>
      </c>
      <c r="AP25" s="1">
        <v>183904</v>
      </c>
      <c r="AQ25" s="1">
        <v>0</v>
      </c>
      <c r="AR25" s="1">
        <v>0.104</v>
      </c>
      <c r="AS25" s="1">
        <v>24</v>
      </c>
      <c r="AT25" s="1">
        <v>0</v>
      </c>
      <c r="AU25" s="1">
        <v>1</v>
      </c>
      <c r="AV25" s="1">
        <v>0.14</v>
      </c>
      <c r="AW25" s="1">
        <v>2</v>
      </c>
      <c r="AX25" s="1">
        <v>110787</v>
      </c>
      <c r="AY25" s="1">
        <v>0.01</v>
      </c>
      <c r="AZ25" s="1" t="s">
        <v>64</v>
      </c>
      <c r="BA25" s="1">
        <v>0.14</v>
      </c>
      <c r="BB25" s="1">
        <v>0</v>
      </c>
      <c r="BC25" s="1">
        <v>25384</v>
      </c>
      <c r="BD25" s="1">
        <v>2518</v>
      </c>
      <c r="BE25" s="1">
        <v>705</v>
      </c>
      <c r="BF25" s="1">
        <v>0.067</v>
      </c>
      <c r="BG25" s="1">
        <v>162</v>
      </c>
      <c r="BH25" s="1">
        <v>95640</v>
      </c>
      <c r="BI25" s="1">
        <v>0</v>
      </c>
      <c r="BJ25" s="1">
        <v>0.057</v>
      </c>
      <c r="BK25" s="1">
        <v>0</v>
      </c>
      <c r="BL25" s="1">
        <v>0</v>
      </c>
      <c r="BM25" s="1">
        <v>1</v>
      </c>
      <c r="BN25" s="1">
        <v>0.09</v>
      </c>
      <c r="BO25" s="1">
        <v>2</v>
      </c>
      <c r="BP25" s="1">
        <v>53446</v>
      </c>
      <c r="BQ25" s="1">
        <v>0.01</v>
      </c>
      <c r="BR25" s="1" t="s">
        <v>64</v>
      </c>
      <c r="BS25" s="1">
        <v>0.09</v>
      </c>
      <c r="BT25" s="1">
        <v>0</v>
      </c>
      <c r="BU25" s="1">
        <v>16512</v>
      </c>
      <c r="BV25" s="1">
        <v>8876</v>
      </c>
      <c r="BW25" s="1">
        <v>86</v>
      </c>
      <c r="BX25" s="1">
        <v>0.118</v>
      </c>
      <c r="BY25" s="1">
        <v>0</v>
      </c>
      <c r="BZ25" s="1">
        <v>177808</v>
      </c>
      <c r="CA25" s="1">
        <v>0</v>
      </c>
      <c r="CB25" s="1">
        <v>0.118</v>
      </c>
      <c r="CC25" s="1">
        <v>24</v>
      </c>
      <c r="CD25" s="1">
        <v>0</v>
      </c>
      <c r="CE25" s="1">
        <v>1</v>
      </c>
      <c r="CF25" s="1">
        <v>0.15</v>
      </c>
      <c r="CG25" s="1">
        <v>0</v>
      </c>
      <c r="CH25" s="1">
        <v>113940</v>
      </c>
      <c r="CI25" s="1">
        <v>0</v>
      </c>
      <c r="CJ25" s="1" t="s">
        <v>64</v>
      </c>
      <c r="CK25" s="1">
        <v>0.15</v>
      </c>
      <c r="CL25" s="1">
        <v>0</v>
      </c>
      <c r="CM25" s="1">
        <v>25016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>
        <v>8876</v>
      </c>
      <c r="DY25" s="1">
        <v>66717</v>
      </c>
      <c r="DZ25" s="1">
        <v>1.358</v>
      </c>
      <c r="EA25" s="1">
        <v>32353</v>
      </c>
      <c r="EB25" s="1">
        <v>177808</v>
      </c>
      <c r="EC25" s="1">
        <v>0</v>
      </c>
      <c r="ED25" s="1">
        <v>0.09800000000000009</v>
      </c>
      <c r="EE25" s="1">
        <v>27</v>
      </c>
      <c r="EF25" s="1">
        <v>0</v>
      </c>
      <c r="EG25" s="1">
        <v>1</v>
      </c>
      <c r="EH25" s="1">
        <v>1.38</v>
      </c>
      <c r="EI25" s="1">
        <v>126</v>
      </c>
      <c r="EJ25" s="1">
        <v>113940</v>
      </c>
      <c r="EK25" s="1">
        <v>1.26</v>
      </c>
      <c r="EL25" s="1" t="s">
        <v>64</v>
      </c>
      <c r="EM25" s="1">
        <v>1.38</v>
      </c>
      <c r="EN25" s="1">
        <v>0</v>
      </c>
      <c r="EO25" s="1">
        <v>25016</v>
      </c>
      <c r="EP25" s="1">
        <v>3331</v>
      </c>
      <c r="EQ25" s="1">
        <v>88</v>
      </c>
      <c r="ER25" s="1">
        <v>0.083</v>
      </c>
      <c r="ES25" s="1">
        <v>0</v>
      </c>
      <c r="ET25" s="1">
        <v>158816</v>
      </c>
      <c r="EU25" s="1">
        <v>0</v>
      </c>
      <c r="EV25" s="1">
        <v>0.083</v>
      </c>
      <c r="EW25" s="1">
        <v>0</v>
      </c>
      <c r="EX25" s="1">
        <v>0</v>
      </c>
      <c r="EY25" s="1">
        <v>1</v>
      </c>
      <c r="EZ25" s="1">
        <v>0.1</v>
      </c>
      <c r="FA25" s="1">
        <v>0</v>
      </c>
      <c r="FB25" s="1">
        <v>107459</v>
      </c>
      <c r="FC25" s="1">
        <v>0</v>
      </c>
      <c r="FD25" s="1" t="s">
        <v>64</v>
      </c>
      <c r="FE25" s="1">
        <v>0.1</v>
      </c>
      <c r="FF25" s="1">
        <v>0</v>
      </c>
      <c r="FG25" s="1">
        <v>20904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3331</v>
      </c>
      <c r="GA25" s="1">
        <v>571</v>
      </c>
      <c r="GB25" s="1">
        <v>0.122</v>
      </c>
      <c r="GC25" s="1">
        <v>216</v>
      </c>
      <c r="GD25" s="1">
        <v>183904</v>
      </c>
      <c r="GE25" s="1">
        <v>0</v>
      </c>
      <c r="GF25" s="1">
        <v>0.112</v>
      </c>
      <c r="GG25" s="1">
        <v>22</v>
      </c>
      <c r="GH25" s="1">
        <v>0</v>
      </c>
      <c r="GI25" s="1">
        <v>1</v>
      </c>
      <c r="GJ25" s="1">
        <v>0.15</v>
      </c>
      <c r="GK25" s="1">
        <v>2</v>
      </c>
      <c r="GL25" s="1">
        <v>110787</v>
      </c>
      <c r="GM25" s="1">
        <v>0.01</v>
      </c>
      <c r="GN25" s="1" t="s">
        <v>64</v>
      </c>
      <c r="GO25" s="1">
        <v>0.15</v>
      </c>
      <c r="GP25" s="1">
        <v>0</v>
      </c>
      <c r="GQ25" s="1">
        <v>25384</v>
      </c>
      <c r="GR25" s="1">
        <v>2518</v>
      </c>
      <c r="GS25" s="1">
        <v>705</v>
      </c>
      <c r="GT25" s="1">
        <v>0.091</v>
      </c>
      <c r="GU25" s="1">
        <v>162</v>
      </c>
      <c r="GV25" s="1">
        <v>95640</v>
      </c>
      <c r="GW25" s="1">
        <v>0</v>
      </c>
      <c r="GX25" s="1">
        <v>0.081</v>
      </c>
      <c r="GY25" s="1">
        <v>14</v>
      </c>
      <c r="GZ25" s="1">
        <v>0</v>
      </c>
      <c r="HA25" s="1">
        <v>1</v>
      </c>
      <c r="HB25" s="1">
        <v>0.28</v>
      </c>
      <c r="HC25" s="1">
        <v>2</v>
      </c>
      <c r="HD25" s="1">
        <v>53446</v>
      </c>
      <c r="HE25" s="1">
        <v>0.01</v>
      </c>
      <c r="HF25" s="1" t="s">
        <v>64</v>
      </c>
      <c r="HG25" s="1">
        <v>0.28</v>
      </c>
      <c r="HH25" s="1">
        <v>0</v>
      </c>
      <c r="HI25" s="1">
        <v>16512</v>
      </c>
      <c r="HJ25" s="1">
        <v>3344</v>
      </c>
      <c r="HK25" s="1">
        <v>86</v>
      </c>
      <c r="HL25" s="1">
        <v>0.656</v>
      </c>
      <c r="HM25" s="1">
        <v>0</v>
      </c>
      <c r="HN25" s="1">
        <v>158816</v>
      </c>
      <c r="HO25" s="1">
        <v>0</v>
      </c>
      <c r="HP25" s="1">
        <v>0.1860000000000001</v>
      </c>
      <c r="HQ25" s="1">
        <v>27</v>
      </c>
      <c r="HR25" s="1">
        <v>0</v>
      </c>
      <c r="HS25" s="1">
        <v>1</v>
      </c>
      <c r="HT25" s="1">
        <v>0.68</v>
      </c>
      <c r="HU25" s="1">
        <v>0</v>
      </c>
      <c r="HV25" s="1">
        <v>105080</v>
      </c>
      <c r="HW25" s="1">
        <v>0.47</v>
      </c>
      <c r="HX25" s="1" t="s">
        <v>64</v>
      </c>
      <c r="HY25" s="1">
        <v>0.68</v>
      </c>
      <c r="HZ25" s="1">
        <v>0</v>
      </c>
      <c r="IA25" s="1">
        <v>20904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>
        <v>3344</v>
      </c>
      <c r="JM25" s="1">
        <v>73143</v>
      </c>
      <c r="JN25" s="1">
        <v>266.03</v>
      </c>
      <c r="JO25" s="1">
        <v>41471</v>
      </c>
      <c r="JP25" s="1">
        <v>158816</v>
      </c>
      <c r="JQ25" s="1">
        <v>0</v>
      </c>
      <c r="JR25" s="1">
        <v>0.1899999999999977</v>
      </c>
      <c r="JS25" s="1">
        <v>31</v>
      </c>
      <c r="JT25" s="1">
        <v>0</v>
      </c>
      <c r="JU25" s="1">
        <v>1</v>
      </c>
      <c r="JV25" s="1">
        <v>266.06</v>
      </c>
      <c r="JW25" s="1">
        <v>143</v>
      </c>
      <c r="JX25" s="1">
        <v>105080</v>
      </c>
      <c r="JY25" s="1">
        <v>265.84</v>
      </c>
      <c r="JZ25" s="1" t="s">
        <v>64</v>
      </c>
      <c r="KA25" s="1">
        <v>266.06</v>
      </c>
      <c r="KB25" s="1">
        <v>0</v>
      </c>
      <c r="KC25" s="1">
        <v>20904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>
        <v>4151</v>
      </c>
      <c r="C26" s="1">
        <v>100</v>
      </c>
      <c r="D26" s="1">
        <v>0.123</v>
      </c>
      <c r="E26" s="1">
        <v>0</v>
      </c>
      <c r="F26" s="1">
        <v>239728</v>
      </c>
      <c r="G26" s="1">
        <v>0</v>
      </c>
      <c r="H26" s="1">
        <v>0.123</v>
      </c>
      <c r="I26" s="1">
        <v>25</v>
      </c>
      <c r="J26" s="1">
        <v>0</v>
      </c>
      <c r="K26" s="1">
        <v>1</v>
      </c>
      <c r="L26" s="1">
        <v>0.14</v>
      </c>
      <c r="M26" s="1">
        <v>0</v>
      </c>
      <c r="N26" s="1">
        <v>165037</v>
      </c>
      <c r="O26" s="1">
        <v>0</v>
      </c>
      <c r="P26" s="1" t="s">
        <v>64</v>
      </c>
      <c r="Q26" s="1">
        <v>0.14</v>
      </c>
      <c r="R26" s="1">
        <v>0</v>
      </c>
      <c r="S26" s="1">
        <v>29676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4151</v>
      </c>
      <c r="AM26" s="1">
        <v>773</v>
      </c>
      <c r="AN26" s="1">
        <v>0.17</v>
      </c>
      <c r="AO26" s="1">
        <v>237</v>
      </c>
      <c r="AP26" s="1">
        <v>275440</v>
      </c>
      <c r="AQ26" s="1">
        <v>0</v>
      </c>
      <c r="AR26" s="1">
        <v>0.16</v>
      </c>
      <c r="AS26" s="1">
        <v>19</v>
      </c>
      <c r="AT26" s="1">
        <v>0</v>
      </c>
      <c r="AU26" s="1">
        <v>1</v>
      </c>
      <c r="AV26" s="1">
        <v>0.2</v>
      </c>
      <c r="AW26" s="1">
        <v>2</v>
      </c>
      <c r="AX26" s="1">
        <v>169897</v>
      </c>
      <c r="AY26" s="1">
        <v>0.01</v>
      </c>
      <c r="AZ26" s="1" t="s">
        <v>64</v>
      </c>
      <c r="BA26" s="1">
        <v>0.2</v>
      </c>
      <c r="BB26" s="1">
        <v>0</v>
      </c>
      <c r="BC26" s="1">
        <v>36012</v>
      </c>
      <c r="BD26" s="1">
        <v>3128</v>
      </c>
      <c r="BE26" s="1">
        <v>1413</v>
      </c>
      <c r="BF26" s="1">
        <v>0.104</v>
      </c>
      <c r="BG26" s="1">
        <v>459</v>
      </c>
      <c r="BH26" s="1">
        <v>138378</v>
      </c>
      <c r="BI26" s="1">
        <v>0</v>
      </c>
      <c r="BJ26" s="1">
        <v>0.08399999999999999</v>
      </c>
      <c r="BK26" s="1">
        <v>23</v>
      </c>
      <c r="BL26" s="1">
        <v>0</v>
      </c>
      <c r="BM26" s="1">
        <v>1</v>
      </c>
      <c r="BN26" s="1">
        <v>0.13</v>
      </c>
      <c r="BO26" s="1">
        <v>5</v>
      </c>
      <c r="BP26" s="1">
        <v>77200</v>
      </c>
      <c r="BQ26" s="1">
        <v>0.02</v>
      </c>
      <c r="BR26" s="1" t="s">
        <v>64</v>
      </c>
      <c r="BS26" s="1">
        <v>0.13</v>
      </c>
      <c r="BT26" s="1">
        <v>0</v>
      </c>
      <c r="BU26" s="1">
        <v>23474</v>
      </c>
      <c r="BV26" s="1">
        <v>11252</v>
      </c>
      <c r="BW26" s="1">
        <v>98</v>
      </c>
      <c r="BX26" s="1">
        <v>0.144</v>
      </c>
      <c r="BY26" s="1">
        <v>0</v>
      </c>
      <c r="BZ26" s="1">
        <v>266998</v>
      </c>
      <c r="CA26" s="1">
        <v>0</v>
      </c>
      <c r="CB26" s="1">
        <v>0.144</v>
      </c>
      <c r="CC26" s="1">
        <v>23</v>
      </c>
      <c r="CD26" s="1">
        <v>0</v>
      </c>
      <c r="CE26" s="1">
        <v>1</v>
      </c>
      <c r="CF26" s="1">
        <v>0.16</v>
      </c>
      <c r="CG26" s="1">
        <v>0</v>
      </c>
      <c r="CH26" s="1">
        <v>173946</v>
      </c>
      <c r="CI26" s="1">
        <v>0</v>
      </c>
      <c r="CJ26" s="1" t="s">
        <v>64</v>
      </c>
      <c r="CK26" s="1">
        <v>0.16</v>
      </c>
      <c r="CL26" s="1">
        <v>0</v>
      </c>
      <c r="CM26" s="1">
        <v>35526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>
        <v>11252</v>
      </c>
      <c r="DY26" s="1">
        <v>14218384</v>
      </c>
      <c r="DZ26" s="1">
        <v>375.498</v>
      </c>
      <c r="EA26" s="1">
        <v>8136557</v>
      </c>
      <c r="EB26" s="1">
        <v>266998</v>
      </c>
      <c r="EC26" s="1">
        <v>0</v>
      </c>
      <c r="ED26" s="1">
        <v>0.1379999999999768</v>
      </c>
      <c r="EE26" s="1">
        <v>45</v>
      </c>
      <c r="EF26" s="1">
        <v>0</v>
      </c>
      <c r="EG26" s="1">
        <v>1</v>
      </c>
      <c r="EH26" s="1">
        <v>375.52</v>
      </c>
      <c r="EI26" s="1">
        <v>16382</v>
      </c>
      <c r="EJ26" s="1">
        <v>173946</v>
      </c>
      <c r="EK26" s="1">
        <v>375.36</v>
      </c>
      <c r="EL26" s="1" t="s">
        <v>64</v>
      </c>
      <c r="EM26" s="1">
        <v>375.52</v>
      </c>
      <c r="EN26" s="1">
        <v>0</v>
      </c>
      <c r="EO26" s="1">
        <v>35526</v>
      </c>
      <c r="EP26" s="1">
        <v>4151</v>
      </c>
      <c r="EQ26" s="1">
        <v>100</v>
      </c>
      <c r="ER26" s="1">
        <v>0.123</v>
      </c>
      <c r="ES26" s="1">
        <v>0</v>
      </c>
      <c r="ET26" s="1">
        <v>239728</v>
      </c>
      <c r="EU26" s="1">
        <v>0</v>
      </c>
      <c r="EV26" s="1">
        <v>0.123</v>
      </c>
      <c r="EW26" s="1">
        <v>25</v>
      </c>
      <c r="EX26" s="1">
        <v>0</v>
      </c>
      <c r="EY26" s="1">
        <v>1</v>
      </c>
      <c r="EZ26" s="1">
        <v>0.14</v>
      </c>
      <c r="FA26" s="1">
        <v>0</v>
      </c>
      <c r="FB26" s="1">
        <v>165037</v>
      </c>
      <c r="FC26" s="1">
        <v>0</v>
      </c>
      <c r="FD26" s="1" t="s">
        <v>64</v>
      </c>
      <c r="FE26" s="1">
        <v>0.14</v>
      </c>
      <c r="FF26" s="1">
        <v>0</v>
      </c>
      <c r="FG26" s="1">
        <v>29676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4151</v>
      </c>
      <c r="GA26" s="1">
        <v>773</v>
      </c>
      <c r="GB26" s="1">
        <v>0.198</v>
      </c>
      <c r="GC26" s="1">
        <v>237</v>
      </c>
      <c r="GD26" s="1">
        <v>275440</v>
      </c>
      <c r="GE26" s="1">
        <v>0</v>
      </c>
      <c r="GF26" s="1">
        <v>0.178</v>
      </c>
      <c r="GG26" s="1">
        <v>21</v>
      </c>
      <c r="GH26" s="1">
        <v>0</v>
      </c>
      <c r="GI26" s="1">
        <v>1</v>
      </c>
      <c r="GJ26" s="1">
        <v>0.3</v>
      </c>
      <c r="GK26" s="1">
        <v>2</v>
      </c>
      <c r="GL26" s="1">
        <v>169897</v>
      </c>
      <c r="GM26" s="1">
        <v>0.02</v>
      </c>
      <c r="GN26" s="1" t="s">
        <v>64</v>
      </c>
      <c r="GO26" s="1">
        <v>0.3</v>
      </c>
      <c r="GP26" s="1">
        <v>0</v>
      </c>
      <c r="GQ26" s="1">
        <v>36012</v>
      </c>
      <c r="GR26" s="1">
        <v>3128</v>
      </c>
      <c r="GS26" s="1">
        <v>1413</v>
      </c>
      <c r="GT26" s="1">
        <v>0.089</v>
      </c>
      <c r="GU26" s="1">
        <v>459</v>
      </c>
      <c r="GV26" s="1">
        <v>138378</v>
      </c>
      <c r="GW26" s="1">
        <v>0</v>
      </c>
      <c r="GX26" s="1">
        <v>0.06899999999999999</v>
      </c>
      <c r="GY26" s="1">
        <v>0</v>
      </c>
      <c r="GZ26" s="1">
        <v>0</v>
      </c>
      <c r="HA26" s="1">
        <v>1</v>
      </c>
      <c r="HB26" s="1">
        <v>0.11</v>
      </c>
      <c r="HC26" s="1">
        <v>5</v>
      </c>
      <c r="HD26" s="1">
        <v>77200</v>
      </c>
      <c r="HE26" s="1">
        <v>0.02</v>
      </c>
      <c r="HF26" s="1" t="s">
        <v>64</v>
      </c>
      <c r="HG26" s="1">
        <v>0.11</v>
      </c>
      <c r="HH26" s="1">
        <v>0</v>
      </c>
      <c r="HI26" s="1">
        <v>23474</v>
      </c>
      <c r="HJ26" s="1">
        <v>4164</v>
      </c>
      <c r="HK26" s="1">
        <v>98</v>
      </c>
      <c r="HL26" s="1">
        <v>0.922</v>
      </c>
      <c r="HM26" s="1">
        <v>0</v>
      </c>
      <c r="HN26" s="1">
        <v>239728</v>
      </c>
      <c r="HO26" s="1">
        <v>0</v>
      </c>
      <c r="HP26" s="1">
        <v>0.252</v>
      </c>
      <c r="HQ26" s="1">
        <v>33</v>
      </c>
      <c r="HR26" s="1">
        <v>0</v>
      </c>
      <c r="HS26" s="1">
        <v>1</v>
      </c>
      <c r="HT26" s="1">
        <v>0.95</v>
      </c>
      <c r="HU26" s="1">
        <v>0</v>
      </c>
      <c r="HV26" s="1">
        <v>161998</v>
      </c>
      <c r="HW26" s="1">
        <v>0.67</v>
      </c>
      <c r="HX26" s="1" t="s">
        <v>64</v>
      </c>
      <c r="HY26" s="1">
        <v>0.95</v>
      </c>
      <c r="HZ26" s="1">
        <v>0</v>
      </c>
      <c r="IA26" s="1">
        <v>29676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>
        <v>4164</v>
      </c>
      <c r="JM26" s="1">
        <v>127258</v>
      </c>
      <c r="JN26" s="1">
        <v>599.9880000000001</v>
      </c>
      <c r="JO26" s="1">
        <v>65816</v>
      </c>
      <c r="JP26" s="1">
        <v>239728</v>
      </c>
      <c r="JQ26" s="1">
        <v>0</v>
      </c>
      <c r="JR26" s="1">
        <v>0.2580000000000382</v>
      </c>
      <c r="JS26" s="1">
        <v>40</v>
      </c>
      <c r="JT26" s="1">
        <v>0</v>
      </c>
      <c r="JU26" s="1">
        <v>0</v>
      </c>
      <c r="JV26" s="1">
        <v>1200</v>
      </c>
      <c r="JW26" s="1">
        <v>253</v>
      </c>
      <c r="JX26" s="1">
        <v>161998</v>
      </c>
      <c r="JY26" s="1">
        <v>599.73</v>
      </c>
      <c r="JZ26" s="1" t="s">
        <v>65</v>
      </c>
      <c r="KA26" s="1">
        <v>600</v>
      </c>
      <c r="KB26" s="1">
        <v>1</v>
      </c>
      <c r="KC26" s="1">
        <v>29676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>
        <v>5059</v>
      </c>
      <c r="C27" s="1">
        <v>105</v>
      </c>
      <c r="D27" s="1">
        <v>0.179</v>
      </c>
      <c r="E27" s="1">
        <v>0</v>
      </c>
      <c r="F27" s="1">
        <v>347008</v>
      </c>
      <c r="G27" s="1">
        <v>0</v>
      </c>
      <c r="H27" s="1">
        <v>0.179</v>
      </c>
      <c r="I27" s="1">
        <v>20</v>
      </c>
      <c r="J27" s="1">
        <v>0</v>
      </c>
      <c r="K27" s="1">
        <v>1</v>
      </c>
      <c r="L27" s="1">
        <v>0.2</v>
      </c>
      <c r="M27" s="1">
        <v>0</v>
      </c>
      <c r="N27" s="1">
        <v>242823</v>
      </c>
      <c r="O27" s="1">
        <v>0</v>
      </c>
      <c r="P27" s="1" t="s">
        <v>64</v>
      </c>
      <c r="Q27" s="1">
        <v>0.2</v>
      </c>
      <c r="R27" s="1">
        <v>0</v>
      </c>
      <c r="S27" s="1">
        <v>40616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5059</v>
      </c>
      <c r="AM27" s="1">
        <v>895</v>
      </c>
      <c r="AN27" s="1">
        <v>0.271</v>
      </c>
      <c r="AO27" s="1">
        <v>234</v>
      </c>
      <c r="AP27" s="1">
        <v>395968</v>
      </c>
      <c r="AQ27" s="1">
        <v>0</v>
      </c>
      <c r="AR27" s="1">
        <v>0.251</v>
      </c>
      <c r="AS27" s="1">
        <v>28</v>
      </c>
      <c r="AT27" s="1">
        <v>0</v>
      </c>
      <c r="AU27" s="1">
        <v>1</v>
      </c>
      <c r="AV27" s="1">
        <v>0.31</v>
      </c>
      <c r="AW27" s="1">
        <v>2</v>
      </c>
      <c r="AX27" s="1">
        <v>249623</v>
      </c>
      <c r="AY27" s="1">
        <v>0.02</v>
      </c>
      <c r="AZ27" s="1" t="s">
        <v>64</v>
      </c>
      <c r="BA27" s="1">
        <v>0.31</v>
      </c>
      <c r="BB27" s="1">
        <v>0</v>
      </c>
      <c r="BC27" s="1">
        <v>49256</v>
      </c>
      <c r="BD27" s="1">
        <v>3802</v>
      </c>
      <c r="BE27" s="1">
        <v>2144</v>
      </c>
      <c r="BF27" s="1">
        <v>0.175</v>
      </c>
      <c r="BG27" s="1">
        <v>411</v>
      </c>
      <c r="BH27" s="1">
        <v>192276</v>
      </c>
      <c r="BI27" s="1">
        <v>0</v>
      </c>
      <c r="BJ27" s="1">
        <v>0.155</v>
      </c>
      <c r="BK27" s="1">
        <v>29</v>
      </c>
      <c r="BL27" s="1">
        <v>0</v>
      </c>
      <c r="BM27" s="1">
        <v>1</v>
      </c>
      <c r="BN27" s="1">
        <v>0.22</v>
      </c>
      <c r="BO27" s="1">
        <v>4</v>
      </c>
      <c r="BP27" s="1">
        <v>107146</v>
      </c>
      <c r="BQ27" s="1">
        <v>0.02</v>
      </c>
      <c r="BR27" s="1" t="s">
        <v>64</v>
      </c>
      <c r="BS27" s="1">
        <v>0.22</v>
      </c>
      <c r="BT27" s="1">
        <v>0</v>
      </c>
      <c r="BU27" s="1">
        <v>32164</v>
      </c>
      <c r="BV27" s="1">
        <v>13908</v>
      </c>
      <c r="BW27" s="1">
        <v>110</v>
      </c>
      <c r="BX27" s="1">
        <v>0.27</v>
      </c>
      <c r="BY27" s="1">
        <v>0</v>
      </c>
      <c r="BZ27" s="1">
        <v>384668</v>
      </c>
      <c r="CA27" s="1">
        <v>0</v>
      </c>
      <c r="CB27" s="1">
        <v>0.26</v>
      </c>
      <c r="CC27" s="1">
        <v>29</v>
      </c>
      <c r="CD27" s="1">
        <v>0</v>
      </c>
      <c r="CE27" s="1">
        <v>1</v>
      </c>
      <c r="CF27" s="1">
        <v>0.31</v>
      </c>
      <c r="CG27" s="1">
        <v>0</v>
      </c>
      <c r="CH27" s="1">
        <v>254680</v>
      </c>
      <c r="CI27" s="1">
        <v>0.01</v>
      </c>
      <c r="CJ27" s="1" t="s">
        <v>64</v>
      </c>
      <c r="CK27" s="1">
        <v>0.31</v>
      </c>
      <c r="CL27" s="1">
        <v>0</v>
      </c>
      <c r="CM27" s="1">
        <v>48636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>
        <v>13908</v>
      </c>
      <c r="DY27" s="1">
        <v>21348229</v>
      </c>
      <c r="DZ27" s="1">
        <v>599.944</v>
      </c>
      <c r="EA27" s="1">
        <v>11059403</v>
      </c>
      <c r="EB27" s="1">
        <v>384668</v>
      </c>
      <c r="EC27" s="1">
        <v>0</v>
      </c>
      <c r="ED27" s="1">
        <v>0.2139999999999418</v>
      </c>
      <c r="EE27" s="1">
        <v>59</v>
      </c>
      <c r="EF27" s="1">
        <v>0</v>
      </c>
      <c r="EG27" s="1">
        <v>0</v>
      </c>
      <c r="EH27" s="1">
        <v>1200</v>
      </c>
      <c r="EI27" s="1">
        <v>21649</v>
      </c>
      <c r="EJ27" s="1">
        <v>254680</v>
      </c>
      <c r="EK27" s="1">
        <v>599.73</v>
      </c>
      <c r="EL27" s="1" t="s">
        <v>65</v>
      </c>
      <c r="EM27" s="1">
        <v>600</v>
      </c>
      <c r="EN27" s="1">
        <v>1</v>
      </c>
      <c r="EO27" s="1">
        <v>48636</v>
      </c>
      <c r="EP27" s="1">
        <v>5059</v>
      </c>
      <c r="EQ27" s="1">
        <v>105</v>
      </c>
      <c r="ER27" s="1">
        <v>0.241</v>
      </c>
      <c r="ES27" s="1">
        <v>0</v>
      </c>
      <c r="ET27" s="1">
        <v>347008</v>
      </c>
      <c r="EU27" s="1">
        <v>0</v>
      </c>
      <c r="EV27" s="1">
        <v>0.241</v>
      </c>
      <c r="EW27" s="1">
        <v>27</v>
      </c>
      <c r="EX27" s="1">
        <v>0</v>
      </c>
      <c r="EY27" s="1">
        <v>1</v>
      </c>
      <c r="EZ27" s="1">
        <v>0.29</v>
      </c>
      <c r="FA27" s="1">
        <v>0</v>
      </c>
      <c r="FB27" s="1">
        <v>242823</v>
      </c>
      <c r="FC27" s="1">
        <v>0</v>
      </c>
      <c r="FD27" s="1" t="s">
        <v>64</v>
      </c>
      <c r="FE27" s="1">
        <v>0.29</v>
      </c>
      <c r="FF27" s="1">
        <v>0</v>
      </c>
      <c r="FG27" s="1">
        <v>40616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5059</v>
      </c>
      <c r="GA27" s="1">
        <v>895</v>
      </c>
      <c r="GB27" s="1">
        <v>0.266</v>
      </c>
      <c r="GC27" s="1">
        <v>234</v>
      </c>
      <c r="GD27" s="1">
        <v>395968</v>
      </c>
      <c r="GE27" s="1">
        <v>0</v>
      </c>
      <c r="GF27" s="1">
        <v>0.246</v>
      </c>
      <c r="GG27" s="1">
        <v>33</v>
      </c>
      <c r="GH27" s="1">
        <v>0</v>
      </c>
      <c r="GI27" s="1">
        <v>1</v>
      </c>
      <c r="GJ27" s="1">
        <v>0.3</v>
      </c>
      <c r="GK27" s="1">
        <v>2</v>
      </c>
      <c r="GL27" s="1">
        <v>249623</v>
      </c>
      <c r="GM27" s="1">
        <v>0.02</v>
      </c>
      <c r="GN27" s="1" t="s">
        <v>64</v>
      </c>
      <c r="GO27" s="1">
        <v>0.3</v>
      </c>
      <c r="GP27" s="1">
        <v>0</v>
      </c>
      <c r="GQ27" s="1">
        <v>49256</v>
      </c>
      <c r="GR27" s="1">
        <v>3802</v>
      </c>
      <c r="GS27" s="1">
        <v>2144</v>
      </c>
      <c r="GT27" s="1">
        <v>0.155</v>
      </c>
      <c r="GU27" s="1">
        <v>411</v>
      </c>
      <c r="GV27" s="1">
        <v>192276</v>
      </c>
      <c r="GW27" s="1">
        <v>0</v>
      </c>
      <c r="GX27" s="1">
        <v>0.135</v>
      </c>
      <c r="GY27" s="1">
        <v>21</v>
      </c>
      <c r="GZ27" s="1">
        <v>0</v>
      </c>
      <c r="HA27" s="1">
        <v>1</v>
      </c>
      <c r="HB27" s="1">
        <v>0.2</v>
      </c>
      <c r="HC27" s="1">
        <v>4</v>
      </c>
      <c r="HD27" s="1">
        <v>107146</v>
      </c>
      <c r="HE27" s="1">
        <v>0.02</v>
      </c>
      <c r="HF27" s="1" t="s">
        <v>64</v>
      </c>
      <c r="HG27" s="1">
        <v>0.2</v>
      </c>
      <c r="HH27" s="1">
        <v>0</v>
      </c>
      <c r="HI27" s="1">
        <v>32164</v>
      </c>
      <c r="HJ27" s="1">
        <v>5072</v>
      </c>
      <c r="HK27" s="1">
        <v>110</v>
      </c>
      <c r="HL27" s="1">
        <v>1.316</v>
      </c>
      <c r="HM27" s="1">
        <v>0</v>
      </c>
      <c r="HN27" s="1">
        <v>347008</v>
      </c>
      <c r="HO27" s="1">
        <v>0</v>
      </c>
      <c r="HP27" s="1">
        <v>0.3360000000000001</v>
      </c>
      <c r="HQ27" s="1">
        <v>42</v>
      </c>
      <c r="HR27" s="1">
        <v>0</v>
      </c>
      <c r="HS27" s="1">
        <v>1</v>
      </c>
      <c r="HT27" s="1">
        <v>1.35</v>
      </c>
      <c r="HU27" s="1">
        <v>0</v>
      </c>
      <c r="HV27" s="1">
        <v>239044</v>
      </c>
      <c r="HW27" s="1">
        <v>0.98</v>
      </c>
      <c r="HX27" s="1" t="s">
        <v>64</v>
      </c>
      <c r="HY27" s="1">
        <v>1.35</v>
      </c>
      <c r="HZ27" s="1">
        <v>0</v>
      </c>
      <c r="IA27" s="1">
        <v>40616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>
        <v>5072</v>
      </c>
      <c r="JM27" s="1">
        <v>110393</v>
      </c>
      <c r="JN27" s="1">
        <v>599.999</v>
      </c>
      <c r="JO27" s="1">
        <v>49470</v>
      </c>
      <c r="JP27" s="1">
        <v>347008</v>
      </c>
      <c r="JQ27" s="1">
        <v>0</v>
      </c>
      <c r="JR27" s="1">
        <v>0.2889999999999873</v>
      </c>
      <c r="JS27" s="1">
        <v>45</v>
      </c>
      <c r="JT27" s="1">
        <v>0</v>
      </c>
      <c r="JU27" s="1">
        <v>0</v>
      </c>
      <c r="JV27" s="1">
        <v>1200</v>
      </c>
      <c r="JW27" s="1">
        <v>189</v>
      </c>
      <c r="JX27" s="1">
        <v>239044</v>
      </c>
      <c r="JY27" s="1">
        <v>599.71</v>
      </c>
      <c r="JZ27" s="1" t="s">
        <v>65</v>
      </c>
      <c r="KA27" s="1">
        <v>600</v>
      </c>
      <c r="KB27" s="1">
        <v>1</v>
      </c>
      <c r="KC27" s="1">
        <v>40616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>
        <v>176</v>
      </c>
      <c r="C28" s="1">
        <v>12</v>
      </c>
      <c r="D28" s="1">
        <v>0.018</v>
      </c>
      <c r="E28" s="1">
        <v>0</v>
      </c>
      <c r="F28" s="1">
        <v>1132</v>
      </c>
      <c r="G28" s="1">
        <v>0</v>
      </c>
      <c r="H28" s="1">
        <v>0.018</v>
      </c>
      <c r="I28" s="1">
        <v>0</v>
      </c>
      <c r="J28" s="1">
        <v>0</v>
      </c>
      <c r="K28" s="1">
        <v>1</v>
      </c>
      <c r="L28" s="1">
        <v>0.09</v>
      </c>
      <c r="M28" s="1">
        <v>0</v>
      </c>
      <c r="N28" s="1">
        <v>621</v>
      </c>
      <c r="O28" s="1">
        <v>0</v>
      </c>
      <c r="P28" s="1" t="s">
        <v>64</v>
      </c>
      <c r="Q28" s="1">
        <v>0.09</v>
      </c>
      <c r="R28" s="1">
        <v>0</v>
      </c>
      <c r="S28" s="1">
        <v>295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176</v>
      </c>
      <c r="AM28" s="1">
        <v>6</v>
      </c>
      <c r="AN28" s="1">
        <v>0.005</v>
      </c>
      <c r="AO28" s="1">
        <v>1</v>
      </c>
      <c r="AP28" s="1">
        <v>1336</v>
      </c>
      <c r="AQ28" s="1">
        <v>0</v>
      </c>
      <c r="AR28" s="1">
        <v>0.005</v>
      </c>
      <c r="AS28" s="1">
        <v>0</v>
      </c>
      <c r="AT28" s="1">
        <v>0</v>
      </c>
      <c r="AU28" s="1">
        <v>1</v>
      </c>
      <c r="AV28" s="1">
        <v>0.03</v>
      </c>
      <c r="AW28" s="1">
        <v>0</v>
      </c>
      <c r="AX28" s="1">
        <v>630</v>
      </c>
      <c r="AY28" s="1">
        <v>0</v>
      </c>
      <c r="AZ28" s="1" t="s">
        <v>64</v>
      </c>
      <c r="BA28" s="1">
        <v>0.03</v>
      </c>
      <c r="BB28" s="1">
        <v>0</v>
      </c>
      <c r="BC28" s="1">
        <v>337</v>
      </c>
      <c r="BD28" s="1">
        <v>130</v>
      </c>
      <c r="BE28" s="1">
        <v>7</v>
      </c>
      <c r="BF28" s="1">
        <v>0.004</v>
      </c>
      <c r="BG28" s="1">
        <v>1</v>
      </c>
      <c r="BH28" s="1">
        <v>785</v>
      </c>
      <c r="BI28" s="1">
        <v>0</v>
      </c>
      <c r="BJ28" s="1">
        <v>0.004</v>
      </c>
      <c r="BK28" s="1">
        <v>0</v>
      </c>
      <c r="BL28" s="1">
        <v>0</v>
      </c>
      <c r="BM28" s="1">
        <v>1</v>
      </c>
      <c r="BN28" s="1">
        <v>0.04</v>
      </c>
      <c r="BO28" s="1">
        <v>0</v>
      </c>
      <c r="BP28" s="1">
        <v>418</v>
      </c>
      <c r="BQ28" s="1">
        <v>0</v>
      </c>
      <c r="BR28" s="1" t="s">
        <v>64</v>
      </c>
      <c r="BS28" s="1">
        <v>0.04</v>
      </c>
      <c r="BT28" s="1">
        <v>0</v>
      </c>
      <c r="BU28" s="1">
        <v>206</v>
      </c>
      <c r="BV28" s="1">
        <v>345</v>
      </c>
      <c r="BW28" s="1">
        <v>12</v>
      </c>
      <c r="BX28" s="1">
        <v>0.006</v>
      </c>
      <c r="BY28" s="1">
        <v>0</v>
      </c>
      <c r="BZ28" s="1">
        <v>1267</v>
      </c>
      <c r="CA28" s="1">
        <v>0</v>
      </c>
      <c r="CB28" s="1">
        <v>0.006</v>
      </c>
      <c r="CC28" s="1">
        <v>0</v>
      </c>
      <c r="CD28" s="1">
        <v>0</v>
      </c>
      <c r="CE28" s="1">
        <v>1</v>
      </c>
      <c r="CF28" s="1">
        <v>0.03</v>
      </c>
      <c r="CG28" s="1">
        <v>0</v>
      </c>
      <c r="CH28" s="1">
        <v>727</v>
      </c>
      <c r="CI28" s="1">
        <v>0</v>
      </c>
      <c r="CJ28" s="1" t="s">
        <v>64</v>
      </c>
      <c r="CK28" s="1">
        <v>0.03</v>
      </c>
      <c r="CL28" s="1">
        <v>0</v>
      </c>
      <c r="CM28" s="1">
        <v>334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>
        <v>345</v>
      </c>
      <c r="DY28" s="1">
        <v>15</v>
      </c>
      <c r="DZ28" s="1">
        <v>0.004</v>
      </c>
      <c r="EA28" s="1">
        <v>2</v>
      </c>
      <c r="EB28" s="1">
        <v>1267</v>
      </c>
      <c r="EC28" s="1">
        <v>0</v>
      </c>
      <c r="ED28" s="1">
        <v>0.004</v>
      </c>
      <c r="EE28" s="1">
        <v>0</v>
      </c>
      <c r="EF28" s="1">
        <v>0</v>
      </c>
      <c r="EG28" s="1">
        <v>1</v>
      </c>
      <c r="EH28" s="1">
        <v>0.02</v>
      </c>
      <c r="EI28" s="1">
        <v>0</v>
      </c>
      <c r="EJ28" s="1">
        <v>727</v>
      </c>
      <c r="EK28" s="1">
        <v>0</v>
      </c>
      <c r="EL28" s="1" t="s">
        <v>64</v>
      </c>
      <c r="EM28" s="1">
        <v>0.02</v>
      </c>
      <c r="EN28" s="1">
        <v>0</v>
      </c>
      <c r="EO28" s="1">
        <v>334</v>
      </c>
      <c r="EP28" s="1">
        <v>176</v>
      </c>
      <c r="EQ28" s="1">
        <v>12</v>
      </c>
      <c r="ER28" s="1">
        <v>0.006</v>
      </c>
      <c r="ES28" s="1">
        <v>0</v>
      </c>
      <c r="ET28" s="1">
        <v>1132</v>
      </c>
      <c r="EU28" s="1">
        <v>0</v>
      </c>
      <c r="EV28" s="1">
        <v>0.006</v>
      </c>
      <c r="EW28" s="1">
        <v>0</v>
      </c>
      <c r="EX28" s="1">
        <v>0</v>
      </c>
      <c r="EY28" s="1">
        <v>1</v>
      </c>
      <c r="EZ28" s="1">
        <v>0.04</v>
      </c>
      <c r="FA28" s="1">
        <v>0</v>
      </c>
      <c r="FB28" s="1">
        <v>621</v>
      </c>
      <c r="FC28" s="1">
        <v>0</v>
      </c>
      <c r="FD28" s="1" t="s">
        <v>64</v>
      </c>
      <c r="FE28" s="1">
        <v>0.04</v>
      </c>
      <c r="FF28" s="1">
        <v>0</v>
      </c>
      <c r="FG28" s="1">
        <v>295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176</v>
      </c>
      <c r="GA28" s="1">
        <v>6</v>
      </c>
      <c r="GB28" s="1">
        <v>0.005</v>
      </c>
      <c r="GC28" s="1">
        <v>1</v>
      </c>
      <c r="GD28" s="1">
        <v>1336</v>
      </c>
      <c r="GE28" s="1">
        <v>0</v>
      </c>
      <c r="GF28" s="1">
        <v>0.005</v>
      </c>
      <c r="GG28" s="1">
        <v>0</v>
      </c>
      <c r="GH28" s="1">
        <v>0</v>
      </c>
      <c r="GI28" s="1">
        <v>1</v>
      </c>
      <c r="GJ28" s="1">
        <v>0.03</v>
      </c>
      <c r="GK28" s="1">
        <v>0</v>
      </c>
      <c r="GL28" s="1">
        <v>630</v>
      </c>
      <c r="GM28" s="1">
        <v>0</v>
      </c>
      <c r="GN28" s="1" t="s">
        <v>64</v>
      </c>
      <c r="GO28" s="1">
        <v>0.03</v>
      </c>
      <c r="GP28" s="1">
        <v>0</v>
      </c>
      <c r="GQ28" s="1">
        <v>337</v>
      </c>
      <c r="GR28" s="1">
        <v>130</v>
      </c>
      <c r="GS28" s="1">
        <v>7</v>
      </c>
      <c r="GT28" s="1">
        <v>0.005</v>
      </c>
      <c r="GU28" s="1">
        <v>1</v>
      </c>
      <c r="GV28" s="1">
        <v>785</v>
      </c>
      <c r="GW28" s="1">
        <v>0</v>
      </c>
      <c r="GX28" s="1">
        <v>0.005</v>
      </c>
      <c r="GY28" s="1">
        <v>0</v>
      </c>
      <c r="GZ28" s="1">
        <v>0</v>
      </c>
      <c r="HA28" s="1">
        <v>1</v>
      </c>
      <c r="HB28" s="1">
        <v>0.05</v>
      </c>
      <c r="HC28" s="1">
        <v>0</v>
      </c>
      <c r="HD28" s="1">
        <v>418</v>
      </c>
      <c r="HE28" s="1">
        <v>0</v>
      </c>
      <c r="HF28" s="1" t="s">
        <v>64</v>
      </c>
      <c r="HG28" s="1">
        <v>0.05</v>
      </c>
      <c r="HH28" s="1">
        <v>0</v>
      </c>
      <c r="HI28" s="1">
        <v>206</v>
      </c>
      <c r="HJ28" s="1">
        <v>189</v>
      </c>
      <c r="HK28" s="1">
        <v>12</v>
      </c>
      <c r="HL28" s="1">
        <v>0.039</v>
      </c>
      <c r="HM28" s="1">
        <v>0</v>
      </c>
      <c r="HN28" s="1">
        <v>1132</v>
      </c>
      <c r="HO28" s="1">
        <v>0</v>
      </c>
      <c r="HP28" s="1">
        <v>0.039</v>
      </c>
      <c r="HQ28" s="1">
        <v>0</v>
      </c>
      <c r="HR28" s="1">
        <v>0</v>
      </c>
      <c r="HS28" s="1">
        <v>1</v>
      </c>
      <c r="HT28" s="1">
        <v>0.07000000000000001</v>
      </c>
      <c r="HU28" s="1">
        <v>0</v>
      </c>
      <c r="HV28" s="1">
        <v>562</v>
      </c>
      <c r="HW28" s="1">
        <v>0</v>
      </c>
      <c r="HX28" s="1" t="s">
        <v>64</v>
      </c>
      <c r="HY28" s="1">
        <v>0.07000000000000001</v>
      </c>
      <c r="HZ28" s="1">
        <v>0</v>
      </c>
      <c r="IA28" s="1">
        <v>295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>
        <v>189</v>
      </c>
      <c r="JM28" s="1">
        <v>10</v>
      </c>
      <c r="JN28" s="1">
        <v>0.047</v>
      </c>
      <c r="JO28" s="1">
        <v>4</v>
      </c>
      <c r="JP28" s="1">
        <v>1132</v>
      </c>
      <c r="JQ28" s="1">
        <v>0</v>
      </c>
      <c r="JR28" s="1">
        <v>0.047</v>
      </c>
      <c r="JS28" s="1">
        <v>13</v>
      </c>
      <c r="JT28" s="1">
        <v>0</v>
      </c>
      <c r="JU28" s="1">
        <v>1</v>
      </c>
      <c r="JV28" s="1">
        <v>0.13</v>
      </c>
      <c r="JW28" s="1">
        <v>0</v>
      </c>
      <c r="JX28" s="1">
        <v>562</v>
      </c>
      <c r="JY28" s="1">
        <v>0</v>
      </c>
      <c r="JZ28" s="1" t="s">
        <v>64</v>
      </c>
      <c r="KA28" s="1">
        <v>0.13</v>
      </c>
      <c r="KB28" s="1">
        <v>0</v>
      </c>
      <c r="KC28" s="1">
        <v>295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>
        <v>6055</v>
      </c>
      <c r="C29" s="1">
        <v>116</v>
      </c>
      <c r="D29" s="1">
        <v>0.316</v>
      </c>
      <c r="E29" s="1">
        <v>0</v>
      </c>
      <c r="F29" s="1">
        <v>485552</v>
      </c>
      <c r="G29" s="1">
        <v>0</v>
      </c>
      <c r="H29" s="1">
        <v>0.316</v>
      </c>
      <c r="I29" s="1">
        <v>45</v>
      </c>
      <c r="J29" s="1">
        <v>0</v>
      </c>
      <c r="K29" s="1">
        <v>1</v>
      </c>
      <c r="L29" s="1">
        <v>0.35</v>
      </c>
      <c r="M29" s="1">
        <v>0</v>
      </c>
      <c r="N29" s="1">
        <v>344993</v>
      </c>
      <c r="O29" s="1">
        <v>0</v>
      </c>
      <c r="P29" s="1" t="s">
        <v>64</v>
      </c>
      <c r="Q29" s="1">
        <v>0.35</v>
      </c>
      <c r="R29" s="1">
        <v>0</v>
      </c>
      <c r="S29" s="1">
        <v>53964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6055</v>
      </c>
      <c r="AM29" s="1">
        <v>2397</v>
      </c>
      <c r="AN29" s="1">
        <v>0.404</v>
      </c>
      <c r="AO29" s="1">
        <v>539</v>
      </c>
      <c r="AP29" s="1">
        <v>550672</v>
      </c>
      <c r="AQ29" s="1">
        <v>0</v>
      </c>
      <c r="AR29" s="1">
        <v>0.354</v>
      </c>
      <c r="AS29" s="1">
        <v>50</v>
      </c>
      <c r="AT29" s="1">
        <v>0</v>
      </c>
      <c r="AU29" s="1">
        <v>1</v>
      </c>
      <c r="AV29" s="1">
        <v>0.44</v>
      </c>
      <c r="AW29" s="1">
        <v>5</v>
      </c>
      <c r="AX29" s="1">
        <v>354189</v>
      </c>
      <c r="AY29" s="1">
        <v>0.05</v>
      </c>
      <c r="AZ29" s="1" t="s">
        <v>64</v>
      </c>
      <c r="BA29" s="1">
        <v>0.44</v>
      </c>
      <c r="BB29" s="1">
        <v>0</v>
      </c>
      <c r="BC29" s="1">
        <v>65404</v>
      </c>
      <c r="BD29" s="1">
        <v>4540</v>
      </c>
      <c r="BE29" s="1">
        <v>3105</v>
      </c>
      <c r="BF29" s="1">
        <v>0.236</v>
      </c>
      <c r="BG29" s="1">
        <v>456</v>
      </c>
      <c r="BH29" s="1">
        <v>258630</v>
      </c>
      <c r="BI29" s="1">
        <v>0</v>
      </c>
      <c r="BJ29" s="1">
        <v>0.206</v>
      </c>
      <c r="BK29" s="1">
        <v>35</v>
      </c>
      <c r="BL29" s="1">
        <v>0</v>
      </c>
      <c r="BM29" s="1">
        <v>1</v>
      </c>
      <c r="BN29" s="1">
        <v>0.34</v>
      </c>
      <c r="BO29" s="1">
        <v>5</v>
      </c>
      <c r="BP29" s="1">
        <v>144004</v>
      </c>
      <c r="BQ29" s="1">
        <v>0.03</v>
      </c>
      <c r="BR29" s="1" t="s">
        <v>64</v>
      </c>
      <c r="BS29" s="1">
        <v>0.34</v>
      </c>
      <c r="BT29" s="1">
        <v>0</v>
      </c>
      <c r="BU29" s="1">
        <v>42774</v>
      </c>
      <c r="BV29" s="1">
        <v>16844</v>
      </c>
      <c r="BW29" s="1">
        <v>122</v>
      </c>
      <c r="BX29" s="1">
        <v>0.292</v>
      </c>
      <c r="BY29" s="1">
        <v>0</v>
      </c>
      <c r="BZ29" s="1">
        <v>535954</v>
      </c>
      <c r="CA29" s="1">
        <v>0</v>
      </c>
      <c r="CB29" s="1">
        <v>0.282</v>
      </c>
      <c r="CC29" s="1">
        <v>35</v>
      </c>
      <c r="CD29" s="1">
        <v>0</v>
      </c>
      <c r="CE29" s="1">
        <v>1</v>
      </c>
      <c r="CF29" s="1">
        <v>0.31</v>
      </c>
      <c r="CG29" s="1">
        <v>0</v>
      </c>
      <c r="CH29" s="1">
        <v>360366</v>
      </c>
      <c r="CI29" s="1">
        <v>0.01</v>
      </c>
      <c r="CJ29" s="1" t="s">
        <v>64</v>
      </c>
      <c r="CK29" s="1">
        <v>0.31</v>
      </c>
      <c r="CL29" s="1">
        <v>0</v>
      </c>
      <c r="CM29" s="1">
        <v>64634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>
        <v>16844</v>
      </c>
      <c r="DY29" s="1">
        <v>17517438</v>
      </c>
      <c r="DZ29" s="1">
        <v>599.991</v>
      </c>
      <c r="EA29" s="1">
        <v>7722065</v>
      </c>
      <c r="EB29" s="1">
        <v>535954</v>
      </c>
      <c r="EC29" s="1">
        <v>0</v>
      </c>
      <c r="ED29" s="1">
        <v>0.36099999999999</v>
      </c>
      <c r="EE29" s="1">
        <v>70</v>
      </c>
      <c r="EF29" s="1">
        <v>0</v>
      </c>
      <c r="EG29" s="1">
        <v>0</v>
      </c>
      <c r="EH29" s="1">
        <v>1200</v>
      </c>
      <c r="EI29" s="1">
        <v>16380</v>
      </c>
      <c r="EJ29" s="1">
        <v>360366</v>
      </c>
      <c r="EK29" s="1">
        <v>599.63</v>
      </c>
      <c r="EL29" s="1" t="s">
        <v>65</v>
      </c>
      <c r="EM29" s="1">
        <v>600</v>
      </c>
      <c r="EN29" s="1">
        <v>1</v>
      </c>
      <c r="EO29" s="1">
        <v>64634</v>
      </c>
      <c r="EP29" s="1">
        <v>6055</v>
      </c>
      <c r="EQ29" s="1">
        <v>116</v>
      </c>
      <c r="ER29" s="1">
        <v>0.267</v>
      </c>
      <c r="ES29" s="1">
        <v>0</v>
      </c>
      <c r="ET29" s="1">
        <v>485552</v>
      </c>
      <c r="EU29" s="1">
        <v>0</v>
      </c>
      <c r="EV29" s="1">
        <v>0.267</v>
      </c>
      <c r="EW29" s="1">
        <v>44</v>
      </c>
      <c r="EX29" s="1">
        <v>0</v>
      </c>
      <c r="EY29" s="1">
        <v>1</v>
      </c>
      <c r="EZ29" s="1">
        <v>0.35</v>
      </c>
      <c r="FA29" s="1">
        <v>0</v>
      </c>
      <c r="FB29" s="1">
        <v>344993</v>
      </c>
      <c r="FC29" s="1">
        <v>0</v>
      </c>
      <c r="FD29" s="1" t="s">
        <v>64</v>
      </c>
      <c r="FE29" s="1">
        <v>0.35</v>
      </c>
      <c r="FF29" s="1">
        <v>0</v>
      </c>
      <c r="FG29" s="1">
        <v>53964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6055</v>
      </c>
      <c r="GA29" s="1">
        <v>2397</v>
      </c>
      <c r="GB29" s="1">
        <v>0.399</v>
      </c>
      <c r="GC29" s="1">
        <v>539</v>
      </c>
      <c r="GD29" s="1">
        <v>550672</v>
      </c>
      <c r="GE29" s="1">
        <v>0</v>
      </c>
      <c r="GF29" s="1">
        <v>0.349</v>
      </c>
      <c r="GG29" s="1">
        <v>52</v>
      </c>
      <c r="GH29" s="1">
        <v>0</v>
      </c>
      <c r="GI29" s="1">
        <v>1</v>
      </c>
      <c r="GJ29" s="1">
        <v>0.43</v>
      </c>
      <c r="GK29" s="1">
        <v>5</v>
      </c>
      <c r="GL29" s="1">
        <v>354189</v>
      </c>
      <c r="GM29" s="1">
        <v>0.05</v>
      </c>
      <c r="GN29" s="1" t="s">
        <v>64</v>
      </c>
      <c r="GO29" s="1">
        <v>0.43</v>
      </c>
      <c r="GP29" s="1">
        <v>0</v>
      </c>
      <c r="GQ29" s="1">
        <v>65404</v>
      </c>
      <c r="GR29" s="1">
        <v>4540</v>
      </c>
      <c r="GS29" s="1">
        <v>3105</v>
      </c>
      <c r="GT29" s="1">
        <v>0.172</v>
      </c>
      <c r="GU29" s="1">
        <v>456</v>
      </c>
      <c r="GV29" s="1">
        <v>258630</v>
      </c>
      <c r="GW29" s="1">
        <v>0</v>
      </c>
      <c r="GX29" s="1">
        <v>0.152</v>
      </c>
      <c r="GY29" s="1">
        <v>37</v>
      </c>
      <c r="GZ29" s="1">
        <v>0</v>
      </c>
      <c r="HA29" s="1">
        <v>1</v>
      </c>
      <c r="HB29" s="1">
        <v>0.23</v>
      </c>
      <c r="HC29" s="1">
        <v>5</v>
      </c>
      <c r="HD29" s="1">
        <v>144004</v>
      </c>
      <c r="HE29" s="1">
        <v>0.02</v>
      </c>
      <c r="HF29" s="1" t="s">
        <v>64</v>
      </c>
      <c r="HG29" s="1">
        <v>0.23</v>
      </c>
      <c r="HH29" s="1">
        <v>0</v>
      </c>
      <c r="HI29" s="1">
        <v>42774</v>
      </c>
      <c r="HJ29" s="1">
        <v>6068</v>
      </c>
      <c r="HK29" s="1">
        <v>106</v>
      </c>
      <c r="HL29" s="1">
        <v>1.608</v>
      </c>
      <c r="HM29" s="1">
        <v>0</v>
      </c>
      <c r="HN29" s="1">
        <v>485552</v>
      </c>
      <c r="HO29" s="1">
        <v>0</v>
      </c>
      <c r="HP29" s="1">
        <v>0.5580000000000001</v>
      </c>
      <c r="HQ29" s="1">
        <v>50</v>
      </c>
      <c r="HR29" s="1">
        <v>0</v>
      </c>
      <c r="HS29" s="1">
        <v>1</v>
      </c>
      <c r="HT29" s="1">
        <v>1.64</v>
      </c>
      <c r="HU29" s="1">
        <v>0</v>
      </c>
      <c r="HV29" s="1">
        <v>340394</v>
      </c>
      <c r="HW29" s="1">
        <v>1.05</v>
      </c>
      <c r="HX29" s="1" t="s">
        <v>64</v>
      </c>
      <c r="HY29" s="1">
        <v>1.64</v>
      </c>
      <c r="HZ29" s="1">
        <v>0</v>
      </c>
      <c r="IA29" s="1">
        <v>53964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>
        <v>6068</v>
      </c>
      <c r="JM29" s="1">
        <v>72549</v>
      </c>
      <c r="JN29" s="1">
        <v>599.987</v>
      </c>
      <c r="JO29" s="1">
        <v>28461</v>
      </c>
      <c r="JP29" s="1">
        <v>485552</v>
      </c>
      <c r="JQ29" s="1">
        <v>0</v>
      </c>
      <c r="JR29" s="1">
        <v>0.4569999999999936</v>
      </c>
      <c r="JS29" s="1">
        <v>51</v>
      </c>
      <c r="JT29" s="1">
        <v>0</v>
      </c>
      <c r="JU29" s="1">
        <v>0</v>
      </c>
      <c r="JV29" s="1">
        <v>1200</v>
      </c>
      <c r="JW29" s="1">
        <v>124</v>
      </c>
      <c r="JX29" s="1">
        <v>340394</v>
      </c>
      <c r="JY29" s="1">
        <v>599.53</v>
      </c>
      <c r="JZ29" s="1" t="s">
        <v>65</v>
      </c>
      <c r="KA29" s="1">
        <v>600</v>
      </c>
      <c r="KB29" s="1">
        <v>1</v>
      </c>
      <c r="KC29" s="1">
        <v>53964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>
        <v>551</v>
      </c>
      <c r="C30" s="1">
        <v>28</v>
      </c>
      <c r="D30" s="1">
        <v>0.006</v>
      </c>
      <c r="E30" s="1">
        <v>0</v>
      </c>
      <c r="F30" s="1">
        <v>5548</v>
      </c>
      <c r="G30" s="1">
        <v>0</v>
      </c>
      <c r="H30" s="1">
        <v>0.006</v>
      </c>
      <c r="I30" s="1">
        <v>0</v>
      </c>
      <c r="J30" s="1">
        <v>0</v>
      </c>
      <c r="K30" s="1">
        <v>1</v>
      </c>
      <c r="L30" s="1">
        <v>0.02</v>
      </c>
      <c r="M30" s="1">
        <v>0</v>
      </c>
      <c r="N30" s="1">
        <v>3439</v>
      </c>
      <c r="O30" s="1">
        <v>0</v>
      </c>
      <c r="P30" s="1" t="s">
        <v>64</v>
      </c>
      <c r="Q30" s="1">
        <v>0.02</v>
      </c>
      <c r="R30" s="1">
        <v>0</v>
      </c>
      <c r="S30" s="1">
        <v>1200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551</v>
      </c>
      <c r="AM30" s="1">
        <v>23</v>
      </c>
      <c r="AN30" s="1">
        <v>0.008</v>
      </c>
      <c r="AO30" s="1">
        <v>1</v>
      </c>
      <c r="AP30" s="1">
        <v>6796</v>
      </c>
      <c r="AQ30" s="1">
        <v>0</v>
      </c>
      <c r="AR30" s="1">
        <v>0.008</v>
      </c>
      <c r="AS30" s="1">
        <v>0</v>
      </c>
      <c r="AT30" s="1">
        <v>0</v>
      </c>
      <c r="AU30" s="1">
        <v>1</v>
      </c>
      <c r="AV30" s="1">
        <v>0.03</v>
      </c>
      <c r="AW30" s="1">
        <v>0</v>
      </c>
      <c r="AX30" s="1">
        <v>3547</v>
      </c>
      <c r="AY30" s="1">
        <v>0</v>
      </c>
      <c r="AZ30" s="1" t="s">
        <v>64</v>
      </c>
      <c r="BA30" s="1">
        <v>0.03</v>
      </c>
      <c r="BB30" s="1">
        <v>0</v>
      </c>
      <c r="BC30" s="1">
        <v>1440</v>
      </c>
      <c r="BD30" s="1">
        <v>428</v>
      </c>
      <c r="BE30" s="1">
        <v>44</v>
      </c>
      <c r="BF30" s="1">
        <v>0.021</v>
      </c>
      <c r="BG30" s="1">
        <v>15</v>
      </c>
      <c r="BH30" s="1">
        <v>4242</v>
      </c>
      <c r="BI30" s="1">
        <v>0</v>
      </c>
      <c r="BJ30" s="1">
        <v>0.021</v>
      </c>
      <c r="BK30" s="1">
        <v>8</v>
      </c>
      <c r="BL30" s="1">
        <v>0</v>
      </c>
      <c r="BM30" s="1">
        <v>1</v>
      </c>
      <c r="BN30" s="1">
        <v>0.12</v>
      </c>
      <c r="BO30" s="1">
        <v>0</v>
      </c>
      <c r="BP30" s="1">
        <v>2386</v>
      </c>
      <c r="BQ30" s="1">
        <v>0</v>
      </c>
      <c r="BR30" s="1" t="s">
        <v>64</v>
      </c>
      <c r="BS30" s="1">
        <v>0.12</v>
      </c>
      <c r="BT30" s="1">
        <v>0</v>
      </c>
      <c r="BU30" s="1">
        <v>938</v>
      </c>
      <c r="BV30" s="1">
        <v>1196</v>
      </c>
      <c r="BW30" s="1">
        <v>26</v>
      </c>
      <c r="BX30" s="1">
        <v>0.008999999999999999</v>
      </c>
      <c r="BY30" s="1">
        <v>0</v>
      </c>
      <c r="BZ30" s="1">
        <v>6430</v>
      </c>
      <c r="CA30" s="1">
        <v>0</v>
      </c>
      <c r="CB30" s="1">
        <v>0.008999999999999999</v>
      </c>
      <c r="CC30" s="1">
        <v>0</v>
      </c>
      <c r="CD30" s="1">
        <v>0</v>
      </c>
      <c r="CE30" s="1">
        <v>1</v>
      </c>
      <c r="CF30" s="1">
        <v>0.03</v>
      </c>
      <c r="CG30" s="1">
        <v>0</v>
      </c>
      <c r="CH30" s="1">
        <v>3900</v>
      </c>
      <c r="CI30" s="1">
        <v>0</v>
      </c>
      <c r="CJ30" s="1" t="s">
        <v>64</v>
      </c>
      <c r="CK30" s="1">
        <v>0.03</v>
      </c>
      <c r="CL30" s="1">
        <v>0</v>
      </c>
      <c r="CM30" s="1">
        <v>1422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>
        <v>1196</v>
      </c>
      <c r="DY30" s="1">
        <v>42</v>
      </c>
      <c r="DZ30" s="1">
        <v>0.007</v>
      </c>
      <c r="EA30" s="1">
        <v>2</v>
      </c>
      <c r="EB30" s="1">
        <v>6430</v>
      </c>
      <c r="EC30" s="1">
        <v>0</v>
      </c>
      <c r="ED30" s="1">
        <v>0.007</v>
      </c>
      <c r="EE30" s="1">
        <v>0</v>
      </c>
      <c r="EF30" s="1">
        <v>0</v>
      </c>
      <c r="EG30" s="1">
        <v>1</v>
      </c>
      <c r="EH30" s="1">
        <v>0.02</v>
      </c>
      <c r="EI30" s="1">
        <v>0</v>
      </c>
      <c r="EJ30" s="1">
        <v>3900</v>
      </c>
      <c r="EK30" s="1">
        <v>0</v>
      </c>
      <c r="EL30" s="1" t="s">
        <v>64</v>
      </c>
      <c r="EM30" s="1">
        <v>0.02</v>
      </c>
      <c r="EN30" s="1">
        <v>0</v>
      </c>
      <c r="EO30" s="1">
        <v>1422</v>
      </c>
      <c r="EP30" s="1">
        <v>551</v>
      </c>
      <c r="EQ30" s="1">
        <v>28</v>
      </c>
      <c r="ER30" s="1">
        <v>0.023</v>
      </c>
      <c r="ES30" s="1">
        <v>0</v>
      </c>
      <c r="ET30" s="1">
        <v>5548</v>
      </c>
      <c r="EU30" s="1">
        <v>0</v>
      </c>
      <c r="EV30" s="1">
        <v>0.023</v>
      </c>
      <c r="EW30" s="1">
        <v>6</v>
      </c>
      <c r="EX30" s="1">
        <v>0</v>
      </c>
      <c r="EY30" s="1">
        <v>1</v>
      </c>
      <c r="EZ30" s="1">
        <v>0.14</v>
      </c>
      <c r="FA30" s="1">
        <v>0</v>
      </c>
      <c r="FB30" s="1">
        <v>3439</v>
      </c>
      <c r="FC30" s="1">
        <v>0</v>
      </c>
      <c r="FD30" s="1" t="s">
        <v>64</v>
      </c>
      <c r="FE30" s="1">
        <v>0.14</v>
      </c>
      <c r="FF30" s="1">
        <v>0</v>
      </c>
      <c r="FG30" s="1">
        <v>1200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551</v>
      </c>
      <c r="GA30" s="1">
        <v>23</v>
      </c>
      <c r="GB30" s="1">
        <v>0.008999999999999999</v>
      </c>
      <c r="GC30" s="1">
        <v>1</v>
      </c>
      <c r="GD30" s="1">
        <v>6796</v>
      </c>
      <c r="GE30" s="1">
        <v>0</v>
      </c>
      <c r="GF30" s="1">
        <v>0.008999999999999999</v>
      </c>
      <c r="GG30" s="1">
        <v>0</v>
      </c>
      <c r="GH30" s="1">
        <v>0</v>
      </c>
      <c r="GI30" s="1">
        <v>1</v>
      </c>
      <c r="GJ30" s="1">
        <v>0.04</v>
      </c>
      <c r="GK30" s="1">
        <v>0</v>
      </c>
      <c r="GL30" s="1">
        <v>3547</v>
      </c>
      <c r="GM30" s="1">
        <v>0</v>
      </c>
      <c r="GN30" s="1" t="s">
        <v>64</v>
      </c>
      <c r="GO30" s="1">
        <v>0.04</v>
      </c>
      <c r="GP30" s="1">
        <v>0</v>
      </c>
      <c r="GQ30" s="1">
        <v>1440</v>
      </c>
      <c r="GR30" s="1">
        <v>428</v>
      </c>
      <c r="GS30" s="1">
        <v>44</v>
      </c>
      <c r="GT30" s="1">
        <v>0.008</v>
      </c>
      <c r="GU30" s="1">
        <v>15</v>
      </c>
      <c r="GV30" s="1">
        <v>4242</v>
      </c>
      <c r="GW30" s="1">
        <v>0</v>
      </c>
      <c r="GX30" s="1">
        <v>0.008</v>
      </c>
      <c r="GY30" s="1">
        <v>0</v>
      </c>
      <c r="GZ30" s="1">
        <v>0</v>
      </c>
      <c r="HA30" s="1">
        <v>1</v>
      </c>
      <c r="HB30" s="1">
        <v>0.04</v>
      </c>
      <c r="HC30" s="1">
        <v>0</v>
      </c>
      <c r="HD30" s="1">
        <v>2386</v>
      </c>
      <c r="HE30" s="1">
        <v>0</v>
      </c>
      <c r="HF30" s="1" t="s">
        <v>64</v>
      </c>
      <c r="HG30" s="1">
        <v>0.04</v>
      </c>
      <c r="HH30" s="1">
        <v>0</v>
      </c>
      <c r="HI30" s="1">
        <v>938</v>
      </c>
      <c r="HJ30" s="1">
        <v>564</v>
      </c>
      <c r="HK30" s="1">
        <v>26</v>
      </c>
      <c r="HL30" s="1">
        <v>0.063</v>
      </c>
      <c r="HM30" s="1">
        <v>0</v>
      </c>
      <c r="HN30" s="1">
        <v>5548</v>
      </c>
      <c r="HO30" s="1">
        <v>0</v>
      </c>
      <c r="HP30" s="1">
        <v>0.043</v>
      </c>
      <c r="HQ30" s="1">
        <v>0</v>
      </c>
      <c r="HR30" s="1">
        <v>0</v>
      </c>
      <c r="HS30" s="1">
        <v>1</v>
      </c>
      <c r="HT30" s="1">
        <v>0.09</v>
      </c>
      <c r="HU30" s="1">
        <v>0</v>
      </c>
      <c r="HV30" s="1">
        <v>3160</v>
      </c>
      <c r="HW30" s="1">
        <v>0.02</v>
      </c>
      <c r="HX30" s="1" t="s">
        <v>64</v>
      </c>
      <c r="HY30" s="1">
        <v>0.09</v>
      </c>
      <c r="HZ30" s="1">
        <v>0</v>
      </c>
      <c r="IA30" s="1">
        <v>1200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>
        <v>564</v>
      </c>
      <c r="JM30" s="1">
        <v>38</v>
      </c>
      <c r="JN30" s="1">
        <v>0.066</v>
      </c>
      <c r="JO30" s="1">
        <v>4</v>
      </c>
      <c r="JP30" s="1">
        <v>5548</v>
      </c>
      <c r="JQ30" s="1">
        <v>0</v>
      </c>
      <c r="JR30" s="1">
        <v>0.046</v>
      </c>
      <c r="JS30" s="1">
        <v>0</v>
      </c>
      <c r="JT30" s="1">
        <v>0</v>
      </c>
      <c r="JU30" s="1">
        <v>1</v>
      </c>
      <c r="JV30" s="1">
        <v>0.1</v>
      </c>
      <c r="JW30" s="1">
        <v>0</v>
      </c>
      <c r="JX30" s="1">
        <v>3160</v>
      </c>
      <c r="JY30" s="1">
        <v>0.02</v>
      </c>
      <c r="JZ30" s="1" t="s">
        <v>64</v>
      </c>
      <c r="KA30" s="1">
        <v>0.1</v>
      </c>
      <c r="KB30" s="1">
        <v>0</v>
      </c>
      <c r="KC30" s="1">
        <v>1200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>
        <v>931</v>
      </c>
      <c r="C31" s="1">
        <v>40</v>
      </c>
      <c r="D31" s="1">
        <v>0.025</v>
      </c>
      <c r="E31" s="1">
        <v>0</v>
      </c>
      <c r="F31" s="1">
        <v>14368</v>
      </c>
      <c r="G31" s="1">
        <v>0</v>
      </c>
      <c r="H31" s="1">
        <v>0.025</v>
      </c>
      <c r="I31" s="1">
        <v>0</v>
      </c>
      <c r="J31" s="1">
        <v>0</v>
      </c>
      <c r="K31" s="1">
        <v>1</v>
      </c>
      <c r="L31" s="1">
        <v>0.1</v>
      </c>
      <c r="M31" s="1">
        <v>0</v>
      </c>
      <c r="N31" s="1">
        <v>9147</v>
      </c>
      <c r="O31" s="1">
        <v>0</v>
      </c>
      <c r="P31" s="1" t="s">
        <v>64</v>
      </c>
      <c r="Q31" s="1">
        <v>0.1</v>
      </c>
      <c r="R31" s="1">
        <v>0</v>
      </c>
      <c r="S31" s="1">
        <v>2696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931</v>
      </c>
      <c r="AM31" s="1">
        <v>36</v>
      </c>
      <c r="AN31" s="1">
        <v>0.014</v>
      </c>
      <c r="AO31" s="1">
        <v>3</v>
      </c>
      <c r="AP31" s="1">
        <v>17440</v>
      </c>
      <c r="AQ31" s="1">
        <v>0</v>
      </c>
      <c r="AR31" s="1">
        <v>0.014</v>
      </c>
      <c r="AS31" s="1">
        <v>0</v>
      </c>
      <c r="AT31" s="1">
        <v>0</v>
      </c>
      <c r="AU31" s="1">
        <v>1</v>
      </c>
      <c r="AV31" s="1">
        <v>0.04</v>
      </c>
      <c r="AW31" s="1">
        <v>0</v>
      </c>
      <c r="AX31" s="1">
        <v>9467</v>
      </c>
      <c r="AY31" s="1">
        <v>0</v>
      </c>
      <c r="AZ31" s="1" t="s">
        <v>64</v>
      </c>
      <c r="BA31" s="1">
        <v>0.04</v>
      </c>
      <c r="BB31" s="1">
        <v>0</v>
      </c>
      <c r="BC31" s="1">
        <v>3272</v>
      </c>
      <c r="BD31" s="1">
        <v>718</v>
      </c>
      <c r="BE31" s="1">
        <v>177</v>
      </c>
      <c r="BF31" s="1">
        <v>0.011</v>
      </c>
      <c r="BG31" s="1">
        <v>104</v>
      </c>
      <c r="BH31" s="1">
        <v>10368</v>
      </c>
      <c r="BI31" s="1">
        <v>0</v>
      </c>
      <c r="BJ31" s="1">
        <v>0.011</v>
      </c>
      <c r="BK31" s="1">
        <v>0</v>
      </c>
      <c r="BL31" s="1">
        <v>0</v>
      </c>
      <c r="BM31" s="1">
        <v>1</v>
      </c>
      <c r="BN31" s="1">
        <v>0.04</v>
      </c>
      <c r="BO31" s="1">
        <v>1</v>
      </c>
      <c r="BP31" s="1">
        <v>5950</v>
      </c>
      <c r="BQ31" s="1">
        <v>0</v>
      </c>
      <c r="BR31" s="1" t="s">
        <v>64</v>
      </c>
      <c r="BS31" s="1">
        <v>0.04</v>
      </c>
      <c r="BT31" s="1">
        <v>0</v>
      </c>
      <c r="BU31" s="1">
        <v>2104</v>
      </c>
      <c r="BV31" s="1">
        <v>2172</v>
      </c>
      <c r="BW31" s="1">
        <v>38</v>
      </c>
      <c r="BX31" s="1">
        <v>0.013</v>
      </c>
      <c r="BY31" s="1">
        <v>0</v>
      </c>
      <c r="BZ31" s="1">
        <v>16568</v>
      </c>
      <c r="CA31" s="1">
        <v>0</v>
      </c>
      <c r="CB31" s="1">
        <v>0.013</v>
      </c>
      <c r="CC31" s="1">
        <v>0</v>
      </c>
      <c r="CD31" s="1">
        <v>0</v>
      </c>
      <c r="CE31" s="1">
        <v>1</v>
      </c>
      <c r="CF31" s="1">
        <v>0.03</v>
      </c>
      <c r="CG31" s="1">
        <v>0</v>
      </c>
      <c r="CH31" s="1">
        <v>10156</v>
      </c>
      <c r="CI31" s="1">
        <v>0</v>
      </c>
      <c r="CJ31" s="1" t="s">
        <v>64</v>
      </c>
      <c r="CK31" s="1">
        <v>0.03</v>
      </c>
      <c r="CL31" s="1">
        <v>0</v>
      </c>
      <c r="CM31" s="1">
        <v>3216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>
        <v>2172</v>
      </c>
      <c r="DY31" s="1">
        <v>96</v>
      </c>
      <c r="DZ31" s="1">
        <v>0.018</v>
      </c>
      <c r="EA31" s="1">
        <v>12</v>
      </c>
      <c r="EB31" s="1">
        <v>16568</v>
      </c>
      <c r="EC31" s="1">
        <v>0</v>
      </c>
      <c r="ED31" s="1">
        <v>0.018</v>
      </c>
      <c r="EE31" s="1">
        <v>0</v>
      </c>
      <c r="EF31" s="1">
        <v>0</v>
      </c>
      <c r="EG31" s="1">
        <v>1</v>
      </c>
      <c r="EH31" s="1">
        <v>0.05</v>
      </c>
      <c r="EI31" s="1">
        <v>0</v>
      </c>
      <c r="EJ31" s="1">
        <v>10156</v>
      </c>
      <c r="EK31" s="1">
        <v>0</v>
      </c>
      <c r="EL31" s="1" t="s">
        <v>64</v>
      </c>
      <c r="EM31" s="1">
        <v>0.05</v>
      </c>
      <c r="EN31" s="1">
        <v>0</v>
      </c>
      <c r="EO31" s="1">
        <v>3216</v>
      </c>
      <c r="EP31" s="1">
        <v>931</v>
      </c>
      <c r="EQ31" s="1">
        <v>40</v>
      </c>
      <c r="ER31" s="1">
        <v>0.01</v>
      </c>
      <c r="ES31" s="1">
        <v>0</v>
      </c>
      <c r="ET31" s="1">
        <v>14368</v>
      </c>
      <c r="EU31" s="1">
        <v>0</v>
      </c>
      <c r="EV31" s="1">
        <v>0.01</v>
      </c>
      <c r="EW31" s="1">
        <v>0</v>
      </c>
      <c r="EX31" s="1">
        <v>0</v>
      </c>
      <c r="EY31" s="1">
        <v>1</v>
      </c>
      <c r="EZ31" s="1">
        <v>0.03</v>
      </c>
      <c r="FA31" s="1">
        <v>0</v>
      </c>
      <c r="FB31" s="1">
        <v>9147</v>
      </c>
      <c r="FC31" s="1">
        <v>0</v>
      </c>
      <c r="FD31" s="1" t="s">
        <v>64</v>
      </c>
      <c r="FE31" s="1">
        <v>0.03</v>
      </c>
      <c r="FF31" s="1">
        <v>0</v>
      </c>
      <c r="FG31" s="1">
        <v>2696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931</v>
      </c>
      <c r="GA31" s="1">
        <v>36</v>
      </c>
      <c r="GB31" s="1">
        <v>0.015</v>
      </c>
      <c r="GC31" s="1">
        <v>3</v>
      </c>
      <c r="GD31" s="1">
        <v>17440</v>
      </c>
      <c r="GE31" s="1">
        <v>0</v>
      </c>
      <c r="GF31" s="1">
        <v>0.015</v>
      </c>
      <c r="GG31" s="1">
        <v>0</v>
      </c>
      <c r="GH31" s="1">
        <v>0</v>
      </c>
      <c r="GI31" s="1">
        <v>1</v>
      </c>
      <c r="GJ31" s="1">
        <v>0.04</v>
      </c>
      <c r="GK31" s="1">
        <v>0</v>
      </c>
      <c r="GL31" s="1">
        <v>9467</v>
      </c>
      <c r="GM31" s="1">
        <v>0</v>
      </c>
      <c r="GN31" s="1" t="s">
        <v>64</v>
      </c>
      <c r="GO31" s="1">
        <v>0.04</v>
      </c>
      <c r="GP31" s="1">
        <v>0</v>
      </c>
      <c r="GQ31" s="1">
        <v>3272</v>
      </c>
      <c r="GR31" s="1">
        <v>718</v>
      </c>
      <c r="GS31" s="1">
        <v>177</v>
      </c>
      <c r="GT31" s="1">
        <v>0.008</v>
      </c>
      <c r="GU31" s="1">
        <v>104</v>
      </c>
      <c r="GV31" s="1">
        <v>10368</v>
      </c>
      <c r="GW31" s="1">
        <v>0</v>
      </c>
      <c r="GX31" s="1">
        <v>0.008</v>
      </c>
      <c r="GY31" s="1">
        <v>0</v>
      </c>
      <c r="GZ31" s="1">
        <v>0</v>
      </c>
      <c r="HA31" s="1">
        <v>1</v>
      </c>
      <c r="HB31" s="1">
        <v>0.03</v>
      </c>
      <c r="HC31" s="1">
        <v>1</v>
      </c>
      <c r="HD31" s="1">
        <v>5950</v>
      </c>
      <c r="HE31" s="1">
        <v>0</v>
      </c>
      <c r="HF31" s="1" t="s">
        <v>64</v>
      </c>
      <c r="HG31" s="1">
        <v>0.03</v>
      </c>
      <c r="HH31" s="1">
        <v>0</v>
      </c>
      <c r="HI31" s="1">
        <v>2104</v>
      </c>
      <c r="HJ31" s="1">
        <v>944</v>
      </c>
      <c r="HK31" s="1">
        <v>38</v>
      </c>
      <c r="HL31" s="1">
        <v>0.101</v>
      </c>
      <c r="HM31" s="1">
        <v>0</v>
      </c>
      <c r="HN31" s="1">
        <v>14368</v>
      </c>
      <c r="HO31" s="1">
        <v>0</v>
      </c>
      <c r="HP31" s="1">
        <v>0.051</v>
      </c>
      <c r="HQ31" s="1">
        <v>15</v>
      </c>
      <c r="HR31" s="1">
        <v>0</v>
      </c>
      <c r="HS31" s="1">
        <v>1</v>
      </c>
      <c r="HT31" s="1">
        <v>0.13</v>
      </c>
      <c r="HU31" s="1">
        <v>0</v>
      </c>
      <c r="HV31" s="1">
        <v>8608</v>
      </c>
      <c r="HW31" s="1">
        <v>0.05</v>
      </c>
      <c r="HX31" s="1" t="s">
        <v>64</v>
      </c>
      <c r="HY31" s="1">
        <v>0.13</v>
      </c>
      <c r="HZ31" s="1">
        <v>0</v>
      </c>
      <c r="IA31" s="1">
        <v>2696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>
        <v>944</v>
      </c>
      <c r="JM31" s="1">
        <v>96</v>
      </c>
      <c r="JN31" s="1">
        <v>0.165</v>
      </c>
      <c r="JO31" s="1">
        <v>18</v>
      </c>
      <c r="JP31" s="1">
        <v>14368</v>
      </c>
      <c r="JQ31" s="1">
        <v>0</v>
      </c>
      <c r="JR31" s="1">
        <v>0.08500000000000001</v>
      </c>
      <c r="JS31" s="1">
        <v>15</v>
      </c>
      <c r="JT31" s="1">
        <v>0</v>
      </c>
      <c r="JU31" s="1">
        <v>1</v>
      </c>
      <c r="JV31" s="1">
        <v>0.29</v>
      </c>
      <c r="JW31" s="1">
        <v>0</v>
      </c>
      <c r="JX31" s="1">
        <v>8608</v>
      </c>
      <c r="JY31" s="1">
        <v>0.08</v>
      </c>
      <c r="JZ31" s="1" t="s">
        <v>64</v>
      </c>
      <c r="KA31" s="1">
        <v>0.29</v>
      </c>
      <c r="KB31" s="1">
        <v>0</v>
      </c>
      <c r="KC31" s="1">
        <v>2696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>
        <v>1399</v>
      </c>
      <c r="C32" s="1">
        <v>52</v>
      </c>
      <c r="D32" s="1">
        <v>0.018</v>
      </c>
      <c r="E32" s="1">
        <v>0</v>
      </c>
      <c r="F32" s="1">
        <v>31088</v>
      </c>
      <c r="G32" s="1">
        <v>0</v>
      </c>
      <c r="H32" s="1">
        <v>0.018</v>
      </c>
      <c r="I32" s="1">
        <v>0</v>
      </c>
      <c r="J32" s="1">
        <v>0</v>
      </c>
      <c r="K32" s="1">
        <v>1</v>
      </c>
      <c r="L32" s="1">
        <v>0.03</v>
      </c>
      <c r="M32" s="1">
        <v>0</v>
      </c>
      <c r="N32" s="1">
        <v>19973</v>
      </c>
      <c r="O32" s="1">
        <v>0</v>
      </c>
      <c r="P32" s="1" t="s">
        <v>64</v>
      </c>
      <c r="Q32" s="1">
        <v>0.03</v>
      </c>
      <c r="R32" s="1">
        <v>0</v>
      </c>
      <c r="S32" s="1">
        <v>5196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1399</v>
      </c>
      <c r="AM32" s="1">
        <v>68</v>
      </c>
      <c r="AN32" s="1">
        <v>0.03</v>
      </c>
      <c r="AO32" s="1">
        <v>18</v>
      </c>
      <c r="AP32" s="1">
        <v>37168</v>
      </c>
      <c r="AQ32" s="1">
        <v>0</v>
      </c>
      <c r="AR32" s="1">
        <v>0.03</v>
      </c>
      <c r="AS32" s="1">
        <v>0</v>
      </c>
      <c r="AT32" s="1">
        <v>0</v>
      </c>
      <c r="AU32" s="1">
        <v>1</v>
      </c>
      <c r="AV32" s="1">
        <v>0.05</v>
      </c>
      <c r="AW32" s="1">
        <v>0</v>
      </c>
      <c r="AX32" s="1">
        <v>20673</v>
      </c>
      <c r="AY32" s="1">
        <v>0</v>
      </c>
      <c r="AZ32" s="1" t="s">
        <v>64</v>
      </c>
      <c r="BA32" s="1">
        <v>0.05</v>
      </c>
      <c r="BB32" s="1">
        <v>0</v>
      </c>
      <c r="BC32" s="1">
        <v>6316</v>
      </c>
      <c r="BD32" s="1">
        <v>1072</v>
      </c>
      <c r="BE32" s="1">
        <v>456</v>
      </c>
      <c r="BF32" s="1">
        <v>0.021</v>
      </c>
      <c r="BG32" s="1">
        <v>248</v>
      </c>
      <c r="BH32" s="1">
        <v>21426</v>
      </c>
      <c r="BI32" s="1">
        <v>0</v>
      </c>
      <c r="BJ32" s="1">
        <v>0.021</v>
      </c>
      <c r="BK32" s="1">
        <v>0</v>
      </c>
      <c r="BL32" s="1">
        <v>0</v>
      </c>
      <c r="BM32" s="1">
        <v>1</v>
      </c>
      <c r="BN32" s="1">
        <v>0.05</v>
      </c>
      <c r="BO32" s="1">
        <v>3</v>
      </c>
      <c r="BP32" s="1">
        <v>12136</v>
      </c>
      <c r="BQ32" s="1">
        <v>0</v>
      </c>
      <c r="BR32" s="1" t="s">
        <v>64</v>
      </c>
      <c r="BS32" s="1">
        <v>0.05</v>
      </c>
      <c r="BT32" s="1">
        <v>0</v>
      </c>
      <c r="BU32" s="1">
        <v>4074</v>
      </c>
      <c r="BV32" s="1">
        <v>3428</v>
      </c>
      <c r="BW32" s="1">
        <v>50</v>
      </c>
      <c r="BX32" s="1">
        <v>0.051</v>
      </c>
      <c r="BY32" s="1">
        <v>0</v>
      </c>
      <c r="BZ32" s="1">
        <v>35518</v>
      </c>
      <c r="CA32" s="1">
        <v>0</v>
      </c>
      <c r="CB32" s="1">
        <v>0.051</v>
      </c>
      <c r="CC32" s="1">
        <v>5</v>
      </c>
      <c r="CD32" s="1">
        <v>0</v>
      </c>
      <c r="CE32" s="1">
        <v>1</v>
      </c>
      <c r="CF32" s="1">
        <v>0.17</v>
      </c>
      <c r="CG32" s="1">
        <v>0</v>
      </c>
      <c r="CH32" s="1">
        <v>21810</v>
      </c>
      <c r="CI32" s="1">
        <v>0</v>
      </c>
      <c r="CJ32" s="1" t="s">
        <v>64</v>
      </c>
      <c r="CK32" s="1">
        <v>0.17</v>
      </c>
      <c r="CL32" s="1">
        <v>0</v>
      </c>
      <c r="CM32" s="1">
        <v>6206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>
        <v>3428</v>
      </c>
      <c r="DY32" s="1">
        <v>431</v>
      </c>
      <c r="DZ32" s="1">
        <v>0.026</v>
      </c>
      <c r="EA32" s="1">
        <v>94</v>
      </c>
      <c r="EB32" s="1">
        <v>35518</v>
      </c>
      <c r="EC32" s="1">
        <v>0</v>
      </c>
      <c r="ED32" s="1">
        <v>0.026</v>
      </c>
      <c r="EE32" s="1">
        <v>0</v>
      </c>
      <c r="EF32" s="1">
        <v>0</v>
      </c>
      <c r="EG32" s="1">
        <v>1</v>
      </c>
      <c r="EH32" s="1">
        <v>0.04</v>
      </c>
      <c r="EI32" s="1">
        <v>1</v>
      </c>
      <c r="EJ32" s="1">
        <v>21810</v>
      </c>
      <c r="EK32" s="1">
        <v>0</v>
      </c>
      <c r="EL32" s="1" t="s">
        <v>64</v>
      </c>
      <c r="EM32" s="1">
        <v>0.04</v>
      </c>
      <c r="EN32" s="1">
        <v>0</v>
      </c>
      <c r="EO32" s="1">
        <v>6206</v>
      </c>
      <c r="EP32" s="1">
        <v>1399</v>
      </c>
      <c r="EQ32" s="1">
        <v>52</v>
      </c>
      <c r="ER32" s="1">
        <v>0.019</v>
      </c>
      <c r="ES32" s="1">
        <v>0</v>
      </c>
      <c r="ET32" s="1">
        <v>31088</v>
      </c>
      <c r="EU32" s="1">
        <v>0</v>
      </c>
      <c r="EV32" s="1">
        <v>0.019</v>
      </c>
      <c r="EW32" s="1">
        <v>0</v>
      </c>
      <c r="EX32" s="1">
        <v>0</v>
      </c>
      <c r="EY32" s="1">
        <v>1</v>
      </c>
      <c r="EZ32" s="1">
        <v>0.04</v>
      </c>
      <c r="FA32" s="1">
        <v>0</v>
      </c>
      <c r="FB32" s="1">
        <v>19973</v>
      </c>
      <c r="FC32" s="1">
        <v>0</v>
      </c>
      <c r="FD32" s="1" t="s">
        <v>64</v>
      </c>
      <c r="FE32" s="1">
        <v>0.04</v>
      </c>
      <c r="FF32" s="1">
        <v>0</v>
      </c>
      <c r="FG32" s="1">
        <v>5196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1399</v>
      </c>
      <c r="GA32" s="1">
        <v>68</v>
      </c>
      <c r="GB32" s="1">
        <v>0.028</v>
      </c>
      <c r="GC32" s="1">
        <v>18</v>
      </c>
      <c r="GD32" s="1">
        <v>37168</v>
      </c>
      <c r="GE32" s="1">
        <v>0</v>
      </c>
      <c r="GF32" s="1">
        <v>0.028</v>
      </c>
      <c r="GG32" s="1">
        <v>0</v>
      </c>
      <c r="GH32" s="1">
        <v>0</v>
      </c>
      <c r="GI32" s="1">
        <v>1</v>
      </c>
      <c r="GJ32" s="1">
        <v>0.05</v>
      </c>
      <c r="GK32" s="1">
        <v>0</v>
      </c>
      <c r="GL32" s="1">
        <v>20673</v>
      </c>
      <c r="GM32" s="1">
        <v>0</v>
      </c>
      <c r="GN32" s="1" t="s">
        <v>64</v>
      </c>
      <c r="GO32" s="1">
        <v>0.05</v>
      </c>
      <c r="GP32" s="1">
        <v>0</v>
      </c>
      <c r="GQ32" s="1">
        <v>6316</v>
      </c>
      <c r="GR32" s="1">
        <v>1072</v>
      </c>
      <c r="GS32" s="1">
        <v>456</v>
      </c>
      <c r="GT32" s="1">
        <v>0.016</v>
      </c>
      <c r="GU32" s="1">
        <v>248</v>
      </c>
      <c r="GV32" s="1">
        <v>21426</v>
      </c>
      <c r="GW32" s="1">
        <v>0</v>
      </c>
      <c r="GX32" s="1">
        <v>0.016</v>
      </c>
      <c r="GY32" s="1">
        <v>0</v>
      </c>
      <c r="GZ32" s="1">
        <v>0</v>
      </c>
      <c r="HA32" s="1">
        <v>1</v>
      </c>
      <c r="HB32" s="1">
        <v>0.03</v>
      </c>
      <c r="HC32" s="1">
        <v>3</v>
      </c>
      <c r="HD32" s="1">
        <v>12136</v>
      </c>
      <c r="HE32" s="1">
        <v>0</v>
      </c>
      <c r="HF32" s="1" t="s">
        <v>64</v>
      </c>
      <c r="HG32" s="1">
        <v>0.03</v>
      </c>
      <c r="HH32" s="1">
        <v>0</v>
      </c>
      <c r="HI32" s="1">
        <v>4074</v>
      </c>
      <c r="HJ32" s="1">
        <v>1412</v>
      </c>
      <c r="HK32" s="1">
        <v>52</v>
      </c>
      <c r="HL32" s="1">
        <v>0.212</v>
      </c>
      <c r="HM32" s="1">
        <v>0</v>
      </c>
      <c r="HN32" s="1">
        <v>31088</v>
      </c>
      <c r="HO32" s="1">
        <v>0</v>
      </c>
      <c r="HP32" s="1">
        <v>0.112</v>
      </c>
      <c r="HQ32" s="1">
        <v>17</v>
      </c>
      <c r="HR32" s="1">
        <v>0</v>
      </c>
      <c r="HS32" s="1">
        <v>1</v>
      </c>
      <c r="HT32" s="1">
        <v>0.24</v>
      </c>
      <c r="HU32" s="1">
        <v>0</v>
      </c>
      <c r="HV32" s="1">
        <v>19094</v>
      </c>
      <c r="HW32" s="1">
        <v>0.1</v>
      </c>
      <c r="HX32" s="1" t="s">
        <v>64</v>
      </c>
      <c r="HY32" s="1">
        <v>0.24</v>
      </c>
      <c r="HZ32" s="1">
        <v>0</v>
      </c>
      <c r="IA32" s="1">
        <v>5196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>
        <v>1412</v>
      </c>
      <c r="JM32" s="1">
        <v>257</v>
      </c>
      <c r="JN32" s="1">
        <v>0.341</v>
      </c>
      <c r="JO32" s="1">
        <v>94</v>
      </c>
      <c r="JP32" s="1">
        <v>31088</v>
      </c>
      <c r="JQ32" s="1">
        <v>0</v>
      </c>
      <c r="JR32" s="1">
        <v>0.08100000000000002</v>
      </c>
      <c r="JS32" s="1">
        <v>17</v>
      </c>
      <c r="JT32" s="1">
        <v>0</v>
      </c>
      <c r="JU32" s="1">
        <v>1</v>
      </c>
      <c r="JV32" s="1">
        <v>0.37</v>
      </c>
      <c r="JW32" s="1">
        <v>0</v>
      </c>
      <c r="JX32" s="1">
        <v>19094</v>
      </c>
      <c r="JY32" s="1">
        <v>0.26</v>
      </c>
      <c r="JZ32" s="1" t="s">
        <v>64</v>
      </c>
      <c r="KA32" s="1">
        <v>0.37</v>
      </c>
      <c r="KB32" s="1">
        <v>0</v>
      </c>
      <c r="KC32" s="1">
        <v>5196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>
        <v>157485</v>
      </c>
      <c r="C33" s="1">
        <v>199</v>
      </c>
      <c r="D33" s="1">
        <v>51.004</v>
      </c>
      <c r="E33" s="1">
        <v>0</v>
      </c>
      <c r="F33" s="1">
        <v>45425967</v>
      </c>
      <c r="G33" s="1">
        <v>0</v>
      </c>
      <c r="H33" s="1">
        <v>50.274</v>
      </c>
      <c r="I33" s="1">
        <v>4474</v>
      </c>
      <c r="J33" s="1">
        <v>0</v>
      </c>
      <c r="K33" s="1">
        <v>1</v>
      </c>
      <c r="L33" s="1">
        <v>51.95</v>
      </c>
      <c r="M33" s="1">
        <v>0</v>
      </c>
      <c r="N33" s="1">
        <v>30173366</v>
      </c>
      <c r="O33" s="1">
        <v>0.73</v>
      </c>
      <c r="P33" s="1" t="s">
        <v>64</v>
      </c>
      <c r="Q33" s="1">
        <v>51.95</v>
      </c>
      <c r="R33" s="1">
        <v>0</v>
      </c>
      <c r="S33" s="1">
        <v>5134488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>
        <v>203258</v>
      </c>
      <c r="AM33" s="1">
        <v>715694</v>
      </c>
      <c r="AN33" s="1">
        <v>527.298</v>
      </c>
      <c r="AO33" s="1">
        <v>35364</v>
      </c>
      <c r="AP33" s="1">
        <v>53205567</v>
      </c>
      <c r="AQ33" s="1">
        <v>0</v>
      </c>
      <c r="AR33" s="1">
        <v>61.33800000000002</v>
      </c>
      <c r="AS33" s="1">
        <v>4092</v>
      </c>
      <c r="AT33" s="1">
        <v>0</v>
      </c>
      <c r="AU33" s="1">
        <v>1</v>
      </c>
      <c r="AV33" s="1">
        <v>528.26</v>
      </c>
      <c r="AW33" s="1">
        <v>125</v>
      </c>
      <c r="AX33" s="1">
        <v>30251773</v>
      </c>
      <c r="AY33" s="1">
        <v>465.96</v>
      </c>
      <c r="AZ33" s="1" t="s">
        <v>64</v>
      </c>
      <c r="BA33" s="1">
        <v>528.26</v>
      </c>
      <c r="BB33" s="1">
        <v>0</v>
      </c>
      <c r="BC33" s="1">
        <v>5173886</v>
      </c>
      <c r="BD33" s="1">
        <v>124406</v>
      </c>
      <c r="BE33" s="1">
        <v>3329783</v>
      </c>
      <c r="BF33" s="1">
        <v>599.9880000000001</v>
      </c>
      <c r="BG33" s="1">
        <v>87461</v>
      </c>
      <c r="BH33" s="1">
        <v>19516377</v>
      </c>
      <c r="BI33" s="1">
        <v>0</v>
      </c>
      <c r="BJ33" s="1">
        <v>21.00800000000004</v>
      </c>
      <c r="BK33" s="1">
        <v>1335</v>
      </c>
      <c r="BL33" s="1">
        <v>0</v>
      </c>
      <c r="BM33" s="1">
        <v>0</v>
      </c>
      <c r="BN33" s="1">
        <v>1200</v>
      </c>
      <c r="BO33" s="1">
        <v>253</v>
      </c>
      <c r="BP33" s="1">
        <v>25051578</v>
      </c>
      <c r="BQ33" s="1">
        <v>578.98</v>
      </c>
      <c r="BR33" s="1" t="s">
        <v>65</v>
      </c>
      <c r="BS33" s="1">
        <v>600</v>
      </c>
      <c r="BT33" s="1">
        <v>1</v>
      </c>
      <c r="BU33" s="1">
        <v>146298</v>
      </c>
      <c r="BV33" s="1">
        <v>156092</v>
      </c>
      <c r="BW33" s="1">
        <v>136</v>
      </c>
      <c r="BX33" s="1">
        <v>23.176</v>
      </c>
      <c r="BY33" s="1">
        <v>14</v>
      </c>
      <c r="BZ33" s="1">
        <v>28364821</v>
      </c>
      <c r="CA33" s="1">
        <v>0</v>
      </c>
      <c r="CB33" s="1">
        <v>22.816</v>
      </c>
      <c r="CC33" s="1">
        <v>2102</v>
      </c>
      <c r="CD33" s="1">
        <v>0</v>
      </c>
      <c r="CE33" s="1">
        <v>1</v>
      </c>
      <c r="CF33" s="1">
        <v>23.56</v>
      </c>
      <c r="CG33" s="1">
        <v>0</v>
      </c>
      <c r="CH33" s="1">
        <v>26606033</v>
      </c>
      <c r="CI33" s="1">
        <v>0.36</v>
      </c>
      <c r="CJ33" s="1" t="s">
        <v>64</v>
      </c>
      <c r="CK33" s="1">
        <v>23.56</v>
      </c>
      <c r="CL33" s="1">
        <v>0</v>
      </c>
      <c r="CM33" s="1">
        <v>1597016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>
        <v>156092</v>
      </c>
      <c r="DY33" s="1">
        <v>174593</v>
      </c>
      <c r="DZ33" s="1">
        <v>226.691</v>
      </c>
      <c r="EA33" s="1">
        <v>6468</v>
      </c>
      <c r="EB33" s="1">
        <v>28364821</v>
      </c>
      <c r="EC33" s="1">
        <v>0</v>
      </c>
      <c r="ED33" s="1">
        <v>26.691</v>
      </c>
      <c r="EE33" s="1">
        <v>2108</v>
      </c>
      <c r="EF33" s="1">
        <v>0</v>
      </c>
      <c r="EG33" s="1">
        <v>1</v>
      </c>
      <c r="EH33" s="1">
        <v>227.38</v>
      </c>
      <c r="EI33" s="1">
        <v>30</v>
      </c>
      <c r="EJ33" s="1">
        <v>26606033</v>
      </c>
      <c r="EK33" s="1">
        <v>200</v>
      </c>
      <c r="EL33" s="1" t="s">
        <v>64</v>
      </c>
      <c r="EM33" s="1">
        <v>227.38</v>
      </c>
      <c r="EN33" s="1">
        <v>0</v>
      </c>
      <c r="EO33" s="1">
        <v>1597016</v>
      </c>
      <c r="EP33" s="1">
        <v>157485</v>
      </c>
      <c r="EQ33" s="1">
        <v>199</v>
      </c>
      <c r="ER33" s="1">
        <v>61.395</v>
      </c>
      <c r="ES33" s="1">
        <v>0</v>
      </c>
      <c r="ET33" s="1">
        <v>45425967</v>
      </c>
      <c r="EU33" s="1">
        <v>0</v>
      </c>
      <c r="EV33" s="1">
        <v>60.125</v>
      </c>
      <c r="EW33" s="1">
        <v>4481</v>
      </c>
      <c r="EX33" s="1">
        <v>0</v>
      </c>
      <c r="EY33" s="1">
        <v>1</v>
      </c>
      <c r="EZ33" s="1">
        <v>62.87</v>
      </c>
      <c r="FA33" s="1">
        <v>0</v>
      </c>
      <c r="FB33" s="1">
        <v>30173366</v>
      </c>
      <c r="FC33" s="1">
        <v>1.27</v>
      </c>
      <c r="FD33" s="1" t="s">
        <v>64</v>
      </c>
      <c r="FE33" s="1">
        <v>62.87</v>
      </c>
      <c r="FF33" s="1">
        <v>0</v>
      </c>
      <c r="FG33" s="1">
        <v>5134488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203258</v>
      </c>
      <c r="GA33" s="1">
        <v>273476</v>
      </c>
      <c r="GB33" s="1">
        <v>599.985</v>
      </c>
      <c r="GC33" s="1">
        <v>19873</v>
      </c>
      <c r="GD33" s="1">
        <v>53205567</v>
      </c>
      <c r="GE33" s="1">
        <v>0</v>
      </c>
      <c r="GF33" s="1">
        <v>74.95500000000004</v>
      </c>
      <c r="GG33" s="1">
        <v>4099</v>
      </c>
      <c r="GH33" s="1">
        <v>0</v>
      </c>
      <c r="GI33" s="1">
        <v>0</v>
      </c>
      <c r="GJ33" s="1">
        <v>1200</v>
      </c>
      <c r="GK33" s="1">
        <v>77</v>
      </c>
      <c r="GL33" s="1">
        <v>30251773</v>
      </c>
      <c r="GM33" s="1">
        <v>525.03</v>
      </c>
      <c r="GN33" s="1" t="s">
        <v>65</v>
      </c>
      <c r="GO33" s="1">
        <v>600</v>
      </c>
      <c r="GP33" s="1">
        <v>1</v>
      </c>
      <c r="GQ33" s="1">
        <v>5173886</v>
      </c>
      <c r="GR33" s="1">
        <v>124406</v>
      </c>
      <c r="GS33" s="1">
        <v>3303434</v>
      </c>
      <c r="GT33" s="1">
        <v>599.915</v>
      </c>
      <c r="GU33" s="1">
        <v>86853</v>
      </c>
      <c r="GV33" s="1">
        <v>19516377</v>
      </c>
      <c r="GW33" s="1">
        <v>0</v>
      </c>
      <c r="GX33" s="1">
        <v>21.35500000000002</v>
      </c>
      <c r="GY33" s="1">
        <v>1450</v>
      </c>
      <c r="GZ33" s="1">
        <v>0</v>
      </c>
      <c r="HA33" s="1">
        <v>0</v>
      </c>
      <c r="HB33" s="1">
        <v>1200</v>
      </c>
      <c r="HC33" s="1">
        <v>253</v>
      </c>
      <c r="HD33" s="1">
        <v>25051578</v>
      </c>
      <c r="HE33" s="1">
        <v>578.5599999999999</v>
      </c>
      <c r="HF33" s="1" t="s">
        <v>65</v>
      </c>
      <c r="HG33" s="1">
        <v>600</v>
      </c>
      <c r="HH33" s="1">
        <v>1</v>
      </c>
      <c r="HI33" s="1">
        <v>146298</v>
      </c>
      <c r="HJ33" s="1">
        <v>126096</v>
      </c>
      <c r="HK33" s="1">
        <v>117</v>
      </c>
      <c r="HL33" s="1">
        <v>26.046</v>
      </c>
      <c r="HM33" s="1">
        <v>23</v>
      </c>
      <c r="HN33" s="1">
        <v>28355016</v>
      </c>
      <c r="HO33" s="1">
        <v>0</v>
      </c>
      <c r="HP33" s="1">
        <v>24.506</v>
      </c>
      <c r="HQ33" s="1">
        <v>2077</v>
      </c>
      <c r="HR33" s="1">
        <v>0</v>
      </c>
      <c r="HS33" s="1">
        <v>1</v>
      </c>
      <c r="HT33" s="1">
        <v>26.36</v>
      </c>
      <c r="HU33" s="1">
        <v>0</v>
      </c>
      <c r="HV33" s="1">
        <v>26566236</v>
      </c>
      <c r="HW33" s="1">
        <v>1.54</v>
      </c>
      <c r="HX33" s="1" t="s">
        <v>64</v>
      </c>
      <c r="HY33" s="1">
        <v>26.36</v>
      </c>
      <c r="HZ33" s="1">
        <v>0</v>
      </c>
      <c r="IA33" s="1">
        <v>1596917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>
        <v>126096</v>
      </c>
      <c r="JM33" s="1">
        <v>453939</v>
      </c>
      <c r="JN33" s="1">
        <v>599.984</v>
      </c>
      <c r="JO33" s="1">
        <v>12827</v>
      </c>
      <c r="JP33" s="1">
        <v>28355016</v>
      </c>
      <c r="JQ33" s="1">
        <v>0</v>
      </c>
      <c r="JR33" s="1">
        <v>30.10400000000004</v>
      </c>
      <c r="JS33" s="1">
        <v>2077</v>
      </c>
      <c r="JT33" s="1">
        <v>0</v>
      </c>
      <c r="JU33" s="1">
        <v>0</v>
      </c>
      <c r="JV33" s="1">
        <v>1200</v>
      </c>
      <c r="JW33" s="1">
        <v>59</v>
      </c>
      <c r="JX33" s="1">
        <v>26566236</v>
      </c>
      <c r="JY33" s="1">
        <v>569.88</v>
      </c>
      <c r="JZ33" s="1" t="s">
        <v>65</v>
      </c>
      <c r="KA33" s="1">
        <v>600</v>
      </c>
      <c r="KB33" s="1">
        <v>1</v>
      </c>
      <c r="KC33" s="1">
        <v>1596917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>
        <v>226185</v>
      </c>
      <c r="C34" s="1">
        <v>235</v>
      </c>
      <c r="D34" s="1">
        <v>83.63500000000001</v>
      </c>
      <c r="E34" s="1">
        <v>0</v>
      </c>
      <c r="F34" s="1">
        <v>71559127</v>
      </c>
      <c r="G34" s="1">
        <v>0</v>
      </c>
      <c r="H34" s="1">
        <v>82.465</v>
      </c>
      <c r="I34" s="1">
        <v>7035</v>
      </c>
      <c r="J34" s="1">
        <v>0</v>
      </c>
      <c r="K34" s="1">
        <v>1</v>
      </c>
      <c r="L34" s="1">
        <v>85.06</v>
      </c>
      <c r="M34" s="1">
        <v>0</v>
      </c>
      <c r="N34" s="1">
        <v>51109366</v>
      </c>
      <c r="O34" s="1">
        <v>1.17</v>
      </c>
      <c r="P34" s="1" t="s">
        <v>64</v>
      </c>
      <c r="Q34" s="1">
        <v>85.06</v>
      </c>
      <c r="R34" s="1">
        <v>0</v>
      </c>
      <c r="S34" s="1">
        <v>7440048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>
        <v>291918</v>
      </c>
      <c r="AM34" s="1">
        <v>1427569</v>
      </c>
      <c r="AN34" s="1">
        <v>600.002</v>
      </c>
      <c r="AO34" s="1">
        <v>20329</v>
      </c>
      <c r="AP34" s="1">
        <v>82844907</v>
      </c>
      <c r="AQ34" s="1">
        <v>0</v>
      </c>
      <c r="AR34" s="1">
        <v>102.242</v>
      </c>
      <c r="AS34" s="1">
        <v>6416</v>
      </c>
      <c r="AT34" s="1">
        <v>0</v>
      </c>
      <c r="AU34" s="1">
        <v>0</v>
      </c>
      <c r="AV34" s="1">
        <v>1200</v>
      </c>
      <c r="AW34" s="1">
        <v>83</v>
      </c>
      <c r="AX34" s="1">
        <v>51223903</v>
      </c>
      <c r="AY34" s="1">
        <v>497.76</v>
      </c>
      <c r="AZ34" s="1" t="s">
        <v>65</v>
      </c>
      <c r="BA34" s="1">
        <v>600</v>
      </c>
      <c r="BB34" s="1">
        <v>1</v>
      </c>
      <c r="BC34" s="1">
        <v>7500466</v>
      </c>
      <c r="BD34" s="1">
        <v>179286</v>
      </c>
      <c r="BE34" s="1">
        <v>4404389</v>
      </c>
      <c r="BF34" s="1">
        <v>600.001</v>
      </c>
      <c r="BG34" s="1">
        <v>97449</v>
      </c>
      <c r="BH34" s="1">
        <v>34001307</v>
      </c>
      <c r="BI34" s="1">
        <v>0</v>
      </c>
      <c r="BJ34" s="1">
        <v>30.41099999999994</v>
      </c>
      <c r="BK34" s="1">
        <v>2305</v>
      </c>
      <c r="BL34" s="1">
        <v>0</v>
      </c>
      <c r="BM34" s="1">
        <v>0</v>
      </c>
      <c r="BN34" s="1">
        <v>1200</v>
      </c>
      <c r="BO34" s="1">
        <v>254</v>
      </c>
      <c r="BP34" s="1">
        <v>43695218</v>
      </c>
      <c r="BQ34" s="1">
        <v>569.59</v>
      </c>
      <c r="BR34" s="1" t="s">
        <v>65</v>
      </c>
      <c r="BS34" s="1">
        <v>600</v>
      </c>
      <c r="BT34" s="1">
        <v>1</v>
      </c>
      <c r="BU34" s="1">
        <v>211548</v>
      </c>
      <c r="BV34" s="1">
        <v>224512</v>
      </c>
      <c r="BW34" s="1">
        <v>162</v>
      </c>
      <c r="BX34" s="1">
        <v>39.258</v>
      </c>
      <c r="BY34" s="1">
        <v>16</v>
      </c>
      <c r="BZ34" s="1">
        <v>46859311</v>
      </c>
      <c r="CA34" s="1">
        <v>0</v>
      </c>
      <c r="CB34" s="1">
        <v>38.668</v>
      </c>
      <c r="CC34" s="1">
        <v>3449</v>
      </c>
      <c r="CD34" s="1">
        <v>0</v>
      </c>
      <c r="CE34" s="1">
        <v>1</v>
      </c>
      <c r="CF34" s="1">
        <v>39.83</v>
      </c>
      <c r="CG34" s="1">
        <v>0</v>
      </c>
      <c r="CH34" s="1">
        <v>45944493</v>
      </c>
      <c r="CI34" s="1">
        <v>0.59</v>
      </c>
      <c r="CJ34" s="1" t="s">
        <v>64</v>
      </c>
      <c r="CK34" s="1">
        <v>39.83</v>
      </c>
      <c r="CL34" s="1">
        <v>0</v>
      </c>
      <c r="CM34" s="1">
        <v>2319326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>
        <v>224512</v>
      </c>
      <c r="DY34" s="1">
        <v>81028</v>
      </c>
      <c r="DZ34" s="1">
        <v>599.99</v>
      </c>
      <c r="EA34" s="1">
        <v>9962</v>
      </c>
      <c r="EB34" s="1">
        <v>46859311</v>
      </c>
      <c r="EC34" s="1">
        <v>0</v>
      </c>
      <c r="ED34" s="1">
        <v>46.20000000000005</v>
      </c>
      <c r="EE34" s="1">
        <v>3459</v>
      </c>
      <c r="EF34" s="1">
        <v>0</v>
      </c>
      <c r="EG34" s="1">
        <v>0</v>
      </c>
      <c r="EH34" s="1">
        <v>1200</v>
      </c>
      <c r="EI34" s="1">
        <v>30</v>
      </c>
      <c r="EJ34" s="1">
        <v>45944493</v>
      </c>
      <c r="EK34" s="1">
        <v>553.79</v>
      </c>
      <c r="EL34" s="1" t="s">
        <v>65</v>
      </c>
      <c r="EM34" s="1">
        <v>600</v>
      </c>
      <c r="EN34" s="1">
        <v>1</v>
      </c>
      <c r="EO34" s="1">
        <v>2319326</v>
      </c>
      <c r="EP34" s="1">
        <v>226185</v>
      </c>
      <c r="EQ34" s="1">
        <v>235</v>
      </c>
      <c r="ER34" s="1">
        <v>99.881</v>
      </c>
      <c r="ES34" s="1">
        <v>0</v>
      </c>
      <c r="ET34" s="1">
        <v>71559127</v>
      </c>
      <c r="EU34" s="1">
        <v>0</v>
      </c>
      <c r="EV34" s="1">
        <v>97.84099999999999</v>
      </c>
      <c r="EW34" s="1">
        <v>7056</v>
      </c>
      <c r="EX34" s="1">
        <v>0</v>
      </c>
      <c r="EY34" s="1">
        <v>1</v>
      </c>
      <c r="EZ34" s="1">
        <v>102.03</v>
      </c>
      <c r="FA34" s="1">
        <v>0</v>
      </c>
      <c r="FB34" s="1">
        <v>51109366</v>
      </c>
      <c r="FC34" s="1">
        <v>2.04</v>
      </c>
      <c r="FD34" s="1" t="s">
        <v>64</v>
      </c>
      <c r="FE34" s="1">
        <v>102.03</v>
      </c>
      <c r="FF34" s="1">
        <v>0</v>
      </c>
      <c r="FG34" s="1">
        <v>7440048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291918</v>
      </c>
      <c r="GA34" s="1">
        <v>816003</v>
      </c>
      <c r="GB34" s="1">
        <v>599.992</v>
      </c>
      <c r="GC34" s="1">
        <v>10329</v>
      </c>
      <c r="GD34" s="1">
        <v>82844907</v>
      </c>
      <c r="GE34" s="1">
        <v>0</v>
      </c>
      <c r="GF34" s="1">
        <v>128.0119999999999</v>
      </c>
      <c r="GG34" s="1">
        <v>6427</v>
      </c>
      <c r="GH34" s="1">
        <v>0</v>
      </c>
      <c r="GI34" s="1">
        <v>0</v>
      </c>
      <c r="GJ34" s="1">
        <v>1200</v>
      </c>
      <c r="GK34" s="1">
        <v>52</v>
      </c>
      <c r="GL34" s="1">
        <v>51223903</v>
      </c>
      <c r="GM34" s="1">
        <v>471.98</v>
      </c>
      <c r="GN34" s="1" t="s">
        <v>65</v>
      </c>
      <c r="GO34" s="1">
        <v>600</v>
      </c>
      <c r="GP34" s="1">
        <v>1</v>
      </c>
      <c r="GQ34" s="1">
        <v>7500466</v>
      </c>
      <c r="GR34" s="1">
        <v>179286</v>
      </c>
      <c r="GS34" s="1">
        <v>2042505</v>
      </c>
      <c r="GT34" s="1">
        <v>599.9880000000001</v>
      </c>
      <c r="GU34" s="1">
        <v>39306</v>
      </c>
      <c r="GV34" s="1">
        <v>34001307</v>
      </c>
      <c r="GW34" s="1">
        <v>0</v>
      </c>
      <c r="GX34" s="1">
        <v>37.53800000000001</v>
      </c>
      <c r="GY34" s="1">
        <v>2323</v>
      </c>
      <c r="GZ34" s="1">
        <v>0</v>
      </c>
      <c r="HA34" s="1">
        <v>0</v>
      </c>
      <c r="HB34" s="1">
        <v>1200</v>
      </c>
      <c r="HC34" s="1">
        <v>125</v>
      </c>
      <c r="HD34" s="1">
        <v>43695218</v>
      </c>
      <c r="HE34" s="1">
        <v>562.45</v>
      </c>
      <c r="HF34" s="1" t="s">
        <v>65</v>
      </c>
      <c r="HG34" s="1">
        <v>600</v>
      </c>
      <c r="HH34" s="1">
        <v>1</v>
      </c>
      <c r="HI34" s="1">
        <v>211548</v>
      </c>
      <c r="HJ34" s="1">
        <v>181316</v>
      </c>
      <c r="HK34" s="1">
        <v>150</v>
      </c>
      <c r="HL34" s="1">
        <v>44.292</v>
      </c>
      <c r="HM34" s="1">
        <v>27</v>
      </c>
      <c r="HN34" s="1">
        <v>46845146</v>
      </c>
      <c r="HO34" s="1">
        <v>0</v>
      </c>
      <c r="HP34" s="1">
        <v>41.552</v>
      </c>
      <c r="HQ34" s="1">
        <v>3412</v>
      </c>
      <c r="HR34" s="1">
        <v>0</v>
      </c>
      <c r="HS34" s="1">
        <v>1</v>
      </c>
      <c r="HT34" s="1">
        <v>44.76</v>
      </c>
      <c r="HU34" s="1">
        <v>0</v>
      </c>
      <c r="HV34" s="1">
        <v>45887136</v>
      </c>
      <c r="HW34" s="1">
        <v>2.74</v>
      </c>
      <c r="HX34" s="1" t="s">
        <v>64</v>
      </c>
      <c r="HY34" s="1">
        <v>44.76</v>
      </c>
      <c r="HZ34" s="1">
        <v>0</v>
      </c>
      <c r="IA34" s="1">
        <v>2319207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>
        <v>181316</v>
      </c>
      <c r="JM34" s="1">
        <v>288605</v>
      </c>
      <c r="JN34" s="1">
        <v>599.909</v>
      </c>
      <c r="JO34" s="1">
        <v>6108</v>
      </c>
      <c r="JP34" s="1">
        <v>46845146</v>
      </c>
      <c r="JQ34" s="1">
        <v>0</v>
      </c>
      <c r="JR34" s="1">
        <v>51.149</v>
      </c>
      <c r="JS34" s="1">
        <v>3411</v>
      </c>
      <c r="JT34" s="1">
        <v>0</v>
      </c>
      <c r="JU34" s="1">
        <v>0</v>
      </c>
      <c r="JV34" s="1">
        <v>1200</v>
      </c>
      <c r="JW34" s="1">
        <v>29</v>
      </c>
      <c r="JX34" s="1">
        <v>45887136</v>
      </c>
      <c r="JY34" s="1">
        <v>548.76</v>
      </c>
      <c r="JZ34" s="1" t="s">
        <v>65</v>
      </c>
      <c r="KA34" s="1">
        <v>600</v>
      </c>
      <c r="KB34" s="1">
        <v>1</v>
      </c>
      <c r="KC34" s="1">
        <v>2319207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 t="s">
        <v>32</v>
      </c>
      <c r="B35" s="1">
        <v>307285</v>
      </c>
      <c r="C35" s="1">
        <v>275</v>
      </c>
      <c r="D35" s="1">
        <v>126.845</v>
      </c>
      <c r="E35" s="1">
        <v>0</v>
      </c>
      <c r="F35" s="1">
        <v>105671887</v>
      </c>
      <c r="G35" s="1">
        <v>0</v>
      </c>
      <c r="H35" s="1">
        <v>125.085</v>
      </c>
      <c r="I35" s="1">
        <v>10200</v>
      </c>
      <c r="J35" s="1">
        <v>0</v>
      </c>
      <c r="K35" s="1">
        <v>1</v>
      </c>
      <c r="L35" s="1">
        <v>128.7</v>
      </c>
      <c r="M35" s="1">
        <v>0</v>
      </c>
      <c r="N35" s="1">
        <v>79980566</v>
      </c>
      <c r="O35" s="1">
        <v>1.76</v>
      </c>
      <c r="P35" s="1" t="s">
        <v>64</v>
      </c>
      <c r="Q35" s="1">
        <v>128.7</v>
      </c>
      <c r="R35" s="1">
        <v>0</v>
      </c>
      <c r="S35" s="1">
        <v>10172008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>
        <v>396578</v>
      </c>
      <c r="AM35" s="1">
        <v>1096657</v>
      </c>
      <c r="AN35" s="1">
        <v>600</v>
      </c>
      <c r="AO35" s="1">
        <v>18517</v>
      </c>
      <c r="AP35" s="1">
        <v>121114247</v>
      </c>
      <c r="AQ35" s="1">
        <v>0</v>
      </c>
      <c r="AR35" s="1">
        <v>157.69</v>
      </c>
      <c r="AS35" s="1">
        <v>9068</v>
      </c>
      <c r="AT35" s="1">
        <v>0</v>
      </c>
      <c r="AU35" s="1">
        <v>0</v>
      </c>
      <c r="AV35" s="1">
        <v>1200</v>
      </c>
      <c r="AW35" s="1">
        <v>66</v>
      </c>
      <c r="AX35" s="1">
        <v>80138033</v>
      </c>
      <c r="AY35" s="1">
        <v>442.31</v>
      </c>
      <c r="AZ35" s="1" t="s">
        <v>65</v>
      </c>
      <c r="BA35" s="1">
        <v>600</v>
      </c>
      <c r="BB35" s="1">
        <v>1</v>
      </c>
      <c r="BC35" s="1">
        <v>10257846</v>
      </c>
      <c r="BD35" s="1">
        <v>244166</v>
      </c>
      <c r="BE35" s="1">
        <v>3473232</v>
      </c>
      <c r="BF35" s="1">
        <v>600</v>
      </c>
      <c r="BG35" s="1">
        <v>65797</v>
      </c>
      <c r="BH35" s="1">
        <v>54309437</v>
      </c>
      <c r="BI35" s="1">
        <v>0</v>
      </c>
      <c r="BJ35" s="1">
        <v>49.64999999999998</v>
      </c>
      <c r="BK35" s="1">
        <v>3477</v>
      </c>
      <c r="BL35" s="1">
        <v>0</v>
      </c>
      <c r="BM35" s="1">
        <v>0</v>
      </c>
      <c r="BN35" s="1">
        <v>1200</v>
      </c>
      <c r="BO35" s="1">
        <v>189</v>
      </c>
      <c r="BP35" s="1">
        <v>69851258</v>
      </c>
      <c r="BQ35" s="1">
        <v>550.35</v>
      </c>
      <c r="BR35" s="1" t="s">
        <v>65</v>
      </c>
      <c r="BS35" s="1">
        <v>600</v>
      </c>
      <c r="BT35" s="1">
        <v>1</v>
      </c>
      <c r="BU35" s="1">
        <v>288798</v>
      </c>
      <c r="BV35" s="1">
        <v>305332</v>
      </c>
      <c r="BW35" s="1">
        <v>191</v>
      </c>
      <c r="BX35" s="1">
        <v>61.113</v>
      </c>
      <c r="BY35" s="1">
        <v>19</v>
      </c>
      <c r="BZ35" s="1">
        <v>71924201</v>
      </c>
      <c r="CA35" s="1">
        <v>0</v>
      </c>
      <c r="CB35" s="1">
        <v>60.143</v>
      </c>
      <c r="CC35" s="1">
        <v>4951</v>
      </c>
      <c r="CD35" s="1">
        <v>0</v>
      </c>
      <c r="CE35" s="1">
        <v>1</v>
      </c>
      <c r="CF35" s="1">
        <v>61.93</v>
      </c>
      <c r="CG35" s="1">
        <v>0</v>
      </c>
      <c r="CH35" s="1">
        <v>72923353</v>
      </c>
      <c r="CI35" s="1">
        <v>0.97</v>
      </c>
      <c r="CJ35" s="1" t="s">
        <v>64</v>
      </c>
      <c r="CK35" s="1">
        <v>61.93</v>
      </c>
      <c r="CL35" s="1">
        <v>0</v>
      </c>
      <c r="CM35" s="1">
        <v>3176036</v>
      </c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>
        <v>305332</v>
      </c>
      <c r="DY35" s="1">
        <v>434816</v>
      </c>
      <c r="DZ35" s="1">
        <v>599.944</v>
      </c>
      <c r="EA35" s="1">
        <v>11601</v>
      </c>
      <c r="EB35" s="1">
        <v>71924201</v>
      </c>
      <c r="EC35" s="1">
        <v>0</v>
      </c>
      <c r="ED35" s="1">
        <v>60.08399999999995</v>
      </c>
      <c r="EE35" s="1">
        <v>4970</v>
      </c>
      <c r="EF35" s="1">
        <v>0</v>
      </c>
      <c r="EG35" s="1">
        <v>0</v>
      </c>
      <c r="EH35" s="1">
        <v>1200</v>
      </c>
      <c r="EI35" s="1">
        <v>47</v>
      </c>
      <c r="EJ35" s="1">
        <v>72923353</v>
      </c>
      <c r="EK35" s="1">
        <v>539.86</v>
      </c>
      <c r="EL35" s="1" t="s">
        <v>65</v>
      </c>
      <c r="EM35" s="1">
        <v>600</v>
      </c>
      <c r="EN35" s="1">
        <v>1</v>
      </c>
      <c r="EO35" s="1">
        <v>3176036</v>
      </c>
      <c r="EP35" s="1">
        <v>307285</v>
      </c>
      <c r="EQ35" s="1">
        <v>275</v>
      </c>
      <c r="ER35" s="1">
        <v>156.106</v>
      </c>
      <c r="ES35" s="1">
        <v>0</v>
      </c>
      <c r="ET35" s="1">
        <v>105671887</v>
      </c>
      <c r="EU35" s="1">
        <v>0</v>
      </c>
      <c r="EV35" s="1">
        <v>152.906</v>
      </c>
      <c r="EW35" s="1">
        <v>10200</v>
      </c>
      <c r="EX35" s="1">
        <v>0</v>
      </c>
      <c r="EY35" s="1">
        <v>1</v>
      </c>
      <c r="EZ35" s="1">
        <v>159.21</v>
      </c>
      <c r="FA35" s="1">
        <v>0</v>
      </c>
      <c r="FB35" s="1">
        <v>79980566</v>
      </c>
      <c r="FC35" s="1">
        <v>3.2</v>
      </c>
      <c r="FD35" s="1" t="s">
        <v>64</v>
      </c>
      <c r="FE35" s="1">
        <v>159.21</v>
      </c>
      <c r="FF35" s="1">
        <v>0</v>
      </c>
      <c r="FG35" s="1">
        <v>10172008</v>
      </c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>
        <v>396578</v>
      </c>
      <c r="GA35" s="1">
        <v>504467</v>
      </c>
      <c r="GB35" s="1">
        <v>599.986</v>
      </c>
      <c r="GC35" s="1">
        <v>7839</v>
      </c>
      <c r="GD35" s="1">
        <v>121114247</v>
      </c>
      <c r="GE35" s="1">
        <v>0</v>
      </c>
      <c r="GF35" s="1">
        <v>196.316</v>
      </c>
      <c r="GG35" s="1">
        <v>9067</v>
      </c>
      <c r="GH35" s="1">
        <v>0</v>
      </c>
      <c r="GI35" s="1">
        <v>0</v>
      </c>
      <c r="GJ35" s="1">
        <v>1200</v>
      </c>
      <c r="GK35" s="1">
        <v>32</v>
      </c>
      <c r="GL35" s="1">
        <v>80138033</v>
      </c>
      <c r="GM35" s="1">
        <v>403.67</v>
      </c>
      <c r="GN35" s="1" t="s">
        <v>65</v>
      </c>
      <c r="GO35" s="1">
        <v>600</v>
      </c>
      <c r="GP35" s="1">
        <v>1</v>
      </c>
      <c r="GQ35" s="1">
        <v>10257846</v>
      </c>
      <c r="GR35" s="1">
        <v>244166</v>
      </c>
      <c r="GS35" s="1">
        <v>1325314</v>
      </c>
      <c r="GT35" s="1">
        <v>599.9880000000001</v>
      </c>
      <c r="GU35" s="1">
        <v>26454</v>
      </c>
      <c r="GV35" s="1">
        <v>54309437</v>
      </c>
      <c r="GW35" s="1">
        <v>0</v>
      </c>
      <c r="GX35" s="1">
        <v>61.42800000000011</v>
      </c>
      <c r="GY35" s="1">
        <v>3492</v>
      </c>
      <c r="GZ35" s="1">
        <v>0</v>
      </c>
      <c r="HA35" s="1">
        <v>0</v>
      </c>
      <c r="HB35" s="1">
        <v>1200</v>
      </c>
      <c r="HC35" s="1">
        <v>90</v>
      </c>
      <c r="HD35" s="1">
        <v>69851258</v>
      </c>
      <c r="HE35" s="1">
        <v>538.5599999999999</v>
      </c>
      <c r="HF35" s="1" t="s">
        <v>65</v>
      </c>
      <c r="HG35" s="1">
        <v>600</v>
      </c>
      <c r="HH35" s="1">
        <v>1</v>
      </c>
      <c r="HI35" s="1">
        <v>288798</v>
      </c>
      <c r="HJ35" s="1">
        <v>246536</v>
      </c>
      <c r="HK35" s="1">
        <v>176</v>
      </c>
      <c r="HL35" s="1">
        <v>69.05800000000001</v>
      </c>
      <c r="HM35" s="1">
        <v>35</v>
      </c>
      <c r="HN35" s="1">
        <v>71904876</v>
      </c>
      <c r="HO35" s="1">
        <v>0</v>
      </c>
      <c r="HP35" s="1">
        <v>64.408</v>
      </c>
      <c r="HQ35" s="1">
        <v>4925</v>
      </c>
      <c r="HR35" s="1">
        <v>0</v>
      </c>
      <c r="HS35" s="1">
        <v>1</v>
      </c>
      <c r="HT35" s="1">
        <v>69.70999999999999</v>
      </c>
      <c r="HU35" s="1">
        <v>0</v>
      </c>
      <c r="HV35" s="1">
        <v>72845236</v>
      </c>
      <c r="HW35" s="1">
        <v>4.65</v>
      </c>
      <c r="HX35" s="1" t="s">
        <v>64</v>
      </c>
      <c r="HY35" s="1">
        <v>69.70999999999999</v>
      </c>
      <c r="HZ35" s="1">
        <v>0</v>
      </c>
      <c r="IA35" s="1">
        <v>3175897</v>
      </c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>
        <v>246536</v>
      </c>
      <c r="JM35" s="1">
        <v>192306</v>
      </c>
      <c r="JN35" s="1">
        <v>599.986</v>
      </c>
      <c r="JO35" s="1">
        <v>3990</v>
      </c>
      <c r="JP35" s="1">
        <v>71904876</v>
      </c>
      <c r="JQ35" s="1">
        <v>0</v>
      </c>
      <c r="JR35" s="1">
        <v>80.21600000000001</v>
      </c>
      <c r="JS35" s="1">
        <v>4926</v>
      </c>
      <c r="JT35" s="1">
        <v>0</v>
      </c>
      <c r="JU35" s="1">
        <v>0</v>
      </c>
      <c r="JV35" s="1">
        <v>1200</v>
      </c>
      <c r="JW35" s="1">
        <v>21</v>
      </c>
      <c r="JX35" s="1">
        <v>72845236</v>
      </c>
      <c r="JY35" s="1">
        <v>519.77</v>
      </c>
      <c r="JZ35" s="1" t="s">
        <v>65</v>
      </c>
      <c r="KA35" s="1">
        <v>600</v>
      </c>
      <c r="KB35" s="1">
        <v>1</v>
      </c>
      <c r="KC35" s="1">
        <v>3175897</v>
      </c>
      <c r="KD35" s="1">
        <f>MIN($B35,$T35,$AL35,$BD35,$BV35,$CN35,$DF35,$DX35,$EP35,$FH35,$FZ35,$GR35,$HJ35,$IB35,$IT35,$JL35)</f>
        <v>0</v>
      </c>
      <c r="KE35" s="1">
        <f>MIN($C35,$U35,$AM35,$BE35,$BW35,$CO35,$DG35,$DY35,$EQ35,$FI35,$GA35,$GS35,$HK35,$IC35,$IU35,$JM35)</f>
        <v>0</v>
      </c>
      <c r="KF35" s="1">
        <f>MIN($D35,$V35,$AN35,$BF35,$BX35,$CP35,$DH35,$DZ35,$ER35,$FJ35,$GB35,$GT35,$HL35,$ID35,$IV35,$JN35)</f>
        <v>0</v>
      </c>
      <c r="KG35" s="1">
        <f>MIN($E35,$W35,$AO35,$BG35,$BY35,$CQ35,$DI35,$EA35,$ES35,$FK35,$GC35,$GU35,$HM35,$IE35,$IW35,$JO35)</f>
        <v>0</v>
      </c>
      <c r="KH35" s="1">
        <f>MIN($F35,$X35,$AP35,$BH35,$BZ35,$CR35,$DJ35,$EB35,$ET35,$FL35,$GD35,$GV35,$HN35,$IF35,$IX35,$JP35)</f>
        <v>0</v>
      </c>
      <c r="KI35" s="1">
        <f>MIN($G35,$Y35,$AQ35,$BI35,$CA35,$CS35,$DK35,$EC35,$EU35,$FM35,$GE35,$GW35,$HO35,$IG35,$IY35,$JQ35)</f>
        <v>0</v>
      </c>
      <c r="KJ35" s="1">
        <f>MIN($H35,$Z35,$AR35,$BJ35,$CB35,$CT35,$DL35,$ED35,$EV35,$FN35,$GF35,$GX35,$HP35,$IH35,$IZ35,$JR35)</f>
        <v>0</v>
      </c>
      <c r="KK35" s="1">
        <f>MIN($I35,$AA35,$AS35,$BK35,$CC35,$CU35,$DM35,$EE35,$EW35,$FO35,$GG35,$GY35,$HQ35,$II35,$JA35,$JS35)</f>
        <v>0</v>
      </c>
      <c r="KL35" s="1">
        <f>MIN($J35,$AB35,$AT35,$BL35,$CD35,$CV35,$DN35,$EF35,$EX35,$FP35,$GH35,$GZ35,$HR35,$IJ35,$JB35,$JT35)</f>
        <v>0</v>
      </c>
      <c r="KM35" s="1">
        <f>MIN($K35,$AC35,$AU35,$BM35,$CE35,$CW35,$DO35,$EG35,$EY35,$FQ35,$GI35,$HA35,$HS35,$IK35,$JC35,$JU35)</f>
        <v>0</v>
      </c>
      <c r="KN35" s="1">
        <f>MIN($L35,$AD35,$AV35,$BN35,$CF35,$CX35,$DP35,$EH35,$EZ35,$FR35,$GJ35,$HB35,$HT35,$IL35,$JD35,$JV35)</f>
        <v>0</v>
      </c>
      <c r="KO35" s="1">
        <f>MIN($M35,$AE35,$AW35,$BO35,$CG35,$CY35,$DQ35,$EI35,$FA35,$FS35,$GK35,$HC35,$HU35,$IM35,$JE35,$JW35)</f>
        <v>0</v>
      </c>
      <c r="KP35" s="1">
        <f>MIN($N35,$AF35,$AX35,$BP35,$CH35,$CZ35,$DR35,$EJ35,$FB35,$FT35,$GL35,$HD35,$HV35,$IN35,$JF35,$JX35)</f>
        <v>0</v>
      </c>
      <c r="KQ35" s="1">
        <f>MIN($O35,$AG35,$AY35,$BQ35,$CI35,$DA35,$DS35,$EK35,$FC35,$FU35,$GM35,$HE35,$HW35,$IO35,$JG35,$JY35)</f>
        <v>0</v>
      </c>
      <c r="KR35" s="1">
        <f>MIN($Q35,$AI35,$BA35,$BS35,$CK35,$DC35,$DU35,$EM35,$FE35,$FW35,$GO35,$HG35,$HY35,$IQ35,$JI35,$KA35)</f>
        <v>0</v>
      </c>
      <c r="KS35" s="1">
        <f>MIN($R35,$AJ35,$BB35,$BT35,$CL35,$DD35,$DV35,$EN35,$FF35,$FX35,$GP35,$HH35,$HZ35,$IR35,$JJ35,$KB35)</f>
        <v>0</v>
      </c>
      <c r="KT35" s="1">
        <f>MIN($S35,$AK35,$BC35,$BU35,$CM35,$DE35,$DW35,$EO35,$FG35,$FY35,$GQ35,$HI35,$IA35,$IS35,$JK35,$KC35)</f>
        <v>0</v>
      </c>
      <c r="KU35" s="1">
        <f>MEDIAN($B35,$T35,$AL35,$BD35,$BV35,$CN35,$DF35,$DX35,$EP35,$FH35,$FZ35,$GR35,$HJ35,$IB35,$IT35,$JL35)</f>
        <v>0</v>
      </c>
      <c r="KV35" s="1">
        <f>MEDIAN($C35,$U35,$AM35,$BE35,$BW35,$CO35,$DG35,$DY35,$EQ35,$FI35,$GA35,$GS35,$HK35,$IC35,$IU35,$JM35)</f>
        <v>0</v>
      </c>
      <c r="KW35" s="1">
        <f>MEDIAN($D35,$V35,$AN35,$BF35,$BX35,$CP35,$DH35,$DZ35,$ER35,$FJ35,$GB35,$GT35,$HL35,$ID35,$IV35,$JN35)</f>
        <v>0</v>
      </c>
      <c r="KX35" s="1">
        <f>MEDIAN($E35,$W35,$AO35,$BG35,$BY35,$CQ35,$DI35,$EA35,$ES35,$FK35,$GC35,$GU35,$HM35,$IE35,$IW35,$JO35)</f>
        <v>0</v>
      </c>
      <c r="KY35" s="1">
        <f>MEDIAN($F35,$X35,$AP35,$BH35,$BZ35,$CR35,$DJ35,$EB35,$ET35,$FL35,$GD35,$GV35,$HN35,$IF35,$IX35,$JP35)</f>
        <v>0</v>
      </c>
      <c r="KZ35" s="1">
        <f>MEDIAN($G35,$Y35,$AQ35,$BI35,$CA35,$CS35,$DK35,$EC35,$EU35,$FM35,$GE35,$GW35,$HO35,$IG35,$IY35,$JQ35)</f>
        <v>0</v>
      </c>
      <c r="LA35" s="1">
        <f>MEDIAN($H35,$Z35,$AR35,$BJ35,$CB35,$CT35,$DL35,$ED35,$EV35,$FN35,$GF35,$GX35,$HP35,$IH35,$IZ35,$JR35)</f>
        <v>0</v>
      </c>
      <c r="LB35" s="1">
        <f>MEDIAN($I35,$AA35,$AS35,$BK35,$CC35,$CU35,$DM35,$EE35,$EW35,$FO35,$GG35,$GY35,$HQ35,$II35,$JA35,$JS35)</f>
        <v>0</v>
      </c>
      <c r="LC35" s="1">
        <f>MEDIAN($J35,$AB35,$AT35,$BL35,$CD35,$CV35,$DN35,$EF35,$EX35,$FP35,$GH35,$GZ35,$HR35,$IJ35,$JB35,$JT35)</f>
        <v>0</v>
      </c>
      <c r="LD35" s="1">
        <f>MEDIAN($K35,$AC35,$AU35,$BM35,$CE35,$CW35,$DO35,$EG35,$EY35,$FQ35,$GI35,$HA35,$HS35,$IK35,$JC35,$JU35)</f>
        <v>0</v>
      </c>
      <c r="LE35" s="1">
        <f>MEDIAN($L35,$AD35,$AV35,$BN35,$CF35,$CX35,$DP35,$EH35,$EZ35,$FR35,$GJ35,$HB35,$HT35,$IL35,$JD35,$JV35)</f>
        <v>0</v>
      </c>
      <c r="LF35" s="1">
        <f>MEDIAN($M35,$AE35,$AW35,$BO35,$CG35,$CY35,$DQ35,$EI35,$FA35,$FS35,$GK35,$HC35,$HU35,$IM35,$JE35,$JW35)</f>
        <v>0</v>
      </c>
      <c r="LG35" s="1">
        <f>MEDIAN($N35,$AF35,$AX35,$BP35,$CH35,$CZ35,$DR35,$EJ35,$FB35,$FT35,$GL35,$HD35,$HV35,$IN35,$JF35,$JX35)</f>
        <v>0</v>
      </c>
      <c r="LH35" s="1">
        <f>MEDIAN($O35,$AG35,$AY35,$BQ35,$CI35,$DA35,$DS35,$EK35,$FC35,$FU35,$GM35,$HE35,$HW35,$IO35,$JG35,$JY35)</f>
        <v>0</v>
      </c>
      <c r="LI35" s="1">
        <f>MEDIAN($Q35,$AI35,$BA35,$BS35,$CK35,$DC35,$DU35,$EM35,$FE35,$FW35,$GO35,$HG35,$HY35,$IQ35,$JI35,$KA35)</f>
        <v>0</v>
      </c>
      <c r="LJ35" s="1">
        <f>MEDIAN($R35,$AJ35,$BB35,$BT35,$CL35,$DD35,$DV35,$EN35,$FF35,$FX35,$GP35,$HH35,$HZ35,$IR35,$JJ35,$KB35)</f>
        <v>0</v>
      </c>
      <c r="LK35" s="1">
        <f>MEDIAN($S35,$AK35,$BC35,$BU35,$CM35,$DE35,$DW35,$EO35,$FG35,$FY35,$GQ35,$HI35,$IA35,$IS35,$JK35,$KC35)</f>
        <v>0</v>
      </c>
      <c r="LL35" s="1">
        <f>MAX($B35,$T35,$AL35,$BD35,$BV35,$CN35,$DF35,$DX35,$EP35,$FH35,$FZ35,$GR35,$HJ35,$IB35,$IT35,$JL35)</f>
        <v>0</v>
      </c>
      <c r="LM35" s="1">
        <f>MAX($C35,$U35,$AM35,$BE35,$BW35,$CO35,$DG35,$DY35,$EQ35,$FI35,$GA35,$GS35,$HK35,$IC35,$IU35,$JM35)</f>
        <v>0</v>
      </c>
      <c r="LN35" s="1">
        <f>MAX($D35,$V35,$AN35,$BF35,$BX35,$CP35,$DH35,$DZ35,$ER35,$FJ35,$GB35,$GT35,$HL35,$ID35,$IV35,$JN35)</f>
        <v>0</v>
      </c>
      <c r="LO35" s="1">
        <f>MAX($E35,$W35,$AO35,$BG35,$BY35,$CQ35,$DI35,$EA35,$ES35,$FK35,$GC35,$GU35,$HM35,$IE35,$IW35,$JO35)</f>
        <v>0</v>
      </c>
      <c r="LP35" s="1">
        <f>MAX($F35,$X35,$AP35,$BH35,$BZ35,$CR35,$DJ35,$EB35,$ET35,$FL35,$GD35,$GV35,$HN35,$IF35,$IX35,$JP35)</f>
        <v>0</v>
      </c>
      <c r="LQ35" s="1">
        <f>MAX($G35,$Y35,$AQ35,$BI35,$CA35,$CS35,$DK35,$EC35,$EU35,$FM35,$GE35,$GW35,$HO35,$IG35,$IY35,$JQ35)</f>
        <v>0</v>
      </c>
      <c r="LR35" s="1">
        <f>MAX($H35,$Z35,$AR35,$BJ35,$CB35,$CT35,$DL35,$ED35,$EV35,$FN35,$GF35,$GX35,$HP35,$IH35,$IZ35,$JR35)</f>
        <v>0</v>
      </c>
      <c r="LS35" s="1">
        <f>MAX($I35,$AA35,$AS35,$BK35,$CC35,$CU35,$DM35,$EE35,$EW35,$FO35,$GG35,$GY35,$HQ35,$II35,$JA35,$JS35)</f>
        <v>0</v>
      </c>
      <c r="LT35" s="1">
        <f>MAX($J35,$AB35,$AT35,$BL35,$CD35,$CV35,$DN35,$EF35,$EX35,$FP35,$GH35,$GZ35,$HR35,$IJ35,$JB35,$JT35)</f>
        <v>0</v>
      </c>
      <c r="LU35" s="1">
        <f>MAX($K35,$AC35,$AU35,$BM35,$CE35,$CW35,$DO35,$EG35,$EY35,$FQ35,$GI35,$HA35,$HS35,$IK35,$JC35,$JU35)</f>
        <v>0</v>
      </c>
      <c r="LV35" s="1">
        <f>MAX($L35,$AD35,$AV35,$BN35,$CF35,$CX35,$DP35,$EH35,$EZ35,$FR35,$GJ35,$HB35,$HT35,$IL35,$JD35,$JV35)</f>
        <v>0</v>
      </c>
      <c r="LW35" s="1">
        <f>MAX($M35,$AE35,$AW35,$BO35,$CG35,$CY35,$DQ35,$EI35,$FA35,$FS35,$GK35,$HC35,$HU35,$IM35,$JE35,$JW35)</f>
        <v>0</v>
      </c>
      <c r="LX35" s="1">
        <f>MAX($N35,$AF35,$AX35,$BP35,$CH35,$CZ35,$DR35,$EJ35,$FB35,$FT35,$GL35,$HD35,$HV35,$IN35,$JF35,$JX35)</f>
        <v>0</v>
      </c>
      <c r="LY35" s="1">
        <f>MAX($O35,$AG35,$AY35,$BQ35,$CI35,$DA35,$DS35,$EK35,$FC35,$FU35,$GM35,$HE35,$HW35,$IO35,$JG35,$JY35)</f>
        <v>0</v>
      </c>
      <c r="LZ35" s="1">
        <f>MAX($Q35,$AI35,$BA35,$BS35,$CK35,$DC35,$DU35,$EM35,$FE35,$FW35,$GO35,$HG35,$HY35,$IQ35,$JI35,$KA35)</f>
        <v>0</v>
      </c>
      <c r="MA35" s="1">
        <f>MAX($R35,$AJ35,$BB35,$BT35,$CL35,$DD35,$DV35,$EN35,$FF35,$FX35,$GP35,$HH35,$HZ35,$IR35,$JJ35,$KB35)</f>
        <v>0</v>
      </c>
      <c r="MB35" s="1">
        <f>MAX($S35,$AK35,$BC35,$BU35,$CM35,$DE35,$DW35,$EO35,$FG35,$FY35,$GQ35,$HI35,$IA35,$IS35,$JK35,$KC35)</f>
        <v>0</v>
      </c>
    </row>
    <row r="36" spans="1:340">
      <c r="A36" s="1" t="s">
        <v>33</v>
      </c>
      <c r="B36" s="1">
        <v>400785</v>
      </c>
      <c r="C36" s="1">
        <v>310</v>
      </c>
      <c r="D36" s="1">
        <v>186.229</v>
      </c>
      <c r="E36" s="1">
        <v>0</v>
      </c>
      <c r="F36" s="1">
        <v>148748247</v>
      </c>
      <c r="G36" s="1">
        <v>0</v>
      </c>
      <c r="H36" s="1">
        <v>183.729</v>
      </c>
      <c r="I36" s="1">
        <v>14169</v>
      </c>
      <c r="J36" s="1">
        <v>0</v>
      </c>
      <c r="K36" s="1">
        <v>1</v>
      </c>
      <c r="L36" s="1">
        <v>188.69</v>
      </c>
      <c r="M36" s="1">
        <v>0</v>
      </c>
      <c r="N36" s="1">
        <v>118058966</v>
      </c>
      <c r="O36" s="1">
        <v>2.5</v>
      </c>
      <c r="P36" s="1" t="s">
        <v>64</v>
      </c>
      <c r="Q36" s="1">
        <v>188.69</v>
      </c>
      <c r="R36" s="1">
        <v>0</v>
      </c>
      <c r="S36" s="1">
        <v>13330368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>
        <v>517238</v>
      </c>
      <c r="AM36" s="1">
        <v>618133</v>
      </c>
      <c r="AN36" s="1">
        <v>600.001</v>
      </c>
      <c r="AO36" s="1">
        <v>11425</v>
      </c>
      <c r="AP36" s="1">
        <v>168997587</v>
      </c>
      <c r="AQ36" s="1">
        <v>0</v>
      </c>
      <c r="AR36" s="1">
        <v>230.441</v>
      </c>
      <c r="AS36" s="1">
        <v>12649</v>
      </c>
      <c r="AT36" s="1">
        <v>0</v>
      </c>
      <c r="AU36" s="1">
        <v>0</v>
      </c>
      <c r="AV36" s="1">
        <v>1200</v>
      </c>
      <c r="AW36" s="1">
        <v>48</v>
      </c>
      <c r="AX36" s="1">
        <v>118266163</v>
      </c>
      <c r="AY36" s="1">
        <v>369.56</v>
      </c>
      <c r="AZ36" s="1" t="s">
        <v>65</v>
      </c>
      <c r="BA36" s="1">
        <v>600</v>
      </c>
      <c r="BB36" s="1">
        <v>1</v>
      </c>
      <c r="BC36" s="1">
        <v>13446026</v>
      </c>
      <c r="BD36" s="1">
        <v>319046</v>
      </c>
      <c r="BE36" s="1">
        <v>1057645</v>
      </c>
      <c r="BF36" s="1">
        <v>599.992</v>
      </c>
      <c r="BG36" s="1">
        <v>15537</v>
      </c>
      <c r="BH36" s="1">
        <v>81424767</v>
      </c>
      <c r="BI36" s="1">
        <v>0</v>
      </c>
      <c r="BJ36" s="1">
        <v>92.98199999999997</v>
      </c>
      <c r="BK36" s="1">
        <v>5343</v>
      </c>
      <c r="BL36" s="1">
        <v>0</v>
      </c>
      <c r="BM36" s="1">
        <v>0</v>
      </c>
      <c r="BN36" s="1">
        <v>1200</v>
      </c>
      <c r="BO36" s="1">
        <v>61</v>
      </c>
      <c r="BP36" s="1">
        <v>104791698</v>
      </c>
      <c r="BQ36" s="1">
        <v>507.01</v>
      </c>
      <c r="BR36" s="1" t="s">
        <v>65</v>
      </c>
      <c r="BS36" s="1">
        <v>600</v>
      </c>
      <c r="BT36" s="1">
        <v>1</v>
      </c>
      <c r="BU36" s="1">
        <v>378048</v>
      </c>
      <c r="BV36" s="1">
        <v>398552</v>
      </c>
      <c r="BW36" s="1">
        <v>217</v>
      </c>
      <c r="BX36" s="1">
        <v>92.125</v>
      </c>
      <c r="BY36" s="1">
        <v>21</v>
      </c>
      <c r="BZ36" s="1">
        <v>104543491</v>
      </c>
      <c r="CA36" s="1">
        <v>0</v>
      </c>
      <c r="CB36" s="1">
        <v>90.645</v>
      </c>
      <c r="CC36" s="1">
        <v>7320</v>
      </c>
      <c r="CD36" s="1">
        <v>0</v>
      </c>
      <c r="CE36" s="1">
        <v>1</v>
      </c>
      <c r="CF36" s="1">
        <v>93.26000000000001</v>
      </c>
      <c r="CG36" s="1">
        <v>0</v>
      </c>
      <c r="CH36" s="1">
        <v>108814613</v>
      </c>
      <c r="CI36" s="1">
        <v>1.48</v>
      </c>
      <c r="CJ36" s="1" t="s">
        <v>64</v>
      </c>
      <c r="CK36" s="1">
        <v>93.26000000000001</v>
      </c>
      <c r="CL36" s="1">
        <v>0</v>
      </c>
      <c r="CM36" s="1">
        <v>4167146</v>
      </c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>
        <v>398552</v>
      </c>
      <c r="DY36" s="1">
        <v>7232</v>
      </c>
      <c r="DZ36" s="1">
        <v>599.989</v>
      </c>
      <c r="EA36" s="1">
        <v>3334</v>
      </c>
      <c r="EB36" s="1">
        <v>104543491</v>
      </c>
      <c r="EC36" s="1">
        <v>0</v>
      </c>
      <c r="ED36" s="1">
        <v>109.259</v>
      </c>
      <c r="EE36" s="1">
        <v>7339</v>
      </c>
      <c r="EF36" s="1">
        <v>0</v>
      </c>
      <c r="EG36" s="1">
        <v>0</v>
      </c>
      <c r="EH36" s="1">
        <v>1200</v>
      </c>
      <c r="EI36" s="1">
        <v>15</v>
      </c>
      <c r="EJ36" s="1">
        <v>108814613</v>
      </c>
      <c r="EK36" s="1">
        <v>490.73</v>
      </c>
      <c r="EL36" s="1" t="s">
        <v>65</v>
      </c>
      <c r="EM36" s="1">
        <v>600</v>
      </c>
      <c r="EN36" s="1">
        <v>1</v>
      </c>
      <c r="EO36" s="1">
        <v>4167146</v>
      </c>
      <c r="EP36" s="1">
        <v>400785</v>
      </c>
      <c r="EQ36" s="1">
        <v>310</v>
      </c>
      <c r="ER36" s="1">
        <v>236.531</v>
      </c>
      <c r="ES36" s="1">
        <v>0</v>
      </c>
      <c r="ET36" s="1">
        <v>148748247</v>
      </c>
      <c r="EU36" s="1">
        <v>0</v>
      </c>
      <c r="EV36" s="1">
        <v>231.981</v>
      </c>
      <c r="EW36" s="1">
        <v>14172</v>
      </c>
      <c r="EX36" s="1">
        <v>0</v>
      </c>
      <c r="EY36" s="1">
        <v>1</v>
      </c>
      <c r="EZ36" s="1">
        <v>240.65</v>
      </c>
      <c r="FA36" s="1">
        <v>0</v>
      </c>
      <c r="FB36" s="1">
        <v>118058966</v>
      </c>
      <c r="FC36" s="1">
        <v>4.55</v>
      </c>
      <c r="FD36" s="1" t="s">
        <v>64</v>
      </c>
      <c r="FE36" s="1">
        <v>240.65</v>
      </c>
      <c r="FF36" s="1">
        <v>0</v>
      </c>
      <c r="FG36" s="1">
        <v>13330368</v>
      </c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>
        <v>517238</v>
      </c>
      <c r="GA36" s="1">
        <v>238397</v>
      </c>
      <c r="GB36" s="1">
        <v>599.991</v>
      </c>
      <c r="GC36" s="1">
        <v>5077</v>
      </c>
      <c r="GD36" s="1">
        <v>168997587</v>
      </c>
      <c r="GE36" s="1">
        <v>0</v>
      </c>
      <c r="GF36" s="1">
        <v>291.461</v>
      </c>
      <c r="GG36" s="1">
        <v>12664</v>
      </c>
      <c r="GH36" s="1">
        <v>0</v>
      </c>
      <c r="GI36" s="1">
        <v>0</v>
      </c>
      <c r="GJ36" s="1">
        <v>1200</v>
      </c>
      <c r="GK36" s="1">
        <v>28</v>
      </c>
      <c r="GL36" s="1">
        <v>118266163</v>
      </c>
      <c r="GM36" s="1">
        <v>308.53</v>
      </c>
      <c r="GN36" s="1" t="s">
        <v>65</v>
      </c>
      <c r="GO36" s="1">
        <v>600</v>
      </c>
      <c r="GP36" s="1">
        <v>1</v>
      </c>
      <c r="GQ36" s="1">
        <v>13446026</v>
      </c>
      <c r="GR36" s="1">
        <v>319046</v>
      </c>
      <c r="GS36" s="1">
        <v>2562568</v>
      </c>
      <c r="GT36" s="1">
        <v>600.001</v>
      </c>
      <c r="GU36" s="1">
        <v>43515</v>
      </c>
      <c r="GV36" s="1">
        <v>81424767</v>
      </c>
      <c r="GW36" s="1">
        <v>0</v>
      </c>
      <c r="GX36" s="1">
        <v>76.49099999999999</v>
      </c>
      <c r="GY36" s="1">
        <v>5370</v>
      </c>
      <c r="GZ36" s="1">
        <v>0</v>
      </c>
      <c r="HA36" s="1">
        <v>0</v>
      </c>
      <c r="HB36" s="1">
        <v>1200</v>
      </c>
      <c r="HC36" s="1">
        <v>126</v>
      </c>
      <c r="HD36" s="1">
        <v>104791698</v>
      </c>
      <c r="HE36" s="1">
        <v>523.51</v>
      </c>
      <c r="HF36" s="1" t="s">
        <v>65</v>
      </c>
      <c r="HG36" s="1">
        <v>600</v>
      </c>
      <c r="HH36" s="1">
        <v>1</v>
      </c>
      <c r="HI36" s="1">
        <v>378048</v>
      </c>
      <c r="HJ36" s="1">
        <v>321756</v>
      </c>
      <c r="HK36" s="1">
        <v>197</v>
      </c>
      <c r="HL36" s="1">
        <v>102.034</v>
      </c>
      <c r="HM36" s="1">
        <v>41</v>
      </c>
      <c r="HN36" s="1">
        <v>104518206</v>
      </c>
      <c r="HO36" s="1">
        <v>0</v>
      </c>
      <c r="HP36" s="1">
        <v>94.26400000000001</v>
      </c>
      <c r="HQ36" s="1">
        <v>7263</v>
      </c>
      <c r="HR36" s="1">
        <v>0</v>
      </c>
      <c r="HS36" s="1">
        <v>1</v>
      </c>
      <c r="HT36" s="1">
        <v>102.88</v>
      </c>
      <c r="HU36" s="1">
        <v>0</v>
      </c>
      <c r="HV36" s="1">
        <v>108712536</v>
      </c>
      <c r="HW36" s="1">
        <v>7.77</v>
      </c>
      <c r="HX36" s="1" t="s">
        <v>64</v>
      </c>
      <c r="HY36" s="1">
        <v>102.88</v>
      </c>
      <c r="HZ36" s="1">
        <v>0</v>
      </c>
      <c r="IA36" s="1">
        <v>4166987</v>
      </c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>
        <v>321756</v>
      </c>
      <c r="JM36" s="1">
        <v>114829</v>
      </c>
      <c r="JN36" s="1">
        <v>599.987</v>
      </c>
      <c r="JO36" s="1">
        <v>2800</v>
      </c>
      <c r="JP36" s="1">
        <v>104518206</v>
      </c>
      <c r="JQ36" s="1">
        <v>0</v>
      </c>
      <c r="JR36" s="1">
        <v>119.397</v>
      </c>
      <c r="JS36" s="1">
        <v>7263</v>
      </c>
      <c r="JT36" s="1">
        <v>0</v>
      </c>
      <c r="JU36" s="1">
        <v>0</v>
      </c>
      <c r="JV36" s="1">
        <v>1200</v>
      </c>
      <c r="JW36" s="1">
        <v>14</v>
      </c>
      <c r="JX36" s="1">
        <v>108712536</v>
      </c>
      <c r="JY36" s="1">
        <v>480.59</v>
      </c>
      <c r="JZ36" s="1" t="s">
        <v>65</v>
      </c>
      <c r="KA36" s="1">
        <v>600</v>
      </c>
      <c r="KB36" s="1">
        <v>1</v>
      </c>
      <c r="KC36" s="1">
        <v>4166987</v>
      </c>
      <c r="KD36" s="1">
        <f>MIN($B36,$T36,$AL36,$BD36,$BV36,$CN36,$DF36,$DX36,$EP36,$FH36,$FZ36,$GR36,$HJ36,$IB36,$IT36,$JL36)</f>
        <v>0</v>
      </c>
      <c r="KE36" s="1">
        <f>MIN($C36,$U36,$AM36,$BE36,$BW36,$CO36,$DG36,$DY36,$EQ36,$FI36,$GA36,$GS36,$HK36,$IC36,$IU36,$JM36)</f>
        <v>0</v>
      </c>
      <c r="KF36" s="1">
        <f>MIN($D36,$V36,$AN36,$BF36,$BX36,$CP36,$DH36,$DZ36,$ER36,$FJ36,$GB36,$GT36,$HL36,$ID36,$IV36,$JN36)</f>
        <v>0</v>
      </c>
      <c r="KG36" s="1">
        <f>MIN($E36,$W36,$AO36,$BG36,$BY36,$CQ36,$DI36,$EA36,$ES36,$FK36,$GC36,$GU36,$HM36,$IE36,$IW36,$JO36)</f>
        <v>0</v>
      </c>
      <c r="KH36" s="1">
        <f>MIN($F36,$X36,$AP36,$BH36,$BZ36,$CR36,$DJ36,$EB36,$ET36,$FL36,$GD36,$GV36,$HN36,$IF36,$IX36,$JP36)</f>
        <v>0</v>
      </c>
      <c r="KI36" s="1">
        <f>MIN($G36,$Y36,$AQ36,$BI36,$CA36,$CS36,$DK36,$EC36,$EU36,$FM36,$GE36,$GW36,$HO36,$IG36,$IY36,$JQ36)</f>
        <v>0</v>
      </c>
      <c r="KJ36" s="1">
        <f>MIN($H36,$Z36,$AR36,$BJ36,$CB36,$CT36,$DL36,$ED36,$EV36,$FN36,$GF36,$GX36,$HP36,$IH36,$IZ36,$JR36)</f>
        <v>0</v>
      </c>
      <c r="KK36" s="1">
        <f>MIN($I36,$AA36,$AS36,$BK36,$CC36,$CU36,$DM36,$EE36,$EW36,$FO36,$GG36,$GY36,$HQ36,$II36,$JA36,$JS36)</f>
        <v>0</v>
      </c>
      <c r="KL36" s="1">
        <f>MIN($J36,$AB36,$AT36,$BL36,$CD36,$CV36,$DN36,$EF36,$EX36,$FP36,$GH36,$GZ36,$HR36,$IJ36,$JB36,$JT36)</f>
        <v>0</v>
      </c>
      <c r="KM36" s="1">
        <f>MIN($K36,$AC36,$AU36,$BM36,$CE36,$CW36,$DO36,$EG36,$EY36,$FQ36,$GI36,$HA36,$HS36,$IK36,$JC36,$JU36)</f>
        <v>0</v>
      </c>
      <c r="KN36" s="1">
        <f>MIN($L36,$AD36,$AV36,$BN36,$CF36,$CX36,$DP36,$EH36,$EZ36,$FR36,$GJ36,$HB36,$HT36,$IL36,$JD36,$JV36)</f>
        <v>0</v>
      </c>
      <c r="KO36" s="1">
        <f>MIN($M36,$AE36,$AW36,$BO36,$CG36,$CY36,$DQ36,$EI36,$FA36,$FS36,$GK36,$HC36,$HU36,$IM36,$JE36,$JW36)</f>
        <v>0</v>
      </c>
      <c r="KP36" s="1">
        <f>MIN($N36,$AF36,$AX36,$BP36,$CH36,$CZ36,$DR36,$EJ36,$FB36,$FT36,$GL36,$HD36,$HV36,$IN36,$JF36,$JX36)</f>
        <v>0</v>
      </c>
      <c r="KQ36" s="1">
        <f>MIN($O36,$AG36,$AY36,$BQ36,$CI36,$DA36,$DS36,$EK36,$FC36,$FU36,$GM36,$HE36,$HW36,$IO36,$JG36,$JY36)</f>
        <v>0</v>
      </c>
      <c r="KR36" s="1">
        <f>MIN($Q36,$AI36,$BA36,$BS36,$CK36,$DC36,$DU36,$EM36,$FE36,$FW36,$GO36,$HG36,$HY36,$IQ36,$JI36,$KA36)</f>
        <v>0</v>
      </c>
      <c r="KS36" s="1">
        <f>MIN($R36,$AJ36,$BB36,$BT36,$CL36,$DD36,$DV36,$EN36,$FF36,$FX36,$GP36,$HH36,$HZ36,$IR36,$JJ36,$KB36)</f>
        <v>0</v>
      </c>
      <c r="KT36" s="1">
        <f>MIN($S36,$AK36,$BC36,$BU36,$CM36,$DE36,$DW36,$EO36,$FG36,$FY36,$GQ36,$HI36,$IA36,$IS36,$JK36,$KC36)</f>
        <v>0</v>
      </c>
      <c r="KU36" s="1">
        <f>MEDIAN($B36,$T36,$AL36,$BD36,$BV36,$CN36,$DF36,$DX36,$EP36,$FH36,$FZ36,$GR36,$HJ36,$IB36,$IT36,$JL36)</f>
        <v>0</v>
      </c>
      <c r="KV36" s="1">
        <f>MEDIAN($C36,$U36,$AM36,$BE36,$BW36,$CO36,$DG36,$DY36,$EQ36,$FI36,$GA36,$GS36,$HK36,$IC36,$IU36,$JM36)</f>
        <v>0</v>
      </c>
      <c r="KW36" s="1">
        <f>MEDIAN($D36,$V36,$AN36,$BF36,$BX36,$CP36,$DH36,$DZ36,$ER36,$FJ36,$GB36,$GT36,$HL36,$ID36,$IV36,$JN36)</f>
        <v>0</v>
      </c>
      <c r="KX36" s="1">
        <f>MEDIAN($E36,$W36,$AO36,$BG36,$BY36,$CQ36,$DI36,$EA36,$ES36,$FK36,$GC36,$GU36,$HM36,$IE36,$IW36,$JO36)</f>
        <v>0</v>
      </c>
      <c r="KY36" s="1">
        <f>MEDIAN($F36,$X36,$AP36,$BH36,$BZ36,$CR36,$DJ36,$EB36,$ET36,$FL36,$GD36,$GV36,$HN36,$IF36,$IX36,$JP36)</f>
        <v>0</v>
      </c>
      <c r="KZ36" s="1">
        <f>MEDIAN($G36,$Y36,$AQ36,$BI36,$CA36,$CS36,$DK36,$EC36,$EU36,$FM36,$GE36,$GW36,$HO36,$IG36,$IY36,$JQ36)</f>
        <v>0</v>
      </c>
      <c r="LA36" s="1">
        <f>MEDIAN($H36,$Z36,$AR36,$BJ36,$CB36,$CT36,$DL36,$ED36,$EV36,$FN36,$GF36,$GX36,$HP36,$IH36,$IZ36,$JR36)</f>
        <v>0</v>
      </c>
      <c r="LB36" s="1">
        <f>MEDIAN($I36,$AA36,$AS36,$BK36,$CC36,$CU36,$DM36,$EE36,$EW36,$FO36,$GG36,$GY36,$HQ36,$II36,$JA36,$JS36)</f>
        <v>0</v>
      </c>
      <c r="LC36" s="1">
        <f>MEDIAN($J36,$AB36,$AT36,$BL36,$CD36,$CV36,$DN36,$EF36,$EX36,$FP36,$GH36,$GZ36,$HR36,$IJ36,$JB36,$JT36)</f>
        <v>0</v>
      </c>
      <c r="LD36" s="1">
        <f>MEDIAN($K36,$AC36,$AU36,$BM36,$CE36,$CW36,$DO36,$EG36,$EY36,$FQ36,$GI36,$HA36,$HS36,$IK36,$JC36,$JU36)</f>
        <v>0</v>
      </c>
      <c r="LE36" s="1">
        <f>MEDIAN($L36,$AD36,$AV36,$BN36,$CF36,$CX36,$DP36,$EH36,$EZ36,$FR36,$GJ36,$HB36,$HT36,$IL36,$JD36,$JV36)</f>
        <v>0</v>
      </c>
      <c r="LF36" s="1">
        <f>MEDIAN($M36,$AE36,$AW36,$BO36,$CG36,$CY36,$DQ36,$EI36,$FA36,$FS36,$GK36,$HC36,$HU36,$IM36,$JE36,$JW36)</f>
        <v>0</v>
      </c>
      <c r="LG36" s="1">
        <f>MEDIAN($N36,$AF36,$AX36,$BP36,$CH36,$CZ36,$DR36,$EJ36,$FB36,$FT36,$GL36,$HD36,$HV36,$IN36,$JF36,$JX36)</f>
        <v>0</v>
      </c>
      <c r="LH36" s="1">
        <f>MEDIAN($O36,$AG36,$AY36,$BQ36,$CI36,$DA36,$DS36,$EK36,$FC36,$FU36,$GM36,$HE36,$HW36,$IO36,$JG36,$JY36)</f>
        <v>0</v>
      </c>
      <c r="LI36" s="1">
        <f>MEDIAN($Q36,$AI36,$BA36,$BS36,$CK36,$DC36,$DU36,$EM36,$FE36,$FW36,$GO36,$HG36,$HY36,$IQ36,$JI36,$KA36)</f>
        <v>0</v>
      </c>
      <c r="LJ36" s="1">
        <f>MEDIAN($R36,$AJ36,$BB36,$BT36,$CL36,$DD36,$DV36,$EN36,$FF36,$FX36,$GP36,$HH36,$HZ36,$IR36,$JJ36,$KB36)</f>
        <v>0</v>
      </c>
      <c r="LK36" s="1">
        <f>MEDIAN($S36,$AK36,$BC36,$BU36,$CM36,$DE36,$DW36,$EO36,$FG36,$FY36,$GQ36,$HI36,$IA36,$IS36,$JK36,$KC36)</f>
        <v>0</v>
      </c>
      <c r="LL36" s="1">
        <f>MAX($B36,$T36,$AL36,$BD36,$BV36,$CN36,$DF36,$DX36,$EP36,$FH36,$FZ36,$GR36,$HJ36,$IB36,$IT36,$JL36)</f>
        <v>0</v>
      </c>
      <c r="LM36" s="1">
        <f>MAX($C36,$U36,$AM36,$BE36,$BW36,$CO36,$DG36,$DY36,$EQ36,$FI36,$GA36,$GS36,$HK36,$IC36,$IU36,$JM36)</f>
        <v>0</v>
      </c>
      <c r="LN36" s="1">
        <f>MAX($D36,$V36,$AN36,$BF36,$BX36,$CP36,$DH36,$DZ36,$ER36,$FJ36,$GB36,$GT36,$HL36,$ID36,$IV36,$JN36)</f>
        <v>0</v>
      </c>
      <c r="LO36" s="1">
        <f>MAX($E36,$W36,$AO36,$BG36,$BY36,$CQ36,$DI36,$EA36,$ES36,$FK36,$GC36,$GU36,$HM36,$IE36,$IW36,$JO36)</f>
        <v>0</v>
      </c>
      <c r="LP36" s="1">
        <f>MAX($F36,$X36,$AP36,$BH36,$BZ36,$CR36,$DJ36,$EB36,$ET36,$FL36,$GD36,$GV36,$HN36,$IF36,$IX36,$JP36)</f>
        <v>0</v>
      </c>
      <c r="LQ36" s="1">
        <f>MAX($G36,$Y36,$AQ36,$BI36,$CA36,$CS36,$DK36,$EC36,$EU36,$FM36,$GE36,$GW36,$HO36,$IG36,$IY36,$JQ36)</f>
        <v>0</v>
      </c>
      <c r="LR36" s="1">
        <f>MAX($H36,$Z36,$AR36,$BJ36,$CB36,$CT36,$DL36,$ED36,$EV36,$FN36,$GF36,$GX36,$HP36,$IH36,$IZ36,$JR36)</f>
        <v>0</v>
      </c>
      <c r="LS36" s="1">
        <f>MAX($I36,$AA36,$AS36,$BK36,$CC36,$CU36,$DM36,$EE36,$EW36,$FO36,$GG36,$GY36,$HQ36,$II36,$JA36,$JS36)</f>
        <v>0</v>
      </c>
      <c r="LT36" s="1">
        <f>MAX($J36,$AB36,$AT36,$BL36,$CD36,$CV36,$DN36,$EF36,$EX36,$FP36,$GH36,$GZ36,$HR36,$IJ36,$JB36,$JT36)</f>
        <v>0</v>
      </c>
      <c r="LU36" s="1">
        <f>MAX($K36,$AC36,$AU36,$BM36,$CE36,$CW36,$DO36,$EG36,$EY36,$FQ36,$GI36,$HA36,$HS36,$IK36,$JC36,$JU36)</f>
        <v>0</v>
      </c>
      <c r="LV36" s="1">
        <f>MAX($L36,$AD36,$AV36,$BN36,$CF36,$CX36,$DP36,$EH36,$EZ36,$FR36,$GJ36,$HB36,$HT36,$IL36,$JD36,$JV36)</f>
        <v>0</v>
      </c>
      <c r="LW36" s="1">
        <f>MAX($M36,$AE36,$AW36,$BO36,$CG36,$CY36,$DQ36,$EI36,$FA36,$FS36,$GK36,$HC36,$HU36,$IM36,$JE36,$JW36)</f>
        <v>0</v>
      </c>
      <c r="LX36" s="1">
        <f>MAX($N36,$AF36,$AX36,$BP36,$CH36,$CZ36,$DR36,$EJ36,$FB36,$FT36,$GL36,$HD36,$HV36,$IN36,$JF36,$JX36)</f>
        <v>0</v>
      </c>
      <c r="LY36" s="1">
        <f>MAX($O36,$AG36,$AY36,$BQ36,$CI36,$DA36,$DS36,$EK36,$FC36,$FU36,$GM36,$HE36,$HW36,$IO36,$JG36,$JY36)</f>
        <v>0</v>
      </c>
      <c r="LZ36" s="1">
        <f>MAX($Q36,$AI36,$BA36,$BS36,$CK36,$DC36,$DU36,$EM36,$FE36,$FW36,$GO36,$HG36,$HY36,$IQ36,$JI36,$KA36)</f>
        <v>0</v>
      </c>
      <c r="MA36" s="1">
        <f>MAX($R36,$AJ36,$BB36,$BT36,$CL36,$DD36,$DV36,$EN36,$FF36,$FX36,$GP36,$HH36,$HZ36,$IR36,$JJ36,$KB36)</f>
        <v>0</v>
      </c>
      <c r="MB36" s="1">
        <f>MAX($S36,$AK36,$BC36,$BU36,$CM36,$DE36,$DW36,$EO36,$FG36,$FY36,$GQ36,$HI36,$IA36,$IS36,$JK36,$KC36)</f>
        <v>0</v>
      </c>
    </row>
    <row r="37" spans="1:340">
      <c r="A37" s="1" t="s">
        <v>34</v>
      </c>
      <c r="B37" s="1">
        <v>506685</v>
      </c>
      <c r="C37" s="1">
        <v>359</v>
      </c>
      <c r="D37" s="1">
        <v>259.386</v>
      </c>
      <c r="E37" s="1">
        <v>0</v>
      </c>
      <c r="F37" s="1">
        <v>201772207</v>
      </c>
      <c r="G37" s="1">
        <v>0</v>
      </c>
      <c r="H37" s="1">
        <v>255.766</v>
      </c>
      <c r="I37" s="1">
        <v>20684</v>
      </c>
      <c r="J37" s="1">
        <v>0</v>
      </c>
      <c r="K37" s="1">
        <v>1</v>
      </c>
      <c r="L37" s="1">
        <v>262.72</v>
      </c>
      <c r="M37" s="1">
        <v>0</v>
      </c>
      <c r="N37" s="1">
        <v>166616566</v>
      </c>
      <c r="O37" s="1">
        <v>3.62</v>
      </c>
      <c r="P37" s="1" t="s">
        <v>64</v>
      </c>
      <c r="Q37" s="1">
        <v>262.72</v>
      </c>
      <c r="R37" s="1">
        <v>0</v>
      </c>
      <c r="S37" s="1">
        <v>16915128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>
        <v>653898</v>
      </c>
      <c r="AM37" s="1">
        <v>691994</v>
      </c>
      <c r="AN37" s="1">
        <v>600</v>
      </c>
      <c r="AO37" s="1">
        <v>6582</v>
      </c>
      <c r="AP37" s="1">
        <v>227478927</v>
      </c>
      <c r="AQ37" s="1">
        <v>0</v>
      </c>
      <c r="AR37" s="1">
        <v>320.68</v>
      </c>
      <c r="AS37" s="1">
        <v>16825</v>
      </c>
      <c r="AT37" s="1">
        <v>0</v>
      </c>
      <c r="AU37" s="1">
        <v>0</v>
      </c>
      <c r="AV37" s="1">
        <v>1200</v>
      </c>
      <c r="AW37" s="1">
        <v>30</v>
      </c>
      <c r="AX37" s="1">
        <v>166880293</v>
      </c>
      <c r="AY37" s="1">
        <v>279.32</v>
      </c>
      <c r="AZ37" s="1" t="s">
        <v>65</v>
      </c>
      <c r="BA37" s="1">
        <v>600</v>
      </c>
      <c r="BB37" s="1">
        <v>1</v>
      </c>
      <c r="BC37" s="1">
        <v>17065006</v>
      </c>
      <c r="BD37" s="1">
        <v>403926</v>
      </c>
      <c r="BE37" s="1">
        <v>674340</v>
      </c>
      <c r="BF37" s="1">
        <v>599.9880000000001</v>
      </c>
      <c r="BG37" s="1">
        <v>11502</v>
      </c>
      <c r="BH37" s="1">
        <v>116331297</v>
      </c>
      <c r="BI37" s="1">
        <v>0</v>
      </c>
      <c r="BJ37" s="1">
        <v>133.948</v>
      </c>
      <c r="BK37" s="1">
        <v>7618</v>
      </c>
      <c r="BL37" s="1">
        <v>0</v>
      </c>
      <c r="BM37" s="1">
        <v>0</v>
      </c>
      <c r="BN37" s="1">
        <v>1200</v>
      </c>
      <c r="BO37" s="1">
        <v>47</v>
      </c>
      <c r="BP37" s="1">
        <v>149788538</v>
      </c>
      <c r="BQ37" s="1">
        <v>466.04</v>
      </c>
      <c r="BR37" s="1" t="s">
        <v>65</v>
      </c>
      <c r="BS37" s="1">
        <v>600</v>
      </c>
      <c r="BT37" s="1">
        <v>1</v>
      </c>
      <c r="BU37" s="1">
        <v>479298</v>
      </c>
      <c r="BV37" s="1">
        <v>504172</v>
      </c>
      <c r="BW37" s="1">
        <v>246</v>
      </c>
      <c r="BX37" s="1">
        <v>129.057</v>
      </c>
      <c r="BY37" s="1">
        <v>24</v>
      </c>
      <c r="BZ37" s="1">
        <v>145701181</v>
      </c>
      <c r="CA37" s="1">
        <v>0</v>
      </c>
      <c r="CB37" s="1">
        <v>126.827</v>
      </c>
      <c r="CC37" s="1">
        <v>10121</v>
      </c>
      <c r="CD37" s="1">
        <v>0</v>
      </c>
      <c r="CE37" s="1">
        <v>1</v>
      </c>
      <c r="CF37" s="1">
        <v>130.48</v>
      </c>
      <c r="CG37" s="1">
        <v>0</v>
      </c>
      <c r="CH37" s="1">
        <v>154890273</v>
      </c>
      <c r="CI37" s="1">
        <v>2.23</v>
      </c>
      <c r="CJ37" s="1" t="s">
        <v>64</v>
      </c>
      <c r="CK37" s="1">
        <v>130.48</v>
      </c>
      <c r="CL37" s="1">
        <v>0</v>
      </c>
      <c r="CM37" s="1">
        <v>5292656</v>
      </c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>
        <v>504172</v>
      </c>
      <c r="DY37" s="1">
        <v>277698</v>
      </c>
      <c r="DZ37" s="1">
        <v>600</v>
      </c>
      <c r="EA37" s="1">
        <v>5024</v>
      </c>
      <c r="EB37" s="1">
        <v>145701181</v>
      </c>
      <c r="EC37" s="1">
        <v>0</v>
      </c>
      <c r="ED37" s="1">
        <v>126.71</v>
      </c>
      <c r="EE37" s="1">
        <v>10148</v>
      </c>
      <c r="EF37" s="1">
        <v>0</v>
      </c>
      <c r="EG37" s="1">
        <v>0</v>
      </c>
      <c r="EH37" s="1">
        <v>1200</v>
      </c>
      <c r="EI37" s="1">
        <v>21</v>
      </c>
      <c r="EJ37" s="1">
        <v>154890273</v>
      </c>
      <c r="EK37" s="1">
        <v>473.29</v>
      </c>
      <c r="EL37" s="1" t="s">
        <v>65</v>
      </c>
      <c r="EM37" s="1">
        <v>600</v>
      </c>
      <c r="EN37" s="1">
        <v>1</v>
      </c>
      <c r="EO37" s="1">
        <v>5292656</v>
      </c>
      <c r="EP37" s="1">
        <v>506685</v>
      </c>
      <c r="EQ37" s="1">
        <v>359</v>
      </c>
      <c r="ER37" s="1">
        <v>325.673</v>
      </c>
      <c r="ES37" s="1">
        <v>0</v>
      </c>
      <c r="ET37" s="1">
        <v>201772207</v>
      </c>
      <c r="EU37" s="1">
        <v>0</v>
      </c>
      <c r="EV37" s="1">
        <v>319.253</v>
      </c>
      <c r="EW37" s="1">
        <v>20841</v>
      </c>
      <c r="EX37" s="1">
        <v>0</v>
      </c>
      <c r="EY37" s="1">
        <v>1</v>
      </c>
      <c r="EZ37" s="1">
        <v>331.16</v>
      </c>
      <c r="FA37" s="1">
        <v>0</v>
      </c>
      <c r="FB37" s="1">
        <v>166616566</v>
      </c>
      <c r="FC37" s="1">
        <v>6.42</v>
      </c>
      <c r="FD37" s="1" t="s">
        <v>64</v>
      </c>
      <c r="FE37" s="1">
        <v>331.16</v>
      </c>
      <c r="FF37" s="1">
        <v>0</v>
      </c>
      <c r="FG37" s="1">
        <v>16915128</v>
      </c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>
        <v>653898</v>
      </c>
      <c r="GA37" s="1">
        <v>164700</v>
      </c>
      <c r="GB37" s="1">
        <v>599.99</v>
      </c>
      <c r="GC37" s="1">
        <v>2459</v>
      </c>
      <c r="GD37" s="1">
        <v>227478927</v>
      </c>
      <c r="GE37" s="1">
        <v>0</v>
      </c>
      <c r="GF37" s="1">
        <v>406.44</v>
      </c>
      <c r="GG37" s="1">
        <v>16846</v>
      </c>
      <c r="GH37" s="1">
        <v>0</v>
      </c>
      <c r="GI37" s="1">
        <v>0</v>
      </c>
      <c r="GJ37" s="1">
        <v>1200</v>
      </c>
      <c r="GK37" s="1">
        <v>14</v>
      </c>
      <c r="GL37" s="1">
        <v>166880293</v>
      </c>
      <c r="GM37" s="1">
        <v>193.55</v>
      </c>
      <c r="GN37" s="1" t="s">
        <v>65</v>
      </c>
      <c r="GO37" s="1">
        <v>600</v>
      </c>
      <c r="GP37" s="1">
        <v>1</v>
      </c>
      <c r="GQ37" s="1">
        <v>17065006</v>
      </c>
      <c r="GR37" s="1">
        <v>403926</v>
      </c>
      <c r="GS37" s="1">
        <v>1875811</v>
      </c>
      <c r="GT37" s="1">
        <v>600</v>
      </c>
      <c r="GU37" s="1">
        <v>30733</v>
      </c>
      <c r="GV37" s="1">
        <v>116331297</v>
      </c>
      <c r="GW37" s="1">
        <v>0</v>
      </c>
      <c r="GX37" s="1">
        <v>107.16</v>
      </c>
      <c r="GY37" s="1">
        <v>7658</v>
      </c>
      <c r="GZ37" s="1">
        <v>0</v>
      </c>
      <c r="HA37" s="1">
        <v>0</v>
      </c>
      <c r="HB37" s="1">
        <v>1200</v>
      </c>
      <c r="HC37" s="1">
        <v>109</v>
      </c>
      <c r="HD37" s="1">
        <v>149788538</v>
      </c>
      <c r="HE37" s="1">
        <v>492.84</v>
      </c>
      <c r="HF37" s="1" t="s">
        <v>65</v>
      </c>
      <c r="HG37" s="1">
        <v>600</v>
      </c>
      <c r="HH37" s="1">
        <v>1</v>
      </c>
      <c r="HI37" s="1">
        <v>479298</v>
      </c>
      <c r="HJ37" s="1">
        <v>406976</v>
      </c>
      <c r="HK37" s="1">
        <v>226</v>
      </c>
      <c r="HL37" s="1">
        <v>178.838</v>
      </c>
      <c r="HM37" s="1">
        <v>48</v>
      </c>
      <c r="HN37" s="1">
        <v>145669136</v>
      </c>
      <c r="HO37" s="1">
        <v>0</v>
      </c>
      <c r="HP37" s="1">
        <v>162.228</v>
      </c>
      <c r="HQ37" s="1">
        <v>10034</v>
      </c>
      <c r="HR37" s="1">
        <v>0</v>
      </c>
      <c r="HS37" s="1">
        <v>1</v>
      </c>
      <c r="HT37" s="1">
        <v>180.61</v>
      </c>
      <c r="HU37" s="1">
        <v>0</v>
      </c>
      <c r="HV37" s="1">
        <v>154761036</v>
      </c>
      <c r="HW37" s="1">
        <v>16.61</v>
      </c>
      <c r="HX37" s="1" t="s">
        <v>64</v>
      </c>
      <c r="HY37" s="1">
        <v>180.61</v>
      </c>
      <c r="HZ37" s="1">
        <v>0</v>
      </c>
      <c r="IA37" s="1">
        <v>5292477</v>
      </c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>
        <v>406976</v>
      </c>
      <c r="JM37" s="1">
        <v>9810</v>
      </c>
      <c r="JN37" s="1">
        <v>599.908</v>
      </c>
      <c r="JO37" s="1">
        <v>1844</v>
      </c>
      <c r="JP37" s="1">
        <v>145669136</v>
      </c>
      <c r="JQ37" s="1">
        <v>0</v>
      </c>
      <c r="JR37" s="1">
        <v>167.238</v>
      </c>
      <c r="JS37" s="1">
        <v>10032</v>
      </c>
      <c r="JT37" s="1">
        <v>0</v>
      </c>
      <c r="JU37" s="1">
        <v>0</v>
      </c>
      <c r="JV37" s="1">
        <v>1200</v>
      </c>
      <c r="JW37" s="1">
        <v>12</v>
      </c>
      <c r="JX37" s="1">
        <v>154761036</v>
      </c>
      <c r="JY37" s="1">
        <v>432.67</v>
      </c>
      <c r="JZ37" s="1" t="s">
        <v>65</v>
      </c>
      <c r="KA37" s="1">
        <v>600</v>
      </c>
      <c r="KB37" s="1">
        <v>1</v>
      </c>
      <c r="KC37" s="1">
        <v>5292477</v>
      </c>
      <c r="KD37" s="1">
        <f>MIN($B37,$T37,$AL37,$BD37,$BV37,$CN37,$DF37,$DX37,$EP37,$FH37,$FZ37,$GR37,$HJ37,$IB37,$IT37,$JL37)</f>
        <v>0</v>
      </c>
      <c r="KE37" s="1">
        <f>MIN($C37,$U37,$AM37,$BE37,$BW37,$CO37,$DG37,$DY37,$EQ37,$FI37,$GA37,$GS37,$HK37,$IC37,$IU37,$JM37)</f>
        <v>0</v>
      </c>
      <c r="KF37" s="1">
        <f>MIN($D37,$V37,$AN37,$BF37,$BX37,$CP37,$DH37,$DZ37,$ER37,$FJ37,$GB37,$GT37,$HL37,$ID37,$IV37,$JN37)</f>
        <v>0</v>
      </c>
      <c r="KG37" s="1">
        <f>MIN($E37,$W37,$AO37,$BG37,$BY37,$CQ37,$DI37,$EA37,$ES37,$FK37,$GC37,$GU37,$HM37,$IE37,$IW37,$JO37)</f>
        <v>0</v>
      </c>
      <c r="KH37" s="1">
        <f>MIN($F37,$X37,$AP37,$BH37,$BZ37,$CR37,$DJ37,$EB37,$ET37,$FL37,$GD37,$GV37,$HN37,$IF37,$IX37,$JP37)</f>
        <v>0</v>
      </c>
      <c r="KI37" s="1">
        <f>MIN($G37,$Y37,$AQ37,$BI37,$CA37,$CS37,$DK37,$EC37,$EU37,$FM37,$GE37,$GW37,$HO37,$IG37,$IY37,$JQ37)</f>
        <v>0</v>
      </c>
      <c r="KJ37" s="1">
        <f>MIN($H37,$Z37,$AR37,$BJ37,$CB37,$CT37,$DL37,$ED37,$EV37,$FN37,$GF37,$GX37,$HP37,$IH37,$IZ37,$JR37)</f>
        <v>0</v>
      </c>
      <c r="KK37" s="1">
        <f>MIN($I37,$AA37,$AS37,$BK37,$CC37,$CU37,$DM37,$EE37,$EW37,$FO37,$GG37,$GY37,$HQ37,$II37,$JA37,$JS37)</f>
        <v>0</v>
      </c>
      <c r="KL37" s="1">
        <f>MIN($J37,$AB37,$AT37,$BL37,$CD37,$CV37,$DN37,$EF37,$EX37,$FP37,$GH37,$GZ37,$HR37,$IJ37,$JB37,$JT37)</f>
        <v>0</v>
      </c>
      <c r="KM37" s="1">
        <f>MIN($K37,$AC37,$AU37,$BM37,$CE37,$CW37,$DO37,$EG37,$EY37,$FQ37,$GI37,$HA37,$HS37,$IK37,$JC37,$JU37)</f>
        <v>0</v>
      </c>
      <c r="KN37" s="1">
        <f>MIN($L37,$AD37,$AV37,$BN37,$CF37,$CX37,$DP37,$EH37,$EZ37,$FR37,$GJ37,$HB37,$HT37,$IL37,$JD37,$JV37)</f>
        <v>0</v>
      </c>
      <c r="KO37" s="1">
        <f>MIN($M37,$AE37,$AW37,$BO37,$CG37,$CY37,$DQ37,$EI37,$FA37,$FS37,$GK37,$HC37,$HU37,$IM37,$JE37,$JW37)</f>
        <v>0</v>
      </c>
      <c r="KP37" s="1">
        <f>MIN($N37,$AF37,$AX37,$BP37,$CH37,$CZ37,$DR37,$EJ37,$FB37,$FT37,$GL37,$HD37,$HV37,$IN37,$JF37,$JX37)</f>
        <v>0</v>
      </c>
      <c r="KQ37" s="1">
        <f>MIN($O37,$AG37,$AY37,$BQ37,$CI37,$DA37,$DS37,$EK37,$FC37,$FU37,$GM37,$HE37,$HW37,$IO37,$JG37,$JY37)</f>
        <v>0</v>
      </c>
      <c r="KR37" s="1">
        <f>MIN($Q37,$AI37,$BA37,$BS37,$CK37,$DC37,$DU37,$EM37,$FE37,$FW37,$GO37,$HG37,$HY37,$IQ37,$JI37,$KA37)</f>
        <v>0</v>
      </c>
      <c r="KS37" s="1">
        <f>MIN($R37,$AJ37,$BB37,$BT37,$CL37,$DD37,$DV37,$EN37,$FF37,$FX37,$GP37,$HH37,$HZ37,$IR37,$JJ37,$KB37)</f>
        <v>0</v>
      </c>
      <c r="KT37" s="1">
        <f>MIN($S37,$AK37,$BC37,$BU37,$CM37,$DE37,$DW37,$EO37,$FG37,$FY37,$GQ37,$HI37,$IA37,$IS37,$JK37,$KC37)</f>
        <v>0</v>
      </c>
      <c r="KU37" s="1">
        <f>MEDIAN($B37,$T37,$AL37,$BD37,$BV37,$CN37,$DF37,$DX37,$EP37,$FH37,$FZ37,$GR37,$HJ37,$IB37,$IT37,$JL37)</f>
        <v>0</v>
      </c>
      <c r="KV37" s="1">
        <f>MEDIAN($C37,$U37,$AM37,$BE37,$BW37,$CO37,$DG37,$DY37,$EQ37,$FI37,$GA37,$GS37,$HK37,$IC37,$IU37,$JM37)</f>
        <v>0</v>
      </c>
      <c r="KW37" s="1">
        <f>MEDIAN($D37,$V37,$AN37,$BF37,$BX37,$CP37,$DH37,$DZ37,$ER37,$FJ37,$GB37,$GT37,$HL37,$ID37,$IV37,$JN37)</f>
        <v>0</v>
      </c>
      <c r="KX37" s="1">
        <f>MEDIAN($E37,$W37,$AO37,$BG37,$BY37,$CQ37,$DI37,$EA37,$ES37,$FK37,$GC37,$GU37,$HM37,$IE37,$IW37,$JO37)</f>
        <v>0</v>
      </c>
      <c r="KY37" s="1">
        <f>MEDIAN($F37,$X37,$AP37,$BH37,$BZ37,$CR37,$DJ37,$EB37,$ET37,$FL37,$GD37,$GV37,$HN37,$IF37,$IX37,$JP37)</f>
        <v>0</v>
      </c>
      <c r="KZ37" s="1">
        <f>MEDIAN($G37,$Y37,$AQ37,$BI37,$CA37,$CS37,$DK37,$EC37,$EU37,$FM37,$GE37,$GW37,$HO37,$IG37,$IY37,$JQ37)</f>
        <v>0</v>
      </c>
      <c r="LA37" s="1">
        <f>MEDIAN($H37,$Z37,$AR37,$BJ37,$CB37,$CT37,$DL37,$ED37,$EV37,$FN37,$GF37,$GX37,$HP37,$IH37,$IZ37,$JR37)</f>
        <v>0</v>
      </c>
      <c r="LB37" s="1">
        <f>MEDIAN($I37,$AA37,$AS37,$BK37,$CC37,$CU37,$DM37,$EE37,$EW37,$FO37,$GG37,$GY37,$HQ37,$II37,$JA37,$JS37)</f>
        <v>0</v>
      </c>
      <c r="LC37" s="1">
        <f>MEDIAN($J37,$AB37,$AT37,$BL37,$CD37,$CV37,$DN37,$EF37,$EX37,$FP37,$GH37,$GZ37,$HR37,$IJ37,$JB37,$JT37)</f>
        <v>0</v>
      </c>
      <c r="LD37" s="1">
        <f>MEDIAN($K37,$AC37,$AU37,$BM37,$CE37,$CW37,$DO37,$EG37,$EY37,$FQ37,$GI37,$HA37,$HS37,$IK37,$JC37,$JU37)</f>
        <v>0</v>
      </c>
      <c r="LE37" s="1">
        <f>MEDIAN($L37,$AD37,$AV37,$BN37,$CF37,$CX37,$DP37,$EH37,$EZ37,$FR37,$GJ37,$HB37,$HT37,$IL37,$JD37,$JV37)</f>
        <v>0</v>
      </c>
      <c r="LF37" s="1">
        <f>MEDIAN($M37,$AE37,$AW37,$BO37,$CG37,$CY37,$DQ37,$EI37,$FA37,$FS37,$GK37,$HC37,$HU37,$IM37,$JE37,$JW37)</f>
        <v>0</v>
      </c>
      <c r="LG37" s="1">
        <f>MEDIAN($N37,$AF37,$AX37,$BP37,$CH37,$CZ37,$DR37,$EJ37,$FB37,$FT37,$GL37,$HD37,$HV37,$IN37,$JF37,$JX37)</f>
        <v>0</v>
      </c>
      <c r="LH37" s="1">
        <f>MEDIAN($O37,$AG37,$AY37,$BQ37,$CI37,$DA37,$DS37,$EK37,$FC37,$FU37,$GM37,$HE37,$HW37,$IO37,$JG37,$JY37)</f>
        <v>0</v>
      </c>
      <c r="LI37" s="1">
        <f>MEDIAN($Q37,$AI37,$BA37,$BS37,$CK37,$DC37,$DU37,$EM37,$FE37,$FW37,$GO37,$HG37,$HY37,$IQ37,$JI37,$KA37)</f>
        <v>0</v>
      </c>
      <c r="LJ37" s="1">
        <f>MEDIAN($R37,$AJ37,$BB37,$BT37,$CL37,$DD37,$DV37,$EN37,$FF37,$FX37,$GP37,$HH37,$HZ37,$IR37,$JJ37,$KB37)</f>
        <v>0</v>
      </c>
      <c r="LK37" s="1">
        <f>MEDIAN($S37,$AK37,$BC37,$BU37,$CM37,$DE37,$DW37,$EO37,$FG37,$FY37,$GQ37,$HI37,$IA37,$IS37,$JK37,$KC37)</f>
        <v>0</v>
      </c>
      <c r="LL37" s="1">
        <f>MAX($B37,$T37,$AL37,$BD37,$BV37,$CN37,$DF37,$DX37,$EP37,$FH37,$FZ37,$GR37,$HJ37,$IB37,$IT37,$JL37)</f>
        <v>0</v>
      </c>
      <c r="LM37" s="1">
        <f>MAX($C37,$U37,$AM37,$BE37,$BW37,$CO37,$DG37,$DY37,$EQ37,$FI37,$GA37,$GS37,$HK37,$IC37,$IU37,$JM37)</f>
        <v>0</v>
      </c>
      <c r="LN37" s="1">
        <f>MAX($D37,$V37,$AN37,$BF37,$BX37,$CP37,$DH37,$DZ37,$ER37,$FJ37,$GB37,$GT37,$HL37,$ID37,$IV37,$JN37)</f>
        <v>0</v>
      </c>
      <c r="LO37" s="1">
        <f>MAX($E37,$W37,$AO37,$BG37,$BY37,$CQ37,$DI37,$EA37,$ES37,$FK37,$GC37,$GU37,$HM37,$IE37,$IW37,$JO37)</f>
        <v>0</v>
      </c>
      <c r="LP37" s="1">
        <f>MAX($F37,$X37,$AP37,$BH37,$BZ37,$CR37,$DJ37,$EB37,$ET37,$FL37,$GD37,$GV37,$HN37,$IF37,$IX37,$JP37)</f>
        <v>0</v>
      </c>
      <c r="LQ37" s="1">
        <f>MAX($G37,$Y37,$AQ37,$BI37,$CA37,$CS37,$DK37,$EC37,$EU37,$FM37,$GE37,$GW37,$HO37,$IG37,$IY37,$JQ37)</f>
        <v>0</v>
      </c>
      <c r="LR37" s="1">
        <f>MAX($H37,$Z37,$AR37,$BJ37,$CB37,$CT37,$DL37,$ED37,$EV37,$FN37,$GF37,$GX37,$HP37,$IH37,$IZ37,$JR37)</f>
        <v>0</v>
      </c>
      <c r="LS37" s="1">
        <f>MAX($I37,$AA37,$AS37,$BK37,$CC37,$CU37,$DM37,$EE37,$EW37,$FO37,$GG37,$GY37,$HQ37,$II37,$JA37,$JS37)</f>
        <v>0</v>
      </c>
      <c r="LT37" s="1">
        <f>MAX($J37,$AB37,$AT37,$BL37,$CD37,$CV37,$DN37,$EF37,$EX37,$FP37,$GH37,$GZ37,$HR37,$IJ37,$JB37,$JT37)</f>
        <v>0</v>
      </c>
      <c r="LU37" s="1">
        <f>MAX($K37,$AC37,$AU37,$BM37,$CE37,$CW37,$DO37,$EG37,$EY37,$FQ37,$GI37,$HA37,$HS37,$IK37,$JC37,$JU37)</f>
        <v>0</v>
      </c>
      <c r="LV37" s="1">
        <f>MAX($L37,$AD37,$AV37,$BN37,$CF37,$CX37,$DP37,$EH37,$EZ37,$FR37,$GJ37,$HB37,$HT37,$IL37,$JD37,$JV37)</f>
        <v>0</v>
      </c>
      <c r="LW37" s="1">
        <f>MAX($M37,$AE37,$AW37,$BO37,$CG37,$CY37,$DQ37,$EI37,$FA37,$FS37,$GK37,$HC37,$HU37,$IM37,$JE37,$JW37)</f>
        <v>0</v>
      </c>
      <c r="LX37" s="1">
        <f>MAX($N37,$AF37,$AX37,$BP37,$CH37,$CZ37,$DR37,$EJ37,$FB37,$FT37,$GL37,$HD37,$HV37,$IN37,$JF37,$JX37)</f>
        <v>0</v>
      </c>
      <c r="LY37" s="1">
        <f>MAX($O37,$AG37,$AY37,$BQ37,$CI37,$DA37,$DS37,$EK37,$FC37,$FU37,$GM37,$HE37,$HW37,$IO37,$JG37,$JY37)</f>
        <v>0</v>
      </c>
      <c r="LZ37" s="1">
        <f>MAX($Q37,$AI37,$BA37,$BS37,$CK37,$DC37,$DU37,$EM37,$FE37,$FW37,$GO37,$HG37,$HY37,$IQ37,$JI37,$KA37)</f>
        <v>0</v>
      </c>
      <c r="MA37" s="1">
        <f>MAX($R37,$AJ37,$BB37,$BT37,$CL37,$DD37,$DV37,$EN37,$FF37,$FX37,$GP37,$HH37,$HZ37,$IR37,$JJ37,$KB37)</f>
        <v>0</v>
      </c>
      <c r="MB37" s="1">
        <f>MAX($S37,$AK37,$BC37,$BU37,$CM37,$DE37,$DW37,$EO37,$FG37,$FY37,$GQ37,$HI37,$IA37,$IS37,$JK37,$KC37)</f>
        <v>0</v>
      </c>
    </row>
    <row r="38" spans="1:340">
      <c r="A38" s="1" t="s">
        <v>35</v>
      </c>
      <c r="B38" s="1">
        <v>6685</v>
      </c>
      <c r="C38" s="1">
        <v>39</v>
      </c>
      <c r="D38" s="1">
        <v>0.676</v>
      </c>
      <c r="E38" s="1">
        <v>0</v>
      </c>
      <c r="F38" s="1">
        <v>1009327</v>
      </c>
      <c r="G38" s="1">
        <v>0</v>
      </c>
      <c r="H38" s="1">
        <v>0.656</v>
      </c>
      <c r="I38" s="1">
        <v>111</v>
      </c>
      <c r="J38" s="1">
        <v>0</v>
      </c>
      <c r="K38" s="1">
        <v>1</v>
      </c>
      <c r="L38" s="1">
        <v>0.72</v>
      </c>
      <c r="M38" s="1">
        <v>0</v>
      </c>
      <c r="N38" s="1">
        <v>341366</v>
      </c>
      <c r="O38" s="1">
        <v>0.02</v>
      </c>
      <c r="P38" s="1" t="s">
        <v>64</v>
      </c>
      <c r="Q38" s="1">
        <v>0.72</v>
      </c>
      <c r="R38" s="1">
        <v>0</v>
      </c>
      <c r="S38" s="1">
        <v>176248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>
        <v>8618</v>
      </c>
      <c r="AM38" s="1">
        <v>1115</v>
      </c>
      <c r="AN38" s="1">
        <v>1.485</v>
      </c>
      <c r="AO38" s="1">
        <v>774</v>
      </c>
      <c r="AP38" s="1">
        <v>1268207</v>
      </c>
      <c r="AQ38" s="1">
        <v>0</v>
      </c>
      <c r="AR38" s="1">
        <v>0.7150000000000001</v>
      </c>
      <c r="AS38" s="1">
        <v>118</v>
      </c>
      <c r="AT38" s="1">
        <v>0</v>
      </c>
      <c r="AU38" s="1">
        <v>1</v>
      </c>
      <c r="AV38" s="1">
        <v>1.53</v>
      </c>
      <c r="AW38" s="1">
        <v>6</v>
      </c>
      <c r="AX38" s="1">
        <v>343253</v>
      </c>
      <c r="AY38" s="1">
        <v>0.77</v>
      </c>
      <c r="AZ38" s="1" t="s">
        <v>64</v>
      </c>
      <c r="BA38" s="1">
        <v>1.53</v>
      </c>
      <c r="BB38" s="1">
        <v>0</v>
      </c>
      <c r="BC38" s="1">
        <v>175566</v>
      </c>
      <c r="BD38" s="1">
        <v>4886</v>
      </c>
      <c r="BE38" s="1">
        <v>266</v>
      </c>
      <c r="BF38" s="1">
        <v>0.149</v>
      </c>
      <c r="BG38" s="1">
        <v>177</v>
      </c>
      <c r="BH38" s="1">
        <v>128657</v>
      </c>
      <c r="BI38" s="1">
        <v>0</v>
      </c>
      <c r="BJ38" s="1">
        <v>0.129</v>
      </c>
      <c r="BK38" s="1">
        <v>14</v>
      </c>
      <c r="BL38" s="1">
        <v>0</v>
      </c>
      <c r="BM38" s="1">
        <v>1</v>
      </c>
      <c r="BN38" s="1">
        <v>0.18</v>
      </c>
      <c r="BO38" s="1">
        <v>1</v>
      </c>
      <c r="BP38" s="1">
        <v>161018</v>
      </c>
      <c r="BQ38" s="1">
        <v>0.02</v>
      </c>
      <c r="BR38" s="1" t="s">
        <v>64</v>
      </c>
      <c r="BS38" s="1">
        <v>0.18</v>
      </c>
      <c r="BT38" s="1">
        <v>0</v>
      </c>
      <c r="BU38" s="1">
        <v>5298</v>
      </c>
      <c r="BV38" s="1">
        <v>6412</v>
      </c>
      <c r="BW38" s="1">
        <v>26</v>
      </c>
      <c r="BX38" s="1">
        <v>0.219</v>
      </c>
      <c r="BY38" s="1">
        <v>4</v>
      </c>
      <c r="BZ38" s="1">
        <v>410861</v>
      </c>
      <c r="CA38" s="1">
        <v>0</v>
      </c>
      <c r="CB38" s="1">
        <v>0.209</v>
      </c>
      <c r="CC38" s="1">
        <v>45</v>
      </c>
      <c r="CD38" s="1">
        <v>0</v>
      </c>
      <c r="CE38" s="1">
        <v>1</v>
      </c>
      <c r="CF38" s="1">
        <v>0.24</v>
      </c>
      <c r="CG38" s="1">
        <v>0</v>
      </c>
      <c r="CH38" s="1">
        <v>216193</v>
      </c>
      <c r="CI38" s="1">
        <v>0.01</v>
      </c>
      <c r="CJ38" s="1" t="s">
        <v>64</v>
      </c>
      <c r="CK38" s="1">
        <v>0.24</v>
      </c>
      <c r="CL38" s="1">
        <v>0</v>
      </c>
      <c r="CM38" s="1">
        <v>51776</v>
      </c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>
        <v>6412</v>
      </c>
      <c r="DY38" s="1">
        <v>233</v>
      </c>
      <c r="DZ38" s="1">
        <v>0.387</v>
      </c>
      <c r="EA38" s="1">
        <v>138</v>
      </c>
      <c r="EB38" s="1">
        <v>410861</v>
      </c>
      <c r="EC38" s="1">
        <v>0</v>
      </c>
      <c r="ED38" s="1">
        <v>0.297</v>
      </c>
      <c r="EE38" s="1">
        <v>46</v>
      </c>
      <c r="EF38" s="1">
        <v>0</v>
      </c>
      <c r="EG38" s="1">
        <v>1</v>
      </c>
      <c r="EH38" s="1">
        <v>0.5</v>
      </c>
      <c r="EI38" s="1">
        <v>1</v>
      </c>
      <c r="EJ38" s="1">
        <v>216193</v>
      </c>
      <c r="EK38" s="1">
        <v>0.09</v>
      </c>
      <c r="EL38" s="1" t="s">
        <v>64</v>
      </c>
      <c r="EM38" s="1">
        <v>0.5</v>
      </c>
      <c r="EN38" s="1">
        <v>0</v>
      </c>
      <c r="EO38" s="1">
        <v>51776</v>
      </c>
      <c r="EP38" s="1">
        <v>6685</v>
      </c>
      <c r="EQ38" s="1">
        <v>39</v>
      </c>
      <c r="ER38" s="1">
        <v>0.919</v>
      </c>
      <c r="ES38" s="1">
        <v>0</v>
      </c>
      <c r="ET38" s="1">
        <v>1009327</v>
      </c>
      <c r="EU38" s="1">
        <v>0</v>
      </c>
      <c r="EV38" s="1">
        <v>0.899</v>
      </c>
      <c r="EW38" s="1">
        <v>115</v>
      </c>
      <c r="EX38" s="1">
        <v>0</v>
      </c>
      <c r="EY38" s="1">
        <v>1</v>
      </c>
      <c r="EZ38" s="1">
        <v>0.99</v>
      </c>
      <c r="FA38" s="1">
        <v>0</v>
      </c>
      <c r="FB38" s="1">
        <v>341366</v>
      </c>
      <c r="FC38" s="1">
        <v>0.02</v>
      </c>
      <c r="FD38" s="1" t="s">
        <v>64</v>
      </c>
      <c r="FE38" s="1">
        <v>0.99</v>
      </c>
      <c r="FF38" s="1">
        <v>0</v>
      </c>
      <c r="FG38" s="1">
        <v>176248</v>
      </c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>
        <v>8618</v>
      </c>
      <c r="GA38" s="1">
        <v>1115</v>
      </c>
      <c r="GB38" s="1">
        <v>2.207</v>
      </c>
      <c r="GC38" s="1">
        <v>774</v>
      </c>
      <c r="GD38" s="1">
        <v>1268207</v>
      </c>
      <c r="GE38" s="1">
        <v>0</v>
      </c>
      <c r="GF38" s="1">
        <v>0.9669999999999999</v>
      </c>
      <c r="GG38" s="1">
        <v>121</v>
      </c>
      <c r="GH38" s="1">
        <v>0</v>
      </c>
      <c r="GI38" s="1">
        <v>1</v>
      </c>
      <c r="GJ38" s="1">
        <v>2.28</v>
      </c>
      <c r="GK38" s="1">
        <v>6</v>
      </c>
      <c r="GL38" s="1">
        <v>343253</v>
      </c>
      <c r="GM38" s="1">
        <v>1.24</v>
      </c>
      <c r="GN38" s="1" t="s">
        <v>64</v>
      </c>
      <c r="GO38" s="1">
        <v>2.28</v>
      </c>
      <c r="GP38" s="1">
        <v>0</v>
      </c>
      <c r="GQ38" s="1">
        <v>175566</v>
      </c>
      <c r="GR38" s="1">
        <v>4886</v>
      </c>
      <c r="GS38" s="1">
        <v>266</v>
      </c>
      <c r="GT38" s="1">
        <v>0.13</v>
      </c>
      <c r="GU38" s="1">
        <v>177</v>
      </c>
      <c r="GV38" s="1">
        <v>128657</v>
      </c>
      <c r="GW38" s="1">
        <v>0</v>
      </c>
      <c r="GX38" s="1">
        <v>0.11</v>
      </c>
      <c r="GY38" s="1">
        <v>18</v>
      </c>
      <c r="GZ38" s="1">
        <v>0</v>
      </c>
      <c r="HA38" s="1">
        <v>1</v>
      </c>
      <c r="HB38" s="1">
        <v>0.15</v>
      </c>
      <c r="HC38" s="1">
        <v>1</v>
      </c>
      <c r="HD38" s="1">
        <v>161018</v>
      </c>
      <c r="HE38" s="1">
        <v>0.02</v>
      </c>
      <c r="HF38" s="1" t="s">
        <v>64</v>
      </c>
      <c r="HG38" s="1">
        <v>0.15</v>
      </c>
      <c r="HH38" s="1">
        <v>0</v>
      </c>
      <c r="HI38" s="1">
        <v>5298</v>
      </c>
      <c r="HJ38" s="1">
        <v>5216</v>
      </c>
      <c r="HK38" s="1">
        <v>26</v>
      </c>
      <c r="HL38" s="1">
        <v>0.415</v>
      </c>
      <c r="HM38" s="1">
        <v>4</v>
      </c>
      <c r="HN38" s="1">
        <v>410496</v>
      </c>
      <c r="HO38" s="1">
        <v>0</v>
      </c>
      <c r="HP38" s="1">
        <v>0.375</v>
      </c>
      <c r="HQ38" s="1">
        <v>49</v>
      </c>
      <c r="HR38" s="1">
        <v>0</v>
      </c>
      <c r="HS38" s="1">
        <v>1</v>
      </c>
      <c r="HT38" s="1">
        <v>0.45</v>
      </c>
      <c r="HU38" s="1">
        <v>0</v>
      </c>
      <c r="HV38" s="1">
        <v>214636</v>
      </c>
      <c r="HW38" s="1">
        <v>0.04</v>
      </c>
      <c r="HX38" s="1" t="s">
        <v>64</v>
      </c>
      <c r="HY38" s="1">
        <v>0.45</v>
      </c>
      <c r="HZ38" s="1">
        <v>0</v>
      </c>
      <c r="IA38" s="1">
        <v>51757</v>
      </c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>
        <v>5216</v>
      </c>
      <c r="JM38" s="1">
        <v>190</v>
      </c>
      <c r="JN38" s="1">
        <v>0.635</v>
      </c>
      <c r="JO38" s="1">
        <v>124</v>
      </c>
      <c r="JP38" s="1">
        <v>410496</v>
      </c>
      <c r="JQ38" s="1">
        <v>0</v>
      </c>
      <c r="JR38" s="1">
        <v>0.375</v>
      </c>
      <c r="JS38" s="1">
        <v>49</v>
      </c>
      <c r="JT38" s="1">
        <v>0</v>
      </c>
      <c r="JU38" s="1">
        <v>1</v>
      </c>
      <c r="JV38" s="1">
        <v>0.68</v>
      </c>
      <c r="JW38" s="1">
        <v>1</v>
      </c>
      <c r="JX38" s="1">
        <v>214636</v>
      </c>
      <c r="JY38" s="1">
        <v>0.26</v>
      </c>
      <c r="JZ38" s="1" t="s">
        <v>64</v>
      </c>
      <c r="KA38" s="1">
        <v>0.68</v>
      </c>
      <c r="KB38" s="1">
        <v>0</v>
      </c>
      <c r="KC38" s="1">
        <v>51757</v>
      </c>
      <c r="KD38" s="1">
        <f>MIN($B38,$T38,$AL38,$BD38,$BV38,$CN38,$DF38,$DX38,$EP38,$FH38,$FZ38,$GR38,$HJ38,$IB38,$IT38,$JL38)</f>
        <v>0</v>
      </c>
      <c r="KE38" s="1">
        <f>MIN($C38,$U38,$AM38,$BE38,$BW38,$CO38,$DG38,$DY38,$EQ38,$FI38,$GA38,$GS38,$HK38,$IC38,$IU38,$JM38)</f>
        <v>0</v>
      </c>
      <c r="KF38" s="1">
        <f>MIN($D38,$V38,$AN38,$BF38,$BX38,$CP38,$DH38,$DZ38,$ER38,$FJ38,$GB38,$GT38,$HL38,$ID38,$IV38,$JN38)</f>
        <v>0</v>
      </c>
      <c r="KG38" s="1">
        <f>MIN($E38,$W38,$AO38,$BG38,$BY38,$CQ38,$DI38,$EA38,$ES38,$FK38,$GC38,$GU38,$HM38,$IE38,$IW38,$JO38)</f>
        <v>0</v>
      </c>
      <c r="KH38" s="1">
        <f>MIN($F38,$X38,$AP38,$BH38,$BZ38,$CR38,$DJ38,$EB38,$ET38,$FL38,$GD38,$GV38,$HN38,$IF38,$IX38,$JP38)</f>
        <v>0</v>
      </c>
      <c r="KI38" s="1">
        <f>MIN($G38,$Y38,$AQ38,$BI38,$CA38,$CS38,$DK38,$EC38,$EU38,$FM38,$GE38,$GW38,$HO38,$IG38,$IY38,$JQ38)</f>
        <v>0</v>
      </c>
      <c r="KJ38" s="1">
        <f>MIN($H38,$Z38,$AR38,$BJ38,$CB38,$CT38,$DL38,$ED38,$EV38,$FN38,$GF38,$GX38,$HP38,$IH38,$IZ38,$JR38)</f>
        <v>0</v>
      </c>
      <c r="KK38" s="1">
        <f>MIN($I38,$AA38,$AS38,$BK38,$CC38,$CU38,$DM38,$EE38,$EW38,$FO38,$GG38,$GY38,$HQ38,$II38,$JA38,$JS38)</f>
        <v>0</v>
      </c>
      <c r="KL38" s="1">
        <f>MIN($J38,$AB38,$AT38,$BL38,$CD38,$CV38,$DN38,$EF38,$EX38,$FP38,$GH38,$GZ38,$HR38,$IJ38,$JB38,$JT38)</f>
        <v>0</v>
      </c>
      <c r="KM38" s="1">
        <f>MIN($K38,$AC38,$AU38,$BM38,$CE38,$CW38,$DO38,$EG38,$EY38,$FQ38,$GI38,$HA38,$HS38,$IK38,$JC38,$JU38)</f>
        <v>0</v>
      </c>
      <c r="KN38" s="1">
        <f>MIN($L38,$AD38,$AV38,$BN38,$CF38,$CX38,$DP38,$EH38,$EZ38,$FR38,$GJ38,$HB38,$HT38,$IL38,$JD38,$JV38)</f>
        <v>0</v>
      </c>
      <c r="KO38" s="1">
        <f>MIN($M38,$AE38,$AW38,$BO38,$CG38,$CY38,$DQ38,$EI38,$FA38,$FS38,$GK38,$HC38,$HU38,$IM38,$JE38,$JW38)</f>
        <v>0</v>
      </c>
      <c r="KP38" s="1">
        <f>MIN($N38,$AF38,$AX38,$BP38,$CH38,$CZ38,$DR38,$EJ38,$FB38,$FT38,$GL38,$HD38,$HV38,$IN38,$JF38,$JX38)</f>
        <v>0</v>
      </c>
      <c r="KQ38" s="1">
        <f>MIN($O38,$AG38,$AY38,$BQ38,$CI38,$DA38,$DS38,$EK38,$FC38,$FU38,$GM38,$HE38,$HW38,$IO38,$JG38,$JY38)</f>
        <v>0</v>
      </c>
      <c r="KR38" s="1">
        <f>MIN($Q38,$AI38,$BA38,$BS38,$CK38,$DC38,$DU38,$EM38,$FE38,$FW38,$GO38,$HG38,$HY38,$IQ38,$JI38,$KA38)</f>
        <v>0</v>
      </c>
      <c r="KS38" s="1">
        <f>MIN($R38,$AJ38,$BB38,$BT38,$CL38,$DD38,$DV38,$EN38,$FF38,$FX38,$GP38,$HH38,$HZ38,$IR38,$JJ38,$KB38)</f>
        <v>0</v>
      </c>
      <c r="KT38" s="1">
        <f>MIN($S38,$AK38,$BC38,$BU38,$CM38,$DE38,$DW38,$EO38,$FG38,$FY38,$GQ38,$HI38,$IA38,$IS38,$JK38,$KC38)</f>
        <v>0</v>
      </c>
      <c r="KU38" s="1">
        <f>MEDIAN($B38,$T38,$AL38,$BD38,$BV38,$CN38,$DF38,$DX38,$EP38,$FH38,$FZ38,$GR38,$HJ38,$IB38,$IT38,$JL38)</f>
        <v>0</v>
      </c>
      <c r="KV38" s="1">
        <f>MEDIAN($C38,$U38,$AM38,$BE38,$BW38,$CO38,$DG38,$DY38,$EQ38,$FI38,$GA38,$GS38,$HK38,$IC38,$IU38,$JM38)</f>
        <v>0</v>
      </c>
      <c r="KW38" s="1">
        <f>MEDIAN($D38,$V38,$AN38,$BF38,$BX38,$CP38,$DH38,$DZ38,$ER38,$FJ38,$GB38,$GT38,$HL38,$ID38,$IV38,$JN38)</f>
        <v>0</v>
      </c>
      <c r="KX38" s="1">
        <f>MEDIAN($E38,$W38,$AO38,$BG38,$BY38,$CQ38,$DI38,$EA38,$ES38,$FK38,$GC38,$GU38,$HM38,$IE38,$IW38,$JO38)</f>
        <v>0</v>
      </c>
      <c r="KY38" s="1">
        <f>MEDIAN($F38,$X38,$AP38,$BH38,$BZ38,$CR38,$DJ38,$EB38,$ET38,$FL38,$GD38,$GV38,$HN38,$IF38,$IX38,$JP38)</f>
        <v>0</v>
      </c>
      <c r="KZ38" s="1">
        <f>MEDIAN($G38,$Y38,$AQ38,$BI38,$CA38,$CS38,$DK38,$EC38,$EU38,$FM38,$GE38,$GW38,$HO38,$IG38,$IY38,$JQ38)</f>
        <v>0</v>
      </c>
      <c r="LA38" s="1">
        <f>MEDIAN($H38,$Z38,$AR38,$BJ38,$CB38,$CT38,$DL38,$ED38,$EV38,$FN38,$GF38,$GX38,$HP38,$IH38,$IZ38,$JR38)</f>
        <v>0</v>
      </c>
      <c r="LB38" s="1">
        <f>MEDIAN($I38,$AA38,$AS38,$BK38,$CC38,$CU38,$DM38,$EE38,$EW38,$FO38,$GG38,$GY38,$HQ38,$II38,$JA38,$JS38)</f>
        <v>0</v>
      </c>
      <c r="LC38" s="1">
        <f>MEDIAN($J38,$AB38,$AT38,$BL38,$CD38,$CV38,$DN38,$EF38,$EX38,$FP38,$GH38,$GZ38,$HR38,$IJ38,$JB38,$JT38)</f>
        <v>0</v>
      </c>
      <c r="LD38" s="1">
        <f>MEDIAN($K38,$AC38,$AU38,$BM38,$CE38,$CW38,$DO38,$EG38,$EY38,$FQ38,$GI38,$HA38,$HS38,$IK38,$JC38,$JU38)</f>
        <v>0</v>
      </c>
      <c r="LE38" s="1">
        <f>MEDIAN($L38,$AD38,$AV38,$BN38,$CF38,$CX38,$DP38,$EH38,$EZ38,$FR38,$GJ38,$HB38,$HT38,$IL38,$JD38,$JV38)</f>
        <v>0</v>
      </c>
      <c r="LF38" s="1">
        <f>MEDIAN($M38,$AE38,$AW38,$BO38,$CG38,$CY38,$DQ38,$EI38,$FA38,$FS38,$GK38,$HC38,$HU38,$IM38,$JE38,$JW38)</f>
        <v>0</v>
      </c>
      <c r="LG38" s="1">
        <f>MEDIAN($N38,$AF38,$AX38,$BP38,$CH38,$CZ38,$DR38,$EJ38,$FB38,$FT38,$GL38,$HD38,$HV38,$IN38,$JF38,$JX38)</f>
        <v>0</v>
      </c>
      <c r="LH38" s="1">
        <f>MEDIAN($O38,$AG38,$AY38,$BQ38,$CI38,$DA38,$DS38,$EK38,$FC38,$FU38,$GM38,$HE38,$HW38,$IO38,$JG38,$JY38)</f>
        <v>0</v>
      </c>
      <c r="LI38" s="1">
        <f>MEDIAN($Q38,$AI38,$BA38,$BS38,$CK38,$DC38,$DU38,$EM38,$FE38,$FW38,$GO38,$HG38,$HY38,$IQ38,$JI38,$KA38)</f>
        <v>0</v>
      </c>
      <c r="LJ38" s="1">
        <f>MEDIAN($R38,$AJ38,$BB38,$BT38,$CL38,$DD38,$DV38,$EN38,$FF38,$FX38,$GP38,$HH38,$HZ38,$IR38,$JJ38,$KB38)</f>
        <v>0</v>
      </c>
      <c r="LK38" s="1">
        <f>MEDIAN($S38,$AK38,$BC38,$BU38,$CM38,$DE38,$DW38,$EO38,$FG38,$FY38,$GQ38,$HI38,$IA38,$IS38,$JK38,$KC38)</f>
        <v>0</v>
      </c>
      <c r="LL38" s="1">
        <f>MAX($B38,$T38,$AL38,$BD38,$BV38,$CN38,$DF38,$DX38,$EP38,$FH38,$FZ38,$GR38,$HJ38,$IB38,$IT38,$JL38)</f>
        <v>0</v>
      </c>
      <c r="LM38" s="1">
        <f>MAX($C38,$U38,$AM38,$BE38,$BW38,$CO38,$DG38,$DY38,$EQ38,$FI38,$GA38,$GS38,$HK38,$IC38,$IU38,$JM38)</f>
        <v>0</v>
      </c>
      <c r="LN38" s="1">
        <f>MAX($D38,$V38,$AN38,$BF38,$BX38,$CP38,$DH38,$DZ38,$ER38,$FJ38,$GB38,$GT38,$HL38,$ID38,$IV38,$JN38)</f>
        <v>0</v>
      </c>
      <c r="LO38" s="1">
        <f>MAX($E38,$W38,$AO38,$BG38,$BY38,$CQ38,$DI38,$EA38,$ES38,$FK38,$GC38,$GU38,$HM38,$IE38,$IW38,$JO38)</f>
        <v>0</v>
      </c>
      <c r="LP38" s="1">
        <f>MAX($F38,$X38,$AP38,$BH38,$BZ38,$CR38,$DJ38,$EB38,$ET38,$FL38,$GD38,$GV38,$HN38,$IF38,$IX38,$JP38)</f>
        <v>0</v>
      </c>
      <c r="LQ38" s="1">
        <f>MAX($G38,$Y38,$AQ38,$BI38,$CA38,$CS38,$DK38,$EC38,$EU38,$FM38,$GE38,$GW38,$HO38,$IG38,$IY38,$JQ38)</f>
        <v>0</v>
      </c>
      <c r="LR38" s="1">
        <f>MAX($H38,$Z38,$AR38,$BJ38,$CB38,$CT38,$DL38,$ED38,$EV38,$FN38,$GF38,$GX38,$HP38,$IH38,$IZ38,$JR38)</f>
        <v>0</v>
      </c>
      <c r="LS38" s="1">
        <f>MAX($I38,$AA38,$AS38,$BK38,$CC38,$CU38,$DM38,$EE38,$EW38,$FO38,$GG38,$GY38,$HQ38,$II38,$JA38,$JS38)</f>
        <v>0</v>
      </c>
      <c r="LT38" s="1">
        <f>MAX($J38,$AB38,$AT38,$BL38,$CD38,$CV38,$DN38,$EF38,$EX38,$FP38,$GH38,$GZ38,$HR38,$IJ38,$JB38,$JT38)</f>
        <v>0</v>
      </c>
      <c r="LU38" s="1">
        <f>MAX($K38,$AC38,$AU38,$BM38,$CE38,$CW38,$DO38,$EG38,$EY38,$FQ38,$GI38,$HA38,$HS38,$IK38,$JC38,$JU38)</f>
        <v>0</v>
      </c>
      <c r="LV38" s="1">
        <f>MAX($L38,$AD38,$AV38,$BN38,$CF38,$CX38,$DP38,$EH38,$EZ38,$FR38,$GJ38,$HB38,$HT38,$IL38,$JD38,$JV38)</f>
        <v>0</v>
      </c>
      <c r="LW38" s="1">
        <f>MAX($M38,$AE38,$AW38,$BO38,$CG38,$CY38,$DQ38,$EI38,$FA38,$FS38,$GK38,$HC38,$HU38,$IM38,$JE38,$JW38)</f>
        <v>0</v>
      </c>
      <c r="LX38" s="1">
        <f>MAX($N38,$AF38,$AX38,$BP38,$CH38,$CZ38,$DR38,$EJ38,$FB38,$FT38,$GL38,$HD38,$HV38,$IN38,$JF38,$JX38)</f>
        <v>0</v>
      </c>
      <c r="LY38" s="1">
        <f>MAX($O38,$AG38,$AY38,$BQ38,$CI38,$DA38,$DS38,$EK38,$FC38,$FU38,$GM38,$HE38,$HW38,$IO38,$JG38,$JY38)</f>
        <v>0</v>
      </c>
      <c r="LZ38" s="1">
        <f>MAX($Q38,$AI38,$BA38,$BS38,$CK38,$DC38,$DU38,$EM38,$FE38,$FW38,$GO38,$HG38,$HY38,$IQ38,$JI38,$KA38)</f>
        <v>0</v>
      </c>
      <c r="MA38" s="1">
        <f>MAX($R38,$AJ38,$BB38,$BT38,$CL38,$DD38,$DV38,$EN38,$FF38,$FX38,$GP38,$HH38,$HZ38,$IR38,$JJ38,$KB38)</f>
        <v>0</v>
      </c>
      <c r="MB38" s="1">
        <f>MAX($S38,$AK38,$BC38,$BU38,$CM38,$DE38,$DW38,$EO38,$FG38,$FY38,$GQ38,$HI38,$IA38,$IS38,$JK38,$KC38)</f>
        <v>0</v>
      </c>
    </row>
    <row r="39" spans="1:340">
      <c r="A39" s="1" t="s">
        <v>36</v>
      </c>
      <c r="B39" s="1">
        <v>624985</v>
      </c>
      <c r="C39" s="1">
        <v>399</v>
      </c>
      <c r="D39" s="1">
        <v>351.397</v>
      </c>
      <c r="E39" s="1">
        <v>0</v>
      </c>
      <c r="F39" s="1">
        <v>265727767</v>
      </c>
      <c r="G39" s="1">
        <v>0</v>
      </c>
      <c r="H39" s="1">
        <v>346.447</v>
      </c>
      <c r="I39" s="1">
        <v>25043</v>
      </c>
      <c r="J39" s="1">
        <v>0</v>
      </c>
      <c r="K39" s="1">
        <v>1</v>
      </c>
      <c r="L39" s="1">
        <v>355.39</v>
      </c>
      <c r="M39" s="1">
        <v>0</v>
      </c>
      <c r="N39" s="1">
        <v>226925366</v>
      </c>
      <c r="O39" s="1">
        <v>4.95</v>
      </c>
      <c r="P39" s="1" t="s">
        <v>64</v>
      </c>
      <c r="Q39" s="1">
        <v>355.39</v>
      </c>
      <c r="R39" s="1">
        <v>0</v>
      </c>
      <c r="S39" s="1">
        <v>20926288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>
        <v>806558</v>
      </c>
      <c r="AM39" s="1">
        <v>332450</v>
      </c>
      <c r="AN39" s="1">
        <v>600.001</v>
      </c>
      <c r="AO39" s="1">
        <v>2848</v>
      </c>
      <c r="AP39" s="1">
        <v>297542267</v>
      </c>
      <c r="AQ39" s="1">
        <v>0</v>
      </c>
      <c r="AR39" s="1">
        <v>436.621</v>
      </c>
      <c r="AS39" s="1">
        <v>21144</v>
      </c>
      <c r="AT39" s="1">
        <v>0</v>
      </c>
      <c r="AU39" s="1">
        <v>0</v>
      </c>
      <c r="AV39" s="1">
        <v>1200</v>
      </c>
      <c r="AW39" s="1">
        <v>14</v>
      </c>
      <c r="AX39" s="1">
        <v>227252423</v>
      </c>
      <c r="AY39" s="1">
        <v>163.38</v>
      </c>
      <c r="AZ39" s="1" t="s">
        <v>65</v>
      </c>
      <c r="BA39" s="1">
        <v>600</v>
      </c>
      <c r="BB39" s="1">
        <v>1</v>
      </c>
      <c r="BC39" s="1">
        <v>21114786</v>
      </c>
      <c r="BD39" s="1">
        <v>498806</v>
      </c>
      <c r="BE39" s="1">
        <v>479795</v>
      </c>
      <c r="BF39" s="1">
        <v>599.99</v>
      </c>
      <c r="BG39" s="1">
        <v>5306</v>
      </c>
      <c r="BH39" s="1">
        <v>160013027</v>
      </c>
      <c r="BI39" s="1">
        <v>0</v>
      </c>
      <c r="BJ39" s="1">
        <v>184.31</v>
      </c>
      <c r="BK39" s="1">
        <v>9737</v>
      </c>
      <c r="BL39" s="1">
        <v>0</v>
      </c>
      <c r="BM39" s="1">
        <v>0</v>
      </c>
      <c r="BN39" s="1">
        <v>1200</v>
      </c>
      <c r="BO39" s="1">
        <v>28</v>
      </c>
      <c r="BP39" s="1">
        <v>206113778</v>
      </c>
      <c r="BQ39" s="1">
        <v>415.68</v>
      </c>
      <c r="BR39" s="1" t="s">
        <v>65</v>
      </c>
      <c r="BS39" s="1">
        <v>600</v>
      </c>
      <c r="BT39" s="1">
        <v>1</v>
      </c>
      <c r="BU39" s="1">
        <v>592548</v>
      </c>
      <c r="BV39" s="1">
        <v>622192</v>
      </c>
      <c r="BW39" s="1">
        <v>272</v>
      </c>
      <c r="BX39" s="1">
        <v>176.913</v>
      </c>
      <c r="BY39" s="1">
        <v>26</v>
      </c>
      <c r="BZ39" s="1">
        <v>196381271</v>
      </c>
      <c r="CA39" s="1">
        <v>0</v>
      </c>
      <c r="CB39" s="1">
        <v>173.923</v>
      </c>
      <c r="CC39" s="1">
        <v>12957</v>
      </c>
      <c r="CD39" s="1">
        <v>0</v>
      </c>
      <c r="CE39" s="1">
        <v>1</v>
      </c>
      <c r="CF39" s="1">
        <v>178.66</v>
      </c>
      <c r="CG39" s="1">
        <v>0</v>
      </c>
      <c r="CH39" s="1">
        <v>212422333</v>
      </c>
      <c r="CI39" s="1">
        <v>2.99</v>
      </c>
      <c r="CJ39" s="1" t="s">
        <v>64</v>
      </c>
      <c r="CK39" s="1">
        <v>178.66</v>
      </c>
      <c r="CL39" s="1">
        <v>0</v>
      </c>
      <c r="CM39" s="1">
        <v>6552566</v>
      </c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>
        <v>622192</v>
      </c>
      <c r="DY39" s="1">
        <v>86494</v>
      </c>
      <c r="DZ39" s="1">
        <v>599.9930000000001</v>
      </c>
      <c r="EA39" s="1">
        <v>1752</v>
      </c>
      <c r="EB39" s="1">
        <v>196381271</v>
      </c>
      <c r="EC39" s="1">
        <v>0</v>
      </c>
      <c r="ED39" s="1">
        <v>214.4130000000001</v>
      </c>
      <c r="EE39" s="1">
        <v>12987</v>
      </c>
      <c r="EF39" s="1">
        <v>0</v>
      </c>
      <c r="EG39" s="1">
        <v>0</v>
      </c>
      <c r="EH39" s="1">
        <v>1200</v>
      </c>
      <c r="EI39" s="1">
        <v>10</v>
      </c>
      <c r="EJ39" s="1">
        <v>212422333</v>
      </c>
      <c r="EK39" s="1">
        <v>385.58</v>
      </c>
      <c r="EL39" s="1" t="s">
        <v>65</v>
      </c>
      <c r="EM39" s="1">
        <v>600</v>
      </c>
      <c r="EN39" s="1">
        <v>1</v>
      </c>
      <c r="EO39" s="1">
        <v>6552566</v>
      </c>
      <c r="EP39" s="1">
        <v>624985</v>
      </c>
      <c r="EQ39" s="1">
        <v>399</v>
      </c>
      <c r="ER39" s="1">
        <v>442.944</v>
      </c>
      <c r="ES39" s="1">
        <v>0</v>
      </c>
      <c r="ET39" s="1">
        <v>265727767</v>
      </c>
      <c r="EU39" s="1">
        <v>0</v>
      </c>
      <c r="EV39" s="1">
        <v>434.174</v>
      </c>
      <c r="EW39" s="1">
        <v>25113</v>
      </c>
      <c r="EX39" s="1">
        <v>0</v>
      </c>
      <c r="EY39" s="1">
        <v>1</v>
      </c>
      <c r="EZ39" s="1">
        <v>449.86</v>
      </c>
      <c r="FA39" s="1">
        <v>0</v>
      </c>
      <c r="FB39" s="1">
        <v>226925366</v>
      </c>
      <c r="FC39" s="1">
        <v>8.77</v>
      </c>
      <c r="FD39" s="1" t="s">
        <v>64</v>
      </c>
      <c r="FE39" s="1">
        <v>449.86</v>
      </c>
      <c r="FF39" s="1">
        <v>0</v>
      </c>
      <c r="FG39" s="1">
        <v>20926288</v>
      </c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>
        <v>806558</v>
      </c>
      <c r="GA39" s="1">
        <v>27569</v>
      </c>
      <c r="GB39" s="1">
        <v>599.895</v>
      </c>
      <c r="GC39" s="1">
        <v>308</v>
      </c>
      <c r="GD39" s="1">
        <v>297542267</v>
      </c>
      <c r="GE39" s="1">
        <v>0</v>
      </c>
      <c r="GF39" s="1">
        <v>559.3149999999999</v>
      </c>
      <c r="GG39" s="1">
        <v>21164</v>
      </c>
      <c r="GH39" s="1">
        <v>0</v>
      </c>
      <c r="GI39" s="1">
        <v>0</v>
      </c>
      <c r="GJ39" s="1">
        <v>1200</v>
      </c>
      <c r="GK39" s="1">
        <v>2</v>
      </c>
      <c r="GL39" s="1">
        <v>227252423</v>
      </c>
      <c r="GM39" s="1">
        <v>40.58</v>
      </c>
      <c r="GN39" s="1" t="s">
        <v>65</v>
      </c>
      <c r="GO39" s="1">
        <v>600</v>
      </c>
      <c r="GP39" s="1">
        <v>1</v>
      </c>
      <c r="GQ39" s="1">
        <v>21114786</v>
      </c>
      <c r="GR39" s="1">
        <v>498806</v>
      </c>
      <c r="GS39" s="1">
        <v>1269709</v>
      </c>
      <c r="GT39" s="1">
        <v>600</v>
      </c>
      <c r="GU39" s="1">
        <v>16947</v>
      </c>
      <c r="GV39" s="1">
        <v>160013027</v>
      </c>
      <c r="GW39" s="1">
        <v>0</v>
      </c>
      <c r="GX39" s="1">
        <v>149.71</v>
      </c>
      <c r="GY39" s="1">
        <v>9784</v>
      </c>
      <c r="GZ39" s="1">
        <v>0</v>
      </c>
      <c r="HA39" s="1">
        <v>0</v>
      </c>
      <c r="HB39" s="1">
        <v>1200</v>
      </c>
      <c r="HC39" s="1">
        <v>62</v>
      </c>
      <c r="HD39" s="1">
        <v>206113778</v>
      </c>
      <c r="HE39" s="1">
        <v>450.29</v>
      </c>
      <c r="HF39" s="1" t="s">
        <v>65</v>
      </c>
      <c r="HG39" s="1">
        <v>600</v>
      </c>
      <c r="HH39" s="1">
        <v>1</v>
      </c>
      <c r="HI39" s="1">
        <v>592548</v>
      </c>
      <c r="HJ39" s="1">
        <v>502196</v>
      </c>
      <c r="HK39" s="1">
        <v>249</v>
      </c>
      <c r="HL39" s="1">
        <v>245.253</v>
      </c>
      <c r="HM39" s="1">
        <v>54</v>
      </c>
      <c r="HN39" s="1">
        <v>196341666</v>
      </c>
      <c r="HO39" s="1">
        <v>0</v>
      </c>
      <c r="HP39" s="1">
        <v>223.523</v>
      </c>
      <c r="HQ39" s="1">
        <v>12855</v>
      </c>
      <c r="HR39" s="1">
        <v>0</v>
      </c>
      <c r="HS39" s="1">
        <v>1</v>
      </c>
      <c r="HT39" s="1">
        <v>247.47</v>
      </c>
      <c r="HU39" s="1">
        <v>0</v>
      </c>
      <c r="HV39" s="1">
        <v>212262736</v>
      </c>
      <c r="HW39" s="1">
        <v>21.73</v>
      </c>
      <c r="HX39" s="1" t="s">
        <v>64</v>
      </c>
      <c r="HY39" s="1">
        <v>247.47</v>
      </c>
      <c r="HZ39" s="1">
        <v>0</v>
      </c>
      <c r="IA39" s="1">
        <v>6552367</v>
      </c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>
        <v>502196</v>
      </c>
      <c r="JM39" s="1">
        <v>13987</v>
      </c>
      <c r="JN39" s="1">
        <v>599.989</v>
      </c>
      <c r="JO39" s="1">
        <v>1044</v>
      </c>
      <c r="JP39" s="1">
        <v>196341666</v>
      </c>
      <c r="JQ39" s="1">
        <v>0</v>
      </c>
      <c r="JR39" s="1">
        <v>230.9690000000001</v>
      </c>
      <c r="JS39" s="1">
        <v>12857</v>
      </c>
      <c r="JT39" s="1">
        <v>0</v>
      </c>
      <c r="JU39" s="1">
        <v>0</v>
      </c>
      <c r="JV39" s="1">
        <v>1200</v>
      </c>
      <c r="JW39" s="1">
        <v>8</v>
      </c>
      <c r="JX39" s="1">
        <v>212262736</v>
      </c>
      <c r="JY39" s="1">
        <v>369.02</v>
      </c>
      <c r="JZ39" s="1" t="s">
        <v>65</v>
      </c>
      <c r="KA39" s="1">
        <v>600</v>
      </c>
      <c r="KB39" s="1">
        <v>1</v>
      </c>
      <c r="KC39" s="1">
        <v>6552367</v>
      </c>
      <c r="KD39" s="1">
        <f>MIN($B39,$T39,$AL39,$BD39,$BV39,$CN39,$DF39,$DX39,$EP39,$FH39,$FZ39,$GR39,$HJ39,$IB39,$IT39,$JL39)</f>
        <v>0</v>
      </c>
      <c r="KE39" s="1">
        <f>MIN($C39,$U39,$AM39,$BE39,$BW39,$CO39,$DG39,$DY39,$EQ39,$FI39,$GA39,$GS39,$HK39,$IC39,$IU39,$JM39)</f>
        <v>0</v>
      </c>
      <c r="KF39" s="1">
        <f>MIN($D39,$V39,$AN39,$BF39,$BX39,$CP39,$DH39,$DZ39,$ER39,$FJ39,$GB39,$GT39,$HL39,$ID39,$IV39,$JN39)</f>
        <v>0</v>
      </c>
      <c r="KG39" s="1">
        <f>MIN($E39,$W39,$AO39,$BG39,$BY39,$CQ39,$DI39,$EA39,$ES39,$FK39,$GC39,$GU39,$HM39,$IE39,$IW39,$JO39)</f>
        <v>0</v>
      </c>
      <c r="KH39" s="1">
        <f>MIN($F39,$X39,$AP39,$BH39,$BZ39,$CR39,$DJ39,$EB39,$ET39,$FL39,$GD39,$GV39,$HN39,$IF39,$IX39,$JP39)</f>
        <v>0</v>
      </c>
      <c r="KI39" s="1">
        <f>MIN($G39,$Y39,$AQ39,$BI39,$CA39,$CS39,$DK39,$EC39,$EU39,$FM39,$GE39,$GW39,$HO39,$IG39,$IY39,$JQ39)</f>
        <v>0</v>
      </c>
      <c r="KJ39" s="1">
        <f>MIN($H39,$Z39,$AR39,$BJ39,$CB39,$CT39,$DL39,$ED39,$EV39,$FN39,$GF39,$GX39,$HP39,$IH39,$IZ39,$JR39)</f>
        <v>0</v>
      </c>
      <c r="KK39" s="1">
        <f>MIN($I39,$AA39,$AS39,$BK39,$CC39,$CU39,$DM39,$EE39,$EW39,$FO39,$GG39,$GY39,$HQ39,$II39,$JA39,$JS39)</f>
        <v>0</v>
      </c>
      <c r="KL39" s="1">
        <f>MIN($J39,$AB39,$AT39,$BL39,$CD39,$CV39,$DN39,$EF39,$EX39,$FP39,$GH39,$GZ39,$HR39,$IJ39,$JB39,$JT39)</f>
        <v>0</v>
      </c>
      <c r="KM39" s="1">
        <f>MIN($K39,$AC39,$AU39,$BM39,$CE39,$CW39,$DO39,$EG39,$EY39,$FQ39,$GI39,$HA39,$HS39,$IK39,$JC39,$JU39)</f>
        <v>0</v>
      </c>
      <c r="KN39" s="1">
        <f>MIN($L39,$AD39,$AV39,$BN39,$CF39,$CX39,$DP39,$EH39,$EZ39,$FR39,$GJ39,$HB39,$HT39,$IL39,$JD39,$JV39)</f>
        <v>0</v>
      </c>
      <c r="KO39" s="1">
        <f>MIN($M39,$AE39,$AW39,$BO39,$CG39,$CY39,$DQ39,$EI39,$FA39,$FS39,$GK39,$HC39,$HU39,$IM39,$JE39,$JW39)</f>
        <v>0</v>
      </c>
      <c r="KP39" s="1">
        <f>MIN($N39,$AF39,$AX39,$BP39,$CH39,$CZ39,$DR39,$EJ39,$FB39,$FT39,$GL39,$HD39,$HV39,$IN39,$JF39,$JX39)</f>
        <v>0</v>
      </c>
      <c r="KQ39" s="1">
        <f>MIN($O39,$AG39,$AY39,$BQ39,$CI39,$DA39,$DS39,$EK39,$FC39,$FU39,$GM39,$HE39,$HW39,$IO39,$JG39,$JY39)</f>
        <v>0</v>
      </c>
      <c r="KR39" s="1">
        <f>MIN($Q39,$AI39,$BA39,$BS39,$CK39,$DC39,$DU39,$EM39,$FE39,$FW39,$GO39,$HG39,$HY39,$IQ39,$JI39,$KA39)</f>
        <v>0</v>
      </c>
      <c r="KS39" s="1">
        <f>MIN($R39,$AJ39,$BB39,$BT39,$CL39,$DD39,$DV39,$EN39,$FF39,$FX39,$GP39,$HH39,$HZ39,$IR39,$JJ39,$KB39)</f>
        <v>0</v>
      </c>
      <c r="KT39" s="1">
        <f>MIN($S39,$AK39,$BC39,$BU39,$CM39,$DE39,$DW39,$EO39,$FG39,$FY39,$GQ39,$HI39,$IA39,$IS39,$JK39,$KC39)</f>
        <v>0</v>
      </c>
      <c r="KU39" s="1">
        <f>MEDIAN($B39,$T39,$AL39,$BD39,$BV39,$CN39,$DF39,$DX39,$EP39,$FH39,$FZ39,$GR39,$HJ39,$IB39,$IT39,$JL39)</f>
        <v>0</v>
      </c>
      <c r="KV39" s="1">
        <f>MEDIAN($C39,$U39,$AM39,$BE39,$BW39,$CO39,$DG39,$DY39,$EQ39,$FI39,$GA39,$GS39,$HK39,$IC39,$IU39,$JM39)</f>
        <v>0</v>
      </c>
      <c r="KW39" s="1">
        <f>MEDIAN($D39,$V39,$AN39,$BF39,$BX39,$CP39,$DH39,$DZ39,$ER39,$FJ39,$GB39,$GT39,$HL39,$ID39,$IV39,$JN39)</f>
        <v>0</v>
      </c>
      <c r="KX39" s="1">
        <f>MEDIAN($E39,$W39,$AO39,$BG39,$BY39,$CQ39,$DI39,$EA39,$ES39,$FK39,$GC39,$GU39,$HM39,$IE39,$IW39,$JO39)</f>
        <v>0</v>
      </c>
      <c r="KY39" s="1">
        <f>MEDIAN($F39,$X39,$AP39,$BH39,$BZ39,$CR39,$DJ39,$EB39,$ET39,$FL39,$GD39,$GV39,$HN39,$IF39,$IX39,$JP39)</f>
        <v>0</v>
      </c>
      <c r="KZ39" s="1">
        <f>MEDIAN($G39,$Y39,$AQ39,$BI39,$CA39,$CS39,$DK39,$EC39,$EU39,$FM39,$GE39,$GW39,$HO39,$IG39,$IY39,$JQ39)</f>
        <v>0</v>
      </c>
      <c r="LA39" s="1">
        <f>MEDIAN($H39,$Z39,$AR39,$BJ39,$CB39,$CT39,$DL39,$ED39,$EV39,$FN39,$GF39,$GX39,$HP39,$IH39,$IZ39,$JR39)</f>
        <v>0</v>
      </c>
      <c r="LB39" s="1">
        <f>MEDIAN($I39,$AA39,$AS39,$BK39,$CC39,$CU39,$DM39,$EE39,$EW39,$FO39,$GG39,$GY39,$HQ39,$II39,$JA39,$JS39)</f>
        <v>0</v>
      </c>
      <c r="LC39" s="1">
        <f>MEDIAN($J39,$AB39,$AT39,$BL39,$CD39,$CV39,$DN39,$EF39,$EX39,$FP39,$GH39,$GZ39,$HR39,$IJ39,$JB39,$JT39)</f>
        <v>0</v>
      </c>
      <c r="LD39" s="1">
        <f>MEDIAN($K39,$AC39,$AU39,$BM39,$CE39,$CW39,$DO39,$EG39,$EY39,$FQ39,$GI39,$HA39,$HS39,$IK39,$JC39,$JU39)</f>
        <v>0</v>
      </c>
      <c r="LE39" s="1">
        <f>MEDIAN($L39,$AD39,$AV39,$BN39,$CF39,$CX39,$DP39,$EH39,$EZ39,$FR39,$GJ39,$HB39,$HT39,$IL39,$JD39,$JV39)</f>
        <v>0</v>
      </c>
      <c r="LF39" s="1">
        <f>MEDIAN($M39,$AE39,$AW39,$BO39,$CG39,$CY39,$DQ39,$EI39,$FA39,$FS39,$GK39,$HC39,$HU39,$IM39,$JE39,$JW39)</f>
        <v>0</v>
      </c>
      <c r="LG39" s="1">
        <f>MEDIAN($N39,$AF39,$AX39,$BP39,$CH39,$CZ39,$DR39,$EJ39,$FB39,$FT39,$GL39,$HD39,$HV39,$IN39,$JF39,$JX39)</f>
        <v>0</v>
      </c>
      <c r="LH39" s="1">
        <f>MEDIAN($O39,$AG39,$AY39,$BQ39,$CI39,$DA39,$DS39,$EK39,$FC39,$FU39,$GM39,$HE39,$HW39,$IO39,$JG39,$JY39)</f>
        <v>0</v>
      </c>
      <c r="LI39" s="1">
        <f>MEDIAN($Q39,$AI39,$BA39,$BS39,$CK39,$DC39,$DU39,$EM39,$FE39,$FW39,$GO39,$HG39,$HY39,$IQ39,$JI39,$KA39)</f>
        <v>0</v>
      </c>
      <c r="LJ39" s="1">
        <f>MEDIAN($R39,$AJ39,$BB39,$BT39,$CL39,$DD39,$DV39,$EN39,$FF39,$FX39,$GP39,$HH39,$HZ39,$IR39,$JJ39,$KB39)</f>
        <v>0</v>
      </c>
      <c r="LK39" s="1">
        <f>MEDIAN($S39,$AK39,$BC39,$BU39,$CM39,$DE39,$DW39,$EO39,$FG39,$FY39,$GQ39,$HI39,$IA39,$IS39,$JK39,$KC39)</f>
        <v>0</v>
      </c>
      <c r="LL39" s="1">
        <f>MAX($B39,$T39,$AL39,$BD39,$BV39,$CN39,$DF39,$DX39,$EP39,$FH39,$FZ39,$GR39,$HJ39,$IB39,$IT39,$JL39)</f>
        <v>0</v>
      </c>
      <c r="LM39" s="1">
        <f>MAX($C39,$U39,$AM39,$BE39,$BW39,$CO39,$DG39,$DY39,$EQ39,$FI39,$GA39,$GS39,$HK39,$IC39,$IU39,$JM39)</f>
        <v>0</v>
      </c>
      <c r="LN39" s="1">
        <f>MAX($D39,$V39,$AN39,$BF39,$BX39,$CP39,$DH39,$DZ39,$ER39,$FJ39,$GB39,$GT39,$HL39,$ID39,$IV39,$JN39)</f>
        <v>0</v>
      </c>
      <c r="LO39" s="1">
        <f>MAX($E39,$W39,$AO39,$BG39,$BY39,$CQ39,$DI39,$EA39,$ES39,$FK39,$GC39,$GU39,$HM39,$IE39,$IW39,$JO39)</f>
        <v>0</v>
      </c>
      <c r="LP39" s="1">
        <f>MAX($F39,$X39,$AP39,$BH39,$BZ39,$CR39,$DJ39,$EB39,$ET39,$FL39,$GD39,$GV39,$HN39,$IF39,$IX39,$JP39)</f>
        <v>0</v>
      </c>
      <c r="LQ39" s="1">
        <f>MAX($G39,$Y39,$AQ39,$BI39,$CA39,$CS39,$DK39,$EC39,$EU39,$FM39,$GE39,$GW39,$HO39,$IG39,$IY39,$JQ39)</f>
        <v>0</v>
      </c>
      <c r="LR39" s="1">
        <f>MAX($H39,$Z39,$AR39,$BJ39,$CB39,$CT39,$DL39,$ED39,$EV39,$FN39,$GF39,$GX39,$HP39,$IH39,$IZ39,$JR39)</f>
        <v>0</v>
      </c>
      <c r="LS39" s="1">
        <f>MAX($I39,$AA39,$AS39,$BK39,$CC39,$CU39,$DM39,$EE39,$EW39,$FO39,$GG39,$GY39,$HQ39,$II39,$JA39,$JS39)</f>
        <v>0</v>
      </c>
      <c r="LT39" s="1">
        <f>MAX($J39,$AB39,$AT39,$BL39,$CD39,$CV39,$DN39,$EF39,$EX39,$FP39,$GH39,$GZ39,$HR39,$IJ39,$JB39,$JT39)</f>
        <v>0</v>
      </c>
      <c r="LU39" s="1">
        <f>MAX($K39,$AC39,$AU39,$BM39,$CE39,$CW39,$DO39,$EG39,$EY39,$FQ39,$GI39,$HA39,$HS39,$IK39,$JC39,$JU39)</f>
        <v>0</v>
      </c>
      <c r="LV39" s="1">
        <f>MAX($L39,$AD39,$AV39,$BN39,$CF39,$CX39,$DP39,$EH39,$EZ39,$FR39,$GJ39,$HB39,$HT39,$IL39,$JD39,$JV39)</f>
        <v>0</v>
      </c>
      <c r="LW39" s="1">
        <f>MAX($M39,$AE39,$AW39,$BO39,$CG39,$CY39,$DQ39,$EI39,$FA39,$FS39,$GK39,$HC39,$HU39,$IM39,$JE39,$JW39)</f>
        <v>0</v>
      </c>
      <c r="LX39" s="1">
        <f>MAX($N39,$AF39,$AX39,$BP39,$CH39,$CZ39,$DR39,$EJ39,$FB39,$FT39,$GL39,$HD39,$HV39,$IN39,$JF39,$JX39)</f>
        <v>0</v>
      </c>
      <c r="LY39" s="1">
        <f>MAX($O39,$AG39,$AY39,$BQ39,$CI39,$DA39,$DS39,$EK39,$FC39,$FU39,$GM39,$HE39,$HW39,$IO39,$JG39,$JY39)</f>
        <v>0</v>
      </c>
      <c r="LZ39" s="1">
        <f>MAX($Q39,$AI39,$BA39,$BS39,$CK39,$DC39,$DU39,$EM39,$FE39,$FW39,$GO39,$HG39,$HY39,$IQ39,$JI39,$KA39)</f>
        <v>0</v>
      </c>
      <c r="MA39" s="1">
        <f>MAX($R39,$AJ39,$BB39,$BT39,$CL39,$DD39,$DV39,$EN39,$FF39,$FX39,$GP39,$HH39,$HZ39,$IR39,$JJ39,$KB39)</f>
        <v>0</v>
      </c>
      <c r="MB39" s="1">
        <f>MAX($S39,$AK39,$BC39,$BU39,$CM39,$DE39,$DW39,$EO39,$FG39,$FY39,$GQ39,$HI39,$IA39,$IS39,$JK39,$KC39)</f>
        <v>0</v>
      </c>
    </row>
    <row r="40" spans="1:340">
      <c r="A40" s="1" t="s">
        <v>37</v>
      </c>
      <c r="B40" s="1">
        <v>25785</v>
      </c>
      <c r="C40" s="1">
        <v>65</v>
      </c>
      <c r="D40" s="1">
        <v>4.361</v>
      </c>
      <c r="E40" s="1">
        <v>0</v>
      </c>
      <c r="F40" s="1">
        <v>5064087</v>
      </c>
      <c r="G40" s="1">
        <v>0</v>
      </c>
      <c r="H40" s="1">
        <v>4.281</v>
      </c>
      <c r="I40" s="1">
        <v>532</v>
      </c>
      <c r="J40" s="1">
        <v>0</v>
      </c>
      <c r="K40" s="1">
        <v>1</v>
      </c>
      <c r="L40" s="1">
        <v>4.51</v>
      </c>
      <c r="M40" s="1">
        <v>0</v>
      </c>
      <c r="N40" s="1">
        <v>2256566</v>
      </c>
      <c r="O40" s="1">
        <v>0.08</v>
      </c>
      <c r="P40" s="1" t="s">
        <v>64</v>
      </c>
      <c r="Q40" s="1">
        <v>4.51</v>
      </c>
      <c r="R40" s="1">
        <v>0</v>
      </c>
      <c r="S40" s="1">
        <v>776208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>
        <v>33278</v>
      </c>
      <c r="AM40" s="1">
        <v>1346</v>
      </c>
      <c r="AN40" s="1">
        <v>6.296</v>
      </c>
      <c r="AO40" s="1">
        <v>643</v>
      </c>
      <c r="AP40" s="1">
        <v>6227547</v>
      </c>
      <c r="AQ40" s="1">
        <v>0</v>
      </c>
      <c r="AR40" s="1">
        <v>4.866000000000001</v>
      </c>
      <c r="AS40" s="1">
        <v>530</v>
      </c>
      <c r="AT40" s="1">
        <v>0</v>
      </c>
      <c r="AU40" s="1">
        <v>1</v>
      </c>
      <c r="AV40" s="1">
        <v>6.45</v>
      </c>
      <c r="AW40" s="1">
        <v>5</v>
      </c>
      <c r="AX40" s="1">
        <v>2267383</v>
      </c>
      <c r="AY40" s="1">
        <v>1.43</v>
      </c>
      <c r="AZ40" s="1" t="s">
        <v>64</v>
      </c>
      <c r="BA40" s="1">
        <v>6.45</v>
      </c>
      <c r="BB40" s="1">
        <v>0</v>
      </c>
      <c r="BC40" s="1">
        <v>778946</v>
      </c>
      <c r="BD40" s="1">
        <v>19766</v>
      </c>
      <c r="BE40" s="1">
        <v>11659</v>
      </c>
      <c r="BF40" s="1">
        <v>4.186</v>
      </c>
      <c r="BG40" s="1">
        <v>7035</v>
      </c>
      <c r="BH40" s="1">
        <v>1160787</v>
      </c>
      <c r="BI40" s="1">
        <v>0</v>
      </c>
      <c r="BJ40" s="1">
        <v>0.9859999999999998</v>
      </c>
      <c r="BK40" s="1">
        <v>92</v>
      </c>
      <c r="BL40" s="1">
        <v>0</v>
      </c>
      <c r="BM40" s="1">
        <v>1</v>
      </c>
      <c r="BN40" s="1">
        <v>4.27</v>
      </c>
      <c r="BO40" s="1">
        <v>30</v>
      </c>
      <c r="BP40" s="1">
        <v>1475058</v>
      </c>
      <c r="BQ40" s="1">
        <v>3.2</v>
      </c>
      <c r="BR40" s="1" t="s">
        <v>64</v>
      </c>
      <c r="BS40" s="1">
        <v>4.27</v>
      </c>
      <c r="BT40" s="1">
        <v>0</v>
      </c>
      <c r="BU40" s="1">
        <v>22548</v>
      </c>
      <c r="BV40" s="1">
        <v>25232</v>
      </c>
      <c r="BW40" s="1">
        <v>52</v>
      </c>
      <c r="BX40" s="1">
        <v>1.616</v>
      </c>
      <c r="BY40" s="1">
        <v>6</v>
      </c>
      <c r="BZ40" s="1">
        <v>2463751</v>
      </c>
      <c r="CA40" s="1">
        <v>0</v>
      </c>
      <c r="CB40" s="1">
        <v>1.576</v>
      </c>
      <c r="CC40" s="1">
        <v>210</v>
      </c>
      <c r="CD40" s="1">
        <v>0</v>
      </c>
      <c r="CE40" s="1">
        <v>1</v>
      </c>
      <c r="CF40" s="1">
        <v>1.67</v>
      </c>
      <c r="CG40" s="1">
        <v>0</v>
      </c>
      <c r="CH40" s="1">
        <v>1713053</v>
      </c>
      <c r="CI40" s="1">
        <v>0.04</v>
      </c>
      <c r="CJ40" s="1" t="s">
        <v>64</v>
      </c>
      <c r="CK40" s="1">
        <v>1.67</v>
      </c>
      <c r="CL40" s="1">
        <v>0</v>
      </c>
      <c r="CM40" s="1">
        <v>236486</v>
      </c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>
        <v>25232</v>
      </c>
      <c r="DY40" s="1">
        <v>36325</v>
      </c>
      <c r="DZ40" s="1">
        <v>65.642</v>
      </c>
      <c r="EA40" s="1">
        <v>23067</v>
      </c>
      <c r="EB40" s="1">
        <v>2463751</v>
      </c>
      <c r="EC40" s="1">
        <v>0</v>
      </c>
      <c r="ED40" s="1">
        <v>1.971999999999994</v>
      </c>
      <c r="EE40" s="1">
        <v>213</v>
      </c>
      <c r="EF40" s="1">
        <v>0</v>
      </c>
      <c r="EG40" s="1">
        <v>1</v>
      </c>
      <c r="EH40" s="1">
        <v>65.72</v>
      </c>
      <c r="EI40" s="1">
        <v>97</v>
      </c>
      <c r="EJ40" s="1">
        <v>1713053</v>
      </c>
      <c r="EK40" s="1">
        <v>63.67</v>
      </c>
      <c r="EL40" s="1" t="s">
        <v>64</v>
      </c>
      <c r="EM40" s="1">
        <v>65.72</v>
      </c>
      <c r="EN40" s="1">
        <v>0</v>
      </c>
      <c r="EO40" s="1">
        <v>236486</v>
      </c>
      <c r="EP40" s="1">
        <v>25785</v>
      </c>
      <c r="EQ40" s="1">
        <v>65</v>
      </c>
      <c r="ER40" s="1">
        <v>5.327</v>
      </c>
      <c r="ES40" s="1">
        <v>0</v>
      </c>
      <c r="ET40" s="1">
        <v>5064087</v>
      </c>
      <c r="EU40" s="1">
        <v>0</v>
      </c>
      <c r="EV40" s="1">
        <v>5.227</v>
      </c>
      <c r="EW40" s="1">
        <v>533</v>
      </c>
      <c r="EX40" s="1">
        <v>0</v>
      </c>
      <c r="EY40" s="1">
        <v>1</v>
      </c>
      <c r="EZ40" s="1">
        <v>5.7</v>
      </c>
      <c r="FA40" s="1">
        <v>0</v>
      </c>
      <c r="FB40" s="1">
        <v>2256566</v>
      </c>
      <c r="FC40" s="1">
        <v>0.1</v>
      </c>
      <c r="FD40" s="1" t="s">
        <v>64</v>
      </c>
      <c r="FE40" s="1">
        <v>5.7</v>
      </c>
      <c r="FF40" s="1">
        <v>0</v>
      </c>
      <c r="FG40" s="1">
        <v>776208</v>
      </c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>
        <v>33278</v>
      </c>
      <c r="GA40" s="1">
        <v>1346</v>
      </c>
      <c r="GB40" s="1">
        <v>8.259</v>
      </c>
      <c r="GC40" s="1">
        <v>643</v>
      </c>
      <c r="GD40" s="1">
        <v>6227547</v>
      </c>
      <c r="GE40" s="1">
        <v>0</v>
      </c>
      <c r="GF40" s="1">
        <v>6.129</v>
      </c>
      <c r="GG40" s="1">
        <v>531</v>
      </c>
      <c r="GH40" s="1">
        <v>0</v>
      </c>
      <c r="GI40" s="1">
        <v>1</v>
      </c>
      <c r="GJ40" s="1">
        <v>8.5</v>
      </c>
      <c r="GK40" s="1">
        <v>5</v>
      </c>
      <c r="GL40" s="1">
        <v>2267383</v>
      </c>
      <c r="GM40" s="1">
        <v>2.13</v>
      </c>
      <c r="GN40" s="1" t="s">
        <v>64</v>
      </c>
      <c r="GO40" s="1">
        <v>8.5</v>
      </c>
      <c r="GP40" s="1">
        <v>0</v>
      </c>
      <c r="GQ40" s="1">
        <v>778946</v>
      </c>
      <c r="GR40" s="1">
        <v>19766</v>
      </c>
      <c r="GS40" s="1">
        <v>11659</v>
      </c>
      <c r="GT40" s="1">
        <v>4.584</v>
      </c>
      <c r="GU40" s="1">
        <v>7035</v>
      </c>
      <c r="GV40" s="1">
        <v>1160787</v>
      </c>
      <c r="GW40" s="1">
        <v>0</v>
      </c>
      <c r="GX40" s="1">
        <v>1.173999999999999</v>
      </c>
      <c r="GY40" s="1">
        <v>95</v>
      </c>
      <c r="GZ40" s="1">
        <v>0</v>
      </c>
      <c r="HA40" s="1">
        <v>1</v>
      </c>
      <c r="HB40" s="1">
        <v>4.63</v>
      </c>
      <c r="HC40" s="1">
        <v>30</v>
      </c>
      <c r="HD40" s="1">
        <v>1475058</v>
      </c>
      <c r="HE40" s="1">
        <v>3.41</v>
      </c>
      <c r="HF40" s="1" t="s">
        <v>64</v>
      </c>
      <c r="HG40" s="1">
        <v>4.63</v>
      </c>
      <c r="HH40" s="1">
        <v>0</v>
      </c>
      <c r="HI40" s="1">
        <v>22548</v>
      </c>
      <c r="HJ40" s="1">
        <v>20436</v>
      </c>
      <c r="HK40" s="1">
        <v>47</v>
      </c>
      <c r="HL40" s="1">
        <v>2.055</v>
      </c>
      <c r="HM40" s="1">
        <v>9</v>
      </c>
      <c r="HN40" s="1">
        <v>2462226</v>
      </c>
      <c r="HO40" s="1">
        <v>0</v>
      </c>
      <c r="HP40" s="1">
        <v>1.905</v>
      </c>
      <c r="HQ40" s="1">
        <v>213</v>
      </c>
      <c r="HR40" s="1">
        <v>0</v>
      </c>
      <c r="HS40" s="1">
        <v>1</v>
      </c>
      <c r="HT40" s="1">
        <v>2.11</v>
      </c>
      <c r="HU40" s="1">
        <v>0</v>
      </c>
      <c r="HV40" s="1">
        <v>1706736</v>
      </c>
      <c r="HW40" s="1">
        <v>0.15</v>
      </c>
      <c r="HX40" s="1" t="s">
        <v>64</v>
      </c>
      <c r="HY40" s="1">
        <v>2.11</v>
      </c>
      <c r="HZ40" s="1">
        <v>0</v>
      </c>
      <c r="IA40" s="1">
        <v>236447</v>
      </c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>
        <v>20436</v>
      </c>
      <c r="JM40" s="1">
        <v>25197</v>
      </c>
      <c r="JN40" s="1">
        <v>111.301</v>
      </c>
      <c r="JO40" s="1">
        <v>15236</v>
      </c>
      <c r="JP40" s="1">
        <v>2462226</v>
      </c>
      <c r="JQ40" s="1">
        <v>0</v>
      </c>
      <c r="JR40" s="1">
        <v>2.451000000000008</v>
      </c>
      <c r="JS40" s="1">
        <v>212</v>
      </c>
      <c r="JT40" s="1">
        <v>0</v>
      </c>
      <c r="JU40" s="1">
        <v>1</v>
      </c>
      <c r="JV40" s="1">
        <v>111.38</v>
      </c>
      <c r="JW40" s="1">
        <v>62</v>
      </c>
      <c r="JX40" s="1">
        <v>1706736</v>
      </c>
      <c r="JY40" s="1">
        <v>108.85</v>
      </c>
      <c r="JZ40" s="1" t="s">
        <v>64</v>
      </c>
      <c r="KA40" s="1">
        <v>111.38</v>
      </c>
      <c r="KB40" s="1">
        <v>0</v>
      </c>
      <c r="KC40" s="1">
        <v>236447</v>
      </c>
      <c r="KD40" s="1">
        <f>MIN($B40,$T40,$AL40,$BD40,$BV40,$CN40,$DF40,$DX40,$EP40,$FH40,$FZ40,$GR40,$HJ40,$IB40,$IT40,$JL40)</f>
        <v>0</v>
      </c>
      <c r="KE40" s="1">
        <f>MIN($C40,$U40,$AM40,$BE40,$BW40,$CO40,$DG40,$DY40,$EQ40,$FI40,$GA40,$GS40,$HK40,$IC40,$IU40,$JM40)</f>
        <v>0</v>
      </c>
      <c r="KF40" s="1">
        <f>MIN($D40,$V40,$AN40,$BF40,$BX40,$CP40,$DH40,$DZ40,$ER40,$FJ40,$GB40,$GT40,$HL40,$ID40,$IV40,$JN40)</f>
        <v>0</v>
      </c>
      <c r="KG40" s="1">
        <f>MIN($E40,$W40,$AO40,$BG40,$BY40,$CQ40,$DI40,$EA40,$ES40,$FK40,$GC40,$GU40,$HM40,$IE40,$IW40,$JO40)</f>
        <v>0</v>
      </c>
      <c r="KH40" s="1">
        <f>MIN($F40,$X40,$AP40,$BH40,$BZ40,$CR40,$DJ40,$EB40,$ET40,$FL40,$GD40,$GV40,$HN40,$IF40,$IX40,$JP40)</f>
        <v>0</v>
      </c>
      <c r="KI40" s="1">
        <f>MIN($G40,$Y40,$AQ40,$BI40,$CA40,$CS40,$DK40,$EC40,$EU40,$FM40,$GE40,$GW40,$HO40,$IG40,$IY40,$JQ40)</f>
        <v>0</v>
      </c>
      <c r="KJ40" s="1">
        <f>MIN($H40,$Z40,$AR40,$BJ40,$CB40,$CT40,$DL40,$ED40,$EV40,$FN40,$GF40,$GX40,$HP40,$IH40,$IZ40,$JR40)</f>
        <v>0</v>
      </c>
      <c r="KK40" s="1">
        <f>MIN($I40,$AA40,$AS40,$BK40,$CC40,$CU40,$DM40,$EE40,$EW40,$FO40,$GG40,$GY40,$HQ40,$II40,$JA40,$JS40)</f>
        <v>0</v>
      </c>
      <c r="KL40" s="1">
        <f>MIN($J40,$AB40,$AT40,$BL40,$CD40,$CV40,$DN40,$EF40,$EX40,$FP40,$GH40,$GZ40,$HR40,$IJ40,$JB40,$JT40)</f>
        <v>0</v>
      </c>
      <c r="KM40" s="1">
        <f>MIN($K40,$AC40,$AU40,$BM40,$CE40,$CW40,$DO40,$EG40,$EY40,$FQ40,$GI40,$HA40,$HS40,$IK40,$JC40,$JU40)</f>
        <v>0</v>
      </c>
      <c r="KN40" s="1">
        <f>MIN($L40,$AD40,$AV40,$BN40,$CF40,$CX40,$DP40,$EH40,$EZ40,$FR40,$GJ40,$HB40,$HT40,$IL40,$JD40,$JV40)</f>
        <v>0</v>
      </c>
      <c r="KO40" s="1">
        <f>MIN($M40,$AE40,$AW40,$BO40,$CG40,$CY40,$DQ40,$EI40,$FA40,$FS40,$GK40,$HC40,$HU40,$IM40,$JE40,$JW40)</f>
        <v>0</v>
      </c>
      <c r="KP40" s="1">
        <f>MIN($N40,$AF40,$AX40,$BP40,$CH40,$CZ40,$DR40,$EJ40,$FB40,$FT40,$GL40,$HD40,$HV40,$IN40,$JF40,$JX40)</f>
        <v>0</v>
      </c>
      <c r="KQ40" s="1">
        <f>MIN($O40,$AG40,$AY40,$BQ40,$CI40,$DA40,$DS40,$EK40,$FC40,$FU40,$GM40,$HE40,$HW40,$IO40,$JG40,$JY40)</f>
        <v>0</v>
      </c>
      <c r="KR40" s="1">
        <f>MIN($Q40,$AI40,$BA40,$BS40,$CK40,$DC40,$DU40,$EM40,$FE40,$FW40,$GO40,$HG40,$HY40,$IQ40,$JI40,$KA40)</f>
        <v>0</v>
      </c>
      <c r="KS40" s="1">
        <f>MIN($R40,$AJ40,$BB40,$BT40,$CL40,$DD40,$DV40,$EN40,$FF40,$FX40,$GP40,$HH40,$HZ40,$IR40,$JJ40,$KB40)</f>
        <v>0</v>
      </c>
      <c r="KT40" s="1">
        <f>MIN($S40,$AK40,$BC40,$BU40,$CM40,$DE40,$DW40,$EO40,$FG40,$FY40,$GQ40,$HI40,$IA40,$IS40,$JK40,$KC40)</f>
        <v>0</v>
      </c>
      <c r="KU40" s="1">
        <f>MEDIAN($B40,$T40,$AL40,$BD40,$BV40,$CN40,$DF40,$DX40,$EP40,$FH40,$FZ40,$GR40,$HJ40,$IB40,$IT40,$JL40)</f>
        <v>0</v>
      </c>
      <c r="KV40" s="1">
        <f>MEDIAN($C40,$U40,$AM40,$BE40,$BW40,$CO40,$DG40,$DY40,$EQ40,$FI40,$GA40,$GS40,$HK40,$IC40,$IU40,$JM40)</f>
        <v>0</v>
      </c>
      <c r="KW40" s="1">
        <f>MEDIAN($D40,$V40,$AN40,$BF40,$BX40,$CP40,$DH40,$DZ40,$ER40,$FJ40,$GB40,$GT40,$HL40,$ID40,$IV40,$JN40)</f>
        <v>0</v>
      </c>
      <c r="KX40" s="1">
        <f>MEDIAN($E40,$W40,$AO40,$BG40,$BY40,$CQ40,$DI40,$EA40,$ES40,$FK40,$GC40,$GU40,$HM40,$IE40,$IW40,$JO40)</f>
        <v>0</v>
      </c>
      <c r="KY40" s="1">
        <f>MEDIAN($F40,$X40,$AP40,$BH40,$BZ40,$CR40,$DJ40,$EB40,$ET40,$FL40,$GD40,$GV40,$HN40,$IF40,$IX40,$JP40)</f>
        <v>0</v>
      </c>
      <c r="KZ40" s="1">
        <f>MEDIAN($G40,$Y40,$AQ40,$BI40,$CA40,$CS40,$DK40,$EC40,$EU40,$FM40,$GE40,$GW40,$HO40,$IG40,$IY40,$JQ40)</f>
        <v>0</v>
      </c>
      <c r="LA40" s="1">
        <f>MEDIAN($H40,$Z40,$AR40,$BJ40,$CB40,$CT40,$DL40,$ED40,$EV40,$FN40,$GF40,$GX40,$HP40,$IH40,$IZ40,$JR40)</f>
        <v>0</v>
      </c>
      <c r="LB40" s="1">
        <f>MEDIAN($I40,$AA40,$AS40,$BK40,$CC40,$CU40,$DM40,$EE40,$EW40,$FO40,$GG40,$GY40,$HQ40,$II40,$JA40,$JS40)</f>
        <v>0</v>
      </c>
      <c r="LC40" s="1">
        <f>MEDIAN($J40,$AB40,$AT40,$BL40,$CD40,$CV40,$DN40,$EF40,$EX40,$FP40,$GH40,$GZ40,$HR40,$IJ40,$JB40,$JT40)</f>
        <v>0</v>
      </c>
      <c r="LD40" s="1">
        <f>MEDIAN($K40,$AC40,$AU40,$BM40,$CE40,$CW40,$DO40,$EG40,$EY40,$FQ40,$GI40,$HA40,$HS40,$IK40,$JC40,$JU40)</f>
        <v>0</v>
      </c>
      <c r="LE40" s="1">
        <f>MEDIAN($L40,$AD40,$AV40,$BN40,$CF40,$CX40,$DP40,$EH40,$EZ40,$FR40,$GJ40,$HB40,$HT40,$IL40,$JD40,$JV40)</f>
        <v>0</v>
      </c>
      <c r="LF40" s="1">
        <f>MEDIAN($M40,$AE40,$AW40,$BO40,$CG40,$CY40,$DQ40,$EI40,$FA40,$FS40,$GK40,$HC40,$HU40,$IM40,$JE40,$JW40)</f>
        <v>0</v>
      </c>
      <c r="LG40" s="1">
        <f>MEDIAN($N40,$AF40,$AX40,$BP40,$CH40,$CZ40,$DR40,$EJ40,$FB40,$FT40,$GL40,$HD40,$HV40,$IN40,$JF40,$JX40)</f>
        <v>0</v>
      </c>
      <c r="LH40" s="1">
        <f>MEDIAN($O40,$AG40,$AY40,$BQ40,$CI40,$DA40,$DS40,$EK40,$FC40,$FU40,$GM40,$HE40,$HW40,$IO40,$JG40,$JY40)</f>
        <v>0</v>
      </c>
      <c r="LI40" s="1">
        <f>MEDIAN($Q40,$AI40,$BA40,$BS40,$CK40,$DC40,$DU40,$EM40,$FE40,$FW40,$GO40,$HG40,$HY40,$IQ40,$JI40,$KA40)</f>
        <v>0</v>
      </c>
      <c r="LJ40" s="1">
        <f>MEDIAN($R40,$AJ40,$BB40,$BT40,$CL40,$DD40,$DV40,$EN40,$FF40,$FX40,$GP40,$HH40,$HZ40,$IR40,$JJ40,$KB40)</f>
        <v>0</v>
      </c>
      <c r="LK40" s="1">
        <f>MEDIAN($S40,$AK40,$BC40,$BU40,$CM40,$DE40,$DW40,$EO40,$FG40,$FY40,$GQ40,$HI40,$IA40,$IS40,$JK40,$KC40)</f>
        <v>0</v>
      </c>
      <c r="LL40" s="1">
        <f>MAX($B40,$T40,$AL40,$BD40,$BV40,$CN40,$DF40,$DX40,$EP40,$FH40,$FZ40,$GR40,$HJ40,$IB40,$IT40,$JL40)</f>
        <v>0</v>
      </c>
      <c r="LM40" s="1">
        <f>MAX($C40,$U40,$AM40,$BE40,$BW40,$CO40,$DG40,$DY40,$EQ40,$FI40,$GA40,$GS40,$HK40,$IC40,$IU40,$JM40)</f>
        <v>0</v>
      </c>
      <c r="LN40" s="1">
        <f>MAX($D40,$V40,$AN40,$BF40,$BX40,$CP40,$DH40,$DZ40,$ER40,$FJ40,$GB40,$GT40,$HL40,$ID40,$IV40,$JN40)</f>
        <v>0</v>
      </c>
      <c r="LO40" s="1">
        <f>MAX($E40,$W40,$AO40,$BG40,$BY40,$CQ40,$DI40,$EA40,$ES40,$FK40,$GC40,$GU40,$HM40,$IE40,$IW40,$JO40)</f>
        <v>0</v>
      </c>
      <c r="LP40" s="1">
        <f>MAX($F40,$X40,$AP40,$BH40,$BZ40,$CR40,$DJ40,$EB40,$ET40,$FL40,$GD40,$GV40,$HN40,$IF40,$IX40,$JP40)</f>
        <v>0</v>
      </c>
      <c r="LQ40" s="1">
        <f>MAX($G40,$Y40,$AQ40,$BI40,$CA40,$CS40,$DK40,$EC40,$EU40,$FM40,$GE40,$GW40,$HO40,$IG40,$IY40,$JQ40)</f>
        <v>0</v>
      </c>
      <c r="LR40" s="1">
        <f>MAX($H40,$Z40,$AR40,$BJ40,$CB40,$CT40,$DL40,$ED40,$EV40,$FN40,$GF40,$GX40,$HP40,$IH40,$IZ40,$JR40)</f>
        <v>0</v>
      </c>
      <c r="LS40" s="1">
        <f>MAX($I40,$AA40,$AS40,$BK40,$CC40,$CU40,$DM40,$EE40,$EW40,$FO40,$GG40,$GY40,$HQ40,$II40,$JA40,$JS40)</f>
        <v>0</v>
      </c>
      <c r="LT40" s="1">
        <f>MAX($J40,$AB40,$AT40,$BL40,$CD40,$CV40,$DN40,$EF40,$EX40,$FP40,$GH40,$GZ40,$HR40,$IJ40,$JB40,$JT40)</f>
        <v>0</v>
      </c>
      <c r="LU40" s="1">
        <f>MAX($K40,$AC40,$AU40,$BM40,$CE40,$CW40,$DO40,$EG40,$EY40,$FQ40,$GI40,$HA40,$HS40,$IK40,$JC40,$JU40)</f>
        <v>0</v>
      </c>
      <c r="LV40" s="1">
        <f>MAX($L40,$AD40,$AV40,$BN40,$CF40,$CX40,$DP40,$EH40,$EZ40,$FR40,$GJ40,$HB40,$HT40,$IL40,$JD40,$JV40)</f>
        <v>0</v>
      </c>
      <c r="LW40" s="1">
        <f>MAX($M40,$AE40,$AW40,$BO40,$CG40,$CY40,$DQ40,$EI40,$FA40,$FS40,$GK40,$HC40,$HU40,$IM40,$JE40,$JW40)</f>
        <v>0</v>
      </c>
      <c r="LX40" s="1">
        <f>MAX($N40,$AF40,$AX40,$BP40,$CH40,$CZ40,$DR40,$EJ40,$FB40,$FT40,$GL40,$HD40,$HV40,$IN40,$JF40,$JX40)</f>
        <v>0</v>
      </c>
      <c r="LY40" s="1">
        <f>MAX($O40,$AG40,$AY40,$BQ40,$CI40,$DA40,$DS40,$EK40,$FC40,$FU40,$GM40,$HE40,$HW40,$IO40,$JG40,$JY40)</f>
        <v>0</v>
      </c>
      <c r="LZ40" s="1">
        <f>MAX($Q40,$AI40,$BA40,$BS40,$CK40,$DC40,$DU40,$EM40,$FE40,$FW40,$GO40,$HG40,$HY40,$IQ40,$JI40,$KA40)</f>
        <v>0</v>
      </c>
      <c r="MA40" s="1">
        <f>MAX($R40,$AJ40,$BB40,$BT40,$CL40,$DD40,$DV40,$EN40,$FF40,$FX40,$GP40,$HH40,$HZ40,$IR40,$JJ40,$KB40)</f>
        <v>0</v>
      </c>
      <c r="MB40" s="1">
        <f>MAX($S40,$AK40,$BC40,$BU40,$CM40,$DE40,$DW40,$EO40,$FG40,$FY40,$GQ40,$HI40,$IA40,$IS40,$JK40,$KC40)</f>
        <v>0</v>
      </c>
    </row>
    <row r="41" spans="1:340">
      <c r="A41" s="1" t="s">
        <v>38</v>
      </c>
      <c r="B41" s="1">
        <v>57285</v>
      </c>
      <c r="C41" s="1">
        <v>119</v>
      </c>
      <c r="D41" s="1">
        <v>12.677</v>
      </c>
      <c r="E41" s="1">
        <v>0</v>
      </c>
      <c r="F41" s="1">
        <v>13162447</v>
      </c>
      <c r="G41" s="1">
        <v>0</v>
      </c>
      <c r="H41" s="1">
        <v>12.467</v>
      </c>
      <c r="I41" s="1">
        <v>1372</v>
      </c>
      <c r="J41" s="1">
        <v>0</v>
      </c>
      <c r="K41" s="1">
        <v>1</v>
      </c>
      <c r="L41" s="1">
        <v>13</v>
      </c>
      <c r="M41" s="1">
        <v>0</v>
      </c>
      <c r="N41" s="1">
        <v>7018966</v>
      </c>
      <c r="O41" s="1">
        <v>0.21</v>
      </c>
      <c r="P41" s="1" t="s">
        <v>64</v>
      </c>
      <c r="Q41" s="1">
        <v>13</v>
      </c>
      <c r="R41" s="1">
        <v>0</v>
      </c>
      <c r="S41" s="1">
        <v>1802568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>
        <v>73938</v>
      </c>
      <c r="AM41" s="1">
        <v>268976</v>
      </c>
      <c r="AN41" s="1">
        <v>72.42</v>
      </c>
      <c r="AO41" s="1">
        <v>12220</v>
      </c>
      <c r="AP41" s="1">
        <v>15880887</v>
      </c>
      <c r="AQ41" s="1">
        <v>0</v>
      </c>
      <c r="AR41" s="1">
        <v>14.83</v>
      </c>
      <c r="AS41" s="1">
        <v>1298</v>
      </c>
      <c r="AT41" s="1">
        <v>0</v>
      </c>
      <c r="AU41" s="1">
        <v>1</v>
      </c>
      <c r="AV41" s="1">
        <v>72.83</v>
      </c>
      <c r="AW41" s="1">
        <v>58</v>
      </c>
      <c r="AX41" s="1">
        <v>7045513</v>
      </c>
      <c r="AY41" s="1">
        <v>57.59</v>
      </c>
      <c r="AZ41" s="1" t="s">
        <v>64</v>
      </c>
      <c r="BA41" s="1">
        <v>72.83</v>
      </c>
      <c r="BB41" s="1">
        <v>0</v>
      </c>
      <c r="BC41" s="1">
        <v>1813126</v>
      </c>
      <c r="BD41" s="1">
        <v>44646</v>
      </c>
      <c r="BE41" s="1">
        <v>109652</v>
      </c>
      <c r="BF41" s="1">
        <v>10.658</v>
      </c>
      <c r="BG41" s="1">
        <v>6556</v>
      </c>
      <c r="BH41" s="1">
        <v>4080117</v>
      </c>
      <c r="BI41" s="1">
        <v>0</v>
      </c>
      <c r="BJ41" s="1">
        <v>4.108</v>
      </c>
      <c r="BK41" s="1">
        <v>293</v>
      </c>
      <c r="BL41" s="1">
        <v>0</v>
      </c>
      <c r="BM41" s="1">
        <v>1</v>
      </c>
      <c r="BN41" s="1">
        <v>10.71</v>
      </c>
      <c r="BO41" s="1">
        <v>29</v>
      </c>
      <c r="BP41" s="1">
        <v>5213498</v>
      </c>
      <c r="BQ41" s="1">
        <v>6.55</v>
      </c>
      <c r="BR41" s="1" t="s">
        <v>64</v>
      </c>
      <c r="BS41" s="1">
        <v>10.71</v>
      </c>
      <c r="BT41" s="1">
        <v>0</v>
      </c>
      <c r="BU41" s="1">
        <v>51798</v>
      </c>
      <c r="BV41" s="1">
        <v>56452</v>
      </c>
      <c r="BW41" s="1">
        <v>81</v>
      </c>
      <c r="BX41" s="1">
        <v>5.242</v>
      </c>
      <c r="BY41" s="1">
        <v>9</v>
      </c>
      <c r="BZ41" s="1">
        <v>7151041</v>
      </c>
      <c r="CA41" s="1">
        <v>0</v>
      </c>
      <c r="CB41" s="1">
        <v>5.142</v>
      </c>
      <c r="CC41" s="1">
        <v>555</v>
      </c>
      <c r="CD41" s="1">
        <v>0</v>
      </c>
      <c r="CE41" s="1">
        <v>1</v>
      </c>
      <c r="CF41" s="1">
        <v>5.37</v>
      </c>
      <c r="CG41" s="1">
        <v>0</v>
      </c>
      <c r="CH41" s="1">
        <v>5762313</v>
      </c>
      <c r="CI41" s="1">
        <v>0.1</v>
      </c>
      <c r="CJ41" s="1" t="s">
        <v>64</v>
      </c>
      <c r="CK41" s="1">
        <v>5.37</v>
      </c>
      <c r="CL41" s="1">
        <v>0</v>
      </c>
      <c r="CM41" s="1">
        <v>555596</v>
      </c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>
        <v>56452</v>
      </c>
      <c r="DY41" s="1">
        <v>197221</v>
      </c>
      <c r="DZ41" s="1">
        <v>141.787</v>
      </c>
      <c r="EA41" s="1">
        <v>15816</v>
      </c>
      <c r="EB41" s="1">
        <v>7151041</v>
      </c>
      <c r="EC41" s="1">
        <v>0</v>
      </c>
      <c r="ED41" s="1">
        <v>6.106999999999999</v>
      </c>
      <c r="EE41" s="1">
        <v>566</v>
      </c>
      <c r="EF41" s="1">
        <v>0</v>
      </c>
      <c r="EG41" s="1">
        <v>1</v>
      </c>
      <c r="EH41" s="1">
        <v>141.97</v>
      </c>
      <c r="EI41" s="1">
        <v>62</v>
      </c>
      <c r="EJ41" s="1">
        <v>5762313</v>
      </c>
      <c r="EK41" s="1">
        <v>135.68</v>
      </c>
      <c r="EL41" s="1" t="s">
        <v>64</v>
      </c>
      <c r="EM41" s="1">
        <v>141.97</v>
      </c>
      <c r="EN41" s="1">
        <v>0</v>
      </c>
      <c r="EO41" s="1">
        <v>555596</v>
      </c>
      <c r="EP41" s="1">
        <v>57285</v>
      </c>
      <c r="EQ41" s="1">
        <v>119</v>
      </c>
      <c r="ER41" s="1">
        <v>15.59</v>
      </c>
      <c r="ES41" s="1">
        <v>0</v>
      </c>
      <c r="ET41" s="1">
        <v>13162447</v>
      </c>
      <c r="EU41" s="1">
        <v>0</v>
      </c>
      <c r="EV41" s="1">
        <v>15.27</v>
      </c>
      <c r="EW41" s="1">
        <v>1371</v>
      </c>
      <c r="EX41" s="1">
        <v>0</v>
      </c>
      <c r="EY41" s="1">
        <v>1</v>
      </c>
      <c r="EZ41" s="1">
        <v>16.11</v>
      </c>
      <c r="FA41" s="1">
        <v>0</v>
      </c>
      <c r="FB41" s="1">
        <v>7018966</v>
      </c>
      <c r="FC41" s="1">
        <v>0.32</v>
      </c>
      <c r="FD41" s="1" t="s">
        <v>64</v>
      </c>
      <c r="FE41" s="1">
        <v>16.11</v>
      </c>
      <c r="FF41" s="1">
        <v>0</v>
      </c>
      <c r="FG41" s="1">
        <v>1802568</v>
      </c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>
        <v>73938</v>
      </c>
      <c r="GA41" s="1">
        <v>268976</v>
      </c>
      <c r="GB41" s="1">
        <v>97.964</v>
      </c>
      <c r="GC41" s="1">
        <v>12220</v>
      </c>
      <c r="GD41" s="1">
        <v>15880887</v>
      </c>
      <c r="GE41" s="1">
        <v>0</v>
      </c>
      <c r="GF41" s="1">
        <v>18.044</v>
      </c>
      <c r="GG41" s="1">
        <v>1327</v>
      </c>
      <c r="GH41" s="1">
        <v>0</v>
      </c>
      <c r="GI41" s="1">
        <v>1</v>
      </c>
      <c r="GJ41" s="1">
        <v>98.5</v>
      </c>
      <c r="GK41" s="1">
        <v>58</v>
      </c>
      <c r="GL41" s="1">
        <v>7045513</v>
      </c>
      <c r="GM41" s="1">
        <v>79.92</v>
      </c>
      <c r="GN41" s="1" t="s">
        <v>64</v>
      </c>
      <c r="GO41" s="1">
        <v>98.5</v>
      </c>
      <c r="GP41" s="1">
        <v>0</v>
      </c>
      <c r="GQ41" s="1">
        <v>1813126</v>
      </c>
      <c r="GR41" s="1">
        <v>44646</v>
      </c>
      <c r="GS41" s="1">
        <v>109652</v>
      </c>
      <c r="GT41" s="1">
        <v>8.291</v>
      </c>
      <c r="GU41" s="1">
        <v>6556</v>
      </c>
      <c r="GV41" s="1">
        <v>4080117</v>
      </c>
      <c r="GW41" s="1">
        <v>0</v>
      </c>
      <c r="GX41" s="1">
        <v>3.461</v>
      </c>
      <c r="GY41" s="1">
        <v>294</v>
      </c>
      <c r="GZ41" s="1">
        <v>0</v>
      </c>
      <c r="HA41" s="1">
        <v>1</v>
      </c>
      <c r="HB41" s="1">
        <v>8.33</v>
      </c>
      <c r="HC41" s="1">
        <v>29</v>
      </c>
      <c r="HD41" s="1">
        <v>5213498</v>
      </c>
      <c r="HE41" s="1">
        <v>4.83</v>
      </c>
      <c r="HF41" s="1" t="s">
        <v>64</v>
      </c>
      <c r="HG41" s="1">
        <v>8.33</v>
      </c>
      <c r="HH41" s="1">
        <v>0</v>
      </c>
      <c r="HI41" s="1">
        <v>51798</v>
      </c>
      <c r="HJ41" s="1">
        <v>45656</v>
      </c>
      <c r="HK41" s="1">
        <v>75</v>
      </c>
      <c r="HL41" s="1">
        <v>6.211</v>
      </c>
      <c r="HM41" s="1">
        <v>18</v>
      </c>
      <c r="HN41" s="1">
        <v>7147556</v>
      </c>
      <c r="HO41" s="1">
        <v>0</v>
      </c>
      <c r="HP41" s="1">
        <v>5.811</v>
      </c>
      <c r="HQ41" s="1">
        <v>558</v>
      </c>
      <c r="HR41" s="1">
        <v>0</v>
      </c>
      <c r="HS41" s="1">
        <v>1</v>
      </c>
      <c r="HT41" s="1">
        <v>6.39</v>
      </c>
      <c r="HU41" s="1">
        <v>0</v>
      </c>
      <c r="HV41" s="1">
        <v>5748036</v>
      </c>
      <c r="HW41" s="1">
        <v>0.4</v>
      </c>
      <c r="HX41" s="1" t="s">
        <v>64</v>
      </c>
      <c r="HY41" s="1">
        <v>6.39</v>
      </c>
      <c r="HZ41" s="1">
        <v>0</v>
      </c>
      <c r="IA41" s="1">
        <v>555537</v>
      </c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>
        <v>45656</v>
      </c>
      <c r="JM41" s="1">
        <v>95130</v>
      </c>
      <c r="JN41" s="1">
        <v>599.986</v>
      </c>
      <c r="JO41" s="1">
        <v>37842</v>
      </c>
      <c r="JP41" s="1">
        <v>7147556</v>
      </c>
      <c r="JQ41" s="1">
        <v>0</v>
      </c>
      <c r="JR41" s="1">
        <v>7.035999999999945</v>
      </c>
      <c r="JS41" s="1">
        <v>558</v>
      </c>
      <c r="JT41" s="1">
        <v>0</v>
      </c>
      <c r="JU41" s="1">
        <v>0</v>
      </c>
      <c r="JV41" s="1">
        <v>1200</v>
      </c>
      <c r="JW41" s="1">
        <v>126</v>
      </c>
      <c r="JX41" s="1">
        <v>5748036</v>
      </c>
      <c r="JY41" s="1">
        <v>592.95</v>
      </c>
      <c r="JZ41" s="1" t="s">
        <v>65</v>
      </c>
      <c r="KA41" s="1">
        <v>600</v>
      </c>
      <c r="KB41" s="1">
        <v>1</v>
      </c>
      <c r="KC41" s="1">
        <v>555537</v>
      </c>
      <c r="KD41" s="1">
        <f>MIN($B41,$T41,$AL41,$BD41,$BV41,$CN41,$DF41,$DX41,$EP41,$FH41,$FZ41,$GR41,$HJ41,$IB41,$IT41,$JL41)</f>
        <v>0</v>
      </c>
      <c r="KE41" s="1">
        <f>MIN($C41,$U41,$AM41,$BE41,$BW41,$CO41,$DG41,$DY41,$EQ41,$FI41,$GA41,$GS41,$HK41,$IC41,$IU41,$JM41)</f>
        <v>0</v>
      </c>
      <c r="KF41" s="1">
        <f>MIN($D41,$V41,$AN41,$BF41,$BX41,$CP41,$DH41,$DZ41,$ER41,$FJ41,$GB41,$GT41,$HL41,$ID41,$IV41,$JN41)</f>
        <v>0</v>
      </c>
      <c r="KG41" s="1">
        <f>MIN($E41,$W41,$AO41,$BG41,$BY41,$CQ41,$DI41,$EA41,$ES41,$FK41,$GC41,$GU41,$HM41,$IE41,$IW41,$JO41)</f>
        <v>0</v>
      </c>
      <c r="KH41" s="1">
        <f>MIN($F41,$X41,$AP41,$BH41,$BZ41,$CR41,$DJ41,$EB41,$ET41,$FL41,$GD41,$GV41,$HN41,$IF41,$IX41,$JP41)</f>
        <v>0</v>
      </c>
      <c r="KI41" s="1">
        <f>MIN($G41,$Y41,$AQ41,$BI41,$CA41,$CS41,$DK41,$EC41,$EU41,$FM41,$GE41,$GW41,$HO41,$IG41,$IY41,$JQ41)</f>
        <v>0</v>
      </c>
      <c r="KJ41" s="1">
        <f>MIN($H41,$Z41,$AR41,$BJ41,$CB41,$CT41,$DL41,$ED41,$EV41,$FN41,$GF41,$GX41,$HP41,$IH41,$IZ41,$JR41)</f>
        <v>0</v>
      </c>
      <c r="KK41" s="1">
        <f>MIN($I41,$AA41,$AS41,$BK41,$CC41,$CU41,$DM41,$EE41,$EW41,$FO41,$GG41,$GY41,$HQ41,$II41,$JA41,$JS41)</f>
        <v>0</v>
      </c>
      <c r="KL41" s="1">
        <f>MIN($J41,$AB41,$AT41,$BL41,$CD41,$CV41,$DN41,$EF41,$EX41,$FP41,$GH41,$GZ41,$HR41,$IJ41,$JB41,$JT41)</f>
        <v>0</v>
      </c>
      <c r="KM41" s="1">
        <f>MIN($K41,$AC41,$AU41,$BM41,$CE41,$CW41,$DO41,$EG41,$EY41,$FQ41,$GI41,$HA41,$HS41,$IK41,$JC41,$JU41)</f>
        <v>0</v>
      </c>
      <c r="KN41" s="1">
        <f>MIN($L41,$AD41,$AV41,$BN41,$CF41,$CX41,$DP41,$EH41,$EZ41,$FR41,$GJ41,$HB41,$HT41,$IL41,$JD41,$JV41)</f>
        <v>0</v>
      </c>
      <c r="KO41" s="1">
        <f>MIN($M41,$AE41,$AW41,$BO41,$CG41,$CY41,$DQ41,$EI41,$FA41,$FS41,$GK41,$HC41,$HU41,$IM41,$JE41,$JW41)</f>
        <v>0</v>
      </c>
      <c r="KP41" s="1">
        <f>MIN($N41,$AF41,$AX41,$BP41,$CH41,$CZ41,$DR41,$EJ41,$FB41,$FT41,$GL41,$HD41,$HV41,$IN41,$JF41,$JX41)</f>
        <v>0</v>
      </c>
      <c r="KQ41" s="1">
        <f>MIN($O41,$AG41,$AY41,$BQ41,$CI41,$DA41,$DS41,$EK41,$FC41,$FU41,$GM41,$HE41,$HW41,$IO41,$JG41,$JY41)</f>
        <v>0</v>
      </c>
      <c r="KR41" s="1">
        <f>MIN($Q41,$AI41,$BA41,$BS41,$CK41,$DC41,$DU41,$EM41,$FE41,$FW41,$GO41,$HG41,$HY41,$IQ41,$JI41,$KA41)</f>
        <v>0</v>
      </c>
      <c r="KS41" s="1">
        <f>MIN($R41,$AJ41,$BB41,$BT41,$CL41,$DD41,$DV41,$EN41,$FF41,$FX41,$GP41,$HH41,$HZ41,$IR41,$JJ41,$KB41)</f>
        <v>0</v>
      </c>
      <c r="KT41" s="1">
        <f>MIN($S41,$AK41,$BC41,$BU41,$CM41,$DE41,$DW41,$EO41,$FG41,$FY41,$GQ41,$HI41,$IA41,$IS41,$JK41,$KC41)</f>
        <v>0</v>
      </c>
      <c r="KU41" s="1">
        <f>MEDIAN($B41,$T41,$AL41,$BD41,$BV41,$CN41,$DF41,$DX41,$EP41,$FH41,$FZ41,$GR41,$HJ41,$IB41,$IT41,$JL41)</f>
        <v>0</v>
      </c>
      <c r="KV41" s="1">
        <f>MEDIAN($C41,$U41,$AM41,$BE41,$BW41,$CO41,$DG41,$DY41,$EQ41,$FI41,$GA41,$GS41,$HK41,$IC41,$IU41,$JM41)</f>
        <v>0</v>
      </c>
      <c r="KW41" s="1">
        <f>MEDIAN($D41,$V41,$AN41,$BF41,$BX41,$CP41,$DH41,$DZ41,$ER41,$FJ41,$GB41,$GT41,$HL41,$ID41,$IV41,$JN41)</f>
        <v>0</v>
      </c>
      <c r="KX41" s="1">
        <f>MEDIAN($E41,$W41,$AO41,$BG41,$BY41,$CQ41,$DI41,$EA41,$ES41,$FK41,$GC41,$GU41,$HM41,$IE41,$IW41,$JO41)</f>
        <v>0</v>
      </c>
      <c r="KY41" s="1">
        <f>MEDIAN($F41,$X41,$AP41,$BH41,$BZ41,$CR41,$DJ41,$EB41,$ET41,$FL41,$GD41,$GV41,$HN41,$IF41,$IX41,$JP41)</f>
        <v>0</v>
      </c>
      <c r="KZ41" s="1">
        <f>MEDIAN($G41,$Y41,$AQ41,$BI41,$CA41,$CS41,$DK41,$EC41,$EU41,$FM41,$GE41,$GW41,$HO41,$IG41,$IY41,$JQ41)</f>
        <v>0</v>
      </c>
      <c r="LA41" s="1">
        <f>MEDIAN($H41,$Z41,$AR41,$BJ41,$CB41,$CT41,$DL41,$ED41,$EV41,$FN41,$GF41,$GX41,$HP41,$IH41,$IZ41,$JR41)</f>
        <v>0</v>
      </c>
      <c r="LB41" s="1">
        <f>MEDIAN($I41,$AA41,$AS41,$BK41,$CC41,$CU41,$DM41,$EE41,$EW41,$FO41,$GG41,$GY41,$HQ41,$II41,$JA41,$JS41)</f>
        <v>0</v>
      </c>
      <c r="LC41" s="1">
        <f>MEDIAN($J41,$AB41,$AT41,$BL41,$CD41,$CV41,$DN41,$EF41,$EX41,$FP41,$GH41,$GZ41,$HR41,$IJ41,$JB41,$JT41)</f>
        <v>0</v>
      </c>
      <c r="LD41" s="1">
        <f>MEDIAN($K41,$AC41,$AU41,$BM41,$CE41,$CW41,$DO41,$EG41,$EY41,$FQ41,$GI41,$HA41,$HS41,$IK41,$JC41,$JU41)</f>
        <v>0</v>
      </c>
      <c r="LE41" s="1">
        <f>MEDIAN($L41,$AD41,$AV41,$BN41,$CF41,$CX41,$DP41,$EH41,$EZ41,$FR41,$GJ41,$HB41,$HT41,$IL41,$JD41,$JV41)</f>
        <v>0</v>
      </c>
      <c r="LF41" s="1">
        <f>MEDIAN($M41,$AE41,$AW41,$BO41,$CG41,$CY41,$DQ41,$EI41,$FA41,$FS41,$GK41,$HC41,$HU41,$IM41,$JE41,$JW41)</f>
        <v>0</v>
      </c>
      <c r="LG41" s="1">
        <f>MEDIAN($N41,$AF41,$AX41,$BP41,$CH41,$CZ41,$DR41,$EJ41,$FB41,$FT41,$GL41,$HD41,$HV41,$IN41,$JF41,$JX41)</f>
        <v>0</v>
      </c>
      <c r="LH41" s="1">
        <f>MEDIAN($O41,$AG41,$AY41,$BQ41,$CI41,$DA41,$DS41,$EK41,$FC41,$FU41,$GM41,$HE41,$HW41,$IO41,$JG41,$JY41)</f>
        <v>0</v>
      </c>
      <c r="LI41" s="1">
        <f>MEDIAN($Q41,$AI41,$BA41,$BS41,$CK41,$DC41,$DU41,$EM41,$FE41,$FW41,$GO41,$HG41,$HY41,$IQ41,$JI41,$KA41)</f>
        <v>0</v>
      </c>
      <c r="LJ41" s="1">
        <f>MEDIAN($R41,$AJ41,$BB41,$BT41,$CL41,$DD41,$DV41,$EN41,$FF41,$FX41,$GP41,$HH41,$HZ41,$IR41,$JJ41,$KB41)</f>
        <v>0</v>
      </c>
      <c r="LK41" s="1">
        <f>MEDIAN($S41,$AK41,$BC41,$BU41,$CM41,$DE41,$DW41,$EO41,$FG41,$FY41,$GQ41,$HI41,$IA41,$IS41,$JK41,$KC41)</f>
        <v>0</v>
      </c>
      <c r="LL41" s="1">
        <f>MAX($B41,$T41,$AL41,$BD41,$BV41,$CN41,$DF41,$DX41,$EP41,$FH41,$FZ41,$GR41,$HJ41,$IB41,$IT41,$JL41)</f>
        <v>0</v>
      </c>
      <c r="LM41" s="1">
        <f>MAX($C41,$U41,$AM41,$BE41,$BW41,$CO41,$DG41,$DY41,$EQ41,$FI41,$GA41,$GS41,$HK41,$IC41,$IU41,$JM41)</f>
        <v>0</v>
      </c>
      <c r="LN41" s="1">
        <f>MAX($D41,$V41,$AN41,$BF41,$BX41,$CP41,$DH41,$DZ41,$ER41,$FJ41,$GB41,$GT41,$HL41,$ID41,$IV41,$JN41)</f>
        <v>0</v>
      </c>
      <c r="LO41" s="1">
        <f>MAX($E41,$W41,$AO41,$BG41,$BY41,$CQ41,$DI41,$EA41,$ES41,$FK41,$GC41,$GU41,$HM41,$IE41,$IW41,$JO41)</f>
        <v>0</v>
      </c>
      <c r="LP41" s="1">
        <f>MAX($F41,$X41,$AP41,$BH41,$BZ41,$CR41,$DJ41,$EB41,$ET41,$FL41,$GD41,$GV41,$HN41,$IF41,$IX41,$JP41)</f>
        <v>0</v>
      </c>
      <c r="LQ41" s="1">
        <f>MAX($G41,$Y41,$AQ41,$BI41,$CA41,$CS41,$DK41,$EC41,$EU41,$FM41,$GE41,$GW41,$HO41,$IG41,$IY41,$JQ41)</f>
        <v>0</v>
      </c>
      <c r="LR41" s="1">
        <f>MAX($H41,$Z41,$AR41,$BJ41,$CB41,$CT41,$DL41,$ED41,$EV41,$FN41,$GF41,$GX41,$HP41,$IH41,$IZ41,$JR41)</f>
        <v>0</v>
      </c>
      <c r="LS41" s="1">
        <f>MAX($I41,$AA41,$AS41,$BK41,$CC41,$CU41,$DM41,$EE41,$EW41,$FO41,$GG41,$GY41,$HQ41,$II41,$JA41,$JS41)</f>
        <v>0</v>
      </c>
      <c r="LT41" s="1">
        <f>MAX($J41,$AB41,$AT41,$BL41,$CD41,$CV41,$DN41,$EF41,$EX41,$FP41,$GH41,$GZ41,$HR41,$IJ41,$JB41,$JT41)</f>
        <v>0</v>
      </c>
      <c r="LU41" s="1">
        <f>MAX($K41,$AC41,$AU41,$BM41,$CE41,$CW41,$DO41,$EG41,$EY41,$FQ41,$GI41,$HA41,$HS41,$IK41,$JC41,$JU41)</f>
        <v>0</v>
      </c>
      <c r="LV41" s="1">
        <f>MAX($L41,$AD41,$AV41,$BN41,$CF41,$CX41,$DP41,$EH41,$EZ41,$FR41,$GJ41,$HB41,$HT41,$IL41,$JD41,$JV41)</f>
        <v>0</v>
      </c>
      <c r="LW41" s="1">
        <f>MAX($M41,$AE41,$AW41,$BO41,$CG41,$CY41,$DQ41,$EI41,$FA41,$FS41,$GK41,$HC41,$HU41,$IM41,$JE41,$JW41)</f>
        <v>0</v>
      </c>
      <c r="LX41" s="1">
        <f>MAX($N41,$AF41,$AX41,$BP41,$CH41,$CZ41,$DR41,$EJ41,$FB41,$FT41,$GL41,$HD41,$HV41,$IN41,$JF41,$JX41)</f>
        <v>0</v>
      </c>
      <c r="LY41" s="1">
        <f>MAX($O41,$AG41,$AY41,$BQ41,$CI41,$DA41,$DS41,$EK41,$FC41,$FU41,$GM41,$HE41,$HW41,$IO41,$JG41,$JY41)</f>
        <v>0</v>
      </c>
      <c r="LZ41" s="1">
        <f>MAX($Q41,$AI41,$BA41,$BS41,$CK41,$DC41,$DU41,$EM41,$FE41,$FW41,$GO41,$HG41,$HY41,$IQ41,$JI41,$KA41)</f>
        <v>0</v>
      </c>
      <c r="MA41" s="1">
        <f>MAX($R41,$AJ41,$BB41,$BT41,$CL41,$DD41,$DV41,$EN41,$FF41,$FX41,$GP41,$HH41,$HZ41,$IR41,$JJ41,$KB41)</f>
        <v>0</v>
      </c>
      <c r="MB41" s="1">
        <f>MAX($S41,$AK41,$BC41,$BU41,$CM41,$DE41,$DW41,$EO41,$FG41,$FY41,$GQ41,$HI41,$IA41,$IS41,$JK41,$KC41)</f>
        <v>0</v>
      </c>
    </row>
    <row r="42" spans="1:340">
      <c r="A42" s="1" t="s">
        <v>39</v>
      </c>
      <c r="B42" s="1">
        <v>101185</v>
      </c>
      <c r="C42" s="1">
        <v>159</v>
      </c>
      <c r="D42" s="1">
        <v>27.655</v>
      </c>
      <c r="E42" s="1">
        <v>0</v>
      </c>
      <c r="F42" s="1">
        <v>26288407</v>
      </c>
      <c r="G42" s="1">
        <v>0</v>
      </c>
      <c r="H42" s="1">
        <v>27.235</v>
      </c>
      <c r="I42" s="1">
        <v>2602</v>
      </c>
      <c r="J42" s="1">
        <v>0</v>
      </c>
      <c r="K42" s="1">
        <v>1</v>
      </c>
      <c r="L42" s="1">
        <v>28.25</v>
      </c>
      <c r="M42" s="1">
        <v>0</v>
      </c>
      <c r="N42" s="1">
        <v>15900566</v>
      </c>
      <c r="O42" s="1">
        <v>0.42</v>
      </c>
      <c r="P42" s="1" t="s">
        <v>64</v>
      </c>
      <c r="Q42" s="1">
        <v>28.25</v>
      </c>
      <c r="R42" s="1">
        <v>0</v>
      </c>
      <c r="S42" s="1">
        <v>3255328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>
        <v>130598</v>
      </c>
      <c r="AM42" s="1">
        <v>1861373</v>
      </c>
      <c r="AN42" s="1">
        <v>600</v>
      </c>
      <c r="AO42" s="1">
        <v>77885</v>
      </c>
      <c r="AP42" s="1">
        <v>31212227</v>
      </c>
      <c r="AQ42" s="1">
        <v>0</v>
      </c>
      <c r="AR42" s="1">
        <v>32.60000000000002</v>
      </c>
      <c r="AS42" s="1">
        <v>2469</v>
      </c>
      <c r="AT42" s="1">
        <v>0</v>
      </c>
      <c r="AU42" s="1">
        <v>0</v>
      </c>
      <c r="AV42" s="1">
        <v>1200</v>
      </c>
      <c r="AW42" s="1">
        <v>253</v>
      </c>
      <c r="AX42" s="1">
        <v>15949643</v>
      </c>
      <c r="AY42" s="1">
        <v>567.4</v>
      </c>
      <c r="AZ42" s="1" t="s">
        <v>65</v>
      </c>
      <c r="BA42" s="1">
        <v>600</v>
      </c>
      <c r="BB42" s="1">
        <v>1</v>
      </c>
      <c r="BC42" s="1">
        <v>3278106</v>
      </c>
      <c r="BD42" s="1">
        <v>79526</v>
      </c>
      <c r="BE42" s="1">
        <v>546549</v>
      </c>
      <c r="BF42" s="1">
        <v>121.961</v>
      </c>
      <c r="BG42" s="1">
        <v>25825</v>
      </c>
      <c r="BH42" s="1">
        <v>9870647</v>
      </c>
      <c r="BI42" s="1">
        <v>0</v>
      </c>
      <c r="BJ42" s="1">
        <v>10.31099999999999</v>
      </c>
      <c r="BK42" s="1">
        <v>697</v>
      </c>
      <c r="BL42" s="1">
        <v>0</v>
      </c>
      <c r="BM42" s="1">
        <v>1</v>
      </c>
      <c r="BN42" s="1">
        <v>122.13</v>
      </c>
      <c r="BO42" s="1">
        <v>91</v>
      </c>
      <c r="BP42" s="1">
        <v>12648338</v>
      </c>
      <c r="BQ42" s="1">
        <v>111.65</v>
      </c>
      <c r="BR42" s="1" t="s">
        <v>64</v>
      </c>
      <c r="BS42" s="1">
        <v>122.13</v>
      </c>
      <c r="BT42" s="1">
        <v>0</v>
      </c>
      <c r="BU42" s="1">
        <v>93048</v>
      </c>
      <c r="BV42" s="1">
        <v>100072</v>
      </c>
      <c r="BW42" s="1">
        <v>107</v>
      </c>
      <c r="BX42" s="1">
        <v>12.079</v>
      </c>
      <c r="BY42" s="1">
        <v>11</v>
      </c>
      <c r="BZ42" s="1">
        <v>15456731</v>
      </c>
      <c r="CA42" s="1">
        <v>0</v>
      </c>
      <c r="CB42" s="1">
        <v>11.879</v>
      </c>
      <c r="CC42" s="1">
        <v>1180</v>
      </c>
      <c r="CD42" s="1">
        <v>0</v>
      </c>
      <c r="CE42" s="1">
        <v>1</v>
      </c>
      <c r="CF42" s="1">
        <v>12.31</v>
      </c>
      <c r="CG42" s="1">
        <v>0</v>
      </c>
      <c r="CH42" s="1">
        <v>13635973</v>
      </c>
      <c r="CI42" s="1">
        <v>0.2</v>
      </c>
      <c r="CJ42" s="1" t="s">
        <v>64</v>
      </c>
      <c r="CK42" s="1">
        <v>12.31</v>
      </c>
      <c r="CL42" s="1">
        <v>0</v>
      </c>
      <c r="CM42" s="1">
        <v>1009106</v>
      </c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>
        <v>100072</v>
      </c>
      <c r="DY42" s="1">
        <v>1735794</v>
      </c>
      <c r="DZ42" s="1">
        <v>600</v>
      </c>
      <c r="EA42" s="1">
        <v>75158</v>
      </c>
      <c r="EB42" s="1">
        <v>15456731</v>
      </c>
      <c r="EC42" s="1">
        <v>0</v>
      </c>
      <c r="ED42" s="1">
        <v>11.90999999999997</v>
      </c>
      <c r="EE42" s="1">
        <v>1201</v>
      </c>
      <c r="EF42" s="1">
        <v>0</v>
      </c>
      <c r="EG42" s="1">
        <v>0</v>
      </c>
      <c r="EH42" s="1">
        <v>1200</v>
      </c>
      <c r="EI42" s="1">
        <v>226</v>
      </c>
      <c r="EJ42" s="1">
        <v>13635973</v>
      </c>
      <c r="EK42" s="1">
        <v>588.09</v>
      </c>
      <c r="EL42" s="1" t="s">
        <v>65</v>
      </c>
      <c r="EM42" s="1">
        <v>600</v>
      </c>
      <c r="EN42" s="1">
        <v>1</v>
      </c>
      <c r="EO42" s="1">
        <v>1009106</v>
      </c>
      <c r="EP42" s="1">
        <v>101185</v>
      </c>
      <c r="EQ42" s="1">
        <v>159</v>
      </c>
      <c r="ER42" s="1">
        <v>33.26</v>
      </c>
      <c r="ES42" s="1">
        <v>0</v>
      </c>
      <c r="ET42" s="1">
        <v>26288407</v>
      </c>
      <c r="EU42" s="1">
        <v>0</v>
      </c>
      <c r="EV42" s="1">
        <v>32.56</v>
      </c>
      <c r="EW42" s="1">
        <v>2607</v>
      </c>
      <c r="EX42" s="1">
        <v>0</v>
      </c>
      <c r="EY42" s="1">
        <v>1</v>
      </c>
      <c r="EZ42" s="1">
        <v>34.39</v>
      </c>
      <c r="FA42" s="1">
        <v>0</v>
      </c>
      <c r="FB42" s="1">
        <v>15900566</v>
      </c>
      <c r="FC42" s="1">
        <v>0.7</v>
      </c>
      <c r="FD42" s="1" t="s">
        <v>64</v>
      </c>
      <c r="FE42" s="1">
        <v>34.39</v>
      </c>
      <c r="FF42" s="1">
        <v>0</v>
      </c>
      <c r="FG42" s="1">
        <v>3255328</v>
      </c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>
        <v>130598</v>
      </c>
      <c r="GA42" s="1">
        <v>780614</v>
      </c>
      <c r="GB42" s="1">
        <v>599.987</v>
      </c>
      <c r="GC42" s="1">
        <v>46189</v>
      </c>
      <c r="GD42" s="1">
        <v>31212227</v>
      </c>
      <c r="GE42" s="1">
        <v>0</v>
      </c>
      <c r="GF42" s="1">
        <v>40.50699999999995</v>
      </c>
      <c r="GG42" s="1">
        <v>2473</v>
      </c>
      <c r="GH42" s="1">
        <v>0</v>
      </c>
      <c r="GI42" s="1">
        <v>0</v>
      </c>
      <c r="GJ42" s="1">
        <v>1200</v>
      </c>
      <c r="GK42" s="1">
        <v>157</v>
      </c>
      <c r="GL42" s="1">
        <v>15949643</v>
      </c>
      <c r="GM42" s="1">
        <v>559.48</v>
      </c>
      <c r="GN42" s="1" t="s">
        <v>65</v>
      </c>
      <c r="GO42" s="1">
        <v>600</v>
      </c>
      <c r="GP42" s="1">
        <v>1</v>
      </c>
      <c r="GQ42" s="1">
        <v>3278106</v>
      </c>
      <c r="GR42" s="1">
        <v>79526</v>
      </c>
      <c r="GS42" s="1">
        <v>546549</v>
      </c>
      <c r="GT42" s="1">
        <v>69.706</v>
      </c>
      <c r="GU42" s="1">
        <v>25825</v>
      </c>
      <c r="GV42" s="1">
        <v>9870647</v>
      </c>
      <c r="GW42" s="1">
        <v>0</v>
      </c>
      <c r="GX42" s="1">
        <v>8.826000000000001</v>
      </c>
      <c r="GY42" s="1">
        <v>697</v>
      </c>
      <c r="GZ42" s="1">
        <v>0</v>
      </c>
      <c r="HA42" s="1">
        <v>1</v>
      </c>
      <c r="HB42" s="1">
        <v>69.81</v>
      </c>
      <c r="HC42" s="1">
        <v>91</v>
      </c>
      <c r="HD42" s="1">
        <v>12648338</v>
      </c>
      <c r="HE42" s="1">
        <v>60.88</v>
      </c>
      <c r="HF42" s="1" t="s">
        <v>64</v>
      </c>
      <c r="HG42" s="1">
        <v>69.81</v>
      </c>
      <c r="HH42" s="1">
        <v>0</v>
      </c>
      <c r="HI42" s="1">
        <v>93048</v>
      </c>
      <c r="HJ42" s="1">
        <v>80876</v>
      </c>
      <c r="HK42" s="1">
        <v>92</v>
      </c>
      <c r="HL42" s="1">
        <v>16.551</v>
      </c>
      <c r="HM42" s="1">
        <v>20</v>
      </c>
      <c r="HN42" s="1">
        <v>15450486</v>
      </c>
      <c r="HO42" s="1">
        <v>0</v>
      </c>
      <c r="HP42" s="1">
        <v>15.351</v>
      </c>
      <c r="HQ42" s="1">
        <v>1169</v>
      </c>
      <c r="HR42" s="1">
        <v>0</v>
      </c>
      <c r="HS42" s="1">
        <v>1</v>
      </c>
      <c r="HT42" s="1">
        <v>16.83</v>
      </c>
      <c r="HU42" s="1">
        <v>0</v>
      </c>
      <c r="HV42" s="1">
        <v>13610536</v>
      </c>
      <c r="HW42" s="1">
        <v>1.2</v>
      </c>
      <c r="HX42" s="1" t="s">
        <v>64</v>
      </c>
      <c r="HY42" s="1">
        <v>16.83</v>
      </c>
      <c r="HZ42" s="1">
        <v>0</v>
      </c>
      <c r="IA42" s="1">
        <v>1009027</v>
      </c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>
        <v>80876</v>
      </c>
      <c r="JM42" s="1">
        <v>842447</v>
      </c>
      <c r="JN42" s="1">
        <v>599.999</v>
      </c>
      <c r="JO42" s="1">
        <v>28944</v>
      </c>
      <c r="JP42" s="1">
        <v>15450486</v>
      </c>
      <c r="JQ42" s="1">
        <v>0</v>
      </c>
      <c r="JR42" s="1">
        <v>13.149</v>
      </c>
      <c r="JS42" s="1">
        <v>1171</v>
      </c>
      <c r="JT42" s="1">
        <v>0</v>
      </c>
      <c r="JU42" s="1">
        <v>0</v>
      </c>
      <c r="JV42" s="1">
        <v>1200</v>
      </c>
      <c r="JW42" s="1">
        <v>113</v>
      </c>
      <c r="JX42" s="1">
        <v>13610536</v>
      </c>
      <c r="JY42" s="1">
        <v>586.85</v>
      </c>
      <c r="JZ42" s="1" t="s">
        <v>65</v>
      </c>
      <c r="KA42" s="1">
        <v>600</v>
      </c>
      <c r="KB42" s="1">
        <v>1</v>
      </c>
      <c r="KC42" s="1">
        <v>1009027</v>
      </c>
      <c r="KD42" s="1">
        <f>MIN($B42,$T42,$AL42,$BD42,$BV42,$CN42,$DF42,$DX42,$EP42,$FH42,$FZ42,$GR42,$HJ42,$IB42,$IT42,$JL42)</f>
        <v>0</v>
      </c>
      <c r="KE42" s="1">
        <f>MIN($C42,$U42,$AM42,$BE42,$BW42,$CO42,$DG42,$DY42,$EQ42,$FI42,$GA42,$GS42,$HK42,$IC42,$IU42,$JM42)</f>
        <v>0</v>
      </c>
      <c r="KF42" s="1">
        <f>MIN($D42,$V42,$AN42,$BF42,$BX42,$CP42,$DH42,$DZ42,$ER42,$FJ42,$GB42,$GT42,$HL42,$ID42,$IV42,$JN42)</f>
        <v>0</v>
      </c>
      <c r="KG42" s="1">
        <f>MIN($E42,$W42,$AO42,$BG42,$BY42,$CQ42,$DI42,$EA42,$ES42,$FK42,$GC42,$GU42,$HM42,$IE42,$IW42,$JO42)</f>
        <v>0</v>
      </c>
      <c r="KH42" s="1">
        <f>MIN($F42,$X42,$AP42,$BH42,$BZ42,$CR42,$DJ42,$EB42,$ET42,$FL42,$GD42,$GV42,$HN42,$IF42,$IX42,$JP42)</f>
        <v>0</v>
      </c>
      <c r="KI42" s="1">
        <f>MIN($G42,$Y42,$AQ42,$BI42,$CA42,$CS42,$DK42,$EC42,$EU42,$FM42,$GE42,$GW42,$HO42,$IG42,$IY42,$JQ42)</f>
        <v>0</v>
      </c>
      <c r="KJ42" s="1">
        <f>MIN($H42,$Z42,$AR42,$BJ42,$CB42,$CT42,$DL42,$ED42,$EV42,$FN42,$GF42,$GX42,$HP42,$IH42,$IZ42,$JR42)</f>
        <v>0</v>
      </c>
      <c r="KK42" s="1">
        <f>MIN($I42,$AA42,$AS42,$BK42,$CC42,$CU42,$DM42,$EE42,$EW42,$FO42,$GG42,$GY42,$HQ42,$II42,$JA42,$JS42)</f>
        <v>0</v>
      </c>
      <c r="KL42" s="1">
        <f>MIN($J42,$AB42,$AT42,$BL42,$CD42,$CV42,$DN42,$EF42,$EX42,$FP42,$GH42,$GZ42,$HR42,$IJ42,$JB42,$JT42)</f>
        <v>0</v>
      </c>
      <c r="KM42" s="1">
        <f>MIN($K42,$AC42,$AU42,$BM42,$CE42,$CW42,$DO42,$EG42,$EY42,$FQ42,$GI42,$HA42,$HS42,$IK42,$JC42,$JU42)</f>
        <v>0</v>
      </c>
      <c r="KN42" s="1">
        <f>MIN($L42,$AD42,$AV42,$BN42,$CF42,$CX42,$DP42,$EH42,$EZ42,$FR42,$GJ42,$HB42,$HT42,$IL42,$JD42,$JV42)</f>
        <v>0</v>
      </c>
      <c r="KO42" s="1">
        <f>MIN($M42,$AE42,$AW42,$BO42,$CG42,$CY42,$DQ42,$EI42,$FA42,$FS42,$GK42,$HC42,$HU42,$IM42,$JE42,$JW42)</f>
        <v>0</v>
      </c>
      <c r="KP42" s="1">
        <f>MIN($N42,$AF42,$AX42,$BP42,$CH42,$CZ42,$DR42,$EJ42,$FB42,$FT42,$GL42,$HD42,$HV42,$IN42,$JF42,$JX42)</f>
        <v>0</v>
      </c>
      <c r="KQ42" s="1">
        <f>MIN($O42,$AG42,$AY42,$BQ42,$CI42,$DA42,$DS42,$EK42,$FC42,$FU42,$GM42,$HE42,$HW42,$IO42,$JG42,$JY42)</f>
        <v>0</v>
      </c>
      <c r="KR42" s="1">
        <f>MIN($Q42,$AI42,$BA42,$BS42,$CK42,$DC42,$DU42,$EM42,$FE42,$FW42,$GO42,$HG42,$HY42,$IQ42,$JI42,$KA42)</f>
        <v>0</v>
      </c>
      <c r="KS42" s="1">
        <f>MIN($R42,$AJ42,$BB42,$BT42,$CL42,$DD42,$DV42,$EN42,$FF42,$FX42,$GP42,$HH42,$HZ42,$IR42,$JJ42,$KB42)</f>
        <v>0</v>
      </c>
      <c r="KT42" s="1">
        <f>MIN($S42,$AK42,$BC42,$BU42,$CM42,$DE42,$DW42,$EO42,$FG42,$FY42,$GQ42,$HI42,$IA42,$IS42,$JK42,$KC42)</f>
        <v>0</v>
      </c>
      <c r="KU42" s="1">
        <f>MEDIAN($B42,$T42,$AL42,$BD42,$BV42,$CN42,$DF42,$DX42,$EP42,$FH42,$FZ42,$GR42,$HJ42,$IB42,$IT42,$JL42)</f>
        <v>0</v>
      </c>
      <c r="KV42" s="1">
        <f>MEDIAN($C42,$U42,$AM42,$BE42,$BW42,$CO42,$DG42,$DY42,$EQ42,$FI42,$GA42,$GS42,$HK42,$IC42,$IU42,$JM42)</f>
        <v>0</v>
      </c>
      <c r="KW42" s="1">
        <f>MEDIAN($D42,$V42,$AN42,$BF42,$BX42,$CP42,$DH42,$DZ42,$ER42,$FJ42,$GB42,$GT42,$HL42,$ID42,$IV42,$JN42)</f>
        <v>0</v>
      </c>
      <c r="KX42" s="1">
        <f>MEDIAN($E42,$W42,$AO42,$BG42,$BY42,$CQ42,$DI42,$EA42,$ES42,$FK42,$GC42,$GU42,$HM42,$IE42,$IW42,$JO42)</f>
        <v>0</v>
      </c>
      <c r="KY42" s="1">
        <f>MEDIAN($F42,$X42,$AP42,$BH42,$BZ42,$CR42,$DJ42,$EB42,$ET42,$FL42,$GD42,$GV42,$HN42,$IF42,$IX42,$JP42)</f>
        <v>0</v>
      </c>
      <c r="KZ42" s="1">
        <f>MEDIAN($G42,$Y42,$AQ42,$BI42,$CA42,$CS42,$DK42,$EC42,$EU42,$FM42,$GE42,$GW42,$HO42,$IG42,$IY42,$JQ42)</f>
        <v>0</v>
      </c>
      <c r="LA42" s="1">
        <f>MEDIAN($H42,$Z42,$AR42,$BJ42,$CB42,$CT42,$DL42,$ED42,$EV42,$FN42,$GF42,$GX42,$HP42,$IH42,$IZ42,$JR42)</f>
        <v>0</v>
      </c>
      <c r="LB42" s="1">
        <f>MEDIAN($I42,$AA42,$AS42,$BK42,$CC42,$CU42,$DM42,$EE42,$EW42,$FO42,$GG42,$GY42,$HQ42,$II42,$JA42,$JS42)</f>
        <v>0</v>
      </c>
      <c r="LC42" s="1">
        <f>MEDIAN($J42,$AB42,$AT42,$BL42,$CD42,$CV42,$DN42,$EF42,$EX42,$FP42,$GH42,$GZ42,$HR42,$IJ42,$JB42,$JT42)</f>
        <v>0</v>
      </c>
      <c r="LD42" s="1">
        <f>MEDIAN($K42,$AC42,$AU42,$BM42,$CE42,$CW42,$DO42,$EG42,$EY42,$FQ42,$GI42,$HA42,$HS42,$IK42,$JC42,$JU42)</f>
        <v>0</v>
      </c>
      <c r="LE42" s="1">
        <f>MEDIAN($L42,$AD42,$AV42,$BN42,$CF42,$CX42,$DP42,$EH42,$EZ42,$FR42,$GJ42,$HB42,$HT42,$IL42,$JD42,$JV42)</f>
        <v>0</v>
      </c>
      <c r="LF42" s="1">
        <f>MEDIAN($M42,$AE42,$AW42,$BO42,$CG42,$CY42,$DQ42,$EI42,$FA42,$FS42,$GK42,$HC42,$HU42,$IM42,$JE42,$JW42)</f>
        <v>0</v>
      </c>
      <c r="LG42" s="1">
        <f>MEDIAN($N42,$AF42,$AX42,$BP42,$CH42,$CZ42,$DR42,$EJ42,$FB42,$FT42,$GL42,$HD42,$HV42,$IN42,$JF42,$JX42)</f>
        <v>0</v>
      </c>
      <c r="LH42" s="1">
        <f>MEDIAN($O42,$AG42,$AY42,$BQ42,$CI42,$DA42,$DS42,$EK42,$FC42,$FU42,$GM42,$HE42,$HW42,$IO42,$JG42,$JY42)</f>
        <v>0</v>
      </c>
      <c r="LI42" s="1">
        <f>MEDIAN($Q42,$AI42,$BA42,$BS42,$CK42,$DC42,$DU42,$EM42,$FE42,$FW42,$GO42,$HG42,$HY42,$IQ42,$JI42,$KA42)</f>
        <v>0</v>
      </c>
      <c r="LJ42" s="1">
        <f>MEDIAN($R42,$AJ42,$BB42,$BT42,$CL42,$DD42,$DV42,$EN42,$FF42,$FX42,$GP42,$HH42,$HZ42,$IR42,$JJ42,$KB42)</f>
        <v>0</v>
      </c>
      <c r="LK42" s="1">
        <f>MEDIAN($S42,$AK42,$BC42,$BU42,$CM42,$DE42,$DW42,$EO42,$FG42,$FY42,$GQ42,$HI42,$IA42,$IS42,$JK42,$KC42)</f>
        <v>0</v>
      </c>
      <c r="LL42" s="1">
        <f>MAX($B42,$T42,$AL42,$BD42,$BV42,$CN42,$DF42,$DX42,$EP42,$FH42,$FZ42,$GR42,$HJ42,$IB42,$IT42,$JL42)</f>
        <v>0</v>
      </c>
      <c r="LM42" s="1">
        <f>MAX($C42,$U42,$AM42,$BE42,$BW42,$CO42,$DG42,$DY42,$EQ42,$FI42,$GA42,$GS42,$HK42,$IC42,$IU42,$JM42)</f>
        <v>0</v>
      </c>
      <c r="LN42" s="1">
        <f>MAX($D42,$V42,$AN42,$BF42,$BX42,$CP42,$DH42,$DZ42,$ER42,$FJ42,$GB42,$GT42,$HL42,$ID42,$IV42,$JN42)</f>
        <v>0</v>
      </c>
      <c r="LO42" s="1">
        <f>MAX($E42,$W42,$AO42,$BG42,$BY42,$CQ42,$DI42,$EA42,$ES42,$FK42,$GC42,$GU42,$HM42,$IE42,$IW42,$JO42)</f>
        <v>0</v>
      </c>
      <c r="LP42" s="1">
        <f>MAX($F42,$X42,$AP42,$BH42,$BZ42,$CR42,$DJ42,$EB42,$ET42,$FL42,$GD42,$GV42,$HN42,$IF42,$IX42,$JP42)</f>
        <v>0</v>
      </c>
      <c r="LQ42" s="1">
        <f>MAX($G42,$Y42,$AQ42,$BI42,$CA42,$CS42,$DK42,$EC42,$EU42,$FM42,$GE42,$GW42,$HO42,$IG42,$IY42,$JQ42)</f>
        <v>0</v>
      </c>
      <c r="LR42" s="1">
        <f>MAX($H42,$Z42,$AR42,$BJ42,$CB42,$CT42,$DL42,$ED42,$EV42,$FN42,$GF42,$GX42,$HP42,$IH42,$IZ42,$JR42)</f>
        <v>0</v>
      </c>
      <c r="LS42" s="1">
        <f>MAX($I42,$AA42,$AS42,$BK42,$CC42,$CU42,$DM42,$EE42,$EW42,$FO42,$GG42,$GY42,$HQ42,$II42,$JA42,$JS42)</f>
        <v>0</v>
      </c>
      <c r="LT42" s="1">
        <f>MAX($J42,$AB42,$AT42,$BL42,$CD42,$CV42,$DN42,$EF42,$EX42,$FP42,$GH42,$GZ42,$HR42,$IJ42,$JB42,$JT42)</f>
        <v>0</v>
      </c>
      <c r="LU42" s="1">
        <f>MAX($K42,$AC42,$AU42,$BM42,$CE42,$CW42,$DO42,$EG42,$EY42,$FQ42,$GI42,$HA42,$HS42,$IK42,$JC42,$JU42)</f>
        <v>0</v>
      </c>
      <c r="LV42" s="1">
        <f>MAX($L42,$AD42,$AV42,$BN42,$CF42,$CX42,$DP42,$EH42,$EZ42,$FR42,$GJ42,$HB42,$HT42,$IL42,$JD42,$JV42)</f>
        <v>0</v>
      </c>
      <c r="LW42" s="1">
        <f>MAX($M42,$AE42,$AW42,$BO42,$CG42,$CY42,$DQ42,$EI42,$FA42,$FS42,$GK42,$HC42,$HU42,$IM42,$JE42,$JW42)</f>
        <v>0</v>
      </c>
      <c r="LX42" s="1">
        <f>MAX($N42,$AF42,$AX42,$BP42,$CH42,$CZ42,$DR42,$EJ42,$FB42,$FT42,$GL42,$HD42,$HV42,$IN42,$JF42,$JX42)</f>
        <v>0</v>
      </c>
      <c r="LY42" s="1">
        <f>MAX($O42,$AG42,$AY42,$BQ42,$CI42,$DA42,$DS42,$EK42,$FC42,$FU42,$GM42,$HE42,$HW42,$IO42,$JG42,$JY42)</f>
        <v>0</v>
      </c>
      <c r="LZ42" s="1">
        <f>MAX($Q42,$AI42,$BA42,$BS42,$CK42,$DC42,$DU42,$EM42,$FE42,$FW42,$GO42,$HG42,$HY42,$IQ42,$JI42,$KA42)</f>
        <v>0</v>
      </c>
      <c r="MA42" s="1">
        <f>MAX($R42,$AJ42,$BB42,$BT42,$CL42,$DD42,$DV42,$EN42,$FF42,$FX42,$GP42,$HH42,$HZ42,$IR42,$JJ42,$KB42)</f>
        <v>0</v>
      </c>
      <c r="MB42" s="1">
        <f>MAX($S42,$AK42,$BC42,$BU42,$CM42,$DE42,$DW42,$EO42,$FG42,$FY42,$GQ42,$HI42,$IA42,$IS42,$JK42,$KC42)</f>
        <v>0</v>
      </c>
    </row>
    <row r="43" spans="1:34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  <row r="44" spans="1:340">
      <c r="A44" s="1" t="s">
        <v>40</v>
      </c>
      <c r="B44" s="1">
        <f>SUM(B$3:B$42)</f>
        <v>0</v>
      </c>
      <c r="C44" s="1">
        <f>SUM(C$3:C$42)</f>
        <v>0</v>
      </c>
      <c r="D44" s="1">
        <f>SUM(D$3:D$42)</f>
        <v>0</v>
      </c>
      <c r="E44" s="1">
        <f>SUM(E$3:E$42)</f>
        <v>0</v>
      </c>
      <c r="F44" s="1">
        <f>SUM(F$3:F$42)</f>
        <v>0</v>
      </c>
      <c r="G44" s="1">
        <f>SUM(G$3:G$42)</f>
        <v>0</v>
      </c>
      <c r="H44" s="1">
        <f>SUM(H$3:H$42)</f>
        <v>0</v>
      </c>
      <c r="I44" s="1">
        <f>SUM(I$3:I$42)</f>
        <v>0</v>
      </c>
      <c r="J44" s="1">
        <f>SUM(J$3:J$42)</f>
        <v>0</v>
      </c>
      <c r="K44" s="1">
        <f>SUM(K$3:K$42)</f>
        <v>0</v>
      </c>
      <c r="L44" s="1">
        <f>SUM(L$3:L$42)</f>
        <v>0</v>
      </c>
      <c r="M44" s="1">
        <f>SUM(M$3:M$42)</f>
        <v>0</v>
      </c>
      <c r="N44" s="1">
        <f>SUM(N$3:N$42)</f>
        <v>0</v>
      </c>
      <c r="O44" s="1">
        <f>SUM(O$3:O$42)</f>
        <v>0</v>
      </c>
      <c r="P44" s="1"/>
      <c r="Q44" s="1">
        <f>SUM(Q$3:Q$42)</f>
        <v>0</v>
      </c>
      <c r="R44" s="1">
        <f>SUM(R$3:R$42)</f>
        <v>0</v>
      </c>
      <c r="S44" s="1">
        <f>SUM(S$3:S$42)</f>
        <v>0</v>
      </c>
      <c r="T44" s="1">
        <f>SUM(T$3:T$42)</f>
        <v>0</v>
      </c>
      <c r="U44" s="1">
        <f>SUM(U$3:U$42)</f>
        <v>0</v>
      </c>
      <c r="V44" s="1">
        <f>SUM(V$3:V$42)</f>
        <v>0</v>
      </c>
      <c r="W44" s="1">
        <f>SUM(W$3:W$42)</f>
        <v>0</v>
      </c>
      <c r="X44" s="1">
        <f>SUM(X$3:X$42)</f>
        <v>0</v>
      </c>
      <c r="Y44" s="1">
        <f>SUM(Y$3:Y$42)</f>
        <v>0</v>
      </c>
      <c r="Z44" s="1">
        <f>SUM(Z$3:Z$42)</f>
        <v>0</v>
      </c>
      <c r="AA44" s="1">
        <f>SUM(AA$3:AA$42)</f>
        <v>0</v>
      </c>
      <c r="AB44" s="1">
        <f>SUM(AB$3:AB$42)</f>
        <v>0</v>
      </c>
      <c r="AC44" s="1">
        <f>SUM(AC$3:AC$42)</f>
        <v>0</v>
      </c>
      <c r="AD44" s="1">
        <f>SUM(AD$3:AD$42)</f>
        <v>0</v>
      </c>
      <c r="AE44" s="1">
        <f>SUM(AE$3:AE$42)</f>
        <v>0</v>
      </c>
      <c r="AF44" s="1">
        <f>SUM(AF$3:AF$42)</f>
        <v>0</v>
      </c>
      <c r="AG44" s="1">
        <f>SUM(AG$3:AG$42)</f>
        <v>0</v>
      </c>
      <c r="AH44" s="1"/>
      <c r="AI44" s="1">
        <f>SUM(AI$3:AI$42)</f>
        <v>0</v>
      </c>
      <c r="AJ44" s="1">
        <f>SUM(AJ$3:AJ$42)</f>
        <v>0</v>
      </c>
      <c r="AK44" s="1">
        <f>SUM(AK$3:AK$42)</f>
        <v>0</v>
      </c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>
        <f>SUM(KR$3:KR$42)</f>
        <v>0</v>
      </c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>
        <f>SUM(LJ$3:LJ$42)</f>
        <v>0</v>
      </c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</row>
    <row r="45" spans="1:340">
      <c r="A45" s="1" t="s">
        <v>41</v>
      </c>
      <c r="B45" s="1">
        <f>AVERAGE(B$3:B$42)</f>
        <v>0</v>
      </c>
      <c r="C45" s="1">
        <f>AVERAGE(C$3:C$42)</f>
        <v>0</v>
      </c>
      <c r="D45" s="1">
        <f>AVERAGE(D$3:D$42)</f>
        <v>0</v>
      </c>
      <c r="E45" s="1">
        <f>AVERAGE(E$3:E$42)</f>
        <v>0</v>
      </c>
      <c r="F45" s="1">
        <f>AVERAGE(F$3:F$42)</f>
        <v>0</v>
      </c>
      <c r="G45" s="1">
        <f>AVERAGE(G$3:G$42)</f>
        <v>0</v>
      </c>
      <c r="H45" s="1">
        <f>AVERAGE(H$3:H$42)</f>
        <v>0</v>
      </c>
      <c r="I45" s="1">
        <f>AVERAGE(I$3:I$42)</f>
        <v>0</v>
      </c>
      <c r="J45" s="1">
        <f>AVERAGE(J$3:J$42)</f>
        <v>0</v>
      </c>
      <c r="K45" s="1">
        <f>AVERAGE(K$3:K$42)</f>
        <v>0</v>
      </c>
      <c r="L45" s="1">
        <f>AVERAGE(L$3:L$42)</f>
        <v>0</v>
      </c>
      <c r="M45" s="1">
        <f>AVERAGE(M$3:M$42)</f>
        <v>0</v>
      </c>
      <c r="N45" s="1">
        <f>AVERAGE(N$3:N$42)</f>
        <v>0</v>
      </c>
      <c r="O45" s="1">
        <f>AVERAGE(O$3:O$42)</f>
        <v>0</v>
      </c>
      <c r="P45" s="1"/>
      <c r="Q45" s="1">
        <f>AVERAGE(Q$3:Q$42)</f>
        <v>0</v>
      </c>
      <c r="R45" s="1">
        <f>AVERAGE(R$3:R$42)</f>
        <v>0</v>
      </c>
      <c r="S45" s="1">
        <f>AVERAGE(S$3:S$42)</f>
        <v>0</v>
      </c>
      <c r="T45" s="1">
        <f>AVERAGE(T$3:T$42)</f>
        <v>0</v>
      </c>
      <c r="U45" s="1">
        <f>AVERAGE(U$3:U$42)</f>
        <v>0</v>
      </c>
      <c r="V45" s="1">
        <f>AVERAGE(V$3:V$42)</f>
        <v>0</v>
      </c>
      <c r="W45" s="1">
        <f>AVERAGE(W$3:W$42)</f>
        <v>0</v>
      </c>
      <c r="X45" s="1">
        <f>AVERAGE(X$3:X$42)</f>
        <v>0</v>
      </c>
      <c r="Y45" s="1">
        <f>AVERAGE(Y$3:Y$42)</f>
        <v>0</v>
      </c>
      <c r="Z45" s="1">
        <f>AVERAGE(Z$3:Z$42)</f>
        <v>0</v>
      </c>
      <c r="AA45" s="1">
        <f>AVERAGE(AA$3:AA$42)</f>
        <v>0</v>
      </c>
      <c r="AB45" s="1">
        <f>AVERAGE(AB$3:AB$42)</f>
        <v>0</v>
      </c>
      <c r="AC45" s="1">
        <f>AVERAGE(AC$3:AC$42)</f>
        <v>0</v>
      </c>
      <c r="AD45" s="1">
        <f>AVERAGE(AD$3:AD$42)</f>
        <v>0</v>
      </c>
      <c r="AE45" s="1">
        <f>AVERAGE(AE$3:AE$42)</f>
        <v>0</v>
      </c>
      <c r="AF45" s="1">
        <f>AVERAGE(AF$3:AF$42)</f>
        <v>0</v>
      </c>
      <c r="AG45" s="1">
        <f>AVERAGE(AG$3:AG$42)</f>
        <v>0</v>
      </c>
      <c r="AH45" s="1"/>
      <c r="AI45" s="1">
        <f>AVERAGE(AI$3:AI$42)</f>
        <v>0</v>
      </c>
      <c r="AJ45" s="1">
        <f>AVERAGE(AJ$3:AJ$42)</f>
        <v>0</v>
      </c>
      <c r="AK45" s="1">
        <f>AVERAGE(AK$3:AK$42)</f>
        <v>0</v>
      </c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>
        <f>AVERAGE(KR$3:KR$42)</f>
        <v>0</v>
      </c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>
        <f>AVERAGE(LJ$3:LJ$42)</f>
        <v>0</v>
      </c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</row>
    <row r="46" spans="1:340">
      <c r="A46" s="1" t="s">
        <v>42</v>
      </c>
      <c r="B46" s="1">
        <f>STDEV(B$3:B$42)</f>
        <v>0</v>
      </c>
      <c r="C46" s="1">
        <f>STDEV(C$3:C$42)</f>
        <v>0</v>
      </c>
      <c r="D46" s="1">
        <f>STDEV(D$3:D$42)</f>
        <v>0</v>
      </c>
      <c r="E46" s="1">
        <f>STDEV(E$3:E$42)</f>
        <v>0</v>
      </c>
      <c r="F46" s="1">
        <f>STDEV(F$3:F$42)</f>
        <v>0</v>
      </c>
      <c r="G46" s="1">
        <f>STDEV(G$3:G$42)</f>
        <v>0</v>
      </c>
      <c r="H46" s="1">
        <f>STDEV(H$3:H$42)</f>
        <v>0</v>
      </c>
      <c r="I46" s="1">
        <f>STDEV(I$3:I$42)</f>
        <v>0</v>
      </c>
      <c r="J46" s="1">
        <f>STDEV(J$3:J$42)</f>
        <v>0</v>
      </c>
      <c r="K46" s="1">
        <f>STDEV(K$3:K$42)</f>
        <v>0</v>
      </c>
      <c r="L46" s="1">
        <f>STDEV(L$3:L$42)</f>
        <v>0</v>
      </c>
      <c r="M46" s="1">
        <f>STDEV(M$3:M$42)</f>
        <v>0</v>
      </c>
      <c r="N46" s="1">
        <f>STDEV(N$3:N$42)</f>
        <v>0</v>
      </c>
      <c r="O46" s="1">
        <f>STDEV(O$3:O$42)</f>
        <v>0</v>
      </c>
      <c r="P46" s="1"/>
      <c r="Q46" s="1">
        <f>STDEV(Q$3:Q$42)</f>
        <v>0</v>
      </c>
      <c r="R46" s="1">
        <f>STDEV(R$3:R$42)</f>
        <v>0</v>
      </c>
      <c r="S46" s="1">
        <f>STDEV(S$3:S$42)</f>
        <v>0</v>
      </c>
      <c r="T46" s="1">
        <f>STDEV(T$3:T$42)</f>
        <v>0</v>
      </c>
      <c r="U46" s="1">
        <f>STDEV(U$3:U$42)</f>
        <v>0</v>
      </c>
      <c r="V46" s="1">
        <f>STDEV(V$3:V$42)</f>
        <v>0</v>
      </c>
      <c r="W46" s="1">
        <f>STDEV(W$3:W$42)</f>
        <v>0</v>
      </c>
      <c r="X46" s="1">
        <f>STDEV(X$3:X$42)</f>
        <v>0</v>
      </c>
      <c r="Y46" s="1">
        <f>STDEV(Y$3:Y$42)</f>
        <v>0</v>
      </c>
      <c r="Z46" s="1">
        <f>STDEV(Z$3:Z$42)</f>
        <v>0</v>
      </c>
      <c r="AA46" s="1">
        <f>STDEV(AA$3:AA$42)</f>
        <v>0</v>
      </c>
      <c r="AB46" s="1">
        <f>STDEV(AB$3:AB$42)</f>
        <v>0</v>
      </c>
      <c r="AC46" s="1">
        <f>STDEV(AC$3:AC$42)</f>
        <v>0</v>
      </c>
      <c r="AD46" s="1">
        <f>STDEV(AD$3:AD$42)</f>
        <v>0</v>
      </c>
      <c r="AE46" s="1">
        <f>STDEV(AE$3:AE$42)</f>
        <v>0</v>
      </c>
      <c r="AF46" s="1">
        <f>STDEV(AF$3:AF$42)</f>
        <v>0</v>
      </c>
      <c r="AG46" s="1">
        <f>STDEV(AG$3:AG$42)</f>
        <v>0</v>
      </c>
      <c r="AH46" s="1"/>
      <c r="AI46" s="1">
        <f>STDEV(AI$3:AI$42)</f>
        <v>0</v>
      </c>
      <c r="AJ46" s="1">
        <f>STDEV(AJ$3:AJ$42)</f>
        <v>0</v>
      </c>
      <c r="AK46" s="1">
        <f>STDEV(AK$3:AK$42)</f>
        <v>0</v>
      </c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>
        <f>STDEV(KR$3:KR$42)</f>
        <v>0</v>
      </c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>
        <f>STDEV(LJ$3:LJ$42)</f>
        <v>0</v>
      </c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</row>
    <row r="47" spans="1:340">
      <c r="A47" s="1" t="s">
        <v>43</v>
      </c>
      <c r="B47" s="1">
        <f>SUMPRODUCT(--(B$3:B$42-$KD$3:$KD$42)^2)^0.5</f>
        <v>0</v>
      </c>
      <c r="C47" s="1">
        <f>SUMPRODUCT(--(C$3:C$42-$KE$3:$KE$42)^2)^0.5</f>
        <v>0</v>
      </c>
      <c r="D47" s="1">
        <f>SUMPRODUCT(--(D$3:D$42-$KF$3:$KF$42)^2)^0.5</f>
        <v>0</v>
      </c>
      <c r="E47" s="1">
        <f>SUMPRODUCT(--(E$3:E$42-$KG$3:$KG$42)^2)^0.5</f>
        <v>0</v>
      </c>
      <c r="F47" s="1">
        <f>SUMPRODUCT(--(F$3:F$42-$KH$3:$KH$42)^2)^0.5</f>
        <v>0</v>
      </c>
      <c r="G47" s="1">
        <f>SUMPRODUCT(--(G$3:G$42-$KI$3:$KI$42)^2)^0.5</f>
        <v>0</v>
      </c>
      <c r="H47" s="1">
        <f>SUMPRODUCT(--(H$3:H$42-$KJ$3:$KJ$42)^2)^0.5</f>
        <v>0</v>
      </c>
      <c r="I47" s="1">
        <f>SUMPRODUCT(--(I$3:I$42-$KK$3:$KK$42)^2)^0.5</f>
        <v>0</v>
      </c>
      <c r="J47" s="1">
        <f>SUMPRODUCT(--(J$3:J$42-$KL$3:$KL$42)^2)^0.5</f>
        <v>0</v>
      </c>
      <c r="K47" s="1">
        <f>SUMPRODUCT(--(K$3:K$42-$KM$3:$KM$42)^2)^0.5</f>
        <v>0</v>
      </c>
      <c r="L47" s="1">
        <f>SUMPRODUCT(--(L$3:L$42-$KN$3:$KN$42)^2)^0.5</f>
        <v>0</v>
      </c>
      <c r="M47" s="1">
        <f>SUMPRODUCT(--(M$3:M$42-$KO$3:$KO$42)^2)^0.5</f>
        <v>0</v>
      </c>
      <c r="N47" s="1">
        <f>SUMPRODUCT(--(N$3:N$42-$KP$3:$KP$42)^2)^0.5</f>
        <v>0</v>
      </c>
      <c r="O47" s="1">
        <f>SUMPRODUCT(--(O$3:O$42-$KQ$3:$KQ$42)^2)^0.5</f>
        <v>0</v>
      </c>
      <c r="P47" s="1"/>
      <c r="Q47" s="1">
        <f>SUMPRODUCT(--(Q$3:Q$42-$KR$3:$KR$42)^2)^0.5</f>
        <v>0</v>
      </c>
      <c r="R47" s="1">
        <f>SUMPRODUCT(--(R$3:R$42-$KS$3:$KS$42)^2)^0.5</f>
        <v>0</v>
      </c>
      <c r="S47" s="1">
        <f>SUMPRODUCT(--(S$3:S$42-$KT$3:$KT$42)^2)^0.5</f>
        <v>0</v>
      </c>
      <c r="T47" s="1">
        <f>SUMPRODUCT(--(T$3:T$42-$KD$3:$KD$42)^2)^0.5</f>
        <v>0</v>
      </c>
      <c r="U47" s="1">
        <f>SUMPRODUCT(--(U$3:U$42-$KE$3:$KE$42)^2)^0.5</f>
        <v>0</v>
      </c>
      <c r="V47" s="1">
        <f>SUMPRODUCT(--(V$3:V$42-$KF$3:$KF$42)^2)^0.5</f>
        <v>0</v>
      </c>
      <c r="W47" s="1">
        <f>SUMPRODUCT(--(W$3:W$42-$KG$3:$KG$42)^2)^0.5</f>
        <v>0</v>
      </c>
      <c r="X47" s="1">
        <f>SUMPRODUCT(--(X$3:X$42-$KH$3:$KH$42)^2)^0.5</f>
        <v>0</v>
      </c>
      <c r="Y47" s="1">
        <f>SUMPRODUCT(--(Y$3:Y$42-$KI$3:$KI$42)^2)^0.5</f>
        <v>0</v>
      </c>
      <c r="Z47" s="1">
        <f>SUMPRODUCT(--(Z$3:Z$42-$KJ$3:$KJ$42)^2)^0.5</f>
        <v>0</v>
      </c>
      <c r="AA47" s="1">
        <f>SUMPRODUCT(--(AA$3:AA$42-$KK$3:$KK$42)^2)^0.5</f>
        <v>0</v>
      </c>
      <c r="AB47" s="1">
        <f>SUMPRODUCT(--(AB$3:AB$42-$KL$3:$KL$42)^2)^0.5</f>
        <v>0</v>
      </c>
      <c r="AC47" s="1">
        <f>SUMPRODUCT(--(AC$3:AC$42-$KM$3:$KM$42)^2)^0.5</f>
        <v>0</v>
      </c>
      <c r="AD47" s="1">
        <f>SUMPRODUCT(--(AD$3:AD$42-$KN$3:$KN$42)^2)^0.5</f>
        <v>0</v>
      </c>
      <c r="AE47" s="1">
        <f>SUMPRODUCT(--(AE$3:AE$42-$KO$3:$KO$42)^2)^0.5</f>
        <v>0</v>
      </c>
      <c r="AF47" s="1">
        <f>SUMPRODUCT(--(AF$3:AF$42-$KP$3:$KP$42)^2)^0.5</f>
        <v>0</v>
      </c>
      <c r="AG47" s="1">
        <f>SUMPRODUCT(--(AG$3:AG$42-$KQ$3:$KQ$42)^2)^0.5</f>
        <v>0</v>
      </c>
      <c r="AH47" s="1"/>
      <c r="AI47" s="1">
        <f>SUMPRODUCT(--(AI$3:AI$42-$KR$3:$KR$42)^2)^0.5</f>
        <v>0</v>
      </c>
      <c r="AJ47" s="1">
        <f>SUMPRODUCT(--(AJ$3:AJ$42-$KS$3:$KS$42)^2)^0.5</f>
        <v>0</v>
      </c>
      <c r="AK47" s="1">
        <f>SUMPRODUCT(--(AK$3:AK$42-$KT$3:$KT$42)^2)^0.5</f>
        <v>0</v>
      </c>
      <c r="AL47" s="1">
        <f>SUMPRODUCT(--(AL$3:AL$42-$KD$3:$KD$42)^2)^0.5</f>
        <v>0</v>
      </c>
      <c r="AM47" s="1">
        <f>SUMPRODUCT(--(AM$3:AM$42-$KE$3:$KE$42)^2)^0.5</f>
        <v>0</v>
      </c>
      <c r="AN47" s="1">
        <f>SUMPRODUCT(--(AN$3:AN$42-$KF$3:$KF$42)^2)^0.5</f>
        <v>0</v>
      </c>
      <c r="AO47" s="1">
        <f>SUMPRODUCT(--(AO$3:AO$42-$KG$3:$KG$42)^2)^0.5</f>
        <v>0</v>
      </c>
      <c r="AP47" s="1">
        <f>SUMPRODUCT(--(AP$3:AP$42-$KH$3:$KH$42)^2)^0.5</f>
        <v>0</v>
      </c>
      <c r="AQ47" s="1">
        <f>SUMPRODUCT(--(AQ$3:AQ$42-$KI$3:$KI$42)^2)^0.5</f>
        <v>0</v>
      </c>
      <c r="AR47" s="1">
        <f>SUMPRODUCT(--(AR$3:AR$42-$KJ$3:$KJ$42)^2)^0.5</f>
        <v>0</v>
      </c>
      <c r="AS47" s="1">
        <f>SUMPRODUCT(--(AS$3:AS$42-$KK$3:$KK$42)^2)^0.5</f>
        <v>0</v>
      </c>
      <c r="AT47" s="1">
        <f>SUMPRODUCT(--(AT$3:AT$42-$KL$3:$KL$42)^2)^0.5</f>
        <v>0</v>
      </c>
      <c r="AU47" s="1">
        <f>SUMPRODUCT(--(AU$3:AU$42-$KM$3:$KM$42)^2)^0.5</f>
        <v>0</v>
      </c>
      <c r="AV47" s="1">
        <f>SUMPRODUCT(--(AV$3:AV$42-$KN$3:$KN$42)^2)^0.5</f>
        <v>0</v>
      </c>
      <c r="AW47" s="1">
        <f>SUMPRODUCT(--(AW$3:AW$42-$KO$3:$KO$42)^2)^0.5</f>
        <v>0</v>
      </c>
      <c r="AX47" s="1">
        <f>SUMPRODUCT(--(AX$3:AX$42-$KP$3:$KP$42)^2)^0.5</f>
        <v>0</v>
      </c>
      <c r="AY47" s="1">
        <f>SUMPRODUCT(--(AY$3:AY$42-$KQ$3:$KQ$42)^2)^0.5</f>
        <v>0</v>
      </c>
      <c r="AZ47" s="1"/>
      <c r="BA47" s="1">
        <f>SUMPRODUCT(--(BA$3:BA$42-$KR$3:$KR$42)^2)^0.5</f>
        <v>0</v>
      </c>
      <c r="BB47" s="1">
        <f>SUMPRODUCT(--(BB$3:BB$42-$KS$3:$KS$42)^2)^0.5</f>
        <v>0</v>
      </c>
      <c r="BC47" s="1">
        <f>SUMPRODUCT(--(BC$3:BC$42-$KT$3:$KT$42)^2)^0.5</f>
        <v>0</v>
      </c>
      <c r="BD47" s="1">
        <f>SUMPRODUCT(--(BD$3:BD$42-$KD$3:$KD$42)^2)^0.5</f>
        <v>0</v>
      </c>
      <c r="BE47" s="1">
        <f>SUMPRODUCT(--(BE$3:BE$42-$KE$3:$KE$42)^2)^0.5</f>
        <v>0</v>
      </c>
      <c r="BF47" s="1">
        <f>SUMPRODUCT(--(BF$3:BF$42-$KF$3:$KF$42)^2)^0.5</f>
        <v>0</v>
      </c>
      <c r="BG47" s="1">
        <f>SUMPRODUCT(--(BG$3:BG$42-$KG$3:$KG$42)^2)^0.5</f>
        <v>0</v>
      </c>
      <c r="BH47" s="1">
        <f>SUMPRODUCT(--(BH$3:BH$42-$KH$3:$KH$42)^2)^0.5</f>
        <v>0</v>
      </c>
      <c r="BI47" s="1">
        <f>SUMPRODUCT(--(BI$3:BI$42-$KI$3:$KI$42)^2)^0.5</f>
        <v>0</v>
      </c>
      <c r="BJ47" s="1">
        <f>SUMPRODUCT(--(BJ$3:BJ$42-$KJ$3:$KJ$42)^2)^0.5</f>
        <v>0</v>
      </c>
      <c r="BK47" s="1">
        <f>SUMPRODUCT(--(BK$3:BK$42-$KK$3:$KK$42)^2)^0.5</f>
        <v>0</v>
      </c>
      <c r="BL47" s="1">
        <f>SUMPRODUCT(--(BL$3:BL$42-$KL$3:$KL$42)^2)^0.5</f>
        <v>0</v>
      </c>
      <c r="BM47" s="1">
        <f>SUMPRODUCT(--(BM$3:BM$42-$KM$3:$KM$42)^2)^0.5</f>
        <v>0</v>
      </c>
      <c r="BN47" s="1">
        <f>SUMPRODUCT(--(BN$3:BN$42-$KN$3:$KN$42)^2)^0.5</f>
        <v>0</v>
      </c>
      <c r="BO47" s="1">
        <f>SUMPRODUCT(--(BO$3:BO$42-$KO$3:$KO$42)^2)^0.5</f>
        <v>0</v>
      </c>
      <c r="BP47" s="1">
        <f>SUMPRODUCT(--(BP$3:BP$42-$KP$3:$KP$42)^2)^0.5</f>
        <v>0</v>
      </c>
      <c r="BQ47" s="1">
        <f>SUMPRODUCT(--(BQ$3:BQ$42-$KQ$3:$KQ$42)^2)^0.5</f>
        <v>0</v>
      </c>
      <c r="BR47" s="1"/>
      <c r="BS47" s="1">
        <f>SUMPRODUCT(--(BS$3:BS$42-$KR$3:$KR$42)^2)^0.5</f>
        <v>0</v>
      </c>
      <c r="BT47" s="1">
        <f>SUMPRODUCT(--(BT$3:BT$42-$KS$3:$KS$42)^2)^0.5</f>
        <v>0</v>
      </c>
      <c r="BU47" s="1">
        <f>SUMPRODUCT(--(BU$3:BU$42-$KT$3:$KT$42)^2)^0.5</f>
        <v>0</v>
      </c>
      <c r="BV47" s="1">
        <f>SUMPRODUCT(--(BV$3:BV$42-$KD$3:$KD$42)^2)^0.5</f>
        <v>0</v>
      </c>
      <c r="BW47" s="1">
        <f>SUMPRODUCT(--(BW$3:BW$42-$KE$3:$KE$42)^2)^0.5</f>
        <v>0</v>
      </c>
      <c r="BX47" s="1">
        <f>SUMPRODUCT(--(BX$3:BX$42-$KF$3:$KF$42)^2)^0.5</f>
        <v>0</v>
      </c>
      <c r="BY47" s="1">
        <f>SUMPRODUCT(--(BY$3:BY$42-$KG$3:$KG$42)^2)^0.5</f>
        <v>0</v>
      </c>
      <c r="BZ47" s="1">
        <f>SUMPRODUCT(--(BZ$3:BZ$42-$KH$3:$KH$42)^2)^0.5</f>
        <v>0</v>
      </c>
      <c r="CA47" s="1">
        <f>SUMPRODUCT(--(CA$3:CA$42-$KI$3:$KI$42)^2)^0.5</f>
        <v>0</v>
      </c>
      <c r="CB47" s="1">
        <f>SUMPRODUCT(--(CB$3:CB$42-$KJ$3:$KJ$42)^2)^0.5</f>
        <v>0</v>
      </c>
      <c r="CC47" s="1">
        <f>SUMPRODUCT(--(CC$3:CC$42-$KK$3:$KK$42)^2)^0.5</f>
        <v>0</v>
      </c>
      <c r="CD47" s="1">
        <f>SUMPRODUCT(--(CD$3:CD$42-$KL$3:$KL$42)^2)^0.5</f>
        <v>0</v>
      </c>
      <c r="CE47" s="1">
        <f>SUMPRODUCT(--(CE$3:CE$42-$KM$3:$KM$42)^2)^0.5</f>
        <v>0</v>
      </c>
      <c r="CF47" s="1">
        <f>SUMPRODUCT(--(CF$3:CF$42-$KN$3:$KN$42)^2)^0.5</f>
        <v>0</v>
      </c>
      <c r="CG47" s="1">
        <f>SUMPRODUCT(--(CG$3:CG$42-$KO$3:$KO$42)^2)^0.5</f>
        <v>0</v>
      </c>
      <c r="CH47" s="1">
        <f>SUMPRODUCT(--(CH$3:CH$42-$KP$3:$KP$42)^2)^0.5</f>
        <v>0</v>
      </c>
      <c r="CI47" s="1">
        <f>SUMPRODUCT(--(CI$3:CI$42-$KQ$3:$KQ$42)^2)^0.5</f>
        <v>0</v>
      </c>
      <c r="CJ47" s="1"/>
      <c r="CK47" s="1">
        <f>SUMPRODUCT(--(CK$3:CK$42-$KR$3:$KR$42)^2)^0.5</f>
        <v>0</v>
      </c>
      <c r="CL47" s="1">
        <f>SUMPRODUCT(--(CL$3:CL$42-$KS$3:$KS$42)^2)^0.5</f>
        <v>0</v>
      </c>
      <c r="CM47" s="1">
        <f>SUMPRODUCT(--(CM$3:CM$42-$KT$3:$KT$42)^2)^0.5</f>
        <v>0</v>
      </c>
      <c r="CN47" s="1">
        <f>SUMPRODUCT(--(CN$3:CN$42-$KD$3:$KD$42)^2)^0.5</f>
        <v>0</v>
      </c>
      <c r="CO47" s="1">
        <f>SUMPRODUCT(--(CO$3:CO$42-$KE$3:$KE$42)^2)^0.5</f>
        <v>0</v>
      </c>
      <c r="CP47" s="1">
        <f>SUMPRODUCT(--(CP$3:CP$42-$KF$3:$KF$42)^2)^0.5</f>
        <v>0</v>
      </c>
      <c r="CQ47" s="1">
        <f>SUMPRODUCT(--(CQ$3:CQ$42-$KG$3:$KG$42)^2)^0.5</f>
        <v>0</v>
      </c>
      <c r="CR47" s="1">
        <f>SUMPRODUCT(--(CR$3:CR$42-$KH$3:$KH$42)^2)^0.5</f>
        <v>0</v>
      </c>
      <c r="CS47" s="1">
        <f>SUMPRODUCT(--(CS$3:CS$42-$KI$3:$KI$42)^2)^0.5</f>
        <v>0</v>
      </c>
      <c r="CT47" s="1">
        <f>SUMPRODUCT(--(CT$3:CT$42-$KJ$3:$KJ$42)^2)^0.5</f>
        <v>0</v>
      </c>
      <c r="CU47" s="1">
        <f>SUMPRODUCT(--(CU$3:CU$42-$KK$3:$KK$42)^2)^0.5</f>
        <v>0</v>
      </c>
      <c r="CV47" s="1">
        <f>SUMPRODUCT(--(CV$3:CV$42-$KL$3:$KL$42)^2)^0.5</f>
        <v>0</v>
      </c>
      <c r="CW47" s="1">
        <f>SUMPRODUCT(--(CW$3:CW$42-$KM$3:$KM$42)^2)^0.5</f>
        <v>0</v>
      </c>
      <c r="CX47" s="1">
        <f>SUMPRODUCT(--(CX$3:CX$42-$KN$3:$KN$42)^2)^0.5</f>
        <v>0</v>
      </c>
      <c r="CY47" s="1">
        <f>SUMPRODUCT(--(CY$3:CY$42-$KO$3:$KO$42)^2)^0.5</f>
        <v>0</v>
      </c>
      <c r="CZ47" s="1">
        <f>SUMPRODUCT(--(CZ$3:CZ$42-$KP$3:$KP$42)^2)^0.5</f>
        <v>0</v>
      </c>
      <c r="DA47" s="1">
        <f>SUMPRODUCT(--(DA$3:DA$42-$KQ$3:$KQ$42)^2)^0.5</f>
        <v>0</v>
      </c>
      <c r="DB47" s="1"/>
      <c r="DC47" s="1">
        <f>SUMPRODUCT(--(DC$3:DC$42-$KR$3:$KR$42)^2)^0.5</f>
        <v>0</v>
      </c>
      <c r="DD47" s="1">
        <f>SUMPRODUCT(--(DD$3:DD$42-$KS$3:$KS$42)^2)^0.5</f>
        <v>0</v>
      </c>
      <c r="DE47" s="1">
        <f>SUMPRODUCT(--(DE$3:DE$42-$KT$3:$KT$42)^2)^0.5</f>
        <v>0</v>
      </c>
      <c r="DF47" s="1">
        <f>SUMPRODUCT(--(DF$3:DF$42-$KD$3:$KD$42)^2)^0.5</f>
        <v>0</v>
      </c>
      <c r="DG47" s="1">
        <f>SUMPRODUCT(--(DG$3:DG$42-$KE$3:$KE$42)^2)^0.5</f>
        <v>0</v>
      </c>
      <c r="DH47" s="1">
        <f>SUMPRODUCT(--(DH$3:DH$42-$KF$3:$KF$42)^2)^0.5</f>
        <v>0</v>
      </c>
      <c r="DI47" s="1">
        <f>SUMPRODUCT(--(DI$3:DI$42-$KG$3:$KG$42)^2)^0.5</f>
        <v>0</v>
      </c>
      <c r="DJ47" s="1">
        <f>SUMPRODUCT(--(DJ$3:DJ$42-$KH$3:$KH$42)^2)^0.5</f>
        <v>0</v>
      </c>
      <c r="DK47" s="1">
        <f>SUMPRODUCT(--(DK$3:DK$42-$KI$3:$KI$42)^2)^0.5</f>
        <v>0</v>
      </c>
      <c r="DL47" s="1">
        <f>SUMPRODUCT(--(DL$3:DL$42-$KJ$3:$KJ$42)^2)^0.5</f>
        <v>0</v>
      </c>
      <c r="DM47" s="1">
        <f>SUMPRODUCT(--(DM$3:DM$42-$KK$3:$KK$42)^2)^0.5</f>
        <v>0</v>
      </c>
      <c r="DN47" s="1">
        <f>SUMPRODUCT(--(DN$3:DN$42-$KL$3:$KL$42)^2)^0.5</f>
        <v>0</v>
      </c>
      <c r="DO47" s="1">
        <f>SUMPRODUCT(--(DO$3:DO$42-$KM$3:$KM$42)^2)^0.5</f>
        <v>0</v>
      </c>
      <c r="DP47" s="1">
        <f>SUMPRODUCT(--(DP$3:DP$42-$KN$3:$KN$42)^2)^0.5</f>
        <v>0</v>
      </c>
      <c r="DQ47" s="1">
        <f>SUMPRODUCT(--(DQ$3:DQ$42-$KO$3:$KO$42)^2)^0.5</f>
        <v>0</v>
      </c>
      <c r="DR47" s="1">
        <f>SUMPRODUCT(--(DR$3:DR$42-$KP$3:$KP$42)^2)^0.5</f>
        <v>0</v>
      </c>
      <c r="DS47" s="1">
        <f>SUMPRODUCT(--(DS$3:DS$42-$KQ$3:$KQ$42)^2)^0.5</f>
        <v>0</v>
      </c>
      <c r="DT47" s="1"/>
      <c r="DU47" s="1">
        <f>SUMPRODUCT(--(DU$3:DU$42-$KR$3:$KR$42)^2)^0.5</f>
        <v>0</v>
      </c>
      <c r="DV47" s="1">
        <f>SUMPRODUCT(--(DV$3:DV$42-$KS$3:$KS$42)^2)^0.5</f>
        <v>0</v>
      </c>
      <c r="DW47" s="1">
        <f>SUMPRODUCT(--(DW$3:DW$42-$KT$3:$KT$42)^2)^0.5</f>
        <v>0</v>
      </c>
      <c r="DX47" s="1">
        <f>SUMPRODUCT(--(DX$3:DX$42-$KD$3:$KD$42)^2)^0.5</f>
        <v>0</v>
      </c>
      <c r="DY47" s="1">
        <f>SUMPRODUCT(--(DY$3:DY$42-$KE$3:$KE$42)^2)^0.5</f>
        <v>0</v>
      </c>
      <c r="DZ47" s="1">
        <f>SUMPRODUCT(--(DZ$3:DZ$42-$KF$3:$KF$42)^2)^0.5</f>
        <v>0</v>
      </c>
      <c r="EA47" s="1">
        <f>SUMPRODUCT(--(EA$3:EA$42-$KG$3:$KG$42)^2)^0.5</f>
        <v>0</v>
      </c>
      <c r="EB47" s="1">
        <f>SUMPRODUCT(--(EB$3:EB$42-$KH$3:$KH$42)^2)^0.5</f>
        <v>0</v>
      </c>
      <c r="EC47" s="1">
        <f>SUMPRODUCT(--(EC$3:EC$42-$KI$3:$KI$42)^2)^0.5</f>
        <v>0</v>
      </c>
      <c r="ED47" s="1">
        <f>SUMPRODUCT(--(ED$3:ED$42-$KJ$3:$KJ$42)^2)^0.5</f>
        <v>0</v>
      </c>
      <c r="EE47" s="1">
        <f>SUMPRODUCT(--(EE$3:EE$42-$KK$3:$KK$42)^2)^0.5</f>
        <v>0</v>
      </c>
      <c r="EF47" s="1">
        <f>SUMPRODUCT(--(EF$3:EF$42-$KL$3:$KL$42)^2)^0.5</f>
        <v>0</v>
      </c>
      <c r="EG47" s="1">
        <f>SUMPRODUCT(--(EG$3:EG$42-$KM$3:$KM$42)^2)^0.5</f>
        <v>0</v>
      </c>
      <c r="EH47" s="1">
        <f>SUMPRODUCT(--(EH$3:EH$42-$KN$3:$KN$42)^2)^0.5</f>
        <v>0</v>
      </c>
      <c r="EI47" s="1">
        <f>SUMPRODUCT(--(EI$3:EI$42-$KO$3:$KO$42)^2)^0.5</f>
        <v>0</v>
      </c>
      <c r="EJ47" s="1">
        <f>SUMPRODUCT(--(EJ$3:EJ$42-$KP$3:$KP$42)^2)^0.5</f>
        <v>0</v>
      </c>
      <c r="EK47" s="1">
        <f>SUMPRODUCT(--(EK$3:EK$42-$KQ$3:$KQ$42)^2)^0.5</f>
        <v>0</v>
      </c>
      <c r="EL47" s="1"/>
      <c r="EM47" s="1">
        <f>SUMPRODUCT(--(EM$3:EM$42-$KR$3:$KR$42)^2)^0.5</f>
        <v>0</v>
      </c>
      <c r="EN47" s="1">
        <f>SUMPRODUCT(--(EN$3:EN$42-$KS$3:$KS$42)^2)^0.5</f>
        <v>0</v>
      </c>
      <c r="EO47" s="1">
        <f>SUMPRODUCT(--(EO$3:EO$42-$KT$3:$KT$42)^2)^0.5</f>
        <v>0</v>
      </c>
      <c r="EP47" s="1">
        <f>SUMPRODUCT(--(EP$3:EP$42-$KD$3:$KD$42)^2)^0.5</f>
        <v>0</v>
      </c>
      <c r="EQ47" s="1">
        <f>SUMPRODUCT(--(EQ$3:EQ$42-$KE$3:$KE$42)^2)^0.5</f>
        <v>0</v>
      </c>
      <c r="ER47" s="1">
        <f>SUMPRODUCT(--(ER$3:ER$42-$KF$3:$KF$42)^2)^0.5</f>
        <v>0</v>
      </c>
      <c r="ES47" s="1">
        <f>SUMPRODUCT(--(ES$3:ES$42-$KG$3:$KG$42)^2)^0.5</f>
        <v>0</v>
      </c>
      <c r="ET47" s="1">
        <f>SUMPRODUCT(--(ET$3:ET$42-$KH$3:$KH$42)^2)^0.5</f>
        <v>0</v>
      </c>
      <c r="EU47" s="1">
        <f>SUMPRODUCT(--(EU$3:EU$42-$KI$3:$KI$42)^2)^0.5</f>
        <v>0</v>
      </c>
      <c r="EV47" s="1">
        <f>SUMPRODUCT(--(EV$3:EV$42-$KJ$3:$KJ$42)^2)^0.5</f>
        <v>0</v>
      </c>
      <c r="EW47" s="1">
        <f>SUMPRODUCT(--(EW$3:EW$42-$KK$3:$KK$42)^2)^0.5</f>
        <v>0</v>
      </c>
      <c r="EX47" s="1">
        <f>SUMPRODUCT(--(EX$3:EX$42-$KL$3:$KL$42)^2)^0.5</f>
        <v>0</v>
      </c>
      <c r="EY47" s="1">
        <f>SUMPRODUCT(--(EY$3:EY$42-$KM$3:$KM$42)^2)^0.5</f>
        <v>0</v>
      </c>
      <c r="EZ47" s="1">
        <f>SUMPRODUCT(--(EZ$3:EZ$42-$KN$3:$KN$42)^2)^0.5</f>
        <v>0</v>
      </c>
      <c r="FA47" s="1">
        <f>SUMPRODUCT(--(FA$3:FA$42-$KO$3:$KO$42)^2)^0.5</f>
        <v>0</v>
      </c>
      <c r="FB47" s="1">
        <f>SUMPRODUCT(--(FB$3:FB$42-$KP$3:$KP$42)^2)^0.5</f>
        <v>0</v>
      </c>
      <c r="FC47" s="1">
        <f>SUMPRODUCT(--(FC$3:FC$42-$KQ$3:$KQ$42)^2)^0.5</f>
        <v>0</v>
      </c>
      <c r="FD47" s="1"/>
      <c r="FE47" s="1">
        <f>SUMPRODUCT(--(FE$3:FE$42-$KR$3:$KR$42)^2)^0.5</f>
        <v>0</v>
      </c>
      <c r="FF47" s="1">
        <f>SUMPRODUCT(--(FF$3:FF$42-$KS$3:$KS$42)^2)^0.5</f>
        <v>0</v>
      </c>
      <c r="FG47" s="1">
        <f>SUMPRODUCT(--(FG$3:FG$42-$KT$3:$KT$42)^2)^0.5</f>
        <v>0</v>
      </c>
      <c r="FH47" s="1">
        <f>SUMPRODUCT(--(FH$3:FH$42-$KD$3:$KD$42)^2)^0.5</f>
        <v>0</v>
      </c>
      <c r="FI47" s="1">
        <f>SUMPRODUCT(--(FI$3:FI$42-$KE$3:$KE$42)^2)^0.5</f>
        <v>0</v>
      </c>
      <c r="FJ47" s="1">
        <f>SUMPRODUCT(--(FJ$3:FJ$42-$KF$3:$KF$42)^2)^0.5</f>
        <v>0</v>
      </c>
      <c r="FK47" s="1">
        <f>SUMPRODUCT(--(FK$3:FK$42-$KG$3:$KG$42)^2)^0.5</f>
        <v>0</v>
      </c>
      <c r="FL47" s="1">
        <f>SUMPRODUCT(--(FL$3:FL$42-$KH$3:$KH$42)^2)^0.5</f>
        <v>0</v>
      </c>
      <c r="FM47" s="1">
        <f>SUMPRODUCT(--(FM$3:FM$42-$KI$3:$KI$42)^2)^0.5</f>
        <v>0</v>
      </c>
      <c r="FN47" s="1">
        <f>SUMPRODUCT(--(FN$3:FN$42-$KJ$3:$KJ$42)^2)^0.5</f>
        <v>0</v>
      </c>
      <c r="FO47" s="1">
        <f>SUMPRODUCT(--(FO$3:FO$42-$KK$3:$KK$42)^2)^0.5</f>
        <v>0</v>
      </c>
      <c r="FP47" s="1">
        <f>SUMPRODUCT(--(FP$3:FP$42-$KL$3:$KL$42)^2)^0.5</f>
        <v>0</v>
      </c>
      <c r="FQ47" s="1">
        <f>SUMPRODUCT(--(FQ$3:FQ$42-$KM$3:$KM$42)^2)^0.5</f>
        <v>0</v>
      </c>
      <c r="FR47" s="1">
        <f>SUMPRODUCT(--(FR$3:FR$42-$KN$3:$KN$42)^2)^0.5</f>
        <v>0</v>
      </c>
      <c r="FS47" s="1">
        <f>SUMPRODUCT(--(FS$3:FS$42-$KO$3:$KO$42)^2)^0.5</f>
        <v>0</v>
      </c>
      <c r="FT47" s="1">
        <f>SUMPRODUCT(--(FT$3:FT$42-$KP$3:$KP$42)^2)^0.5</f>
        <v>0</v>
      </c>
      <c r="FU47" s="1">
        <f>SUMPRODUCT(--(FU$3:FU$42-$KQ$3:$KQ$42)^2)^0.5</f>
        <v>0</v>
      </c>
      <c r="FV47" s="1"/>
      <c r="FW47" s="1">
        <f>SUMPRODUCT(--(FW$3:FW$42-$KR$3:$KR$42)^2)^0.5</f>
        <v>0</v>
      </c>
      <c r="FX47" s="1">
        <f>SUMPRODUCT(--(FX$3:FX$42-$KS$3:$KS$42)^2)^0.5</f>
        <v>0</v>
      </c>
      <c r="FY47" s="1">
        <f>SUMPRODUCT(--(FY$3:FY$42-$KT$3:$KT$42)^2)^0.5</f>
        <v>0</v>
      </c>
      <c r="FZ47" s="1">
        <f>SUMPRODUCT(--(FZ$3:FZ$42-$KD$3:$KD$42)^2)^0.5</f>
        <v>0</v>
      </c>
      <c r="GA47" s="1">
        <f>SUMPRODUCT(--(GA$3:GA$42-$KE$3:$KE$42)^2)^0.5</f>
        <v>0</v>
      </c>
      <c r="GB47" s="1">
        <f>SUMPRODUCT(--(GB$3:GB$42-$KF$3:$KF$42)^2)^0.5</f>
        <v>0</v>
      </c>
      <c r="GC47" s="1">
        <f>SUMPRODUCT(--(GC$3:GC$42-$KG$3:$KG$42)^2)^0.5</f>
        <v>0</v>
      </c>
      <c r="GD47" s="1">
        <f>SUMPRODUCT(--(GD$3:GD$42-$KH$3:$KH$42)^2)^0.5</f>
        <v>0</v>
      </c>
      <c r="GE47" s="1">
        <f>SUMPRODUCT(--(GE$3:GE$42-$KI$3:$KI$42)^2)^0.5</f>
        <v>0</v>
      </c>
      <c r="GF47" s="1">
        <f>SUMPRODUCT(--(GF$3:GF$42-$KJ$3:$KJ$42)^2)^0.5</f>
        <v>0</v>
      </c>
      <c r="GG47" s="1">
        <f>SUMPRODUCT(--(GG$3:GG$42-$KK$3:$KK$42)^2)^0.5</f>
        <v>0</v>
      </c>
      <c r="GH47" s="1">
        <f>SUMPRODUCT(--(GH$3:GH$42-$KL$3:$KL$42)^2)^0.5</f>
        <v>0</v>
      </c>
      <c r="GI47" s="1">
        <f>SUMPRODUCT(--(GI$3:GI$42-$KM$3:$KM$42)^2)^0.5</f>
        <v>0</v>
      </c>
      <c r="GJ47" s="1">
        <f>SUMPRODUCT(--(GJ$3:GJ$42-$KN$3:$KN$42)^2)^0.5</f>
        <v>0</v>
      </c>
      <c r="GK47" s="1">
        <f>SUMPRODUCT(--(GK$3:GK$42-$KO$3:$KO$42)^2)^0.5</f>
        <v>0</v>
      </c>
      <c r="GL47" s="1">
        <f>SUMPRODUCT(--(GL$3:GL$42-$KP$3:$KP$42)^2)^0.5</f>
        <v>0</v>
      </c>
      <c r="GM47" s="1">
        <f>SUMPRODUCT(--(GM$3:GM$42-$KQ$3:$KQ$42)^2)^0.5</f>
        <v>0</v>
      </c>
      <c r="GN47" s="1"/>
      <c r="GO47" s="1">
        <f>SUMPRODUCT(--(GO$3:GO$42-$KR$3:$KR$42)^2)^0.5</f>
        <v>0</v>
      </c>
      <c r="GP47" s="1">
        <f>SUMPRODUCT(--(GP$3:GP$42-$KS$3:$KS$42)^2)^0.5</f>
        <v>0</v>
      </c>
      <c r="GQ47" s="1">
        <f>SUMPRODUCT(--(GQ$3:GQ$42-$KT$3:$KT$42)^2)^0.5</f>
        <v>0</v>
      </c>
      <c r="GR47" s="1">
        <f>SUMPRODUCT(--(GR$3:GR$42-$KD$3:$KD$42)^2)^0.5</f>
        <v>0</v>
      </c>
      <c r="GS47" s="1">
        <f>SUMPRODUCT(--(GS$3:GS$42-$KE$3:$KE$42)^2)^0.5</f>
        <v>0</v>
      </c>
      <c r="GT47" s="1">
        <f>SUMPRODUCT(--(GT$3:GT$42-$KF$3:$KF$42)^2)^0.5</f>
        <v>0</v>
      </c>
      <c r="GU47" s="1">
        <f>SUMPRODUCT(--(GU$3:GU$42-$KG$3:$KG$42)^2)^0.5</f>
        <v>0</v>
      </c>
      <c r="GV47" s="1">
        <f>SUMPRODUCT(--(GV$3:GV$42-$KH$3:$KH$42)^2)^0.5</f>
        <v>0</v>
      </c>
      <c r="GW47" s="1">
        <f>SUMPRODUCT(--(GW$3:GW$42-$KI$3:$KI$42)^2)^0.5</f>
        <v>0</v>
      </c>
      <c r="GX47" s="1">
        <f>SUMPRODUCT(--(GX$3:GX$42-$KJ$3:$KJ$42)^2)^0.5</f>
        <v>0</v>
      </c>
      <c r="GY47" s="1">
        <f>SUMPRODUCT(--(GY$3:GY$42-$KK$3:$KK$42)^2)^0.5</f>
        <v>0</v>
      </c>
      <c r="GZ47" s="1">
        <f>SUMPRODUCT(--(GZ$3:GZ$42-$KL$3:$KL$42)^2)^0.5</f>
        <v>0</v>
      </c>
      <c r="HA47" s="1">
        <f>SUMPRODUCT(--(HA$3:HA$42-$KM$3:$KM$42)^2)^0.5</f>
        <v>0</v>
      </c>
      <c r="HB47" s="1">
        <f>SUMPRODUCT(--(HB$3:HB$42-$KN$3:$KN$42)^2)^0.5</f>
        <v>0</v>
      </c>
      <c r="HC47" s="1">
        <f>SUMPRODUCT(--(HC$3:HC$42-$KO$3:$KO$42)^2)^0.5</f>
        <v>0</v>
      </c>
      <c r="HD47" s="1">
        <f>SUMPRODUCT(--(HD$3:HD$42-$KP$3:$KP$42)^2)^0.5</f>
        <v>0</v>
      </c>
      <c r="HE47" s="1">
        <f>SUMPRODUCT(--(HE$3:HE$42-$KQ$3:$KQ$42)^2)^0.5</f>
        <v>0</v>
      </c>
      <c r="HF47" s="1"/>
      <c r="HG47" s="1">
        <f>SUMPRODUCT(--(HG$3:HG$42-$KR$3:$KR$42)^2)^0.5</f>
        <v>0</v>
      </c>
      <c r="HH47" s="1">
        <f>SUMPRODUCT(--(HH$3:HH$42-$KS$3:$KS$42)^2)^0.5</f>
        <v>0</v>
      </c>
      <c r="HI47" s="1">
        <f>SUMPRODUCT(--(HI$3:HI$42-$KT$3:$KT$42)^2)^0.5</f>
        <v>0</v>
      </c>
      <c r="HJ47" s="1">
        <f>SUMPRODUCT(--(HJ$3:HJ$42-$KD$3:$KD$42)^2)^0.5</f>
        <v>0</v>
      </c>
      <c r="HK47" s="1">
        <f>SUMPRODUCT(--(HK$3:HK$42-$KE$3:$KE$42)^2)^0.5</f>
        <v>0</v>
      </c>
      <c r="HL47" s="1">
        <f>SUMPRODUCT(--(HL$3:HL$42-$KF$3:$KF$42)^2)^0.5</f>
        <v>0</v>
      </c>
      <c r="HM47" s="1">
        <f>SUMPRODUCT(--(HM$3:HM$42-$KG$3:$KG$42)^2)^0.5</f>
        <v>0</v>
      </c>
      <c r="HN47" s="1">
        <f>SUMPRODUCT(--(HN$3:HN$42-$KH$3:$KH$42)^2)^0.5</f>
        <v>0</v>
      </c>
      <c r="HO47" s="1">
        <f>SUMPRODUCT(--(HO$3:HO$42-$KI$3:$KI$42)^2)^0.5</f>
        <v>0</v>
      </c>
      <c r="HP47" s="1">
        <f>SUMPRODUCT(--(HP$3:HP$42-$KJ$3:$KJ$42)^2)^0.5</f>
        <v>0</v>
      </c>
      <c r="HQ47" s="1">
        <f>SUMPRODUCT(--(HQ$3:HQ$42-$KK$3:$KK$42)^2)^0.5</f>
        <v>0</v>
      </c>
      <c r="HR47" s="1">
        <f>SUMPRODUCT(--(HR$3:HR$42-$KL$3:$KL$42)^2)^0.5</f>
        <v>0</v>
      </c>
      <c r="HS47" s="1">
        <f>SUMPRODUCT(--(HS$3:HS$42-$KM$3:$KM$42)^2)^0.5</f>
        <v>0</v>
      </c>
      <c r="HT47" s="1">
        <f>SUMPRODUCT(--(HT$3:HT$42-$KN$3:$KN$42)^2)^0.5</f>
        <v>0</v>
      </c>
      <c r="HU47" s="1">
        <f>SUMPRODUCT(--(HU$3:HU$42-$KO$3:$KO$42)^2)^0.5</f>
        <v>0</v>
      </c>
      <c r="HV47" s="1">
        <f>SUMPRODUCT(--(HV$3:HV$42-$KP$3:$KP$42)^2)^0.5</f>
        <v>0</v>
      </c>
      <c r="HW47" s="1">
        <f>SUMPRODUCT(--(HW$3:HW$42-$KQ$3:$KQ$42)^2)^0.5</f>
        <v>0</v>
      </c>
      <c r="HX47" s="1"/>
      <c r="HY47" s="1">
        <f>SUMPRODUCT(--(HY$3:HY$42-$KR$3:$KR$42)^2)^0.5</f>
        <v>0</v>
      </c>
      <c r="HZ47" s="1">
        <f>SUMPRODUCT(--(HZ$3:HZ$42-$KS$3:$KS$42)^2)^0.5</f>
        <v>0</v>
      </c>
      <c r="IA47" s="1">
        <f>SUMPRODUCT(--(IA$3:IA$42-$KT$3:$KT$42)^2)^0.5</f>
        <v>0</v>
      </c>
      <c r="IB47" s="1">
        <f>SUMPRODUCT(--(IB$3:IB$42-$KD$3:$KD$42)^2)^0.5</f>
        <v>0</v>
      </c>
      <c r="IC47" s="1">
        <f>SUMPRODUCT(--(IC$3:IC$42-$KE$3:$KE$42)^2)^0.5</f>
        <v>0</v>
      </c>
      <c r="ID47" s="1">
        <f>SUMPRODUCT(--(ID$3:ID$42-$KF$3:$KF$42)^2)^0.5</f>
        <v>0</v>
      </c>
      <c r="IE47" s="1">
        <f>SUMPRODUCT(--(IE$3:IE$42-$KG$3:$KG$42)^2)^0.5</f>
        <v>0</v>
      </c>
      <c r="IF47" s="1">
        <f>SUMPRODUCT(--(IF$3:IF$42-$KH$3:$KH$42)^2)^0.5</f>
        <v>0</v>
      </c>
      <c r="IG47" s="1">
        <f>SUMPRODUCT(--(IG$3:IG$42-$KI$3:$KI$42)^2)^0.5</f>
        <v>0</v>
      </c>
      <c r="IH47" s="1">
        <f>SUMPRODUCT(--(IH$3:IH$42-$KJ$3:$KJ$42)^2)^0.5</f>
        <v>0</v>
      </c>
      <c r="II47" s="1">
        <f>SUMPRODUCT(--(II$3:II$42-$KK$3:$KK$42)^2)^0.5</f>
        <v>0</v>
      </c>
      <c r="IJ47" s="1">
        <f>SUMPRODUCT(--(IJ$3:IJ$42-$KL$3:$KL$42)^2)^0.5</f>
        <v>0</v>
      </c>
      <c r="IK47" s="1">
        <f>SUMPRODUCT(--(IK$3:IK$42-$KM$3:$KM$42)^2)^0.5</f>
        <v>0</v>
      </c>
      <c r="IL47" s="1">
        <f>SUMPRODUCT(--(IL$3:IL$42-$KN$3:$KN$42)^2)^0.5</f>
        <v>0</v>
      </c>
      <c r="IM47" s="1">
        <f>SUMPRODUCT(--(IM$3:IM$42-$KO$3:$KO$42)^2)^0.5</f>
        <v>0</v>
      </c>
      <c r="IN47" s="1">
        <f>SUMPRODUCT(--(IN$3:IN$42-$KP$3:$KP$42)^2)^0.5</f>
        <v>0</v>
      </c>
      <c r="IO47" s="1">
        <f>SUMPRODUCT(--(IO$3:IO$42-$KQ$3:$KQ$42)^2)^0.5</f>
        <v>0</v>
      </c>
      <c r="IP47" s="1"/>
      <c r="IQ47" s="1">
        <f>SUMPRODUCT(--(IQ$3:IQ$42-$KR$3:$KR$42)^2)^0.5</f>
        <v>0</v>
      </c>
      <c r="IR47" s="1">
        <f>SUMPRODUCT(--(IR$3:IR$42-$KS$3:$KS$42)^2)^0.5</f>
        <v>0</v>
      </c>
      <c r="IS47" s="1">
        <f>SUMPRODUCT(--(IS$3:IS$42-$KT$3:$KT$42)^2)^0.5</f>
        <v>0</v>
      </c>
      <c r="IT47" s="1">
        <f>SUMPRODUCT(--(IT$3:IT$42-$KD$3:$KD$42)^2)^0.5</f>
        <v>0</v>
      </c>
      <c r="IU47" s="1">
        <f>SUMPRODUCT(--(IU$3:IU$42-$KE$3:$KE$42)^2)^0.5</f>
        <v>0</v>
      </c>
      <c r="IV47" s="1">
        <f>SUMPRODUCT(--(IV$3:IV$42-$KF$3:$KF$42)^2)^0.5</f>
        <v>0</v>
      </c>
      <c r="IW47" s="1">
        <f>SUMPRODUCT(--(IW$3:IW$42-$KG$3:$KG$42)^2)^0.5</f>
        <v>0</v>
      </c>
      <c r="IX47" s="1">
        <f>SUMPRODUCT(--(IX$3:IX$42-$KH$3:$KH$42)^2)^0.5</f>
        <v>0</v>
      </c>
      <c r="IY47" s="1">
        <f>SUMPRODUCT(--(IY$3:IY$42-$KI$3:$KI$42)^2)^0.5</f>
        <v>0</v>
      </c>
      <c r="IZ47" s="1">
        <f>SUMPRODUCT(--(IZ$3:IZ$42-$KJ$3:$KJ$42)^2)^0.5</f>
        <v>0</v>
      </c>
      <c r="JA47" s="1">
        <f>SUMPRODUCT(--(JA$3:JA$42-$KK$3:$KK$42)^2)^0.5</f>
        <v>0</v>
      </c>
      <c r="JB47" s="1">
        <f>SUMPRODUCT(--(JB$3:JB$42-$KL$3:$KL$42)^2)^0.5</f>
        <v>0</v>
      </c>
      <c r="JC47" s="1">
        <f>SUMPRODUCT(--(JC$3:JC$42-$KM$3:$KM$42)^2)^0.5</f>
        <v>0</v>
      </c>
      <c r="JD47" s="1">
        <f>SUMPRODUCT(--(JD$3:JD$42-$KN$3:$KN$42)^2)^0.5</f>
        <v>0</v>
      </c>
      <c r="JE47" s="1">
        <f>SUMPRODUCT(--(JE$3:JE$42-$KO$3:$KO$42)^2)^0.5</f>
        <v>0</v>
      </c>
      <c r="JF47" s="1">
        <f>SUMPRODUCT(--(JF$3:JF$42-$KP$3:$KP$42)^2)^0.5</f>
        <v>0</v>
      </c>
      <c r="JG47" s="1">
        <f>SUMPRODUCT(--(JG$3:JG$42-$KQ$3:$KQ$42)^2)^0.5</f>
        <v>0</v>
      </c>
      <c r="JH47" s="1"/>
      <c r="JI47" s="1">
        <f>SUMPRODUCT(--(JI$3:JI$42-$KR$3:$KR$42)^2)^0.5</f>
        <v>0</v>
      </c>
      <c r="JJ47" s="1">
        <f>SUMPRODUCT(--(JJ$3:JJ$42-$KS$3:$KS$42)^2)^0.5</f>
        <v>0</v>
      </c>
      <c r="JK47" s="1">
        <f>SUMPRODUCT(--(JK$3:JK$42-$KT$3:$KT$42)^2)^0.5</f>
        <v>0</v>
      </c>
      <c r="JL47" s="1">
        <f>SUMPRODUCT(--(JL$3:JL$42-$KD$3:$KD$42)^2)^0.5</f>
        <v>0</v>
      </c>
      <c r="JM47" s="1">
        <f>SUMPRODUCT(--(JM$3:JM$42-$KE$3:$KE$42)^2)^0.5</f>
        <v>0</v>
      </c>
      <c r="JN47" s="1">
        <f>SUMPRODUCT(--(JN$3:JN$42-$KF$3:$KF$42)^2)^0.5</f>
        <v>0</v>
      </c>
      <c r="JO47" s="1">
        <f>SUMPRODUCT(--(JO$3:JO$42-$KG$3:$KG$42)^2)^0.5</f>
        <v>0</v>
      </c>
      <c r="JP47" s="1">
        <f>SUMPRODUCT(--(JP$3:JP$42-$KH$3:$KH$42)^2)^0.5</f>
        <v>0</v>
      </c>
      <c r="JQ47" s="1">
        <f>SUMPRODUCT(--(JQ$3:JQ$42-$KI$3:$KI$42)^2)^0.5</f>
        <v>0</v>
      </c>
      <c r="JR47" s="1">
        <f>SUMPRODUCT(--(JR$3:JR$42-$KJ$3:$KJ$42)^2)^0.5</f>
        <v>0</v>
      </c>
      <c r="JS47" s="1">
        <f>SUMPRODUCT(--(JS$3:JS$42-$KK$3:$KK$42)^2)^0.5</f>
        <v>0</v>
      </c>
      <c r="JT47" s="1">
        <f>SUMPRODUCT(--(JT$3:JT$42-$KL$3:$KL$42)^2)^0.5</f>
        <v>0</v>
      </c>
      <c r="JU47" s="1">
        <f>SUMPRODUCT(--(JU$3:JU$42-$KM$3:$KM$42)^2)^0.5</f>
        <v>0</v>
      </c>
      <c r="JV47" s="1">
        <f>SUMPRODUCT(--(JV$3:JV$42-$KN$3:$KN$42)^2)^0.5</f>
        <v>0</v>
      </c>
      <c r="JW47" s="1">
        <f>SUMPRODUCT(--(JW$3:JW$42-$KO$3:$KO$42)^2)^0.5</f>
        <v>0</v>
      </c>
      <c r="JX47" s="1">
        <f>SUMPRODUCT(--(JX$3:JX$42-$KP$3:$KP$42)^2)^0.5</f>
        <v>0</v>
      </c>
      <c r="JY47" s="1">
        <f>SUMPRODUCT(--(JY$3:JY$42-$KQ$3:$KQ$42)^2)^0.5</f>
        <v>0</v>
      </c>
      <c r="JZ47" s="1"/>
      <c r="KA47" s="1">
        <f>SUMPRODUCT(--(KA$3:KA$42-$KR$3:$KR$42)^2)^0.5</f>
        <v>0</v>
      </c>
      <c r="KB47" s="1">
        <f>SUMPRODUCT(--(KB$3:KB$42-$KS$3:$KS$42)^2)^0.5</f>
        <v>0</v>
      </c>
      <c r="KC47" s="1">
        <f>SUMPRODUCT(--(KC$3:KC$42-$KT$3:$KT$42)^2)^0.5</f>
        <v>0</v>
      </c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</row>
    <row r="48" spans="1:340">
      <c r="A48" s="1" t="s">
        <v>44</v>
      </c>
      <c r="B48" s="1">
        <f>SUMPRODUCT(NOT(ISBLANK(B$3:B$42))*(B$3:B$42=$KD$3:$KD$42))</f>
        <v>0</v>
      </c>
      <c r="C48" s="1">
        <f>SUMPRODUCT(NOT(ISBLANK(C$3:C$42))*(C$3:C$42=$KE$3:$KE$42))</f>
        <v>0</v>
      </c>
      <c r="D48" s="1">
        <f>SUMPRODUCT(NOT(ISBLANK(D$3:D$42))*(D$3:D$42=$KF$3:$KF$42))</f>
        <v>0</v>
      </c>
      <c r="E48" s="1">
        <f>SUMPRODUCT(NOT(ISBLANK(E$3:E$42))*(E$3:E$42=$KG$3:$KG$42))</f>
        <v>0</v>
      </c>
      <c r="F48" s="1">
        <f>SUMPRODUCT(NOT(ISBLANK(F$3:F$42))*(F$3:F$42=$KH$3:$KH$42))</f>
        <v>0</v>
      </c>
      <c r="G48" s="1">
        <f>SUMPRODUCT(NOT(ISBLANK(G$3:G$42))*(G$3:G$42=$KI$3:$KI$42))</f>
        <v>0</v>
      </c>
      <c r="H48" s="1">
        <f>SUMPRODUCT(NOT(ISBLANK(H$3:H$42))*(H$3:H$42=$KJ$3:$KJ$42))</f>
        <v>0</v>
      </c>
      <c r="I48" s="1">
        <f>SUMPRODUCT(NOT(ISBLANK(I$3:I$42))*(I$3:I$42=$KK$3:$KK$42))</f>
        <v>0</v>
      </c>
      <c r="J48" s="1">
        <f>SUMPRODUCT(NOT(ISBLANK(J$3:J$42))*(J$3:J$42=$KL$3:$KL$42))</f>
        <v>0</v>
      </c>
      <c r="K48" s="1">
        <f>SUMPRODUCT(NOT(ISBLANK(K$3:K$42))*(K$3:K$42=$KM$3:$KM$42))</f>
        <v>0</v>
      </c>
      <c r="L48" s="1">
        <f>SUMPRODUCT(NOT(ISBLANK(L$3:L$42))*(L$3:L$42=$KN$3:$KN$42))</f>
        <v>0</v>
      </c>
      <c r="M48" s="1">
        <f>SUMPRODUCT(NOT(ISBLANK(M$3:M$42))*(M$3:M$42=$KO$3:$KO$42))</f>
        <v>0</v>
      </c>
      <c r="N48" s="1">
        <f>SUMPRODUCT(NOT(ISBLANK(N$3:N$42))*(N$3:N$42=$KP$3:$KP$42))</f>
        <v>0</v>
      </c>
      <c r="O48" s="1">
        <f>SUMPRODUCT(NOT(ISBLANK(O$3:O$42))*(O$3:O$42=$KQ$3:$KQ$42))</f>
        <v>0</v>
      </c>
      <c r="P48" s="1"/>
      <c r="Q48" s="1">
        <f>SUMPRODUCT(NOT(ISBLANK(Q$3:Q$42))*(Q$3:Q$42=$KR$3:$KR$42))</f>
        <v>0</v>
      </c>
      <c r="R48" s="1">
        <f>SUMPRODUCT(NOT(ISBLANK(R$3:R$42))*(R$3:R$42=$KS$3:$KS$42))</f>
        <v>0</v>
      </c>
      <c r="S48" s="1">
        <f>SUMPRODUCT(NOT(ISBLANK(S$3:S$42))*(S$3:S$42=$KT$3:$KT$42))</f>
        <v>0</v>
      </c>
      <c r="T48" s="1">
        <f>SUMPRODUCT(NOT(ISBLANK(T$3:T$42))*(T$3:T$42=$KD$3:$KD$42))</f>
        <v>0</v>
      </c>
      <c r="U48" s="1">
        <f>SUMPRODUCT(NOT(ISBLANK(U$3:U$42))*(U$3:U$42=$KE$3:$KE$42))</f>
        <v>0</v>
      </c>
      <c r="V48" s="1">
        <f>SUMPRODUCT(NOT(ISBLANK(V$3:V$42))*(V$3:V$42=$KF$3:$KF$42))</f>
        <v>0</v>
      </c>
      <c r="W48" s="1">
        <f>SUMPRODUCT(NOT(ISBLANK(W$3:W$42))*(W$3:W$42=$KG$3:$KG$42))</f>
        <v>0</v>
      </c>
      <c r="X48" s="1">
        <f>SUMPRODUCT(NOT(ISBLANK(X$3:X$42))*(X$3:X$42=$KH$3:$KH$42))</f>
        <v>0</v>
      </c>
      <c r="Y48" s="1">
        <f>SUMPRODUCT(NOT(ISBLANK(Y$3:Y$42))*(Y$3:Y$42=$KI$3:$KI$42))</f>
        <v>0</v>
      </c>
      <c r="Z48" s="1">
        <f>SUMPRODUCT(NOT(ISBLANK(Z$3:Z$42))*(Z$3:Z$42=$KJ$3:$KJ$42))</f>
        <v>0</v>
      </c>
      <c r="AA48" s="1">
        <f>SUMPRODUCT(NOT(ISBLANK(AA$3:AA$42))*(AA$3:AA$42=$KK$3:$KK$42))</f>
        <v>0</v>
      </c>
      <c r="AB48" s="1">
        <f>SUMPRODUCT(NOT(ISBLANK(AB$3:AB$42))*(AB$3:AB$42=$KL$3:$KL$42))</f>
        <v>0</v>
      </c>
      <c r="AC48" s="1">
        <f>SUMPRODUCT(NOT(ISBLANK(AC$3:AC$42))*(AC$3:AC$42=$KM$3:$KM$42))</f>
        <v>0</v>
      </c>
      <c r="AD48" s="1">
        <f>SUMPRODUCT(NOT(ISBLANK(AD$3:AD$42))*(AD$3:AD$42=$KN$3:$KN$42))</f>
        <v>0</v>
      </c>
      <c r="AE48" s="1">
        <f>SUMPRODUCT(NOT(ISBLANK(AE$3:AE$42))*(AE$3:AE$42=$KO$3:$KO$42))</f>
        <v>0</v>
      </c>
      <c r="AF48" s="1">
        <f>SUMPRODUCT(NOT(ISBLANK(AF$3:AF$42))*(AF$3:AF$42=$KP$3:$KP$42))</f>
        <v>0</v>
      </c>
      <c r="AG48" s="1">
        <f>SUMPRODUCT(NOT(ISBLANK(AG$3:AG$42))*(AG$3:AG$42=$KQ$3:$KQ$42))</f>
        <v>0</v>
      </c>
      <c r="AH48" s="1"/>
      <c r="AI48" s="1">
        <f>SUMPRODUCT(NOT(ISBLANK(AI$3:AI$42))*(AI$3:AI$42=$KR$3:$KR$42))</f>
        <v>0</v>
      </c>
      <c r="AJ48" s="1">
        <f>SUMPRODUCT(NOT(ISBLANK(AJ$3:AJ$42))*(AJ$3:AJ$42=$KS$3:$KS$42))</f>
        <v>0</v>
      </c>
      <c r="AK48" s="1">
        <f>SUMPRODUCT(NOT(ISBLANK(AK$3:AK$42))*(AK$3:AK$42=$KT$3:$KT$42))</f>
        <v>0</v>
      </c>
      <c r="AL48" s="1">
        <f>SUMPRODUCT(NOT(ISBLANK(AL$3:AL$42))*(AL$3:AL$42=$KD$3:$KD$42))</f>
        <v>0</v>
      </c>
      <c r="AM48" s="1">
        <f>SUMPRODUCT(NOT(ISBLANK(AM$3:AM$42))*(AM$3:AM$42=$KE$3:$KE$42))</f>
        <v>0</v>
      </c>
      <c r="AN48" s="1">
        <f>SUMPRODUCT(NOT(ISBLANK(AN$3:AN$42))*(AN$3:AN$42=$KF$3:$KF$42))</f>
        <v>0</v>
      </c>
      <c r="AO48" s="1">
        <f>SUMPRODUCT(NOT(ISBLANK(AO$3:AO$42))*(AO$3:AO$42=$KG$3:$KG$42))</f>
        <v>0</v>
      </c>
      <c r="AP48" s="1">
        <f>SUMPRODUCT(NOT(ISBLANK(AP$3:AP$42))*(AP$3:AP$42=$KH$3:$KH$42))</f>
        <v>0</v>
      </c>
      <c r="AQ48" s="1">
        <f>SUMPRODUCT(NOT(ISBLANK(AQ$3:AQ$42))*(AQ$3:AQ$42=$KI$3:$KI$42))</f>
        <v>0</v>
      </c>
      <c r="AR48" s="1">
        <f>SUMPRODUCT(NOT(ISBLANK(AR$3:AR$42))*(AR$3:AR$42=$KJ$3:$KJ$42))</f>
        <v>0</v>
      </c>
      <c r="AS48" s="1">
        <f>SUMPRODUCT(NOT(ISBLANK(AS$3:AS$42))*(AS$3:AS$42=$KK$3:$KK$42))</f>
        <v>0</v>
      </c>
      <c r="AT48" s="1">
        <f>SUMPRODUCT(NOT(ISBLANK(AT$3:AT$42))*(AT$3:AT$42=$KL$3:$KL$42))</f>
        <v>0</v>
      </c>
      <c r="AU48" s="1">
        <f>SUMPRODUCT(NOT(ISBLANK(AU$3:AU$42))*(AU$3:AU$42=$KM$3:$KM$42))</f>
        <v>0</v>
      </c>
      <c r="AV48" s="1">
        <f>SUMPRODUCT(NOT(ISBLANK(AV$3:AV$42))*(AV$3:AV$42=$KN$3:$KN$42))</f>
        <v>0</v>
      </c>
      <c r="AW48" s="1">
        <f>SUMPRODUCT(NOT(ISBLANK(AW$3:AW$42))*(AW$3:AW$42=$KO$3:$KO$42))</f>
        <v>0</v>
      </c>
      <c r="AX48" s="1">
        <f>SUMPRODUCT(NOT(ISBLANK(AX$3:AX$42))*(AX$3:AX$42=$KP$3:$KP$42))</f>
        <v>0</v>
      </c>
      <c r="AY48" s="1">
        <f>SUMPRODUCT(NOT(ISBLANK(AY$3:AY$42))*(AY$3:AY$42=$KQ$3:$KQ$42))</f>
        <v>0</v>
      </c>
      <c r="AZ48" s="1"/>
      <c r="BA48" s="1">
        <f>SUMPRODUCT(NOT(ISBLANK(BA$3:BA$42))*(BA$3:BA$42=$KR$3:$KR$42))</f>
        <v>0</v>
      </c>
      <c r="BB48" s="1">
        <f>SUMPRODUCT(NOT(ISBLANK(BB$3:BB$42))*(BB$3:BB$42=$KS$3:$KS$42))</f>
        <v>0</v>
      </c>
      <c r="BC48" s="1">
        <f>SUMPRODUCT(NOT(ISBLANK(BC$3:BC$42))*(BC$3:BC$42=$KT$3:$KT$42))</f>
        <v>0</v>
      </c>
      <c r="BD48" s="1">
        <f>SUMPRODUCT(NOT(ISBLANK(BD$3:BD$42))*(BD$3:BD$42=$KD$3:$KD$42))</f>
        <v>0</v>
      </c>
      <c r="BE48" s="1">
        <f>SUMPRODUCT(NOT(ISBLANK(BE$3:BE$42))*(BE$3:BE$42=$KE$3:$KE$42))</f>
        <v>0</v>
      </c>
      <c r="BF48" s="1">
        <f>SUMPRODUCT(NOT(ISBLANK(BF$3:BF$42))*(BF$3:BF$42=$KF$3:$KF$42))</f>
        <v>0</v>
      </c>
      <c r="BG48" s="1">
        <f>SUMPRODUCT(NOT(ISBLANK(BG$3:BG$42))*(BG$3:BG$42=$KG$3:$KG$42))</f>
        <v>0</v>
      </c>
      <c r="BH48" s="1">
        <f>SUMPRODUCT(NOT(ISBLANK(BH$3:BH$42))*(BH$3:BH$42=$KH$3:$KH$42))</f>
        <v>0</v>
      </c>
      <c r="BI48" s="1">
        <f>SUMPRODUCT(NOT(ISBLANK(BI$3:BI$42))*(BI$3:BI$42=$KI$3:$KI$42))</f>
        <v>0</v>
      </c>
      <c r="BJ48" s="1">
        <f>SUMPRODUCT(NOT(ISBLANK(BJ$3:BJ$42))*(BJ$3:BJ$42=$KJ$3:$KJ$42))</f>
        <v>0</v>
      </c>
      <c r="BK48" s="1">
        <f>SUMPRODUCT(NOT(ISBLANK(BK$3:BK$42))*(BK$3:BK$42=$KK$3:$KK$42))</f>
        <v>0</v>
      </c>
      <c r="BL48" s="1">
        <f>SUMPRODUCT(NOT(ISBLANK(BL$3:BL$42))*(BL$3:BL$42=$KL$3:$KL$42))</f>
        <v>0</v>
      </c>
      <c r="BM48" s="1">
        <f>SUMPRODUCT(NOT(ISBLANK(BM$3:BM$42))*(BM$3:BM$42=$KM$3:$KM$42))</f>
        <v>0</v>
      </c>
      <c r="BN48" s="1">
        <f>SUMPRODUCT(NOT(ISBLANK(BN$3:BN$42))*(BN$3:BN$42=$KN$3:$KN$42))</f>
        <v>0</v>
      </c>
      <c r="BO48" s="1">
        <f>SUMPRODUCT(NOT(ISBLANK(BO$3:BO$42))*(BO$3:BO$42=$KO$3:$KO$42))</f>
        <v>0</v>
      </c>
      <c r="BP48" s="1">
        <f>SUMPRODUCT(NOT(ISBLANK(BP$3:BP$42))*(BP$3:BP$42=$KP$3:$KP$42))</f>
        <v>0</v>
      </c>
      <c r="BQ48" s="1">
        <f>SUMPRODUCT(NOT(ISBLANK(BQ$3:BQ$42))*(BQ$3:BQ$42=$KQ$3:$KQ$42))</f>
        <v>0</v>
      </c>
      <c r="BR48" s="1"/>
      <c r="BS48" s="1">
        <f>SUMPRODUCT(NOT(ISBLANK(BS$3:BS$42))*(BS$3:BS$42=$KR$3:$KR$42))</f>
        <v>0</v>
      </c>
      <c r="BT48" s="1">
        <f>SUMPRODUCT(NOT(ISBLANK(BT$3:BT$42))*(BT$3:BT$42=$KS$3:$KS$42))</f>
        <v>0</v>
      </c>
      <c r="BU48" s="1">
        <f>SUMPRODUCT(NOT(ISBLANK(BU$3:BU$42))*(BU$3:BU$42=$KT$3:$KT$42))</f>
        <v>0</v>
      </c>
      <c r="BV48" s="1">
        <f>SUMPRODUCT(NOT(ISBLANK(BV$3:BV$42))*(BV$3:BV$42=$KD$3:$KD$42))</f>
        <v>0</v>
      </c>
      <c r="BW48" s="1">
        <f>SUMPRODUCT(NOT(ISBLANK(BW$3:BW$42))*(BW$3:BW$42=$KE$3:$KE$42))</f>
        <v>0</v>
      </c>
      <c r="BX48" s="1">
        <f>SUMPRODUCT(NOT(ISBLANK(BX$3:BX$42))*(BX$3:BX$42=$KF$3:$KF$42))</f>
        <v>0</v>
      </c>
      <c r="BY48" s="1">
        <f>SUMPRODUCT(NOT(ISBLANK(BY$3:BY$42))*(BY$3:BY$42=$KG$3:$KG$42))</f>
        <v>0</v>
      </c>
      <c r="BZ48" s="1">
        <f>SUMPRODUCT(NOT(ISBLANK(BZ$3:BZ$42))*(BZ$3:BZ$42=$KH$3:$KH$42))</f>
        <v>0</v>
      </c>
      <c r="CA48" s="1">
        <f>SUMPRODUCT(NOT(ISBLANK(CA$3:CA$42))*(CA$3:CA$42=$KI$3:$KI$42))</f>
        <v>0</v>
      </c>
      <c r="CB48" s="1">
        <f>SUMPRODUCT(NOT(ISBLANK(CB$3:CB$42))*(CB$3:CB$42=$KJ$3:$KJ$42))</f>
        <v>0</v>
      </c>
      <c r="CC48" s="1">
        <f>SUMPRODUCT(NOT(ISBLANK(CC$3:CC$42))*(CC$3:CC$42=$KK$3:$KK$42))</f>
        <v>0</v>
      </c>
      <c r="CD48" s="1">
        <f>SUMPRODUCT(NOT(ISBLANK(CD$3:CD$42))*(CD$3:CD$42=$KL$3:$KL$42))</f>
        <v>0</v>
      </c>
      <c r="CE48" s="1">
        <f>SUMPRODUCT(NOT(ISBLANK(CE$3:CE$42))*(CE$3:CE$42=$KM$3:$KM$42))</f>
        <v>0</v>
      </c>
      <c r="CF48" s="1">
        <f>SUMPRODUCT(NOT(ISBLANK(CF$3:CF$42))*(CF$3:CF$42=$KN$3:$KN$42))</f>
        <v>0</v>
      </c>
      <c r="CG48" s="1">
        <f>SUMPRODUCT(NOT(ISBLANK(CG$3:CG$42))*(CG$3:CG$42=$KO$3:$KO$42))</f>
        <v>0</v>
      </c>
      <c r="CH48" s="1">
        <f>SUMPRODUCT(NOT(ISBLANK(CH$3:CH$42))*(CH$3:CH$42=$KP$3:$KP$42))</f>
        <v>0</v>
      </c>
      <c r="CI48" s="1">
        <f>SUMPRODUCT(NOT(ISBLANK(CI$3:CI$42))*(CI$3:CI$42=$KQ$3:$KQ$42))</f>
        <v>0</v>
      </c>
      <c r="CJ48" s="1"/>
      <c r="CK48" s="1">
        <f>SUMPRODUCT(NOT(ISBLANK(CK$3:CK$42))*(CK$3:CK$42=$KR$3:$KR$42))</f>
        <v>0</v>
      </c>
      <c r="CL48" s="1">
        <f>SUMPRODUCT(NOT(ISBLANK(CL$3:CL$42))*(CL$3:CL$42=$KS$3:$KS$42))</f>
        <v>0</v>
      </c>
      <c r="CM48" s="1">
        <f>SUMPRODUCT(NOT(ISBLANK(CM$3:CM$42))*(CM$3:CM$42=$KT$3:$KT$42))</f>
        <v>0</v>
      </c>
      <c r="CN48" s="1">
        <f>SUMPRODUCT(NOT(ISBLANK(CN$3:CN$42))*(CN$3:CN$42=$KD$3:$KD$42))</f>
        <v>0</v>
      </c>
      <c r="CO48" s="1">
        <f>SUMPRODUCT(NOT(ISBLANK(CO$3:CO$42))*(CO$3:CO$42=$KE$3:$KE$42))</f>
        <v>0</v>
      </c>
      <c r="CP48" s="1">
        <f>SUMPRODUCT(NOT(ISBLANK(CP$3:CP$42))*(CP$3:CP$42=$KF$3:$KF$42))</f>
        <v>0</v>
      </c>
      <c r="CQ48" s="1">
        <f>SUMPRODUCT(NOT(ISBLANK(CQ$3:CQ$42))*(CQ$3:CQ$42=$KG$3:$KG$42))</f>
        <v>0</v>
      </c>
      <c r="CR48" s="1">
        <f>SUMPRODUCT(NOT(ISBLANK(CR$3:CR$42))*(CR$3:CR$42=$KH$3:$KH$42))</f>
        <v>0</v>
      </c>
      <c r="CS48" s="1">
        <f>SUMPRODUCT(NOT(ISBLANK(CS$3:CS$42))*(CS$3:CS$42=$KI$3:$KI$42))</f>
        <v>0</v>
      </c>
      <c r="CT48" s="1">
        <f>SUMPRODUCT(NOT(ISBLANK(CT$3:CT$42))*(CT$3:CT$42=$KJ$3:$KJ$42))</f>
        <v>0</v>
      </c>
      <c r="CU48" s="1">
        <f>SUMPRODUCT(NOT(ISBLANK(CU$3:CU$42))*(CU$3:CU$42=$KK$3:$KK$42))</f>
        <v>0</v>
      </c>
      <c r="CV48" s="1">
        <f>SUMPRODUCT(NOT(ISBLANK(CV$3:CV$42))*(CV$3:CV$42=$KL$3:$KL$42))</f>
        <v>0</v>
      </c>
      <c r="CW48" s="1">
        <f>SUMPRODUCT(NOT(ISBLANK(CW$3:CW$42))*(CW$3:CW$42=$KM$3:$KM$42))</f>
        <v>0</v>
      </c>
      <c r="CX48" s="1">
        <f>SUMPRODUCT(NOT(ISBLANK(CX$3:CX$42))*(CX$3:CX$42=$KN$3:$KN$42))</f>
        <v>0</v>
      </c>
      <c r="CY48" s="1">
        <f>SUMPRODUCT(NOT(ISBLANK(CY$3:CY$42))*(CY$3:CY$42=$KO$3:$KO$42))</f>
        <v>0</v>
      </c>
      <c r="CZ48" s="1">
        <f>SUMPRODUCT(NOT(ISBLANK(CZ$3:CZ$42))*(CZ$3:CZ$42=$KP$3:$KP$42))</f>
        <v>0</v>
      </c>
      <c r="DA48" s="1">
        <f>SUMPRODUCT(NOT(ISBLANK(DA$3:DA$42))*(DA$3:DA$42=$KQ$3:$KQ$42))</f>
        <v>0</v>
      </c>
      <c r="DB48" s="1"/>
      <c r="DC48" s="1">
        <f>SUMPRODUCT(NOT(ISBLANK(DC$3:DC$42))*(DC$3:DC$42=$KR$3:$KR$42))</f>
        <v>0</v>
      </c>
      <c r="DD48" s="1">
        <f>SUMPRODUCT(NOT(ISBLANK(DD$3:DD$42))*(DD$3:DD$42=$KS$3:$KS$42))</f>
        <v>0</v>
      </c>
      <c r="DE48" s="1">
        <f>SUMPRODUCT(NOT(ISBLANK(DE$3:DE$42))*(DE$3:DE$42=$KT$3:$KT$42))</f>
        <v>0</v>
      </c>
      <c r="DF48" s="1">
        <f>SUMPRODUCT(NOT(ISBLANK(DF$3:DF$42))*(DF$3:DF$42=$KD$3:$KD$42))</f>
        <v>0</v>
      </c>
      <c r="DG48" s="1">
        <f>SUMPRODUCT(NOT(ISBLANK(DG$3:DG$42))*(DG$3:DG$42=$KE$3:$KE$42))</f>
        <v>0</v>
      </c>
      <c r="DH48" s="1">
        <f>SUMPRODUCT(NOT(ISBLANK(DH$3:DH$42))*(DH$3:DH$42=$KF$3:$KF$42))</f>
        <v>0</v>
      </c>
      <c r="DI48" s="1">
        <f>SUMPRODUCT(NOT(ISBLANK(DI$3:DI$42))*(DI$3:DI$42=$KG$3:$KG$42))</f>
        <v>0</v>
      </c>
      <c r="DJ48" s="1">
        <f>SUMPRODUCT(NOT(ISBLANK(DJ$3:DJ$42))*(DJ$3:DJ$42=$KH$3:$KH$42))</f>
        <v>0</v>
      </c>
      <c r="DK48" s="1">
        <f>SUMPRODUCT(NOT(ISBLANK(DK$3:DK$42))*(DK$3:DK$42=$KI$3:$KI$42))</f>
        <v>0</v>
      </c>
      <c r="DL48" s="1">
        <f>SUMPRODUCT(NOT(ISBLANK(DL$3:DL$42))*(DL$3:DL$42=$KJ$3:$KJ$42))</f>
        <v>0</v>
      </c>
      <c r="DM48" s="1">
        <f>SUMPRODUCT(NOT(ISBLANK(DM$3:DM$42))*(DM$3:DM$42=$KK$3:$KK$42))</f>
        <v>0</v>
      </c>
      <c r="DN48" s="1">
        <f>SUMPRODUCT(NOT(ISBLANK(DN$3:DN$42))*(DN$3:DN$42=$KL$3:$KL$42))</f>
        <v>0</v>
      </c>
      <c r="DO48" s="1">
        <f>SUMPRODUCT(NOT(ISBLANK(DO$3:DO$42))*(DO$3:DO$42=$KM$3:$KM$42))</f>
        <v>0</v>
      </c>
      <c r="DP48" s="1">
        <f>SUMPRODUCT(NOT(ISBLANK(DP$3:DP$42))*(DP$3:DP$42=$KN$3:$KN$42))</f>
        <v>0</v>
      </c>
      <c r="DQ48" s="1">
        <f>SUMPRODUCT(NOT(ISBLANK(DQ$3:DQ$42))*(DQ$3:DQ$42=$KO$3:$KO$42))</f>
        <v>0</v>
      </c>
      <c r="DR48" s="1">
        <f>SUMPRODUCT(NOT(ISBLANK(DR$3:DR$42))*(DR$3:DR$42=$KP$3:$KP$42))</f>
        <v>0</v>
      </c>
      <c r="DS48" s="1">
        <f>SUMPRODUCT(NOT(ISBLANK(DS$3:DS$42))*(DS$3:DS$42=$KQ$3:$KQ$42))</f>
        <v>0</v>
      </c>
      <c r="DT48" s="1"/>
      <c r="DU48" s="1">
        <f>SUMPRODUCT(NOT(ISBLANK(DU$3:DU$42))*(DU$3:DU$42=$KR$3:$KR$42))</f>
        <v>0</v>
      </c>
      <c r="DV48" s="1">
        <f>SUMPRODUCT(NOT(ISBLANK(DV$3:DV$42))*(DV$3:DV$42=$KS$3:$KS$42))</f>
        <v>0</v>
      </c>
      <c r="DW48" s="1">
        <f>SUMPRODUCT(NOT(ISBLANK(DW$3:DW$42))*(DW$3:DW$42=$KT$3:$KT$42))</f>
        <v>0</v>
      </c>
      <c r="DX48" s="1">
        <f>SUMPRODUCT(NOT(ISBLANK(DX$3:DX$42))*(DX$3:DX$42=$KD$3:$KD$42))</f>
        <v>0</v>
      </c>
      <c r="DY48" s="1">
        <f>SUMPRODUCT(NOT(ISBLANK(DY$3:DY$42))*(DY$3:DY$42=$KE$3:$KE$42))</f>
        <v>0</v>
      </c>
      <c r="DZ48" s="1">
        <f>SUMPRODUCT(NOT(ISBLANK(DZ$3:DZ$42))*(DZ$3:DZ$42=$KF$3:$KF$42))</f>
        <v>0</v>
      </c>
      <c r="EA48" s="1">
        <f>SUMPRODUCT(NOT(ISBLANK(EA$3:EA$42))*(EA$3:EA$42=$KG$3:$KG$42))</f>
        <v>0</v>
      </c>
      <c r="EB48" s="1">
        <f>SUMPRODUCT(NOT(ISBLANK(EB$3:EB$42))*(EB$3:EB$42=$KH$3:$KH$42))</f>
        <v>0</v>
      </c>
      <c r="EC48" s="1">
        <f>SUMPRODUCT(NOT(ISBLANK(EC$3:EC$42))*(EC$3:EC$42=$KI$3:$KI$42))</f>
        <v>0</v>
      </c>
      <c r="ED48" s="1">
        <f>SUMPRODUCT(NOT(ISBLANK(ED$3:ED$42))*(ED$3:ED$42=$KJ$3:$KJ$42))</f>
        <v>0</v>
      </c>
      <c r="EE48" s="1">
        <f>SUMPRODUCT(NOT(ISBLANK(EE$3:EE$42))*(EE$3:EE$42=$KK$3:$KK$42))</f>
        <v>0</v>
      </c>
      <c r="EF48" s="1">
        <f>SUMPRODUCT(NOT(ISBLANK(EF$3:EF$42))*(EF$3:EF$42=$KL$3:$KL$42))</f>
        <v>0</v>
      </c>
      <c r="EG48" s="1">
        <f>SUMPRODUCT(NOT(ISBLANK(EG$3:EG$42))*(EG$3:EG$42=$KM$3:$KM$42))</f>
        <v>0</v>
      </c>
      <c r="EH48" s="1">
        <f>SUMPRODUCT(NOT(ISBLANK(EH$3:EH$42))*(EH$3:EH$42=$KN$3:$KN$42))</f>
        <v>0</v>
      </c>
      <c r="EI48" s="1">
        <f>SUMPRODUCT(NOT(ISBLANK(EI$3:EI$42))*(EI$3:EI$42=$KO$3:$KO$42))</f>
        <v>0</v>
      </c>
      <c r="EJ48" s="1">
        <f>SUMPRODUCT(NOT(ISBLANK(EJ$3:EJ$42))*(EJ$3:EJ$42=$KP$3:$KP$42))</f>
        <v>0</v>
      </c>
      <c r="EK48" s="1">
        <f>SUMPRODUCT(NOT(ISBLANK(EK$3:EK$42))*(EK$3:EK$42=$KQ$3:$KQ$42))</f>
        <v>0</v>
      </c>
      <c r="EL48" s="1"/>
      <c r="EM48" s="1">
        <f>SUMPRODUCT(NOT(ISBLANK(EM$3:EM$42))*(EM$3:EM$42=$KR$3:$KR$42))</f>
        <v>0</v>
      </c>
      <c r="EN48" s="1">
        <f>SUMPRODUCT(NOT(ISBLANK(EN$3:EN$42))*(EN$3:EN$42=$KS$3:$KS$42))</f>
        <v>0</v>
      </c>
      <c r="EO48" s="1">
        <f>SUMPRODUCT(NOT(ISBLANK(EO$3:EO$42))*(EO$3:EO$42=$KT$3:$KT$42))</f>
        <v>0</v>
      </c>
      <c r="EP48" s="1">
        <f>SUMPRODUCT(NOT(ISBLANK(EP$3:EP$42))*(EP$3:EP$42=$KD$3:$KD$42))</f>
        <v>0</v>
      </c>
      <c r="EQ48" s="1">
        <f>SUMPRODUCT(NOT(ISBLANK(EQ$3:EQ$42))*(EQ$3:EQ$42=$KE$3:$KE$42))</f>
        <v>0</v>
      </c>
      <c r="ER48" s="1">
        <f>SUMPRODUCT(NOT(ISBLANK(ER$3:ER$42))*(ER$3:ER$42=$KF$3:$KF$42))</f>
        <v>0</v>
      </c>
      <c r="ES48" s="1">
        <f>SUMPRODUCT(NOT(ISBLANK(ES$3:ES$42))*(ES$3:ES$42=$KG$3:$KG$42))</f>
        <v>0</v>
      </c>
      <c r="ET48" s="1">
        <f>SUMPRODUCT(NOT(ISBLANK(ET$3:ET$42))*(ET$3:ET$42=$KH$3:$KH$42))</f>
        <v>0</v>
      </c>
      <c r="EU48" s="1">
        <f>SUMPRODUCT(NOT(ISBLANK(EU$3:EU$42))*(EU$3:EU$42=$KI$3:$KI$42))</f>
        <v>0</v>
      </c>
      <c r="EV48" s="1">
        <f>SUMPRODUCT(NOT(ISBLANK(EV$3:EV$42))*(EV$3:EV$42=$KJ$3:$KJ$42))</f>
        <v>0</v>
      </c>
      <c r="EW48" s="1">
        <f>SUMPRODUCT(NOT(ISBLANK(EW$3:EW$42))*(EW$3:EW$42=$KK$3:$KK$42))</f>
        <v>0</v>
      </c>
      <c r="EX48" s="1">
        <f>SUMPRODUCT(NOT(ISBLANK(EX$3:EX$42))*(EX$3:EX$42=$KL$3:$KL$42))</f>
        <v>0</v>
      </c>
      <c r="EY48" s="1">
        <f>SUMPRODUCT(NOT(ISBLANK(EY$3:EY$42))*(EY$3:EY$42=$KM$3:$KM$42))</f>
        <v>0</v>
      </c>
      <c r="EZ48" s="1">
        <f>SUMPRODUCT(NOT(ISBLANK(EZ$3:EZ$42))*(EZ$3:EZ$42=$KN$3:$KN$42))</f>
        <v>0</v>
      </c>
      <c r="FA48" s="1">
        <f>SUMPRODUCT(NOT(ISBLANK(FA$3:FA$42))*(FA$3:FA$42=$KO$3:$KO$42))</f>
        <v>0</v>
      </c>
      <c r="FB48" s="1">
        <f>SUMPRODUCT(NOT(ISBLANK(FB$3:FB$42))*(FB$3:FB$42=$KP$3:$KP$42))</f>
        <v>0</v>
      </c>
      <c r="FC48" s="1">
        <f>SUMPRODUCT(NOT(ISBLANK(FC$3:FC$42))*(FC$3:FC$42=$KQ$3:$KQ$42))</f>
        <v>0</v>
      </c>
      <c r="FD48" s="1"/>
      <c r="FE48" s="1">
        <f>SUMPRODUCT(NOT(ISBLANK(FE$3:FE$42))*(FE$3:FE$42=$KR$3:$KR$42))</f>
        <v>0</v>
      </c>
      <c r="FF48" s="1">
        <f>SUMPRODUCT(NOT(ISBLANK(FF$3:FF$42))*(FF$3:FF$42=$KS$3:$KS$42))</f>
        <v>0</v>
      </c>
      <c r="FG48" s="1">
        <f>SUMPRODUCT(NOT(ISBLANK(FG$3:FG$42))*(FG$3:FG$42=$KT$3:$KT$42))</f>
        <v>0</v>
      </c>
      <c r="FH48" s="1">
        <f>SUMPRODUCT(NOT(ISBLANK(FH$3:FH$42))*(FH$3:FH$42=$KD$3:$KD$42))</f>
        <v>0</v>
      </c>
      <c r="FI48" s="1">
        <f>SUMPRODUCT(NOT(ISBLANK(FI$3:FI$42))*(FI$3:FI$42=$KE$3:$KE$42))</f>
        <v>0</v>
      </c>
      <c r="FJ48" s="1">
        <f>SUMPRODUCT(NOT(ISBLANK(FJ$3:FJ$42))*(FJ$3:FJ$42=$KF$3:$KF$42))</f>
        <v>0</v>
      </c>
      <c r="FK48" s="1">
        <f>SUMPRODUCT(NOT(ISBLANK(FK$3:FK$42))*(FK$3:FK$42=$KG$3:$KG$42))</f>
        <v>0</v>
      </c>
      <c r="FL48" s="1">
        <f>SUMPRODUCT(NOT(ISBLANK(FL$3:FL$42))*(FL$3:FL$42=$KH$3:$KH$42))</f>
        <v>0</v>
      </c>
      <c r="FM48" s="1">
        <f>SUMPRODUCT(NOT(ISBLANK(FM$3:FM$42))*(FM$3:FM$42=$KI$3:$KI$42))</f>
        <v>0</v>
      </c>
      <c r="FN48" s="1">
        <f>SUMPRODUCT(NOT(ISBLANK(FN$3:FN$42))*(FN$3:FN$42=$KJ$3:$KJ$42))</f>
        <v>0</v>
      </c>
      <c r="FO48" s="1">
        <f>SUMPRODUCT(NOT(ISBLANK(FO$3:FO$42))*(FO$3:FO$42=$KK$3:$KK$42))</f>
        <v>0</v>
      </c>
      <c r="FP48" s="1">
        <f>SUMPRODUCT(NOT(ISBLANK(FP$3:FP$42))*(FP$3:FP$42=$KL$3:$KL$42))</f>
        <v>0</v>
      </c>
      <c r="FQ48" s="1">
        <f>SUMPRODUCT(NOT(ISBLANK(FQ$3:FQ$42))*(FQ$3:FQ$42=$KM$3:$KM$42))</f>
        <v>0</v>
      </c>
      <c r="FR48" s="1">
        <f>SUMPRODUCT(NOT(ISBLANK(FR$3:FR$42))*(FR$3:FR$42=$KN$3:$KN$42))</f>
        <v>0</v>
      </c>
      <c r="FS48" s="1">
        <f>SUMPRODUCT(NOT(ISBLANK(FS$3:FS$42))*(FS$3:FS$42=$KO$3:$KO$42))</f>
        <v>0</v>
      </c>
      <c r="FT48" s="1">
        <f>SUMPRODUCT(NOT(ISBLANK(FT$3:FT$42))*(FT$3:FT$42=$KP$3:$KP$42))</f>
        <v>0</v>
      </c>
      <c r="FU48" s="1">
        <f>SUMPRODUCT(NOT(ISBLANK(FU$3:FU$42))*(FU$3:FU$42=$KQ$3:$KQ$42))</f>
        <v>0</v>
      </c>
      <c r="FV48" s="1"/>
      <c r="FW48" s="1">
        <f>SUMPRODUCT(NOT(ISBLANK(FW$3:FW$42))*(FW$3:FW$42=$KR$3:$KR$42))</f>
        <v>0</v>
      </c>
      <c r="FX48" s="1">
        <f>SUMPRODUCT(NOT(ISBLANK(FX$3:FX$42))*(FX$3:FX$42=$KS$3:$KS$42))</f>
        <v>0</v>
      </c>
      <c r="FY48" s="1">
        <f>SUMPRODUCT(NOT(ISBLANK(FY$3:FY$42))*(FY$3:FY$42=$KT$3:$KT$42))</f>
        <v>0</v>
      </c>
      <c r="FZ48" s="1">
        <f>SUMPRODUCT(NOT(ISBLANK(FZ$3:FZ$42))*(FZ$3:FZ$42=$KD$3:$KD$42))</f>
        <v>0</v>
      </c>
      <c r="GA48" s="1">
        <f>SUMPRODUCT(NOT(ISBLANK(GA$3:GA$42))*(GA$3:GA$42=$KE$3:$KE$42))</f>
        <v>0</v>
      </c>
      <c r="GB48" s="1">
        <f>SUMPRODUCT(NOT(ISBLANK(GB$3:GB$42))*(GB$3:GB$42=$KF$3:$KF$42))</f>
        <v>0</v>
      </c>
      <c r="GC48" s="1">
        <f>SUMPRODUCT(NOT(ISBLANK(GC$3:GC$42))*(GC$3:GC$42=$KG$3:$KG$42))</f>
        <v>0</v>
      </c>
      <c r="GD48" s="1">
        <f>SUMPRODUCT(NOT(ISBLANK(GD$3:GD$42))*(GD$3:GD$42=$KH$3:$KH$42))</f>
        <v>0</v>
      </c>
      <c r="GE48" s="1">
        <f>SUMPRODUCT(NOT(ISBLANK(GE$3:GE$42))*(GE$3:GE$42=$KI$3:$KI$42))</f>
        <v>0</v>
      </c>
      <c r="GF48" s="1">
        <f>SUMPRODUCT(NOT(ISBLANK(GF$3:GF$42))*(GF$3:GF$42=$KJ$3:$KJ$42))</f>
        <v>0</v>
      </c>
      <c r="GG48" s="1">
        <f>SUMPRODUCT(NOT(ISBLANK(GG$3:GG$42))*(GG$3:GG$42=$KK$3:$KK$42))</f>
        <v>0</v>
      </c>
      <c r="GH48" s="1">
        <f>SUMPRODUCT(NOT(ISBLANK(GH$3:GH$42))*(GH$3:GH$42=$KL$3:$KL$42))</f>
        <v>0</v>
      </c>
      <c r="GI48" s="1">
        <f>SUMPRODUCT(NOT(ISBLANK(GI$3:GI$42))*(GI$3:GI$42=$KM$3:$KM$42))</f>
        <v>0</v>
      </c>
      <c r="GJ48" s="1">
        <f>SUMPRODUCT(NOT(ISBLANK(GJ$3:GJ$42))*(GJ$3:GJ$42=$KN$3:$KN$42))</f>
        <v>0</v>
      </c>
      <c r="GK48" s="1">
        <f>SUMPRODUCT(NOT(ISBLANK(GK$3:GK$42))*(GK$3:GK$42=$KO$3:$KO$42))</f>
        <v>0</v>
      </c>
      <c r="GL48" s="1">
        <f>SUMPRODUCT(NOT(ISBLANK(GL$3:GL$42))*(GL$3:GL$42=$KP$3:$KP$42))</f>
        <v>0</v>
      </c>
      <c r="GM48" s="1">
        <f>SUMPRODUCT(NOT(ISBLANK(GM$3:GM$42))*(GM$3:GM$42=$KQ$3:$KQ$42))</f>
        <v>0</v>
      </c>
      <c r="GN48" s="1"/>
      <c r="GO48" s="1">
        <f>SUMPRODUCT(NOT(ISBLANK(GO$3:GO$42))*(GO$3:GO$42=$KR$3:$KR$42))</f>
        <v>0</v>
      </c>
      <c r="GP48" s="1">
        <f>SUMPRODUCT(NOT(ISBLANK(GP$3:GP$42))*(GP$3:GP$42=$KS$3:$KS$42))</f>
        <v>0</v>
      </c>
      <c r="GQ48" s="1">
        <f>SUMPRODUCT(NOT(ISBLANK(GQ$3:GQ$42))*(GQ$3:GQ$42=$KT$3:$KT$42))</f>
        <v>0</v>
      </c>
      <c r="GR48" s="1">
        <f>SUMPRODUCT(NOT(ISBLANK(GR$3:GR$42))*(GR$3:GR$42=$KD$3:$KD$42))</f>
        <v>0</v>
      </c>
      <c r="GS48" s="1">
        <f>SUMPRODUCT(NOT(ISBLANK(GS$3:GS$42))*(GS$3:GS$42=$KE$3:$KE$42))</f>
        <v>0</v>
      </c>
      <c r="GT48" s="1">
        <f>SUMPRODUCT(NOT(ISBLANK(GT$3:GT$42))*(GT$3:GT$42=$KF$3:$KF$42))</f>
        <v>0</v>
      </c>
      <c r="GU48" s="1">
        <f>SUMPRODUCT(NOT(ISBLANK(GU$3:GU$42))*(GU$3:GU$42=$KG$3:$KG$42))</f>
        <v>0</v>
      </c>
      <c r="GV48" s="1">
        <f>SUMPRODUCT(NOT(ISBLANK(GV$3:GV$42))*(GV$3:GV$42=$KH$3:$KH$42))</f>
        <v>0</v>
      </c>
      <c r="GW48" s="1">
        <f>SUMPRODUCT(NOT(ISBLANK(GW$3:GW$42))*(GW$3:GW$42=$KI$3:$KI$42))</f>
        <v>0</v>
      </c>
      <c r="GX48" s="1">
        <f>SUMPRODUCT(NOT(ISBLANK(GX$3:GX$42))*(GX$3:GX$42=$KJ$3:$KJ$42))</f>
        <v>0</v>
      </c>
      <c r="GY48" s="1">
        <f>SUMPRODUCT(NOT(ISBLANK(GY$3:GY$42))*(GY$3:GY$42=$KK$3:$KK$42))</f>
        <v>0</v>
      </c>
      <c r="GZ48" s="1">
        <f>SUMPRODUCT(NOT(ISBLANK(GZ$3:GZ$42))*(GZ$3:GZ$42=$KL$3:$KL$42))</f>
        <v>0</v>
      </c>
      <c r="HA48" s="1">
        <f>SUMPRODUCT(NOT(ISBLANK(HA$3:HA$42))*(HA$3:HA$42=$KM$3:$KM$42))</f>
        <v>0</v>
      </c>
      <c r="HB48" s="1">
        <f>SUMPRODUCT(NOT(ISBLANK(HB$3:HB$42))*(HB$3:HB$42=$KN$3:$KN$42))</f>
        <v>0</v>
      </c>
      <c r="HC48" s="1">
        <f>SUMPRODUCT(NOT(ISBLANK(HC$3:HC$42))*(HC$3:HC$42=$KO$3:$KO$42))</f>
        <v>0</v>
      </c>
      <c r="HD48" s="1">
        <f>SUMPRODUCT(NOT(ISBLANK(HD$3:HD$42))*(HD$3:HD$42=$KP$3:$KP$42))</f>
        <v>0</v>
      </c>
      <c r="HE48" s="1">
        <f>SUMPRODUCT(NOT(ISBLANK(HE$3:HE$42))*(HE$3:HE$42=$KQ$3:$KQ$42))</f>
        <v>0</v>
      </c>
      <c r="HF48" s="1"/>
      <c r="HG48" s="1">
        <f>SUMPRODUCT(NOT(ISBLANK(HG$3:HG$42))*(HG$3:HG$42=$KR$3:$KR$42))</f>
        <v>0</v>
      </c>
      <c r="HH48" s="1">
        <f>SUMPRODUCT(NOT(ISBLANK(HH$3:HH$42))*(HH$3:HH$42=$KS$3:$KS$42))</f>
        <v>0</v>
      </c>
      <c r="HI48" s="1">
        <f>SUMPRODUCT(NOT(ISBLANK(HI$3:HI$42))*(HI$3:HI$42=$KT$3:$KT$42))</f>
        <v>0</v>
      </c>
      <c r="HJ48" s="1">
        <f>SUMPRODUCT(NOT(ISBLANK(HJ$3:HJ$42))*(HJ$3:HJ$42=$KD$3:$KD$42))</f>
        <v>0</v>
      </c>
      <c r="HK48" s="1">
        <f>SUMPRODUCT(NOT(ISBLANK(HK$3:HK$42))*(HK$3:HK$42=$KE$3:$KE$42))</f>
        <v>0</v>
      </c>
      <c r="HL48" s="1">
        <f>SUMPRODUCT(NOT(ISBLANK(HL$3:HL$42))*(HL$3:HL$42=$KF$3:$KF$42))</f>
        <v>0</v>
      </c>
      <c r="HM48" s="1">
        <f>SUMPRODUCT(NOT(ISBLANK(HM$3:HM$42))*(HM$3:HM$42=$KG$3:$KG$42))</f>
        <v>0</v>
      </c>
      <c r="HN48" s="1">
        <f>SUMPRODUCT(NOT(ISBLANK(HN$3:HN$42))*(HN$3:HN$42=$KH$3:$KH$42))</f>
        <v>0</v>
      </c>
      <c r="HO48" s="1">
        <f>SUMPRODUCT(NOT(ISBLANK(HO$3:HO$42))*(HO$3:HO$42=$KI$3:$KI$42))</f>
        <v>0</v>
      </c>
      <c r="HP48" s="1">
        <f>SUMPRODUCT(NOT(ISBLANK(HP$3:HP$42))*(HP$3:HP$42=$KJ$3:$KJ$42))</f>
        <v>0</v>
      </c>
      <c r="HQ48" s="1">
        <f>SUMPRODUCT(NOT(ISBLANK(HQ$3:HQ$42))*(HQ$3:HQ$42=$KK$3:$KK$42))</f>
        <v>0</v>
      </c>
      <c r="HR48" s="1">
        <f>SUMPRODUCT(NOT(ISBLANK(HR$3:HR$42))*(HR$3:HR$42=$KL$3:$KL$42))</f>
        <v>0</v>
      </c>
      <c r="HS48" s="1">
        <f>SUMPRODUCT(NOT(ISBLANK(HS$3:HS$42))*(HS$3:HS$42=$KM$3:$KM$42))</f>
        <v>0</v>
      </c>
      <c r="HT48" s="1">
        <f>SUMPRODUCT(NOT(ISBLANK(HT$3:HT$42))*(HT$3:HT$42=$KN$3:$KN$42))</f>
        <v>0</v>
      </c>
      <c r="HU48" s="1">
        <f>SUMPRODUCT(NOT(ISBLANK(HU$3:HU$42))*(HU$3:HU$42=$KO$3:$KO$42))</f>
        <v>0</v>
      </c>
      <c r="HV48" s="1">
        <f>SUMPRODUCT(NOT(ISBLANK(HV$3:HV$42))*(HV$3:HV$42=$KP$3:$KP$42))</f>
        <v>0</v>
      </c>
      <c r="HW48" s="1">
        <f>SUMPRODUCT(NOT(ISBLANK(HW$3:HW$42))*(HW$3:HW$42=$KQ$3:$KQ$42))</f>
        <v>0</v>
      </c>
      <c r="HX48" s="1"/>
      <c r="HY48" s="1">
        <f>SUMPRODUCT(NOT(ISBLANK(HY$3:HY$42))*(HY$3:HY$42=$KR$3:$KR$42))</f>
        <v>0</v>
      </c>
      <c r="HZ48" s="1">
        <f>SUMPRODUCT(NOT(ISBLANK(HZ$3:HZ$42))*(HZ$3:HZ$42=$KS$3:$KS$42))</f>
        <v>0</v>
      </c>
      <c r="IA48" s="1">
        <f>SUMPRODUCT(NOT(ISBLANK(IA$3:IA$42))*(IA$3:IA$42=$KT$3:$KT$42))</f>
        <v>0</v>
      </c>
      <c r="IB48" s="1">
        <f>SUMPRODUCT(NOT(ISBLANK(IB$3:IB$42))*(IB$3:IB$42=$KD$3:$KD$42))</f>
        <v>0</v>
      </c>
      <c r="IC48" s="1">
        <f>SUMPRODUCT(NOT(ISBLANK(IC$3:IC$42))*(IC$3:IC$42=$KE$3:$KE$42))</f>
        <v>0</v>
      </c>
      <c r="ID48" s="1">
        <f>SUMPRODUCT(NOT(ISBLANK(ID$3:ID$42))*(ID$3:ID$42=$KF$3:$KF$42))</f>
        <v>0</v>
      </c>
      <c r="IE48" s="1">
        <f>SUMPRODUCT(NOT(ISBLANK(IE$3:IE$42))*(IE$3:IE$42=$KG$3:$KG$42))</f>
        <v>0</v>
      </c>
      <c r="IF48" s="1">
        <f>SUMPRODUCT(NOT(ISBLANK(IF$3:IF$42))*(IF$3:IF$42=$KH$3:$KH$42))</f>
        <v>0</v>
      </c>
      <c r="IG48" s="1">
        <f>SUMPRODUCT(NOT(ISBLANK(IG$3:IG$42))*(IG$3:IG$42=$KI$3:$KI$42))</f>
        <v>0</v>
      </c>
      <c r="IH48" s="1">
        <f>SUMPRODUCT(NOT(ISBLANK(IH$3:IH$42))*(IH$3:IH$42=$KJ$3:$KJ$42))</f>
        <v>0</v>
      </c>
      <c r="II48" s="1">
        <f>SUMPRODUCT(NOT(ISBLANK(II$3:II$42))*(II$3:II$42=$KK$3:$KK$42))</f>
        <v>0</v>
      </c>
      <c r="IJ48" s="1">
        <f>SUMPRODUCT(NOT(ISBLANK(IJ$3:IJ$42))*(IJ$3:IJ$42=$KL$3:$KL$42))</f>
        <v>0</v>
      </c>
      <c r="IK48" s="1">
        <f>SUMPRODUCT(NOT(ISBLANK(IK$3:IK$42))*(IK$3:IK$42=$KM$3:$KM$42))</f>
        <v>0</v>
      </c>
      <c r="IL48" s="1">
        <f>SUMPRODUCT(NOT(ISBLANK(IL$3:IL$42))*(IL$3:IL$42=$KN$3:$KN$42))</f>
        <v>0</v>
      </c>
      <c r="IM48" s="1">
        <f>SUMPRODUCT(NOT(ISBLANK(IM$3:IM$42))*(IM$3:IM$42=$KO$3:$KO$42))</f>
        <v>0</v>
      </c>
      <c r="IN48" s="1">
        <f>SUMPRODUCT(NOT(ISBLANK(IN$3:IN$42))*(IN$3:IN$42=$KP$3:$KP$42))</f>
        <v>0</v>
      </c>
      <c r="IO48" s="1">
        <f>SUMPRODUCT(NOT(ISBLANK(IO$3:IO$42))*(IO$3:IO$42=$KQ$3:$KQ$42))</f>
        <v>0</v>
      </c>
      <c r="IP48" s="1"/>
      <c r="IQ48" s="1">
        <f>SUMPRODUCT(NOT(ISBLANK(IQ$3:IQ$42))*(IQ$3:IQ$42=$KR$3:$KR$42))</f>
        <v>0</v>
      </c>
      <c r="IR48" s="1">
        <f>SUMPRODUCT(NOT(ISBLANK(IR$3:IR$42))*(IR$3:IR$42=$KS$3:$KS$42))</f>
        <v>0</v>
      </c>
      <c r="IS48" s="1">
        <f>SUMPRODUCT(NOT(ISBLANK(IS$3:IS$42))*(IS$3:IS$42=$KT$3:$KT$42))</f>
        <v>0</v>
      </c>
      <c r="IT48" s="1">
        <f>SUMPRODUCT(NOT(ISBLANK(IT$3:IT$42))*(IT$3:IT$42=$KD$3:$KD$42))</f>
        <v>0</v>
      </c>
      <c r="IU48" s="1">
        <f>SUMPRODUCT(NOT(ISBLANK(IU$3:IU$42))*(IU$3:IU$42=$KE$3:$KE$42))</f>
        <v>0</v>
      </c>
      <c r="IV48" s="1">
        <f>SUMPRODUCT(NOT(ISBLANK(IV$3:IV$42))*(IV$3:IV$42=$KF$3:$KF$42))</f>
        <v>0</v>
      </c>
      <c r="IW48" s="1">
        <f>SUMPRODUCT(NOT(ISBLANK(IW$3:IW$42))*(IW$3:IW$42=$KG$3:$KG$42))</f>
        <v>0</v>
      </c>
      <c r="IX48" s="1">
        <f>SUMPRODUCT(NOT(ISBLANK(IX$3:IX$42))*(IX$3:IX$42=$KH$3:$KH$42))</f>
        <v>0</v>
      </c>
      <c r="IY48" s="1">
        <f>SUMPRODUCT(NOT(ISBLANK(IY$3:IY$42))*(IY$3:IY$42=$KI$3:$KI$42))</f>
        <v>0</v>
      </c>
      <c r="IZ48" s="1">
        <f>SUMPRODUCT(NOT(ISBLANK(IZ$3:IZ$42))*(IZ$3:IZ$42=$KJ$3:$KJ$42))</f>
        <v>0</v>
      </c>
      <c r="JA48" s="1">
        <f>SUMPRODUCT(NOT(ISBLANK(JA$3:JA$42))*(JA$3:JA$42=$KK$3:$KK$42))</f>
        <v>0</v>
      </c>
      <c r="JB48" s="1">
        <f>SUMPRODUCT(NOT(ISBLANK(JB$3:JB$42))*(JB$3:JB$42=$KL$3:$KL$42))</f>
        <v>0</v>
      </c>
      <c r="JC48" s="1">
        <f>SUMPRODUCT(NOT(ISBLANK(JC$3:JC$42))*(JC$3:JC$42=$KM$3:$KM$42))</f>
        <v>0</v>
      </c>
      <c r="JD48" s="1">
        <f>SUMPRODUCT(NOT(ISBLANK(JD$3:JD$42))*(JD$3:JD$42=$KN$3:$KN$42))</f>
        <v>0</v>
      </c>
      <c r="JE48" s="1">
        <f>SUMPRODUCT(NOT(ISBLANK(JE$3:JE$42))*(JE$3:JE$42=$KO$3:$KO$42))</f>
        <v>0</v>
      </c>
      <c r="JF48" s="1">
        <f>SUMPRODUCT(NOT(ISBLANK(JF$3:JF$42))*(JF$3:JF$42=$KP$3:$KP$42))</f>
        <v>0</v>
      </c>
      <c r="JG48" s="1">
        <f>SUMPRODUCT(NOT(ISBLANK(JG$3:JG$42))*(JG$3:JG$42=$KQ$3:$KQ$42))</f>
        <v>0</v>
      </c>
      <c r="JH48" s="1"/>
      <c r="JI48" s="1">
        <f>SUMPRODUCT(NOT(ISBLANK(JI$3:JI$42))*(JI$3:JI$42=$KR$3:$KR$42))</f>
        <v>0</v>
      </c>
      <c r="JJ48" s="1">
        <f>SUMPRODUCT(NOT(ISBLANK(JJ$3:JJ$42))*(JJ$3:JJ$42=$KS$3:$KS$42))</f>
        <v>0</v>
      </c>
      <c r="JK48" s="1">
        <f>SUMPRODUCT(NOT(ISBLANK(JK$3:JK$42))*(JK$3:JK$42=$KT$3:$KT$42))</f>
        <v>0</v>
      </c>
      <c r="JL48" s="1">
        <f>SUMPRODUCT(NOT(ISBLANK(JL$3:JL$42))*(JL$3:JL$42=$KD$3:$KD$42))</f>
        <v>0</v>
      </c>
      <c r="JM48" s="1">
        <f>SUMPRODUCT(NOT(ISBLANK(JM$3:JM$42))*(JM$3:JM$42=$KE$3:$KE$42))</f>
        <v>0</v>
      </c>
      <c r="JN48" s="1">
        <f>SUMPRODUCT(NOT(ISBLANK(JN$3:JN$42))*(JN$3:JN$42=$KF$3:$KF$42))</f>
        <v>0</v>
      </c>
      <c r="JO48" s="1">
        <f>SUMPRODUCT(NOT(ISBLANK(JO$3:JO$42))*(JO$3:JO$42=$KG$3:$KG$42))</f>
        <v>0</v>
      </c>
      <c r="JP48" s="1">
        <f>SUMPRODUCT(NOT(ISBLANK(JP$3:JP$42))*(JP$3:JP$42=$KH$3:$KH$42))</f>
        <v>0</v>
      </c>
      <c r="JQ48" s="1">
        <f>SUMPRODUCT(NOT(ISBLANK(JQ$3:JQ$42))*(JQ$3:JQ$42=$KI$3:$KI$42))</f>
        <v>0</v>
      </c>
      <c r="JR48" s="1">
        <f>SUMPRODUCT(NOT(ISBLANK(JR$3:JR$42))*(JR$3:JR$42=$KJ$3:$KJ$42))</f>
        <v>0</v>
      </c>
      <c r="JS48" s="1">
        <f>SUMPRODUCT(NOT(ISBLANK(JS$3:JS$42))*(JS$3:JS$42=$KK$3:$KK$42))</f>
        <v>0</v>
      </c>
      <c r="JT48" s="1">
        <f>SUMPRODUCT(NOT(ISBLANK(JT$3:JT$42))*(JT$3:JT$42=$KL$3:$KL$42))</f>
        <v>0</v>
      </c>
      <c r="JU48" s="1">
        <f>SUMPRODUCT(NOT(ISBLANK(JU$3:JU$42))*(JU$3:JU$42=$KM$3:$KM$42))</f>
        <v>0</v>
      </c>
      <c r="JV48" s="1">
        <f>SUMPRODUCT(NOT(ISBLANK(JV$3:JV$42))*(JV$3:JV$42=$KN$3:$KN$42))</f>
        <v>0</v>
      </c>
      <c r="JW48" s="1">
        <f>SUMPRODUCT(NOT(ISBLANK(JW$3:JW$42))*(JW$3:JW$42=$KO$3:$KO$42))</f>
        <v>0</v>
      </c>
      <c r="JX48" s="1">
        <f>SUMPRODUCT(NOT(ISBLANK(JX$3:JX$42))*(JX$3:JX$42=$KP$3:$KP$42))</f>
        <v>0</v>
      </c>
      <c r="JY48" s="1">
        <f>SUMPRODUCT(NOT(ISBLANK(JY$3:JY$42))*(JY$3:JY$42=$KQ$3:$KQ$42))</f>
        <v>0</v>
      </c>
      <c r="JZ48" s="1"/>
      <c r="KA48" s="1">
        <f>SUMPRODUCT(NOT(ISBLANK(KA$3:KA$42))*(KA$3:KA$42=$KR$3:$KR$42))</f>
        <v>0</v>
      </c>
      <c r="KB48" s="1">
        <f>SUMPRODUCT(NOT(ISBLANK(KB$3:KB$42))*(KB$3:KB$42=$KS$3:$KS$42))</f>
        <v>0</v>
      </c>
      <c r="KC48" s="1">
        <f>SUMPRODUCT(NOT(ISBLANK(KC$3:KC$42))*(KC$3:KC$42=$KT$3:$KT$42))</f>
        <v>0</v>
      </c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</row>
    <row r="49" spans="1:340">
      <c r="A49" s="1" t="s">
        <v>45</v>
      </c>
      <c r="B49" s="1">
        <f>SUMPRODUCT(NOT(ISBLANK(B$3:B$42))*(B$3:B$42&lt;$KU$3:$KU$42))</f>
        <v>0</v>
      </c>
      <c r="C49" s="1">
        <f>SUMPRODUCT(NOT(ISBLANK(C$3:C$42))*(C$3:C$42&lt;$KV$3:$KV$42))</f>
        <v>0</v>
      </c>
      <c r="D49" s="1">
        <f>SUMPRODUCT(NOT(ISBLANK(D$3:D$42))*(D$3:D$42&lt;$KW$3:$KW$42))</f>
        <v>0</v>
      </c>
      <c r="E49" s="1">
        <f>SUMPRODUCT(NOT(ISBLANK(E$3:E$42))*(E$3:E$42&lt;$KX$3:$KX$42))</f>
        <v>0</v>
      </c>
      <c r="F49" s="1">
        <f>SUMPRODUCT(NOT(ISBLANK(F$3:F$42))*(F$3:F$42&lt;$KY$3:$KY$42))</f>
        <v>0</v>
      </c>
      <c r="G49" s="1">
        <f>SUMPRODUCT(NOT(ISBLANK(G$3:G$42))*(G$3:G$42&lt;$KZ$3:$KZ$42))</f>
        <v>0</v>
      </c>
      <c r="H49" s="1">
        <f>SUMPRODUCT(NOT(ISBLANK(H$3:H$42))*(H$3:H$42&lt;$LA$3:$LA$42))</f>
        <v>0</v>
      </c>
      <c r="I49" s="1">
        <f>SUMPRODUCT(NOT(ISBLANK(I$3:I$42))*(I$3:I$42&lt;$LB$3:$LB$42))</f>
        <v>0</v>
      </c>
      <c r="J49" s="1">
        <f>SUMPRODUCT(NOT(ISBLANK(J$3:J$42))*(J$3:J$42&lt;$LC$3:$LC$42))</f>
        <v>0</v>
      </c>
      <c r="K49" s="1">
        <f>SUMPRODUCT(NOT(ISBLANK(K$3:K$42))*(K$3:K$42&lt;$LD$3:$LD$42))</f>
        <v>0</v>
      </c>
      <c r="L49" s="1">
        <f>SUMPRODUCT(NOT(ISBLANK(L$3:L$42))*(L$3:L$42&lt;$LE$3:$LE$42))</f>
        <v>0</v>
      </c>
      <c r="M49" s="1">
        <f>SUMPRODUCT(NOT(ISBLANK(M$3:M$42))*(M$3:M$42&lt;$LF$3:$LF$42))</f>
        <v>0</v>
      </c>
      <c r="N49" s="1">
        <f>SUMPRODUCT(NOT(ISBLANK(N$3:N$42))*(N$3:N$42&lt;$LG$3:$LG$42))</f>
        <v>0</v>
      </c>
      <c r="O49" s="1">
        <f>SUMPRODUCT(NOT(ISBLANK(O$3:O$42))*(O$3:O$42&lt;$LH$3:$LH$42))</f>
        <v>0</v>
      </c>
      <c r="P49" s="1"/>
      <c r="Q49" s="1">
        <f>SUMPRODUCT(NOT(ISBLANK(Q$3:Q$42))*(Q$3:Q$42&lt;$LI$3:$LI$42))</f>
        <v>0</v>
      </c>
      <c r="R49" s="1">
        <f>SUMPRODUCT(NOT(ISBLANK(R$3:R$42))*(R$3:R$42&lt;$LJ$3:$LJ$42))</f>
        <v>0</v>
      </c>
      <c r="S49" s="1">
        <f>SUMPRODUCT(NOT(ISBLANK(S$3:S$42))*(S$3:S$42&lt;$LK$3:$LK$42))</f>
        <v>0</v>
      </c>
      <c r="T49" s="1">
        <f>SUMPRODUCT(NOT(ISBLANK(T$3:T$42))*(T$3:T$42&lt;$KU$3:$KU$42))</f>
        <v>0</v>
      </c>
      <c r="U49" s="1">
        <f>SUMPRODUCT(NOT(ISBLANK(U$3:U$42))*(U$3:U$42&lt;$KV$3:$KV$42))</f>
        <v>0</v>
      </c>
      <c r="V49" s="1">
        <f>SUMPRODUCT(NOT(ISBLANK(V$3:V$42))*(V$3:V$42&lt;$KW$3:$KW$42))</f>
        <v>0</v>
      </c>
      <c r="W49" s="1">
        <f>SUMPRODUCT(NOT(ISBLANK(W$3:W$42))*(W$3:W$42&lt;$KX$3:$KX$42))</f>
        <v>0</v>
      </c>
      <c r="X49" s="1">
        <f>SUMPRODUCT(NOT(ISBLANK(X$3:X$42))*(X$3:X$42&lt;$KY$3:$KY$42))</f>
        <v>0</v>
      </c>
      <c r="Y49" s="1">
        <f>SUMPRODUCT(NOT(ISBLANK(Y$3:Y$42))*(Y$3:Y$42&lt;$KZ$3:$KZ$42))</f>
        <v>0</v>
      </c>
      <c r="Z49" s="1">
        <f>SUMPRODUCT(NOT(ISBLANK(Z$3:Z$42))*(Z$3:Z$42&lt;$LA$3:$LA$42))</f>
        <v>0</v>
      </c>
      <c r="AA49" s="1">
        <f>SUMPRODUCT(NOT(ISBLANK(AA$3:AA$42))*(AA$3:AA$42&lt;$LB$3:$LB$42))</f>
        <v>0</v>
      </c>
      <c r="AB49" s="1">
        <f>SUMPRODUCT(NOT(ISBLANK(AB$3:AB$42))*(AB$3:AB$42&lt;$LC$3:$LC$42))</f>
        <v>0</v>
      </c>
      <c r="AC49" s="1">
        <f>SUMPRODUCT(NOT(ISBLANK(AC$3:AC$42))*(AC$3:AC$42&lt;$LD$3:$LD$42))</f>
        <v>0</v>
      </c>
      <c r="AD49" s="1">
        <f>SUMPRODUCT(NOT(ISBLANK(AD$3:AD$42))*(AD$3:AD$42&lt;$LE$3:$LE$42))</f>
        <v>0</v>
      </c>
      <c r="AE49" s="1">
        <f>SUMPRODUCT(NOT(ISBLANK(AE$3:AE$42))*(AE$3:AE$42&lt;$LF$3:$LF$42))</f>
        <v>0</v>
      </c>
      <c r="AF49" s="1">
        <f>SUMPRODUCT(NOT(ISBLANK(AF$3:AF$42))*(AF$3:AF$42&lt;$LG$3:$LG$42))</f>
        <v>0</v>
      </c>
      <c r="AG49" s="1">
        <f>SUMPRODUCT(NOT(ISBLANK(AG$3:AG$42))*(AG$3:AG$42&lt;$LH$3:$LH$42))</f>
        <v>0</v>
      </c>
      <c r="AH49" s="1"/>
      <c r="AI49" s="1">
        <f>SUMPRODUCT(NOT(ISBLANK(AI$3:AI$42))*(AI$3:AI$42&lt;$LI$3:$LI$42))</f>
        <v>0</v>
      </c>
      <c r="AJ49" s="1">
        <f>SUMPRODUCT(NOT(ISBLANK(AJ$3:AJ$42))*(AJ$3:AJ$42&lt;$LJ$3:$LJ$42))</f>
        <v>0</v>
      </c>
      <c r="AK49" s="1">
        <f>SUMPRODUCT(NOT(ISBLANK(AK$3:AK$42))*(AK$3:AK$42&lt;$LK$3:$LK$42))</f>
        <v>0</v>
      </c>
      <c r="AL49" s="1">
        <f>SUMPRODUCT(NOT(ISBLANK(AL$3:AL$42))*(AL$3:AL$42&lt;$KU$3:$KU$42))</f>
        <v>0</v>
      </c>
      <c r="AM49" s="1">
        <f>SUMPRODUCT(NOT(ISBLANK(AM$3:AM$42))*(AM$3:AM$42&lt;$KV$3:$KV$42))</f>
        <v>0</v>
      </c>
      <c r="AN49" s="1">
        <f>SUMPRODUCT(NOT(ISBLANK(AN$3:AN$42))*(AN$3:AN$42&lt;$KW$3:$KW$42))</f>
        <v>0</v>
      </c>
      <c r="AO49" s="1">
        <f>SUMPRODUCT(NOT(ISBLANK(AO$3:AO$42))*(AO$3:AO$42&lt;$KX$3:$KX$42))</f>
        <v>0</v>
      </c>
      <c r="AP49" s="1">
        <f>SUMPRODUCT(NOT(ISBLANK(AP$3:AP$42))*(AP$3:AP$42&lt;$KY$3:$KY$42))</f>
        <v>0</v>
      </c>
      <c r="AQ49" s="1">
        <f>SUMPRODUCT(NOT(ISBLANK(AQ$3:AQ$42))*(AQ$3:AQ$42&lt;$KZ$3:$KZ$42))</f>
        <v>0</v>
      </c>
      <c r="AR49" s="1">
        <f>SUMPRODUCT(NOT(ISBLANK(AR$3:AR$42))*(AR$3:AR$42&lt;$LA$3:$LA$42))</f>
        <v>0</v>
      </c>
      <c r="AS49" s="1">
        <f>SUMPRODUCT(NOT(ISBLANK(AS$3:AS$42))*(AS$3:AS$42&lt;$LB$3:$LB$42))</f>
        <v>0</v>
      </c>
      <c r="AT49" s="1">
        <f>SUMPRODUCT(NOT(ISBLANK(AT$3:AT$42))*(AT$3:AT$42&lt;$LC$3:$LC$42))</f>
        <v>0</v>
      </c>
      <c r="AU49" s="1">
        <f>SUMPRODUCT(NOT(ISBLANK(AU$3:AU$42))*(AU$3:AU$42&lt;$LD$3:$LD$42))</f>
        <v>0</v>
      </c>
      <c r="AV49" s="1">
        <f>SUMPRODUCT(NOT(ISBLANK(AV$3:AV$42))*(AV$3:AV$42&lt;$LE$3:$LE$42))</f>
        <v>0</v>
      </c>
      <c r="AW49" s="1">
        <f>SUMPRODUCT(NOT(ISBLANK(AW$3:AW$42))*(AW$3:AW$42&lt;$LF$3:$LF$42))</f>
        <v>0</v>
      </c>
      <c r="AX49" s="1">
        <f>SUMPRODUCT(NOT(ISBLANK(AX$3:AX$42))*(AX$3:AX$42&lt;$LG$3:$LG$42))</f>
        <v>0</v>
      </c>
      <c r="AY49" s="1">
        <f>SUMPRODUCT(NOT(ISBLANK(AY$3:AY$42))*(AY$3:AY$42&lt;$LH$3:$LH$42))</f>
        <v>0</v>
      </c>
      <c r="AZ49" s="1"/>
      <c r="BA49" s="1">
        <f>SUMPRODUCT(NOT(ISBLANK(BA$3:BA$42))*(BA$3:BA$42&lt;$LI$3:$LI$42))</f>
        <v>0</v>
      </c>
      <c r="BB49" s="1">
        <f>SUMPRODUCT(NOT(ISBLANK(BB$3:BB$42))*(BB$3:BB$42&lt;$LJ$3:$LJ$42))</f>
        <v>0</v>
      </c>
      <c r="BC49" s="1">
        <f>SUMPRODUCT(NOT(ISBLANK(BC$3:BC$42))*(BC$3:BC$42&lt;$LK$3:$LK$42))</f>
        <v>0</v>
      </c>
      <c r="BD49" s="1">
        <f>SUMPRODUCT(NOT(ISBLANK(BD$3:BD$42))*(BD$3:BD$42&lt;$KU$3:$KU$42))</f>
        <v>0</v>
      </c>
      <c r="BE49" s="1">
        <f>SUMPRODUCT(NOT(ISBLANK(BE$3:BE$42))*(BE$3:BE$42&lt;$KV$3:$KV$42))</f>
        <v>0</v>
      </c>
      <c r="BF49" s="1">
        <f>SUMPRODUCT(NOT(ISBLANK(BF$3:BF$42))*(BF$3:BF$42&lt;$KW$3:$KW$42))</f>
        <v>0</v>
      </c>
      <c r="BG49" s="1">
        <f>SUMPRODUCT(NOT(ISBLANK(BG$3:BG$42))*(BG$3:BG$42&lt;$KX$3:$KX$42))</f>
        <v>0</v>
      </c>
      <c r="BH49" s="1">
        <f>SUMPRODUCT(NOT(ISBLANK(BH$3:BH$42))*(BH$3:BH$42&lt;$KY$3:$KY$42))</f>
        <v>0</v>
      </c>
      <c r="BI49" s="1">
        <f>SUMPRODUCT(NOT(ISBLANK(BI$3:BI$42))*(BI$3:BI$42&lt;$KZ$3:$KZ$42))</f>
        <v>0</v>
      </c>
      <c r="BJ49" s="1">
        <f>SUMPRODUCT(NOT(ISBLANK(BJ$3:BJ$42))*(BJ$3:BJ$42&lt;$LA$3:$LA$42))</f>
        <v>0</v>
      </c>
      <c r="BK49" s="1">
        <f>SUMPRODUCT(NOT(ISBLANK(BK$3:BK$42))*(BK$3:BK$42&lt;$LB$3:$LB$42))</f>
        <v>0</v>
      </c>
      <c r="BL49" s="1">
        <f>SUMPRODUCT(NOT(ISBLANK(BL$3:BL$42))*(BL$3:BL$42&lt;$LC$3:$LC$42))</f>
        <v>0</v>
      </c>
      <c r="BM49" s="1">
        <f>SUMPRODUCT(NOT(ISBLANK(BM$3:BM$42))*(BM$3:BM$42&lt;$LD$3:$LD$42))</f>
        <v>0</v>
      </c>
      <c r="BN49" s="1">
        <f>SUMPRODUCT(NOT(ISBLANK(BN$3:BN$42))*(BN$3:BN$42&lt;$LE$3:$LE$42))</f>
        <v>0</v>
      </c>
      <c r="BO49" s="1">
        <f>SUMPRODUCT(NOT(ISBLANK(BO$3:BO$42))*(BO$3:BO$42&lt;$LF$3:$LF$42))</f>
        <v>0</v>
      </c>
      <c r="BP49" s="1">
        <f>SUMPRODUCT(NOT(ISBLANK(BP$3:BP$42))*(BP$3:BP$42&lt;$LG$3:$LG$42))</f>
        <v>0</v>
      </c>
      <c r="BQ49" s="1">
        <f>SUMPRODUCT(NOT(ISBLANK(BQ$3:BQ$42))*(BQ$3:BQ$42&lt;$LH$3:$LH$42))</f>
        <v>0</v>
      </c>
      <c r="BR49" s="1"/>
      <c r="BS49" s="1">
        <f>SUMPRODUCT(NOT(ISBLANK(BS$3:BS$42))*(BS$3:BS$42&lt;$LI$3:$LI$42))</f>
        <v>0</v>
      </c>
      <c r="BT49" s="1">
        <f>SUMPRODUCT(NOT(ISBLANK(BT$3:BT$42))*(BT$3:BT$42&lt;$LJ$3:$LJ$42))</f>
        <v>0</v>
      </c>
      <c r="BU49" s="1">
        <f>SUMPRODUCT(NOT(ISBLANK(BU$3:BU$42))*(BU$3:BU$42&lt;$LK$3:$LK$42))</f>
        <v>0</v>
      </c>
      <c r="BV49" s="1">
        <f>SUMPRODUCT(NOT(ISBLANK(BV$3:BV$42))*(BV$3:BV$42&lt;$KU$3:$KU$42))</f>
        <v>0</v>
      </c>
      <c r="BW49" s="1">
        <f>SUMPRODUCT(NOT(ISBLANK(BW$3:BW$42))*(BW$3:BW$42&lt;$KV$3:$KV$42))</f>
        <v>0</v>
      </c>
      <c r="BX49" s="1">
        <f>SUMPRODUCT(NOT(ISBLANK(BX$3:BX$42))*(BX$3:BX$42&lt;$KW$3:$KW$42))</f>
        <v>0</v>
      </c>
      <c r="BY49" s="1">
        <f>SUMPRODUCT(NOT(ISBLANK(BY$3:BY$42))*(BY$3:BY$42&lt;$KX$3:$KX$42))</f>
        <v>0</v>
      </c>
      <c r="BZ49" s="1">
        <f>SUMPRODUCT(NOT(ISBLANK(BZ$3:BZ$42))*(BZ$3:BZ$42&lt;$KY$3:$KY$42))</f>
        <v>0</v>
      </c>
      <c r="CA49" s="1">
        <f>SUMPRODUCT(NOT(ISBLANK(CA$3:CA$42))*(CA$3:CA$42&lt;$KZ$3:$KZ$42))</f>
        <v>0</v>
      </c>
      <c r="CB49" s="1">
        <f>SUMPRODUCT(NOT(ISBLANK(CB$3:CB$42))*(CB$3:CB$42&lt;$LA$3:$LA$42))</f>
        <v>0</v>
      </c>
      <c r="CC49" s="1">
        <f>SUMPRODUCT(NOT(ISBLANK(CC$3:CC$42))*(CC$3:CC$42&lt;$LB$3:$LB$42))</f>
        <v>0</v>
      </c>
      <c r="CD49" s="1">
        <f>SUMPRODUCT(NOT(ISBLANK(CD$3:CD$42))*(CD$3:CD$42&lt;$LC$3:$LC$42))</f>
        <v>0</v>
      </c>
      <c r="CE49" s="1">
        <f>SUMPRODUCT(NOT(ISBLANK(CE$3:CE$42))*(CE$3:CE$42&lt;$LD$3:$LD$42))</f>
        <v>0</v>
      </c>
      <c r="CF49" s="1">
        <f>SUMPRODUCT(NOT(ISBLANK(CF$3:CF$42))*(CF$3:CF$42&lt;$LE$3:$LE$42))</f>
        <v>0</v>
      </c>
      <c r="CG49" s="1">
        <f>SUMPRODUCT(NOT(ISBLANK(CG$3:CG$42))*(CG$3:CG$42&lt;$LF$3:$LF$42))</f>
        <v>0</v>
      </c>
      <c r="CH49" s="1">
        <f>SUMPRODUCT(NOT(ISBLANK(CH$3:CH$42))*(CH$3:CH$42&lt;$LG$3:$LG$42))</f>
        <v>0</v>
      </c>
      <c r="CI49" s="1">
        <f>SUMPRODUCT(NOT(ISBLANK(CI$3:CI$42))*(CI$3:CI$42&lt;$LH$3:$LH$42))</f>
        <v>0</v>
      </c>
      <c r="CJ49" s="1"/>
      <c r="CK49" s="1">
        <f>SUMPRODUCT(NOT(ISBLANK(CK$3:CK$42))*(CK$3:CK$42&lt;$LI$3:$LI$42))</f>
        <v>0</v>
      </c>
      <c r="CL49" s="1">
        <f>SUMPRODUCT(NOT(ISBLANK(CL$3:CL$42))*(CL$3:CL$42&lt;$LJ$3:$LJ$42))</f>
        <v>0</v>
      </c>
      <c r="CM49" s="1">
        <f>SUMPRODUCT(NOT(ISBLANK(CM$3:CM$42))*(CM$3:CM$42&lt;$LK$3:$LK$42))</f>
        <v>0</v>
      </c>
      <c r="CN49" s="1">
        <f>SUMPRODUCT(NOT(ISBLANK(CN$3:CN$42))*(CN$3:CN$42&lt;$KU$3:$KU$42))</f>
        <v>0</v>
      </c>
      <c r="CO49" s="1">
        <f>SUMPRODUCT(NOT(ISBLANK(CO$3:CO$42))*(CO$3:CO$42&lt;$KV$3:$KV$42))</f>
        <v>0</v>
      </c>
      <c r="CP49" s="1">
        <f>SUMPRODUCT(NOT(ISBLANK(CP$3:CP$42))*(CP$3:CP$42&lt;$KW$3:$KW$42))</f>
        <v>0</v>
      </c>
      <c r="CQ49" s="1">
        <f>SUMPRODUCT(NOT(ISBLANK(CQ$3:CQ$42))*(CQ$3:CQ$42&lt;$KX$3:$KX$42))</f>
        <v>0</v>
      </c>
      <c r="CR49" s="1">
        <f>SUMPRODUCT(NOT(ISBLANK(CR$3:CR$42))*(CR$3:CR$42&lt;$KY$3:$KY$42))</f>
        <v>0</v>
      </c>
      <c r="CS49" s="1">
        <f>SUMPRODUCT(NOT(ISBLANK(CS$3:CS$42))*(CS$3:CS$42&lt;$KZ$3:$KZ$42))</f>
        <v>0</v>
      </c>
      <c r="CT49" s="1">
        <f>SUMPRODUCT(NOT(ISBLANK(CT$3:CT$42))*(CT$3:CT$42&lt;$LA$3:$LA$42))</f>
        <v>0</v>
      </c>
      <c r="CU49" s="1">
        <f>SUMPRODUCT(NOT(ISBLANK(CU$3:CU$42))*(CU$3:CU$42&lt;$LB$3:$LB$42))</f>
        <v>0</v>
      </c>
      <c r="CV49" s="1">
        <f>SUMPRODUCT(NOT(ISBLANK(CV$3:CV$42))*(CV$3:CV$42&lt;$LC$3:$LC$42))</f>
        <v>0</v>
      </c>
      <c r="CW49" s="1">
        <f>SUMPRODUCT(NOT(ISBLANK(CW$3:CW$42))*(CW$3:CW$42&lt;$LD$3:$LD$42))</f>
        <v>0</v>
      </c>
      <c r="CX49" s="1">
        <f>SUMPRODUCT(NOT(ISBLANK(CX$3:CX$42))*(CX$3:CX$42&lt;$LE$3:$LE$42))</f>
        <v>0</v>
      </c>
      <c r="CY49" s="1">
        <f>SUMPRODUCT(NOT(ISBLANK(CY$3:CY$42))*(CY$3:CY$42&lt;$LF$3:$LF$42))</f>
        <v>0</v>
      </c>
      <c r="CZ49" s="1">
        <f>SUMPRODUCT(NOT(ISBLANK(CZ$3:CZ$42))*(CZ$3:CZ$42&lt;$LG$3:$LG$42))</f>
        <v>0</v>
      </c>
      <c r="DA49" s="1">
        <f>SUMPRODUCT(NOT(ISBLANK(DA$3:DA$42))*(DA$3:DA$42&lt;$LH$3:$LH$42))</f>
        <v>0</v>
      </c>
      <c r="DB49" s="1"/>
      <c r="DC49" s="1">
        <f>SUMPRODUCT(NOT(ISBLANK(DC$3:DC$42))*(DC$3:DC$42&lt;$LI$3:$LI$42))</f>
        <v>0</v>
      </c>
      <c r="DD49" s="1">
        <f>SUMPRODUCT(NOT(ISBLANK(DD$3:DD$42))*(DD$3:DD$42&lt;$LJ$3:$LJ$42))</f>
        <v>0</v>
      </c>
      <c r="DE49" s="1">
        <f>SUMPRODUCT(NOT(ISBLANK(DE$3:DE$42))*(DE$3:DE$42&lt;$LK$3:$LK$42))</f>
        <v>0</v>
      </c>
      <c r="DF49" s="1">
        <f>SUMPRODUCT(NOT(ISBLANK(DF$3:DF$42))*(DF$3:DF$42&lt;$KU$3:$KU$42))</f>
        <v>0</v>
      </c>
      <c r="DG49" s="1">
        <f>SUMPRODUCT(NOT(ISBLANK(DG$3:DG$42))*(DG$3:DG$42&lt;$KV$3:$KV$42))</f>
        <v>0</v>
      </c>
      <c r="DH49" s="1">
        <f>SUMPRODUCT(NOT(ISBLANK(DH$3:DH$42))*(DH$3:DH$42&lt;$KW$3:$KW$42))</f>
        <v>0</v>
      </c>
      <c r="DI49" s="1">
        <f>SUMPRODUCT(NOT(ISBLANK(DI$3:DI$42))*(DI$3:DI$42&lt;$KX$3:$KX$42))</f>
        <v>0</v>
      </c>
      <c r="DJ49" s="1">
        <f>SUMPRODUCT(NOT(ISBLANK(DJ$3:DJ$42))*(DJ$3:DJ$42&lt;$KY$3:$KY$42))</f>
        <v>0</v>
      </c>
      <c r="DK49" s="1">
        <f>SUMPRODUCT(NOT(ISBLANK(DK$3:DK$42))*(DK$3:DK$42&lt;$KZ$3:$KZ$42))</f>
        <v>0</v>
      </c>
      <c r="DL49" s="1">
        <f>SUMPRODUCT(NOT(ISBLANK(DL$3:DL$42))*(DL$3:DL$42&lt;$LA$3:$LA$42))</f>
        <v>0</v>
      </c>
      <c r="DM49" s="1">
        <f>SUMPRODUCT(NOT(ISBLANK(DM$3:DM$42))*(DM$3:DM$42&lt;$LB$3:$LB$42))</f>
        <v>0</v>
      </c>
      <c r="DN49" s="1">
        <f>SUMPRODUCT(NOT(ISBLANK(DN$3:DN$42))*(DN$3:DN$42&lt;$LC$3:$LC$42))</f>
        <v>0</v>
      </c>
      <c r="DO49" s="1">
        <f>SUMPRODUCT(NOT(ISBLANK(DO$3:DO$42))*(DO$3:DO$42&lt;$LD$3:$LD$42))</f>
        <v>0</v>
      </c>
      <c r="DP49" s="1">
        <f>SUMPRODUCT(NOT(ISBLANK(DP$3:DP$42))*(DP$3:DP$42&lt;$LE$3:$LE$42))</f>
        <v>0</v>
      </c>
      <c r="DQ49" s="1">
        <f>SUMPRODUCT(NOT(ISBLANK(DQ$3:DQ$42))*(DQ$3:DQ$42&lt;$LF$3:$LF$42))</f>
        <v>0</v>
      </c>
      <c r="DR49" s="1">
        <f>SUMPRODUCT(NOT(ISBLANK(DR$3:DR$42))*(DR$3:DR$42&lt;$LG$3:$LG$42))</f>
        <v>0</v>
      </c>
      <c r="DS49" s="1">
        <f>SUMPRODUCT(NOT(ISBLANK(DS$3:DS$42))*(DS$3:DS$42&lt;$LH$3:$LH$42))</f>
        <v>0</v>
      </c>
      <c r="DT49" s="1"/>
      <c r="DU49" s="1">
        <f>SUMPRODUCT(NOT(ISBLANK(DU$3:DU$42))*(DU$3:DU$42&lt;$LI$3:$LI$42))</f>
        <v>0</v>
      </c>
      <c r="DV49" s="1">
        <f>SUMPRODUCT(NOT(ISBLANK(DV$3:DV$42))*(DV$3:DV$42&lt;$LJ$3:$LJ$42))</f>
        <v>0</v>
      </c>
      <c r="DW49" s="1">
        <f>SUMPRODUCT(NOT(ISBLANK(DW$3:DW$42))*(DW$3:DW$42&lt;$LK$3:$LK$42))</f>
        <v>0</v>
      </c>
      <c r="DX49" s="1">
        <f>SUMPRODUCT(NOT(ISBLANK(DX$3:DX$42))*(DX$3:DX$42&lt;$KU$3:$KU$42))</f>
        <v>0</v>
      </c>
      <c r="DY49" s="1">
        <f>SUMPRODUCT(NOT(ISBLANK(DY$3:DY$42))*(DY$3:DY$42&lt;$KV$3:$KV$42))</f>
        <v>0</v>
      </c>
      <c r="DZ49" s="1">
        <f>SUMPRODUCT(NOT(ISBLANK(DZ$3:DZ$42))*(DZ$3:DZ$42&lt;$KW$3:$KW$42))</f>
        <v>0</v>
      </c>
      <c r="EA49" s="1">
        <f>SUMPRODUCT(NOT(ISBLANK(EA$3:EA$42))*(EA$3:EA$42&lt;$KX$3:$KX$42))</f>
        <v>0</v>
      </c>
      <c r="EB49" s="1">
        <f>SUMPRODUCT(NOT(ISBLANK(EB$3:EB$42))*(EB$3:EB$42&lt;$KY$3:$KY$42))</f>
        <v>0</v>
      </c>
      <c r="EC49" s="1">
        <f>SUMPRODUCT(NOT(ISBLANK(EC$3:EC$42))*(EC$3:EC$42&lt;$KZ$3:$KZ$42))</f>
        <v>0</v>
      </c>
      <c r="ED49" s="1">
        <f>SUMPRODUCT(NOT(ISBLANK(ED$3:ED$42))*(ED$3:ED$42&lt;$LA$3:$LA$42))</f>
        <v>0</v>
      </c>
      <c r="EE49" s="1">
        <f>SUMPRODUCT(NOT(ISBLANK(EE$3:EE$42))*(EE$3:EE$42&lt;$LB$3:$LB$42))</f>
        <v>0</v>
      </c>
      <c r="EF49" s="1">
        <f>SUMPRODUCT(NOT(ISBLANK(EF$3:EF$42))*(EF$3:EF$42&lt;$LC$3:$LC$42))</f>
        <v>0</v>
      </c>
      <c r="EG49" s="1">
        <f>SUMPRODUCT(NOT(ISBLANK(EG$3:EG$42))*(EG$3:EG$42&lt;$LD$3:$LD$42))</f>
        <v>0</v>
      </c>
      <c r="EH49" s="1">
        <f>SUMPRODUCT(NOT(ISBLANK(EH$3:EH$42))*(EH$3:EH$42&lt;$LE$3:$LE$42))</f>
        <v>0</v>
      </c>
      <c r="EI49" s="1">
        <f>SUMPRODUCT(NOT(ISBLANK(EI$3:EI$42))*(EI$3:EI$42&lt;$LF$3:$LF$42))</f>
        <v>0</v>
      </c>
      <c r="EJ49" s="1">
        <f>SUMPRODUCT(NOT(ISBLANK(EJ$3:EJ$42))*(EJ$3:EJ$42&lt;$LG$3:$LG$42))</f>
        <v>0</v>
      </c>
      <c r="EK49" s="1">
        <f>SUMPRODUCT(NOT(ISBLANK(EK$3:EK$42))*(EK$3:EK$42&lt;$LH$3:$LH$42))</f>
        <v>0</v>
      </c>
      <c r="EL49" s="1"/>
      <c r="EM49" s="1">
        <f>SUMPRODUCT(NOT(ISBLANK(EM$3:EM$42))*(EM$3:EM$42&lt;$LI$3:$LI$42))</f>
        <v>0</v>
      </c>
      <c r="EN49" s="1">
        <f>SUMPRODUCT(NOT(ISBLANK(EN$3:EN$42))*(EN$3:EN$42&lt;$LJ$3:$LJ$42))</f>
        <v>0</v>
      </c>
      <c r="EO49" s="1">
        <f>SUMPRODUCT(NOT(ISBLANK(EO$3:EO$42))*(EO$3:EO$42&lt;$LK$3:$LK$42))</f>
        <v>0</v>
      </c>
      <c r="EP49" s="1">
        <f>SUMPRODUCT(NOT(ISBLANK(EP$3:EP$42))*(EP$3:EP$42&lt;$KU$3:$KU$42))</f>
        <v>0</v>
      </c>
      <c r="EQ49" s="1">
        <f>SUMPRODUCT(NOT(ISBLANK(EQ$3:EQ$42))*(EQ$3:EQ$42&lt;$KV$3:$KV$42))</f>
        <v>0</v>
      </c>
      <c r="ER49" s="1">
        <f>SUMPRODUCT(NOT(ISBLANK(ER$3:ER$42))*(ER$3:ER$42&lt;$KW$3:$KW$42))</f>
        <v>0</v>
      </c>
      <c r="ES49" s="1">
        <f>SUMPRODUCT(NOT(ISBLANK(ES$3:ES$42))*(ES$3:ES$42&lt;$KX$3:$KX$42))</f>
        <v>0</v>
      </c>
      <c r="ET49" s="1">
        <f>SUMPRODUCT(NOT(ISBLANK(ET$3:ET$42))*(ET$3:ET$42&lt;$KY$3:$KY$42))</f>
        <v>0</v>
      </c>
      <c r="EU49" s="1">
        <f>SUMPRODUCT(NOT(ISBLANK(EU$3:EU$42))*(EU$3:EU$42&lt;$KZ$3:$KZ$42))</f>
        <v>0</v>
      </c>
      <c r="EV49" s="1">
        <f>SUMPRODUCT(NOT(ISBLANK(EV$3:EV$42))*(EV$3:EV$42&lt;$LA$3:$LA$42))</f>
        <v>0</v>
      </c>
      <c r="EW49" s="1">
        <f>SUMPRODUCT(NOT(ISBLANK(EW$3:EW$42))*(EW$3:EW$42&lt;$LB$3:$LB$42))</f>
        <v>0</v>
      </c>
      <c r="EX49" s="1">
        <f>SUMPRODUCT(NOT(ISBLANK(EX$3:EX$42))*(EX$3:EX$42&lt;$LC$3:$LC$42))</f>
        <v>0</v>
      </c>
      <c r="EY49" s="1">
        <f>SUMPRODUCT(NOT(ISBLANK(EY$3:EY$42))*(EY$3:EY$42&lt;$LD$3:$LD$42))</f>
        <v>0</v>
      </c>
      <c r="EZ49" s="1">
        <f>SUMPRODUCT(NOT(ISBLANK(EZ$3:EZ$42))*(EZ$3:EZ$42&lt;$LE$3:$LE$42))</f>
        <v>0</v>
      </c>
      <c r="FA49" s="1">
        <f>SUMPRODUCT(NOT(ISBLANK(FA$3:FA$42))*(FA$3:FA$42&lt;$LF$3:$LF$42))</f>
        <v>0</v>
      </c>
      <c r="FB49" s="1">
        <f>SUMPRODUCT(NOT(ISBLANK(FB$3:FB$42))*(FB$3:FB$42&lt;$LG$3:$LG$42))</f>
        <v>0</v>
      </c>
      <c r="FC49" s="1">
        <f>SUMPRODUCT(NOT(ISBLANK(FC$3:FC$42))*(FC$3:FC$42&lt;$LH$3:$LH$42))</f>
        <v>0</v>
      </c>
      <c r="FD49" s="1"/>
      <c r="FE49" s="1">
        <f>SUMPRODUCT(NOT(ISBLANK(FE$3:FE$42))*(FE$3:FE$42&lt;$LI$3:$LI$42))</f>
        <v>0</v>
      </c>
      <c r="FF49" s="1">
        <f>SUMPRODUCT(NOT(ISBLANK(FF$3:FF$42))*(FF$3:FF$42&lt;$LJ$3:$LJ$42))</f>
        <v>0</v>
      </c>
      <c r="FG49" s="1">
        <f>SUMPRODUCT(NOT(ISBLANK(FG$3:FG$42))*(FG$3:FG$42&lt;$LK$3:$LK$42))</f>
        <v>0</v>
      </c>
      <c r="FH49" s="1">
        <f>SUMPRODUCT(NOT(ISBLANK(FH$3:FH$42))*(FH$3:FH$42&lt;$KU$3:$KU$42))</f>
        <v>0</v>
      </c>
      <c r="FI49" s="1">
        <f>SUMPRODUCT(NOT(ISBLANK(FI$3:FI$42))*(FI$3:FI$42&lt;$KV$3:$KV$42))</f>
        <v>0</v>
      </c>
      <c r="FJ49" s="1">
        <f>SUMPRODUCT(NOT(ISBLANK(FJ$3:FJ$42))*(FJ$3:FJ$42&lt;$KW$3:$KW$42))</f>
        <v>0</v>
      </c>
      <c r="FK49" s="1">
        <f>SUMPRODUCT(NOT(ISBLANK(FK$3:FK$42))*(FK$3:FK$42&lt;$KX$3:$KX$42))</f>
        <v>0</v>
      </c>
      <c r="FL49" s="1">
        <f>SUMPRODUCT(NOT(ISBLANK(FL$3:FL$42))*(FL$3:FL$42&lt;$KY$3:$KY$42))</f>
        <v>0</v>
      </c>
      <c r="FM49" s="1">
        <f>SUMPRODUCT(NOT(ISBLANK(FM$3:FM$42))*(FM$3:FM$42&lt;$KZ$3:$KZ$42))</f>
        <v>0</v>
      </c>
      <c r="FN49" s="1">
        <f>SUMPRODUCT(NOT(ISBLANK(FN$3:FN$42))*(FN$3:FN$42&lt;$LA$3:$LA$42))</f>
        <v>0</v>
      </c>
      <c r="FO49" s="1">
        <f>SUMPRODUCT(NOT(ISBLANK(FO$3:FO$42))*(FO$3:FO$42&lt;$LB$3:$LB$42))</f>
        <v>0</v>
      </c>
      <c r="FP49" s="1">
        <f>SUMPRODUCT(NOT(ISBLANK(FP$3:FP$42))*(FP$3:FP$42&lt;$LC$3:$LC$42))</f>
        <v>0</v>
      </c>
      <c r="FQ49" s="1">
        <f>SUMPRODUCT(NOT(ISBLANK(FQ$3:FQ$42))*(FQ$3:FQ$42&lt;$LD$3:$LD$42))</f>
        <v>0</v>
      </c>
      <c r="FR49" s="1">
        <f>SUMPRODUCT(NOT(ISBLANK(FR$3:FR$42))*(FR$3:FR$42&lt;$LE$3:$LE$42))</f>
        <v>0</v>
      </c>
      <c r="FS49" s="1">
        <f>SUMPRODUCT(NOT(ISBLANK(FS$3:FS$42))*(FS$3:FS$42&lt;$LF$3:$LF$42))</f>
        <v>0</v>
      </c>
      <c r="FT49" s="1">
        <f>SUMPRODUCT(NOT(ISBLANK(FT$3:FT$42))*(FT$3:FT$42&lt;$LG$3:$LG$42))</f>
        <v>0</v>
      </c>
      <c r="FU49" s="1">
        <f>SUMPRODUCT(NOT(ISBLANK(FU$3:FU$42))*(FU$3:FU$42&lt;$LH$3:$LH$42))</f>
        <v>0</v>
      </c>
      <c r="FV49" s="1"/>
      <c r="FW49" s="1">
        <f>SUMPRODUCT(NOT(ISBLANK(FW$3:FW$42))*(FW$3:FW$42&lt;$LI$3:$LI$42))</f>
        <v>0</v>
      </c>
      <c r="FX49" s="1">
        <f>SUMPRODUCT(NOT(ISBLANK(FX$3:FX$42))*(FX$3:FX$42&lt;$LJ$3:$LJ$42))</f>
        <v>0</v>
      </c>
      <c r="FY49" s="1">
        <f>SUMPRODUCT(NOT(ISBLANK(FY$3:FY$42))*(FY$3:FY$42&lt;$LK$3:$LK$42))</f>
        <v>0</v>
      </c>
      <c r="FZ49" s="1">
        <f>SUMPRODUCT(NOT(ISBLANK(FZ$3:FZ$42))*(FZ$3:FZ$42&lt;$KU$3:$KU$42))</f>
        <v>0</v>
      </c>
      <c r="GA49" s="1">
        <f>SUMPRODUCT(NOT(ISBLANK(GA$3:GA$42))*(GA$3:GA$42&lt;$KV$3:$KV$42))</f>
        <v>0</v>
      </c>
      <c r="GB49" s="1">
        <f>SUMPRODUCT(NOT(ISBLANK(GB$3:GB$42))*(GB$3:GB$42&lt;$KW$3:$KW$42))</f>
        <v>0</v>
      </c>
      <c r="GC49" s="1">
        <f>SUMPRODUCT(NOT(ISBLANK(GC$3:GC$42))*(GC$3:GC$42&lt;$KX$3:$KX$42))</f>
        <v>0</v>
      </c>
      <c r="GD49" s="1">
        <f>SUMPRODUCT(NOT(ISBLANK(GD$3:GD$42))*(GD$3:GD$42&lt;$KY$3:$KY$42))</f>
        <v>0</v>
      </c>
      <c r="GE49" s="1">
        <f>SUMPRODUCT(NOT(ISBLANK(GE$3:GE$42))*(GE$3:GE$42&lt;$KZ$3:$KZ$42))</f>
        <v>0</v>
      </c>
      <c r="GF49" s="1">
        <f>SUMPRODUCT(NOT(ISBLANK(GF$3:GF$42))*(GF$3:GF$42&lt;$LA$3:$LA$42))</f>
        <v>0</v>
      </c>
      <c r="GG49" s="1">
        <f>SUMPRODUCT(NOT(ISBLANK(GG$3:GG$42))*(GG$3:GG$42&lt;$LB$3:$LB$42))</f>
        <v>0</v>
      </c>
      <c r="GH49" s="1">
        <f>SUMPRODUCT(NOT(ISBLANK(GH$3:GH$42))*(GH$3:GH$42&lt;$LC$3:$LC$42))</f>
        <v>0</v>
      </c>
      <c r="GI49" s="1">
        <f>SUMPRODUCT(NOT(ISBLANK(GI$3:GI$42))*(GI$3:GI$42&lt;$LD$3:$LD$42))</f>
        <v>0</v>
      </c>
      <c r="GJ49" s="1">
        <f>SUMPRODUCT(NOT(ISBLANK(GJ$3:GJ$42))*(GJ$3:GJ$42&lt;$LE$3:$LE$42))</f>
        <v>0</v>
      </c>
      <c r="GK49" s="1">
        <f>SUMPRODUCT(NOT(ISBLANK(GK$3:GK$42))*(GK$3:GK$42&lt;$LF$3:$LF$42))</f>
        <v>0</v>
      </c>
      <c r="GL49" s="1">
        <f>SUMPRODUCT(NOT(ISBLANK(GL$3:GL$42))*(GL$3:GL$42&lt;$LG$3:$LG$42))</f>
        <v>0</v>
      </c>
      <c r="GM49" s="1">
        <f>SUMPRODUCT(NOT(ISBLANK(GM$3:GM$42))*(GM$3:GM$42&lt;$LH$3:$LH$42))</f>
        <v>0</v>
      </c>
      <c r="GN49" s="1"/>
      <c r="GO49" s="1">
        <f>SUMPRODUCT(NOT(ISBLANK(GO$3:GO$42))*(GO$3:GO$42&lt;$LI$3:$LI$42))</f>
        <v>0</v>
      </c>
      <c r="GP49" s="1">
        <f>SUMPRODUCT(NOT(ISBLANK(GP$3:GP$42))*(GP$3:GP$42&lt;$LJ$3:$LJ$42))</f>
        <v>0</v>
      </c>
      <c r="GQ49" s="1">
        <f>SUMPRODUCT(NOT(ISBLANK(GQ$3:GQ$42))*(GQ$3:GQ$42&lt;$LK$3:$LK$42))</f>
        <v>0</v>
      </c>
      <c r="GR49" s="1">
        <f>SUMPRODUCT(NOT(ISBLANK(GR$3:GR$42))*(GR$3:GR$42&lt;$KU$3:$KU$42))</f>
        <v>0</v>
      </c>
      <c r="GS49" s="1">
        <f>SUMPRODUCT(NOT(ISBLANK(GS$3:GS$42))*(GS$3:GS$42&lt;$KV$3:$KV$42))</f>
        <v>0</v>
      </c>
      <c r="GT49" s="1">
        <f>SUMPRODUCT(NOT(ISBLANK(GT$3:GT$42))*(GT$3:GT$42&lt;$KW$3:$KW$42))</f>
        <v>0</v>
      </c>
      <c r="GU49" s="1">
        <f>SUMPRODUCT(NOT(ISBLANK(GU$3:GU$42))*(GU$3:GU$42&lt;$KX$3:$KX$42))</f>
        <v>0</v>
      </c>
      <c r="GV49" s="1">
        <f>SUMPRODUCT(NOT(ISBLANK(GV$3:GV$42))*(GV$3:GV$42&lt;$KY$3:$KY$42))</f>
        <v>0</v>
      </c>
      <c r="GW49" s="1">
        <f>SUMPRODUCT(NOT(ISBLANK(GW$3:GW$42))*(GW$3:GW$42&lt;$KZ$3:$KZ$42))</f>
        <v>0</v>
      </c>
      <c r="GX49" s="1">
        <f>SUMPRODUCT(NOT(ISBLANK(GX$3:GX$42))*(GX$3:GX$42&lt;$LA$3:$LA$42))</f>
        <v>0</v>
      </c>
      <c r="GY49" s="1">
        <f>SUMPRODUCT(NOT(ISBLANK(GY$3:GY$42))*(GY$3:GY$42&lt;$LB$3:$LB$42))</f>
        <v>0</v>
      </c>
      <c r="GZ49" s="1">
        <f>SUMPRODUCT(NOT(ISBLANK(GZ$3:GZ$42))*(GZ$3:GZ$42&lt;$LC$3:$LC$42))</f>
        <v>0</v>
      </c>
      <c r="HA49" s="1">
        <f>SUMPRODUCT(NOT(ISBLANK(HA$3:HA$42))*(HA$3:HA$42&lt;$LD$3:$LD$42))</f>
        <v>0</v>
      </c>
      <c r="HB49" s="1">
        <f>SUMPRODUCT(NOT(ISBLANK(HB$3:HB$42))*(HB$3:HB$42&lt;$LE$3:$LE$42))</f>
        <v>0</v>
      </c>
      <c r="HC49" s="1">
        <f>SUMPRODUCT(NOT(ISBLANK(HC$3:HC$42))*(HC$3:HC$42&lt;$LF$3:$LF$42))</f>
        <v>0</v>
      </c>
      <c r="HD49" s="1">
        <f>SUMPRODUCT(NOT(ISBLANK(HD$3:HD$42))*(HD$3:HD$42&lt;$LG$3:$LG$42))</f>
        <v>0</v>
      </c>
      <c r="HE49" s="1">
        <f>SUMPRODUCT(NOT(ISBLANK(HE$3:HE$42))*(HE$3:HE$42&lt;$LH$3:$LH$42))</f>
        <v>0</v>
      </c>
      <c r="HF49" s="1"/>
      <c r="HG49" s="1">
        <f>SUMPRODUCT(NOT(ISBLANK(HG$3:HG$42))*(HG$3:HG$42&lt;$LI$3:$LI$42))</f>
        <v>0</v>
      </c>
      <c r="HH49" s="1">
        <f>SUMPRODUCT(NOT(ISBLANK(HH$3:HH$42))*(HH$3:HH$42&lt;$LJ$3:$LJ$42))</f>
        <v>0</v>
      </c>
      <c r="HI49" s="1">
        <f>SUMPRODUCT(NOT(ISBLANK(HI$3:HI$42))*(HI$3:HI$42&lt;$LK$3:$LK$42))</f>
        <v>0</v>
      </c>
      <c r="HJ49" s="1">
        <f>SUMPRODUCT(NOT(ISBLANK(HJ$3:HJ$42))*(HJ$3:HJ$42&lt;$KU$3:$KU$42))</f>
        <v>0</v>
      </c>
      <c r="HK49" s="1">
        <f>SUMPRODUCT(NOT(ISBLANK(HK$3:HK$42))*(HK$3:HK$42&lt;$KV$3:$KV$42))</f>
        <v>0</v>
      </c>
      <c r="HL49" s="1">
        <f>SUMPRODUCT(NOT(ISBLANK(HL$3:HL$42))*(HL$3:HL$42&lt;$KW$3:$KW$42))</f>
        <v>0</v>
      </c>
      <c r="HM49" s="1">
        <f>SUMPRODUCT(NOT(ISBLANK(HM$3:HM$42))*(HM$3:HM$42&lt;$KX$3:$KX$42))</f>
        <v>0</v>
      </c>
      <c r="HN49" s="1">
        <f>SUMPRODUCT(NOT(ISBLANK(HN$3:HN$42))*(HN$3:HN$42&lt;$KY$3:$KY$42))</f>
        <v>0</v>
      </c>
      <c r="HO49" s="1">
        <f>SUMPRODUCT(NOT(ISBLANK(HO$3:HO$42))*(HO$3:HO$42&lt;$KZ$3:$KZ$42))</f>
        <v>0</v>
      </c>
      <c r="HP49" s="1">
        <f>SUMPRODUCT(NOT(ISBLANK(HP$3:HP$42))*(HP$3:HP$42&lt;$LA$3:$LA$42))</f>
        <v>0</v>
      </c>
      <c r="HQ49" s="1">
        <f>SUMPRODUCT(NOT(ISBLANK(HQ$3:HQ$42))*(HQ$3:HQ$42&lt;$LB$3:$LB$42))</f>
        <v>0</v>
      </c>
      <c r="HR49" s="1">
        <f>SUMPRODUCT(NOT(ISBLANK(HR$3:HR$42))*(HR$3:HR$42&lt;$LC$3:$LC$42))</f>
        <v>0</v>
      </c>
      <c r="HS49" s="1">
        <f>SUMPRODUCT(NOT(ISBLANK(HS$3:HS$42))*(HS$3:HS$42&lt;$LD$3:$LD$42))</f>
        <v>0</v>
      </c>
      <c r="HT49" s="1">
        <f>SUMPRODUCT(NOT(ISBLANK(HT$3:HT$42))*(HT$3:HT$42&lt;$LE$3:$LE$42))</f>
        <v>0</v>
      </c>
      <c r="HU49" s="1">
        <f>SUMPRODUCT(NOT(ISBLANK(HU$3:HU$42))*(HU$3:HU$42&lt;$LF$3:$LF$42))</f>
        <v>0</v>
      </c>
      <c r="HV49" s="1">
        <f>SUMPRODUCT(NOT(ISBLANK(HV$3:HV$42))*(HV$3:HV$42&lt;$LG$3:$LG$42))</f>
        <v>0</v>
      </c>
      <c r="HW49" s="1">
        <f>SUMPRODUCT(NOT(ISBLANK(HW$3:HW$42))*(HW$3:HW$42&lt;$LH$3:$LH$42))</f>
        <v>0</v>
      </c>
      <c r="HX49" s="1"/>
      <c r="HY49" s="1">
        <f>SUMPRODUCT(NOT(ISBLANK(HY$3:HY$42))*(HY$3:HY$42&lt;$LI$3:$LI$42))</f>
        <v>0</v>
      </c>
      <c r="HZ49" s="1">
        <f>SUMPRODUCT(NOT(ISBLANK(HZ$3:HZ$42))*(HZ$3:HZ$42&lt;$LJ$3:$LJ$42))</f>
        <v>0</v>
      </c>
      <c r="IA49" s="1">
        <f>SUMPRODUCT(NOT(ISBLANK(IA$3:IA$42))*(IA$3:IA$42&lt;$LK$3:$LK$42))</f>
        <v>0</v>
      </c>
      <c r="IB49" s="1">
        <f>SUMPRODUCT(NOT(ISBLANK(IB$3:IB$42))*(IB$3:IB$42&lt;$KU$3:$KU$42))</f>
        <v>0</v>
      </c>
      <c r="IC49" s="1">
        <f>SUMPRODUCT(NOT(ISBLANK(IC$3:IC$42))*(IC$3:IC$42&lt;$KV$3:$KV$42))</f>
        <v>0</v>
      </c>
      <c r="ID49" s="1">
        <f>SUMPRODUCT(NOT(ISBLANK(ID$3:ID$42))*(ID$3:ID$42&lt;$KW$3:$KW$42))</f>
        <v>0</v>
      </c>
      <c r="IE49" s="1">
        <f>SUMPRODUCT(NOT(ISBLANK(IE$3:IE$42))*(IE$3:IE$42&lt;$KX$3:$KX$42))</f>
        <v>0</v>
      </c>
      <c r="IF49" s="1">
        <f>SUMPRODUCT(NOT(ISBLANK(IF$3:IF$42))*(IF$3:IF$42&lt;$KY$3:$KY$42))</f>
        <v>0</v>
      </c>
      <c r="IG49" s="1">
        <f>SUMPRODUCT(NOT(ISBLANK(IG$3:IG$42))*(IG$3:IG$42&lt;$KZ$3:$KZ$42))</f>
        <v>0</v>
      </c>
      <c r="IH49" s="1">
        <f>SUMPRODUCT(NOT(ISBLANK(IH$3:IH$42))*(IH$3:IH$42&lt;$LA$3:$LA$42))</f>
        <v>0</v>
      </c>
      <c r="II49" s="1">
        <f>SUMPRODUCT(NOT(ISBLANK(II$3:II$42))*(II$3:II$42&lt;$LB$3:$LB$42))</f>
        <v>0</v>
      </c>
      <c r="IJ49" s="1">
        <f>SUMPRODUCT(NOT(ISBLANK(IJ$3:IJ$42))*(IJ$3:IJ$42&lt;$LC$3:$LC$42))</f>
        <v>0</v>
      </c>
      <c r="IK49" s="1">
        <f>SUMPRODUCT(NOT(ISBLANK(IK$3:IK$42))*(IK$3:IK$42&lt;$LD$3:$LD$42))</f>
        <v>0</v>
      </c>
      <c r="IL49" s="1">
        <f>SUMPRODUCT(NOT(ISBLANK(IL$3:IL$42))*(IL$3:IL$42&lt;$LE$3:$LE$42))</f>
        <v>0</v>
      </c>
      <c r="IM49" s="1">
        <f>SUMPRODUCT(NOT(ISBLANK(IM$3:IM$42))*(IM$3:IM$42&lt;$LF$3:$LF$42))</f>
        <v>0</v>
      </c>
      <c r="IN49" s="1">
        <f>SUMPRODUCT(NOT(ISBLANK(IN$3:IN$42))*(IN$3:IN$42&lt;$LG$3:$LG$42))</f>
        <v>0</v>
      </c>
      <c r="IO49" s="1">
        <f>SUMPRODUCT(NOT(ISBLANK(IO$3:IO$42))*(IO$3:IO$42&lt;$LH$3:$LH$42))</f>
        <v>0</v>
      </c>
      <c r="IP49" s="1"/>
      <c r="IQ49" s="1">
        <f>SUMPRODUCT(NOT(ISBLANK(IQ$3:IQ$42))*(IQ$3:IQ$42&lt;$LI$3:$LI$42))</f>
        <v>0</v>
      </c>
      <c r="IR49" s="1">
        <f>SUMPRODUCT(NOT(ISBLANK(IR$3:IR$42))*(IR$3:IR$42&lt;$LJ$3:$LJ$42))</f>
        <v>0</v>
      </c>
      <c r="IS49" s="1">
        <f>SUMPRODUCT(NOT(ISBLANK(IS$3:IS$42))*(IS$3:IS$42&lt;$LK$3:$LK$42))</f>
        <v>0</v>
      </c>
      <c r="IT49" s="1">
        <f>SUMPRODUCT(NOT(ISBLANK(IT$3:IT$42))*(IT$3:IT$42&lt;$KU$3:$KU$42))</f>
        <v>0</v>
      </c>
      <c r="IU49" s="1">
        <f>SUMPRODUCT(NOT(ISBLANK(IU$3:IU$42))*(IU$3:IU$42&lt;$KV$3:$KV$42))</f>
        <v>0</v>
      </c>
      <c r="IV49" s="1">
        <f>SUMPRODUCT(NOT(ISBLANK(IV$3:IV$42))*(IV$3:IV$42&lt;$KW$3:$KW$42))</f>
        <v>0</v>
      </c>
      <c r="IW49" s="1">
        <f>SUMPRODUCT(NOT(ISBLANK(IW$3:IW$42))*(IW$3:IW$42&lt;$KX$3:$KX$42))</f>
        <v>0</v>
      </c>
      <c r="IX49" s="1">
        <f>SUMPRODUCT(NOT(ISBLANK(IX$3:IX$42))*(IX$3:IX$42&lt;$KY$3:$KY$42))</f>
        <v>0</v>
      </c>
      <c r="IY49" s="1">
        <f>SUMPRODUCT(NOT(ISBLANK(IY$3:IY$42))*(IY$3:IY$42&lt;$KZ$3:$KZ$42))</f>
        <v>0</v>
      </c>
      <c r="IZ49" s="1">
        <f>SUMPRODUCT(NOT(ISBLANK(IZ$3:IZ$42))*(IZ$3:IZ$42&lt;$LA$3:$LA$42))</f>
        <v>0</v>
      </c>
      <c r="JA49" s="1">
        <f>SUMPRODUCT(NOT(ISBLANK(JA$3:JA$42))*(JA$3:JA$42&lt;$LB$3:$LB$42))</f>
        <v>0</v>
      </c>
      <c r="JB49" s="1">
        <f>SUMPRODUCT(NOT(ISBLANK(JB$3:JB$42))*(JB$3:JB$42&lt;$LC$3:$LC$42))</f>
        <v>0</v>
      </c>
      <c r="JC49" s="1">
        <f>SUMPRODUCT(NOT(ISBLANK(JC$3:JC$42))*(JC$3:JC$42&lt;$LD$3:$LD$42))</f>
        <v>0</v>
      </c>
      <c r="JD49" s="1">
        <f>SUMPRODUCT(NOT(ISBLANK(JD$3:JD$42))*(JD$3:JD$42&lt;$LE$3:$LE$42))</f>
        <v>0</v>
      </c>
      <c r="JE49" s="1">
        <f>SUMPRODUCT(NOT(ISBLANK(JE$3:JE$42))*(JE$3:JE$42&lt;$LF$3:$LF$42))</f>
        <v>0</v>
      </c>
      <c r="JF49" s="1">
        <f>SUMPRODUCT(NOT(ISBLANK(JF$3:JF$42))*(JF$3:JF$42&lt;$LG$3:$LG$42))</f>
        <v>0</v>
      </c>
      <c r="JG49" s="1">
        <f>SUMPRODUCT(NOT(ISBLANK(JG$3:JG$42))*(JG$3:JG$42&lt;$LH$3:$LH$42))</f>
        <v>0</v>
      </c>
      <c r="JH49" s="1"/>
      <c r="JI49" s="1">
        <f>SUMPRODUCT(NOT(ISBLANK(JI$3:JI$42))*(JI$3:JI$42&lt;$LI$3:$LI$42))</f>
        <v>0</v>
      </c>
      <c r="JJ49" s="1">
        <f>SUMPRODUCT(NOT(ISBLANK(JJ$3:JJ$42))*(JJ$3:JJ$42&lt;$LJ$3:$LJ$42))</f>
        <v>0</v>
      </c>
      <c r="JK49" s="1">
        <f>SUMPRODUCT(NOT(ISBLANK(JK$3:JK$42))*(JK$3:JK$42&lt;$LK$3:$LK$42))</f>
        <v>0</v>
      </c>
      <c r="JL49" s="1">
        <f>SUMPRODUCT(NOT(ISBLANK(JL$3:JL$42))*(JL$3:JL$42&lt;$KU$3:$KU$42))</f>
        <v>0</v>
      </c>
      <c r="JM49" s="1">
        <f>SUMPRODUCT(NOT(ISBLANK(JM$3:JM$42))*(JM$3:JM$42&lt;$KV$3:$KV$42))</f>
        <v>0</v>
      </c>
      <c r="JN49" s="1">
        <f>SUMPRODUCT(NOT(ISBLANK(JN$3:JN$42))*(JN$3:JN$42&lt;$KW$3:$KW$42))</f>
        <v>0</v>
      </c>
      <c r="JO49" s="1">
        <f>SUMPRODUCT(NOT(ISBLANK(JO$3:JO$42))*(JO$3:JO$42&lt;$KX$3:$KX$42))</f>
        <v>0</v>
      </c>
      <c r="JP49" s="1">
        <f>SUMPRODUCT(NOT(ISBLANK(JP$3:JP$42))*(JP$3:JP$42&lt;$KY$3:$KY$42))</f>
        <v>0</v>
      </c>
      <c r="JQ49" s="1">
        <f>SUMPRODUCT(NOT(ISBLANK(JQ$3:JQ$42))*(JQ$3:JQ$42&lt;$KZ$3:$KZ$42))</f>
        <v>0</v>
      </c>
      <c r="JR49" s="1">
        <f>SUMPRODUCT(NOT(ISBLANK(JR$3:JR$42))*(JR$3:JR$42&lt;$LA$3:$LA$42))</f>
        <v>0</v>
      </c>
      <c r="JS49" s="1">
        <f>SUMPRODUCT(NOT(ISBLANK(JS$3:JS$42))*(JS$3:JS$42&lt;$LB$3:$LB$42))</f>
        <v>0</v>
      </c>
      <c r="JT49" s="1">
        <f>SUMPRODUCT(NOT(ISBLANK(JT$3:JT$42))*(JT$3:JT$42&lt;$LC$3:$LC$42))</f>
        <v>0</v>
      </c>
      <c r="JU49" s="1">
        <f>SUMPRODUCT(NOT(ISBLANK(JU$3:JU$42))*(JU$3:JU$42&lt;$LD$3:$LD$42))</f>
        <v>0</v>
      </c>
      <c r="JV49" s="1">
        <f>SUMPRODUCT(NOT(ISBLANK(JV$3:JV$42))*(JV$3:JV$42&lt;$LE$3:$LE$42))</f>
        <v>0</v>
      </c>
      <c r="JW49" s="1">
        <f>SUMPRODUCT(NOT(ISBLANK(JW$3:JW$42))*(JW$3:JW$42&lt;$LF$3:$LF$42))</f>
        <v>0</v>
      </c>
      <c r="JX49" s="1">
        <f>SUMPRODUCT(NOT(ISBLANK(JX$3:JX$42))*(JX$3:JX$42&lt;$LG$3:$LG$42))</f>
        <v>0</v>
      </c>
      <c r="JY49" s="1">
        <f>SUMPRODUCT(NOT(ISBLANK(JY$3:JY$42))*(JY$3:JY$42&lt;$LH$3:$LH$42))</f>
        <v>0</v>
      </c>
      <c r="JZ49" s="1"/>
      <c r="KA49" s="1">
        <f>SUMPRODUCT(NOT(ISBLANK(KA$3:KA$42))*(KA$3:KA$42&lt;$LI$3:$LI$42))</f>
        <v>0</v>
      </c>
      <c r="KB49" s="1">
        <f>SUMPRODUCT(NOT(ISBLANK(KB$3:KB$42))*(KB$3:KB$42&lt;$LJ$3:$LJ$42))</f>
        <v>0</v>
      </c>
      <c r="KC49" s="1">
        <f>SUMPRODUCT(NOT(ISBLANK(KC$3:KC$42))*(KC$3:KC$42&lt;$LK$3:$LK$42))</f>
        <v>0</v>
      </c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</row>
    <row r="50" spans="1:340">
      <c r="A50" s="1" t="s">
        <v>46</v>
      </c>
      <c r="B50" s="1">
        <f>SUMPRODUCT((NOT(ISBLANK(B$3:B$42))*(B$3:B$42&gt;$KU$3:$KU$42))+ISBLANK(B$3:B$42))</f>
        <v>0</v>
      </c>
      <c r="C50" s="1">
        <f>SUMPRODUCT((NOT(ISBLANK(C$3:C$42))*(C$3:C$42&gt;$KV$3:$KV$42))+ISBLANK(C$3:C$42))</f>
        <v>0</v>
      </c>
      <c r="D50" s="1">
        <f>SUMPRODUCT((NOT(ISBLANK(D$3:D$42))*(D$3:D$42&gt;$KW$3:$KW$42))+ISBLANK(D$3:D$42))</f>
        <v>0</v>
      </c>
      <c r="E50" s="1">
        <f>SUMPRODUCT((NOT(ISBLANK(E$3:E$42))*(E$3:E$42&gt;$KX$3:$KX$42))+ISBLANK(E$3:E$42))</f>
        <v>0</v>
      </c>
      <c r="F50" s="1">
        <f>SUMPRODUCT((NOT(ISBLANK(F$3:F$42))*(F$3:F$42&gt;$KY$3:$KY$42))+ISBLANK(F$3:F$42))</f>
        <v>0</v>
      </c>
      <c r="G50" s="1">
        <f>SUMPRODUCT((NOT(ISBLANK(G$3:G$42))*(G$3:G$42&gt;$KZ$3:$KZ$42))+ISBLANK(G$3:G$42))</f>
        <v>0</v>
      </c>
      <c r="H50" s="1">
        <f>SUMPRODUCT((NOT(ISBLANK(H$3:H$42))*(H$3:H$42&gt;$LA$3:$LA$42))+ISBLANK(H$3:H$42))</f>
        <v>0</v>
      </c>
      <c r="I50" s="1">
        <f>SUMPRODUCT((NOT(ISBLANK(I$3:I$42))*(I$3:I$42&gt;$LB$3:$LB$42))+ISBLANK(I$3:I$42))</f>
        <v>0</v>
      </c>
      <c r="J50" s="1">
        <f>SUMPRODUCT((NOT(ISBLANK(J$3:J$42))*(J$3:J$42&gt;$LC$3:$LC$42))+ISBLANK(J$3:J$42))</f>
        <v>0</v>
      </c>
      <c r="K50" s="1">
        <f>SUMPRODUCT((NOT(ISBLANK(K$3:K$42))*(K$3:K$42&gt;$LD$3:$LD$42))+ISBLANK(K$3:K$42))</f>
        <v>0</v>
      </c>
      <c r="L50" s="1">
        <f>SUMPRODUCT((NOT(ISBLANK(L$3:L$42))*(L$3:L$42&gt;$LE$3:$LE$42))+ISBLANK(L$3:L$42))</f>
        <v>0</v>
      </c>
      <c r="M50" s="1">
        <f>SUMPRODUCT((NOT(ISBLANK(M$3:M$42))*(M$3:M$42&gt;$LF$3:$LF$42))+ISBLANK(M$3:M$42))</f>
        <v>0</v>
      </c>
      <c r="N50" s="1">
        <f>SUMPRODUCT((NOT(ISBLANK(N$3:N$42))*(N$3:N$42&gt;$LG$3:$LG$42))+ISBLANK(N$3:N$42))</f>
        <v>0</v>
      </c>
      <c r="O50" s="1">
        <f>SUMPRODUCT((NOT(ISBLANK(O$3:O$42))*(O$3:O$42&gt;$LH$3:$LH$42))+ISBLANK(O$3:O$42))</f>
        <v>0</v>
      </c>
      <c r="P50" s="1"/>
      <c r="Q50" s="1">
        <f>SUMPRODUCT((NOT(ISBLANK(Q$3:Q$42))*(Q$3:Q$42&gt;$LI$3:$LI$42))+ISBLANK(Q$3:Q$42))</f>
        <v>0</v>
      </c>
      <c r="R50" s="1">
        <f>SUMPRODUCT((NOT(ISBLANK(R$3:R$42))*(R$3:R$42&gt;$LJ$3:$LJ$42))+ISBLANK(R$3:R$42))</f>
        <v>0</v>
      </c>
      <c r="S50" s="1">
        <f>SUMPRODUCT((NOT(ISBLANK(S$3:S$42))*(S$3:S$42&gt;$LK$3:$LK$42))+ISBLANK(S$3:S$42))</f>
        <v>0</v>
      </c>
      <c r="T50" s="1">
        <f>SUMPRODUCT((NOT(ISBLANK(T$3:T$42))*(T$3:T$42&gt;$KU$3:$KU$42))+ISBLANK(T$3:T$42))</f>
        <v>0</v>
      </c>
      <c r="U50" s="1">
        <f>SUMPRODUCT((NOT(ISBLANK(U$3:U$42))*(U$3:U$42&gt;$KV$3:$KV$42))+ISBLANK(U$3:U$42))</f>
        <v>0</v>
      </c>
      <c r="V50" s="1">
        <f>SUMPRODUCT((NOT(ISBLANK(V$3:V$42))*(V$3:V$42&gt;$KW$3:$KW$42))+ISBLANK(V$3:V$42))</f>
        <v>0</v>
      </c>
      <c r="W50" s="1">
        <f>SUMPRODUCT((NOT(ISBLANK(W$3:W$42))*(W$3:W$42&gt;$KX$3:$KX$42))+ISBLANK(W$3:W$42))</f>
        <v>0</v>
      </c>
      <c r="X50" s="1">
        <f>SUMPRODUCT((NOT(ISBLANK(X$3:X$42))*(X$3:X$42&gt;$KY$3:$KY$42))+ISBLANK(X$3:X$42))</f>
        <v>0</v>
      </c>
      <c r="Y50" s="1">
        <f>SUMPRODUCT((NOT(ISBLANK(Y$3:Y$42))*(Y$3:Y$42&gt;$KZ$3:$KZ$42))+ISBLANK(Y$3:Y$42))</f>
        <v>0</v>
      </c>
      <c r="Z50" s="1">
        <f>SUMPRODUCT((NOT(ISBLANK(Z$3:Z$42))*(Z$3:Z$42&gt;$LA$3:$LA$42))+ISBLANK(Z$3:Z$42))</f>
        <v>0</v>
      </c>
      <c r="AA50" s="1">
        <f>SUMPRODUCT((NOT(ISBLANK(AA$3:AA$42))*(AA$3:AA$42&gt;$LB$3:$LB$42))+ISBLANK(AA$3:AA$42))</f>
        <v>0</v>
      </c>
      <c r="AB50" s="1">
        <f>SUMPRODUCT((NOT(ISBLANK(AB$3:AB$42))*(AB$3:AB$42&gt;$LC$3:$LC$42))+ISBLANK(AB$3:AB$42))</f>
        <v>0</v>
      </c>
      <c r="AC50" s="1">
        <f>SUMPRODUCT((NOT(ISBLANK(AC$3:AC$42))*(AC$3:AC$42&gt;$LD$3:$LD$42))+ISBLANK(AC$3:AC$42))</f>
        <v>0</v>
      </c>
      <c r="AD50" s="1">
        <f>SUMPRODUCT((NOT(ISBLANK(AD$3:AD$42))*(AD$3:AD$42&gt;$LE$3:$LE$42))+ISBLANK(AD$3:AD$42))</f>
        <v>0</v>
      </c>
      <c r="AE50" s="1">
        <f>SUMPRODUCT((NOT(ISBLANK(AE$3:AE$42))*(AE$3:AE$42&gt;$LF$3:$LF$42))+ISBLANK(AE$3:AE$42))</f>
        <v>0</v>
      </c>
      <c r="AF50" s="1">
        <f>SUMPRODUCT((NOT(ISBLANK(AF$3:AF$42))*(AF$3:AF$42&gt;$LG$3:$LG$42))+ISBLANK(AF$3:AF$42))</f>
        <v>0</v>
      </c>
      <c r="AG50" s="1">
        <f>SUMPRODUCT((NOT(ISBLANK(AG$3:AG$42))*(AG$3:AG$42&gt;$LH$3:$LH$42))+ISBLANK(AG$3:AG$42))</f>
        <v>0</v>
      </c>
      <c r="AH50" s="1"/>
      <c r="AI50" s="1">
        <f>SUMPRODUCT((NOT(ISBLANK(AI$3:AI$42))*(AI$3:AI$42&gt;$LI$3:$LI$42))+ISBLANK(AI$3:AI$42))</f>
        <v>0</v>
      </c>
      <c r="AJ50" s="1">
        <f>SUMPRODUCT((NOT(ISBLANK(AJ$3:AJ$42))*(AJ$3:AJ$42&gt;$LJ$3:$LJ$42))+ISBLANK(AJ$3:AJ$42))</f>
        <v>0</v>
      </c>
      <c r="AK50" s="1">
        <f>SUMPRODUCT((NOT(ISBLANK(AK$3:AK$42))*(AK$3:AK$42&gt;$LK$3:$LK$42))+ISBLANK(AK$3:AK$42))</f>
        <v>0</v>
      </c>
      <c r="AL50" s="1">
        <f>SUMPRODUCT((NOT(ISBLANK(AL$3:AL$42))*(AL$3:AL$42&gt;$KU$3:$KU$42))+ISBLANK(AL$3:AL$42))</f>
        <v>0</v>
      </c>
      <c r="AM50" s="1">
        <f>SUMPRODUCT((NOT(ISBLANK(AM$3:AM$42))*(AM$3:AM$42&gt;$KV$3:$KV$42))+ISBLANK(AM$3:AM$42))</f>
        <v>0</v>
      </c>
      <c r="AN50" s="1">
        <f>SUMPRODUCT((NOT(ISBLANK(AN$3:AN$42))*(AN$3:AN$42&gt;$KW$3:$KW$42))+ISBLANK(AN$3:AN$42))</f>
        <v>0</v>
      </c>
      <c r="AO50" s="1">
        <f>SUMPRODUCT((NOT(ISBLANK(AO$3:AO$42))*(AO$3:AO$42&gt;$KX$3:$KX$42))+ISBLANK(AO$3:AO$42))</f>
        <v>0</v>
      </c>
      <c r="AP50" s="1">
        <f>SUMPRODUCT((NOT(ISBLANK(AP$3:AP$42))*(AP$3:AP$42&gt;$KY$3:$KY$42))+ISBLANK(AP$3:AP$42))</f>
        <v>0</v>
      </c>
      <c r="AQ50" s="1">
        <f>SUMPRODUCT((NOT(ISBLANK(AQ$3:AQ$42))*(AQ$3:AQ$42&gt;$KZ$3:$KZ$42))+ISBLANK(AQ$3:AQ$42))</f>
        <v>0</v>
      </c>
      <c r="AR50" s="1">
        <f>SUMPRODUCT((NOT(ISBLANK(AR$3:AR$42))*(AR$3:AR$42&gt;$LA$3:$LA$42))+ISBLANK(AR$3:AR$42))</f>
        <v>0</v>
      </c>
      <c r="AS50" s="1">
        <f>SUMPRODUCT((NOT(ISBLANK(AS$3:AS$42))*(AS$3:AS$42&gt;$LB$3:$LB$42))+ISBLANK(AS$3:AS$42))</f>
        <v>0</v>
      </c>
      <c r="AT50" s="1">
        <f>SUMPRODUCT((NOT(ISBLANK(AT$3:AT$42))*(AT$3:AT$42&gt;$LC$3:$LC$42))+ISBLANK(AT$3:AT$42))</f>
        <v>0</v>
      </c>
      <c r="AU50" s="1">
        <f>SUMPRODUCT((NOT(ISBLANK(AU$3:AU$42))*(AU$3:AU$42&gt;$LD$3:$LD$42))+ISBLANK(AU$3:AU$42))</f>
        <v>0</v>
      </c>
      <c r="AV50" s="1">
        <f>SUMPRODUCT((NOT(ISBLANK(AV$3:AV$42))*(AV$3:AV$42&gt;$LE$3:$LE$42))+ISBLANK(AV$3:AV$42))</f>
        <v>0</v>
      </c>
      <c r="AW50" s="1">
        <f>SUMPRODUCT((NOT(ISBLANK(AW$3:AW$42))*(AW$3:AW$42&gt;$LF$3:$LF$42))+ISBLANK(AW$3:AW$42))</f>
        <v>0</v>
      </c>
      <c r="AX50" s="1">
        <f>SUMPRODUCT((NOT(ISBLANK(AX$3:AX$42))*(AX$3:AX$42&gt;$LG$3:$LG$42))+ISBLANK(AX$3:AX$42))</f>
        <v>0</v>
      </c>
      <c r="AY50" s="1">
        <f>SUMPRODUCT((NOT(ISBLANK(AY$3:AY$42))*(AY$3:AY$42&gt;$LH$3:$LH$42))+ISBLANK(AY$3:AY$42))</f>
        <v>0</v>
      </c>
      <c r="AZ50" s="1"/>
      <c r="BA50" s="1">
        <f>SUMPRODUCT((NOT(ISBLANK(BA$3:BA$42))*(BA$3:BA$42&gt;$LI$3:$LI$42))+ISBLANK(BA$3:BA$42))</f>
        <v>0</v>
      </c>
      <c r="BB50" s="1">
        <f>SUMPRODUCT((NOT(ISBLANK(BB$3:BB$42))*(BB$3:BB$42&gt;$LJ$3:$LJ$42))+ISBLANK(BB$3:BB$42))</f>
        <v>0</v>
      </c>
      <c r="BC50" s="1">
        <f>SUMPRODUCT((NOT(ISBLANK(BC$3:BC$42))*(BC$3:BC$42&gt;$LK$3:$LK$42))+ISBLANK(BC$3:BC$42))</f>
        <v>0</v>
      </c>
      <c r="BD50" s="1">
        <f>SUMPRODUCT((NOT(ISBLANK(BD$3:BD$42))*(BD$3:BD$42&gt;$KU$3:$KU$42))+ISBLANK(BD$3:BD$42))</f>
        <v>0</v>
      </c>
      <c r="BE50" s="1">
        <f>SUMPRODUCT((NOT(ISBLANK(BE$3:BE$42))*(BE$3:BE$42&gt;$KV$3:$KV$42))+ISBLANK(BE$3:BE$42))</f>
        <v>0</v>
      </c>
      <c r="BF50" s="1">
        <f>SUMPRODUCT((NOT(ISBLANK(BF$3:BF$42))*(BF$3:BF$42&gt;$KW$3:$KW$42))+ISBLANK(BF$3:BF$42))</f>
        <v>0</v>
      </c>
      <c r="BG50" s="1">
        <f>SUMPRODUCT((NOT(ISBLANK(BG$3:BG$42))*(BG$3:BG$42&gt;$KX$3:$KX$42))+ISBLANK(BG$3:BG$42))</f>
        <v>0</v>
      </c>
      <c r="BH50" s="1">
        <f>SUMPRODUCT((NOT(ISBLANK(BH$3:BH$42))*(BH$3:BH$42&gt;$KY$3:$KY$42))+ISBLANK(BH$3:BH$42))</f>
        <v>0</v>
      </c>
      <c r="BI50" s="1">
        <f>SUMPRODUCT((NOT(ISBLANK(BI$3:BI$42))*(BI$3:BI$42&gt;$KZ$3:$KZ$42))+ISBLANK(BI$3:BI$42))</f>
        <v>0</v>
      </c>
      <c r="BJ50" s="1">
        <f>SUMPRODUCT((NOT(ISBLANK(BJ$3:BJ$42))*(BJ$3:BJ$42&gt;$LA$3:$LA$42))+ISBLANK(BJ$3:BJ$42))</f>
        <v>0</v>
      </c>
      <c r="BK50" s="1">
        <f>SUMPRODUCT((NOT(ISBLANK(BK$3:BK$42))*(BK$3:BK$42&gt;$LB$3:$LB$42))+ISBLANK(BK$3:BK$42))</f>
        <v>0</v>
      </c>
      <c r="BL50" s="1">
        <f>SUMPRODUCT((NOT(ISBLANK(BL$3:BL$42))*(BL$3:BL$42&gt;$LC$3:$LC$42))+ISBLANK(BL$3:BL$42))</f>
        <v>0</v>
      </c>
      <c r="BM50" s="1">
        <f>SUMPRODUCT((NOT(ISBLANK(BM$3:BM$42))*(BM$3:BM$42&gt;$LD$3:$LD$42))+ISBLANK(BM$3:BM$42))</f>
        <v>0</v>
      </c>
      <c r="BN50" s="1">
        <f>SUMPRODUCT((NOT(ISBLANK(BN$3:BN$42))*(BN$3:BN$42&gt;$LE$3:$LE$42))+ISBLANK(BN$3:BN$42))</f>
        <v>0</v>
      </c>
      <c r="BO50" s="1">
        <f>SUMPRODUCT((NOT(ISBLANK(BO$3:BO$42))*(BO$3:BO$42&gt;$LF$3:$LF$42))+ISBLANK(BO$3:BO$42))</f>
        <v>0</v>
      </c>
      <c r="BP50" s="1">
        <f>SUMPRODUCT((NOT(ISBLANK(BP$3:BP$42))*(BP$3:BP$42&gt;$LG$3:$LG$42))+ISBLANK(BP$3:BP$42))</f>
        <v>0</v>
      </c>
      <c r="BQ50" s="1">
        <f>SUMPRODUCT((NOT(ISBLANK(BQ$3:BQ$42))*(BQ$3:BQ$42&gt;$LH$3:$LH$42))+ISBLANK(BQ$3:BQ$42))</f>
        <v>0</v>
      </c>
      <c r="BR50" s="1"/>
      <c r="BS50" s="1">
        <f>SUMPRODUCT((NOT(ISBLANK(BS$3:BS$42))*(BS$3:BS$42&gt;$LI$3:$LI$42))+ISBLANK(BS$3:BS$42))</f>
        <v>0</v>
      </c>
      <c r="BT50" s="1">
        <f>SUMPRODUCT((NOT(ISBLANK(BT$3:BT$42))*(BT$3:BT$42&gt;$LJ$3:$LJ$42))+ISBLANK(BT$3:BT$42))</f>
        <v>0</v>
      </c>
      <c r="BU50" s="1">
        <f>SUMPRODUCT((NOT(ISBLANK(BU$3:BU$42))*(BU$3:BU$42&gt;$LK$3:$LK$42))+ISBLANK(BU$3:BU$42))</f>
        <v>0</v>
      </c>
      <c r="BV50" s="1">
        <f>SUMPRODUCT((NOT(ISBLANK(BV$3:BV$42))*(BV$3:BV$42&gt;$KU$3:$KU$42))+ISBLANK(BV$3:BV$42))</f>
        <v>0</v>
      </c>
      <c r="BW50" s="1">
        <f>SUMPRODUCT((NOT(ISBLANK(BW$3:BW$42))*(BW$3:BW$42&gt;$KV$3:$KV$42))+ISBLANK(BW$3:BW$42))</f>
        <v>0</v>
      </c>
      <c r="BX50" s="1">
        <f>SUMPRODUCT((NOT(ISBLANK(BX$3:BX$42))*(BX$3:BX$42&gt;$KW$3:$KW$42))+ISBLANK(BX$3:BX$42))</f>
        <v>0</v>
      </c>
      <c r="BY50" s="1">
        <f>SUMPRODUCT((NOT(ISBLANK(BY$3:BY$42))*(BY$3:BY$42&gt;$KX$3:$KX$42))+ISBLANK(BY$3:BY$42))</f>
        <v>0</v>
      </c>
      <c r="BZ50" s="1">
        <f>SUMPRODUCT((NOT(ISBLANK(BZ$3:BZ$42))*(BZ$3:BZ$42&gt;$KY$3:$KY$42))+ISBLANK(BZ$3:BZ$42))</f>
        <v>0</v>
      </c>
      <c r="CA50" s="1">
        <f>SUMPRODUCT((NOT(ISBLANK(CA$3:CA$42))*(CA$3:CA$42&gt;$KZ$3:$KZ$42))+ISBLANK(CA$3:CA$42))</f>
        <v>0</v>
      </c>
      <c r="CB50" s="1">
        <f>SUMPRODUCT((NOT(ISBLANK(CB$3:CB$42))*(CB$3:CB$42&gt;$LA$3:$LA$42))+ISBLANK(CB$3:CB$42))</f>
        <v>0</v>
      </c>
      <c r="CC50" s="1">
        <f>SUMPRODUCT((NOT(ISBLANK(CC$3:CC$42))*(CC$3:CC$42&gt;$LB$3:$LB$42))+ISBLANK(CC$3:CC$42))</f>
        <v>0</v>
      </c>
      <c r="CD50" s="1">
        <f>SUMPRODUCT((NOT(ISBLANK(CD$3:CD$42))*(CD$3:CD$42&gt;$LC$3:$LC$42))+ISBLANK(CD$3:CD$42))</f>
        <v>0</v>
      </c>
      <c r="CE50" s="1">
        <f>SUMPRODUCT((NOT(ISBLANK(CE$3:CE$42))*(CE$3:CE$42&gt;$LD$3:$LD$42))+ISBLANK(CE$3:CE$42))</f>
        <v>0</v>
      </c>
      <c r="CF50" s="1">
        <f>SUMPRODUCT((NOT(ISBLANK(CF$3:CF$42))*(CF$3:CF$42&gt;$LE$3:$LE$42))+ISBLANK(CF$3:CF$42))</f>
        <v>0</v>
      </c>
      <c r="CG50" s="1">
        <f>SUMPRODUCT((NOT(ISBLANK(CG$3:CG$42))*(CG$3:CG$42&gt;$LF$3:$LF$42))+ISBLANK(CG$3:CG$42))</f>
        <v>0</v>
      </c>
      <c r="CH50" s="1">
        <f>SUMPRODUCT((NOT(ISBLANK(CH$3:CH$42))*(CH$3:CH$42&gt;$LG$3:$LG$42))+ISBLANK(CH$3:CH$42))</f>
        <v>0</v>
      </c>
      <c r="CI50" s="1">
        <f>SUMPRODUCT((NOT(ISBLANK(CI$3:CI$42))*(CI$3:CI$42&gt;$LH$3:$LH$42))+ISBLANK(CI$3:CI$42))</f>
        <v>0</v>
      </c>
      <c r="CJ50" s="1"/>
      <c r="CK50" s="1">
        <f>SUMPRODUCT((NOT(ISBLANK(CK$3:CK$42))*(CK$3:CK$42&gt;$LI$3:$LI$42))+ISBLANK(CK$3:CK$42))</f>
        <v>0</v>
      </c>
      <c r="CL50" s="1">
        <f>SUMPRODUCT((NOT(ISBLANK(CL$3:CL$42))*(CL$3:CL$42&gt;$LJ$3:$LJ$42))+ISBLANK(CL$3:CL$42))</f>
        <v>0</v>
      </c>
      <c r="CM50" s="1">
        <f>SUMPRODUCT((NOT(ISBLANK(CM$3:CM$42))*(CM$3:CM$42&gt;$LK$3:$LK$42))+ISBLANK(CM$3:CM$42))</f>
        <v>0</v>
      </c>
      <c r="CN50" s="1">
        <f>SUMPRODUCT((NOT(ISBLANK(CN$3:CN$42))*(CN$3:CN$42&gt;$KU$3:$KU$42))+ISBLANK(CN$3:CN$42))</f>
        <v>0</v>
      </c>
      <c r="CO50" s="1">
        <f>SUMPRODUCT((NOT(ISBLANK(CO$3:CO$42))*(CO$3:CO$42&gt;$KV$3:$KV$42))+ISBLANK(CO$3:CO$42))</f>
        <v>0</v>
      </c>
      <c r="CP50" s="1">
        <f>SUMPRODUCT((NOT(ISBLANK(CP$3:CP$42))*(CP$3:CP$42&gt;$KW$3:$KW$42))+ISBLANK(CP$3:CP$42))</f>
        <v>0</v>
      </c>
      <c r="CQ50" s="1">
        <f>SUMPRODUCT((NOT(ISBLANK(CQ$3:CQ$42))*(CQ$3:CQ$42&gt;$KX$3:$KX$42))+ISBLANK(CQ$3:CQ$42))</f>
        <v>0</v>
      </c>
      <c r="CR50" s="1">
        <f>SUMPRODUCT((NOT(ISBLANK(CR$3:CR$42))*(CR$3:CR$42&gt;$KY$3:$KY$42))+ISBLANK(CR$3:CR$42))</f>
        <v>0</v>
      </c>
      <c r="CS50" s="1">
        <f>SUMPRODUCT((NOT(ISBLANK(CS$3:CS$42))*(CS$3:CS$42&gt;$KZ$3:$KZ$42))+ISBLANK(CS$3:CS$42))</f>
        <v>0</v>
      </c>
      <c r="CT50" s="1">
        <f>SUMPRODUCT((NOT(ISBLANK(CT$3:CT$42))*(CT$3:CT$42&gt;$LA$3:$LA$42))+ISBLANK(CT$3:CT$42))</f>
        <v>0</v>
      </c>
      <c r="CU50" s="1">
        <f>SUMPRODUCT((NOT(ISBLANK(CU$3:CU$42))*(CU$3:CU$42&gt;$LB$3:$LB$42))+ISBLANK(CU$3:CU$42))</f>
        <v>0</v>
      </c>
      <c r="CV50" s="1">
        <f>SUMPRODUCT((NOT(ISBLANK(CV$3:CV$42))*(CV$3:CV$42&gt;$LC$3:$LC$42))+ISBLANK(CV$3:CV$42))</f>
        <v>0</v>
      </c>
      <c r="CW50" s="1">
        <f>SUMPRODUCT((NOT(ISBLANK(CW$3:CW$42))*(CW$3:CW$42&gt;$LD$3:$LD$42))+ISBLANK(CW$3:CW$42))</f>
        <v>0</v>
      </c>
      <c r="CX50" s="1">
        <f>SUMPRODUCT((NOT(ISBLANK(CX$3:CX$42))*(CX$3:CX$42&gt;$LE$3:$LE$42))+ISBLANK(CX$3:CX$42))</f>
        <v>0</v>
      </c>
      <c r="CY50" s="1">
        <f>SUMPRODUCT((NOT(ISBLANK(CY$3:CY$42))*(CY$3:CY$42&gt;$LF$3:$LF$42))+ISBLANK(CY$3:CY$42))</f>
        <v>0</v>
      </c>
      <c r="CZ50" s="1">
        <f>SUMPRODUCT((NOT(ISBLANK(CZ$3:CZ$42))*(CZ$3:CZ$42&gt;$LG$3:$LG$42))+ISBLANK(CZ$3:CZ$42))</f>
        <v>0</v>
      </c>
      <c r="DA50" s="1">
        <f>SUMPRODUCT((NOT(ISBLANK(DA$3:DA$42))*(DA$3:DA$42&gt;$LH$3:$LH$42))+ISBLANK(DA$3:DA$42))</f>
        <v>0</v>
      </c>
      <c r="DB50" s="1"/>
      <c r="DC50" s="1">
        <f>SUMPRODUCT((NOT(ISBLANK(DC$3:DC$42))*(DC$3:DC$42&gt;$LI$3:$LI$42))+ISBLANK(DC$3:DC$42))</f>
        <v>0</v>
      </c>
      <c r="DD50" s="1">
        <f>SUMPRODUCT((NOT(ISBLANK(DD$3:DD$42))*(DD$3:DD$42&gt;$LJ$3:$LJ$42))+ISBLANK(DD$3:DD$42))</f>
        <v>0</v>
      </c>
      <c r="DE50" s="1">
        <f>SUMPRODUCT((NOT(ISBLANK(DE$3:DE$42))*(DE$3:DE$42&gt;$LK$3:$LK$42))+ISBLANK(DE$3:DE$42))</f>
        <v>0</v>
      </c>
      <c r="DF50" s="1">
        <f>SUMPRODUCT((NOT(ISBLANK(DF$3:DF$42))*(DF$3:DF$42&gt;$KU$3:$KU$42))+ISBLANK(DF$3:DF$42))</f>
        <v>0</v>
      </c>
      <c r="DG50" s="1">
        <f>SUMPRODUCT((NOT(ISBLANK(DG$3:DG$42))*(DG$3:DG$42&gt;$KV$3:$KV$42))+ISBLANK(DG$3:DG$42))</f>
        <v>0</v>
      </c>
      <c r="DH50" s="1">
        <f>SUMPRODUCT((NOT(ISBLANK(DH$3:DH$42))*(DH$3:DH$42&gt;$KW$3:$KW$42))+ISBLANK(DH$3:DH$42))</f>
        <v>0</v>
      </c>
      <c r="DI50" s="1">
        <f>SUMPRODUCT((NOT(ISBLANK(DI$3:DI$42))*(DI$3:DI$42&gt;$KX$3:$KX$42))+ISBLANK(DI$3:DI$42))</f>
        <v>0</v>
      </c>
      <c r="DJ50" s="1">
        <f>SUMPRODUCT((NOT(ISBLANK(DJ$3:DJ$42))*(DJ$3:DJ$42&gt;$KY$3:$KY$42))+ISBLANK(DJ$3:DJ$42))</f>
        <v>0</v>
      </c>
      <c r="DK50" s="1">
        <f>SUMPRODUCT((NOT(ISBLANK(DK$3:DK$42))*(DK$3:DK$42&gt;$KZ$3:$KZ$42))+ISBLANK(DK$3:DK$42))</f>
        <v>0</v>
      </c>
      <c r="DL50" s="1">
        <f>SUMPRODUCT((NOT(ISBLANK(DL$3:DL$42))*(DL$3:DL$42&gt;$LA$3:$LA$42))+ISBLANK(DL$3:DL$42))</f>
        <v>0</v>
      </c>
      <c r="DM50" s="1">
        <f>SUMPRODUCT((NOT(ISBLANK(DM$3:DM$42))*(DM$3:DM$42&gt;$LB$3:$LB$42))+ISBLANK(DM$3:DM$42))</f>
        <v>0</v>
      </c>
      <c r="DN50" s="1">
        <f>SUMPRODUCT((NOT(ISBLANK(DN$3:DN$42))*(DN$3:DN$42&gt;$LC$3:$LC$42))+ISBLANK(DN$3:DN$42))</f>
        <v>0</v>
      </c>
      <c r="DO50" s="1">
        <f>SUMPRODUCT((NOT(ISBLANK(DO$3:DO$42))*(DO$3:DO$42&gt;$LD$3:$LD$42))+ISBLANK(DO$3:DO$42))</f>
        <v>0</v>
      </c>
      <c r="DP50" s="1">
        <f>SUMPRODUCT((NOT(ISBLANK(DP$3:DP$42))*(DP$3:DP$42&gt;$LE$3:$LE$42))+ISBLANK(DP$3:DP$42))</f>
        <v>0</v>
      </c>
      <c r="DQ50" s="1">
        <f>SUMPRODUCT((NOT(ISBLANK(DQ$3:DQ$42))*(DQ$3:DQ$42&gt;$LF$3:$LF$42))+ISBLANK(DQ$3:DQ$42))</f>
        <v>0</v>
      </c>
      <c r="DR50" s="1">
        <f>SUMPRODUCT((NOT(ISBLANK(DR$3:DR$42))*(DR$3:DR$42&gt;$LG$3:$LG$42))+ISBLANK(DR$3:DR$42))</f>
        <v>0</v>
      </c>
      <c r="DS50" s="1">
        <f>SUMPRODUCT((NOT(ISBLANK(DS$3:DS$42))*(DS$3:DS$42&gt;$LH$3:$LH$42))+ISBLANK(DS$3:DS$42))</f>
        <v>0</v>
      </c>
      <c r="DT50" s="1"/>
      <c r="DU50" s="1">
        <f>SUMPRODUCT((NOT(ISBLANK(DU$3:DU$42))*(DU$3:DU$42&gt;$LI$3:$LI$42))+ISBLANK(DU$3:DU$42))</f>
        <v>0</v>
      </c>
      <c r="DV50" s="1">
        <f>SUMPRODUCT((NOT(ISBLANK(DV$3:DV$42))*(DV$3:DV$42&gt;$LJ$3:$LJ$42))+ISBLANK(DV$3:DV$42))</f>
        <v>0</v>
      </c>
      <c r="DW50" s="1">
        <f>SUMPRODUCT((NOT(ISBLANK(DW$3:DW$42))*(DW$3:DW$42&gt;$LK$3:$LK$42))+ISBLANK(DW$3:DW$42))</f>
        <v>0</v>
      </c>
      <c r="DX50" s="1">
        <f>SUMPRODUCT((NOT(ISBLANK(DX$3:DX$42))*(DX$3:DX$42&gt;$KU$3:$KU$42))+ISBLANK(DX$3:DX$42))</f>
        <v>0</v>
      </c>
      <c r="DY50" s="1">
        <f>SUMPRODUCT((NOT(ISBLANK(DY$3:DY$42))*(DY$3:DY$42&gt;$KV$3:$KV$42))+ISBLANK(DY$3:DY$42))</f>
        <v>0</v>
      </c>
      <c r="DZ50" s="1">
        <f>SUMPRODUCT((NOT(ISBLANK(DZ$3:DZ$42))*(DZ$3:DZ$42&gt;$KW$3:$KW$42))+ISBLANK(DZ$3:DZ$42))</f>
        <v>0</v>
      </c>
      <c r="EA50" s="1">
        <f>SUMPRODUCT((NOT(ISBLANK(EA$3:EA$42))*(EA$3:EA$42&gt;$KX$3:$KX$42))+ISBLANK(EA$3:EA$42))</f>
        <v>0</v>
      </c>
      <c r="EB50" s="1">
        <f>SUMPRODUCT((NOT(ISBLANK(EB$3:EB$42))*(EB$3:EB$42&gt;$KY$3:$KY$42))+ISBLANK(EB$3:EB$42))</f>
        <v>0</v>
      </c>
      <c r="EC50" s="1">
        <f>SUMPRODUCT((NOT(ISBLANK(EC$3:EC$42))*(EC$3:EC$42&gt;$KZ$3:$KZ$42))+ISBLANK(EC$3:EC$42))</f>
        <v>0</v>
      </c>
      <c r="ED50" s="1">
        <f>SUMPRODUCT((NOT(ISBLANK(ED$3:ED$42))*(ED$3:ED$42&gt;$LA$3:$LA$42))+ISBLANK(ED$3:ED$42))</f>
        <v>0</v>
      </c>
      <c r="EE50" s="1">
        <f>SUMPRODUCT((NOT(ISBLANK(EE$3:EE$42))*(EE$3:EE$42&gt;$LB$3:$LB$42))+ISBLANK(EE$3:EE$42))</f>
        <v>0</v>
      </c>
      <c r="EF50" s="1">
        <f>SUMPRODUCT((NOT(ISBLANK(EF$3:EF$42))*(EF$3:EF$42&gt;$LC$3:$LC$42))+ISBLANK(EF$3:EF$42))</f>
        <v>0</v>
      </c>
      <c r="EG50" s="1">
        <f>SUMPRODUCT((NOT(ISBLANK(EG$3:EG$42))*(EG$3:EG$42&gt;$LD$3:$LD$42))+ISBLANK(EG$3:EG$42))</f>
        <v>0</v>
      </c>
      <c r="EH50" s="1">
        <f>SUMPRODUCT((NOT(ISBLANK(EH$3:EH$42))*(EH$3:EH$42&gt;$LE$3:$LE$42))+ISBLANK(EH$3:EH$42))</f>
        <v>0</v>
      </c>
      <c r="EI50" s="1">
        <f>SUMPRODUCT((NOT(ISBLANK(EI$3:EI$42))*(EI$3:EI$42&gt;$LF$3:$LF$42))+ISBLANK(EI$3:EI$42))</f>
        <v>0</v>
      </c>
      <c r="EJ50" s="1">
        <f>SUMPRODUCT((NOT(ISBLANK(EJ$3:EJ$42))*(EJ$3:EJ$42&gt;$LG$3:$LG$42))+ISBLANK(EJ$3:EJ$42))</f>
        <v>0</v>
      </c>
      <c r="EK50" s="1">
        <f>SUMPRODUCT((NOT(ISBLANK(EK$3:EK$42))*(EK$3:EK$42&gt;$LH$3:$LH$42))+ISBLANK(EK$3:EK$42))</f>
        <v>0</v>
      </c>
      <c r="EL50" s="1"/>
      <c r="EM50" s="1">
        <f>SUMPRODUCT((NOT(ISBLANK(EM$3:EM$42))*(EM$3:EM$42&gt;$LI$3:$LI$42))+ISBLANK(EM$3:EM$42))</f>
        <v>0</v>
      </c>
      <c r="EN50" s="1">
        <f>SUMPRODUCT((NOT(ISBLANK(EN$3:EN$42))*(EN$3:EN$42&gt;$LJ$3:$LJ$42))+ISBLANK(EN$3:EN$42))</f>
        <v>0</v>
      </c>
      <c r="EO50" s="1">
        <f>SUMPRODUCT((NOT(ISBLANK(EO$3:EO$42))*(EO$3:EO$42&gt;$LK$3:$LK$42))+ISBLANK(EO$3:EO$42))</f>
        <v>0</v>
      </c>
      <c r="EP50" s="1">
        <f>SUMPRODUCT((NOT(ISBLANK(EP$3:EP$42))*(EP$3:EP$42&gt;$KU$3:$KU$42))+ISBLANK(EP$3:EP$42))</f>
        <v>0</v>
      </c>
      <c r="EQ50" s="1">
        <f>SUMPRODUCT((NOT(ISBLANK(EQ$3:EQ$42))*(EQ$3:EQ$42&gt;$KV$3:$KV$42))+ISBLANK(EQ$3:EQ$42))</f>
        <v>0</v>
      </c>
      <c r="ER50" s="1">
        <f>SUMPRODUCT((NOT(ISBLANK(ER$3:ER$42))*(ER$3:ER$42&gt;$KW$3:$KW$42))+ISBLANK(ER$3:ER$42))</f>
        <v>0</v>
      </c>
      <c r="ES50" s="1">
        <f>SUMPRODUCT((NOT(ISBLANK(ES$3:ES$42))*(ES$3:ES$42&gt;$KX$3:$KX$42))+ISBLANK(ES$3:ES$42))</f>
        <v>0</v>
      </c>
      <c r="ET50" s="1">
        <f>SUMPRODUCT((NOT(ISBLANK(ET$3:ET$42))*(ET$3:ET$42&gt;$KY$3:$KY$42))+ISBLANK(ET$3:ET$42))</f>
        <v>0</v>
      </c>
      <c r="EU50" s="1">
        <f>SUMPRODUCT((NOT(ISBLANK(EU$3:EU$42))*(EU$3:EU$42&gt;$KZ$3:$KZ$42))+ISBLANK(EU$3:EU$42))</f>
        <v>0</v>
      </c>
      <c r="EV50" s="1">
        <f>SUMPRODUCT((NOT(ISBLANK(EV$3:EV$42))*(EV$3:EV$42&gt;$LA$3:$LA$42))+ISBLANK(EV$3:EV$42))</f>
        <v>0</v>
      </c>
      <c r="EW50" s="1">
        <f>SUMPRODUCT((NOT(ISBLANK(EW$3:EW$42))*(EW$3:EW$42&gt;$LB$3:$LB$42))+ISBLANK(EW$3:EW$42))</f>
        <v>0</v>
      </c>
      <c r="EX50" s="1">
        <f>SUMPRODUCT((NOT(ISBLANK(EX$3:EX$42))*(EX$3:EX$42&gt;$LC$3:$LC$42))+ISBLANK(EX$3:EX$42))</f>
        <v>0</v>
      </c>
      <c r="EY50" s="1">
        <f>SUMPRODUCT((NOT(ISBLANK(EY$3:EY$42))*(EY$3:EY$42&gt;$LD$3:$LD$42))+ISBLANK(EY$3:EY$42))</f>
        <v>0</v>
      </c>
      <c r="EZ50" s="1">
        <f>SUMPRODUCT((NOT(ISBLANK(EZ$3:EZ$42))*(EZ$3:EZ$42&gt;$LE$3:$LE$42))+ISBLANK(EZ$3:EZ$42))</f>
        <v>0</v>
      </c>
      <c r="FA50" s="1">
        <f>SUMPRODUCT((NOT(ISBLANK(FA$3:FA$42))*(FA$3:FA$42&gt;$LF$3:$LF$42))+ISBLANK(FA$3:FA$42))</f>
        <v>0</v>
      </c>
      <c r="FB50" s="1">
        <f>SUMPRODUCT((NOT(ISBLANK(FB$3:FB$42))*(FB$3:FB$42&gt;$LG$3:$LG$42))+ISBLANK(FB$3:FB$42))</f>
        <v>0</v>
      </c>
      <c r="FC50" s="1">
        <f>SUMPRODUCT((NOT(ISBLANK(FC$3:FC$42))*(FC$3:FC$42&gt;$LH$3:$LH$42))+ISBLANK(FC$3:FC$42))</f>
        <v>0</v>
      </c>
      <c r="FD50" s="1"/>
      <c r="FE50" s="1">
        <f>SUMPRODUCT((NOT(ISBLANK(FE$3:FE$42))*(FE$3:FE$42&gt;$LI$3:$LI$42))+ISBLANK(FE$3:FE$42))</f>
        <v>0</v>
      </c>
      <c r="FF50" s="1">
        <f>SUMPRODUCT((NOT(ISBLANK(FF$3:FF$42))*(FF$3:FF$42&gt;$LJ$3:$LJ$42))+ISBLANK(FF$3:FF$42))</f>
        <v>0</v>
      </c>
      <c r="FG50" s="1">
        <f>SUMPRODUCT((NOT(ISBLANK(FG$3:FG$42))*(FG$3:FG$42&gt;$LK$3:$LK$42))+ISBLANK(FG$3:FG$42))</f>
        <v>0</v>
      </c>
      <c r="FH50" s="1">
        <f>SUMPRODUCT((NOT(ISBLANK(FH$3:FH$42))*(FH$3:FH$42&gt;$KU$3:$KU$42))+ISBLANK(FH$3:FH$42))</f>
        <v>0</v>
      </c>
      <c r="FI50" s="1">
        <f>SUMPRODUCT((NOT(ISBLANK(FI$3:FI$42))*(FI$3:FI$42&gt;$KV$3:$KV$42))+ISBLANK(FI$3:FI$42))</f>
        <v>0</v>
      </c>
      <c r="FJ50" s="1">
        <f>SUMPRODUCT((NOT(ISBLANK(FJ$3:FJ$42))*(FJ$3:FJ$42&gt;$KW$3:$KW$42))+ISBLANK(FJ$3:FJ$42))</f>
        <v>0</v>
      </c>
      <c r="FK50" s="1">
        <f>SUMPRODUCT((NOT(ISBLANK(FK$3:FK$42))*(FK$3:FK$42&gt;$KX$3:$KX$42))+ISBLANK(FK$3:FK$42))</f>
        <v>0</v>
      </c>
      <c r="FL50" s="1">
        <f>SUMPRODUCT((NOT(ISBLANK(FL$3:FL$42))*(FL$3:FL$42&gt;$KY$3:$KY$42))+ISBLANK(FL$3:FL$42))</f>
        <v>0</v>
      </c>
      <c r="FM50" s="1">
        <f>SUMPRODUCT((NOT(ISBLANK(FM$3:FM$42))*(FM$3:FM$42&gt;$KZ$3:$KZ$42))+ISBLANK(FM$3:FM$42))</f>
        <v>0</v>
      </c>
      <c r="FN50" s="1">
        <f>SUMPRODUCT((NOT(ISBLANK(FN$3:FN$42))*(FN$3:FN$42&gt;$LA$3:$LA$42))+ISBLANK(FN$3:FN$42))</f>
        <v>0</v>
      </c>
      <c r="FO50" s="1">
        <f>SUMPRODUCT((NOT(ISBLANK(FO$3:FO$42))*(FO$3:FO$42&gt;$LB$3:$LB$42))+ISBLANK(FO$3:FO$42))</f>
        <v>0</v>
      </c>
      <c r="FP50" s="1">
        <f>SUMPRODUCT((NOT(ISBLANK(FP$3:FP$42))*(FP$3:FP$42&gt;$LC$3:$LC$42))+ISBLANK(FP$3:FP$42))</f>
        <v>0</v>
      </c>
      <c r="FQ50" s="1">
        <f>SUMPRODUCT((NOT(ISBLANK(FQ$3:FQ$42))*(FQ$3:FQ$42&gt;$LD$3:$LD$42))+ISBLANK(FQ$3:FQ$42))</f>
        <v>0</v>
      </c>
      <c r="FR50" s="1">
        <f>SUMPRODUCT((NOT(ISBLANK(FR$3:FR$42))*(FR$3:FR$42&gt;$LE$3:$LE$42))+ISBLANK(FR$3:FR$42))</f>
        <v>0</v>
      </c>
      <c r="FS50" s="1">
        <f>SUMPRODUCT((NOT(ISBLANK(FS$3:FS$42))*(FS$3:FS$42&gt;$LF$3:$LF$42))+ISBLANK(FS$3:FS$42))</f>
        <v>0</v>
      </c>
      <c r="FT50" s="1">
        <f>SUMPRODUCT((NOT(ISBLANK(FT$3:FT$42))*(FT$3:FT$42&gt;$LG$3:$LG$42))+ISBLANK(FT$3:FT$42))</f>
        <v>0</v>
      </c>
      <c r="FU50" s="1">
        <f>SUMPRODUCT((NOT(ISBLANK(FU$3:FU$42))*(FU$3:FU$42&gt;$LH$3:$LH$42))+ISBLANK(FU$3:FU$42))</f>
        <v>0</v>
      </c>
      <c r="FV50" s="1"/>
      <c r="FW50" s="1">
        <f>SUMPRODUCT((NOT(ISBLANK(FW$3:FW$42))*(FW$3:FW$42&gt;$LI$3:$LI$42))+ISBLANK(FW$3:FW$42))</f>
        <v>0</v>
      </c>
      <c r="FX50" s="1">
        <f>SUMPRODUCT((NOT(ISBLANK(FX$3:FX$42))*(FX$3:FX$42&gt;$LJ$3:$LJ$42))+ISBLANK(FX$3:FX$42))</f>
        <v>0</v>
      </c>
      <c r="FY50" s="1">
        <f>SUMPRODUCT((NOT(ISBLANK(FY$3:FY$42))*(FY$3:FY$42&gt;$LK$3:$LK$42))+ISBLANK(FY$3:FY$42))</f>
        <v>0</v>
      </c>
      <c r="FZ50" s="1">
        <f>SUMPRODUCT((NOT(ISBLANK(FZ$3:FZ$42))*(FZ$3:FZ$42&gt;$KU$3:$KU$42))+ISBLANK(FZ$3:FZ$42))</f>
        <v>0</v>
      </c>
      <c r="GA50" s="1">
        <f>SUMPRODUCT((NOT(ISBLANK(GA$3:GA$42))*(GA$3:GA$42&gt;$KV$3:$KV$42))+ISBLANK(GA$3:GA$42))</f>
        <v>0</v>
      </c>
      <c r="GB50" s="1">
        <f>SUMPRODUCT((NOT(ISBLANK(GB$3:GB$42))*(GB$3:GB$42&gt;$KW$3:$KW$42))+ISBLANK(GB$3:GB$42))</f>
        <v>0</v>
      </c>
      <c r="GC50" s="1">
        <f>SUMPRODUCT((NOT(ISBLANK(GC$3:GC$42))*(GC$3:GC$42&gt;$KX$3:$KX$42))+ISBLANK(GC$3:GC$42))</f>
        <v>0</v>
      </c>
      <c r="GD50" s="1">
        <f>SUMPRODUCT((NOT(ISBLANK(GD$3:GD$42))*(GD$3:GD$42&gt;$KY$3:$KY$42))+ISBLANK(GD$3:GD$42))</f>
        <v>0</v>
      </c>
      <c r="GE50" s="1">
        <f>SUMPRODUCT((NOT(ISBLANK(GE$3:GE$42))*(GE$3:GE$42&gt;$KZ$3:$KZ$42))+ISBLANK(GE$3:GE$42))</f>
        <v>0</v>
      </c>
      <c r="GF50" s="1">
        <f>SUMPRODUCT((NOT(ISBLANK(GF$3:GF$42))*(GF$3:GF$42&gt;$LA$3:$LA$42))+ISBLANK(GF$3:GF$42))</f>
        <v>0</v>
      </c>
      <c r="GG50" s="1">
        <f>SUMPRODUCT((NOT(ISBLANK(GG$3:GG$42))*(GG$3:GG$42&gt;$LB$3:$LB$42))+ISBLANK(GG$3:GG$42))</f>
        <v>0</v>
      </c>
      <c r="GH50" s="1">
        <f>SUMPRODUCT((NOT(ISBLANK(GH$3:GH$42))*(GH$3:GH$42&gt;$LC$3:$LC$42))+ISBLANK(GH$3:GH$42))</f>
        <v>0</v>
      </c>
      <c r="GI50" s="1">
        <f>SUMPRODUCT((NOT(ISBLANK(GI$3:GI$42))*(GI$3:GI$42&gt;$LD$3:$LD$42))+ISBLANK(GI$3:GI$42))</f>
        <v>0</v>
      </c>
      <c r="GJ50" s="1">
        <f>SUMPRODUCT((NOT(ISBLANK(GJ$3:GJ$42))*(GJ$3:GJ$42&gt;$LE$3:$LE$42))+ISBLANK(GJ$3:GJ$42))</f>
        <v>0</v>
      </c>
      <c r="GK50" s="1">
        <f>SUMPRODUCT((NOT(ISBLANK(GK$3:GK$42))*(GK$3:GK$42&gt;$LF$3:$LF$42))+ISBLANK(GK$3:GK$42))</f>
        <v>0</v>
      </c>
      <c r="GL50" s="1">
        <f>SUMPRODUCT((NOT(ISBLANK(GL$3:GL$42))*(GL$3:GL$42&gt;$LG$3:$LG$42))+ISBLANK(GL$3:GL$42))</f>
        <v>0</v>
      </c>
      <c r="GM50" s="1">
        <f>SUMPRODUCT((NOT(ISBLANK(GM$3:GM$42))*(GM$3:GM$42&gt;$LH$3:$LH$42))+ISBLANK(GM$3:GM$42))</f>
        <v>0</v>
      </c>
      <c r="GN50" s="1"/>
      <c r="GO50" s="1">
        <f>SUMPRODUCT((NOT(ISBLANK(GO$3:GO$42))*(GO$3:GO$42&gt;$LI$3:$LI$42))+ISBLANK(GO$3:GO$42))</f>
        <v>0</v>
      </c>
      <c r="GP50" s="1">
        <f>SUMPRODUCT((NOT(ISBLANK(GP$3:GP$42))*(GP$3:GP$42&gt;$LJ$3:$LJ$42))+ISBLANK(GP$3:GP$42))</f>
        <v>0</v>
      </c>
      <c r="GQ50" s="1">
        <f>SUMPRODUCT((NOT(ISBLANK(GQ$3:GQ$42))*(GQ$3:GQ$42&gt;$LK$3:$LK$42))+ISBLANK(GQ$3:GQ$42))</f>
        <v>0</v>
      </c>
      <c r="GR50" s="1">
        <f>SUMPRODUCT((NOT(ISBLANK(GR$3:GR$42))*(GR$3:GR$42&gt;$KU$3:$KU$42))+ISBLANK(GR$3:GR$42))</f>
        <v>0</v>
      </c>
      <c r="GS50" s="1">
        <f>SUMPRODUCT((NOT(ISBLANK(GS$3:GS$42))*(GS$3:GS$42&gt;$KV$3:$KV$42))+ISBLANK(GS$3:GS$42))</f>
        <v>0</v>
      </c>
      <c r="GT50" s="1">
        <f>SUMPRODUCT((NOT(ISBLANK(GT$3:GT$42))*(GT$3:GT$42&gt;$KW$3:$KW$42))+ISBLANK(GT$3:GT$42))</f>
        <v>0</v>
      </c>
      <c r="GU50" s="1">
        <f>SUMPRODUCT((NOT(ISBLANK(GU$3:GU$42))*(GU$3:GU$42&gt;$KX$3:$KX$42))+ISBLANK(GU$3:GU$42))</f>
        <v>0</v>
      </c>
      <c r="GV50" s="1">
        <f>SUMPRODUCT((NOT(ISBLANK(GV$3:GV$42))*(GV$3:GV$42&gt;$KY$3:$KY$42))+ISBLANK(GV$3:GV$42))</f>
        <v>0</v>
      </c>
      <c r="GW50" s="1">
        <f>SUMPRODUCT((NOT(ISBLANK(GW$3:GW$42))*(GW$3:GW$42&gt;$KZ$3:$KZ$42))+ISBLANK(GW$3:GW$42))</f>
        <v>0</v>
      </c>
      <c r="GX50" s="1">
        <f>SUMPRODUCT((NOT(ISBLANK(GX$3:GX$42))*(GX$3:GX$42&gt;$LA$3:$LA$42))+ISBLANK(GX$3:GX$42))</f>
        <v>0</v>
      </c>
      <c r="GY50" s="1">
        <f>SUMPRODUCT((NOT(ISBLANK(GY$3:GY$42))*(GY$3:GY$42&gt;$LB$3:$LB$42))+ISBLANK(GY$3:GY$42))</f>
        <v>0</v>
      </c>
      <c r="GZ50" s="1">
        <f>SUMPRODUCT((NOT(ISBLANK(GZ$3:GZ$42))*(GZ$3:GZ$42&gt;$LC$3:$LC$42))+ISBLANK(GZ$3:GZ$42))</f>
        <v>0</v>
      </c>
      <c r="HA50" s="1">
        <f>SUMPRODUCT((NOT(ISBLANK(HA$3:HA$42))*(HA$3:HA$42&gt;$LD$3:$LD$42))+ISBLANK(HA$3:HA$42))</f>
        <v>0</v>
      </c>
      <c r="HB50" s="1">
        <f>SUMPRODUCT((NOT(ISBLANK(HB$3:HB$42))*(HB$3:HB$42&gt;$LE$3:$LE$42))+ISBLANK(HB$3:HB$42))</f>
        <v>0</v>
      </c>
      <c r="HC50" s="1">
        <f>SUMPRODUCT((NOT(ISBLANK(HC$3:HC$42))*(HC$3:HC$42&gt;$LF$3:$LF$42))+ISBLANK(HC$3:HC$42))</f>
        <v>0</v>
      </c>
      <c r="HD50" s="1">
        <f>SUMPRODUCT((NOT(ISBLANK(HD$3:HD$42))*(HD$3:HD$42&gt;$LG$3:$LG$42))+ISBLANK(HD$3:HD$42))</f>
        <v>0</v>
      </c>
      <c r="HE50" s="1">
        <f>SUMPRODUCT((NOT(ISBLANK(HE$3:HE$42))*(HE$3:HE$42&gt;$LH$3:$LH$42))+ISBLANK(HE$3:HE$42))</f>
        <v>0</v>
      </c>
      <c r="HF50" s="1"/>
      <c r="HG50" s="1">
        <f>SUMPRODUCT((NOT(ISBLANK(HG$3:HG$42))*(HG$3:HG$42&gt;$LI$3:$LI$42))+ISBLANK(HG$3:HG$42))</f>
        <v>0</v>
      </c>
      <c r="HH50" s="1">
        <f>SUMPRODUCT((NOT(ISBLANK(HH$3:HH$42))*(HH$3:HH$42&gt;$LJ$3:$LJ$42))+ISBLANK(HH$3:HH$42))</f>
        <v>0</v>
      </c>
      <c r="HI50" s="1">
        <f>SUMPRODUCT((NOT(ISBLANK(HI$3:HI$42))*(HI$3:HI$42&gt;$LK$3:$LK$42))+ISBLANK(HI$3:HI$42))</f>
        <v>0</v>
      </c>
      <c r="HJ50" s="1">
        <f>SUMPRODUCT((NOT(ISBLANK(HJ$3:HJ$42))*(HJ$3:HJ$42&gt;$KU$3:$KU$42))+ISBLANK(HJ$3:HJ$42))</f>
        <v>0</v>
      </c>
      <c r="HK50" s="1">
        <f>SUMPRODUCT((NOT(ISBLANK(HK$3:HK$42))*(HK$3:HK$42&gt;$KV$3:$KV$42))+ISBLANK(HK$3:HK$42))</f>
        <v>0</v>
      </c>
      <c r="HL50" s="1">
        <f>SUMPRODUCT((NOT(ISBLANK(HL$3:HL$42))*(HL$3:HL$42&gt;$KW$3:$KW$42))+ISBLANK(HL$3:HL$42))</f>
        <v>0</v>
      </c>
      <c r="HM50" s="1">
        <f>SUMPRODUCT((NOT(ISBLANK(HM$3:HM$42))*(HM$3:HM$42&gt;$KX$3:$KX$42))+ISBLANK(HM$3:HM$42))</f>
        <v>0</v>
      </c>
      <c r="HN50" s="1">
        <f>SUMPRODUCT((NOT(ISBLANK(HN$3:HN$42))*(HN$3:HN$42&gt;$KY$3:$KY$42))+ISBLANK(HN$3:HN$42))</f>
        <v>0</v>
      </c>
      <c r="HO50" s="1">
        <f>SUMPRODUCT((NOT(ISBLANK(HO$3:HO$42))*(HO$3:HO$42&gt;$KZ$3:$KZ$42))+ISBLANK(HO$3:HO$42))</f>
        <v>0</v>
      </c>
      <c r="HP50" s="1">
        <f>SUMPRODUCT((NOT(ISBLANK(HP$3:HP$42))*(HP$3:HP$42&gt;$LA$3:$LA$42))+ISBLANK(HP$3:HP$42))</f>
        <v>0</v>
      </c>
      <c r="HQ50" s="1">
        <f>SUMPRODUCT((NOT(ISBLANK(HQ$3:HQ$42))*(HQ$3:HQ$42&gt;$LB$3:$LB$42))+ISBLANK(HQ$3:HQ$42))</f>
        <v>0</v>
      </c>
      <c r="HR50" s="1">
        <f>SUMPRODUCT((NOT(ISBLANK(HR$3:HR$42))*(HR$3:HR$42&gt;$LC$3:$LC$42))+ISBLANK(HR$3:HR$42))</f>
        <v>0</v>
      </c>
      <c r="HS50" s="1">
        <f>SUMPRODUCT((NOT(ISBLANK(HS$3:HS$42))*(HS$3:HS$42&gt;$LD$3:$LD$42))+ISBLANK(HS$3:HS$42))</f>
        <v>0</v>
      </c>
      <c r="HT50" s="1">
        <f>SUMPRODUCT((NOT(ISBLANK(HT$3:HT$42))*(HT$3:HT$42&gt;$LE$3:$LE$42))+ISBLANK(HT$3:HT$42))</f>
        <v>0</v>
      </c>
      <c r="HU50" s="1">
        <f>SUMPRODUCT((NOT(ISBLANK(HU$3:HU$42))*(HU$3:HU$42&gt;$LF$3:$LF$42))+ISBLANK(HU$3:HU$42))</f>
        <v>0</v>
      </c>
      <c r="HV50" s="1">
        <f>SUMPRODUCT((NOT(ISBLANK(HV$3:HV$42))*(HV$3:HV$42&gt;$LG$3:$LG$42))+ISBLANK(HV$3:HV$42))</f>
        <v>0</v>
      </c>
      <c r="HW50" s="1">
        <f>SUMPRODUCT((NOT(ISBLANK(HW$3:HW$42))*(HW$3:HW$42&gt;$LH$3:$LH$42))+ISBLANK(HW$3:HW$42))</f>
        <v>0</v>
      </c>
      <c r="HX50" s="1"/>
      <c r="HY50" s="1">
        <f>SUMPRODUCT((NOT(ISBLANK(HY$3:HY$42))*(HY$3:HY$42&gt;$LI$3:$LI$42))+ISBLANK(HY$3:HY$42))</f>
        <v>0</v>
      </c>
      <c r="HZ50" s="1">
        <f>SUMPRODUCT((NOT(ISBLANK(HZ$3:HZ$42))*(HZ$3:HZ$42&gt;$LJ$3:$LJ$42))+ISBLANK(HZ$3:HZ$42))</f>
        <v>0</v>
      </c>
      <c r="IA50" s="1">
        <f>SUMPRODUCT((NOT(ISBLANK(IA$3:IA$42))*(IA$3:IA$42&gt;$LK$3:$LK$42))+ISBLANK(IA$3:IA$42))</f>
        <v>0</v>
      </c>
      <c r="IB50" s="1">
        <f>SUMPRODUCT((NOT(ISBLANK(IB$3:IB$42))*(IB$3:IB$42&gt;$KU$3:$KU$42))+ISBLANK(IB$3:IB$42))</f>
        <v>0</v>
      </c>
      <c r="IC50" s="1">
        <f>SUMPRODUCT((NOT(ISBLANK(IC$3:IC$42))*(IC$3:IC$42&gt;$KV$3:$KV$42))+ISBLANK(IC$3:IC$42))</f>
        <v>0</v>
      </c>
      <c r="ID50" s="1">
        <f>SUMPRODUCT((NOT(ISBLANK(ID$3:ID$42))*(ID$3:ID$42&gt;$KW$3:$KW$42))+ISBLANK(ID$3:ID$42))</f>
        <v>0</v>
      </c>
      <c r="IE50" s="1">
        <f>SUMPRODUCT((NOT(ISBLANK(IE$3:IE$42))*(IE$3:IE$42&gt;$KX$3:$KX$42))+ISBLANK(IE$3:IE$42))</f>
        <v>0</v>
      </c>
      <c r="IF50" s="1">
        <f>SUMPRODUCT((NOT(ISBLANK(IF$3:IF$42))*(IF$3:IF$42&gt;$KY$3:$KY$42))+ISBLANK(IF$3:IF$42))</f>
        <v>0</v>
      </c>
      <c r="IG50" s="1">
        <f>SUMPRODUCT((NOT(ISBLANK(IG$3:IG$42))*(IG$3:IG$42&gt;$KZ$3:$KZ$42))+ISBLANK(IG$3:IG$42))</f>
        <v>0</v>
      </c>
      <c r="IH50" s="1">
        <f>SUMPRODUCT((NOT(ISBLANK(IH$3:IH$42))*(IH$3:IH$42&gt;$LA$3:$LA$42))+ISBLANK(IH$3:IH$42))</f>
        <v>0</v>
      </c>
      <c r="II50" s="1">
        <f>SUMPRODUCT((NOT(ISBLANK(II$3:II$42))*(II$3:II$42&gt;$LB$3:$LB$42))+ISBLANK(II$3:II$42))</f>
        <v>0</v>
      </c>
      <c r="IJ50" s="1">
        <f>SUMPRODUCT((NOT(ISBLANK(IJ$3:IJ$42))*(IJ$3:IJ$42&gt;$LC$3:$LC$42))+ISBLANK(IJ$3:IJ$42))</f>
        <v>0</v>
      </c>
      <c r="IK50" s="1">
        <f>SUMPRODUCT((NOT(ISBLANK(IK$3:IK$42))*(IK$3:IK$42&gt;$LD$3:$LD$42))+ISBLANK(IK$3:IK$42))</f>
        <v>0</v>
      </c>
      <c r="IL50" s="1">
        <f>SUMPRODUCT((NOT(ISBLANK(IL$3:IL$42))*(IL$3:IL$42&gt;$LE$3:$LE$42))+ISBLANK(IL$3:IL$42))</f>
        <v>0</v>
      </c>
      <c r="IM50" s="1">
        <f>SUMPRODUCT((NOT(ISBLANK(IM$3:IM$42))*(IM$3:IM$42&gt;$LF$3:$LF$42))+ISBLANK(IM$3:IM$42))</f>
        <v>0</v>
      </c>
      <c r="IN50" s="1">
        <f>SUMPRODUCT((NOT(ISBLANK(IN$3:IN$42))*(IN$3:IN$42&gt;$LG$3:$LG$42))+ISBLANK(IN$3:IN$42))</f>
        <v>0</v>
      </c>
      <c r="IO50" s="1">
        <f>SUMPRODUCT((NOT(ISBLANK(IO$3:IO$42))*(IO$3:IO$42&gt;$LH$3:$LH$42))+ISBLANK(IO$3:IO$42))</f>
        <v>0</v>
      </c>
      <c r="IP50" s="1"/>
      <c r="IQ50" s="1">
        <f>SUMPRODUCT((NOT(ISBLANK(IQ$3:IQ$42))*(IQ$3:IQ$42&gt;$LI$3:$LI$42))+ISBLANK(IQ$3:IQ$42))</f>
        <v>0</v>
      </c>
      <c r="IR50" s="1">
        <f>SUMPRODUCT((NOT(ISBLANK(IR$3:IR$42))*(IR$3:IR$42&gt;$LJ$3:$LJ$42))+ISBLANK(IR$3:IR$42))</f>
        <v>0</v>
      </c>
      <c r="IS50" s="1">
        <f>SUMPRODUCT((NOT(ISBLANK(IS$3:IS$42))*(IS$3:IS$42&gt;$LK$3:$LK$42))+ISBLANK(IS$3:IS$42))</f>
        <v>0</v>
      </c>
      <c r="IT50" s="1">
        <f>SUMPRODUCT((NOT(ISBLANK(IT$3:IT$42))*(IT$3:IT$42&gt;$KU$3:$KU$42))+ISBLANK(IT$3:IT$42))</f>
        <v>0</v>
      </c>
      <c r="IU50" s="1">
        <f>SUMPRODUCT((NOT(ISBLANK(IU$3:IU$42))*(IU$3:IU$42&gt;$KV$3:$KV$42))+ISBLANK(IU$3:IU$42))</f>
        <v>0</v>
      </c>
      <c r="IV50" s="1">
        <f>SUMPRODUCT((NOT(ISBLANK(IV$3:IV$42))*(IV$3:IV$42&gt;$KW$3:$KW$42))+ISBLANK(IV$3:IV$42))</f>
        <v>0</v>
      </c>
      <c r="IW50" s="1">
        <f>SUMPRODUCT((NOT(ISBLANK(IW$3:IW$42))*(IW$3:IW$42&gt;$KX$3:$KX$42))+ISBLANK(IW$3:IW$42))</f>
        <v>0</v>
      </c>
      <c r="IX50" s="1">
        <f>SUMPRODUCT((NOT(ISBLANK(IX$3:IX$42))*(IX$3:IX$42&gt;$KY$3:$KY$42))+ISBLANK(IX$3:IX$42))</f>
        <v>0</v>
      </c>
      <c r="IY50" s="1">
        <f>SUMPRODUCT((NOT(ISBLANK(IY$3:IY$42))*(IY$3:IY$42&gt;$KZ$3:$KZ$42))+ISBLANK(IY$3:IY$42))</f>
        <v>0</v>
      </c>
      <c r="IZ50" s="1">
        <f>SUMPRODUCT((NOT(ISBLANK(IZ$3:IZ$42))*(IZ$3:IZ$42&gt;$LA$3:$LA$42))+ISBLANK(IZ$3:IZ$42))</f>
        <v>0</v>
      </c>
      <c r="JA50" s="1">
        <f>SUMPRODUCT((NOT(ISBLANK(JA$3:JA$42))*(JA$3:JA$42&gt;$LB$3:$LB$42))+ISBLANK(JA$3:JA$42))</f>
        <v>0</v>
      </c>
      <c r="JB50" s="1">
        <f>SUMPRODUCT((NOT(ISBLANK(JB$3:JB$42))*(JB$3:JB$42&gt;$LC$3:$LC$42))+ISBLANK(JB$3:JB$42))</f>
        <v>0</v>
      </c>
      <c r="JC50" s="1">
        <f>SUMPRODUCT((NOT(ISBLANK(JC$3:JC$42))*(JC$3:JC$42&gt;$LD$3:$LD$42))+ISBLANK(JC$3:JC$42))</f>
        <v>0</v>
      </c>
      <c r="JD50" s="1">
        <f>SUMPRODUCT((NOT(ISBLANK(JD$3:JD$42))*(JD$3:JD$42&gt;$LE$3:$LE$42))+ISBLANK(JD$3:JD$42))</f>
        <v>0</v>
      </c>
      <c r="JE50" s="1">
        <f>SUMPRODUCT((NOT(ISBLANK(JE$3:JE$42))*(JE$3:JE$42&gt;$LF$3:$LF$42))+ISBLANK(JE$3:JE$42))</f>
        <v>0</v>
      </c>
      <c r="JF50" s="1">
        <f>SUMPRODUCT((NOT(ISBLANK(JF$3:JF$42))*(JF$3:JF$42&gt;$LG$3:$LG$42))+ISBLANK(JF$3:JF$42))</f>
        <v>0</v>
      </c>
      <c r="JG50" s="1">
        <f>SUMPRODUCT((NOT(ISBLANK(JG$3:JG$42))*(JG$3:JG$42&gt;$LH$3:$LH$42))+ISBLANK(JG$3:JG$42))</f>
        <v>0</v>
      </c>
      <c r="JH50" s="1"/>
      <c r="JI50" s="1">
        <f>SUMPRODUCT((NOT(ISBLANK(JI$3:JI$42))*(JI$3:JI$42&gt;$LI$3:$LI$42))+ISBLANK(JI$3:JI$42))</f>
        <v>0</v>
      </c>
      <c r="JJ50" s="1">
        <f>SUMPRODUCT((NOT(ISBLANK(JJ$3:JJ$42))*(JJ$3:JJ$42&gt;$LJ$3:$LJ$42))+ISBLANK(JJ$3:JJ$42))</f>
        <v>0</v>
      </c>
      <c r="JK50" s="1">
        <f>SUMPRODUCT((NOT(ISBLANK(JK$3:JK$42))*(JK$3:JK$42&gt;$LK$3:$LK$42))+ISBLANK(JK$3:JK$42))</f>
        <v>0</v>
      </c>
      <c r="JL50" s="1">
        <f>SUMPRODUCT((NOT(ISBLANK(JL$3:JL$42))*(JL$3:JL$42&gt;$KU$3:$KU$42))+ISBLANK(JL$3:JL$42))</f>
        <v>0</v>
      </c>
      <c r="JM50" s="1">
        <f>SUMPRODUCT((NOT(ISBLANK(JM$3:JM$42))*(JM$3:JM$42&gt;$KV$3:$KV$42))+ISBLANK(JM$3:JM$42))</f>
        <v>0</v>
      </c>
      <c r="JN50" s="1">
        <f>SUMPRODUCT((NOT(ISBLANK(JN$3:JN$42))*(JN$3:JN$42&gt;$KW$3:$KW$42))+ISBLANK(JN$3:JN$42))</f>
        <v>0</v>
      </c>
      <c r="JO50" s="1">
        <f>SUMPRODUCT((NOT(ISBLANK(JO$3:JO$42))*(JO$3:JO$42&gt;$KX$3:$KX$42))+ISBLANK(JO$3:JO$42))</f>
        <v>0</v>
      </c>
      <c r="JP50" s="1">
        <f>SUMPRODUCT((NOT(ISBLANK(JP$3:JP$42))*(JP$3:JP$42&gt;$KY$3:$KY$42))+ISBLANK(JP$3:JP$42))</f>
        <v>0</v>
      </c>
      <c r="JQ50" s="1">
        <f>SUMPRODUCT((NOT(ISBLANK(JQ$3:JQ$42))*(JQ$3:JQ$42&gt;$KZ$3:$KZ$42))+ISBLANK(JQ$3:JQ$42))</f>
        <v>0</v>
      </c>
      <c r="JR50" s="1">
        <f>SUMPRODUCT((NOT(ISBLANK(JR$3:JR$42))*(JR$3:JR$42&gt;$LA$3:$LA$42))+ISBLANK(JR$3:JR$42))</f>
        <v>0</v>
      </c>
      <c r="JS50" s="1">
        <f>SUMPRODUCT((NOT(ISBLANK(JS$3:JS$42))*(JS$3:JS$42&gt;$LB$3:$LB$42))+ISBLANK(JS$3:JS$42))</f>
        <v>0</v>
      </c>
      <c r="JT50" s="1">
        <f>SUMPRODUCT((NOT(ISBLANK(JT$3:JT$42))*(JT$3:JT$42&gt;$LC$3:$LC$42))+ISBLANK(JT$3:JT$42))</f>
        <v>0</v>
      </c>
      <c r="JU50" s="1">
        <f>SUMPRODUCT((NOT(ISBLANK(JU$3:JU$42))*(JU$3:JU$42&gt;$LD$3:$LD$42))+ISBLANK(JU$3:JU$42))</f>
        <v>0</v>
      </c>
      <c r="JV50" s="1">
        <f>SUMPRODUCT((NOT(ISBLANK(JV$3:JV$42))*(JV$3:JV$42&gt;$LE$3:$LE$42))+ISBLANK(JV$3:JV$42))</f>
        <v>0</v>
      </c>
      <c r="JW50" s="1">
        <f>SUMPRODUCT((NOT(ISBLANK(JW$3:JW$42))*(JW$3:JW$42&gt;$LF$3:$LF$42))+ISBLANK(JW$3:JW$42))</f>
        <v>0</v>
      </c>
      <c r="JX50" s="1">
        <f>SUMPRODUCT((NOT(ISBLANK(JX$3:JX$42))*(JX$3:JX$42&gt;$LG$3:$LG$42))+ISBLANK(JX$3:JX$42))</f>
        <v>0</v>
      </c>
      <c r="JY50" s="1">
        <f>SUMPRODUCT((NOT(ISBLANK(JY$3:JY$42))*(JY$3:JY$42&gt;$LH$3:$LH$42))+ISBLANK(JY$3:JY$42))</f>
        <v>0</v>
      </c>
      <c r="JZ50" s="1"/>
      <c r="KA50" s="1">
        <f>SUMPRODUCT((NOT(ISBLANK(KA$3:KA$42))*(KA$3:KA$42&gt;$LI$3:$LI$42))+ISBLANK(KA$3:KA$42))</f>
        <v>0</v>
      </c>
      <c r="KB50" s="1">
        <f>SUMPRODUCT((NOT(ISBLANK(KB$3:KB$42))*(KB$3:KB$42&gt;$LJ$3:$LJ$42))+ISBLANK(KB$3:KB$42))</f>
        <v>0</v>
      </c>
      <c r="KC50" s="1">
        <f>SUMPRODUCT((NOT(ISBLANK(KC$3:KC$42))*(KC$3:KC$42&gt;$LK$3:$LK$42))+ISBLANK(KC$3:KC$42))</f>
        <v>0</v>
      </c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</row>
    <row r="51" spans="1:340">
      <c r="A51" s="1" t="s">
        <v>47</v>
      </c>
      <c r="B51" s="1">
        <f>SUMPRODUCT((NOT(ISBLANK(B$3:B$42))*(B$3:B$42=$LL$3:$LL$42))+ISBLANK(B$3:B$42))</f>
        <v>0</v>
      </c>
      <c r="C51" s="1">
        <f>SUMPRODUCT((NOT(ISBLANK(C$3:C$42))*(C$3:C$42=$LM$3:$LM$42))+ISBLANK(C$3:C$42))</f>
        <v>0</v>
      </c>
      <c r="D51" s="1">
        <f>SUMPRODUCT((NOT(ISBLANK(D$3:D$42))*(D$3:D$42=$LN$3:$LN$42))+ISBLANK(D$3:D$42))</f>
        <v>0</v>
      </c>
      <c r="E51" s="1">
        <f>SUMPRODUCT((NOT(ISBLANK(E$3:E$42))*(E$3:E$42=$LO$3:$LO$42))+ISBLANK(E$3:E$42))</f>
        <v>0</v>
      </c>
      <c r="F51" s="1">
        <f>SUMPRODUCT((NOT(ISBLANK(F$3:F$42))*(F$3:F$42=$LP$3:$LP$42))+ISBLANK(F$3:F$42))</f>
        <v>0</v>
      </c>
      <c r="G51" s="1">
        <f>SUMPRODUCT((NOT(ISBLANK(G$3:G$42))*(G$3:G$42=$LQ$3:$LQ$42))+ISBLANK(G$3:G$42))</f>
        <v>0</v>
      </c>
      <c r="H51" s="1">
        <f>SUMPRODUCT((NOT(ISBLANK(H$3:H$42))*(H$3:H$42=$LR$3:$LR$42))+ISBLANK(H$3:H$42))</f>
        <v>0</v>
      </c>
      <c r="I51" s="1">
        <f>SUMPRODUCT((NOT(ISBLANK(I$3:I$42))*(I$3:I$42=$LS$3:$LS$42))+ISBLANK(I$3:I$42))</f>
        <v>0</v>
      </c>
      <c r="J51" s="1">
        <f>SUMPRODUCT((NOT(ISBLANK(J$3:J$42))*(J$3:J$42=$LT$3:$LT$42))+ISBLANK(J$3:J$42))</f>
        <v>0</v>
      </c>
      <c r="K51" s="1">
        <f>SUMPRODUCT((NOT(ISBLANK(K$3:K$42))*(K$3:K$42=$LU$3:$LU$42))+ISBLANK(K$3:K$42))</f>
        <v>0</v>
      </c>
      <c r="L51" s="1">
        <f>SUMPRODUCT((NOT(ISBLANK(L$3:L$42))*(L$3:L$42=$LV$3:$LV$42))+ISBLANK(L$3:L$42))</f>
        <v>0</v>
      </c>
      <c r="M51" s="1">
        <f>SUMPRODUCT((NOT(ISBLANK(M$3:M$42))*(M$3:M$42=$LW$3:$LW$42))+ISBLANK(M$3:M$42))</f>
        <v>0</v>
      </c>
      <c r="N51" s="1">
        <f>SUMPRODUCT((NOT(ISBLANK(N$3:N$42))*(N$3:N$42=$LX$3:$LX$42))+ISBLANK(N$3:N$42))</f>
        <v>0</v>
      </c>
      <c r="O51" s="1">
        <f>SUMPRODUCT((NOT(ISBLANK(O$3:O$42))*(O$3:O$42=$LY$3:$LY$42))+ISBLANK(O$3:O$42))</f>
        <v>0</v>
      </c>
      <c r="P51" s="1"/>
      <c r="Q51" s="1">
        <f>SUMPRODUCT((NOT(ISBLANK(Q$3:Q$42))*(Q$3:Q$42=$LZ$3:$LZ$42))+ISBLANK(Q$3:Q$42))</f>
        <v>0</v>
      </c>
      <c r="R51" s="1">
        <f>SUMPRODUCT((NOT(ISBLANK(R$3:R$42))*(R$3:R$42=$MA$3:$MA$42))+ISBLANK(R$3:R$42))</f>
        <v>0</v>
      </c>
      <c r="S51" s="1">
        <f>SUMPRODUCT((NOT(ISBLANK(S$3:S$42))*(S$3:S$42=$MB$3:$MB$42))+ISBLANK(S$3:S$42))</f>
        <v>0</v>
      </c>
      <c r="T51" s="1">
        <f>SUMPRODUCT((NOT(ISBLANK(T$3:T$42))*(T$3:T$42=$LL$3:$LL$42))+ISBLANK(T$3:T$42))</f>
        <v>0</v>
      </c>
      <c r="U51" s="1">
        <f>SUMPRODUCT((NOT(ISBLANK(U$3:U$42))*(U$3:U$42=$LM$3:$LM$42))+ISBLANK(U$3:U$42))</f>
        <v>0</v>
      </c>
      <c r="V51" s="1">
        <f>SUMPRODUCT((NOT(ISBLANK(V$3:V$42))*(V$3:V$42=$LN$3:$LN$42))+ISBLANK(V$3:V$42))</f>
        <v>0</v>
      </c>
      <c r="W51" s="1">
        <f>SUMPRODUCT((NOT(ISBLANK(W$3:W$42))*(W$3:W$42=$LO$3:$LO$42))+ISBLANK(W$3:W$42))</f>
        <v>0</v>
      </c>
      <c r="X51" s="1">
        <f>SUMPRODUCT((NOT(ISBLANK(X$3:X$42))*(X$3:X$42=$LP$3:$LP$42))+ISBLANK(X$3:X$42))</f>
        <v>0</v>
      </c>
      <c r="Y51" s="1">
        <f>SUMPRODUCT((NOT(ISBLANK(Y$3:Y$42))*(Y$3:Y$42=$LQ$3:$LQ$42))+ISBLANK(Y$3:Y$42))</f>
        <v>0</v>
      </c>
      <c r="Z51" s="1">
        <f>SUMPRODUCT((NOT(ISBLANK(Z$3:Z$42))*(Z$3:Z$42=$LR$3:$LR$42))+ISBLANK(Z$3:Z$42))</f>
        <v>0</v>
      </c>
      <c r="AA51" s="1">
        <f>SUMPRODUCT((NOT(ISBLANK(AA$3:AA$42))*(AA$3:AA$42=$LS$3:$LS$42))+ISBLANK(AA$3:AA$42))</f>
        <v>0</v>
      </c>
      <c r="AB51" s="1">
        <f>SUMPRODUCT((NOT(ISBLANK(AB$3:AB$42))*(AB$3:AB$42=$LT$3:$LT$42))+ISBLANK(AB$3:AB$42))</f>
        <v>0</v>
      </c>
      <c r="AC51" s="1">
        <f>SUMPRODUCT((NOT(ISBLANK(AC$3:AC$42))*(AC$3:AC$42=$LU$3:$LU$42))+ISBLANK(AC$3:AC$42))</f>
        <v>0</v>
      </c>
      <c r="AD51" s="1">
        <f>SUMPRODUCT((NOT(ISBLANK(AD$3:AD$42))*(AD$3:AD$42=$LV$3:$LV$42))+ISBLANK(AD$3:AD$42))</f>
        <v>0</v>
      </c>
      <c r="AE51" s="1">
        <f>SUMPRODUCT((NOT(ISBLANK(AE$3:AE$42))*(AE$3:AE$42=$LW$3:$LW$42))+ISBLANK(AE$3:AE$42))</f>
        <v>0</v>
      </c>
      <c r="AF51" s="1">
        <f>SUMPRODUCT((NOT(ISBLANK(AF$3:AF$42))*(AF$3:AF$42=$LX$3:$LX$42))+ISBLANK(AF$3:AF$42))</f>
        <v>0</v>
      </c>
      <c r="AG51" s="1">
        <f>SUMPRODUCT((NOT(ISBLANK(AG$3:AG$42))*(AG$3:AG$42=$LY$3:$LY$42))+ISBLANK(AG$3:AG$42))</f>
        <v>0</v>
      </c>
      <c r="AH51" s="1"/>
      <c r="AI51" s="1">
        <f>SUMPRODUCT((NOT(ISBLANK(AI$3:AI$42))*(AI$3:AI$42=$LZ$3:$LZ$42))+ISBLANK(AI$3:AI$42))</f>
        <v>0</v>
      </c>
      <c r="AJ51" s="1">
        <f>SUMPRODUCT((NOT(ISBLANK(AJ$3:AJ$42))*(AJ$3:AJ$42=$MA$3:$MA$42))+ISBLANK(AJ$3:AJ$42))</f>
        <v>0</v>
      </c>
      <c r="AK51" s="1">
        <f>SUMPRODUCT((NOT(ISBLANK(AK$3:AK$42))*(AK$3:AK$42=$MB$3:$MB$42))+ISBLANK(AK$3:AK$42))</f>
        <v>0</v>
      </c>
      <c r="AL51" s="1">
        <f>SUMPRODUCT((NOT(ISBLANK(AL$3:AL$42))*(AL$3:AL$42=$LL$3:$LL$42))+ISBLANK(AL$3:AL$42))</f>
        <v>0</v>
      </c>
      <c r="AM51" s="1">
        <f>SUMPRODUCT((NOT(ISBLANK(AM$3:AM$42))*(AM$3:AM$42=$LM$3:$LM$42))+ISBLANK(AM$3:AM$42))</f>
        <v>0</v>
      </c>
      <c r="AN51" s="1">
        <f>SUMPRODUCT((NOT(ISBLANK(AN$3:AN$42))*(AN$3:AN$42=$LN$3:$LN$42))+ISBLANK(AN$3:AN$42))</f>
        <v>0</v>
      </c>
      <c r="AO51" s="1">
        <f>SUMPRODUCT((NOT(ISBLANK(AO$3:AO$42))*(AO$3:AO$42=$LO$3:$LO$42))+ISBLANK(AO$3:AO$42))</f>
        <v>0</v>
      </c>
      <c r="AP51" s="1">
        <f>SUMPRODUCT((NOT(ISBLANK(AP$3:AP$42))*(AP$3:AP$42=$LP$3:$LP$42))+ISBLANK(AP$3:AP$42))</f>
        <v>0</v>
      </c>
      <c r="AQ51" s="1">
        <f>SUMPRODUCT((NOT(ISBLANK(AQ$3:AQ$42))*(AQ$3:AQ$42=$LQ$3:$LQ$42))+ISBLANK(AQ$3:AQ$42))</f>
        <v>0</v>
      </c>
      <c r="AR51" s="1">
        <f>SUMPRODUCT((NOT(ISBLANK(AR$3:AR$42))*(AR$3:AR$42=$LR$3:$LR$42))+ISBLANK(AR$3:AR$42))</f>
        <v>0</v>
      </c>
      <c r="AS51" s="1">
        <f>SUMPRODUCT((NOT(ISBLANK(AS$3:AS$42))*(AS$3:AS$42=$LS$3:$LS$42))+ISBLANK(AS$3:AS$42))</f>
        <v>0</v>
      </c>
      <c r="AT51" s="1">
        <f>SUMPRODUCT((NOT(ISBLANK(AT$3:AT$42))*(AT$3:AT$42=$LT$3:$LT$42))+ISBLANK(AT$3:AT$42))</f>
        <v>0</v>
      </c>
      <c r="AU51" s="1">
        <f>SUMPRODUCT((NOT(ISBLANK(AU$3:AU$42))*(AU$3:AU$42=$LU$3:$LU$42))+ISBLANK(AU$3:AU$42))</f>
        <v>0</v>
      </c>
      <c r="AV51" s="1">
        <f>SUMPRODUCT((NOT(ISBLANK(AV$3:AV$42))*(AV$3:AV$42=$LV$3:$LV$42))+ISBLANK(AV$3:AV$42))</f>
        <v>0</v>
      </c>
      <c r="AW51" s="1">
        <f>SUMPRODUCT((NOT(ISBLANK(AW$3:AW$42))*(AW$3:AW$42=$LW$3:$LW$42))+ISBLANK(AW$3:AW$42))</f>
        <v>0</v>
      </c>
      <c r="AX51" s="1">
        <f>SUMPRODUCT((NOT(ISBLANK(AX$3:AX$42))*(AX$3:AX$42=$LX$3:$LX$42))+ISBLANK(AX$3:AX$42))</f>
        <v>0</v>
      </c>
      <c r="AY51" s="1">
        <f>SUMPRODUCT((NOT(ISBLANK(AY$3:AY$42))*(AY$3:AY$42=$LY$3:$LY$42))+ISBLANK(AY$3:AY$42))</f>
        <v>0</v>
      </c>
      <c r="AZ51" s="1"/>
      <c r="BA51" s="1">
        <f>SUMPRODUCT((NOT(ISBLANK(BA$3:BA$42))*(BA$3:BA$42=$LZ$3:$LZ$42))+ISBLANK(BA$3:BA$42))</f>
        <v>0</v>
      </c>
      <c r="BB51" s="1">
        <f>SUMPRODUCT((NOT(ISBLANK(BB$3:BB$42))*(BB$3:BB$42=$MA$3:$MA$42))+ISBLANK(BB$3:BB$42))</f>
        <v>0</v>
      </c>
      <c r="BC51" s="1">
        <f>SUMPRODUCT((NOT(ISBLANK(BC$3:BC$42))*(BC$3:BC$42=$MB$3:$MB$42))+ISBLANK(BC$3:BC$42))</f>
        <v>0</v>
      </c>
      <c r="BD51" s="1">
        <f>SUMPRODUCT((NOT(ISBLANK(BD$3:BD$42))*(BD$3:BD$42=$LL$3:$LL$42))+ISBLANK(BD$3:BD$42))</f>
        <v>0</v>
      </c>
      <c r="BE51" s="1">
        <f>SUMPRODUCT((NOT(ISBLANK(BE$3:BE$42))*(BE$3:BE$42=$LM$3:$LM$42))+ISBLANK(BE$3:BE$42))</f>
        <v>0</v>
      </c>
      <c r="BF51" s="1">
        <f>SUMPRODUCT((NOT(ISBLANK(BF$3:BF$42))*(BF$3:BF$42=$LN$3:$LN$42))+ISBLANK(BF$3:BF$42))</f>
        <v>0</v>
      </c>
      <c r="BG51" s="1">
        <f>SUMPRODUCT((NOT(ISBLANK(BG$3:BG$42))*(BG$3:BG$42=$LO$3:$LO$42))+ISBLANK(BG$3:BG$42))</f>
        <v>0</v>
      </c>
      <c r="BH51" s="1">
        <f>SUMPRODUCT((NOT(ISBLANK(BH$3:BH$42))*(BH$3:BH$42=$LP$3:$LP$42))+ISBLANK(BH$3:BH$42))</f>
        <v>0</v>
      </c>
      <c r="BI51" s="1">
        <f>SUMPRODUCT((NOT(ISBLANK(BI$3:BI$42))*(BI$3:BI$42=$LQ$3:$LQ$42))+ISBLANK(BI$3:BI$42))</f>
        <v>0</v>
      </c>
      <c r="BJ51" s="1">
        <f>SUMPRODUCT((NOT(ISBLANK(BJ$3:BJ$42))*(BJ$3:BJ$42=$LR$3:$LR$42))+ISBLANK(BJ$3:BJ$42))</f>
        <v>0</v>
      </c>
      <c r="BK51" s="1">
        <f>SUMPRODUCT((NOT(ISBLANK(BK$3:BK$42))*(BK$3:BK$42=$LS$3:$LS$42))+ISBLANK(BK$3:BK$42))</f>
        <v>0</v>
      </c>
      <c r="BL51" s="1">
        <f>SUMPRODUCT((NOT(ISBLANK(BL$3:BL$42))*(BL$3:BL$42=$LT$3:$LT$42))+ISBLANK(BL$3:BL$42))</f>
        <v>0</v>
      </c>
      <c r="BM51" s="1">
        <f>SUMPRODUCT((NOT(ISBLANK(BM$3:BM$42))*(BM$3:BM$42=$LU$3:$LU$42))+ISBLANK(BM$3:BM$42))</f>
        <v>0</v>
      </c>
      <c r="BN51" s="1">
        <f>SUMPRODUCT((NOT(ISBLANK(BN$3:BN$42))*(BN$3:BN$42=$LV$3:$LV$42))+ISBLANK(BN$3:BN$42))</f>
        <v>0</v>
      </c>
      <c r="BO51" s="1">
        <f>SUMPRODUCT((NOT(ISBLANK(BO$3:BO$42))*(BO$3:BO$42=$LW$3:$LW$42))+ISBLANK(BO$3:BO$42))</f>
        <v>0</v>
      </c>
      <c r="BP51" s="1">
        <f>SUMPRODUCT((NOT(ISBLANK(BP$3:BP$42))*(BP$3:BP$42=$LX$3:$LX$42))+ISBLANK(BP$3:BP$42))</f>
        <v>0</v>
      </c>
      <c r="BQ51" s="1">
        <f>SUMPRODUCT((NOT(ISBLANK(BQ$3:BQ$42))*(BQ$3:BQ$42=$LY$3:$LY$42))+ISBLANK(BQ$3:BQ$42))</f>
        <v>0</v>
      </c>
      <c r="BR51" s="1"/>
      <c r="BS51" s="1">
        <f>SUMPRODUCT((NOT(ISBLANK(BS$3:BS$42))*(BS$3:BS$42=$LZ$3:$LZ$42))+ISBLANK(BS$3:BS$42))</f>
        <v>0</v>
      </c>
      <c r="BT51" s="1">
        <f>SUMPRODUCT((NOT(ISBLANK(BT$3:BT$42))*(BT$3:BT$42=$MA$3:$MA$42))+ISBLANK(BT$3:BT$42))</f>
        <v>0</v>
      </c>
      <c r="BU51" s="1">
        <f>SUMPRODUCT((NOT(ISBLANK(BU$3:BU$42))*(BU$3:BU$42=$MB$3:$MB$42))+ISBLANK(BU$3:BU$42))</f>
        <v>0</v>
      </c>
      <c r="BV51" s="1">
        <f>SUMPRODUCT((NOT(ISBLANK(BV$3:BV$42))*(BV$3:BV$42=$LL$3:$LL$42))+ISBLANK(BV$3:BV$42))</f>
        <v>0</v>
      </c>
      <c r="BW51" s="1">
        <f>SUMPRODUCT((NOT(ISBLANK(BW$3:BW$42))*(BW$3:BW$42=$LM$3:$LM$42))+ISBLANK(BW$3:BW$42))</f>
        <v>0</v>
      </c>
      <c r="BX51" s="1">
        <f>SUMPRODUCT((NOT(ISBLANK(BX$3:BX$42))*(BX$3:BX$42=$LN$3:$LN$42))+ISBLANK(BX$3:BX$42))</f>
        <v>0</v>
      </c>
      <c r="BY51" s="1">
        <f>SUMPRODUCT((NOT(ISBLANK(BY$3:BY$42))*(BY$3:BY$42=$LO$3:$LO$42))+ISBLANK(BY$3:BY$42))</f>
        <v>0</v>
      </c>
      <c r="BZ51" s="1">
        <f>SUMPRODUCT((NOT(ISBLANK(BZ$3:BZ$42))*(BZ$3:BZ$42=$LP$3:$LP$42))+ISBLANK(BZ$3:BZ$42))</f>
        <v>0</v>
      </c>
      <c r="CA51" s="1">
        <f>SUMPRODUCT((NOT(ISBLANK(CA$3:CA$42))*(CA$3:CA$42=$LQ$3:$LQ$42))+ISBLANK(CA$3:CA$42))</f>
        <v>0</v>
      </c>
      <c r="CB51" s="1">
        <f>SUMPRODUCT((NOT(ISBLANK(CB$3:CB$42))*(CB$3:CB$42=$LR$3:$LR$42))+ISBLANK(CB$3:CB$42))</f>
        <v>0</v>
      </c>
      <c r="CC51" s="1">
        <f>SUMPRODUCT((NOT(ISBLANK(CC$3:CC$42))*(CC$3:CC$42=$LS$3:$LS$42))+ISBLANK(CC$3:CC$42))</f>
        <v>0</v>
      </c>
      <c r="CD51" s="1">
        <f>SUMPRODUCT((NOT(ISBLANK(CD$3:CD$42))*(CD$3:CD$42=$LT$3:$LT$42))+ISBLANK(CD$3:CD$42))</f>
        <v>0</v>
      </c>
      <c r="CE51" s="1">
        <f>SUMPRODUCT((NOT(ISBLANK(CE$3:CE$42))*(CE$3:CE$42=$LU$3:$LU$42))+ISBLANK(CE$3:CE$42))</f>
        <v>0</v>
      </c>
      <c r="CF51" s="1">
        <f>SUMPRODUCT((NOT(ISBLANK(CF$3:CF$42))*(CF$3:CF$42=$LV$3:$LV$42))+ISBLANK(CF$3:CF$42))</f>
        <v>0</v>
      </c>
      <c r="CG51" s="1">
        <f>SUMPRODUCT((NOT(ISBLANK(CG$3:CG$42))*(CG$3:CG$42=$LW$3:$LW$42))+ISBLANK(CG$3:CG$42))</f>
        <v>0</v>
      </c>
      <c r="CH51" s="1">
        <f>SUMPRODUCT((NOT(ISBLANK(CH$3:CH$42))*(CH$3:CH$42=$LX$3:$LX$42))+ISBLANK(CH$3:CH$42))</f>
        <v>0</v>
      </c>
      <c r="CI51" s="1">
        <f>SUMPRODUCT((NOT(ISBLANK(CI$3:CI$42))*(CI$3:CI$42=$LY$3:$LY$42))+ISBLANK(CI$3:CI$42))</f>
        <v>0</v>
      </c>
      <c r="CJ51" s="1"/>
      <c r="CK51" s="1">
        <f>SUMPRODUCT((NOT(ISBLANK(CK$3:CK$42))*(CK$3:CK$42=$LZ$3:$LZ$42))+ISBLANK(CK$3:CK$42))</f>
        <v>0</v>
      </c>
      <c r="CL51" s="1">
        <f>SUMPRODUCT((NOT(ISBLANK(CL$3:CL$42))*(CL$3:CL$42=$MA$3:$MA$42))+ISBLANK(CL$3:CL$42))</f>
        <v>0</v>
      </c>
      <c r="CM51" s="1">
        <f>SUMPRODUCT((NOT(ISBLANK(CM$3:CM$42))*(CM$3:CM$42=$MB$3:$MB$42))+ISBLANK(CM$3:CM$42))</f>
        <v>0</v>
      </c>
      <c r="CN51" s="1">
        <f>SUMPRODUCT((NOT(ISBLANK(CN$3:CN$42))*(CN$3:CN$42=$LL$3:$LL$42))+ISBLANK(CN$3:CN$42))</f>
        <v>0</v>
      </c>
      <c r="CO51" s="1">
        <f>SUMPRODUCT((NOT(ISBLANK(CO$3:CO$42))*(CO$3:CO$42=$LM$3:$LM$42))+ISBLANK(CO$3:CO$42))</f>
        <v>0</v>
      </c>
      <c r="CP51" s="1">
        <f>SUMPRODUCT((NOT(ISBLANK(CP$3:CP$42))*(CP$3:CP$42=$LN$3:$LN$42))+ISBLANK(CP$3:CP$42))</f>
        <v>0</v>
      </c>
      <c r="CQ51" s="1">
        <f>SUMPRODUCT((NOT(ISBLANK(CQ$3:CQ$42))*(CQ$3:CQ$42=$LO$3:$LO$42))+ISBLANK(CQ$3:CQ$42))</f>
        <v>0</v>
      </c>
      <c r="CR51" s="1">
        <f>SUMPRODUCT((NOT(ISBLANK(CR$3:CR$42))*(CR$3:CR$42=$LP$3:$LP$42))+ISBLANK(CR$3:CR$42))</f>
        <v>0</v>
      </c>
      <c r="CS51" s="1">
        <f>SUMPRODUCT((NOT(ISBLANK(CS$3:CS$42))*(CS$3:CS$42=$LQ$3:$LQ$42))+ISBLANK(CS$3:CS$42))</f>
        <v>0</v>
      </c>
      <c r="CT51" s="1">
        <f>SUMPRODUCT((NOT(ISBLANK(CT$3:CT$42))*(CT$3:CT$42=$LR$3:$LR$42))+ISBLANK(CT$3:CT$42))</f>
        <v>0</v>
      </c>
      <c r="CU51" s="1">
        <f>SUMPRODUCT((NOT(ISBLANK(CU$3:CU$42))*(CU$3:CU$42=$LS$3:$LS$42))+ISBLANK(CU$3:CU$42))</f>
        <v>0</v>
      </c>
      <c r="CV51" s="1">
        <f>SUMPRODUCT((NOT(ISBLANK(CV$3:CV$42))*(CV$3:CV$42=$LT$3:$LT$42))+ISBLANK(CV$3:CV$42))</f>
        <v>0</v>
      </c>
      <c r="CW51" s="1">
        <f>SUMPRODUCT((NOT(ISBLANK(CW$3:CW$42))*(CW$3:CW$42=$LU$3:$LU$42))+ISBLANK(CW$3:CW$42))</f>
        <v>0</v>
      </c>
      <c r="CX51" s="1">
        <f>SUMPRODUCT((NOT(ISBLANK(CX$3:CX$42))*(CX$3:CX$42=$LV$3:$LV$42))+ISBLANK(CX$3:CX$42))</f>
        <v>0</v>
      </c>
      <c r="CY51" s="1">
        <f>SUMPRODUCT((NOT(ISBLANK(CY$3:CY$42))*(CY$3:CY$42=$LW$3:$LW$42))+ISBLANK(CY$3:CY$42))</f>
        <v>0</v>
      </c>
      <c r="CZ51" s="1">
        <f>SUMPRODUCT((NOT(ISBLANK(CZ$3:CZ$42))*(CZ$3:CZ$42=$LX$3:$LX$42))+ISBLANK(CZ$3:CZ$42))</f>
        <v>0</v>
      </c>
      <c r="DA51" s="1">
        <f>SUMPRODUCT((NOT(ISBLANK(DA$3:DA$42))*(DA$3:DA$42=$LY$3:$LY$42))+ISBLANK(DA$3:DA$42))</f>
        <v>0</v>
      </c>
      <c r="DB51" s="1"/>
      <c r="DC51" s="1">
        <f>SUMPRODUCT((NOT(ISBLANK(DC$3:DC$42))*(DC$3:DC$42=$LZ$3:$LZ$42))+ISBLANK(DC$3:DC$42))</f>
        <v>0</v>
      </c>
      <c r="DD51" s="1">
        <f>SUMPRODUCT((NOT(ISBLANK(DD$3:DD$42))*(DD$3:DD$42=$MA$3:$MA$42))+ISBLANK(DD$3:DD$42))</f>
        <v>0</v>
      </c>
      <c r="DE51" s="1">
        <f>SUMPRODUCT((NOT(ISBLANK(DE$3:DE$42))*(DE$3:DE$42=$MB$3:$MB$42))+ISBLANK(DE$3:DE$42))</f>
        <v>0</v>
      </c>
      <c r="DF51" s="1">
        <f>SUMPRODUCT((NOT(ISBLANK(DF$3:DF$42))*(DF$3:DF$42=$LL$3:$LL$42))+ISBLANK(DF$3:DF$42))</f>
        <v>0</v>
      </c>
      <c r="DG51" s="1">
        <f>SUMPRODUCT((NOT(ISBLANK(DG$3:DG$42))*(DG$3:DG$42=$LM$3:$LM$42))+ISBLANK(DG$3:DG$42))</f>
        <v>0</v>
      </c>
      <c r="DH51" s="1">
        <f>SUMPRODUCT((NOT(ISBLANK(DH$3:DH$42))*(DH$3:DH$42=$LN$3:$LN$42))+ISBLANK(DH$3:DH$42))</f>
        <v>0</v>
      </c>
      <c r="DI51" s="1">
        <f>SUMPRODUCT((NOT(ISBLANK(DI$3:DI$42))*(DI$3:DI$42=$LO$3:$LO$42))+ISBLANK(DI$3:DI$42))</f>
        <v>0</v>
      </c>
      <c r="DJ51" s="1">
        <f>SUMPRODUCT((NOT(ISBLANK(DJ$3:DJ$42))*(DJ$3:DJ$42=$LP$3:$LP$42))+ISBLANK(DJ$3:DJ$42))</f>
        <v>0</v>
      </c>
      <c r="DK51" s="1">
        <f>SUMPRODUCT((NOT(ISBLANK(DK$3:DK$42))*(DK$3:DK$42=$LQ$3:$LQ$42))+ISBLANK(DK$3:DK$42))</f>
        <v>0</v>
      </c>
      <c r="DL51" s="1">
        <f>SUMPRODUCT((NOT(ISBLANK(DL$3:DL$42))*(DL$3:DL$42=$LR$3:$LR$42))+ISBLANK(DL$3:DL$42))</f>
        <v>0</v>
      </c>
      <c r="DM51" s="1">
        <f>SUMPRODUCT((NOT(ISBLANK(DM$3:DM$42))*(DM$3:DM$42=$LS$3:$LS$42))+ISBLANK(DM$3:DM$42))</f>
        <v>0</v>
      </c>
      <c r="DN51" s="1">
        <f>SUMPRODUCT((NOT(ISBLANK(DN$3:DN$42))*(DN$3:DN$42=$LT$3:$LT$42))+ISBLANK(DN$3:DN$42))</f>
        <v>0</v>
      </c>
      <c r="DO51" s="1">
        <f>SUMPRODUCT((NOT(ISBLANK(DO$3:DO$42))*(DO$3:DO$42=$LU$3:$LU$42))+ISBLANK(DO$3:DO$42))</f>
        <v>0</v>
      </c>
      <c r="DP51" s="1">
        <f>SUMPRODUCT((NOT(ISBLANK(DP$3:DP$42))*(DP$3:DP$42=$LV$3:$LV$42))+ISBLANK(DP$3:DP$42))</f>
        <v>0</v>
      </c>
      <c r="DQ51" s="1">
        <f>SUMPRODUCT((NOT(ISBLANK(DQ$3:DQ$42))*(DQ$3:DQ$42=$LW$3:$LW$42))+ISBLANK(DQ$3:DQ$42))</f>
        <v>0</v>
      </c>
      <c r="DR51" s="1">
        <f>SUMPRODUCT((NOT(ISBLANK(DR$3:DR$42))*(DR$3:DR$42=$LX$3:$LX$42))+ISBLANK(DR$3:DR$42))</f>
        <v>0</v>
      </c>
      <c r="DS51" s="1">
        <f>SUMPRODUCT((NOT(ISBLANK(DS$3:DS$42))*(DS$3:DS$42=$LY$3:$LY$42))+ISBLANK(DS$3:DS$42))</f>
        <v>0</v>
      </c>
      <c r="DT51" s="1"/>
      <c r="DU51" s="1">
        <f>SUMPRODUCT((NOT(ISBLANK(DU$3:DU$42))*(DU$3:DU$42=$LZ$3:$LZ$42))+ISBLANK(DU$3:DU$42))</f>
        <v>0</v>
      </c>
      <c r="DV51" s="1">
        <f>SUMPRODUCT((NOT(ISBLANK(DV$3:DV$42))*(DV$3:DV$42=$MA$3:$MA$42))+ISBLANK(DV$3:DV$42))</f>
        <v>0</v>
      </c>
      <c r="DW51" s="1">
        <f>SUMPRODUCT((NOT(ISBLANK(DW$3:DW$42))*(DW$3:DW$42=$MB$3:$MB$42))+ISBLANK(DW$3:DW$42))</f>
        <v>0</v>
      </c>
      <c r="DX51" s="1">
        <f>SUMPRODUCT((NOT(ISBLANK(DX$3:DX$42))*(DX$3:DX$42=$LL$3:$LL$42))+ISBLANK(DX$3:DX$42))</f>
        <v>0</v>
      </c>
      <c r="DY51" s="1">
        <f>SUMPRODUCT((NOT(ISBLANK(DY$3:DY$42))*(DY$3:DY$42=$LM$3:$LM$42))+ISBLANK(DY$3:DY$42))</f>
        <v>0</v>
      </c>
      <c r="DZ51" s="1">
        <f>SUMPRODUCT((NOT(ISBLANK(DZ$3:DZ$42))*(DZ$3:DZ$42=$LN$3:$LN$42))+ISBLANK(DZ$3:DZ$42))</f>
        <v>0</v>
      </c>
      <c r="EA51" s="1">
        <f>SUMPRODUCT((NOT(ISBLANK(EA$3:EA$42))*(EA$3:EA$42=$LO$3:$LO$42))+ISBLANK(EA$3:EA$42))</f>
        <v>0</v>
      </c>
      <c r="EB51" s="1">
        <f>SUMPRODUCT((NOT(ISBLANK(EB$3:EB$42))*(EB$3:EB$42=$LP$3:$LP$42))+ISBLANK(EB$3:EB$42))</f>
        <v>0</v>
      </c>
      <c r="EC51" s="1">
        <f>SUMPRODUCT((NOT(ISBLANK(EC$3:EC$42))*(EC$3:EC$42=$LQ$3:$LQ$42))+ISBLANK(EC$3:EC$42))</f>
        <v>0</v>
      </c>
      <c r="ED51" s="1">
        <f>SUMPRODUCT((NOT(ISBLANK(ED$3:ED$42))*(ED$3:ED$42=$LR$3:$LR$42))+ISBLANK(ED$3:ED$42))</f>
        <v>0</v>
      </c>
      <c r="EE51" s="1">
        <f>SUMPRODUCT((NOT(ISBLANK(EE$3:EE$42))*(EE$3:EE$42=$LS$3:$LS$42))+ISBLANK(EE$3:EE$42))</f>
        <v>0</v>
      </c>
      <c r="EF51" s="1">
        <f>SUMPRODUCT((NOT(ISBLANK(EF$3:EF$42))*(EF$3:EF$42=$LT$3:$LT$42))+ISBLANK(EF$3:EF$42))</f>
        <v>0</v>
      </c>
      <c r="EG51" s="1">
        <f>SUMPRODUCT((NOT(ISBLANK(EG$3:EG$42))*(EG$3:EG$42=$LU$3:$LU$42))+ISBLANK(EG$3:EG$42))</f>
        <v>0</v>
      </c>
      <c r="EH51" s="1">
        <f>SUMPRODUCT((NOT(ISBLANK(EH$3:EH$42))*(EH$3:EH$42=$LV$3:$LV$42))+ISBLANK(EH$3:EH$42))</f>
        <v>0</v>
      </c>
      <c r="EI51" s="1">
        <f>SUMPRODUCT((NOT(ISBLANK(EI$3:EI$42))*(EI$3:EI$42=$LW$3:$LW$42))+ISBLANK(EI$3:EI$42))</f>
        <v>0</v>
      </c>
      <c r="EJ51" s="1">
        <f>SUMPRODUCT((NOT(ISBLANK(EJ$3:EJ$42))*(EJ$3:EJ$42=$LX$3:$LX$42))+ISBLANK(EJ$3:EJ$42))</f>
        <v>0</v>
      </c>
      <c r="EK51" s="1">
        <f>SUMPRODUCT((NOT(ISBLANK(EK$3:EK$42))*(EK$3:EK$42=$LY$3:$LY$42))+ISBLANK(EK$3:EK$42))</f>
        <v>0</v>
      </c>
      <c r="EL51" s="1"/>
      <c r="EM51" s="1">
        <f>SUMPRODUCT((NOT(ISBLANK(EM$3:EM$42))*(EM$3:EM$42=$LZ$3:$LZ$42))+ISBLANK(EM$3:EM$42))</f>
        <v>0</v>
      </c>
      <c r="EN51" s="1">
        <f>SUMPRODUCT((NOT(ISBLANK(EN$3:EN$42))*(EN$3:EN$42=$MA$3:$MA$42))+ISBLANK(EN$3:EN$42))</f>
        <v>0</v>
      </c>
      <c r="EO51" s="1">
        <f>SUMPRODUCT((NOT(ISBLANK(EO$3:EO$42))*(EO$3:EO$42=$MB$3:$MB$42))+ISBLANK(EO$3:EO$42))</f>
        <v>0</v>
      </c>
      <c r="EP51" s="1">
        <f>SUMPRODUCT((NOT(ISBLANK(EP$3:EP$42))*(EP$3:EP$42=$LL$3:$LL$42))+ISBLANK(EP$3:EP$42))</f>
        <v>0</v>
      </c>
      <c r="EQ51" s="1">
        <f>SUMPRODUCT((NOT(ISBLANK(EQ$3:EQ$42))*(EQ$3:EQ$42=$LM$3:$LM$42))+ISBLANK(EQ$3:EQ$42))</f>
        <v>0</v>
      </c>
      <c r="ER51" s="1">
        <f>SUMPRODUCT((NOT(ISBLANK(ER$3:ER$42))*(ER$3:ER$42=$LN$3:$LN$42))+ISBLANK(ER$3:ER$42))</f>
        <v>0</v>
      </c>
      <c r="ES51" s="1">
        <f>SUMPRODUCT((NOT(ISBLANK(ES$3:ES$42))*(ES$3:ES$42=$LO$3:$LO$42))+ISBLANK(ES$3:ES$42))</f>
        <v>0</v>
      </c>
      <c r="ET51" s="1">
        <f>SUMPRODUCT((NOT(ISBLANK(ET$3:ET$42))*(ET$3:ET$42=$LP$3:$LP$42))+ISBLANK(ET$3:ET$42))</f>
        <v>0</v>
      </c>
      <c r="EU51" s="1">
        <f>SUMPRODUCT((NOT(ISBLANK(EU$3:EU$42))*(EU$3:EU$42=$LQ$3:$LQ$42))+ISBLANK(EU$3:EU$42))</f>
        <v>0</v>
      </c>
      <c r="EV51" s="1">
        <f>SUMPRODUCT((NOT(ISBLANK(EV$3:EV$42))*(EV$3:EV$42=$LR$3:$LR$42))+ISBLANK(EV$3:EV$42))</f>
        <v>0</v>
      </c>
      <c r="EW51" s="1">
        <f>SUMPRODUCT((NOT(ISBLANK(EW$3:EW$42))*(EW$3:EW$42=$LS$3:$LS$42))+ISBLANK(EW$3:EW$42))</f>
        <v>0</v>
      </c>
      <c r="EX51" s="1">
        <f>SUMPRODUCT((NOT(ISBLANK(EX$3:EX$42))*(EX$3:EX$42=$LT$3:$LT$42))+ISBLANK(EX$3:EX$42))</f>
        <v>0</v>
      </c>
      <c r="EY51" s="1">
        <f>SUMPRODUCT((NOT(ISBLANK(EY$3:EY$42))*(EY$3:EY$42=$LU$3:$LU$42))+ISBLANK(EY$3:EY$42))</f>
        <v>0</v>
      </c>
      <c r="EZ51" s="1">
        <f>SUMPRODUCT((NOT(ISBLANK(EZ$3:EZ$42))*(EZ$3:EZ$42=$LV$3:$LV$42))+ISBLANK(EZ$3:EZ$42))</f>
        <v>0</v>
      </c>
      <c r="FA51" s="1">
        <f>SUMPRODUCT((NOT(ISBLANK(FA$3:FA$42))*(FA$3:FA$42=$LW$3:$LW$42))+ISBLANK(FA$3:FA$42))</f>
        <v>0</v>
      </c>
      <c r="FB51" s="1">
        <f>SUMPRODUCT((NOT(ISBLANK(FB$3:FB$42))*(FB$3:FB$42=$LX$3:$LX$42))+ISBLANK(FB$3:FB$42))</f>
        <v>0</v>
      </c>
      <c r="FC51" s="1">
        <f>SUMPRODUCT((NOT(ISBLANK(FC$3:FC$42))*(FC$3:FC$42=$LY$3:$LY$42))+ISBLANK(FC$3:FC$42))</f>
        <v>0</v>
      </c>
      <c r="FD51" s="1"/>
      <c r="FE51" s="1">
        <f>SUMPRODUCT((NOT(ISBLANK(FE$3:FE$42))*(FE$3:FE$42=$LZ$3:$LZ$42))+ISBLANK(FE$3:FE$42))</f>
        <v>0</v>
      </c>
      <c r="FF51" s="1">
        <f>SUMPRODUCT((NOT(ISBLANK(FF$3:FF$42))*(FF$3:FF$42=$MA$3:$MA$42))+ISBLANK(FF$3:FF$42))</f>
        <v>0</v>
      </c>
      <c r="FG51" s="1">
        <f>SUMPRODUCT((NOT(ISBLANK(FG$3:FG$42))*(FG$3:FG$42=$MB$3:$MB$42))+ISBLANK(FG$3:FG$42))</f>
        <v>0</v>
      </c>
      <c r="FH51" s="1">
        <f>SUMPRODUCT((NOT(ISBLANK(FH$3:FH$42))*(FH$3:FH$42=$LL$3:$LL$42))+ISBLANK(FH$3:FH$42))</f>
        <v>0</v>
      </c>
      <c r="FI51" s="1">
        <f>SUMPRODUCT((NOT(ISBLANK(FI$3:FI$42))*(FI$3:FI$42=$LM$3:$LM$42))+ISBLANK(FI$3:FI$42))</f>
        <v>0</v>
      </c>
      <c r="FJ51" s="1">
        <f>SUMPRODUCT((NOT(ISBLANK(FJ$3:FJ$42))*(FJ$3:FJ$42=$LN$3:$LN$42))+ISBLANK(FJ$3:FJ$42))</f>
        <v>0</v>
      </c>
      <c r="FK51" s="1">
        <f>SUMPRODUCT((NOT(ISBLANK(FK$3:FK$42))*(FK$3:FK$42=$LO$3:$LO$42))+ISBLANK(FK$3:FK$42))</f>
        <v>0</v>
      </c>
      <c r="FL51" s="1">
        <f>SUMPRODUCT((NOT(ISBLANK(FL$3:FL$42))*(FL$3:FL$42=$LP$3:$LP$42))+ISBLANK(FL$3:FL$42))</f>
        <v>0</v>
      </c>
      <c r="FM51" s="1">
        <f>SUMPRODUCT((NOT(ISBLANK(FM$3:FM$42))*(FM$3:FM$42=$LQ$3:$LQ$42))+ISBLANK(FM$3:FM$42))</f>
        <v>0</v>
      </c>
      <c r="FN51" s="1">
        <f>SUMPRODUCT((NOT(ISBLANK(FN$3:FN$42))*(FN$3:FN$42=$LR$3:$LR$42))+ISBLANK(FN$3:FN$42))</f>
        <v>0</v>
      </c>
      <c r="FO51" s="1">
        <f>SUMPRODUCT((NOT(ISBLANK(FO$3:FO$42))*(FO$3:FO$42=$LS$3:$LS$42))+ISBLANK(FO$3:FO$42))</f>
        <v>0</v>
      </c>
      <c r="FP51" s="1">
        <f>SUMPRODUCT((NOT(ISBLANK(FP$3:FP$42))*(FP$3:FP$42=$LT$3:$LT$42))+ISBLANK(FP$3:FP$42))</f>
        <v>0</v>
      </c>
      <c r="FQ51" s="1">
        <f>SUMPRODUCT((NOT(ISBLANK(FQ$3:FQ$42))*(FQ$3:FQ$42=$LU$3:$LU$42))+ISBLANK(FQ$3:FQ$42))</f>
        <v>0</v>
      </c>
      <c r="FR51" s="1">
        <f>SUMPRODUCT((NOT(ISBLANK(FR$3:FR$42))*(FR$3:FR$42=$LV$3:$LV$42))+ISBLANK(FR$3:FR$42))</f>
        <v>0</v>
      </c>
      <c r="FS51" s="1">
        <f>SUMPRODUCT((NOT(ISBLANK(FS$3:FS$42))*(FS$3:FS$42=$LW$3:$LW$42))+ISBLANK(FS$3:FS$42))</f>
        <v>0</v>
      </c>
      <c r="FT51" s="1">
        <f>SUMPRODUCT((NOT(ISBLANK(FT$3:FT$42))*(FT$3:FT$42=$LX$3:$LX$42))+ISBLANK(FT$3:FT$42))</f>
        <v>0</v>
      </c>
      <c r="FU51" s="1">
        <f>SUMPRODUCT((NOT(ISBLANK(FU$3:FU$42))*(FU$3:FU$42=$LY$3:$LY$42))+ISBLANK(FU$3:FU$42))</f>
        <v>0</v>
      </c>
      <c r="FV51" s="1"/>
      <c r="FW51" s="1">
        <f>SUMPRODUCT((NOT(ISBLANK(FW$3:FW$42))*(FW$3:FW$42=$LZ$3:$LZ$42))+ISBLANK(FW$3:FW$42))</f>
        <v>0</v>
      </c>
      <c r="FX51" s="1">
        <f>SUMPRODUCT((NOT(ISBLANK(FX$3:FX$42))*(FX$3:FX$42=$MA$3:$MA$42))+ISBLANK(FX$3:FX$42))</f>
        <v>0</v>
      </c>
      <c r="FY51" s="1">
        <f>SUMPRODUCT((NOT(ISBLANK(FY$3:FY$42))*(FY$3:FY$42=$MB$3:$MB$42))+ISBLANK(FY$3:FY$42))</f>
        <v>0</v>
      </c>
      <c r="FZ51" s="1">
        <f>SUMPRODUCT((NOT(ISBLANK(FZ$3:FZ$42))*(FZ$3:FZ$42=$LL$3:$LL$42))+ISBLANK(FZ$3:FZ$42))</f>
        <v>0</v>
      </c>
      <c r="GA51" s="1">
        <f>SUMPRODUCT((NOT(ISBLANK(GA$3:GA$42))*(GA$3:GA$42=$LM$3:$LM$42))+ISBLANK(GA$3:GA$42))</f>
        <v>0</v>
      </c>
      <c r="GB51" s="1">
        <f>SUMPRODUCT((NOT(ISBLANK(GB$3:GB$42))*(GB$3:GB$42=$LN$3:$LN$42))+ISBLANK(GB$3:GB$42))</f>
        <v>0</v>
      </c>
      <c r="GC51" s="1">
        <f>SUMPRODUCT((NOT(ISBLANK(GC$3:GC$42))*(GC$3:GC$42=$LO$3:$LO$42))+ISBLANK(GC$3:GC$42))</f>
        <v>0</v>
      </c>
      <c r="GD51" s="1">
        <f>SUMPRODUCT((NOT(ISBLANK(GD$3:GD$42))*(GD$3:GD$42=$LP$3:$LP$42))+ISBLANK(GD$3:GD$42))</f>
        <v>0</v>
      </c>
      <c r="GE51" s="1">
        <f>SUMPRODUCT((NOT(ISBLANK(GE$3:GE$42))*(GE$3:GE$42=$LQ$3:$LQ$42))+ISBLANK(GE$3:GE$42))</f>
        <v>0</v>
      </c>
      <c r="GF51" s="1">
        <f>SUMPRODUCT((NOT(ISBLANK(GF$3:GF$42))*(GF$3:GF$42=$LR$3:$LR$42))+ISBLANK(GF$3:GF$42))</f>
        <v>0</v>
      </c>
      <c r="GG51" s="1">
        <f>SUMPRODUCT((NOT(ISBLANK(GG$3:GG$42))*(GG$3:GG$42=$LS$3:$LS$42))+ISBLANK(GG$3:GG$42))</f>
        <v>0</v>
      </c>
      <c r="GH51" s="1">
        <f>SUMPRODUCT((NOT(ISBLANK(GH$3:GH$42))*(GH$3:GH$42=$LT$3:$LT$42))+ISBLANK(GH$3:GH$42))</f>
        <v>0</v>
      </c>
      <c r="GI51" s="1">
        <f>SUMPRODUCT((NOT(ISBLANK(GI$3:GI$42))*(GI$3:GI$42=$LU$3:$LU$42))+ISBLANK(GI$3:GI$42))</f>
        <v>0</v>
      </c>
      <c r="GJ51" s="1">
        <f>SUMPRODUCT((NOT(ISBLANK(GJ$3:GJ$42))*(GJ$3:GJ$42=$LV$3:$LV$42))+ISBLANK(GJ$3:GJ$42))</f>
        <v>0</v>
      </c>
      <c r="GK51" s="1">
        <f>SUMPRODUCT((NOT(ISBLANK(GK$3:GK$42))*(GK$3:GK$42=$LW$3:$LW$42))+ISBLANK(GK$3:GK$42))</f>
        <v>0</v>
      </c>
      <c r="GL51" s="1">
        <f>SUMPRODUCT((NOT(ISBLANK(GL$3:GL$42))*(GL$3:GL$42=$LX$3:$LX$42))+ISBLANK(GL$3:GL$42))</f>
        <v>0</v>
      </c>
      <c r="GM51" s="1">
        <f>SUMPRODUCT((NOT(ISBLANK(GM$3:GM$42))*(GM$3:GM$42=$LY$3:$LY$42))+ISBLANK(GM$3:GM$42))</f>
        <v>0</v>
      </c>
      <c r="GN51" s="1"/>
      <c r="GO51" s="1">
        <f>SUMPRODUCT((NOT(ISBLANK(GO$3:GO$42))*(GO$3:GO$42=$LZ$3:$LZ$42))+ISBLANK(GO$3:GO$42))</f>
        <v>0</v>
      </c>
      <c r="GP51" s="1">
        <f>SUMPRODUCT((NOT(ISBLANK(GP$3:GP$42))*(GP$3:GP$42=$MA$3:$MA$42))+ISBLANK(GP$3:GP$42))</f>
        <v>0</v>
      </c>
      <c r="GQ51" s="1">
        <f>SUMPRODUCT((NOT(ISBLANK(GQ$3:GQ$42))*(GQ$3:GQ$42=$MB$3:$MB$42))+ISBLANK(GQ$3:GQ$42))</f>
        <v>0</v>
      </c>
      <c r="GR51" s="1">
        <f>SUMPRODUCT((NOT(ISBLANK(GR$3:GR$42))*(GR$3:GR$42=$LL$3:$LL$42))+ISBLANK(GR$3:GR$42))</f>
        <v>0</v>
      </c>
      <c r="GS51" s="1">
        <f>SUMPRODUCT((NOT(ISBLANK(GS$3:GS$42))*(GS$3:GS$42=$LM$3:$LM$42))+ISBLANK(GS$3:GS$42))</f>
        <v>0</v>
      </c>
      <c r="GT51" s="1">
        <f>SUMPRODUCT((NOT(ISBLANK(GT$3:GT$42))*(GT$3:GT$42=$LN$3:$LN$42))+ISBLANK(GT$3:GT$42))</f>
        <v>0</v>
      </c>
      <c r="GU51" s="1">
        <f>SUMPRODUCT((NOT(ISBLANK(GU$3:GU$42))*(GU$3:GU$42=$LO$3:$LO$42))+ISBLANK(GU$3:GU$42))</f>
        <v>0</v>
      </c>
      <c r="GV51" s="1">
        <f>SUMPRODUCT((NOT(ISBLANK(GV$3:GV$42))*(GV$3:GV$42=$LP$3:$LP$42))+ISBLANK(GV$3:GV$42))</f>
        <v>0</v>
      </c>
      <c r="GW51" s="1">
        <f>SUMPRODUCT((NOT(ISBLANK(GW$3:GW$42))*(GW$3:GW$42=$LQ$3:$LQ$42))+ISBLANK(GW$3:GW$42))</f>
        <v>0</v>
      </c>
      <c r="GX51" s="1">
        <f>SUMPRODUCT((NOT(ISBLANK(GX$3:GX$42))*(GX$3:GX$42=$LR$3:$LR$42))+ISBLANK(GX$3:GX$42))</f>
        <v>0</v>
      </c>
      <c r="GY51" s="1">
        <f>SUMPRODUCT((NOT(ISBLANK(GY$3:GY$42))*(GY$3:GY$42=$LS$3:$LS$42))+ISBLANK(GY$3:GY$42))</f>
        <v>0</v>
      </c>
      <c r="GZ51" s="1">
        <f>SUMPRODUCT((NOT(ISBLANK(GZ$3:GZ$42))*(GZ$3:GZ$42=$LT$3:$LT$42))+ISBLANK(GZ$3:GZ$42))</f>
        <v>0</v>
      </c>
      <c r="HA51" s="1">
        <f>SUMPRODUCT((NOT(ISBLANK(HA$3:HA$42))*(HA$3:HA$42=$LU$3:$LU$42))+ISBLANK(HA$3:HA$42))</f>
        <v>0</v>
      </c>
      <c r="HB51" s="1">
        <f>SUMPRODUCT((NOT(ISBLANK(HB$3:HB$42))*(HB$3:HB$42=$LV$3:$LV$42))+ISBLANK(HB$3:HB$42))</f>
        <v>0</v>
      </c>
      <c r="HC51" s="1">
        <f>SUMPRODUCT((NOT(ISBLANK(HC$3:HC$42))*(HC$3:HC$42=$LW$3:$LW$42))+ISBLANK(HC$3:HC$42))</f>
        <v>0</v>
      </c>
      <c r="HD51" s="1">
        <f>SUMPRODUCT((NOT(ISBLANK(HD$3:HD$42))*(HD$3:HD$42=$LX$3:$LX$42))+ISBLANK(HD$3:HD$42))</f>
        <v>0</v>
      </c>
      <c r="HE51" s="1">
        <f>SUMPRODUCT((NOT(ISBLANK(HE$3:HE$42))*(HE$3:HE$42=$LY$3:$LY$42))+ISBLANK(HE$3:HE$42))</f>
        <v>0</v>
      </c>
      <c r="HF51" s="1"/>
      <c r="HG51" s="1">
        <f>SUMPRODUCT((NOT(ISBLANK(HG$3:HG$42))*(HG$3:HG$42=$LZ$3:$LZ$42))+ISBLANK(HG$3:HG$42))</f>
        <v>0</v>
      </c>
      <c r="HH51" s="1">
        <f>SUMPRODUCT((NOT(ISBLANK(HH$3:HH$42))*(HH$3:HH$42=$MA$3:$MA$42))+ISBLANK(HH$3:HH$42))</f>
        <v>0</v>
      </c>
      <c r="HI51" s="1">
        <f>SUMPRODUCT((NOT(ISBLANK(HI$3:HI$42))*(HI$3:HI$42=$MB$3:$MB$42))+ISBLANK(HI$3:HI$42))</f>
        <v>0</v>
      </c>
      <c r="HJ51" s="1">
        <f>SUMPRODUCT((NOT(ISBLANK(HJ$3:HJ$42))*(HJ$3:HJ$42=$LL$3:$LL$42))+ISBLANK(HJ$3:HJ$42))</f>
        <v>0</v>
      </c>
      <c r="HK51" s="1">
        <f>SUMPRODUCT((NOT(ISBLANK(HK$3:HK$42))*(HK$3:HK$42=$LM$3:$LM$42))+ISBLANK(HK$3:HK$42))</f>
        <v>0</v>
      </c>
      <c r="HL51" s="1">
        <f>SUMPRODUCT((NOT(ISBLANK(HL$3:HL$42))*(HL$3:HL$42=$LN$3:$LN$42))+ISBLANK(HL$3:HL$42))</f>
        <v>0</v>
      </c>
      <c r="HM51" s="1">
        <f>SUMPRODUCT((NOT(ISBLANK(HM$3:HM$42))*(HM$3:HM$42=$LO$3:$LO$42))+ISBLANK(HM$3:HM$42))</f>
        <v>0</v>
      </c>
      <c r="HN51" s="1">
        <f>SUMPRODUCT((NOT(ISBLANK(HN$3:HN$42))*(HN$3:HN$42=$LP$3:$LP$42))+ISBLANK(HN$3:HN$42))</f>
        <v>0</v>
      </c>
      <c r="HO51" s="1">
        <f>SUMPRODUCT((NOT(ISBLANK(HO$3:HO$42))*(HO$3:HO$42=$LQ$3:$LQ$42))+ISBLANK(HO$3:HO$42))</f>
        <v>0</v>
      </c>
      <c r="HP51" s="1">
        <f>SUMPRODUCT((NOT(ISBLANK(HP$3:HP$42))*(HP$3:HP$42=$LR$3:$LR$42))+ISBLANK(HP$3:HP$42))</f>
        <v>0</v>
      </c>
      <c r="HQ51" s="1">
        <f>SUMPRODUCT((NOT(ISBLANK(HQ$3:HQ$42))*(HQ$3:HQ$42=$LS$3:$LS$42))+ISBLANK(HQ$3:HQ$42))</f>
        <v>0</v>
      </c>
      <c r="HR51" s="1">
        <f>SUMPRODUCT((NOT(ISBLANK(HR$3:HR$42))*(HR$3:HR$42=$LT$3:$LT$42))+ISBLANK(HR$3:HR$42))</f>
        <v>0</v>
      </c>
      <c r="HS51" s="1">
        <f>SUMPRODUCT((NOT(ISBLANK(HS$3:HS$42))*(HS$3:HS$42=$LU$3:$LU$42))+ISBLANK(HS$3:HS$42))</f>
        <v>0</v>
      </c>
      <c r="HT51" s="1">
        <f>SUMPRODUCT((NOT(ISBLANK(HT$3:HT$42))*(HT$3:HT$42=$LV$3:$LV$42))+ISBLANK(HT$3:HT$42))</f>
        <v>0</v>
      </c>
      <c r="HU51" s="1">
        <f>SUMPRODUCT((NOT(ISBLANK(HU$3:HU$42))*(HU$3:HU$42=$LW$3:$LW$42))+ISBLANK(HU$3:HU$42))</f>
        <v>0</v>
      </c>
      <c r="HV51" s="1">
        <f>SUMPRODUCT((NOT(ISBLANK(HV$3:HV$42))*(HV$3:HV$42=$LX$3:$LX$42))+ISBLANK(HV$3:HV$42))</f>
        <v>0</v>
      </c>
      <c r="HW51" s="1">
        <f>SUMPRODUCT((NOT(ISBLANK(HW$3:HW$42))*(HW$3:HW$42=$LY$3:$LY$42))+ISBLANK(HW$3:HW$42))</f>
        <v>0</v>
      </c>
      <c r="HX51" s="1"/>
      <c r="HY51" s="1">
        <f>SUMPRODUCT((NOT(ISBLANK(HY$3:HY$42))*(HY$3:HY$42=$LZ$3:$LZ$42))+ISBLANK(HY$3:HY$42))</f>
        <v>0</v>
      </c>
      <c r="HZ51" s="1">
        <f>SUMPRODUCT((NOT(ISBLANK(HZ$3:HZ$42))*(HZ$3:HZ$42=$MA$3:$MA$42))+ISBLANK(HZ$3:HZ$42))</f>
        <v>0</v>
      </c>
      <c r="IA51" s="1">
        <f>SUMPRODUCT((NOT(ISBLANK(IA$3:IA$42))*(IA$3:IA$42=$MB$3:$MB$42))+ISBLANK(IA$3:IA$42))</f>
        <v>0</v>
      </c>
      <c r="IB51" s="1">
        <f>SUMPRODUCT((NOT(ISBLANK(IB$3:IB$42))*(IB$3:IB$42=$LL$3:$LL$42))+ISBLANK(IB$3:IB$42))</f>
        <v>0</v>
      </c>
      <c r="IC51" s="1">
        <f>SUMPRODUCT((NOT(ISBLANK(IC$3:IC$42))*(IC$3:IC$42=$LM$3:$LM$42))+ISBLANK(IC$3:IC$42))</f>
        <v>0</v>
      </c>
      <c r="ID51" s="1">
        <f>SUMPRODUCT((NOT(ISBLANK(ID$3:ID$42))*(ID$3:ID$42=$LN$3:$LN$42))+ISBLANK(ID$3:ID$42))</f>
        <v>0</v>
      </c>
      <c r="IE51" s="1">
        <f>SUMPRODUCT((NOT(ISBLANK(IE$3:IE$42))*(IE$3:IE$42=$LO$3:$LO$42))+ISBLANK(IE$3:IE$42))</f>
        <v>0</v>
      </c>
      <c r="IF51" s="1">
        <f>SUMPRODUCT((NOT(ISBLANK(IF$3:IF$42))*(IF$3:IF$42=$LP$3:$LP$42))+ISBLANK(IF$3:IF$42))</f>
        <v>0</v>
      </c>
      <c r="IG51" s="1">
        <f>SUMPRODUCT((NOT(ISBLANK(IG$3:IG$42))*(IG$3:IG$42=$LQ$3:$LQ$42))+ISBLANK(IG$3:IG$42))</f>
        <v>0</v>
      </c>
      <c r="IH51" s="1">
        <f>SUMPRODUCT((NOT(ISBLANK(IH$3:IH$42))*(IH$3:IH$42=$LR$3:$LR$42))+ISBLANK(IH$3:IH$42))</f>
        <v>0</v>
      </c>
      <c r="II51" s="1">
        <f>SUMPRODUCT((NOT(ISBLANK(II$3:II$42))*(II$3:II$42=$LS$3:$LS$42))+ISBLANK(II$3:II$42))</f>
        <v>0</v>
      </c>
      <c r="IJ51" s="1">
        <f>SUMPRODUCT((NOT(ISBLANK(IJ$3:IJ$42))*(IJ$3:IJ$42=$LT$3:$LT$42))+ISBLANK(IJ$3:IJ$42))</f>
        <v>0</v>
      </c>
      <c r="IK51" s="1">
        <f>SUMPRODUCT((NOT(ISBLANK(IK$3:IK$42))*(IK$3:IK$42=$LU$3:$LU$42))+ISBLANK(IK$3:IK$42))</f>
        <v>0</v>
      </c>
      <c r="IL51" s="1">
        <f>SUMPRODUCT((NOT(ISBLANK(IL$3:IL$42))*(IL$3:IL$42=$LV$3:$LV$42))+ISBLANK(IL$3:IL$42))</f>
        <v>0</v>
      </c>
      <c r="IM51" s="1">
        <f>SUMPRODUCT((NOT(ISBLANK(IM$3:IM$42))*(IM$3:IM$42=$LW$3:$LW$42))+ISBLANK(IM$3:IM$42))</f>
        <v>0</v>
      </c>
      <c r="IN51" s="1">
        <f>SUMPRODUCT((NOT(ISBLANK(IN$3:IN$42))*(IN$3:IN$42=$LX$3:$LX$42))+ISBLANK(IN$3:IN$42))</f>
        <v>0</v>
      </c>
      <c r="IO51" s="1">
        <f>SUMPRODUCT((NOT(ISBLANK(IO$3:IO$42))*(IO$3:IO$42=$LY$3:$LY$42))+ISBLANK(IO$3:IO$42))</f>
        <v>0</v>
      </c>
      <c r="IP51" s="1"/>
      <c r="IQ51" s="1">
        <f>SUMPRODUCT((NOT(ISBLANK(IQ$3:IQ$42))*(IQ$3:IQ$42=$LZ$3:$LZ$42))+ISBLANK(IQ$3:IQ$42))</f>
        <v>0</v>
      </c>
      <c r="IR51" s="1">
        <f>SUMPRODUCT((NOT(ISBLANK(IR$3:IR$42))*(IR$3:IR$42=$MA$3:$MA$42))+ISBLANK(IR$3:IR$42))</f>
        <v>0</v>
      </c>
      <c r="IS51" s="1">
        <f>SUMPRODUCT((NOT(ISBLANK(IS$3:IS$42))*(IS$3:IS$42=$MB$3:$MB$42))+ISBLANK(IS$3:IS$42))</f>
        <v>0</v>
      </c>
      <c r="IT51" s="1">
        <f>SUMPRODUCT((NOT(ISBLANK(IT$3:IT$42))*(IT$3:IT$42=$LL$3:$LL$42))+ISBLANK(IT$3:IT$42))</f>
        <v>0</v>
      </c>
      <c r="IU51" s="1">
        <f>SUMPRODUCT((NOT(ISBLANK(IU$3:IU$42))*(IU$3:IU$42=$LM$3:$LM$42))+ISBLANK(IU$3:IU$42))</f>
        <v>0</v>
      </c>
      <c r="IV51" s="1">
        <f>SUMPRODUCT((NOT(ISBLANK(IV$3:IV$42))*(IV$3:IV$42=$LN$3:$LN$42))+ISBLANK(IV$3:IV$42))</f>
        <v>0</v>
      </c>
      <c r="IW51" s="1">
        <f>SUMPRODUCT((NOT(ISBLANK(IW$3:IW$42))*(IW$3:IW$42=$LO$3:$LO$42))+ISBLANK(IW$3:IW$42))</f>
        <v>0</v>
      </c>
      <c r="IX51" s="1">
        <f>SUMPRODUCT((NOT(ISBLANK(IX$3:IX$42))*(IX$3:IX$42=$LP$3:$LP$42))+ISBLANK(IX$3:IX$42))</f>
        <v>0</v>
      </c>
      <c r="IY51" s="1">
        <f>SUMPRODUCT((NOT(ISBLANK(IY$3:IY$42))*(IY$3:IY$42=$LQ$3:$LQ$42))+ISBLANK(IY$3:IY$42))</f>
        <v>0</v>
      </c>
      <c r="IZ51" s="1">
        <f>SUMPRODUCT((NOT(ISBLANK(IZ$3:IZ$42))*(IZ$3:IZ$42=$LR$3:$LR$42))+ISBLANK(IZ$3:IZ$42))</f>
        <v>0</v>
      </c>
      <c r="JA51" s="1">
        <f>SUMPRODUCT((NOT(ISBLANK(JA$3:JA$42))*(JA$3:JA$42=$LS$3:$LS$42))+ISBLANK(JA$3:JA$42))</f>
        <v>0</v>
      </c>
      <c r="JB51" s="1">
        <f>SUMPRODUCT((NOT(ISBLANK(JB$3:JB$42))*(JB$3:JB$42=$LT$3:$LT$42))+ISBLANK(JB$3:JB$42))</f>
        <v>0</v>
      </c>
      <c r="JC51" s="1">
        <f>SUMPRODUCT((NOT(ISBLANK(JC$3:JC$42))*(JC$3:JC$42=$LU$3:$LU$42))+ISBLANK(JC$3:JC$42))</f>
        <v>0</v>
      </c>
      <c r="JD51" s="1">
        <f>SUMPRODUCT((NOT(ISBLANK(JD$3:JD$42))*(JD$3:JD$42=$LV$3:$LV$42))+ISBLANK(JD$3:JD$42))</f>
        <v>0</v>
      </c>
      <c r="JE51" s="1">
        <f>SUMPRODUCT((NOT(ISBLANK(JE$3:JE$42))*(JE$3:JE$42=$LW$3:$LW$42))+ISBLANK(JE$3:JE$42))</f>
        <v>0</v>
      </c>
      <c r="JF51" s="1">
        <f>SUMPRODUCT((NOT(ISBLANK(JF$3:JF$42))*(JF$3:JF$42=$LX$3:$LX$42))+ISBLANK(JF$3:JF$42))</f>
        <v>0</v>
      </c>
      <c r="JG51" s="1">
        <f>SUMPRODUCT((NOT(ISBLANK(JG$3:JG$42))*(JG$3:JG$42=$LY$3:$LY$42))+ISBLANK(JG$3:JG$42))</f>
        <v>0</v>
      </c>
      <c r="JH51" s="1"/>
      <c r="JI51" s="1">
        <f>SUMPRODUCT((NOT(ISBLANK(JI$3:JI$42))*(JI$3:JI$42=$LZ$3:$LZ$42))+ISBLANK(JI$3:JI$42))</f>
        <v>0</v>
      </c>
      <c r="JJ51" s="1">
        <f>SUMPRODUCT((NOT(ISBLANK(JJ$3:JJ$42))*(JJ$3:JJ$42=$MA$3:$MA$42))+ISBLANK(JJ$3:JJ$42))</f>
        <v>0</v>
      </c>
      <c r="JK51" s="1">
        <f>SUMPRODUCT((NOT(ISBLANK(JK$3:JK$42))*(JK$3:JK$42=$MB$3:$MB$42))+ISBLANK(JK$3:JK$42))</f>
        <v>0</v>
      </c>
      <c r="JL51" s="1">
        <f>SUMPRODUCT((NOT(ISBLANK(JL$3:JL$42))*(JL$3:JL$42=$LL$3:$LL$42))+ISBLANK(JL$3:JL$42))</f>
        <v>0</v>
      </c>
      <c r="JM51" s="1">
        <f>SUMPRODUCT((NOT(ISBLANK(JM$3:JM$42))*(JM$3:JM$42=$LM$3:$LM$42))+ISBLANK(JM$3:JM$42))</f>
        <v>0</v>
      </c>
      <c r="JN51" s="1">
        <f>SUMPRODUCT((NOT(ISBLANK(JN$3:JN$42))*(JN$3:JN$42=$LN$3:$LN$42))+ISBLANK(JN$3:JN$42))</f>
        <v>0</v>
      </c>
      <c r="JO51" s="1">
        <f>SUMPRODUCT((NOT(ISBLANK(JO$3:JO$42))*(JO$3:JO$42=$LO$3:$LO$42))+ISBLANK(JO$3:JO$42))</f>
        <v>0</v>
      </c>
      <c r="JP51" s="1">
        <f>SUMPRODUCT((NOT(ISBLANK(JP$3:JP$42))*(JP$3:JP$42=$LP$3:$LP$42))+ISBLANK(JP$3:JP$42))</f>
        <v>0</v>
      </c>
      <c r="JQ51" s="1">
        <f>SUMPRODUCT((NOT(ISBLANK(JQ$3:JQ$42))*(JQ$3:JQ$42=$LQ$3:$LQ$42))+ISBLANK(JQ$3:JQ$42))</f>
        <v>0</v>
      </c>
      <c r="JR51" s="1">
        <f>SUMPRODUCT((NOT(ISBLANK(JR$3:JR$42))*(JR$3:JR$42=$LR$3:$LR$42))+ISBLANK(JR$3:JR$42))</f>
        <v>0</v>
      </c>
      <c r="JS51" s="1">
        <f>SUMPRODUCT((NOT(ISBLANK(JS$3:JS$42))*(JS$3:JS$42=$LS$3:$LS$42))+ISBLANK(JS$3:JS$42))</f>
        <v>0</v>
      </c>
      <c r="JT51" s="1">
        <f>SUMPRODUCT((NOT(ISBLANK(JT$3:JT$42))*(JT$3:JT$42=$LT$3:$LT$42))+ISBLANK(JT$3:JT$42))</f>
        <v>0</v>
      </c>
      <c r="JU51" s="1">
        <f>SUMPRODUCT((NOT(ISBLANK(JU$3:JU$42))*(JU$3:JU$42=$LU$3:$LU$42))+ISBLANK(JU$3:JU$42))</f>
        <v>0</v>
      </c>
      <c r="JV51" s="1">
        <f>SUMPRODUCT((NOT(ISBLANK(JV$3:JV$42))*(JV$3:JV$42=$LV$3:$LV$42))+ISBLANK(JV$3:JV$42))</f>
        <v>0</v>
      </c>
      <c r="JW51" s="1">
        <f>SUMPRODUCT((NOT(ISBLANK(JW$3:JW$42))*(JW$3:JW$42=$LW$3:$LW$42))+ISBLANK(JW$3:JW$42))</f>
        <v>0</v>
      </c>
      <c r="JX51" s="1">
        <f>SUMPRODUCT((NOT(ISBLANK(JX$3:JX$42))*(JX$3:JX$42=$LX$3:$LX$42))+ISBLANK(JX$3:JX$42))</f>
        <v>0</v>
      </c>
      <c r="JY51" s="1">
        <f>SUMPRODUCT((NOT(ISBLANK(JY$3:JY$42))*(JY$3:JY$42=$LY$3:$LY$42))+ISBLANK(JY$3:JY$42))</f>
        <v>0</v>
      </c>
      <c r="JZ51" s="1"/>
      <c r="KA51" s="1">
        <f>SUMPRODUCT((NOT(ISBLANK(KA$3:KA$42))*(KA$3:KA$42=$LZ$3:$LZ$42))+ISBLANK(KA$3:KA$42))</f>
        <v>0</v>
      </c>
      <c r="KB51" s="1">
        <f>SUMPRODUCT((NOT(ISBLANK(KB$3:KB$42))*(KB$3:KB$42=$MA$3:$MA$42))+ISBLANK(KB$3:KB$42))</f>
        <v>0</v>
      </c>
      <c r="KC51" s="1">
        <f>SUMPRODUCT((NOT(ISBLANK(KC$3:KC$42))*(KC$3:KC$42=$MB$3:$MB$42))+ISBLANK(KC$3:KC$42))</f>
        <v>0</v>
      </c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5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40" width="11.42578125" customWidth="1"/>
  </cols>
  <sheetData>
    <row r="1" spans="1:340">
      <c r="A1" s="1" t="s">
        <v>87</v>
      </c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85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 cm="1">
        <f t="array" ref="T6">_xlfn.SWITCH($A$2,"average", AVERAGE(Instances!T6:Instances!T6),"median", MEDIAN(Instances!T6:Instances!T6),"min", MIN(Instances!T6:Instances!T6),"max", MAX(Instances!T6:Instances!T6),"diff", MAX(Instances!T6:Instances!T6)-MIN(Instances!T6:Instances!T6))</f>
        <v>0</v>
      </c>
      <c r="U6" s="1" cm="1">
        <f t="array" ref="U6">_xlfn.SWITCH($A$2,"average", AVERAGE(Instances!U6:Instances!U6),"median", MEDIAN(Instances!U6:Instances!U6),"min", MIN(Instances!U6:Instances!U6),"max", MAX(Instances!U6:Instances!U6),"diff", MAX(Instances!U6:Instances!U6)-MIN(Instances!U6:Instances!U6))</f>
        <v>0</v>
      </c>
      <c r="V6" s="1" cm="1">
        <f t="array" ref="V6">_xlfn.SWITCH($A$2,"average", AVERAGE(Instances!V6:Instances!V6),"median", MEDIAN(Instances!V6:Instances!V6),"min", MIN(Instances!V6:Instances!V6),"max", MAX(Instances!V6:Instances!V6),"diff", MAX(Instances!V6:Instances!V6)-MIN(Instances!V6:Instances!V6))</f>
        <v>0</v>
      </c>
      <c r="W6" s="1" cm="1">
        <f t="array" ref="W6">_xlfn.SWITCH($A$2,"average", AVERAGE(Instances!W6:Instances!W6),"median", MEDIAN(Instances!W6:Instances!W6),"min", MIN(Instances!W6:Instances!W6),"max", MAX(Instances!W6:Instances!W6),"diff", MAX(Instances!W6:Instances!W6)-MIN(Instances!W6:Instances!W6))</f>
        <v>0</v>
      </c>
      <c r="X6" s="1" cm="1">
        <f t="array" ref="X6">_xlfn.SWITCH($A$2,"average", AVERAGE(Instances!X6:Instances!X6),"median", MEDIAN(Instances!X6:Instances!X6),"min", MIN(Instances!X6:Instances!X6),"max", MAX(Instances!X6:Instances!X6),"diff", MAX(Instances!X6:Instances!X6)-MIN(Instances!X6:Instances!X6))</f>
        <v>0</v>
      </c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 cm="1">
        <f t="array" ref="Z6">_xlfn.SWITCH($A$2,"average", AVERAGE(Instances!Z6:Instances!Z6),"median", MEDIAN(Instances!Z6:Instances!Z6),"min", MIN(Instances!Z6:Instances!Z6),"max", MAX(Instances!Z6:Instances!Z6),"diff", MAX(Instances!Z6:Instances!Z6)-MIN(Instances!Z6:Instances!Z6))</f>
        <v>0</v>
      </c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 cm="1">
        <f t="array" ref="AC6">_xlfn.SWITCH($A$2,"average", AVERAGE(Instances!AC6:Instances!AC6),"median", MEDIAN(Instances!AC6:Instances!AC6),"min", MIN(Instances!AC6:Instances!AC6),"max", MAX(Instances!AC6:Instances!AC6),"diff", MAX(Instances!AC6:Instances!AC6)-MIN(Instances!AC6:Instances!AC6))</f>
        <v>0</v>
      </c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 cm="1">
        <f t="array" ref="AE6">_xlfn.SWITCH($A$2,"average", AVERAGE(Instances!AE6:Instances!AE6),"median", MEDIAN(Instances!AE6:Instances!AE6),"min", MIN(Instances!AE6:Instances!AE6),"max", MAX(Instances!AE6:Instances!AE6),"diff", MAX(Instances!AE6:Instances!AE6)-MIN(Instances!AE6:Instances!AE6))</f>
        <v>0</v>
      </c>
      <c r="AF6" s="1" cm="1">
        <f t="array" ref="AF6">_xlfn.SWITCH($A$2,"average", AVERAGE(Instances!AF6:Instances!AF6),"median", MEDIAN(Instances!AF6:Instances!AF6),"min", MIN(Instances!AF6:Instances!AF6),"max", MAX(Instances!AF6:Instances!AF6),"diff", MAX(Instances!AF6:Instances!AF6)-MIN(Instances!AF6:Instances!AF6))</f>
        <v>0</v>
      </c>
      <c r="AG6" s="1" cm="1">
        <f t="array" ref="AG6">_xlfn.SWITCH($A$2,"average", AVERAGE(Instances!AG6:Instances!AG6),"median", MEDIAN(Instances!AG6:Instances!AG6),"min", MIN(Instances!AG6:Instances!AG6),"max", MAX(Instances!AG6:Instances!AG6),"diff", MAX(Instances!AG6:Instances!AG6)-MIN(Instances!AG6:Instances!AG6))</f>
        <v>0</v>
      </c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 cm="1">
        <f t="array" ref="AK6">_xlfn.SWITCH($A$2,"average", AVERAGE(Instances!AK6:Instances!AK6),"median", MEDIAN(Instances!AK6:Instances!AK6),"min", MIN(Instances!AK6:Instances!AK6),"max", MAX(Instances!AK6:Instances!AK6),"diff", MAX(Instances!AK6:Instances!AK6)-MIN(Instances!AK6:Instances!AK6))</f>
        <v>0</v>
      </c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 cm="1">
        <f t="array" ref="T7">_xlfn.SWITCH($A$2,"average", AVERAGE(Instances!T7:Instances!T7),"median", MEDIAN(Instances!T7:Instances!T7),"min", MIN(Instances!T7:Instances!T7),"max", MAX(Instances!T7:Instances!T7),"diff", MAX(Instances!T7:Instances!T7)-MIN(Instances!T7:Instances!T7))</f>
        <v>0</v>
      </c>
      <c r="U7" s="1" cm="1">
        <f t="array" ref="U7">_xlfn.SWITCH($A$2,"average", AVERAGE(Instances!U7:Instances!U7),"median", MEDIAN(Instances!U7:Instances!U7),"min", MIN(Instances!U7:Instances!U7),"max", MAX(Instances!U7:Instances!U7),"diff", MAX(Instances!U7:Instances!U7)-MIN(Instances!U7:Instances!U7))</f>
        <v>0</v>
      </c>
      <c r="V7" s="1" cm="1">
        <f t="array" ref="V7">_xlfn.SWITCH($A$2,"average", AVERAGE(Instances!V7:Instances!V7),"median", MEDIAN(Instances!V7:Instances!V7),"min", MIN(Instances!V7:Instances!V7),"max", MAX(Instances!V7:Instances!V7),"diff", MAX(Instances!V7:Instances!V7)-MIN(Instances!V7:Instances!V7))</f>
        <v>0</v>
      </c>
      <c r="W7" s="1" cm="1">
        <f t="array" ref="W7">_xlfn.SWITCH($A$2,"average", AVERAGE(Instances!W7:Instances!W7),"median", MEDIAN(Instances!W7:Instances!W7),"min", MIN(Instances!W7:Instances!W7),"max", MAX(Instances!W7:Instances!W7),"diff", MAX(Instances!W7:Instances!W7)-MIN(Instances!W7:Instances!W7))</f>
        <v>0</v>
      </c>
      <c r="X7" s="1" cm="1">
        <f t="array" ref="X7">_xlfn.SWITCH($A$2,"average", AVERAGE(Instances!X7:Instances!X7),"median", MEDIAN(Instances!X7:Instances!X7),"min", MIN(Instances!X7:Instances!X7),"max", MAX(Instances!X7:Instances!X7),"diff", MAX(Instances!X7:Instances!X7)-MIN(Instances!X7:Instances!X7))</f>
        <v>0</v>
      </c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 cm="1">
        <f t="array" ref="Z7">_xlfn.SWITCH($A$2,"average", AVERAGE(Instances!Z7:Instances!Z7),"median", MEDIAN(Instances!Z7:Instances!Z7),"min", MIN(Instances!Z7:Instances!Z7),"max", MAX(Instances!Z7:Instances!Z7),"diff", MAX(Instances!Z7:Instances!Z7)-MIN(Instances!Z7:Instances!Z7))</f>
        <v>0</v>
      </c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 cm="1">
        <f t="array" ref="AC7">_xlfn.SWITCH($A$2,"average", AVERAGE(Instances!AC7:Instances!AC7),"median", MEDIAN(Instances!AC7:Instances!AC7),"min", MIN(Instances!AC7:Instances!AC7),"max", MAX(Instances!AC7:Instances!AC7),"diff", MAX(Instances!AC7:Instances!AC7)-MIN(Instances!AC7:Instances!AC7))</f>
        <v>0</v>
      </c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 cm="1">
        <f t="array" ref="AE7">_xlfn.SWITCH($A$2,"average", AVERAGE(Instances!AE7:Instances!AE7),"median", MEDIAN(Instances!AE7:Instances!AE7),"min", MIN(Instances!AE7:Instances!AE7),"max", MAX(Instances!AE7:Instances!AE7),"diff", MAX(Instances!AE7:Instances!AE7)-MIN(Instances!AE7:Instances!AE7))</f>
        <v>0</v>
      </c>
      <c r="AF7" s="1" cm="1">
        <f t="array" ref="AF7">_xlfn.SWITCH($A$2,"average", AVERAGE(Instances!AF7:Instances!AF7),"median", MEDIAN(Instances!AF7:Instances!AF7),"min", MIN(Instances!AF7:Instances!AF7),"max", MAX(Instances!AF7:Instances!AF7),"diff", MAX(Instances!AF7:Instances!AF7)-MIN(Instances!AF7:Instances!AF7))</f>
        <v>0</v>
      </c>
      <c r="AG7" s="1" cm="1">
        <f t="array" ref="AG7">_xlfn.SWITCH($A$2,"average", AVERAGE(Instances!AG7:Instances!AG7),"median", MEDIAN(Instances!AG7:Instances!AG7),"min", MIN(Instances!AG7:Instances!AG7),"max", MAX(Instances!AG7:Instances!AG7),"diff", MAX(Instances!AG7:Instances!AG7)-MIN(Instances!AG7:Instances!AG7))</f>
        <v>0</v>
      </c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 cm="1">
        <f t="array" ref="AK7">_xlfn.SWITCH($A$2,"average", AVERAGE(Instances!AK7:Instances!AK7),"median", MEDIAN(Instances!AK7:Instances!AK7),"min", MIN(Instances!AK7:Instances!AK7),"max", MAX(Instances!AK7:Instances!AK7),"diff", MAX(Instances!AK7:Instances!AK7)-MIN(Instances!AK7:Instances!AK7))</f>
        <v>0</v>
      </c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 cm="1">
        <f t="array" ref="T8">_xlfn.SWITCH($A$2,"average", AVERAGE(Instances!T8:Instances!T8),"median", MEDIAN(Instances!T8:Instances!T8),"min", MIN(Instances!T8:Instances!T8),"max", MAX(Instances!T8:Instances!T8),"diff", MAX(Instances!T8:Instances!T8)-MIN(Instances!T8:Instances!T8))</f>
        <v>0</v>
      </c>
      <c r="U8" s="1" cm="1">
        <f t="array" ref="U8">_xlfn.SWITCH($A$2,"average", AVERAGE(Instances!U8:Instances!U8),"median", MEDIAN(Instances!U8:Instances!U8),"min", MIN(Instances!U8:Instances!U8),"max", MAX(Instances!U8:Instances!U8),"diff", MAX(Instances!U8:Instances!U8)-MIN(Instances!U8:Instances!U8))</f>
        <v>0</v>
      </c>
      <c r="V8" s="1" cm="1">
        <f t="array" ref="V8">_xlfn.SWITCH($A$2,"average", AVERAGE(Instances!V8:Instances!V8),"median", MEDIAN(Instances!V8:Instances!V8),"min", MIN(Instances!V8:Instances!V8),"max", MAX(Instances!V8:Instances!V8),"diff", MAX(Instances!V8:Instances!V8)-MIN(Instances!V8:Instances!V8))</f>
        <v>0</v>
      </c>
      <c r="W8" s="1" cm="1">
        <f t="array" ref="W8">_xlfn.SWITCH($A$2,"average", AVERAGE(Instances!W8:Instances!W8),"median", MEDIAN(Instances!W8:Instances!W8),"min", MIN(Instances!W8:Instances!W8),"max", MAX(Instances!W8:Instances!W8),"diff", MAX(Instances!W8:Instances!W8)-MIN(Instances!W8:Instances!W8))</f>
        <v>0</v>
      </c>
      <c r="X8" s="1" cm="1">
        <f t="array" ref="X8">_xlfn.SWITCH($A$2,"average", AVERAGE(Instances!X8:Instances!X8),"median", MEDIAN(Instances!X8:Instances!X8),"min", MIN(Instances!X8:Instances!X8),"max", MAX(Instances!X8:Instances!X8),"diff", MAX(Instances!X8:Instances!X8)-MIN(Instances!X8:Instances!X8))</f>
        <v>0</v>
      </c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 cm="1">
        <f t="array" ref="Z8">_xlfn.SWITCH($A$2,"average", AVERAGE(Instances!Z8:Instances!Z8),"median", MEDIAN(Instances!Z8:Instances!Z8),"min", MIN(Instances!Z8:Instances!Z8),"max", MAX(Instances!Z8:Instances!Z8),"diff", MAX(Instances!Z8:Instances!Z8)-MIN(Instances!Z8:Instances!Z8))</f>
        <v>0</v>
      </c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 cm="1">
        <f t="array" ref="AC8">_xlfn.SWITCH($A$2,"average", AVERAGE(Instances!AC8:Instances!AC8),"median", MEDIAN(Instances!AC8:Instances!AC8),"min", MIN(Instances!AC8:Instances!AC8),"max", MAX(Instances!AC8:Instances!AC8),"diff", MAX(Instances!AC8:Instances!AC8)-MIN(Instances!AC8:Instances!AC8))</f>
        <v>0</v>
      </c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 cm="1">
        <f t="array" ref="AE8">_xlfn.SWITCH($A$2,"average", AVERAGE(Instances!AE8:Instances!AE8),"median", MEDIAN(Instances!AE8:Instances!AE8),"min", MIN(Instances!AE8:Instances!AE8),"max", MAX(Instances!AE8:Instances!AE8),"diff", MAX(Instances!AE8:Instances!AE8)-MIN(Instances!AE8:Instances!AE8))</f>
        <v>0</v>
      </c>
      <c r="AF8" s="1" cm="1">
        <f t="array" ref="AF8">_xlfn.SWITCH($A$2,"average", AVERAGE(Instances!AF8:Instances!AF8),"median", MEDIAN(Instances!AF8:Instances!AF8),"min", MIN(Instances!AF8:Instances!AF8),"max", MAX(Instances!AF8:Instances!AF8),"diff", MAX(Instances!AF8:Instances!AF8)-MIN(Instances!AF8:Instances!AF8))</f>
        <v>0</v>
      </c>
      <c r="AG8" s="1" cm="1">
        <f t="array" ref="AG8">_xlfn.SWITCH($A$2,"average", AVERAGE(Instances!AG8:Instances!AG8),"median", MEDIAN(Instances!AG8:Instances!AG8),"min", MIN(Instances!AG8:Instances!AG8),"max", MAX(Instances!AG8:Instances!AG8),"diff", MAX(Instances!AG8:Instances!AG8)-MIN(Instances!AG8:Instances!AG8))</f>
        <v>0</v>
      </c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 cm="1">
        <f t="array" ref="AK8">_xlfn.SWITCH($A$2,"average", AVERAGE(Instances!AK8:Instances!AK8),"median", MEDIAN(Instances!AK8:Instances!AK8),"min", MIN(Instances!AK8:Instances!AK8),"max", MAX(Instances!AK8:Instances!AK8),"diff", MAX(Instances!AK8:Instances!AK8)-MIN(Instances!AK8:Instances!AK8))</f>
        <v>0</v>
      </c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 cm="1">
        <f t="array" ref="T9">_xlfn.SWITCH($A$2,"average", AVERAGE(Instances!T9:Instances!T9),"median", MEDIAN(Instances!T9:Instances!T9),"min", MIN(Instances!T9:Instances!T9),"max", MAX(Instances!T9:Instances!T9),"diff", MAX(Instances!T9:Instances!T9)-MIN(Instances!T9:Instances!T9))</f>
        <v>0</v>
      </c>
      <c r="U9" s="1" cm="1">
        <f t="array" ref="U9">_xlfn.SWITCH($A$2,"average", AVERAGE(Instances!U9:Instances!U9),"median", MEDIAN(Instances!U9:Instances!U9),"min", MIN(Instances!U9:Instances!U9),"max", MAX(Instances!U9:Instances!U9),"diff", MAX(Instances!U9:Instances!U9)-MIN(Instances!U9:Instances!U9))</f>
        <v>0</v>
      </c>
      <c r="V9" s="1" cm="1">
        <f t="array" ref="V9">_xlfn.SWITCH($A$2,"average", AVERAGE(Instances!V9:Instances!V9),"median", MEDIAN(Instances!V9:Instances!V9),"min", MIN(Instances!V9:Instances!V9),"max", MAX(Instances!V9:Instances!V9),"diff", MAX(Instances!V9:Instances!V9)-MIN(Instances!V9:Instances!V9))</f>
        <v>0</v>
      </c>
      <c r="W9" s="1" cm="1">
        <f t="array" ref="W9">_xlfn.SWITCH($A$2,"average", AVERAGE(Instances!W9:Instances!W9),"median", MEDIAN(Instances!W9:Instances!W9),"min", MIN(Instances!W9:Instances!W9),"max", MAX(Instances!W9:Instances!W9),"diff", MAX(Instances!W9:Instances!W9)-MIN(Instances!W9:Instances!W9))</f>
        <v>0</v>
      </c>
      <c r="X9" s="1" cm="1">
        <f t="array" ref="X9">_xlfn.SWITCH($A$2,"average", AVERAGE(Instances!X9:Instances!X9),"median", MEDIAN(Instances!X9:Instances!X9),"min", MIN(Instances!X9:Instances!X9),"max", MAX(Instances!X9:Instances!X9),"diff", MAX(Instances!X9:Instances!X9)-MIN(Instances!X9:Instances!X9))</f>
        <v>0</v>
      </c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 cm="1">
        <f t="array" ref="Z9">_xlfn.SWITCH($A$2,"average", AVERAGE(Instances!Z9:Instances!Z9),"median", MEDIAN(Instances!Z9:Instances!Z9),"min", MIN(Instances!Z9:Instances!Z9),"max", MAX(Instances!Z9:Instances!Z9),"diff", MAX(Instances!Z9:Instances!Z9)-MIN(Instances!Z9:Instances!Z9))</f>
        <v>0</v>
      </c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 cm="1">
        <f t="array" ref="AC9">_xlfn.SWITCH($A$2,"average", AVERAGE(Instances!AC9:Instances!AC9),"median", MEDIAN(Instances!AC9:Instances!AC9),"min", MIN(Instances!AC9:Instances!AC9),"max", MAX(Instances!AC9:Instances!AC9),"diff", MAX(Instances!AC9:Instances!AC9)-MIN(Instances!AC9:Instances!AC9))</f>
        <v>0</v>
      </c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 cm="1">
        <f t="array" ref="AE9">_xlfn.SWITCH($A$2,"average", AVERAGE(Instances!AE9:Instances!AE9),"median", MEDIAN(Instances!AE9:Instances!AE9),"min", MIN(Instances!AE9:Instances!AE9),"max", MAX(Instances!AE9:Instances!AE9),"diff", MAX(Instances!AE9:Instances!AE9)-MIN(Instances!AE9:Instances!AE9))</f>
        <v>0</v>
      </c>
      <c r="AF9" s="1" cm="1">
        <f t="array" ref="AF9">_xlfn.SWITCH($A$2,"average", AVERAGE(Instances!AF9:Instances!AF9),"median", MEDIAN(Instances!AF9:Instances!AF9),"min", MIN(Instances!AF9:Instances!AF9),"max", MAX(Instances!AF9:Instances!AF9),"diff", MAX(Instances!AF9:Instances!AF9)-MIN(Instances!AF9:Instances!AF9))</f>
        <v>0</v>
      </c>
      <c r="AG9" s="1" cm="1">
        <f t="array" ref="AG9">_xlfn.SWITCH($A$2,"average", AVERAGE(Instances!AG9:Instances!AG9),"median", MEDIAN(Instances!AG9:Instances!AG9),"min", MIN(Instances!AG9:Instances!AG9),"max", MAX(Instances!AG9:Instances!AG9),"diff", MAX(Instances!AG9:Instances!AG9)-MIN(Instances!AG9:Instances!AG9))</f>
        <v>0</v>
      </c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 cm="1">
        <f t="array" ref="AK9">_xlfn.SWITCH($A$2,"average", AVERAGE(Instances!AK9:Instances!AK9),"median", MEDIAN(Instances!AK9:Instances!AK9),"min", MIN(Instances!AK9:Instances!AK9),"max", MAX(Instances!AK9:Instances!AK9),"diff", MAX(Instances!AK9:Instances!AK9)-MIN(Instances!AK9:Instances!AK9))</f>
        <v>0</v>
      </c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 cm="1">
        <f t="array" ref="O10">_xlfn.SWITCH($A$2,"average", AVERAGE(Instances!O10:Instances!O10),"median", MEDIAN(Instances!O10:Instances!O10),"min", MIN(Instances!O10:Instances!O10),"max", MAX(Instances!O10:Instances!O10),"diff", MAX(Instances!O10:Instances!O10)-MIN(Instances!O10:Instances!O10))</f>
        <v>0</v>
      </c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 cm="1">
        <f t="array" ref="S10">_xlfn.SWITCH($A$2,"average", AVERAGE(Instances!S10:Instances!S10),"median", MEDIAN(Instances!S10:Instances!S10),"min", MIN(Instances!S10:Instances!S10),"max", MAX(Instances!S10:Instances!S10),"diff", MAX(Instances!S10:Instances!S10)-MIN(Instances!S10:Instances!S10))</f>
        <v>0</v>
      </c>
      <c r="T10" s="1" cm="1">
        <f t="array" ref="T10">_xlfn.SWITCH($A$2,"average", AVERAGE(Instances!T10:Instances!T10),"median", MEDIAN(Instances!T10:Instances!T10),"min", MIN(Instances!T10:Instances!T10),"max", MAX(Instances!T10:Instances!T10),"diff", MAX(Instances!T10:Instances!T10)-MIN(Instances!T10:Instances!T10))</f>
        <v>0</v>
      </c>
      <c r="U10" s="1" cm="1">
        <f t="array" ref="U10">_xlfn.SWITCH($A$2,"average", AVERAGE(Instances!U10:Instances!U10),"median", MEDIAN(Instances!U10:Instances!U10),"min", MIN(Instances!U10:Instances!U10),"max", MAX(Instances!U10:Instances!U10),"diff", MAX(Instances!U10:Instances!U10)-MIN(Instances!U10:Instances!U10))</f>
        <v>0</v>
      </c>
      <c r="V10" s="1" cm="1">
        <f t="array" ref="V10">_xlfn.SWITCH($A$2,"average", AVERAGE(Instances!V10:Instances!V10),"median", MEDIAN(Instances!V10:Instances!V10),"min", MIN(Instances!V10:Instances!V10),"max", MAX(Instances!V10:Instances!V10),"diff", MAX(Instances!V10:Instances!V10)-MIN(Instances!V10:Instances!V10))</f>
        <v>0</v>
      </c>
      <c r="W10" s="1" cm="1">
        <f t="array" ref="W10">_xlfn.SWITCH($A$2,"average", AVERAGE(Instances!W10:Instances!W10),"median", MEDIAN(Instances!W10:Instances!W10),"min", MIN(Instances!W10:Instances!W10),"max", MAX(Instances!W10:Instances!W10),"diff", MAX(Instances!W10:Instances!W10)-MIN(Instances!W10:Instances!W10))</f>
        <v>0</v>
      </c>
      <c r="X10" s="1" cm="1">
        <f t="array" ref="X10">_xlfn.SWITCH($A$2,"average", AVERAGE(Instances!X10:Instances!X10),"median", MEDIAN(Instances!X10:Instances!X10),"min", MIN(Instances!X10:Instances!X10),"max", MAX(Instances!X10:Instances!X10),"diff", MAX(Instances!X10:Instances!X10)-MIN(Instances!X10:Instances!X10))</f>
        <v>0</v>
      </c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 cm="1">
        <f t="array" ref="Z10">_xlfn.SWITCH($A$2,"average", AVERAGE(Instances!Z10:Instances!Z10),"median", MEDIAN(Instances!Z10:Instances!Z10),"min", MIN(Instances!Z10:Instances!Z10),"max", MAX(Instances!Z10:Instances!Z10),"diff", MAX(Instances!Z10:Instances!Z10)-MIN(Instances!Z10:Instances!Z10))</f>
        <v>0</v>
      </c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 cm="1">
        <f t="array" ref="AC10">_xlfn.SWITCH($A$2,"average", AVERAGE(Instances!AC10:Instances!AC10),"median", MEDIAN(Instances!AC10:Instances!AC10),"min", MIN(Instances!AC10:Instances!AC10),"max", MAX(Instances!AC10:Instances!AC10),"diff", MAX(Instances!AC10:Instances!AC10)-MIN(Instances!AC10:Instances!AC10))</f>
        <v>0</v>
      </c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 cm="1">
        <f t="array" ref="AE10">_xlfn.SWITCH($A$2,"average", AVERAGE(Instances!AE10:Instances!AE10),"median", MEDIAN(Instances!AE10:Instances!AE10),"min", MIN(Instances!AE10:Instances!AE10),"max", MAX(Instances!AE10:Instances!AE10),"diff", MAX(Instances!AE10:Instances!AE10)-MIN(Instances!AE10:Instances!AE10))</f>
        <v>0</v>
      </c>
      <c r="AF10" s="1" cm="1">
        <f t="array" ref="AF10">_xlfn.SWITCH($A$2,"average", AVERAGE(Instances!AF10:Instances!AF10),"median", MEDIAN(Instances!AF10:Instances!AF10),"min", MIN(Instances!AF10:Instances!AF10),"max", MAX(Instances!AF10:Instances!AF10),"diff", MAX(Instances!AF10:Instances!AF10)-MIN(Instances!AF10:Instances!AF10))</f>
        <v>0</v>
      </c>
      <c r="AG10" s="1" cm="1">
        <f t="array" ref="AG10">_xlfn.SWITCH($A$2,"average", AVERAGE(Instances!AG10:Instances!AG10),"median", MEDIAN(Instances!AG10:Instances!AG10),"min", MIN(Instances!AG10:Instances!AG10),"max", MAX(Instances!AG10:Instances!AG10),"diff", MAX(Instances!AG10:Instances!AG10)-MIN(Instances!AG10:Instances!AG10))</f>
        <v>0</v>
      </c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 cm="1">
        <f t="array" ref="AK10">_xlfn.SWITCH($A$2,"average", AVERAGE(Instances!AK10:Instances!AK10),"median", MEDIAN(Instances!AK10:Instances!AK10),"min", MIN(Instances!AK10:Instances!AK10),"max", MAX(Instances!AK10:Instances!AK10),"diff", MAX(Instances!AK10:Instances!AK10)-MIN(Instances!AK10:Instances!AK10))</f>
        <v>0</v>
      </c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 cm="1">
        <f t="array" ref="O11">_xlfn.SWITCH($A$2,"average", AVERAGE(Instances!O11:Instances!O11),"median", MEDIAN(Instances!O11:Instances!O11),"min", MIN(Instances!O11:Instances!O11),"max", MAX(Instances!O11:Instances!O11),"diff", MAX(Instances!O11:Instances!O11)-MIN(Instances!O11:Instances!O11))</f>
        <v>0</v>
      </c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 cm="1">
        <f t="array" ref="S11">_xlfn.SWITCH($A$2,"average", AVERAGE(Instances!S11:Instances!S11),"median", MEDIAN(Instances!S11:Instances!S11),"min", MIN(Instances!S11:Instances!S11),"max", MAX(Instances!S11:Instances!S11),"diff", MAX(Instances!S11:Instances!S11)-MIN(Instances!S11:Instances!S11))</f>
        <v>0</v>
      </c>
      <c r="T11" s="1" cm="1">
        <f t="array" ref="T11">_xlfn.SWITCH($A$2,"average", AVERAGE(Instances!T11:Instances!T11),"median", MEDIAN(Instances!T11:Instances!T11),"min", MIN(Instances!T11:Instances!T11),"max", MAX(Instances!T11:Instances!T11),"diff", MAX(Instances!T11:Instances!T11)-MIN(Instances!T11:Instances!T11))</f>
        <v>0</v>
      </c>
      <c r="U11" s="1" cm="1">
        <f t="array" ref="U11">_xlfn.SWITCH($A$2,"average", AVERAGE(Instances!U11:Instances!U11),"median", MEDIAN(Instances!U11:Instances!U11),"min", MIN(Instances!U11:Instances!U11),"max", MAX(Instances!U11:Instances!U11),"diff", MAX(Instances!U11:Instances!U11)-MIN(Instances!U11:Instances!U11))</f>
        <v>0</v>
      </c>
      <c r="V11" s="1" cm="1">
        <f t="array" ref="V11">_xlfn.SWITCH($A$2,"average", AVERAGE(Instances!V11:Instances!V11),"median", MEDIAN(Instances!V11:Instances!V11),"min", MIN(Instances!V11:Instances!V11),"max", MAX(Instances!V11:Instances!V11),"diff", MAX(Instances!V11:Instances!V11)-MIN(Instances!V11:Instances!V11))</f>
        <v>0</v>
      </c>
      <c r="W11" s="1" cm="1">
        <f t="array" ref="W11">_xlfn.SWITCH($A$2,"average", AVERAGE(Instances!W11:Instances!W11),"median", MEDIAN(Instances!W11:Instances!W11),"min", MIN(Instances!W11:Instances!W11),"max", MAX(Instances!W11:Instances!W11),"diff", MAX(Instances!W11:Instances!W11)-MIN(Instances!W11:Instances!W11))</f>
        <v>0</v>
      </c>
      <c r="X11" s="1" cm="1">
        <f t="array" ref="X11">_xlfn.SWITCH($A$2,"average", AVERAGE(Instances!X11:Instances!X11),"median", MEDIAN(Instances!X11:Instances!X11),"min", MIN(Instances!X11:Instances!X11),"max", MAX(Instances!X11:Instances!X11),"diff", MAX(Instances!X11:Instances!X11)-MIN(Instances!X11:Instances!X11))</f>
        <v>0</v>
      </c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 cm="1">
        <f t="array" ref="Z11">_xlfn.SWITCH($A$2,"average", AVERAGE(Instances!Z11:Instances!Z11),"median", MEDIAN(Instances!Z11:Instances!Z11),"min", MIN(Instances!Z11:Instances!Z11),"max", MAX(Instances!Z11:Instances!Z11),"diff", MAX(Instances!Z11:Instances!Z11)-MIN(Instances!Z11:Instances!Z11))</f>
        <v>0</v>
      </c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 cm="1">
        <f t="array" ref="AC11">_xlfn.SWITCH($A$2,"average", AVERAGE(Instances!AC11:Instances!AC11),"median", MEDIAN(Instances!AC11:Instances!AC11),"min", MIN(Instances!AC11:Instances!AC11),"max", MAX(Instances!AC11:Instances!AC11),"diff", MAX(Instances!AC11:Instances!AC11)-MIN(Instances!AC11:Instances!AC11))</f>
        <v>0</v>
      </c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 cm="1">
        <f t="array" ref="AE11">_xlfn.SWITCH($A$2,"average", AVERAGE(Instances!AE11:Instances!AE11),"median", MEDIAN(Instances!AE11:Instances!AE11),"min", MIN(Instances!AE11:Instances!AE11),"max", MAX(Instances!AE11:Instances!AE11),"diff", MAX(Instances!AE11:Instances!AE11)-MIN(Instances!AE11:Instances!AE11))</f>
        <v>0</v>
      </c>
      <c r="AF11" s="1" cm="1">
        <f t="array" ref="AF11">_xlfn.SWITCH($A$2,"average", AVERAGE(Instances!AF11:Instances!AF11),"median", MEDIAN(Instances!AF11:Instances!AF11),"min", MIN(Instances!AF11:Instances!AF11),"max", MAX(Instances!AF11:Instances!AF11),"diff", MAX(Instances!AF11:Instances!AF11)-MIN(Instances!AF11:Instances!AF11))</f>
        <v>0</v>
      </c>
      <c r="AG11" s="1" cm="1">
        <f t="array" ref="AG11">_xlfn.SWITCH($A$2,"average", AVERAGE(Instances!AG11:Instances!AG11),"median", MEDIAN(Instances!AG11:Instances!AG11),"min", MIN(Instances!AG11:Instances!AG11),"max", MAX(Instances!AG11:Instances!AG11),"diff", MAX(Instances!AG11:Instances!AG11)-MIN(Instances!AG11:Instances!AG11))</f>
        <v>0</v>
      </c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 cm="1">
        <f t="array" ref="AK11">_xlfn.SWITCH($A$2,"average", AVERAGE(Instances!AK11:Instances!AK11),"median", MEDIAN(Instances!AK11:Instances!AK11),"min", MIN(Instances!AK11:Instances!AK11),"max", MAX(Instances!AK11:Instances!AK11),"diff", MAX(Instances!AK11:Instances!AK11)-MIN(Instances!AK11:Instances!AK11))</f>
        <v>0</v>
      </c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 cm="1">
        <f t="array" ref="O12">_xlfn.SWITCH($A$2,"average", AVERAGE(Instances!O12:Instances!O12),"median", MEDIAN(Instances!O12:Instances!O12),"min", MIN(Instances!O12:Instances!O12),"max", MAX(Instances!O12:Instances!O12),"diff", MAX(Instances!O12:Instances!O12)-MIN(Instances!O12:Instances!O12))</f>
        <v>0</v>
      </c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 cm="1">
        <f t="array" ref="S12">_xlfn.SWITCH($A$2,"average", AVERAGE(Instances!S12:Instances!S12),"median", MEDIAN(Instances!S12:Instances!S12),"min", MIN(Instances!S12:Instances!S12),"max", MAX(Instances!S12:Instances!S12),"diff", MAX(Instances!S12:Instances!S12)-MIN(Instances!S12:Instances!S12))</f>
        <v>0</v>
      </c>
      <c r="T12" s="1" cm="1">
        <f t="array" ref="T12">_xlfn.SWITCH($A$2,"average", AVERAGE(Instances!T12:Instances!T12),"median", MEDIAN(Instances!T12:Instances!T12),"min", MIN(Instances!T12:Instances!T12),"max", MAX(Instances!T12:Instances!T12),"diff", MAX(Instances!T12:Instances!T12)-MIN(Instances!T12:Instances!T12))</f>
        <v>0</v>
      </c>
      <c r="U12" s="1" cm="1">
        <f t="array" ref="U12">_xlfn.SWITCH($A$2,"average", AVERAGE(Instances!U12:Instances!U12),"median", MEDIAN(Instances!U12:Instances!U12),"min", MIN(Instances!U12:Instances!U12),"max", MAX(Instances!U12:Instances!U12),"diff", MAX(Instances!U12:Instances!U12)-MIN(Instances!U12:Instances!U12))</f>
        <v>0</v>
      </c>
      <c r="V12" s="1" cm="1">
        <f t="array" ref="V12">_xlfn.SWITCH($A$2,"average", AVERAGE(Instances!V12:Instances!V12),"median", MEDIAN(Instances!V12:Instances!V12),"min", MIN(Instances!V12:Instances!V12),"max", MAX(Instances!V12:Instances!V12),"diff", MAX(Instances!V12:Instances!V12)-MIN(Instances!V12:Instances!V12))</f>
        <v>0</v>
      </c>
      <c r="W12" s="1" cm="1">
        <f t="array" ref="W12">_xlfn.SWITCH($A$2,"average", AVERAGE(Instances!W12:Instances!W12),"median", MEDIAN(Instances!W12:Instances!W12),"min", MIN(Instances!W12:Instances!W12),"max", MAX(Instances!W12:Instances!W12),"diff", MAX(Instances!W12:Instances!W12)-MIN(Instances!W12:Instances!W12))</f>
        <v>0</v>
      </c>
      <c r="X12" s="1" cm="1">
        <f t="array" ref="X12">_xlfn.SWITCH($A$2,"average", AVERAGE(Instances!X12:Instances!X12),"median", MEDIAN(Instances!X12:Instances!X12),"min", MIN(Instances!X12:Instances!X12),"max", MAX(Instances!X12:Instances!X12),"diff", MAX(Instances!X12:Instances!X12)-MIN(Instances!X12:Instances!X12))</f>
        <v>0</v>
      </c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 cm="1">
        <f t="array" ref="Z12">_xlfn.SWITCH($A$2,"average", AVERAGE(Instances!Z12:Instances!Z12),"median", MEDIAN(Instances!Z12:Instances!Z12),"min", MIN(Instances!Z12:Instances!Z12),"max", MAX(Instances!Z12:Instances!Z12),"diff", MAX(Instances!Z12:Instances!Z12)-MIN(Instances!Z12:Instances!Z12))</f>
        <v>0</v>
      </c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 cm="1">
        <f t="array" ref="AC12">_xlfn.SWITCH($A$2,"average", AVERAGE(Instances!AC12:Instances!AC12),"median", MEDIAN(Instances!AC12:Instances!AC12),"min", MIN(Instances!AC12:Instances!AC12),"max", MAX(Instances!AC12:Instances!AC12),"diff", MAX(Instances!AC12:Instances!AC12)-MIN(Instances!AC12:Instances!AC12))</f>
        <v>0</v>
      </c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 cm="1">
        <f t="array" ref="AE12">_xlfn.SWITCH($A$2,"average", AVERAGE(Instances!AE12:Instances!AE12),"median", MEDIAN(Instances!AE12:Instances!AE12),"min", MIN(Instances!AE12:Instances!AE12),"max", MAX(Instances!AE12:Instances!AE12),"diff", MAX(Instances!AE12:Instances!AE12)-MIN(Instances!AE12:Instances!AE12))</f>
        <v>0</v>
      </c>
      <c r="AF12" s="1" cm="1">
        <f t="array" ref="AF12">_xlfn.SWITCH($A$2,"average", AVERAGE(Instances!AF12:Instances!AF12),"median", MEDIAN(Instances!AF12:Instances!AF12),"min", MIN(Instances!AF12:Instances!AF12),"max", MAX(Instances!AF12:Instances!AF12),"diff", MAX(Instances!AF12:Instances!AF12)-MIN(Instances!AF12:Instances!AF12))</f>
        <v>0</v>
      </c>
      <c r="AG12" s="1" cm="1">
        <f t="array" ref="AG12">_xlfn.SWITCH($A$2,"average", AVERAGE(Instances!AG12:Instances!AG12),"median", MEDIAN(Instances!AG12:Instances!AG12),"min", MIN(Instances!AG12:Instances!AG12),"max", MAX(Instances!AG12:Instances!AG12),"diff", MAX(Instances!AG12:Instances!AG12)-MIN(Instances!AG12:Instances!AG12))</f>
        <v>0</v>
      </c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 cm="1">
        <f t="array" ref="AK12">_xlfn.SWITCH($A$2,"average", AVERAGE(Instances!AK12:Instances!AK12),"median", MEDIAN(Instances!AK12:Instances!AK12),"min", MIN(Instances!AK12:Instances!AK12),"max", MAX(Instances!AK12:Instances!AK12),"diff", MAX(Instances!AK12:Instances!AK12)-MIN(Instances!AK12:Instances!AK12))</f>
        <v>0</v>
      </c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 cm="1">
        <f t="array" ref="O13">_xlfn.SWITCH($A$2,"average", AVERAGE(Instances!O13:Instances!O13),"median", MEDIAN(Instances!O13:Instances!O13),"min", MIN(Instances!O13:Instances!O13),"max", MAX(Instances!O13:Instances!O13),"diff", MAX(Instances!O13:Instances!O13)-MIN(Instances!O13:Instances!O13))</f>
        <v>0</v>
      </c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 cm="1">
        <f t="array" ref="S13">_xlfn.SWITCH($A$2,"average", AVERAGE(Instances!S13:Instances!S13),"median", MEDIAN(Instances!S13:Instances!S13),"min", MIN(Instances!S13:Instances!S13),"max", MAX(Instances!S13:Instances!S13),"diff", MAX(Instances!S13:Instances!S13)-MIN(Instances!S13:Instances!S13))</f>
        <v>0</v>
      </c>
      <c r="T13" s="1" cm="1">
        <f t="array" ref="T13">_xlfn.SWITCH($A$2,"average", AVERAGE(Instances!T13:Instances!T13),"median", MEDIAN(Instances!T13:Instances!T13),"min", MIN(Instances!T13:Instances!T13),"max", MAX(Instances!T13:Instances!T13),"diff", MAX(Instances!T13:Instances!T13)-MIN(Instances!T13:Instances!T13))</f>
        <v>0</v>
      </c>
      <c r="U13" s="1" cm="1">
        <f t="array" ref="U13">_xlfn.SWITCH($A$2,"average", AVERAGE(Instances!U13:Instances!U13),"median", MEDIAN(Instances!U13:Instances!U13),"min", MIN(Instances!U13:Instances!U13),"max", MAX(Instances!U13:Instances!U13),"diff", MAX(Instances!U13:Instances!U13)-MIN(Instances!U13:Instances!U13))</f>
        <v>0</v>
      </c>
      <c r="V13" s="1" cm="1">
        <f t="array" ref="V13">_xlfn.SWITCH($A$2,"average", AVERAGE(Instances!V13:Instances!V13),"median", MEDIAN(Instances!V13:Instances!V13),"min", MIN(Instances!V13:Instances!V13),"max", MAX(Instances!V13:Instances!V13),"diff", MAX(Instances!V13:Instances!V13)-MIN(Instances!V13:Instances!V13))</f>
        <v>0</v>
      </c>
      <c r="W13" s="1" cm="1">
        <f t="array" ref="W13">_xlfn.SWITCH($A$2,"average", AVERAGE(Instances!W13:Instances!W13),"median", MEDIAN(Instances!W13:Instances!W13),"min", MIN(Instances!W13:Instances!W13),"max", MAX(Instances!W13:Instances!W13),"diff", MAX(Instances!W13:Instances!W13)-MIN(Instances!W13:Instances!W13))</f>
        <v>0</v>
      </c>
      <c r="X13" s="1" cm="1">
        <f t="array" ref="X13">_xlfn.SWITCH($A$2,"average", AVERAGE(Instances!X13:Instances!X13),"median", MEDIAN(Instances!X13:Instances!X13),"min", MIN(Instances!X13:Instances!X13),"max", MAX(Instances!X13:Instances!X13),"diff", MAX(Instances!X13:Instances!X13)-MIN(Instances!X13:Instances!X13))</f>
        <v>0</v>
      </c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 cm="1">
        <f t="array" ref="Z13">_xlfn.SWITCH($A$2,"average", AVERAGE(Instances!Z13:Instances!Z13),"median", MEDIAN(Instances!Z13:Instances!Z13),"min", MIN(Instances!Z13:Instances!Z13),"max", MAX(Instances!Z13:Instances!Z13),"diff", MAX(Instances!Z13:Instances!Z13)-MIN(Instances!Z13:Instances!Z13))</f>
        <v>0</v>
      </c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 cm="1">
        <f t="array" ref="AC13">_xlfn.SWITCH($A$2,"average", AVERAGE(Instances!AC13:Instances!AC13),"median", MEDIAN(Instances!AC13:Instances!AC13),"min", MIN(Instances!AC13:Instances!AC13),"max", MAX(Instances!AC13:Instances!AC13),"diff", MAX(Instances!AC13:Instances!AC13)-MIN(Instances!AC13:Instances!AC13))</f>
        <v>0</v>
      </c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 cm="1">
        <f t="array" ref="AE13">_xlfn.SWITCH($A$2,"average", AVERAGE(Instances!AE13:Instances!AE13),"median", MEDIAN(Instances!AE13:Instances!AE13),"min", MIN(Instances!AE13:Instances!AE13),"max", MAX(Instances!AE13:Instances!AE13),"diff", MAX(Instances!AE13:Instances!AE13)-MIN(Instances!AE13:Instances!AE13))</f>
        <v>0</v>
      </c>
      <c r="AF13" s="1" cm="1">
        <f t="array" ref="AF13">_xlfn.SWITCH($A$2,"average", AVERAGE(Instances!AF13:Instances!AF13),"median", MEDIAN(Instances!AF13:Instances!AF13),"min", MIN(Instances!AF13:Instances!AF13),"max", MAX(Instances!AF13:Instances!AF13),"diff", MAX(Instances!AF13:Instances!AF13)-MIN(Instances!AF13:Instances!AF13))</f>
        <v>0</v>
      </c>
      <c r="AG13" s="1" cm="1">
        <f t="array" ref="AG13">_xlfn.SWITCH($A$2,"average", AVERAGE(Instances!AG13:Instances!AG13),"median", MEDIAN(Instances!AG13:Instances!AG13),"min", MIN(Instances!AG13:Instances!AG13),"max", MAX(Instances!AG13:Instances!AG13),"diff", MAX(Instances!AG13:Instances!AG13)-MIN(Instances!AG13:Instances!AG13))</f>
        <v>0</v>
      </c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 cm="1">
        <f t="array" ref="AK13">_xlfn.SWITCH($A$2,"average", AVERAGE(Instances!AK13:Instances!AK13),"median", MEDIAN(Instances!AK13:Instances!AK13),"min", MIN(Instances!AK13:Instances!AK13),"max", MAX(Instances!AK13:Instances!AK13),"diff", MAX(Instances!AK13:Instances!AK13)-MIN(Instances!AK13:Instances!AK13))</f>
        <v>0</v>
      </c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 cm="1">
        <f t="array" ref="O14">_xlfn.SWITCH($A$2,"average", AVERAGE(Instances!O14:Instances!O14),"median", MEDIAN(Instances!O14:Instances!O14),"min", MIN(Instances!O14:Instances!O14),"max", MAX(Instances!O14:Instances!O14),"diff", MAX(Instances!O14:Instances!O14)-MIN(Instances!O14:Instances!O14))</f>
        <v>0</v>
      </c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 cm="1">
        <f t="array" ref="S14">_xlfn.SWITCH($A$2,"average", AVERAGE(Instances!S14:Instances!S14),"median", MEDIAN(Instances!S14:Instances!S14),"min", MIN(Instances!S14:Instances!S14),"max", MAX(Instances!S14:Instances!S14),"diff", MAX(Instances!S14:Instances!S14)-MIN(Instances!S14:Instances!S14))</f>
        <v>0</v>
      </c>
      <c r="T14" s="1" cm="1">
        <f t="array" ref="T14">_xlfn.SWITCH($A$2,"average", AVERAGE(Instances!T14:Instances!T14),"median", MEDIAN(Instances!T14:Instances!T14),"min", MIN(Instances!T14:Instances!T14),"max", MAX(Instances!T14:Instances!T14),"diff", MAX(Instances!T14:Instances!T14)-MIN(Instances!T14:Instances!T14))</f>
        <v>0</v>
      </c>
      <c r="U14" s="1" cm="1">
        <f t="array" ref="U14">_xlfn.SWITCH($A$2,"average", AVERAGE(Instances!U14:Instances!U14),"median", MEDIAN(Instances!U14:Instances!U14),"min", MIN(Instances!U14:Instances!U14),"max", MAX(Instances!U14:Instances!U14),"diff", MAX(Instances!U14:Instances!U14)-MIN(Instances!U14:Instances!U14))</f>
        <v>0</v>
      </c>
      <c r="V14" s="1" cm="1">
        <f t="array" ref="V14">_xlfn.SWITCH($A$2,"average", AVERAGE(Instances!V14:Instances!V14),"median", MEDIAN(Instances!V14:Instances!V14),"min", MIN(Instances!V14:Instances!V14),"max", MAX(Instances!V14:Instances!V14),"diff", MAX(Instances!V14:Instances!V14)-MIN(Instances!V14:Instances!V14))</f>
        <v>0</v>
      </c>
      <c r="W14" s="1" cm="1">
        <f t="array" ref="W14">_xlfn.SWITCH($A$2,"average", AVERAGE(Instances!W14:Instances!W14),"median", MEDIAN(Instances!W14:Instances!W14),"min", MIN(Instances!W14:Instances!W14),"max", MAX(Instances!W14:Instances!W14),"diff", MAX(Instances!W14:Instances!W14)-MIN(Instances!W14:Instances!W14))</f>
        <v>0</v>
      </c>
      <c r="X14" s="1" cm="1">
        <f t="array" ref="X14">_xlfn.SWITCH($A$2,"average", AVERAGE(Instances!X14:Instances!X14),"median", MEDIAN(Instances!X14:Instances!X14),"min", MIN(Instances!X14:Instances!X14),"max", MAX(Instances!X14:Instances!X14),"diff", MAX(Instances!X14:Instances!X14)-MIN(Instances!X14:Instances!X14))</f>
        <v>0</v>
      </c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 cm="1">
        <f t="array" ref="Z14">_xlfn.SWITCH($A$2,"average", AVERAGE(Instances!Z14:Instances!Z14),"median", MEDIAN(Instances!Z14:Instances!Z14),"min", MIN(Instances!Z14:Instances!Z14),"max", MAX(Instances!Z14:Instances!Z14),"diff", MAX(Instances!Z14:Instances!Z14)-MIN(Instances!Z14:Instances!Z14))</f>
        <v>0</v>
      </c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 cm="1">
        <f t="array" ref="AC14">_xlfn.SWITCH($A$2,"average", AVERAGE(Instances!AC14:Instances!AC14),"median", MEDIAN(Instances!AC14:Instances!AC14),"min", MIN(Instances!AC14:Instances!AC14),"max", MAX(Instances!AC14:Instances!AC14),"diff", MAX(Instances!AC14:Instances!AC14)-MIN(Instances!AC14:Instances!AC14))</f>
        <v>0</v>
      </c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 cm="1">
        <f t="array" ref="AE14">_xlfn.SWITCH($A$2,"average", AVERAGE(Instances!AE14:Instances!AE14),"median", MEDIAN(Instances!AE14:Instances!AE14),"min", MIN(Instances!AE14:Instances!AE14),"max", MAX(Instances!AE14:Instances!AE14),"diff", MAX(Instances!AE14:Instances!AE14)-MIN(Instances!AE14:Instances!AE14))</f>
        <v>0</v>
      </c>
      <c r="AF14" s="1" cm="1">
        <f t="array" ref="AF14">_xlfn.SWITCH($A$2,"average", AVERAGE(Instances!AF14:Instances!AF14),"median", MEDIAN(Instances!AF14:Instances!AF14),"min", MIN(Instances!AF14:Instances!AF14),"max", MAX(Instances!AF14:Instances!AF14),"diff", MAX(Instances!AF14:Instances!AF14)-MIN(Instances!AF14:Instances!AF14))</f>
        <v>0</v>
      </c>
      <c r="AG14" s="1" cm="1">
        <f t="array" ref="AG14">_xlfn.SWITCH($A$2,"average", AVERAGE(Instances!AG14:Instances!AG14),"median", MEDIAN(Instances!AG14:Instances!AG14),"min", MIN(Instances!AG14:Instances!AG14),"max", MAX(Instances!AG14:Instances!AG14),"diff", MAX(Instances!AG14:Instances!AG14)-MIN(Instances!AG14:Instances!AG14))</f>
        <v>0</v>
      </c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 cm="1">
        <f t="array" ref="AK14">_xlfn.SWITCH($A$2,"average", AVERAGE(Instances!AK14:Instances!AK14),"median", MEDIAN(Instances!AK14:Instances!AK14),"min", MIN(Instances!AK14:Instances!AK14),"max", MAX(Instances!AK14:Instances!AK14),"diff", MAX(Instances!AK14:Instances!AK14)-MIN(Instances!AK14:Instances!AK14))</f>
        <v>0</v>
      </c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 cm="1">
        <f t="array" ref="O15">_xlfn.SWITCH($A$2,"average", AVERAGE(Instances!O15:Instances!O15),"median", MEDIAN(Instances!O15:Instances!O15),"min", MIN(Instances!O15:Instances!O15),"max", MAX(Instances!O15:Instances!O15),"diff", MAX(Instances!O15:Instances!O15)-MIN(Instances!O15:Instances!O15))</f>
        <v>0</v>
      </c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 cm="1">
        <f t="array" ref="S15">_xlfn.SWITCH($A$2,"average", AVERAGE(Instances!S15:Instances!S15),"median", MEDIAN(Instances!S15:Instances!S15),"min", MIN(Instances!S15:Instances!S15),"max", MAX(Instances!S15:Instances!S15),"diff", MAX(Instances!S15:Instances!S15)-MIN(Instances!S15:Instances!S15))</f>
        <v>0</v>
      </c>
      <c r="T15" s="1" cm="1">
        <f t="array" ref="T15">_xlfn.SWITCH($A$2,"average", AVERAGE(Instances!T15:Instances!T15),"median", MEDIAN(Instances!T15:Instances!T15),"min", MIN(Instances!T15:Instances!T15),"max", MAX(Instances!T15:Instances!T15),"diff", MAX(Instances!T15:Instances!T15)-MIN(Instances!T15:Instances!T15))</f>
        <v>0</v>
      </c>
      <c r="U15" s="1" cm="1">
        <f t="array" ref="U15">_xlfn.SWITCH($A$2,"average", AVERAGE(Instances!U15:Instances!U15),"median", MEDIAN(Instances!U15:Instances!U15),"min", MIN(Instances!U15:Instances!U15),"max", MAX(Instances!U15:Instances!U15),"diff", MAX(Instances!U15:Instances!U15)-MIN(Instances!U15:Instances!U15))</f>
        <v>0</v>
      </c>
      <c r="V15" s="1" cm="1">
        <f t="array" ref="V15">_xlfn.SWITCH($A$2,"average", AVERAGE(Instances!V15:Instances!V15),"median", MEDIAN(Instances!V15:Instances!V15),"min", MIN(Instances!V15:Instances!V15),"max", MAX(Instances!V15:Instances!V15),"diff", MAX(Instances!V15:Instances!V15)-MIN(Instances!V15:Instances!V15))</f>
        <v>0</v>
      </c>
      <c r="W15" s="1" cm="1">
        <f t="array" ref="W15">_xlfn.SWITCH($A$2,"average", AVERAGE(Instances!W15:Instances!W15),"median", MEDIAN(Instances!W15:Instances!W15),"min", MIN(Instances!W15:Instances!W15),"max", MAX(Instances!W15:Instances!W15),"diff", MAX(Instances!W15:Instances!W15)-MIN(Instances!W15:Instances!W15))</f>
        <v>0</v>
      </c>
      <c r="X15" s="1" cm="1">
        <f t="array" ref="X15">_xlfn.SWITCH($A$2,"average", AVERAGE(Instances!X15:Instances!X15),"median", MEDIAN(Instances!X15:Instances!X15),"min", MIN(Instances!X15:Instances!X15),"max", MAX(Instances!X15:Instances!X15),"diff", MAX(Instances!X15:Instances!X15)-MIN(Instances!X15:Instances!X15))</f>
        <v>0</v>
      </c>
      <c r="Y15" s="1" cm="1">
        <f t="array" ref="Y15">_xlfn.SWITCH($A$2,"average", AVERAGE(Instances!Y15:Instances!Y15),"median", MEDIAN(Instances!Y15:Instances!Y15),"min", MIN(Instances!Y15:Instances!Y15),"max", MAX(Instances!Y15:Instances!Y15),"diff", MAX(Instances!Y15:Instances!Y15)-MIN(Instances!Y15:Instances!Y15))</f>
        <v>0</v>
      </c>
      <c r="Z15" s="1" cm="1">
        <f t="array" ref="Z15">_xlfn.SWITCH($A$2,"average", AVERAGE(Instances!Z15:Instances!Z15),"median", MEDIAN(Instances!Z15:Instances!Z15),"min", MIN(Instances!Z15:Instances!Z15),"max", MAX(Instances!Z15:Instances!Z15),"diff", MAX(Instances!Z15:Instances!Z15)-MIN(Instances!Z15:Instances!Z15))</f>
        <v>0</v>
      </c>
      <c r="AA15" s="1" cm="1">
        <f t="array" ref="AA15">_xlfn.SWITCH($A$2,"average", AVERAGE(Instances!AA15:Instances!AA15),"median", MEDIAN(Instances!AA15:Instances!AA15),"min", MIN(Instances!AA15:Instances!AA15),"max", MAX(Instances!AA15:Instances!AA15),"diff", MAX(Instances!AA15:Instances!AA15)-MIN(Instances!AA15:Instances!AA15))</f>
        <v>0</v>
      </c>
      <c r="AB15" s="1" cm="1">
        <f t="array" ref="AB15">_xlfn.SWITCH($A$2,"average", AVERAGE(Instances!AB15:Instances!AB15),"median", MEDIAN(Instances!AB15:Instances!AB15),"min", MIN(Instances!AB15:Instances!AB15),"max", MAX(Instances!AB15:Instances!AB15),"diff", MAX(Instances!AB15:Instances!AB15)-MIN(Instances!AB15:Instances!AB15))</f>
        <v>0</v>
      </c>
      <c r="AC15" s="1" cm="1">
        <f t="array" ref="AC15">_xlfn.SWITCH($A$2,"average", AVERAGE(Instances!AC15:Instances!AC15),"median", MEDIAN(Instances!AC15:Instances!AC15),"min", MIN(Instances!AC15:Instances!AC15),"max", MAX(Instances!AC15:Instances!AC15),"diff", MAX(Instances!AC15:Instances!AC15)-MIN(Instances!AC15:Instances!AC15))</f>
        <v>0</v>
      </c>
      <c r="AD15" s="1" cm="1">
        <f t="array" ref="AD15">_xlfn.SWITCH($A$2,"average", AVERAGE(Instances!AD15:Instances!AD15),"median", MEDIAN(Instances!AD15:Instances!AD15),"min", MIN(Instances!AD15:Instances!AD15),"max", MAX(Instances!AD15:Instances!AD15),"diff", MAX(Instances!AD15:Instances!AD15)-MIN(Instances!AD15:Instances!AD15))</f>
        <v>0</v>
      </c>
      <c r="AE15" s="1" cm="1">
        <f t="array" ref="AE15">_xlfn.SWITCH($A$2,"average", AVERAGE(Instances!AE15:Instances!AE15),"median", MEDIAN(Instances!AE15:Instances!AE15),"min", MIN(Instances!AE15:Instances!AE15),"max", MAX(Instances!AE15:Instances!AE15),"diff", MAX(Instances!AE15:Instances!AE15)-MIN(Instances!AE15:Instances!AE15))</f>
        <v>0</v>
      </c>
      <c r="AF15" s="1" cm="1">
        <f t="array" ref="AF15">_xlfn.SWITCH($A$2,"average", AVERAGE(Instances!AF15:Instances!AF15),"median", MEDIAN(Instances!AF15:Instances!AF15),"min", MIN(Instances!AF15:Instances!AF15),"max", MAX(Instances!AF15:Instances!AF15),"diff", MAX(Instances!AF15:Instances!AF15)-MIN(Instances!AF15:Instances!AF15))</f>
        <v>0</v>
      </c>
      <c r="AG15" s="1" cm="1">
        <f t="array" ref="AG15">_xlfn.SWITCH($A$2,"average", AVERAGE(Instances!AG15:Instances!AG15),"median", MEDIAN(Instances!AG15:Instances!AG15),"min", MIN(Instances!AG15:Instances!AG15),"max", MAX(Instances!AG15:Instances!AG15),"diff", MAX(Instances!AG15:Instances!AG15)-MIN(Instances!AG15:Instances!AG15))</f>
        <v>0</v>
      </c>
      <c r="AH15" s="1"/>
      <c r="AI15" s="1" cm="1">
        <f t="array" ref="AI15">_xlfn.SWITCH($A$2,"average", AVERAGE(Instances!AI15:Instances!AI15),"median", MEDIAN(Instances!AI15:Instances!AI15),"min", MIN(Instances!AI15:Instances!AI15),"max", MAX(Instances!AI15:Instances!AI15),"diff", MAX(Instances!AI15:Instances!AI15)-MIN(Instances!AI15:Instances!AI15))</f>
        <v>0</v>
      </c>
      <c r="AJ15" s="1" cm="1">
        <f t="array" ref="AJ15">_xlfn.SWITCH($A$2,"average", AVERAGE(Instances!AJ15:Instances!AJ15),"median", MEDIAN(Instances!AJ15:Instances!AJ15),"min", MIN(Instances!AJ15:Instances!AJ15),"max", MAX(Instances!AJ15:Instances!AJ15),"diff", MAX(Instances!AJ15:Instances!AJ15)-MIN(Instances!AJ15:Instances!AJ15))</f>
        <v>0</v>
      </c>
      <c r="AK15" s="1" cm="1">
        <f t="array" ref="AK15">_xlfn.SWITCH($A$2,"average", AVERAGE(Instances!AK15:Instances!AK15),"median", MEDIAN(Instances!AK15:Instances!AK15),"min", MIN(Instances!AK15:Instances!AK15),"max", MAX(Instances!AK15:Instances!AK15),"diff", MAX(Instances!AK15:Instances!AK15)-MIN(Instances!AK15:Instances!AK15))</f>
        <v>0</v>
      </c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 cm="1">
        <f t="array" ref="CN15">_xlfn.SWITCH($A$2,"average", AVERAGE(Instances!CN15:Instances!CN15),"median", MEDIAN(Instances!CN15:Instances!CN15),"min", MIN(Instances!CN15:Instances!CN15),"max", MAX(Instances!CN15:Instances!CN15),"diff", MAX(Instances!CN15:Instances!CN15)-MIN(Instances!CN15:Instances!CN15))</f>
        <v>0</v>
      </c>
      <c r="CO15" s="1" cm="1">
        <f t="array" ref="CO15">_xlfn.SWITCH($A$2,"average", AVERAGE(Instances!CO15:Instances!CO15),"median", MEDIAN(Instances!CO15:Instances!CO15),"min", MIN(Instances!CO15:Instances!CO15),"max", MAX(Instances!CO15:Instances!CO15),"diff", MAX(Instances!CO15:Instances!CO15)-MIN(Instances!CO15:Instances!CO15))</f>
        <v>0</v>
      </c>
      <c r="CP15" s="1" cm="1">
        <f t="array" ref="CP15">_xlfn.SWITCH($A$2,"average", AVERAGE(Instances!CP15:Instances!CP15),"median", MEDIAN(Instances!CP15:Instances!CP15),"min", MIN(Instances!CP15:Instances!CP15),"max", MAX(Instances!CP15:Instances!CP15),"diff", MAX(Instances!CP15:Instances!CP15)-MIN(Instances!CP15:Instances!CP15))</f>
        <v>0</v>
      </c>
      <c r="CQ15" s="1" cm="1">
        <f t="array" ref="CQ15">_xlfn.SWITCH($A$2,"average", AVERAGE(Instances!CQ15:Instances!CQ15),"median", MEDIAN(Instances!CQ15:Instances!CQ15),"min", MIN(Instances!CQ15:Instances!CQ15),"max", MAX(Instances!CQ15:Instances!CQ15),"diff", MAX(Instances!CQ15:Instances!CQ15)-MIN(Instances!CQ15:Instances!CQ15))</f>
        <v>0</v>
      </c>
      <c r="CR15" s="1" cm="1">
        <f t="array" ref="CR15">_xlfn.SWITCH($A$2,"average", AVERAGE(Instances!CR15:Instances!CR15),"median", MEDIAN(Instances!CR15:Instances!CR15),"min", MIN(Instances!CR15:Instances!CR15),"max", MAX(Instances!CR15:Instances!CR15),"diff", MAX(Instances!CR15:Instances!CR15)-MIN(Instances!CR15:Instances!CR15))</f>
        <v>0</v>
      </c>
      <c r="CS15" s="1" cm="1">
        <f t="array" ref="CS15">_xlfn.SWITCH($A$2,"average", AVERAGE(Instances!CS15:Instances!CS15),"median", MEDIAN(Instances!CS15:Instances!CS15),"min", MIN(Instances!CS15:Instances!CS15),"max", MAX(Instances!CS15:Instances!CS15),"diff", MAX(Instances!CS15:Instances!CS15)-MIN(Instances!CS15:Instances!CS15))</f>
        <v>0</v>
      </c>
      <c r="CT15" s="1" cm="1">
        <f t="array" ref="CT15">_xlfn.SWITCH($A$2,"average", AVERAGE(Instances!CT15:Instances!CT15),"median", MEDIAN(Instances!CT15:Instances!CT15),"min", MIN(Instances!CT15:Instances!CT15),"max", MAX(Instances!CT15:Instances!CT15),"diff", MAX(Instances!CT15:Instances!CT15)-MIN(Instances!CT15:Instances!CT15))</f>
        <v>0</v>
      </c>
      <c r="CU15" s="1" cm="1">
        <f t="array" ref="CU15">_xlfn.SWITCH($A$2,"average", AVERAGE(Instances!CU15:Instances!CU15),"median", MEDIAN(Instances!CU15:Instances!CU15),"min", MIN(Instances!CU15:Instances!CU15),"max", MAX(Instances!CU15:Instances!CU15),"diff", MAX(Instances!CU15:Instances!CU15)-MIN(Instances!CU15:Instances!CU15))</f>
        <v>0</v>
      </c>
      <c r="CV15" s="1" cm="1">
        <f t="array" ref="CV15">_xlfn.SWITCH($A$2,"average", AVERAGE(Instances!CV15:Instances!CV15),"median", MEDIAN(Instances!CV15:Instances!CV15),"min", MIN(Instances!CV15:Instances!CV15),"max", MAX(Instances!CV15:Instances!CV15),"diff", MAX(Instances!CV15:Instances!CV15)-MIN(Instances!CV15:Instances!CV15))</f>
        <v>0</v>
      </c>
      <c r="CW15" s="1" cm="1">
        <f t="array" ref="CW15">_xlfn.SWITCH($A$2,"average", AVERAGE(Instances!CW15:Instances!CW15),"median", MEDIAN(Instances!CW15:Instances!CW15),"min", MIN(Instances!CW15:Instances!CW15),"max", MAX(Instances!CW15:Instances!CW15),"diff", MAX(Instances!CW15:Instances!CW15)-MIN(Instances!CW15:Instances!CW15))</f>
        <v>0</v>
      </c>
      <c r="CX15" s="1" cm="1">
        <f t="array" ref="CX15">_xlfn.SWITCH($A$2,"average", AVERAGE(Instances!CX15:Instances!CX15),"median", MEDIAN(Instances!CX15:Instances!CX15),"min", MIN(Instances!CX15:Instances!CX15),"max", MAX(Instances!CX15:Instances!CX15),"diff", MAX(Instances!CX15:Instances!CX15)-MIN(Instances!CX15:Instances!CX15))</f>
        <v>0</v>
      </c>
      <c r="CY15" s="1" cm="1">
        <f t="array" ref="CY15">_xlfn.SWITCH($A$2,"average", AVERAGE(Instances!CY15:Instances!CY15),"median", MEDIAN(Instances!CY15:Instances!CY15),"min", MIN(Instances!CY15:Instances!CY15),"max", MAX(Instances!CY15:Instances!CY15),"diff", MAX(Instances!CY15:Instances!CY15)-MIN(Instances!CY15:Instances!CY15))</f>
        <v>0</v>
      </c>
      <c r="CZ15" s="1" cm="1">
        <f t="array" ref="CZ15">_xlfn.SWITCH($A$2,"average", AVERAGE(Instances!CZ15:Instances!CZ15),"median", MEDIAN(Instances!CZ15:Instances!CZ15),"min", MIN(Instances!CZ15:Instances!CZ15),"max", MAX(Instances!CZ15:Instances!CZ15),"diff", MAX(Instances!CZ15:Instances!CZ15)-MIN(Instances!CZ15:Instances!CZ15))</f>
        <v>0</v>
      </c>
      <c r="DA15" s="1" cm="1">
        <f t="array" ref="DA15">_xlfn.SWITCH($A$2,"average", AVERAGE(Instances!DA15:Instances!DA15),"median", MEDIAN(Instances!DA15:Instances!DA15),"min", MIN(Instances!DA15:Instances!DA15),"max", MAX(Instances!DA15:Instances!DA15),"diff", MAX(Instances!DA15:Instances!DA15)-MIN(Instances!DA15:Instances!DA15))</f>
        <v>0</v>
      </c>
      <c r="DB15" s="1"/>
      <c r="DC15" s="1" cm="1">
        <f t="array" ref="DC15">_xlfn.SWITCH($A$2,"average", AVERAGE(Instances!DC15:Instances!DC15),"median", MEDIAN(Instances!DC15:Instances!DC15),"min", MIN(Instances!DC15:Instances!DC15),"max", MAX(Instances!DC15:Instances!DC15),"diff", MAX(Instances!DC15:Instances!DC15)-MIN(Instances!DC15:Instances!DC15))</f>
        <v>0</v>
      </c>
      <c r="DD15" s="1" cm="1">
        <f t="array" ref="DD15">_xlfn.SWITCH($A$2,"average", AVERAGE(Instances!DD15:Instances!DD15),"median", MEDIAN(Instances!DD15:Instances!DD15),"min", MIN(Instances!DD15:Instances!DD15),"max", MAX(Instances!DD15:Instances!DD15),"diff", MAX(Instances!DD15:Instances!DD15)-MIN(Instances!DD15:Instances!DD15))</f>
        <v>0</v>
      </c>
      <c r="DE15" s="1" cm="1">
        <f t="array" ref="DE15">_xlfn.SWITCH($A$2,"average", AVERAGE(Instances!DE15:Instances!DE15),"median", MEDIAN(Instances!DE15:Instances!DE15),"min", MIN(Instances!DE15:Instances!DE15),"max", MAX(Instances!DE15:Instances!DE15),"diff", MAX(Instances!DE15:Instances!DE15)-MIN(Instances!DE15:Instances!DE15))</f>
        <v>0</v>
      </c>
      <c r="DF15" s="1" cm="1">
        <f t="array" ref="DF15">_xlfn.SWITCH($A$2,"average", AVERAGE(Instances!DF15:Instances!DF15),"median", MEDIAN(Instances!DF15:Instances!DF15),"min", MIN(Instances!DF15:Instances!DF15),"max", MAX(Instances!DF15:Instances!DF15),"diff", MAX(Instances!DF15:Instances!DF15)-MIN(Instances!DF15:Instances!DF15))</f>
        <v>0</v>
      </c>
      <c r="DG15" s="1" cm="1">
        <f t="array" ref="DG15">_xlfn.SWITCH($A$2,"average", AVERAGE(Instances!DG15:Instances!DG15),"median", MEDIAN(Instances!DG15:Instances!DG15),"min", MIN(Instances!DG15:Instances!DG15),"max", MAX(Instances!DG15:Instances!DG15),"diff", MAX(Instances!DG15:Instances!DG15)-MIN(Instances!DG15:Instances!DG15))</f>
        <v>0</v>
      </c>
      <c r="DH15" s="1" cm="1">
        <f t="array" ref="DH15">_xlfn.SWITCH($A$2,"average", AVERAGE(Instances!DH15:Instances!DH15),"median", MEDIAN(Instances!DH15:Instances!DH15),"min", MIN(Instances!DH15:Instances!DH15),"max", MAX(Instances!DH15:Instances!DH15),"diff", MAX(Instances!DH15:Instances!DH15)-MIN(Instances!DH15:Instances!DH15))</f>
        <v>0</v>
      </c>
      <c r="DI15" s="1" cm="1">
        <f t="array" ref="DI15">_xlfn.SWITCH($A$2,"average", AVERAGE(Instances!DI15:Instances!DI15),"median", MEDIAN(Instances!DI15:Instances!DI15),"min", MIN(Instances!DI15:Instances!DI15),"max", MAX(Instances!DI15:Instances!DI15),"diff", MAX(Instances!DI15:Instances!DI15)-MIN(Instances!DI15:Instances!DI15))</f>
        <v>0</v>
      </c>
      <c r="DJ15" s="1" cm="1">
        <f t="array" ref="DJ15">_xlfn.SWITCH($A$2,"average", AVERAGE(Instances!DJ15:Instances!DJ15),"median", MEDIAN(Instances!DJ15:Instances!DJ15),"min", MIN(Instances!DJ15:Instances!DJ15),"max", MAX(Instances!DJ15:Instances!DJ15),"diff", MAX(Instances!DJ15:Instances!DJ15)-MIN(Instances!DJ15:Instances!DJ15))</f>
        <v>0</v>
      </c>
      <c r="DK15" s="1" cm="1">
        <f t="array" ref="DK15">_xlfn.SWITCH($A$2,"average", AVERAGE(Instances!DK15:Instances!DK15),"median", MEDIAN(Instances!DK15:Instances!DK15),"min", MIN(Instances!DK15:Instances!DK15),"max", MAX(Instances!DK15:Instances!DK15),"diff", MAX(Instances!DK15:Instances!DK15)-MIN(Instances!DK15:Instances!DK15))</f>
        <v>0</v>
      </c>
      <c r="DL15" s="1" cm="1">
        <f t="array" ref="DL15">_xlfn.SWITCH($A$2,"average", AVERAGE(Instances!DL15:Instances!DL15),"median", MEDIAN(Instances!DL15:Instances!DL15),"min", MIN(Instances!DL15:Instances!DL15),"max", MAX(Instances!DL15:Instances!DL15),"diff", MAX(Instances!DL15:Instances!DL15)-MIN(Instances!DL15:Instances!DL15))</f>
        <v>0</v>
      </c>
      <c r="DM15" s="1" cm="1">
        <f t="array" ref="DM15">_xlfn.SWITCH($A$2,"average", AVERAGE(Instances!DM15:Instances!DM15),"median", MEDIAN(Instances!DM15:Instances!DM15),"min", MIN(Instances!DM15:Instances!DM15),"max", MAX(Instances!DM15:Instances!DM15),"diff", MAX(Instances!DM15:Instances!DM15)-MIN(Instances!DM15:Instances!DM15))</f>
        <v>0</v>
      </c>
      <c r="DN15" s="1" cm="1">
        <f t="array" ref="DN15">_xlfn.SWITCH($A$2,"average", AVERAGE(Instances!DN15:Instances!DN15),"median", MEDIAN(Instances!DN15:Instances!DN15),"min", MIN(Instances!DN15:Instances!DN15),"max", MAX(Instances!DN15:Instances!DN15),"diff", MAX(Instances!DN15:Instances!DN15)-MIN(Instances!DN15:Instances!DN15))</f>
        <v>0</v>
      </c>
      <c r="DO15" s="1" cm="1">
        <f t="array" ref="DO15">_xlfn.SWITCH($A$2,"average", AVERAGE(Instances!DO15:Instances!DO15),"median", MEDIAN(Instances!DO15:Instances!DO15),"min", MIN(Instances!DO15:Instances!DO15),"max", MAX(Instances!DO15:Instances!DO15),"diff", MAX(Instances!DO15:Instances!DO15)-MIN(Instances!DO15:Instances!DO15))</f>
        <v>0</v>
      </c>
      <c r="DP15" s="1" cm="1">
        <f t="array" ref="DP15">_xlfn.SWITCH($A$2,"average", AVERAGE(Instances!DP15:Instances!DP15),"median", MEDIAN(Instances!DP15:Instances!DP15),"min", MIN(Instances!DP15:Instances!DP15),"max", MAX(Instances!DP15:Instances!DP15),"diff", MAX(Instances!DP15:Instances!DP15)-MIN(Instances!DP15:Instances!DP15))</f>
        <v>0</v>
      </c>
      <c r="DQ15" s="1" cm="1">
        <f t="array" ref="DQ15">_xlfn.SWITCH($A$2,"average", AVERAGE(Instances!DQ15:Instances!DQ15),"median", MEDIAN(Instances!DQ15:Instances!DQ15),"min", MIN(Instances!DQ15:Instances!DQ15),"max", MAX(Instances!DQ15:Instances!DQ15),"diff", MAX(Instances!DQ15:Instances!DQ15)-MIN(Instances!DQ15:Instances!DQ15))</f>
        <v>0</v>
      </c>
      <c r="DR15" s="1" cm="1">
        <f t="array" ref="DR15">_xlfn.SWITCH($A$2,"average", AVERAGE(Instances!DR15:Instances!DR15),"median", MEDIAN(Instances!DR15:Instances!DR15),"min", MIN(Instances!DR15:Instances!DR15),"max", MAX(Instances!DR15:Instances!DR15),"diff", MAX(Instances!DR15:Instances!DR15)-MIN(Instances!DR15:Instances!DR15))</f>
        <v>0</v>
      </c>
      <c r="DS15" s="1" cm="1">
        <f t="array" ref="DS15">_xlfn.SWITCH($A$2,"average", AVERAGE(Instances!DS15:Instances!DS15),"median", MEDIAN(Instances!DS15:Instances!DS15),"min", MIN(Instances!DS15:Instances!DS15),"max", MAX(Instances!DS15:Instances!DS15),"diff", MAX(Instances!DS15:Instances!DS15)-MIN(Instances!DS15:Instances!DS15))</f>
        <v>0</v>
      </c>
      <c r="DT15" s="1"/>
      <c r="DU15" s="1" cm="1">
        <f t="array" ref="DU15">_xlfn.SWITCH($A$2,"average", AVERAGE(Instances!DU15:Instances!DU15),"median", MEDIAN(Instances!DU15:Instances!DU15),"min", MIN(Instances!DU15:Instances!DU15),"max", MAX(Instances!DU15:Instances!DU15),"diff", MAX(Instances!DU15:Instances!DU15)-MIN(Instances!DU15:Instances!DU15))</f>
        <v>0</v>
      </c>
      <c r="DV15" s="1" cm="1">
        <f t="array" ref="DV15">_xlfn.SWITCH($A$2,"average", AVERAGE(Instances!DV15:Instances!DV15),"median", MEDIAN(Instances!DV15:Instances!DV15),"min", MIN(Instances!DV15:Instances!DV15),"max", MAX(Instances!DV15:Instances!DV15),"diff", MAX(Instances!DV15:Instances!DV15)-MIN(Instances!DV15:Instances!DV15))</f>
        <v>0</v>
      </c>
      <c r="DW15" s="1" cm="1">
        <f t="array" ref="DW15">_xlfn.SWITCH($A$2,"average", AVERAGE(Instances!DW15:Instances!DW15),"median", MEDIAN(Instances!DW15:Instances!DW15),"min", MIN(Instances!DW15:Instances!DW15),"max", MAX(Instances!DW15:Instances!DW15),"diff", MAX(Instances!DW15:Instances!DW15)-MIN(Instances!DW15:Instances!DW15))</f>
        <v>0</v>
      </c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 cm="1">
        <f t="array" ref="FH15">_xlfn.SWITCH($A$2,"average", AVERAGE(Instances!FH15:Instances!FH15),"median", MEDIAN(Instances!FH15:Instances!FH15),"min", MIN(Instances!FH15:Instances!FH15),"max", MAX(Instances!FH15:Instances!FH15),"diff", MAX(Instances!FH15:Instances!FH15)-MIN(Instances!FH15:Instances!FH15))</f>
        <v>0</v>
      </c>
      <c r="FI15" s="1" cm="1">
        <f t="array" ref="FI15">_xlfn.SWITCH($A$2,"average", AVERAGE(Instances!FI15:Instances!FI15),"median", MEDIAN(Instances!FI15:Instances!FI15),"min", MIN(Instances!FI15:Instances!FI15),"max", MAX(Instances!FI15:Instances!FI15),"diff", MAX(Instances!FI15:Instances!FI15)-MIN(Instances!FI15:Instances!FI15))</f>
        <v>0</v>
      </c>
      <c r="FJ15" s="1" cm="1">
        <f t="array" ref="FJ15">_xlfn.SWITCH($A$2,"average", AVERAGE(Instances!FJ15:Instances!FJ15),"median", MEDIAN(Instances!FJ15:Instances!FJ15),"min", MIN(Instances!FJ15:Instances!FJ15),"max", MAX(Instances!FJ15:Instances!FJ15),"diff", MAX(Instances!FJ15:Instances!FJ15)-MIN(Instances!FJ15:Instances!FJ15))</f>
        <v>0</v>
      </c>
      <c r="FK15" s="1" cm="1">
        <f t="array" ref="FK15">_xlfn.SWITCH($A$2,"average", AVERAGE(Instances!FK15:Instances!FK15),"median", MEDIAN(Instances!FK15:Instances!FK15),"min", MIN(Instances!FK15:Instances!FK15),"max", MAX(Instances!FK15:Instances!FK15),"diff", MAX(Instances!FK15:Instances!FK15)-MIN(Instances!FK15:Instances!FK15))</f>
        <v>0</v>
      </c>
      <c r="FL15" s="1" cm="1">
        <f t="array" ref="FL15">_xlfn.SWITCH($A$2,"average", AVERAGE(Instances!FL15:Instances!FL15),"median", MEDIAN(Instances!FL15:Instances!FL15),"min", MIN(Instances!FL15:Instances!FL15),"max", MAX(Instances!FL15:Instances!FL15),"diff", MAX(Instances!FL15:Instances!FL15)-MIN(Instances!FL15:Instances!FL15))</f>
        <v>0</v>
      </c>
      <c r="FM15" s="1" cm="1">
        <f t="array" ref="FM15">_xlfn.SWITCH($A$2,"average", AVERAGE(Instances!FM15:Instances!FM15),"median", MEDIAN(Instances!FM15:Instances!FM15),"min", MIN(Instances!FM15:Instances!FM15),"max", MAX(Instances!FM15:Instances!FM15),"diff", MAX(Instances!FM15:Instances!FM15)-MIN(Instances!FM15:Instances!FM15))</f>
        <v>0</v>
      </c>
      <c r="FN15" s="1" cm="1">
        <f t="array" ref="FN15">_xlfn.SWITCH($A$2,"average", AVERAGE(Instances!FN15:Instances!FN15),"median", MEDIAN(Instances!FN15:Instances!FN15),"min", MIN(Instances!FN15:Instances!FN15),"max", MAX(Instances!FN15:Instances!FN15),"diff", MAX(Instances!FN15:Instances!FN15)-MIN(Instances!FN15:Instances!FN15))</f>
        <v>0</v>
      </c>
      <c r="FO15" s="1" cm="1">
        <f t="array" ref="FO15">_xlfn.SWITCH($A$2,"average", AVERAGE(Instances!FO15:Instances!FO15),"median", MEDIAN(Instances!FO15:Instances!FO15),"min", MIN(Instances!FO15:Instances!FO15),"max", MAX(Instances!FO15:Instances!FO15),"diff", MAX(Instances!FO15:Instances!FO15)-MIN(Instances!FO15:Instances!FO15))</f>
        <v>0</v>
      </c>
      <c r="FP15" s="1" cm="1">
        <f t="array" ref="FP15">_xlfn.SWITCH($A$2,"average", AVERAGE(Instances!FP15:Instances!FP15),"median", MEDIAN(Instances!FP15:Instances!FP15),"min", MIN(Instances!FP15:Instances!FP15),"max", MAX(Instances!FP15:Instances!FP15),"diff", MAX(Instances!FP15:Instances!FP15)-MIN(Instances!FP15:Instances!FP15))</f>
        <v>0</v>
      </c>
      <c r="FQ15" s="1" cm="1">
        <f t="array" ref="FQ15">_xlfn.SWITCH($A$2,"average", AVERAGE(Instances!FQ15:Instances!FQ15),"median", MEDIAN(Instances!FQ15:Instances!FQ15),"min", MIN(Instances!FQ15:Instances!FQ15),"max", MAX(Instances!FQ15:Instances!FQ15),"diff", MAX(Instances!FQ15:Instances!FQ15)-MIN(Instances!FQ15:Instances!FQ15))</f>
        <v>0</v>
      </c>
      <c r="FR15" s="1" cm="1">
        <f t="array" ref="FR15">_xlfn.SWITCH($A$2,"average", AVERAGE(Instances!FR15:Instances!FR15),"median", MEDIAN(Instances!FR15:Instances!FR15),"min", MIN(Instances!FR15:Instances!FR15),"max", MAX(Instances!FR15:Instances!FR15),"diff", MAX(Instances!FR15:Instances!FR15)-MIN(Instances!FR15:Instances!FR15))</f>
        <v>0</v>
      </c>
      <c r="FS15" s="1" cm="1">
        <f t="array" ref="FS15">_xlfn.SWITCH($A$2,"average", AVERAGE(Instances!FS15:Instances!FS15),"median", MEDIAN(Instances!FS15:Instances!FS15),"min", MIN(Instances!FS15:Instances!FS15),"max", MAX(Instances!FS15:Instances!FS15),"diff", MAX(Instances!FS15:Instances!FS15)-MIN(Instances!FS15:Instances!FS15))</f>
        <v>0</v>
      </c>
      <c r="FT15" s="1" cm="1">
        <f t="array" ref="FT15">_xlfn.SWITCH($A$2,"average", AVERAGE(Instances!FT15:Instances!FT15),"median", MEDIAN(Instances!FT15:Instances!FT15),"min", MIN(Instances!FT15:Instances!FT15),"max", MAX(Instances!FT15:Instances!FT15),"diff", MAX(Instances!FT15:Instances!FT15)-MIN(Instances!FT15:Instances!FT15))</f>
        <v>0</v>
      </c>
      <c r="FU15" s="1" cm="1">
        <f t="array" ref="FU15">_xlfn.SWITCH($A$2,"average", AVERAGE(Instances!FU15:Instances!FU15),"median", MEDIAN(Instances!FU15:Instances!FU15),"min", MIN(Instances!FU15:Instances!FU15),"max", MAX(Instances!FU15:Instances!FU15),"diff", MAX(Instances!FU15:Instances!FU15)-MIN(Instances!FU15:Instances!FU15))</f>
        <v>0</v>
      </c>
      <c r="FV15" s="1"/>
      <c r="FW15" s="1" cm="1">
        <f t="array" ref="FW15">_xlfn.SWITCH($A$2,"average", AVERAGE(Instances!FW15:Instances!FW15),"median", MEDIAN(Instances!FW15:Instances!FW15),"min", MIN(Instances!FW15:Instances!FW15),"max", MAX(Instances!FW15:Instances!FW15),"diff", MAX(Instances!FW15:Instances!FW15)-MIN(Instances!FW15:Instances!FW15))</f>
        <v>0</v>
      </c>
      <c r="FX15" s="1" cm="1">
        <f t="array" ref="FX15">_xlfn.SWITCH($A$2,"average", AVERAGE(Instances!FX15:Instances!FX15),"median", MEDIAN(Instances!FX15:Instances!FX15),"min", MIN(Instances!FX15:Instances!FX15),"max", MAX(Instances!FX15:Instances!FX15),"diff", MAX(Instances!FX15:Instances!FX15)-MIN(Instances!FX15:Instances!FX15))</f>
        <v>0</v>
      </c>
      <c r="FY15" s="1" cm="1">
        <f t="array" ref="FY15">_xlfn.SWITCH($A$2,"average", AVERAGE(Instances!FY15:Instances!FY15),"median", MEDIAN(Instances!FY15:Instances!FY15),"min", MIN(Instances!FY15:Instances!FY15),"max", MAX(Instances!FY15:Instances!FY15),"diff", MAX(Instances!FY15:Instances!FY15)-MIN(Instances!FY15:Instances!FY15))</f>
        <v>0</v>
      </c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 cm="1">
        <f t="array" ref="IB15">_xlfn.SWITCH($A$2,"average", AVERAGE(Instances!IB15:Instances!IB15),"median", MEDIAN(Instances!IB15:Instances!IB15),"min", MIN(Instances!IB15:Instances!IB15),"max", MAX(Instances!IB15:Instances!IB15),"diff", MAX(Instances!IB15:Instances!IB15)-MIN(Instances!IB15:Instances!IB15))</f>
        <v>0</v>
      </c>
      <c r="IC15" s="1" cm="1">
        <f t="array" ref="IC15">_xlfn.SWITCH($A$2,"average", AVERAGE(Instances!IC15:Instances!IC15),"median", MEDIAN(Instances!IC15:Instances!IC15),"min", MIN(Instances!IC15:Instances!IC15),"max", MAX(Instances!IC15:Instances!IC15),"diff", MAX(Instances!IC15:Instances!IC15)-MIN(Instances!IC15:Instances!IC15))</f>
        <v>0</v>
      </c>
      <c r="ID15" s="1" cm="1">
        <f t="array" ref="ID15">_xlfn.SWITCH($A$2,"average", AVERAGE(Instances!ID15:Instances!ID15),"median", MEDIAN(Instances!ID15:Instances!ID15),"min", MIN(Instances!ID15:Instances!ID15),"max", MAX(Instances!ID15:Instances!ID15),"diff", MAX(Instances!ID15:Instances!ID15)-MIN(Instances!ID15:Instances!ID15))</f>
        <v>0</v>
      </c>
      <c r="IE15" s="1" cm="1">
        <f t="array" ref="IE15">_xlfn.SWITCH($A$2,"average", AVERAGE(Instances!IE15:Instances!IE15),"median", MEDIAN(Instances!IE15:Instances!IE15),"min", MIN(Instances!IE15:Instances!IE15),"max", MAX(Instances!IE15:Instances!IE15),"diff", MAX(Instances!IE15:Instances!IE15)-MIN(Instances!IE15:Instances!IE15))</f>
        <v>0</v>
      </c>
      <c r="IF15" s="1" cm="1">
        <f t="array" ref="IF15">_xlfn.SWITCH($A$2,"average", AVERAGE(Instances!IF15:Instances!IF15),"median", MEDIAN(Instances!IF15:Instances!IF15),"min", MIN(Instances!IF15:Instances!IF15),"max", MAX(Instances!IF15:Instances!IF15),"diff", MAX(Instances!IF15:Instances!IF15)-MIN(Instances!IF15:Instances!IF15))</f>
        <v>0</v>
      </c>
      <c r="IG15" s="1" cm="1">
        <f t="array" ref="IG15">_xlfn.SWITCH($A$2,"average", AVERAGE(Instances!IG15:Instances!IG15),"median", MEDIAN(Instances!IG15:Instances!IG15),"min", MIN(Instances!IG15:Instances!IG15),"max", MAX(Instances!IG15:Instances!IG15),"diff", MAX(Instances!IG15:Instances!IG15)-MIN(Instances!IG15:Instances!IG15))</f>
        <v>0</v>
      </c>
      <c r="IH15" s="1" cm="1">
        <f t="array" ref="IH15">_xlfn.SWITCH($A$2,"average", AVERAGE(Instances!IH15:Instances!IH15),"median", MEDIAN(Instances!IH15:Instances!IH15),"min", MIN(Instances!IH15:Instances!IH15),"max", MAX(Instances!IH15:Instances!IH15),"diff", MAX(Instances!IH15:Instances!IH15)-MIN(Instances!IH15:Instances!IH15))</f>
        <v>0</v>
      </c>
      <c r="II15" s="1" cm="1">
        <f t="array" ref="II15">_xlfn.SWITCH($A$2,"average", AVERAGE(Instances!II15:Instances!II15),"median", MEDIAN(Instances!II15:Instances!II15),"min", MIN(Instances!II15:Instances!II15),"max", MAX(Instances!II15:Instances!II15),"diff", MAX(Instances!II15:Instances!II15)-MIN(Instances!II15:Instances!II15))</f>
        <v>0</v>
      </c>
      <c r="IJ15" s="1" cm="1">
        <f t="array" ref="IJ15">_xlfn.SWITCH($A$2,"average", AVERAGE(Instances!IJ15:Instances!IJ15),"median", MEDIAN(Instances!IJ15:Instances!IJ15),"min", MIN(Instances!IJ15:Instances!IJ15),"max", MAX(Instances!IJ15:Instances!IJ15),"diff", MAX(Instances!IJ15:Instances!IJ15)-MIN(Instances!IJ15:Instances!IJ15))</f>
        <v>0</v>
      </c>
      <c r="IK15" s="1" cm="1">
        <f t="array" ref="IK15">_xlfn.SWITCH($A$2,"average", AVERAGE(Instances!IK15:Instances!IK15),"median", MEDIAN(Instances!IK15:Instances!IK15),"min", MIN(Instances!IK15:Instances!IK15),"max", MAX(Instances!IK15:Instances!IK15),"diff", MAX(Instances!IK15:Instances!IK15)-MIN(Instances!IK15:Instances!IK15))</f>
        <v>0</v>
      </c>
      <c r="IL15" s="1" cm="1">
        <f t="array" ref="IL15">_xlfn.SWITCH($A$2,"average", AVERAGE(Instances!IL15:Instances!IL15),"median", MEDIAN(Instances!IL15:Instances!IL15),"min", MIN(Instances!IL15:Instances!IL15),"max", MAX(Instances!IL15:Instances!IL15),"diff", MAX(Instances!IL15:Instances!IL15)-MIN(Instances!IL15:Instances!IL15))</f>
        <v>0</v>
      </c>
      <c r="IM15" s="1" cm="1">
        <f t="array" ref="IM15">_xlfn.SWITCH($A$2,"average", AVERAGE(Instances!IM15:Instances!IM15),"median", MEDIAN(Instances!IM15:Instances!IM15),"min", MIN(Instances!IM15:Instances!IM15),"max", MAX(Instances!IM15:Instances!IM15),"diff", MAX(Instances!IM15:Instances!IM15)-MIN(Instances!IM15:Instances!IM15))</f>
        <v>0</v>
      </c>
      <c r="IN15" s="1" cm="1">
        <f t="array" ref="IN15">_xlfn.SWITCH($A$2,"average", AVERAGE(Instances!IN15:Instances!IN15),"median", MEDIAN(Instances!IN15:Instances!IN15),"min", MIN(Instances!IN15:Instances!IN15),"max", MAX(Instances!IN15:Instances!IN15),"diff", MAX(Instances!IN15:Instances!IN15)-MIN(Instances!IN15:Instances!IN15))</f>
        <v>0</v>
      </c>
      <c r="IO15" s="1" cm="1">
        <f t="array" ref="IO15">_xlfn.SWITCH($A$2,"average", AVERAGE(Instances!IO15:Instances!IO15),"median", MEDIAN(Instances!IO15:Instances!IO15),"min", MIN(Instances!IO15:Instances!IO15),"max", MAX(Instances!IO15:Instances!IO15),"diff", MAX(Instances!IO15:Instances!IO15)-MIN(Instances!IO15:Instances!IO15))</f>
        <v>0</v>
      </c>
      <c r="IP15" s="1"/>
      <c r="IQ15" s="1" cm="1">
        <f t="array" ref="IQ15">_xlfn.SWITCH($A$2,"average", AVERAGE(Instances!IQ15:Instances!IQ15),"median", MEDIAN(Instances!IQ15:Instances!IQ15),"min", MIN(Instances!IQ15:Instances!IQ15),"max", MAX(Instances!IQ15:Instances!IQ15),"diff", MAX(Instances!IQ15:Instances!IQ15)-MIN(Instances!IQ15:Instances!IQ15))</f>
        <v>0</v>
      </c>
      <c r="IR15" s="1" cm="1">
        <f t="array" ref="IR15">_xlfn.SWITCH($A$2,"average", AVERAGE(Instances!IR15:Instances!IR15),"median", MEDIAN(Instances!IR15:Instances!IR15),"min", MIN(Instances!IR15:Instances!IR15),"max", MAX(Instances!IR15:Instances!IR15),"diff", MAX(Instances!IR15:Instances!IR15)-MIN(Instances!IR15:Instances!IR15))</f>
        <v>0</v>
      </c>
      <c r="IS15" s="1" cm="1">
        <f t="array" ref="IS15">_xlfn.SWITCH($A$2,"average", AVERAGE(Instances!IS15:Instances!IS15),"median", MEDIAN(Instances!IS15:Instances!IS15),"min", MIN(Instances!IS15:Instances!IS15),"max", MAX(Instances!IS15:Instances!IS15),"diff", MAX(Instances!IS15:Instances!IS15)-MIN(Instances!IS15:Instances!IS15))</f>
        <v>0</v>
      </c>
      <c r="IT15" s="1" cm="1">
        <f t="array" ref="IT15">_xlfn.SWITCH($A$2,"average", AVERAGE(Instances!IT15:Instances!IT15),"median", MEDIAN(Instances!IT15:Instances!IT15),"min", MIN(Instances!IT15:Instances!IT15),"max", MAX(Instances!IT15:Instances!IT15),"diff", MAX(Instances!IT15:Instances!IT15)-MIN(Instances!IT15:Instances!IT15))</f>
        <v>0</v>
      </c>
      <c r="IU15" s="1" cm="1">
        <f t="array" ref="IU15">_xlfn.SWITCH($A$2,"average", AVERAGE(Instances!IU15:Instances!IU15),"median", MEDIAN(Instances!IU15:Instances!IU15),"min", MIN(Instances!IU15:Instances!IU15),"max", MAX(Instances!IU15:Instances!IU15),"diff", MAX(Instances!IU15:Instances!IU15)-MIN(Instances!IU15:Instances!IU15))</f>
        <v>0</v>
      </c>
      <c r="IV15" s="1" cm="1">
        <f t="array" ref="IV15">_xlfn.SWITCH($A$2,"average", AVERAGE(Instances!IV15:Instances!IV15),"median", MEDIAN(Instances!IV15:Instances!IV15),"min", MIN(Instances!IV15:Instances!IV15),"max", MAX(Instances!IV15:Instances!IV15),"diff", MAX(Instances!IV15:Instances!IV15)-MIN(Instances!IV15:Instances!IV15))</f>
        <v>0</v>
      </c>
      <c r="IW15" s="1" cm="1">
        <f t="array" ref="IW15">_xlfn.SWITCH($A$2,"average", AVERAGE(Instances!IW15:Instances!IW15),"median", MEDIAN(Instances!IW15:Instances!IW15),"min", MIN(Instances!IW15:Instances!IW15),"max", MAX(Instances!IW15:Instances!IW15),"diff", MAX(Instances!IW15:Instances!IW15)-MIN(Instances!IW15:Instances!IW15))</f>
        <v>0</v>
      </c>
      <c r="IX15" s="1" cm="1">
        <f t="array" ref="IX15">_xlfn.SWITCH($A$2,"average", AVERAGE(Instances!IX15:Instances!IX15),"median", MEDIAN(Instances!IX15:Instances!IX15),"min", MIN(Instances!IX15:Instances!IX15),"max", MAX(Instances!IX15:Instances!IX15),"diff", MAX(Instances!IX15:Instances!IX15)-MIN(Instances!IX15:Instances!IX15))</f>
        <v>0</v>
      </c>
      <c r="IY15" s="1" cm="1">
        <f t="array" ref="IY15">_xlfn.SWITCH($A$2,"average", AVERAGE(Instances!IY15:Instances!IY15),"median", MEDIAN(Instances!IY15:Instances!IY15),"min", MIN(Instances!IY15:Instances!IY15),"max", MAX(Instances!IY15:Instances!IY15),"diff", MAX(Instances!IY15:Instances!IY15)-MIN(Instances!IY15:Instances!IY15))</f>
        <v>0</v>
      </c>
      <c r="IZ15" s="1" cm="1">
        <f t="array" ref="IZ15">_xlfn.SWITCH($A$2,"average", AVERAGE(Instances!IZ15:Instances!IZ15),"median", MEDIAN(Instances!IZ15:Instances!IZ15),"min", MIN(Instances!IZ15:Instances!IZ15),"max", MAX(Instances!IZ15:Instances!IZ15),"diff", MAX(Instances!IZ15:Instances!IZ15)-MIN(Instances!IZ15:Instances!IZ15))</f>
        <v>0</v>
      </c>
      <c r="JA15" s="1" cm="1">
        <f t="array" ref="JA15">_xlfn.SWITCH($A$2,"average", AVERAGE(Instances!JA15:Instances!JA15),"median", MEDIAN(Instances!JA15:Instances!JA15),"min", MIN(Instances!JA15:Instances!JA15),"max", MAX(Instances!JA15:Instances!JA15),"diff", MAX(Instances!JA15:Instances!JA15)-MIN(Instances!JA15:Instances!JA15))</f>
        <v>0</v>
      </c>
      <c r="JB15" s="1" cm="1">
        <f t="array" ref="JB15">_xlfn.SWITCH($A$2,"average", AVERAGE(Instances!JB15:Instances!JB15),"median", MEDIAN(Instances!JB15:Instances!JB15),"min", MIN(Instances!JB15:Instances!JB15),"max", MAX(Instances!JB15:Instances!JB15),"diff", MAX(Instances!JB15:Instances!JB15)-MIN(Instances!JB15:Instances!JB15))</f>
        <v>0</v>
      </c>
      <c r="JC15" s="1" cm="1">
        <f t="array" ref="JC15">_xlfn.SWITCH($A$2,"average", AVERAGE(Instances!JC15:Instances!JC15),"median", MEDIAN(Instances!JC15:Instances!JC15),"min", MIN(Instances!JC15:Instances!JC15),"max", MAX(Instances!JC15:Instances!JC15),"diff", MAX(Instances!JC15:Instances!JC15)-MIN(Instances!JC15:Instances!JC15))</f>
        <v>0</v>
      </c>
      <c r="JD15" s="1" cm="1">
        <f t="array" ref="JD15">_xlfn.SWITCH($A$2,"average", AVERAGE(Instances!JD15:Instances!JD15),"median", MEDIAN(Instances!JD15:Instances!JD15),"min", MIN(Instances!JD15:Instances!JD15),"max", MAX(Instances!JD15:Instances!JD15),"diff", MAX(Instances!JD15:Instances!JD15)-MIN(Instances!JD15:Instances!JD15))</f>
        <v>0</v>
      </c>
      <c r="JE15" s="1" cm="1">
        <f t="array" ref="JE15">_xlfn.SWITCH($A$2,"average", AVERAGE(Instances!JE15:Instances!JE15),"median", MEDIAN(Instances!JE15:Instances!JE15),"min", MIN(Instances!JE15:Instances!JE15),"max", MAX(Instances!JE15:Instances!JE15),"diff", MAX(Instances!JE15:Instances!JE15)-MIN(Instances!JE15:Instances!JE15))</f>
        <v>0</v>
      </c>
      <c r="JF15" s="1" cm="1">
        <f t="array" ref="JF15">_xlfn.SWITCH($A$2,"average", AVERAGE(Instances!JF15:Instances!JF15),"median", MEDIAN(Instances!JF15:Instances!JF15),"min", MIN(Instances!JF15:Instances!JF15),"max", MAX(Instances!JF15:Instances!JF15),"diff", MAX(Instances!JF15:Instances!JF15)-MIN(Instances!JF15:Instances!JF15))</f>
        <v>0</v>
      </c>
      <c r="JG15" s="1" cm="1">
        <f t="array" ref="JG15">_xlfn.SWITCH($A$2,"average", AVERAGE(Instances!JG15:Instances!JG15),"median", MEDIAN(Instances!JG15:Instances!JG15),"min", MIN(Instances!JG15:Instances!JG15),"max", MAX(Instances!JG15:Instances!JG15),"diff", MAX(Instances!JG15:Instances!JG15)-MIN(Instances!JG15:Instances!JG15))</f>
        <v>0</v>
      </c>
      <c r="JH15" s="1"/>
      <c r="JI15" s="1" cm="1">
        <f t="array" ref="JI15">_xlfn.SWITCH($A$2,"average", AVERAGE(Instances!JI15:Instances!JI15),"median", MEDIAN(Instances!JI15:Instances!JI15),"min", MIN(Instances!JI15:Instances!JI15),"max", MAX(Instances!JI15:Instances!JI15),"diff", MAX(Instances!JI15:Instances!JI15)-MIN(Instances!JI15:Instances!JI15))</f>
        <v>0</v>
      </c>
      <c r="JJ15" s="1" cm="1">
        <f t="array" ref="JJ15">_xlfn.SWITCH($A$2,"average", AVERAGE(Instances!JJ15:Instances!JJ15),"median", MEDIAN(Instances!JJ15:Instances!JJ15),"min", MIN(Instances!JJ15:Instances!JJ15),"max", MAX(Instances!JJ15:Instances!JJ15),"diff", MAX(Instances!JJ15:Instances!JJ15)-MIN(Instances!JJ15:Instances!JJ15))</f>
        <v>0</v>
      </c>
      <c r="JK15" s="1" cm="1">
        <f t="array" ref="JK15">_xlfn.SWITCH($A$2,"average", AVERAGE(Instances!JK15:Instances!JK15),"median", MEDIAN(Instances!JK15:Instances!JK15),"min", MIN(Instances!JK15:Instances!JK15),"max", MAX(Instances!JK15:Instances!JK15),"diff", MAX(Instances!JK15:Instances!JK15)-MIN(Instances!JK15:Instances!JK15))</f>
        <v>0</v>
      </c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 cm="1">
        <f t="array" ref="O16">_xlfn.SWITCH($A$2,"average", AVERAGE(Instances!O16:Instances!O16),"median", MEDIAN(Instances!O16:Instances!O16),"min", MIN(Instances!O16:Instances!O16),"max", MAX(Instances!O16:Instances!O16),"diff", MAX(Instances!O16:Instances!O16)-MIN(Instances!O16:Instances!O16))</f>
        <v>0</v>
      </c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 cm="1">
        <f t="array" ref="S16">_xlfn.SWITCH($A$2,"average", AVERAGE(Instances!S16:Instances!S16),"median", MEDIAN(Instances!S16:Instances!S16),"min", MIN(Instances!S16:Instances!S16),"max", MAX(Instances!S16:Instances!S16),"diff", MAX(Instances!S16:Instances!S16)-MIN(Instances!S16:Instances!S16))</f>
        <v>0</v>
      </c>
      <c r="T16" s="1" cm="1">
        <f t="array" ref="T16">_xlfn.SWITCH($A$2,"average", AVERAGE(Instances!T16:Instances!T16),"median", MEDIAN(Instances!T16:Instances!T16),"min", MIN(Instances!T16:Instances!T16),"max", MAX(Instances!T16:Instances!T16),"diff", MAX(Instances!T16:Instances!T16)-MIN(Instances!T16:Instances!T16))</f>
        <v>0</v>
      </c>
      <c r="U16" s="1" cm="1">
        <f t="array" ref="U16">_xlfn.SWITCH($A$2,"average", AVERAGE(Instances!U16:Instances!U16),"median", MEDIAN(Instances!U16:Instances!U16),"min", MIN(Instances!U16:Instances!U16),"max", MAX(Instances!U16:Instances!U16),"diff", MAX(Instances!U16:Instances!U16)-MIN(Instances!U16:Instances!U16))</f>
        <v>0</v>
      </c>
      <c r="V16" s="1" cm="1">
        <f t="array" ref="V16">_xlfn.SWITCH($A$2,"average", AVERAGE(Instances!V16:Instances!V16),"median", MEDIAN(Instances!V16:Instances!V16),"min", MIN(Instances!V16:Instances!V16),"max", MAX(Instances!V16:Instances!V16),"diff", MAX(Instances!V16:Instances!V16)-MIN(Instances!V16:Instances!V16))</f>
        <v>0</v>
      </c>
      <c r="W16" s="1" cm="1">
        <f t="array" ref="W16">_xlfn.SWITCH($A$2,"average", AVERAGE(Instances!W16:Instances!W16),"median", MEDIAN(Instances!W16:Instances!W16),"min", MIN(Instances!W16:Instances!W16),"max", MAX(Instances!W16:Instances!W16),"diff", MAX(Instances!W16:Instances!W16)-MIN(Instances!W16:Instances!W16))</f>
        <v>0</v>
      </c>
      <c r="X16" s="1" cm="1">
        <f t="array" ref="X16">_xlfn.SWITCH($A$2,"average", AVERAGE(Instances!X16:Instances!X16),"median", MEDIAN(Instances!X16:Instances!X16),"min", MIN(Instances!X16:Instances!X16),"max", MAX(Instances!X16:Instances!X16),"diff", MAX(Instances!X16:Instances!X16)-MIN(Instances!X16:Instances!X16))</f>
        <v>0</v>
      </c>
      <c r="Y16" s="1" cm="1">
        <f t="array" ref="Y16">_xlfn.SWITCH($A$2,"average", AVERAGE(Instances!Y16:Instances!Y16),"median", MEDIAN(Instances!Y16:Instances!Y16),"min", MIN(Instances!Y16:Instances!Y16),"max", MAX(Instances!Y16:Instances!Y16),"diff", MAX(Instances!Y16:Instances!Y16)-MIN(Instances!Y16:Instances!Y16))</f>
        <v>0</v>
      </c>
      <c r="Z16" s="1" cm="1">
        <f t="array" ref="Z16">_xlfn.SWITCH($A$2,"average", AVERAGE(Instances!Z16:Instances!Z16),"median", MEDIAN(Instances!Z16:Instances!Z16),"min", MIN(Instances!Z16:Instances!Z16),"max", MAX(Instances!Z16:Instances!Z16),"diff", MAX(Instances!Z16:Instances!Z16)-MIN(Instances!Z16:Instances!Z16))</f>
        <v>0</v>
      </c>
      <c r="AA16" s="1" cm="1">
        <f t="array" ref="AA16">_xlfn.SWITCH($A$2,"average", AVERAGE(Instances!AA16:Instances!AA16),"median", MEDIAN(Instances!AA16:Instances!AA16),"min", MIN(Instances!AA16:Instances!AA16),"max", MAX(Instances!AA16:Instances!AA16),"diff", MAX(Instances!AA16:Instances!AA16)-MIN(Instances!AA16:Instances!AA16))</f>
        <v>0</v>
      </c>
      <c r="AB16" s="1" cm="1">
        <f t="array" ref="AB16">_xlfn.SWITCH($A$2,"average", AVERAGE(Instances!AB16:Instances!AB16),"median", MEDIAN(Instances!AB16:Instances!AB16),"min", MIN(Instances!AB16:Instances!AB16),"max", MAX(Instances!AB16:Instances!AB16),"diff", MAX(Instances!AB16:Instances!AB16)-MIN(Instances!AB16:Instances!AB16))</f>
        <v>0</v>
      </c>
      <c r="AC16" s="1" cm="1">
        <f t="array" ref="AC16">_xlfn.SWITCH($A$2,"average", AVERAGE(Instances!AC16:Instances!AC16),"median", MEDIAN(Instances!AC16:Instances!AC16),"min", MIN(Instances!AC16:Instances!AC16),"max", MAX(Instances!AC16:Instances!AC16),"diff", MAX(Instances!AC16:Instances!AC16)-MIN(Instances!AC16:Instances!AC16))</f>
        <v>0</v>
      </c>
      <c r="AD16" s="1" cm="1">
        <f t="array" ref="AD16">_xlfn.SWITCH($A$2,"average", AVERAGE(Instances!AD16:Instances!AD16),"median", MEDIAN(Instances!AD16:Instances!AD16),"min", MIN(Instances!AD16:Instances!AD16),"max", MAX(Instances!AD16:Instances!AD16),"diff", MAX(Instances!AD16:Instances!AD16)-MIN(Instances!AD16:Instances!AD16))</f>
        <v>0</v>
      </c>
      <c r="AE16" s="1" cm="1">
        <f t="array" ref="AE16">_xlfn.SWITCH($A$2,"average", AVERAGE(Instances!AE16:Instances!AE16),"median", MEDIAN(Instances!AE16:Instances!AE16),"min", MIN(Instances!AE16:Instances!AE16),"max", MAX(Instances!AE16:Instances!AE16),"diff", MAX(Instances!AE16:Instances!AE16)-MIN(Instances!AE16:Instances!AE16))</f>
        <v>0</v>
      </c>
      <c r="AF16" s="1" cm="1">
        <f t="array" ref="AF16">_xlfn.SWITCH($A$2,"average", AVERAGE(Instances!AF16:Instances!AF16),"median", MEDIAN(Instances!AF16:Instances!AF16),"min", MIN(Instances!AF16:Instances!AF16),"max", MAX(Instances!AF16:Instances!AF16),"diff", MAX(Instances!AF16:Instances!AF16)-MIN(Instances!AF16:Instances!AF16))</f>
        <v>0</v>
      </c>
      <c r="AG16" s="1" cm="1">
        <f t="array" ref="AG16">_xlfn.SWITCH($A$2,"average", AVERAGE(Instances!AG16:Instances!AG16),"median", MEDIAN(Instances!AG16:Instances!AG16),"min", MIN(Instances!AG16:Instances!AG16),"max", MAX(Instances!AG16:Instances!AG16),"diff", MAX(Instances!AG16:Instances!AG16)-MIN(Instances!AG16:Instances!AG16))</f>
        <v>0</v>
      </c>
      <c r="AH16" s="1"/>
      <c r="AI16" s="1" cm="1">
        <f t="array" ref="AI16">_xlfn.SWITCH($A$2,"average", AVERAGE(Instances!AI16:Instances!AI16),"median", MEDIAN(Instances!AI16:Instances!AI16),"min", MIN(Instances!AI16:Instances!AI16),"max", MAX(Instances!AI16:Instances!AI16),"diff", MAX(Instances!AI16:Instances!AI16)-MIN(Instances!AI16:Instances!AI16))</f>
        <v>0</v>
      </c>
      <c r="AJ16" s="1" cm="1">
        <f t="array" ref="AJ16">_xlfn.SWITCH($A$2,"average", AVERAGE(Instances!AJ16:Instances!AJ16),"median", MEDIAN(Instances!AJ16:Instances!AJ16),"min", MIN(Instances!AJ16:Instances!AJ16),"max", MAX(Instances!AJ16:Instances!AJ16),"diff", MAX(Instances!AJ16:Instances!AJ16)-MIN(Instances!AJ16:Instances!AJ16))</f>
        <v>0</v>
      </c>
      <c r="AK16" s="1" cm="1">
        <f t="array" ref="AK16">_xlfn.SWITCH($A$2,"average", AVERAGE(Instances!AK16:Instances!AK16),"median", MEDIAN(Instances!AK16:Instances!AK16),"min", MIN(Instances!AK16:Instances!AK16),"max", MAX(Instances!AK16:Instances!AK16),"diff", MAX(Instances!AK16:Instances!AK16)-MIN(Instances!AK16:Instances!AK16))</f>
        <v>0</v>
      </c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 cm="1">
        <f t="array" ref="CN16">_xlfn.SWITCH($A$2,"average", AVERAGE(Instances!CN16:Instances!CN16),"median", MEDIAN(Instances!CN16:Instances!CN16),"min", MIN(Instances!CN16:Instances!CN16),"max", MAX(Instances!CN16:Instances!CN16),"diff", MAX(Instances!CN16:Instances!CN16)-MIN(Instances!CN16:Instances!CN16))</f>
        <v>0</v>
      </c>
      <c r="CO16" s="1" cm="1">
        <f t="array" ref="CO16">_xlfn.SWITCH($A$2,"average", AVERAGE(Instances!CO16:Instances!CO16),"median", MEDIAN(Instances!CO16:Instances!CO16),"min", MIN(Instances!CO16:Instances!CO16),"max", MAX(Instances!CO16:Instances!CO16),"diff", MAX(Instances!CO16:Instances!CO16)-MIN(Instances!CO16:Instances!CO16))</f>
        <v>0</v>
      </c>
      <c r="CP16" s="1" cm="1">
        <f t="array" ref="CP16">_xlfn.SWITCH($A$2,"average", AVERAGE(Instances!CP16:Instances!CP16),"median", MEDIAN(Instances!CP16:Instances!CP16),"min", MIN(Instances!CP16:Instances!CP16),"max", MAX(Instances!CP16:Instances!CP16),"diff", MAX(Instances!CP16:Instances!CP16)-MIN(Instances!CP16:Instances!CP16))</f>
        <v>0</v>
      </c>
      <c r="CQ16" s="1" cm="1">
        <f t="array" ref="CQ16">_xlfn.SWITCH($A$2,"average", AVERAGE(Instances!CQ16:Instances!CQ16),"median", MEDIAN(Instances!CQ16:Instances!CQ16),"min", MIN(Instances!CQ16:Instances!CQ16),"max", MAX(Instances!CQ16:Instances!CQ16),"diff", MAX(Instances!CQ16:Instances!CQ16)-MIN(Instances!CQ16:Instances!CQ16))</f>
        <v>0</v>
      </c>
      <c r="CR16" s="1" cm="1">
        <f t="array" ref="CR16">_xlfn.SWITCH($A$2,"average", AVERAGE(Instances!CR16:Instances!CR16),"median", MEDIAN(Instances!CR16:Instances!CR16),"min", MIN(Instances!CR16:Instances!CR16),"max", MAX(Instances!CR16:Instances!CR16),"diff", MAX(Instances!CR16:Instances!CR16)-MIN(Instances!CR16:Instances!CR16))</f>
        <v>0</v>
      </c>
      <c r="CS16" s="1" cm="1">
        <f t="array" ref="CS16">_xlfn.SWITCH($A$2,"average", AVERAGE(Instances!CS16:Instances!CS16),"median", MEDIAN(Instances!CS16:Instances!CS16),"min", MIN(Instances!CS16:Instances!CS16),"max", MAX(Instances!CS16:Instances!CS16),"diff", MAX(Instances!CS16:Instances!CS16)-MIN(Instances!CS16:Instances!CS16))</f>
        <v>0</v>
      </c>
      <c r="CT16" s="1" cm="1">
        <f t="array" ref="CT16">_xlfn.SWITCH($A$2,"average", AVERAGE(Instances!CT16:Instances!CT16),"median", MEDIAN(Instances!CT16:Instances!CT16),"min", MIN(Instances!CT16:Instances!CT16),"max", MAX(Instances!CT16:Instances!CT16),"diff", MAX(Instances!CT16:Instances!CT16)-MIN(Instances!CT16:Instances!CT16))</f>
        <v>0</v>
      </c>
      <c r="CU16" s="1" cm="1">
        <f t="array" ref="CU16">_xlfn.SWITCH($A$2,"average", AVERAGE(Instances!CU16:Instances!CU16),"median", MEDIAN(Instances!CU16:Instances!CU16),"min", MIN(Instances!CU16:Instances!CU16),"max", MAX(Instances!CU16:Instances!CU16),"diff", MAX(Instances!CU16:Instances!CU16)-MIN(Instances!CU16:Instances!CU16))</f>
        <v>0</v>
      </c>
      <c r="CV16" s="1" cm="1">
        <f t="array" ref="CV16">_xlfn.SWITCH($A$2,"average", AVERAGE(Instances!CV16:Instances!CV16),"median", MEDIAN(Instances!CV16:Instances!CV16),"min", MIN(Instances!CV16:Instances!CV16),"max", MAX(Instances!CV16:Instances!CV16),"diff", MAX(Instances!CV16:Instances!CV16)-MIN(Instances!CV16:Instances!CV16))</f>
        <v>0</v>
      </c>
      <c r="CW16" s="1" cm="1">
        <f t="array" ref="CW16">_xlfn.SWITCH($A$2,"average", AVERAGE(Instances!CW16:Instances!CW16),"median", MEDIAN(Instances!CW16:Instances!CW16),"min", MIN(Instances!CW16:Instances!CW16),"max", MAX(Instances!CW16:Instances!CW16),"diff", MAX(Instances!CW16:Instances!CW16)-MIN(Instances!CW16:Instances!CW16))</f>
        <v>0</v>
      </c>
      <c r="CX16" s="1" cm="1">
        <f t="array" ref="CX16">_xlfn.SWITCH($A$2,"average", AVERAGE(Instances!CX16:Instances!CX16),"median", MEDIAN(Instances!CX16:Instances!CX16),"min", MIN(Instances!CX16:Instances!CX16),"max", MAX(Instances!CX16:Instances!CX16),"diff", MAX(Instances!CX16:Instances!CX16)-MIN(Instances!CX16:Instances!CX16))</f>
        <v>0</v>
      </c>
      <c r="CY16" s="1" cm="1">
        <f t="array" ref="CY16">_xlfn.SWITCH($A$2,"average", AVERAGE(Instances!CY16:Instances!CY16),"median", MEDIAN(Instances!CY16:Instances!CY16),"min", MIN(Instances!CY16:Instances!CY16),"max", MAX(Instances!CY16:Instances!CY16),"diff", MAX(Instances!CY16:Instances!CY16)-MIN(Instances!CY16:Instances!CY16))</f>
        <v>0</v>
      </c>
      <c r="CZ16" s="1" cm="1">
        <f t="array" ref="CZ16">_xlfn.SWITCH($A$2,"average", AVERAGE(Instances!CZ16:Instances!CZ16),"median", MEDIAN(Instances!CZ16:Instances!CZ16),"min", MIN(Instances!CZ16:Instances!CZ16),"max", MAX(Instances!CZ16:Instances!CZ16),"diff", MAX(Instances!CZ16:Instances!CZ16)-MIN(Instances!CZ16:Instances!CZ16))</f>
        <v>0</v>
      </c>
      <c r="DA16" s="1" cm="1">
        <f t="array" ref="DA16">_xlfn.SWITCH($A$2,"average", AVERAGE(Instances!DA16:Instances!DA16),"median", MEDIAN(Instances!DA16:Instances!DA16),"min", MIN(Instances!DA16:Instances!DA16),"max", MAX(Instances!DA16:Instances!DA16),"diff", MAX(Instances!DA16:Instances!DA16)-MIN(Instances!DA16:Instances!DA16))</f>
        <v>0</v>
      </c>
      <c r="DB16" s="1"/>
      <c r="DC16" s="1" cm="1">
        <f t="array" ref="DC16">_xlfn.SWITCH($A$2,"average", AVERAGE(Instances!DC16:Instances!DC16),"median", MEDIAN(Instances!DC16:Instances!DC16),"min", MIN(Instances!DC16:Instances!DC16),"max", MAX(Instances!DC16:Instances!DC16),"diff", MAX(Instances!DC16:Instances!DC16)-MIN(Instances!DC16:Instances!DC16))</f>
        <v>0</v>
      </c>
      <c r="DD16" s="1" cm="1">
        <f t="array" ref="DD16">_xlfn.SWITCH($A$2,"average", AVERAGE(Instances!DD16:Instances!DD16),"median", MEDIAN(Instances!DD16:Instances!DD16),"min", MIN(Instances!DD16:Instances!DD16),"max", MAX(Instances!DD16:Instances!DD16),"diff", MAX(Instances!DD16:Instances!DD16)-MIN(Instances!DD16:Instances!DD16))</f>
        <v>0</v>
      </c>
      <c r="DE16" s="1" cm="1">
        <f t="array" ref="DE16">_xlfn.SWITCH($A$2,"average", AVERAGE(Instances!DE16:Instances!DE16),"median", MEDIAN(Instances!DE16:Instances!DE16),"min", MIN(Instances!DE16:Instances!DE16),"max", MAX(Instances!DE16:Instances!DE16),"diff", MAX(Instances!DE16:Instances!DE16)-MIN(Instances!DE16:Instances!DE16))</f>
        <v>0</v>
      </c>
      <c r="DF16" s="1" cm="1">
        <f t="array" ref="DF16">_xlfn.SWITCH($A$2,"average", AVERAGE(Instances!DF16:Instances!DF16),"median", MEDIAN(Instances!DF16:Instances!DF16),"min", MIN(Instances!DF16:Instances!DF16),"max", MAX(Instances!DF16:Instances!DF16),"diff", MAX(Instances!DF16:Instances!DF16)-MIN(Instances!DF16:Instances!DF16))</f>
        <v>0</v>
      </c>
      <c r="DG16" s="1" cm="1">
        <f t="array" ref="DG16">_xlfn.SWITCH($A$2,"average", AVERAGE(Instances!DG16:Instances!DG16),"median", MEDIAN(Instances!DG16:Instances!DG16),"min", MIN(Instances!DG16:Instances!DG16),"max", MAX(Instances!DG16:Instances!DG16),"diff", MAX(Instances!DG16:Instances!DG16)-MIN(Instances!DG16:Instances!DG16))</f>
        <v>0</v>
      </c>
      <c r="DH16" s="1" cm="1">
        <f t="array" ref="DH16">_xlfn.SWITCH($A$2,"average", AVERAGE(Instances!DH16:Instances!DH16),"median", MEDIAN(Instances!DH16:Instances!DH16),"min", MIN(Instances!DH16:Instances!DH16),"max", MAX(Instances!DH16:Instances!DH16),"diff", MAX(Instances!DH16:Instances!DH16)-MIN(Instances!DH16:Instances!DH16))</f>
        <v>0</v>
      </c>
      <c r="DI16" s="1" cm="1">
        <f t="array" ref="DI16">_xlfn.SWITCH($A$2,"average", AVERAGE(Instances!DI16:Instances!DI16),"median", MEDIAN(Instances!DI16:Instances!DI16),"min", MIN(Instances!DI16:Instances!DI16),"max", MAX(Instances!DI16:Instances!DI16),"diff", MAX(Instances!DI16:Instances!DI16)-MIN(Instances!DI16:Instances!DI16))</f>
        <v>0</v>
      </c>
      <c r="DJ16" s="1" cm="1">
        <f t="array" ref="DJ16">_xlfn.SWITCH($A$2,"average", AVERAGE(Instances!DJ16:Instances!DJ16),"median", MEDIAN(Instances!DJ16:Instances!DJ16),"min", MIN(Instances!DJ16:Instances!DJ16),"max", MAX(Instances!DJ16:Instances!DJ16),"diff", MAX(Instances!DJ16:Instances!DJ16)-MIN(Instances!DJ16:Instances!DJ16))</f>
        <v>0</v>
      </c>
      <c r="DK16" s="1" cm="1">
        <f t="array" ref="DK16">_xlfn.SWITCH($A$2,"average", AVERAGE(Instances!DK16:Instances!DK16),"median", MEDIAN(Instances!DK16:Instances!DK16),"min", MIN(Instances!DK16:Instances!DK16),"max", MAX(Instances!DK16:Instances!DK16),"diff", MAX(Instances!DK16:Instances!DK16)-MIN(Instances!DK16:Instances!DK16))</f>
        <v>0</v>
      </c>
      <c r="DL16" s="1" cm="1">
        <f t="array" ref="DL16">_xlfn.SWITCH($A$2,"average", AVERAGE(Instances!DL16:Instances!DL16),"median", MEDIAN(Instances!DL16:Instances!DL16),"min", MIN(Instances!DL16:Instances!DL16),"max", MAX(Instances!DL16:Instances!DL16),"diff", MAX(Instances!DL16:Instances!DL16)-MIN(Instances!DL16:Instances!DL16))</f>
        <v>0</v>
      </c>
      <c r="DM16" s="1" cm="1">
        <f t="array" ref="DM16">_xlfn.SWITCH($A$2,"average", AVERAGE(Instances!DM16:Instances!DM16),"median", MEDIAN(Instances!DM16:Instances!DM16),"min", MIN(Instances!DM16:Instances!DM16),"max", MAX(Instances!DM16:Instances!DM16),"diff", MAX(Instances!DM16:Instances!DM16)-MIN(Instances!DM16:Instances!DM16))</f>
        <v>0</v>
      </c>
      <c r="DN16" s="1" cm="1">
        <f t="array" ref="DN16">_xlfn.SWITCH($A$2,"average", AVERAGE(Instances!DN16:Instances!DN16),"median", MEDIAN(Instances!DN16:Instances!DN16),"min", MIN(Instances!DN16:Instances!DN16),"max", MAX(Instances!DN16:Instances!DN16),"diff", MAX(Instances!DN16:Instances!DN16)-MIN(Instances!DN16:Instances!DN16))</f>
        <v>0</v>
      </c>
      <c r="DO16" s="1" cm="1">
        <f t="array" ref="DO16">_xlfn.SWITCH($A$2,"average", AVERAGE(Instances!DO16:Instances!DO16),"median", MEDIAN(Instances!DO16:Instances!DO16),"min", MIN(Instances!DO16:Instances!DO16),"max", MAX(Instances!DO16:Instances!DO16),"diff", MAX(Instances!DO16:Instances!DO16)-MIN(Instances!DO16:Instances!DO16))</f>
        <v>0</v>
      </c>
      <c r="DP16" s="1" cm="1">
        <f t="array" ref="DP16">_xlfn.SWITCH($A$2,"average", AVERAGE(Instances!DP16:Instances!DP16),"median", MEDIAN(Instances!DP16:Instances!DP16),"min", MIN(Instances!DP16:Instances!DP16),"max", MAX(Instances!DP16:Instances!DP16),"diff", MAX(Instances!DP16:Instances!DP16)-MIN(Instances!DP16:Instances!DP16))</f>
        <v>0</v>
      </c>
      <c r="DQ16" s="1" cm="1">
        <f t="array" ref="DQ16">_xlfn.SWITCH($A$2,"average", AVERAGE(Instances!DQ16:Instances!DQ16),"median", MEDIAN(Instances!DQ16:Instances!DQ16),"min", MIN(Instances!DQ16:Instances!DQ16),"max", MAX(Instances!DQ16:Instances!DQ16),"diff", MAX(Instances!DQ16:Instances!DQ16)-MIN(Instances!DQ16:Instances!DQ16))</f>
        <v>0</v>
      </c>
      <c r="DR16" s="1" cm="1">
        <f t="array" ref="DR16">_xlfn.SWITCH($A$2,"average", AVERAGE(Instances!DR16:Instances!DR16),"median", MEDIAN(Instances!DR16:Instances!DR16),"min", MIN(Instances!DR16:Instances!DR16),"max", MAX(Instances!DR16:Instances!DR16),"diff", MAX(Instances!DR16:Instances!DR16)-MIN(Instances!DR16:Instances!DR16))</f>
        <v>0</v>
      </c>
      <c r="DS16" s="1" cm="1">
        <f t="array" ref="DS16">_xlfn.SWITCH($A$2,"average", AVERAGE(Instances!DS16:Instances!DS16),"median", MEDIAN(Instances!DS16:Instances!DS16),"min", MIN(Instances!DS16:Instances!DS16),"max", MAX(Instances!DS16:Instances!DS16),"diff", MAX(Instances!DS16:Instances!DS16)-MIN(Instances!DS16:Instances!DS16))</f>
        <v>0</v>
      </c>
      <c r="DT16" s="1"/>
      <c r="DU16" s="1" cm="1">
        <f t="array" ref="DU16">_xlfn.SWITCH($A$2,"average", AVERAGE(Instances!DU16:Instances!DU16),"median", MEDIAN(Instances!DU16:Instances!DU16),"min", MIN(Instances!DU16:Instances!DU16),"max", MAX(Instances!DU16:Instances!DU16),"diff", MAX(Instances!DU16:Instances!DU16)-MIN(Instances!DU16:Instances!DU16))</f>
        <v>0</v>
      </c>
      <c r="DV16" s="1" cm="1">
        <f t="array" ref="DV16">_xlfn.SWITCH($A$2,"average", AVERAGE(Instances!DV16:Instances!DV16),"median", MEDIAN(Instances!DV16:Instances!DV16),"min", MIN(Instances!DV16:Instances!DV16),"max", MAX(Instances!DV16:Instances!DV16),"diff", MAX(Instances!DV16:Instances!DV16)-MIN(Instances!DV16:Instances!DV16))</f>
        <v>0</v>
      </c>
      <c r="DW16" s="1" cm="1">
        <f t="array" ref="DW16">_xlfn.SWITCH($A$2,"average", AVERAGE(Instances!DW16:Instances!DW16),"median", MEDIAN(Instances!DW16:Instances!DW16),"min", MIN(Instances!DW16:Instances!DW16),"max", MAX(Instances!DW16:Instances!DW16),"diff", MAX(Instances!DW16:Instances!DW16)-MIN(Instances!DW16:Instances!DW16))</f>
        <v>0</v>
      </c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 cm="1">
        <f t="array" ref="FH16">_xlfn.SWITCH($A$2,"average", AVERAGE(Instances!FH16:Instances!FH16),"median", MEDIAN(Instances!FH16:Instances!FH16),"min", MIN(Instances!FH16:Instances!FH16),"max", MAX(Instances!FH16:Instances!FH16),"diff", MAX(Instances!FH16:Instances!FH16)-MIN(Instances!FH16:Instances!FH16))</f>
        <v>0</v>
      </c>
      <c r="FI16" s="1" cm="1">
        <f t="array" ref="FI16">_xlfn.SWITCH($A$2,"average", AVERAGE(Instances!FI16:Instances!FI16),"median", MEDIAN(Instances!FI16:Instances!FI16),"min", MIN(Instances!FI16:Instances!FI16),"max", MAX(Instances!FI16:Instances!FI16),"diff", MAX(Instances!FI16:Instances!FI16)-MIN(Instances!FI16:Instances!FI16))</f>
        <v>0</v>
      </c>
      <c r="FJ16" s="1" cm="1">
        <f t="array" ref="FJ16">_xlfn.SWITCH($A$2,"average", AVERAGE(Instances!FJ16:Instances!FJ16),"median", MEDIAN(Instances!FJ16:Instances!FJ16),"min", MIN(Instances!FJ16:Instances!FJ16),"max", MAX(Instances!FJ16:Instances!FJ16),"diff", MAX(Instances!FJ16:Instances!FJ16)-MIN(Instances!FJ16:Instances!FJ16))</f>
        <v>0</v>
      </c>
      <c r="FK16" s="1" cm="1">
        <f t="array" ref="FK16">_xlfn.SWITCH($A$2,"average", AVERAGE(Instances!FK16:Instances!FK16),"median", MEDIAN(Instances!FK16:Instances!FK16),"min", MIN(Instances!FK16:Instances!FK16),"max", MAX(Instances!FK16:Instances!FK16),"diff", MAX(Instances!FK16:Instances!FK16)-MIN(Instances!FK16:Instances!FK16))</f>
        <v>0</v>
      </c>
      <c r="FL16" s="1" cm="1">
        <f t="array" ref="FL16">_xlfn.SWITCH($A$2,"average", AVERAGE(Instances!FL16:Instances!FL16),"median", MEDIAN(Instances!FL16:Instances!FL16),"min", MIN(Instances!FL16:Instances!FL16),"max", MAX(Instances!FL16:Instances!FL16),"diff", MAX(Instances!FL16:Instances!FL16)-MIN(Instances!FL16:Instances!FL16))</f>
        <v>0</v>
      </c>
      <c r="FM16" s="1" cm="1">
        <f t="array" ref="FM16">_xlfn.SWITCH($A$2,"average", AVERAGE(Instances!FM16:Instances!FM16),"median", MEDIAN(Instances!FM16:Instances!FM16),"min", MIN(Instances!FM16:Instances!FM16),"max", MAX(Instances!FM16:Instances!FM16),"diff", MAX(Instances!FM16:Instances!FM16)-MIN(Instances!FM16:Instances!FM16))</f>
        <v>0</v>
      </c>
      <c r="FN16" s="1" cm="1">
        <f t="array" ref="FN16">_xlfn.SWITCH($A$2,"average", AVERAGE(Instances!FN16:Instances!FN16),"median", MEDIAN(Instances!FN16:Instances!FN16),"min", MIN(Instances!FN16:Instances!FN16),"max", MAX(Instances!FN16:Instances!FN16),"diff", MAX(Instances!FN16:Instances!FN16)-MIN(Instances!FN16:Instances!FN16))</f>
        <v>0</v>
      </c>
      <c r="FO16" s="1" cm="1">
        <f t="array" ref="FO16">_xlfn.SWITCH($A$2,"average", AVERAGE(Instances!FO16:Instances!FO16),"median", MEDIAN(Instances!FO16:Instances!FO16),"min", MIN(Instances!FO16:Instances!FO16),"max", MAX(Instances!FO16:Instances!FO16),"diff", MAX(Instances!FO16:Instances!FO16)-MIN(Instances!FO16:Instances!FO16))</f>
        <v>0</v>
      </c>
      <c r="FP16" s="1" cm="1">
        <f t="array" ref="FP16">_xlfn.SWITCH($A$2,"average", AVERAGE(Instances!FP16:Instances!FP16),"median", MEDIAN(Instances!FP16:Instances!FP16),"min", MIN(Instances!FP16:Instances!FP16),"max", MAX(Instances!FP16:Instances!FP16),"diff", MAX(Instances!FP16:Instances!FP16)-MIN(Instances!FP16:Instances!FP16))</f>
        <v>0</v>
      </c>
      <c r="FQ16" s="1" cm="1">
        <f t="array" ref="FQ16">_xlfn.SWITCH($A$2,"average", AVERAGE(Instances!FQ16:Instances!FQ16),"median", MEDIAN(Instances!FQ16:Instances!FQ16),"min", MIN(Instances!FQ16:Instances!FQ16),"max", MAX(Instances!FQ16:Instances!FQ16),"diff", MAX(Instances!FQ16:Instances!FQ16)-MIN(Instances!FQ16:Instances!FQ16))</f>
        <v>0</v>
      </c>
      <c r="FR16" s="1" cm="1">
        <f t="array" ref="FR16">_xlfn.SWITCH($A$2,"average", AVERAGE(Instances!FR16:Instances!FR16),"median", MEDIAN(Instances!FR16:Instances!FR16),"min", MIN(Instances!FR16:Instances!FR16),"max", MAX(Instances!FR16:Instances!FR16),"diff", MAX(Instances!FR16:Instances!FR16)-MIN(Instances!FR16:Instances!FR16))</f>
        <v>0</v>
      </c>
      <c r="FS16" s="1" cm="1">
        <f t="array" ref="FS16">_xlfn.SWITCH($A$2,"average", AVERAGE(Instances!FS16:Instances!FS16),"median", MEDIAN(Instances!FS16:Instances!FS16),"min", MIN(Instances!FS16:Instances!FS16),"max", MAX(Instances!FS16:Instances!FS16),"diff", MAX(Instances!FS16:Instances!FS16)-MIN(Instances!FS16:Instances!FS16))</f>
        <v>0</v>
      </c>
      <c r="FT16" s="1" cm="1">
        <f t="array" ref="FT16">_xlfn.SWITCH($A$2,"average", AVERAGE(Instances!FT16:Instances!FT16),"median", MEDIAN(Instances!FT16:Instances!FT16),"min", MIN(Instances!FT16:Instances!FT16),"max", MAX(Instances!FT16:Instances!FT16),"diff", MAX(Instances!FT16:Instances!FT16)-MIN(Instances!FT16:Instances!FT16))</f>
        <v>0</v>
      </c>
      <c r="FU16" s="1" cm="1">
        <f t="array" ref="FU16">_xlfn.SWITCH($A$2,"average", AVERAGE(Instances!FU16:Instances!FU16),"median", MEDIAN(Instances!FU16:Instances!FU16),"min", MIN(Instances!FU16:Instances!FU16),"max", MAX(Instances!FU16:Instances!FU16),"diff", MAX(Instances!FU16:Instances!FU16)-MIN(Instances!FU16:Instances!FU16))</f>
        <v>0</v>
      </c>
      <c r="FV16" s="1"/>
      <c r="FW16" s="1" cm="1">
        <f t="array" ref="FW16">_xlfn.SWITCH($A$2,"average", AVERAGE(Instances!FW16:Instances!FW16),"median", MEDIAN(Instances!FW16:Instances!FW16),"min", MIN(Instances!FW16:Instances!FW16),"max", MAX(Instances!FW16:Instances!FW16),"diff", MAX(Instances!FW16:Instances!FW16)-MIN(Instances!FW16:Instances!FW16))</f>
        <v>0</v>
      </c>
      <c r="FX16" s="1" cm="1">
        <f t="array" ref="FX16">_xlfn.SWITCH($A$2,"average", AVERAGE(Instances!FX16:Instances!FX16),"median", MEDIAN(Instances!FX16:Instances!FX16),"min", MIN(Instances!FX16:Instances!FX16),"max", MAX(Instances!FX16:Instances!FX16),"diff", MAX(Instances!FX16:Instances!FX16)-MIN(Instances!FX16:Instances!FX16))</f>
        <v>0</v>
      </c>
      <c r="FY16" s="1" cm="1">
        <f t="array" ref="FY16">_xlfn.SWITCH($A$2,"average", AVERAGE(Instances!FY16:Instances!FY16),"median", MEDIAN(Instances!FY16:Instances!FY16),"min", MIN(Instances!FY16:Instances!FY16),"max", MAX(Instances!FY16:Instances!FY16),"diff", MAX(Instances!FY16:Instances!FY16)-MIN(Instances!FY16:Instances!FY16))</f>
        <v>0</v>
      </c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 cm="1">
        <f t="array" ref="IB16">_xlfn.SWITCH($A$2,"average", AVERAGE(Instances!IB16:Instances!IB16),"median", MEDIAN(Instances!IB16:Instances!IB16),"min", MIN(Instances!IB16:Instances!IB16),"max", MAX(Instances!IB16:Instances!IB16),"diff", MAX(Instances!IB16:Instances!IB16)-MIN(Instances!IB16:Instances!IB16))</f>
        <v>0</v>
      </c>
      <c r="IC16" s="1" cm="1">
        <f t="array" ref="IC16">_xlfn.SWITCH($A$2,"average", AVERAGE(Instances!IC16:Instances!IC16),"median", MEDIAN(Instances!IC16:Instances!IC16),"min", MIN(Instances!IC16:Instances!IC16),"max", MAX(Instances!IC16:Instances!IC16),"diff", MAX(Instances!IC16:Instances!IC16)-MIN(Instances!IC16:Instances!IC16))</f>
        <v>0</v>
      </c>
      <c r="ID16" s="1" cm="1">
        <f t="array" ref="ID16">_xlfn.SWITCH($A$2,"average", AVERAGE(Instances!ID16:Instances!ID16),"median", MEDIAN(Instances!ID16:Instances!ID16),"min", MIN(Instances!ID16:Instances!ID16),"max", MAX(Instances!ID16:Instances!ID16),"diff", MAX(Instances!ID16:Instances!ID16)-MIN(Instances!ID16:Instances!ID16))</f>
        <v>0</v>
      </c>
      <c r="IE16" s="1" cm="1">
        <f t="array" ref="IE16">_xlfn.SWITCH($A$2,"average", AVERAGE(Instances!IE16:Instances!IE16),"median", MEDIAN(Instances!IE16:Instances!IE16),"min", MIN(Instances!IE16:Instances!IE16),"max", MAX(Instances!IE16:Instances!IE16),"diff", MAX(Instances!IE16:Instances!IE16)-MIN(Instances!IE16:Instances!IE16))</f>
        <v>0</v>
      </c>
      <c r="IF16" s="1" cm="1">
        <f t="array" ref="IF16">_xlfn.SWITCH($A$2,"average", AVERAGE(Instances!IF16:Instances!IF16),"median", MEDIAN(Instances!IF16:Instances!IF16),"min", MIN(Instances!IF16:Instances!IF16),"max", MAX(Instances!IF16:Instances!IF16),"diff", MAX(Instances!IF16:Instances!IF16)-MIN(Instances!IF16:Instances!IF16))</f>
        <v>0</v>
      </c>
      <c r="IG16" s="1" cm="1">
        <f t="array" ref="IG16">_xlfn.SWITCH($A$2,"average", AVERAGE(Instances!IG16:Instances!IG16),"median", MEDIAN(Instances!IG16:Instances!IG16),"min", MIN(Instances!IG16:Instances!IG16),"max", MAX(Instances!IG16:Instances!IG16),"diff", MAX(Instances!IG16:Instances!IG16)-MIN(Instances!IG16:Instances!IG16))</f>
        <v>0</v>
      </c>
      <c r="IH16" s="1" cm="1">
        <f t="array" ref="IH16">_xlfn.SWITCH($A$2,"average", AVERAGE(Instances!IH16:Instances!IH16),"median", MEDIAN(Instances!IH16:Instances!IH16),"min", MIN(Instances!IH16:Instances!IH16),"max", MAX(Instances!IH16:Instances!IH16),"diff", MAX(Instances!IH16:Instances!IH16)-MIN(Instances!IH16:Instances!IH16))</f>
        <v>0</v>
      </c>
      <c r="II16" s="1" cm="1">
        <f t="array" ref="II16">_xlfn.SWITCH($A$2,"average", AVERAGE(Instances!II16:Instances!II16),"median", MEDIAN(Instances!II16:Instances!II16),"min", MIN(Instances!II16:Instances!II16),"max", MAX(Instances!II16:Instances!II16),"diff", MAX(Instances!II16:Instances!II16)-MIN(Instances!II16:Instances!II16))</f>
        <v>0</v>
      </c>
      <c r="IJ16" s="1" cm="1">
        <f t="array" ref="IJ16">_xlfn.SWITCH($A$2,"average", AVERAGE(Instances!IJ16:Instances!IJ16),"median", MEDIAN(Instances!IJ16:Instances!IJ16),"min", MIN(Instances!IJ16:Instances!IJ16),"max", MAX(Instances!IJ16:Instances!IJ16),"diff", MAX(Instances!IJ16:Instances!IJ16)-MIN(Instances!IJ16:Instances!IJ16))</f>
        <v>0</v>
      </c>
      <c r="IK16" s="1" cm="1">
        <f t="array" ref="IK16">_xlfn.SWITCH($A$2,"average", AVERAGE(Instances!IK16:Instances!IK16),"median", MEDIAN(Instances!IK16:Instances!IK16),"min", MIN(Instances!IK16:Instances!IK16),"max", MAX(Instances!IK16:Instances!IK16),"diff", MAX(Instances!IK16:Instances!IK16)-MIN(Instances!IK16:Instances!IK16))</f>
        <v>0</v>
      </c>
      <c r="IL16" s="1" cm="1">
        <f t="array" ref="IL16">_xlfn.SWITCH($A$2,"average", AVERAGE(Instances!IL16:Instances!IL16),"median", MEDIAN(Instances!IL16:Instances!IL16),"min", MIN(Instances!IL16:Instances!IL16),"max", MAX(Instances!IL16:Instances!IL16),"diff", MAX(Instances!IL16:Instances!IL16)-MIN(Instances!IL16:Instances!IL16))</f>
        <v>0</v>
      </c>
      <c r="IM16" s="1" cm="1">
        <f t="array" ref="IM16">_xlfn.SWITCH($A$2,"average", AVERAGE(Instances!IM16:Instances!IM16),"median", MEDIAN(Instances!IM16:Instances!IM16),"min", MIN(Instances!IM16:Instances!IM16),"max", MAX(Instances!IM16:Instances!IM16),"diff", MAX(Instances!IM16:Instances!IM16)-MIN(Instances!IM16:Instances!IM16))</f>
        <v>0</v>
      </c>
      <c r="IN16" s="1" cm="1">
        <f t="array" ref="IN16">_xlfn.SWITCH($A$2,"average", AVERAGE(Instances!IN16:Instances!IN16),"median", MEDIAN(Instances!IN16:Instances!IN16),"min", MIN(Instances!IN16:Instances!IN16),"max", MAX(Instances!IN16:Instances!IN16),"diff", MAX(Instances!IN16:Instances!IN16)-MIN(Instances!IN16:Instances!IN16))</f>
        <v>0</v>
      </c>
      <c r="IO16" s="1" cm="1">
        <f t="array" ref="IO16">_xlfn.SWITCH($A$2,"average", AVERAGE(Instances!IO16:Instances!IO16),"median", MEDIAN(Instances!IO16:Instances!IO16),"min", MIN(Instances!IO16:Instances!IO16),"max", MAX(Instances!IO16:Instances!IO16),"diff", MAX(Instances!IO16:Instances!IO16)-MIN(Instances!IO16:Instances!IO16))</f>
        <v>0</v>
      </c>
      <c r="IP16" s="1"/>
      <c r="IQ16" s="1" cm="1">
        <f t="array" ref="IQ16">_xlfn.SWITCH($A$2,"average", AVERAGE(Instances!IQ16:Instances!IQ16),"median", MEDIAN(Instances!IQ16:Instances!IQ16),"min", MIN(Instances!IQ16:Instances!IQ16),"max", MAX(Instances!IQ16:Instances!IQ16),"diff", MAX(Instances!IQ16:Instances!IQ16)-MIN(Instances!IQ16:Instances!IQ16))</f>
        <v>0</v>
      </c>
      <c r="IR16" s="1" cm="1">
        <f t="array" ref="IR16">_xlfn.SWITCH($A$2,"average", AVERAGE(Instances!IR16:Instances!IR16),"median", MEDIAN(Instances!IR16:Instances!IR16),"min", MIN(Instances!IR16:Instances!IR16),"max", MAX(Instances!IR16:Instances!IR16),"diff", MAX(Instances!IR16:Instances!IR16)-MIN(Instances!IR16:Instances!IR16))</f>
        <v>0</v>
      </c>
      <c r="IS16" s="1" cm="1">
        <f t="array" ref="IS16">_xlfn.SWITCH($A$2,"average", AVERAGE(Instances!IS16:Instances!IS16),"median", MEDIAN(Instances!IS16:Instances!IS16),"min", MIN(Instances!IS16:Instances!IS16),"max", MAX(Instances!IS16:Instances!IS16),"diff", MAX(Instances!IS16:Instances!IS16)-MIN(Instances!IS16:Instances!IS16))</f>
        <v>0</v>
      </c>
      <c r="IT16" s="1" cm="1">
        <f t="array" ref="IT16">_xlfn.SWITCH($A$2,"average", AVERAGE(Instances!IT16:Instances!IT16),"median", MEDIAN(Instances!IT16:Instances!IT16),"min", MIN(Instances!IT16:Instances!IT16),"max", MAX(Instances!IT16:Instances!IT16),"diff", MAX(Instances!IT16:Instances!IT16)-MIN(Instances!IT16:Instances!IT16))</f>
        <v>0</v>
      </c>
      <c r="IU16" s="1" cm="1">
        <f t="array" ref="IU16">_xlfn.SWITCH($A$2,"average", AVERAGE(Instances!IU16:Instances!IU16),"median", MEDIAN(Instances!IU16:Instances!IU16),"min", MIN(Instances!IU16:Instances!IU16),"max", MAX(Instances!IU16:Instances!IU16),"diff", MAX(Instances!IU16:Instances!IU16)-MIN(Instances!IU16:Instances!IU16))</f>
        <v>0</v>
      </c>
      <c r="IV16" s="1" cm="1">
        <f t="array" ref="IV16">_xlfn.SWITCH($A$2,"average", AVERAGE(Instances!IV16:Instances!IV16),"median", MEDIAN(Instances!IV16:Instances!IV16),"min", MIN(Instances!IV16:Instances!IV16),"max", MAX(Instances!IV16:Instances!IV16),"diff", MAX(Instances!IV16:Instances!IV16)-MIN(Instances!IV16:Instances!IV16))</f>
        <v>0</v>
      </c>
      <c r="IW16" s="1" cm="1">
        <f t="array" ref="IW16">_xlfn.SWITCH($A$2,"average", AVERAGE(Instances!IW16:Instances!IW16),"median", MEDIAN(Instances!IW16:Instances!IW16),"min", MIN(Instances!IW16:Instances!IW16),"max", MAX(Instances!IW16:Instances!IW16),"diff", MAX(Instances!IW16:Instances!IW16)-MIN(Instances!IW16:Instances!IW16))</f>
        <v>0</v>
      </c>
      <c r="IX16" s="1" cm="1">
        <f t="array" ref="IX16">_xlfn.SWITCH($A$2,"average", AVERAGE(Instances!IX16:Instances!IX16),"median", MEDIAN(Instances!IX16:Instances!IX16),"min", MIN(Instances!IX16:Instances!IX16),"max", MAX(Instances!IX16:Instances!IX16),"diff", MAX(Instances!IX16:Instances!IX16)-MIN(Instances!IX16:Instances!IX16))</f>
        <v>0</v>
      </c>
      <c r="IY16" s="1" cm="1">
        <f t="array" ref="IY16">_xlfn.SWITCH($A$2,"average", AVERAGE(Instances!IY16:Instances!IY16),"median", MEDIAN(Instances!IY16:Instances!IY16),"min", MIN(Instances!IY16:Instances!IY16),"max", MAX(Instances!IY16:Instances!IY16),"diff", MAX(Instances!IY16:Instances!IY16)-MIN(Instances!IY16:Instances!IY16))</f>
        <v>0</v>
      </c>
      <c r="IZ16" s="1" cm="1">
        <f t="array" ref="IZ16">_xlfn.SWITCH($A$2,"average", AVERAGE(Instances!IZ16:Instances!IZ16),"median", MEDIAN(Instances!IZ16:Instances!IZ16),"min", MIN(Instances!IZ16:Instances!IZ16),"max", MAX(Instances!IZ16:Instances!IZ16),"diff", MAX(Instances!IZ16:Instances!IZ16)-MIN(Instances!IZ16:Instances!IZ16))</f>
        <v>0</v>
      </c>
      <c r="JA16" s="1" cm="1">
        <f t="array" ref="JA16">_xlfn.SWITCH($A$2,"average", AVERAGE(Instances!JA16:Instances!JA16),"median", MEDIAN(Instances!JA16:Instances!JA16),"min", MIN(Instances!JA16:Instances!JA16),"max", MAX(Instances!JA16:Instances!JA16),"diff", MAX(Instances!JA16:Instances!JA16)-MIN(Instances!JA16:Instances!JA16))</f>
        <v>0</v>
      </c>
      <c r="JB16" s="1" cm="1">
        <f t="array" ref="JB16">_xlfn.SWITCH($A$2,"average", AVERAGE(Instances!JB16:Instances!JB16),"median", MEDIAN(Instances!JB16:Instances!JB16),"min", MIN(Instances!JB16:Instances!JB16),"max", MAX(Instances!JB16:Instances!JB16),"diff", MAX(Instances!JB16:Instances!JB16)-MIN(Instances!JB16:Instances!JB16))</f>
        <v>0</v>
      </c>
      <c r="JC16" s="1" cm="1">
        <f t="array" ref="JC16">_xlfn.SWITCH($A$2,"average", AVERAGE(Instances!JC16:Instances!JC16),"median", MEDIAN(Instances!JC16:Instances!JC16),"min", MIN(Instances!JC16:Instances!JC16),"max", MAX(Instances!JC16:Instances!JC16),"diff", MAX(Instances!JC16:Instances!JC16)-MIN(Instances!JC16:Instances!JC16))</f>
        <v>0</v>
      </c>
      <c r="JD16" s="1" cm="1">
        <f t="array" ref="JD16">_xlfn.SWITCH($A$2,"average", AVERAGE(Instances!JD16:Instances!JD16),"median", MEDIAN(Instances!JD16:Instances!JD16),"min", MIN(Instances!JD16:Instances!JD16),"max", MAX(Instances!JD16:Instances!JD16),"diff", MAX(Instances!JD16:Instances!JD16)-MIN(Instances!JD16:Instances!JD16))</f>
        <v>0</v>
      </c>
      <c r="JE16" s="1" cm="1">
        <f t="array" ref="JE16">_xlfn.SWITCH($A$2,"average", AVERAGE(Instances!JE16:Instances!JE16),"median", MEDIAN(Instances!JE16:Instances!JE16),"min", MIN(Instances!JE16:Instances!JE16),"max", MAX(Instances!JE16:Instances!JE16),"diff", MAX(Instances!JE16:Instances!JE16)-MIN(Instances!JE16:Instances!JE16))</f>
        <v>0</v>
      </c>
      <c r="JF16" s="1" cm="1">
        <f t="array" ref="JF16">_xlfn.SWITCH($A$2,"average", AVERAGE(Instances!JF16:Instances!JF16),"median", MEDIAN(Instances!JF16:Instances!JF16),"min", MIN(Instances!JF16:Instances!JF16),"max", MAX(Instances!JF16:Instances!JF16),"diff", MAX(Instances!JF16:Instances!JF16)-MIN(Instances!JF16:Instances!JF16))</f>
        <v>0</v>
      </c>
      <c r="JG16" s="1" cm="1">
        <f t="array" ref="JG16">_xlfn.SWITCH($A$2,"average", AVERAGE(Instances!JG16:Instances!JG16),"median", MEDIAN(Instances!JG16:Instances!JG16),"min", MIN(Instances!JG16:Instances!JG16),"max", MAX(Instances!JG16:Instances!JG16),"diff", MAX(Instances!JG16:Instances!JG16)-MIN(Instances!JG16:Instances!JG16))</f>
        <v>0</v>
      </c>
      <c r="JH16" s="1"/>
      <c r="JI16" s="1" cm="1">
        <f t="array" ref="JI16">_xlfn.SWITCH($A$2,"average", AVERAGE(Instances!JI16:Instances!JI16),"median", MEDIAN(Instances!JI16:Instances!JI16),"min", MIN(Instances!JI16:Instances!JI16),"max", MAX(Instances!JI16:Instances!JI16),"diff", MAX(Instances!JI16:Instances!JI16)-MIN(Instances!JI16:Instances!JI16))</f>
        <v>0</v>
      </c>
      <c r="JJ16" s="1" cm="1">
        <f t="array" ref="JJ16">_xlfn.SWITCH($A$2,"average", AVERAGE(Instances!JJ16:Instances!JJ16),"median", MEDIAN(Instances!JJ16:Instances!JJ16),"min", MIN(Instances!JJ16:Instances!JJ16),"max", MAX(Instances!JJ16:Instances!JJ16),"diff", MAX(Instances!JJ16:Instances!JJ16)-MIN(Instances!JJ16:Instances!JJ16))</f>
        <v>0</v>
      </c>
      <c r="JK16" s="1" cm="1">
        <f t="array" ref="JK16">_xlfn.SWITCH($A$2,"average", AVERAGE(Instances!JK16:Instances!JK16),"median", MEDIAN(Instances!JK16:Instances!JK16),"min", MIN(Instances!JK16:Instances!JK16),"max", MAX(Instances!JK16:Instances!JK16),"diff", MAX(Instances!JK16:Instances!JK16)-MIN(Instances!JK16:Instances!JK16))</f>
        <v>0</v>
      </c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 cm="1">
        <f t="array" ref="O17">_xlfn.SWITCH($A$2,"average", AVERAGE(Instances!O17:Instances!O17),"median", MEDIAN(Instances!O17:Instances!O17),"min", MIN(Instances!O17:Instances!O17),"max", MAX(Instances!O17:Instances!O17),"diff", MAX(Instances!O17:Instances!O17)-MIN(Instances!O17:Instances!O17))</f>
        <v>0</v>
      </c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 cm="1">
        <f t="array" ref="S17">_xlfn.SWITCH($A$2,"average", AVERAGE(Instances!S17:Instances!S17),"median", MEDIAN(Instances!S17:Instances!S17),"min", MIN(Instances!S17:Instances!S17),"max", MAX(Instances!S17:Instances!S17),"diff", MAX(Instances!S17:Instances!S17)-MIN(Instances!S17:Instances!S17))</f>
        <v>0</v>
      </c>
      <c r="T17" s="1" cm="1">
        <f t="array" ref="T17">_xlfn.SWITCH($A$2,"average", AVERAGE(Instances!T17:Instances!T17),"median", MEDIAN(Instances!T17:Instances!T17),"min", MIN(Instances!T17:Instances!T17),"max", MAX(Instances!T17:Instances!T17),"diff", MAX(Instances!T17:Instances!T17)-MIN(Instances!T17:Instances!T17))</f>
        <v>0</v>
      </c>
      <c r="U17" s="1" cm="1">
        <f t="array" ref="U17">_xlfn.SWITCH($A$2,"average", AVERAGE(Instances!U17:Instances!U17),"median", MEDIAN(Instances!U17:Instances!U17),"min", MIN(Instances!U17:Instances!U17),"max", MAX(Instances!U17:Instances!U17),"diff", MAX(Instances!U17:Instances!U17)-MIN(Instances!U17:Instances!U17))</f>
        <v>0</v>
      </c>
      <c r="V17" s="1" cm="1">
        <f t="array" ref="V17">_xlfn.SWITCH($A$2,"average", AVERAGE(Instances!V17:Instances!V17),"median", MEDIAN(Instances!V17:Instances!V17),"min", MIN(Instances!V17:Instances!V17),"max", MAX(Instances!V17:Instances!V17),"diff", MAX(Instances!V17:Instances!V17)-MIN(Instances!V17:Instances!V17))</f>
        <v>0</v>
      </c>
      <c r="W17" s="1" cm="1">
        <f t="array" ref="W17">_xlfn.SWITCH($A$2,"average", AVERAGE(Instances!W17:Instances!W17),"median", MEDIAN(Instances!W17:Instances!W17),"min", MIN(Instances!W17:Instances!W17),"max", MAX(Instances!W17:Instances!W17),"diff", MAX(Instances!W17:Instances!W17)-MIN(Instances!W17:Instances!W17))</f>
        <v>0</v>
      </c>
      <c r="X17" s="1" cm="1">
        <f t="array" ref="X17">_xlfn.SWITCH($A$2,"average", AVERAGE(Instances!X17:Instances!X17),"median", MEDIAN(Instances!X17:Instances!X17),"min", MIN(Instances!X17:Instances!X17),"max", MAX(Instances!X17:Instances!X17),"diff", MAX(Instances!X17:Instances!X17)-MIN(Instances!X17:Instances!X17))</f>
        <v>0</v>
      </c>
      <c r="Y17" s="1" cm="1">
        <f t="array" ref="Y17">_xlfn.SWITCH($A$2,"average", AVERAGE(Instances!Y17:Instances!Y17),"median", MEDIAN(Instances!Y17:Instances!Y17),"min", MIN(Instances!Y17:Instances!Y17),"max", MAX(Instances!Y17:Instances!Y17),"diff", MAX(Instances!Y17:Instances!Y17)-MIN(Instances!Y17:Instances!Y17))</f>
        <v>0</v>
      </c>
      <c r="Z17" s="1" cm="1">
        <f t="array" ref="Z17">_xlfn.SWITCH($A$2,"average", AVERAGE(Instances!Z17:Instances!Z17),"median", MEDIAN(Instances!Z17:Instances!Z17),"min", MIN(Instances!Z17:Instances!Z17),"max", MAX(Instances!Z17:Instances!Z17),"diff", MAX(Instances!Z17:Instances!Z17)-MIN(Instances!Z17:Instances!Z17))</f>
        <v>0</v>
      </c>
      <c r="AA17" s="1" cm="1">
        <f t="array" ref="AA17">_xlfn.SWITCH($A$2,"average", AVERAGE(Instances!AA17:Instances!AA17),"median", MEDIAN(Instances!AA17:Instances!AA17),"min", MIN(Instances!AA17:Instances!AA17),"max", MAX(Instances!AA17:Instances!AA17),"diff", MAX(Instances!AA17:Instances!AA17)-MIN(Instances!AA17:Instances!AA17))</f>
        <v>0</v>
      </c>
      <c r="AB17" s="1" cm="1">
        <f t="array" ref="AB17">_xlfn.SWITCH($A$2,"average", AVERAGE(Instances!AB17:Instances!AB17),"median", MEDIAN(Instances!AB17:Instances!AB17),"min", MIN(Instances!AB17:Instances!AB17),"max", MAX(Instances!AB17:Instances!AB17),"diff", MAX(Instances!AB17:Instances!AB17)-MIN(Instances!AB17:Instances!AB17))</f>
        <v>0</v>
      </c>
      <c r="AC17" s="1" cm="1">
        <f t="array" ref="AC17">_xlfn.SWITCH($A$2,"average", AVERAGE(Instances!AC17:Instances!AC17),"median", MEDIAN(Instances!AC17:Instances!AC17),"min", MIN(Instances!AC17:Instances!AC17),"max", MAX(Instances!AC17:Instances!AC17),"diff", MAX(Instances!AC17:Instances!AC17)-MIN(Instances!AC17:Instances!AC17))</f>
        <v>0</v>
      </c>
      <c r="AD17" s="1" cm="1">
        <f t="array" ref="AD17">_xlfn.SWITCH($A$2,"average", AVERAGE(Instances!AD17:Instances!AD17),"median", MEDIAN(Instances!AD17:Instances!AD17),"min", MIN(Instances!AD17:Instances!AD17),"max", MAX(Instances!AD17:Instances!AD17),"diff", MAX(Instances!AD17:Instances!AD17)-MIN(Instances!AD17:Instances!AD17))</f>
        <v>0</v>
      </c>
      <c r="AE17" s="1" cm="1">
        <f t="array" ref="AE17">_xlfn.SWITCH($A$2,"average", AVERAGE(Instances!AE17:Instances!AE17),"median", MEDIAN(Instances!AE17:Instances!AE17),"min", MIN(Instances!AE17:Instances!AE17),"max", MAX(Instances!AE17:Instances!AE17),"diff", MAX(Instances!AE17:Instances!AE17)-MIN(Instances!AE17:Instances!AE17))</f>
        <v>0</v>
      </c>
      <c r="AF17" s="1" cm="1">
        <f t="array" ref="AF17">_xlfn.SWITCH($A$2,"average", AVERAGE(Instances!AF17:Instances!AF17),"median", MEDIAN(Instances!AF17:Instances!AF17),"min", MIN(Instances!AF17:Instances!AF17),"max", MAX(Instances!AF17:Instances!AF17),"diff", MAX(Instances!AF17:Instances!AF17)-MIN(Instances!AF17:Instances!AF17))</f>
        <v>0</v>
      </c>
      <c r="AG17" s="1" cm="1">
        <f t="array" ref="AG17">_xlfn.SWITCH($A$2,"average", AVERAGE(Instances!AG17:Instances!AG17),"median", MEDIAN(Instances!AG17:Instances!AG17),"min", MIN(Instances!AG17:Instances!AG17),"max", MAX(Instances!AG17:Instances!AG17),"diff", MAX(Instances!AG17:Instances!AG17)-MIN(Instances!AG17:Instances!AG17))</f>
        <v>0</v>
      </c>
      <c r="AH17" s="1"/>
      <c r="AI17" s="1" cm="1">
        <f t="array" ref="AI17">_xlfn.SWITCH($A$2,"average", AVERAGE(Instances!AI17:Instances!AI17),"median", MEDIAN(Instances!AI17:Instances!AI17),"min", MIN(Instances!AI17:Instances!AI17),"max", MAX(Instances!AI17:Instances!AI17),"diff", MAX(Instances!AI17:Instances!AI17)-MIN(Instances!AI17:Instances!AI17))</f>
        <v>0</v>
      </c>
      <c r="AJ17" s="1" cm="1">
        <f t="array" ref="AJ17">_xlfn.SWITCH($A$2,"average", AVERAGE(Instances!AJ17:Instances!AJ17),"median", MEDIAN(Instances!AJ17:Instances!AJ17),"min", MIN(Instances!AJ17:Instances!AJ17),"max", MAX(Instances!AJ17:Instances!AJ17),"diff", MAX(Instances!AJ17:Instances!AJ17)-MIN(Instances!AJ17:Instances!AJ17))</f>
        <v>0</v>
      </c>
      <c r="AK17" s="1" cm="1">
        <f t="array" ref="AK17">_xlfn.SWITCH($A$2,"average", AVERAGE(Instances!AK17:Instances!AK17),"median", MEDIAN(Instances!AK17:Instances!AK17),"min", MIN(Instances!AK17:Instances!AK17),"max", MAX(Instances!AK17:Instances!AK17),"diff", MAX(Instances!AK17:Instances!AK17)-MIN(Instances!AK17:Instances!AK17))</f>
        <v>0</v>
      </c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 cm="1">
        <f t="array" ref="CN17">_xlfn.SWITCH($A$2,"average", AVERAGE(Instances!CN17:Instances!CN17),"median", MEDIAN(Instances!CN17:Instances!CN17),"min", MIN(Instances!CN17:Instances!CN17),"max", MAX(Instances!CN17:Instances!CN17),"diff", MAX(Instances!CN17:Instances!CN17)-MIN(Instances!CN17:Instances!CN17))</f>
        <v>0</v>
      </c>
      <c r="CO17" s="1" cm="1">
        <f t="array" ref="CO17">_xlfn.SWITCH($A$2,"average", AVERAGE(Instances!CO17:Instances!CO17),"median", MEDIAN(Instances!CO17:Instances!CO17),"min", MIN(Instances!CO17:Instances!CO17),"max", MAX(Instances!CO17:Instances!CO17),"diff", MAX(Instances!CO17:Instances!CO17)-MIN(Instances!CO17:Instances!CO17))</f>
        <v>0</v>
      </c>
      <c r="CP17" s="1" cm="1">
        <f t="array" ref="CP17">_xlfn.SWITCH($A$2,"average", AVERAGE(Instances!CP17:Instances!CP17),"median", MEDIAN(Instances!CP17:Instances!CP17),"min", MIN(Instances!CP17:Instances!CP17),"max", MAX(Instances!CP17:Instances!CP17),"diff", MAX(Instances!CP17:Instances!CP17)-MIN(Instances!CP17:Instances!CP17))</f>
        <v>0</v>
      </c>
      <c r="CQ17" s="1" cm="1">
        <f t="array" ref="CQ17">_xlfn.SWITCH($A$2,"average", AVERAGE(Instances!CQ17:Instances!CQ17),"median", MEDIAN(Instances!CQ17:Instances!CQ17),"min", MIN(Instances!CQ17:Instances!CQ17),"max", MAX(Instances!CQ17:Instances!CQ17),"diff", MAX(Instances!CQ17:Instances!CQ17)-MIN(Instances!CQ17:Instances!CQ17))</f>
        <v>0</v>
      </c>
      <c r="CR17" s="1" cm="1">
        <f t="array" ref="CR17">_xlfn.SWITCH($A$2,"average", AVERAGE(Instances!CR17:Instances!CR17),"median", MEDIAN(Instances!CR17:Instances!CR17),"min", MIN(Instances!CR17:Instances!CR17),"max", MAX(Instances!CR17:Instances!CR17),"diff", MAX(Instances!CR17:Instances!CR17)-MIN(Instances!CR17:Instances!CR17))</f>
        <v>0</v>
      </c>
      <c r="CS17" s="1" cm="1">
        <f t="array" ref="CS17">_xlfn.SWITCH($A$2,"average", AVERAGE(Instances!CS17:Instances!CS17),"median", MEDIAN(Instances!CS17:Instances!CS17),"min", MIN(Instances!CS17:Instances!CS17),"max", MAX(Instances!CS17:Instances!CS17),"diff", MAX(Instances!CS17:Instances!CS17)-MIN(Instances!CS17:Instances!CS17))</f>
        <v>0</v>
      </c>
      <c r="CT17" s="1" cm="1">
        <f t="array" ref="CT17">_xlfn.SWITCH($A$2,"average", AVERAGE(Instances!CT17:Instances!CT17),"median", MEDIAN(Instances!CT17:Instances!CT17),"min", MIN(Instances!CT17:Instances!CT17),"max", MAX(Instances!CT17:Instances!CT17),"diff", MAX(Instances!CT17:Instances!CT17)-MIN(Instances!CT17:Instances!CT17))</f>
        <v>0</v>
      </c>
      <c r="CU17" s="1" cm="1">
        <f t="array" ref="CU17">_xlfn.SWITCH($A$2,"average", AVERAGE(Instances!CU17:Instances!CU17),"median", MEDIAN(Instances!CU17:Instances!CU17),"min", MIN(Instances!CU17:Instances!CU17),"max", MAX(Instances!CU17:Instances!CU17),"diff", MAX(Instances!CU17:Instances!CU17)-MIN(Instances!CU17:Instances!CU17))</f>
        <v>0</v>
      </c>
      <c r="CV17" s="1" cm="1">
        <f t="array" ref="CV17">_xlfn.SWITCH($A$2,"average", AVERAGE(Instances!CV17:Instances!CV17),"median", MEDIAN(Instances!CV17:Instances!CV17),"min", MIN(Instances!CV17:Instances!CV17),"max", MAX(Instances!CV17:Instances!CV17),"diff", MAX(Instances!CV17:Instances!CV17)-MIN(Instances!CV17:Instances!CV17))</f>
        <v>0</v>
      </c>
      <c r="CW17" s="1" cm="1">
        <f t="array" ref="CW17">_xlfn.SWITCH($A$2,"average", AVERAGE(Instances!CW17:Instances!CW17),"median", MEDIAN(Instances!CW17:Instances!CW17),"min", MIN(Instances!CW17:Instances!CW17),"max", MAX(Instances!CW17:Instances!CW17),"diff", MAX(Instances!CW17:Instances!CW17)-MIN(Instances!CW17:Instances!CW17))</f>
        <v>0</v>
      </c>
      <c r="CX17" s="1" cm="1">
        <f t="array" ref="CX17">_xlfn.SWITCH($A$2,"average", AVERAGE(Instances!CX17:Instances!CX17),"median", MEDIAN(Instances!CX17:Instances!CX17),"min", MIN(Instances!CX17:Instances!CX17),"max", MAX(Instances!CX17:Instances!CX17),"diff", MAX(Instances!CX17:Instances!CX17)-MIN(Instances!CX17:Instances!CX17))</f>
        <v>0</v>
      </c>
      <c r="CY17" s="1" cm="1">
        <f t="array" ref="CY17">_xlfn.SWITCH($A$2,"average", AVERAGE(Instances!CY17:Instances!CY17),"median", MEDIAN(Instances!CY17:Instances!CY17),"min", MIN(Instances!CY17:Instances!CY17),"max", MAX(Instances!CY17:Instances!CY17),"diff", MAX(Instances!CY17:Instances!CY17)-MIN(Instances!CY17:Instances!CY17))</f>
        <v>0</v>
      </c>
      <c r="CZ17" s="1" cm="1">
        <f t="array" ref="CZ17">_xlfn.SWITCH($A$2,"average", AVERAGE(Instances!CZ17:Instances!CZ17),"median", MEDIAN(Instances!CZ17:Instances!CZ17),"min", MIN(Instances!CZ17:Instances!CZ17),"max", MAX(Instances!CZ17:Instances!CZ17),"diff", MAX(Instances!CZ17:Instances!CZ17)-MIN(Instances!CZ17:Instances!CZ17))</f>
        <v>0</v>
      </c>
      <c r="DA17" s="1" cm="1">
        <f t="array" ref="DA17">_xlfn.SWITCH($A$2,"average", AVERAGE(Instances!DA17:Instances!DA17),"median", MEDIAN(Instances!DA17:Instances!DA17),"min", MIN(Instances!DA17:Instances!DA17),"max", MAX(Instances!DA17:Instances!DA17),"diff", MAX(Instances!DA17:Instances!DA17)-MIN(Instances!DA17:Instances!DA17))</f>
        <v>0</v>
      </c>
      <c r="DB17" s="1"/>
      <c r="DC17" s="1" cm="1">
        <f t="array" ref="DC17">_xlfn.SWITCH($A$2,"average", AVERAGE(Instances!DC17:Instances!DC17),"median", MEDIAN(Instances!DC17:Instances!DC17),"min", MIN(Instances!DC17:Instances!DC17),"max", MAX(Instances!DC17:Instances!DC17),"diff", MAX(Instances!DC17:Instances!DC17)-MIN(Instances!DC17:Instances!DC17))</f>
        <v>0</v>
      </c>
      <c r="DD17" s="1" cm="1">
        <f t="array" ref="DD17">_xlfn.SWITCH($A$2,"average", AVERAGE(Instances!DD17:Instances!DD17),"median", MEDIAN(Instances!DD17:Instances!DD17),"min", MIN(Instances!DD17:Instances!DD17),"max", MAX(Instances!DD17:Instances!DD17),"diff", MAX(Instances!DD17:Instances!DD17)-MIN(Instances!DD17:Instances!DD17))</f>
        <v>0</v>
      </c>
      <c r="DE17" s="1" cm="1">
        <f t="array" ref="DE17">_xlfn.SWITCH($A$2,"average", AVERAGE(Instances!DE17:Instances!DE17),"median", MEDIAN(Instances!DE17:Instances!DE17),"min", MIN(Instances!DE17:Instances!DE17),"max", MAX(Instances!DE17:Instances!DE17),"diff", MAX(Instances!DE17:Instances!DE17)-MIN(Instances!DE17:Instances!DE17))</f>
        <v>0</v>
      </c>
      <c r="DF17" s="1" cm="1">
        <f t="array" ref="DF17">_xlfn.SWITCH($A$2,"average", AVERAGE(Instances!DF17:Instances!DF17),"median", MEDIAN(Instances!DF17:Instances!DF17),"min", MIN(Instances!DF17:Instances!DF17),"max", MAX(Instances!DF17:Instances!DF17),"diff", MAX(Instances!DF17:Instances!DF17)-MIN(Instances!DF17:Instances!DF17))</f>
        <v>0</v>
      </c>
      <c r="DG17" s="1" cm="1">
        <f t="array" ref="DG17">_xlfn.SWITCH($A$2,"average", AVERAGE(Instances!DG17:Instances!DG17),"median", MEDIAN(Instances!DG17:Instances!DG17),"min", MIN(Instances!DG17:Instances!DG17),"max", MAX(Instances!DG17:Instances!DG17),"diff", MAX(Instances!DG17:Instances!DG17)-MIN(Instances!DG17:Instances!DG17))</f>
        <v>0</v>
      </c>
      <c r="DH17" s="1" cm="1">
        <f t="array" ref="DH17">_xlfn.SWITCH($A$2,"average", AVERAGE(Instances!DH17:Instances!DH17),"median", MEDIAN(Instances!DH17:Instances!DH17),"min", MIN(Instances!DH17:Instances!DH17),"max", MAX(Instances!DH17:Instances!DH17),"diff", MAX(Instances!DH17:Instances!DH17)-MIN(Instances!DH17:Instances!DH17))</f>
        <v>0</v>
      </c>
      <c r="DI17" s="1" cm="1">
        <f t="array" ref="DI17">_xlfn.SWITCH($A$2,"average", AVERAGE(Instances!DI17:Instances!DI17),"median", MEDIAN(Instances!DI17:Instances!DI17),"min", MIN(Instances!DI17:Instances!DI17),"max", MAX(Instances!DI17:Instances!DI17),"diff", MAX(Instances!DI17:Instances!DI17)-MIN(Instances!DI17:Instances!DI17))</f>
        <v>0</v>
      </c>
      <c r="DJ17" s="1" cm="1">
        <f t="array" ref="DJ17">_xlfn.SWITCH($A$2,"average", AVERAGE(Instances!DJ17:Instances!DJ17),"median", MEDIAN(Instances!DJ17:Instances!DJ17),"min", MIN(Instances!DJ17:Instances!DJ17),"max", MAX(Instances!DJ17:Instances!DJ17),"diff", MAX(Instances!DJ17:Instances!DJ17)-MIN(Instances!DJ17:Instances!DJ17))</f>
        <v>0</v>
      </c>
      <c r="DK17" s="1" cm="1">
        <f t="array" ref="DK17">_xlfn.SWITCH($A$2,"average", AVERAGE(Instances!DK17:Instances!DK17),"median", MEDIAN(Instances!DK17:Instances!DK17),"min", MIN(Instances!DK17:Instances!DK17),"max", MAX(Instances!DK17:Instances!DK17),"diff", MAX(Instances!DK17:Instances!DK17)-MIN(Instances!DK17:Instances!DK17))</f>
        <v>0</v>
      </c>
      <c r="DL17" s="1" cm="1">
        <f t="array" ref="DL17">_xlfn.SWITCH($A$2,"average", AVERAGE(Instances!DL17:Instances!DL17),"median", MEDIAN(Instances!DL17:Instances!DL17),"min", MIN(Instances!DL17:Instances!DL17),"max", MAX(Instances!DL17:Instances!DL17),"diff", MAX(Instances!DL17:Instances!DL17)-MIN(Instances!DL17:Instances!DL17))</f>
        <v>0</v>
      </c>
      <c r="DM17" s="1" cm="1">
        <f t="array" ref="DM17">_xlfn.SWITCH($A$2,"average", AVERAGE(Instances!DM17:Instances!DM17),"median", MEDIAN(Instances!DM17:Instances!DM17),"min", MIN(Instances!DM17:Instances!DM17),"max", MAX(Instances!DM17:Instances!DM17),"diff", MAX(Instances!DM17:Instances!DM17)-MIN(Instances!DM17:Instances!DM17))</f>
        <v>0</v>
      </c>
      <c r="DN17" s="1" cm="1">
        <f t="array" ref="DN17">_xlfn.SWITCH($A$2,"average", AVERAGE(Instances!DN17:Instances!DN17),"median", MEDIAN(Instances!DN17:Instances!DN17),"min", MIN(Instances!DN17:Instances!DN17),"max", MAX(Instances!DN17:Instances!DN17),"diff", MAX(Instances!DN17:Instances!DN17)-MIN(Instances!DN17:Instances!DN17))</f>
        <v>0</v>
      </c>
      <c r="DO17" s="1" cm="1">
        <f t="array" ref="DO17">_xlfn.SWITCH($A$2,"average", AVERAGE(Instances!DO17:Instances!DO17),"median", MEDIAN(Instances!DO17:Instances!DO17),"min", MIN(Instances!DO17:Instances!DO17),"max", MAX(Instances!DO17:Instances!DO17),"diff", MAX(Instances!DO17:Instances!DO17)-MIN(Instances!DO17:Instances!DO17))</f>
        <v>0</v>
      </c>
      <c r="DP17" s="1" cm="1">
        <f t="array" ref="DP17">_xlfn.SWITCH($A$2,"average", AVERAGE(Instances!DP17:Instances!DP17),"median", MEDIAN(Instances!DP17:Instances!DP17),"min", MIN(Instances!DP17:Instances!DP17),"max", MAX(Instances!DP17:Instances!DP17),"diff", MAX(Instances!DP17:Instances!DP17)-MIN(Instances!DP17:Instances!DP17))</f>
        <v>0</v>
      </c>
      <c r="DQ17" s="1" cm="1">
        <f t="array" ref="DQ17">_xlfn.SWITCH($A$2,"average", AVERAGE(Instances!DQ17:Instances!DQ17),"median", MEDIAN(Instances!DQ17:Instances!DQ17),"min", MIN(Instances!DQ17:Instances!DQ17),"max", MAX(Instances!DQ17:Instances!DQ17),"diff", MAX(Instances!DQ17:Instances!DQ17)-MIN(Instances!DQ17:Instances!DQ17))</f>
        <v>0</v>
      </c>
      <c r="DR17" s="1" cm="1">
        <f t="array" ref="DR17">_xlfn.SWITCH($A$2,"average", AVERAGE(Instances!DR17:Instances!DR17),"median", MEDIAN(Instances!DR17:Instances!DR17),"min", MIN(Instances!DR17:Instances!DR17),"max", MAX(Instances!DR17:Instances!DR17),"diff", MAX(Instances!DR17:Instances!DR17)-MIN(Instances!DR17:Instances!DR17))</f>
        <v>0</v>
      </c>
      <c r="DS17" s="1" cm="1">
        <f t="array" ref="DS17">_xlfn.SWITCH($A$2,"average", AVERAGE(Instances!DS17:Instances!DS17),"median", MEDIAN(Instances!DS17:Instances!DS17),"min", MIN(Instances!DS17:Instances!DS17),"max", MAX(Instances!DS17:Instances!DS17),"diff", MAX(Instances!DS17:Instances!DS17)-MIN(Instances!DS17:Instances!DS17))</f>
        <v>0</v>
      </c>
      <c r="DT17" s="1"/>
      <c r="DU17" s="1" cm="1">
        <f t="array" ref="DU17">_xlfn.SWITCH($A$2,"average", AVERAGE(Instances!DU17:Instances!DU17),"median", MEDIAN(Instances!DU17:Instances!DU17),"min", MIN(Instances!DU17:Instances!DU17),"max", MAX(Instances!DU17:Instances!DU17),"diff", MAX(Instances!DU17:Instances!DU17)-MIN(Instances!DU17:Instances!DU17))</f>
        <v>0</v>
      </c>
      <c r="DV17" s="1" cm="1">
        <f t="array" ref="DV17">_xlfn.SWITCH($A$2,"average", AVERAGE(Instances!DV17:Instances!DV17),"median", MEDIAN(Instances!DV17:Instances!DV17),"min", MIN(Instances!DV17:Instances!DV17),"max", MAX(Instances!DV17:Instances!DV17),"diff", MAX(Instances!DV17:Instances!DV17)-MIN(Instances!DV17:Instances!DV17))</f>
        <v>0</v>
      </c>
      <c r="DW17" s="1" cm="1">
        <f t="array" ref="DW17">_xlfn.SWITCH($A$2,"average", AVERAGE(Instances!DW17:Instances!DW17),"median", MEDIAN(Instances!DW17:Instances!DW17),"min", MIN(Instances!DW17:Instances!DW17),"max", MAX(Instances!DW17:Instances!DW17),"diff", MAX(Instances!DW17:Instances!DW17)-MIN(Instances!DW17:Instances!DW17))</f>
        <v>0</v>
      </c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 cm="1">
        <f t="array" ref="FH17">_xlfn.SWITCH($A$2,"average", AVERAGE(Instances!FH17:Instances!FH17),"median", MEDIAN(Instances!FH17:Instances!FH17),"min", MIN(Instances!FH17:Instances!FH17),"max", MAX(Instances!FH17:Instances!FH17),"diff", MAX(Instances!FH17:Instances!FH17)-MIN(Instances!FH17:Instances!FH17))</f>
        <v>0</v>
      </c>
      <c r="FI17" s="1" cm="1">
        <f t="array" ref="FI17">_xlfn.SWITCH($A$2,"average", AVERAGE(Instances!FI17:Instances!FI17),"median", MEDIAN(Instances!FI17:Instances!FI17),"min", MIN(Instances!FI17:Instances!FI17),"max", MAX(Instances!FI17:Instances!FI17),"diff", MAX(Instances!FI17:Instances!FI17)-MIN(Instances!FI17:Instances!FI17))</f>
        <v>0</v>
      </c>
      <c r="FJ17" s="1" cm="1">
        <f t="array" ref="FJ17">_xlfn.SWITCH($A$2,"average", AVERAGE(Instances!FJ17:Instances!FJ17),"median", MEDIAN(Instances!FJ17:Instances!FJ17),"min", MIN(Instances!FJ17:Instances!FJ17),"max", MAX(Instances!FJ17:Instances!FJ17),"diff", MAX(Instances!FJ17:Instances!FJ17)-MIN(Instances!FJ17:Instances!FJ17))</f>
        <v>0</v>
      </c>
      <c r="FK17" s="1" cm="1">
        <f t="array" ref="FK17">_xlfn.SWITCH($A$2,"average", AVERAGE(Instances!FK17:Instances!FK17),"median", MEDIAN(Instances!FK17:Instances!FK17),"min", MIN(Instances!FK17:Instances!FK17),"max", MAX(Instances!FK17:Instances!FK17),"diff", MAX(Instances!FK17:Instances!FK17)-MIN(Instances!FK17:Instances!FK17))</f>
        <v>0</v>
      </c>
      <c r="FL17" s="1" cm="1">
        <f t="array" ref="FL17">_xlfn.SWITCH($A$2,"average", AVERAGE(Instances!FL17:Instances!FL17),"median", MEDIAN(Instances!FL17:Instances!FL17),"min", MIN(Instances!FL17:Instances!FL17),"max", MAX(Instances!FL17:Instances!FL17),"diff", MAX(Instances!FL17:Instances!FL17)-MIN(Instances!FL17:Instances!FL17))</f>
        <v>0</v>
      </c>
      <c r="FM17" s="1" cm="1">
        <f t="array" ref="FM17">_xlfn.SWITCH($A$2,"average", AVERAGE(Instances!FM17:Instances!FM17),"median", MEDIAN(Instances!FM17:Instances!FM17),"min", MIN(Instances!FM17:Instances!FM17),"max", MAX(Instances!FM17:Instances!FM17),"diff", MAX(Instances!FM17:Instances!FM17)-MIN(Instances!FM17:Instances!FM17))</f>
        <v>0</v>
      </c>
      <c r="FN17" s="1" cm="1">
        <f t="array" ref="FN17">_xlfn.SWITCH($A$2,"average", AVERAGE(Instances!FN17:Instances!FN17),"median", MEDIAN(Instances!FN17:Instances!FN17),"min", MIN(Instances!FN17:Instances!FN17),"max", MAX(Instances!FN17:Instances!FN17),"diff", MAX(Instances!FN17:Instances!FN17)-MIN(Instances!FN17:Instances!FN17))</f>
        <v>0</v>
      </c>
      <c r="FO17" s="1" cm="1">
        <f t="array" ref="FO17">_xlfn.SWITCH($A$2,"average", AVERAGE(Instances!FO17:Instances!FO17),"median", MEDIAN(Instances!FO17:Instances!FO17),"min", MIN(Instances!FO17:Instances!FO17),"max", MAX(Instances!FO17:Instances!FO17),"diff", MAX(Instances!FO17:Instances!FO17)-MIN(Instances!FO17:Instances!FO17))</f>
        <v>0</v>
      </c>
      <c r="FP17" s="1" cm="1">
        <f t="array" ref="FP17">_xlfn.SWITCH($A$2,"average", AVERAGE(Instances!FP17:Instances!FP17),"median", MEDIAN(Instances!FP17:Instances!FP17),"min", MIN(Instances!FP17:Instances!FP17),"max", MAX(Instances!FP17:Instances!FP17),"diff", MAX(Instances!FP17:Instances!FP17)-MIN(Instances!FP17:Instances!FP17))</f>
        <v>0</v>
      </c>
      <c r="FQ17" s="1" cm="1">
        <f t="array" ref="FQ17">_xlfn.SWITCH($A$2,"average", AVERAGE(Instances!FQ17:Instances!FQ17),"median", MEDIAN(Instances!FQ17:Instances!FQ17),"min", MIN(Instances!FQ17:Instances!FQ17),"max", MAX(Instances!FQ17:Instances!FQ17),"diff", MAX(Instances!FQ17:Instances!FQ17)-MIN(Instances!FQ17:Instances!FQ17))</f>
        <v>0</v>
      </c>
      <c r="FR17" s="1" cm="1">
        <f t="array" ref="FR17">_xlfn.SWITCH($A$2,"average", AVERAGE(Instances!FR17:Instances!FR17),"median", MEDIAN(Instances!FR17:Instances!FR17),"min", MIN(Instances!FR17:Instances!FR17),"max", MAX(Instances!FR17:Instances!FR17),"diff", MAX(Instances!FR17:Instances!FR17)-MIN(Instances!FR17:Instances!FR17))</f>
        <v>0</v>
      </c>
      <c r="FS17" s="1" cm="1">
        <f t="array" ref="FS17">_xlfn.SWITCH($A$2,"average", AVERAGE(Instances!FS17:Instances!FS17),"median", MEDIAN(Instances!FS17:Instances!FS17),"min", MIN(Instances!FS17:Instances!FS17),"max", MAX(Instances!FS17:Instances!FS17),"diff", MAX(Instances!FS17:Instances!FS17)-MIN(Instances!FS17:Instances!FS17))</f>
        <v>0</v>
      </c>
      <c r="FT17" s="1" cm="1">
        <f t="array" ref="FT17">_xlfn.SWITCH($A$2,"average", AVERAGE(Instances!FT17:Instances!FT17),"median", MEDIAN(Instances!FT17:Instances!FT17),"min", MIN(Instances!FT17:Instances!FT17),"max", MAX(Instances!FT17:Instances!FT17),"diff", MAX(Instances!FT17:Instances!FT17)-MIN(Instances!FT17:Instances!FT17))</f>
        <v>0</v>
      </c>
      <c r="FU17" s="1" cm="1">
        <f t="array" ref="FU17">_xlfn.SWITCH($A$2,"average", AVERAGE(Instances!FU17:Instances!FU17),"median", MEDIAN(Instances!FU17:Instances!FU17),"min", MIN(Instances!FU17:Instances!FU17),"max", MAX(Instances!FU17:Instances!FU17),"diff", MAX(Instances!FU17:Instances!FU17)-MIN(Instances!FU17:Instances!FU17))</f>
        <v>0</v>
      </c>
      <c r="FV17" s="1"/>
      <c r="FW17" s="1" cm="1">
        <f t="array" ref="FW17">_xlfn.SWITCH($A$2,"average", AVERAGE(Instances!FW17:Instances!FW17),"median", MEDIAN(Instances!FW17:Instances!FW17),"min", MIN(Instances!FW17:Instances!FW17),"max", MAX(Instances!FW17:Instances!FW17),"diff", MAX(Instances!FW17:Instances!FW17)-MIN(Instances!FW17:Instances!FW17))</f>
        <v>0</v>
      </c>
      <c r="FX17" s="1" cm="1">
        <f t="array" ref="FX17">_xlfn.SWITCH($A$2,"average", AVERAGE(Instances!FX17:Instances!FX17),"median", MEDIAN(Instances!FX17:Instances!FX17),"min", MIN(Instances!FX17:Instances!FX17),"max", MAX(Instances!FX17:Instances!FX17),"diff", MAX(Instances!FX17:Instances!FX17)-MIN(Instances!FX17:Instances!FX17))</f>
        <v>0</v>
      </c>
      <c r="FY17" s="1" cm="1">
        <f t="array" ref="FY17">_xlfn.SWITCH($A$2,"average", AVERAGE(Instances!FY17:Instances!FY17),"median", MEDIAN(Instances!FY17:Instances!FY17),"min", MIN(Instances!FY17:Instances!FY17),"max", MAX(Instances!FY17:Instances!FY17),"diff", MAX(Instances!FY17:Instances!FY17)-MIN(Instances!FY17:Instances!FY17))</f>
        <v>0</v>
      </c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 cm="1">
        <f t="array" ref="IB17">_xlfn.SWITCH($A$2,"average", AVERAGE(Instances!IB17:Instances!IB17),"median", MEDIAN(Instances!IB17:Instances!IB17),"min", MIN(Instances!IB17:Instances!IB17),"max", MAX(Instances!IB17:Instances!IB17),"diff", MAX(Instances!IB17:Instances!IB17)-MIN(Instances!IB17:Instances!IB17))</f>
        <v>0</v>
      </c>
      <c r="IC17" s="1" cm="1">
        <f t="array" ref="IC17">_xlfn.SWITCH($A$2,"average", AVERAGE(Instances!IC17:Instances!IC17),"median", MEDIAN(Instances!IC17:Instances!IC17),"min", MIN(Instances!IC17:Instances!IC17),"max", MAX(Instances!IC17:Instances!IC17),"diff", MAX(Instances!IC17:Instances!IC17)-MIN(Instances!IC17:Instances!IC17))</f>
        <v>0</v>
      </c>
      <c r="ID17" s="1" cm="1">
        <f t="array" ref="ID17">_xlfn.SWITCH($A$2,"average", AVERAGE(Instances!ID17:Instances!ID17),"median", MEDIAN(Instances!ID17:Instances!ID17),"min", MIN(Instances!ID17:Instances!ID17),"max", MAX(Instances!ID17:Instances!ID17),"diff", MAX(Instances!ID17:Instances!ID17)-MIN(Instances!ID17:Instances!ID17))</f>
        <v>0</v>
      </c>
      <c r="IE17" s="1" cm="1">
        <f t="array" ref="IE17">_xlfn.SWITCH($A$2,"average", AVERAGE(Instances!IE17:Instances!IE17),"median", MEDIAN(Instances!IE17:Instances!IE17),"min", MIN(Instances!IE17:Instances!IE17),"max", MAX(Instances!IE17:Instances!IE17),"diff", MAX(Instances!IE17:Instances!IE17)-MIN(Instances!IE17:Instances!IE17))</f>
        <v>0</v>
      </c>
      <c r="IF17" s="1" cm="1">
        <f t="array" ref="IF17">_xlfn.SWITCH($A$2,"average", AVERAGE(Instances!IF17:Instances!IF17),"median", MEDIAN(Instances!IF17:Instances!IF17),"min", MIN(Instances!IF17:Instances!IF17),"max", MAX(Instances!IF17:Instances!IF17),"diff", MAX(Instances!IF17:Instances!IF17)-MIN(Instances!IF17:Instances!IF17))</f>
        <v>0</v>
      </c>
      <c r="IG17" s="1" cm="1">
        <f t="array" ref="IG17">_xlfn.SWITCH($A$2,"average", AVERAGE(Instances!IG17:Instances!IG17),"median", MEDIAN(Instances!IG17:Instances!IG17),"min", MIN(Instances!IG17:Instances!IG17),"max", MAX(Instances!IG17:Instances!IG17),"diff", MAX(Instances!IG17:Instances!IG17)-MIN(Instances!IG17:Instances!IG17))</f>
        <v>0</v>
      </c>
      <c r="IH17" s="1" cm="1">
        <f t="array" ref="IH17">_xlfn.SWITCH($A$2,"average", AVERAGE(Instances!IH17:Instances!IH17),"median", MEDIAN(Instances!IH17:Instances!IH17),"min", MIN(Instances!IH17:Instances!IH17),"max", MAX(Instances!IH17:Instances!IH17),"diff", MAX(Instances!IH17:Instances!IH17)-MIN(Instances!IH17:Instances!IH17))</f>
        <v>0</v>
      </c>
      <c r="II17" s="1" cm="1">
        <f t="array" ref="II17">_xlfn.SWITCH($A$2,"average", AVERAGE(Instances!II17:Instances!II17),"median", MEDIAN(Instances!II17:Instances!II17),"min", MIN(Instances!II17:Instances!II17),"max", MAX(Instances!II17:Instances!II17),"diff", MAX(Instances!II17:Instances!II17)-MIN(Instances!II17:Instances!II17))</f>
        <v>0</v>
      </c>
      <c r="IJ17" s="1" cm="1">
        <f t="array" ref="IJ17">_xlfn.SWITCH($A$2,"average", AVERAGE(Instances!IJ17:Instances!IJ17),"median", MEDIAN(Instances!IJ17:Instances!IJ17),"min", MIN(Instances!IJ17:Instances!IJ17),"max", MAX(Instances!IJ17:Instances!IJ17),"diff", MAX(Instances!IJ17:Instances!IJ17)-MIN(Instances!IJ17:Instances!IJ17))</f>
        <v>0</v>
      </c>
      <c r="IK17" s="1" cm="1">
        <f t="array" ref="IK17">_xlfn.SWITCH($A$2,"average", AVERAGE(Instances!IK17:Instances!IK17),"median", MEDIAN(Instances!IK17:Instances!IK17),"min", MIN(Instances!IK17:Instances!IK17),"max", MAX(Instances!IK17:Instances!IK17),"diff", MAX(Instances!IK17:Instances!IK17)-MIN(Instances!IK17:Instances!IK17))</f>
        <v>0</v>
      </c>
      <c r="IL17" s="1" cm="1">
        <f t="array" ref="IL17">_xlfn.SWITCH($A$2,"average", AVERAGE(Instances!IL17:Instances!IL17),"median", MEDIAN(Instances!IL17:Instances!IL17),"min", MIN(Instances!IL17:Instances!IL17),"max", MAX(Instances!IL17:Instances!IL17),"diff", MAX(Instances!IL17:Instances!IL17)-MIN(Instances!IL17:Instances!IL17))</f>
        <v>0</v>
      </c>
      <c r="IM17" s="1" cm="1">
        <f t="array" ref="IM17">_xlfn.SWITCH($A$2,"average", AVERAGE(Instances!IM17:Instances!IM17),"median", MEDIAN(Instances!IM17:Instances!IM17),"min", MIN(Instances!IM17:Instances!IM17),"max", MAX(Instances!IM17:Instances!IM17),"diff", MAX(Instances!IM17:Instances!IM17)-MIN(Instances!IM17:Instances!IM17))</f>
        <v>0</v>
      </c>
      <c r="IN17" s="1" cm="1">
        <f t="array" ref="IN17">_xlfn.SWITCH($A$2,"average", AVERAGE(Instances!IN17:Instances!IN17),"median", MEDIAN(Instances!IN17:Instances!IN17),"min", MIN(Instances!IN17:Instances!IN17),"max", MAX(Instances!IN17:Instances!IN17),"diff", MAX(Instances!IN17:Instances!IN17)-MIN(Instances!IN17:Instances!IN17))</f>
        <v>0</v>
      </c>
      <c r="IO17" s="1" cm="1">
        <f t="array" ref="IO17">_xlfn.SWITCH($A$2,"average", AVERAGE(Instances!IO17:Instances!IO17),"median", MEDIAN(Instances!IO17:Instances!IO17),"min", MIN(Instances!IO17:Instances!IO17),"max", MAX(Instances!IO17:Instances!IO17),"diff", MAX(Instances!IO17:Instances!IO17)-MIN(Instances!IO17:Instances!IO17))</f>
        <v>0</v>
      </c>
      <c r="IP17" s="1"/>
      <c r="IQ17" s="1" cm="1">
        <f t="array" ref="IQ17">_xlfn.SWITCH($A$2,"average", AVERAGE(Instances!IQ17:Instances!IQ17),"median", MEDIAN(Instances!IQ17:Instances!IQ17),"min", MIN(Instances!IQ17:Instances!IQ17),"max", MAX(Instances!IQ17:Instances!IQ17),"diff", MAX(Instances!IQ17:Instances!IQ17)-MIN(Instances!IQ17:Instances!IQ17))</f>
        <v>0</v>
      </c>
      <c r="IR17" s="1" cm="1">
        <f t="array" ref="IR17">_xlfn.SWITCH($A$2,"average", AVERAGE(Instances!IR17:Instances!IR17),"median", MEDIAN(Instances!IR17:Instances!IR17),"min", MIN(Instances!IR17:Instances!IR17),"max", MAX(Instances!IR17:Instances!IR17),"diff", MAX(Instances!IR17:Instances!IR17)-MIN(Instances!IR17:Instances!IR17))</f>
        <v>0</v>
      </c>
      <c r="IS17" s="1" cm="1">
        <f t="array" ref="IS17">_xlfn.SWITCH($A$2,"average", AVERAGE(Instances!IS17:Instances!IS17),"median", MEDIAN(Instances!IS17:Instances!IS17),"min", MIN(Instances!IS17:Instances!IS17),"max", MAX(Instances!IS17:Instances!IS17),"diff", MAX(Instances!IS17:Instances!IS17)-MIN(Instances!IS17:Instances!IS17))</f>
        <v>0</v>
      </c>
      <c r="IT17" s="1" cm="1">
        <f t="array" ref="IT17">_xlfn.SWITCH($A$2,"average", AVERAGE(Instances!IT17:Instances!IT17),"median", MEDIAN(Instances!IT17:Instances!IT17),"min", MIN(Instances!IT17:Instances!IT17),"max", MAX(Instances!IT17:Instances!IT17),"diff", MAX(Instances!IT17:Instances!IT17)-MIN(Instances!IT17:Instances!IT17))</f>
        <v>0</v>
      </c>
      <c r="IU17" s="1" cm="1">
        <f t="array" ref="IU17">_xlfn.SWITCH($A$2,"average", AVERAGE(Instances!IU17:Instances!IU17),"median", MEDIAN(Instances!IU17:Instances!IU17),"min", MIN(Instances!IU17:Instances!IU17),"max", MAX(Instances!IU17:Instances!IU17),"diff", MAX(Instances!IU17:Instances!IU17)-MIN(Instances!IU17:Instances!IU17))</f>
        <v>0</v>
      </c>
      <c r="IV17" s="1" cm="1">
        <f t="array" ref="IV17">_xlfn.SWITCH($A$2,"average", AVERAGE(Instances!IV17:Instances!IV17),"median", MEDIAN(Instances!IV17:Instances!IV17),"min", MIN(Instances!IV17:Instances!IV17),"max", MAX(Instances!IV17:Instances!IV17),"diff", MAX(Instances!IV17:Instances!IV17)-MIN(Instances!IV17:Instances!IV17))</f>
        <v>0</v>
      </c>
      <c r="IW17" s="1" cm="1">
        <f t="array" ref="IW17">_xlfn.SWITCH($A$2,"average", AVERAGE(Instances!IW17:Instances!IW17),"median", MEDIAN(Instances!IW17:Instances!IW17),"min", MIN(Instances!IW17:Instances!IW17),"max", MAX(Instances!IW17:Instances!IW17),"diff", MAX(Instances!IW17:Instances!IW17)-MIN(Instances!IW17:Instances!IW17))</f>
        <v>0</v>
      </c>
      <c r="IX17" s="1" cm="1">
        <f t="array" ref="IX17">_xlfn.SWITCH($A$2,"average", AVERAGE(Instances!IX17:Instances!IX17),"median", MEDIAN(Instances!IX17:Instances!IX17),"min", MIN(Instances!IX17:Instances!IX17),"max", MAX(Instances!IX17:Instances!IX17),"diff", MAX(Instances!IX17:Instances!IX17)-MIN(Instances!IX17:Instances!IX17))</f>
        <v>0</v>
      </c>
      <c r="IY17" s="1" cm="1">
        <f t="array" ref="IY17">_xlfn.SWITCH($A$2,"average", AVERAGE(Instances!IY17:Instances!IY17),"median", MEDIAN(Instances!IY17:Instances!IY17),"min", MIN(Instances!IY17:Instances!IY17),"max", MAX(Instances!IY17:Instances!IY17),"diff", MAX(Instances!IY17:Instances!IY17)-MIN(Instances!IY17:Instances!IY17))</f>
        <v>0</v>
      </c>
      <c r="IZ17" s="1" cm="1">
        <f t="array" ref="IZ17">_xlfn.SWITCH($A$2,"average", AVERAGE(Instances!IZ17:Instances!IZ17),"median", MEDIAN(Instances!IZ17:Instances!IZ17),"min", MIN(Instances!IZ17:Instances!IZ17),"max", MAX(Instances!IZ17:Instances!IZ17),"diff", MAX(Instances!IZ17:Instances!IZ17)-MIN(Instances!IZ17:Instances!IZ17))</f>
        <v>0</v>
      </c>
      <c r="JA17" s="1" cm="1">
        <f t="array" ref="JA17">_xlfn.SWITCH($A$2,"average", AVERAGE(Instances!JA17:Instances!JA17),"median", MEDIAN(Instances!JA17:Instances!JA17),"min", MIN(Instances!JA17:Instances!JA17),"max", MAX(Instances!JA17:Instances!JA17),"diff", MAX(Instances!JA17:Instances!JA17)-MIN(Instances!JA17:Instances!JA17))</f>
        <v>0</v>
      </c>
      <c r="JB17" s="1" cm="1">
        <f t="array" ref="JB17">_xlfn.SWITCH($A$2,"average", AVERAGE(Instances!JB17:Instances!JB17),"median", MEDIAN(Instances!JB17:Instances!JB17),"min", MIN(Instances!JB17:Instances!JB17),"max", MAX(Instances!JB17:Instances!JB17),"diff", MAX(Instances!JB17:Instances!JB17)-MIN(Instances!JB17:Instances!JB17))</f>
        <v>0</v>
      </c>
      <c r="JC17" s="1" cm="1">
        <f t="array" ref="JC17">_xlfn.SWITCH($A$2,"average", AVERAGE(Instances!JC17:Instances!JC17),"median", MEDIAN(Instances!JC17:Instances!JC17),"min", MIN(Instances!JC17:Instances!JC17),"max", MAX(Instances!JC17:Instances!JC17),"diff", MAX(Instances!JC17:Instances!JC17)-MIN(Instances!JC17:Instances!JC17))</f>
        <v>0</v>
      </c>
      <c r="JD17" s="1" cm="1">
        <f t="array" ref="JD17">_xlfn.SWITCH($A$2,"average", AVERAGE(Instances!JD17:Instances!JD17),"median", MEDIAN(Instances!JD17:Instances!JD17),"min", MIN(Instances!JD17:Instances!JD17),"max", MAX(Instances!JD17:Instances!JD17),"diff", MAX(Instances!JD17:Instances!JD17)-MIN(Instances!JD17:Instances!JD17))</f>
        <v>0</v>
      </c>
      <c r="JE17" s="1" cm="1">
        <f t="array" ref="JE17">_xlfn.SWITCH($A$2,"average", AVERAGE(Instances!JE17:Instances!JE17),"median", MEDIAN(Instances!JE17:Instances!JE17),"min", MIN(Instances!JE17:Instances!JE17),"max", MAX(Instances!JE17:Instances!JE17),"diff", MAX(Instances!JE17:Instances!JE17)-MIN(Instances!JE17:Instances!JE17))</f>
        <v>0</v>
      </c>
      <c r="JF17" s="1" cm="1">
        <f t="array" ref="JF17">_xlfn.SWITCH($A$2,"average", AVERAGE(Instances!JF17:Instances!JF17),"median", MEDIAN(Instances!JF17:Instances!JF17),"min", MIN(Instances!JF17:Instances!JF17),"max", MAX(Instances!JF17:Instances!JF17),"diff", MAX(Instances!JF17:Instances!JF17)-MIN(Instances!JF17:Instances!JF17))</f>
        <v>0</v>
      </c>
      <c r="JG17" s="1" cm="1">
        <f t="array" ref="JG17">_xlfn.SWITCH($A$2,"average", AVERAGE(Instances!JG17:Instances!JG17),"median", MEDIAN(Instances!JG17:Instances!JG17),"min", MIN(Instances!JG17:Instances!JG17),"max", MAX(Instances!JG17:Instances!JG17),"diff", MAX(Instances!JG17:Instances!JG17)-MIN(Instances!JG17:Instances!JG17))</f>
        <v>0</v>
      </c>
      <c r="JH17" s="1"/>
      <c r="JI17" s="1" cm="1">
        <f t="array" ref="JI17">_xlfn.SWITCH($A$2,"average", AVERAGE(Instances!JI17:Instances!JI17),"median", MEDIAN(Instances!JI17:Instances!JI17),"min", MIN(Instances!JI17:Instances!JI17),"max", MAX(Instances!JI17:Instances!JI17),"diff", MAX(Instances!JI17:Instances!JI17)-MIN(Instances!JI17:Instances!JI17))</f>
        <v>0</v>
      </c>
      <c r="JJ17" s="1" cm="1">
        <f t="array" ref="JJ17">_xlfn.SWITCH($A$2,"average", AVERAGE(Instances!JJ17:Instances!JJ17),"median", MEDIAN(Instances!JJ17:Instances!JJ17),"min", MIN(Instances!JJ17:Instances!JJ17),"max", MAX(Instances!JJ17:Instances!JJ17),"diff", MAX(Instances!JJ17:Instances!JJ17)-MIN(Instances!JJ17:Instances!JJ17))</f>
        <v>0</v>
      </c>
      <c r="JK17" s="1" cm="1">
        <f t="array" ref="JK17">_xlfn.SWITCH($A$2,"average", AVERAGE(Instances!JK17:Instances!JK17),"median", MEDIAN(Instances!JK17:Instances!JK17),"min", MIN(Instances!JK17:Instances!JK17),"max", MAX(Instances!JK17:Instances!JK17),"diff", MAX(Instances!JK17:Instances!JK17)-MIN(Instances!JK17:Instances!JK17))</f>
        <v>0</v>
      </c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 cm="1">
        <f t="array" ref="O18">_xlfn.SWITCH($A$2,"average", AVERAGE(Instances!O18:Instances!O18),"median", MEDIAN(Instances!O18:Instances!O18),"min", MIN(Instances!O18:Instances!O18),"max", MAX(Instances!O18:Instances!O18),"diff", MAX(Instances!O18:Instances!O18)-MIN(Instances!O18:Instances!O18))</f>
        <v>0</v>
      </c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 cm="1">
        <f t="array" ref="S18">_xlfn.SWITCH($A$2,"average", AVERAGE(Instances!S18:Instances!S18),"median", MEDIAN(Instances!S18:Instances!S18),"min", MIN(Instances!S18:Instances!S18),"max", MAX(Instances!S18:Instances!S18),"diff", MAX(Instances!S18:Instances!S18)-MIN(Instances!S18:Instances!S18))</f>
        <v>0</v>
      </c>
      <c r="T18" s="1" cm="1">
        <f t="array" ref="T18">_xlfn.SWITCH($A$2,"average", AVERAGE(Instances!T18:Instances!T18),"median", MEDIAN(Instances!T18:Instances!T18),"min", MIN(Instances!T18:Instances!T18),"max", MAX(Instances!T18:Instances!T18),"diff", MAX(Instances!T18:Instances!T18)-MIN(Instances!T18:Instances!T18))</f>
        <v>0</v>
      </c>
      <c r="U18" s="1" cm="1">
        <f t="array" ref="U18">_xlfn.SWITCH($A$2,"average", AVERAGE(Instances!U18:Instances!U18),"median", MEDIAN(Instances!U18:Instances!U18),"min", MIN(Instances!U18:Instances!U18),"max", MAX(Instances!U18:Instances!U18),"diff", MAX(Instances!U18:Instances!U18)-MIN(Instances!U18:Instances!U18))</f>
        <v>0</v>
      </c>
      <c r="V18" s="1" cm="1">
        <f t="array" ref="V18">_xlfn.SWITCH($A$2,"average", AVERAGE(Instances!V18:Instances!V18),"median", MEDIAN(Instances!V18:Instances!V18),"min", MIN(Instances!V18:Instances!V18),"max", MAX(Instances!V18:Instances!V18),"diff", MAX(Instances!V18:Instances!V18)-MIN(Instances!V18:Instances!V18))</f>
        <v>0</v>
      </c>
      <c r="W18" s="1" cm="1">
        <f t="array" ref="W18">_xlfn.SWITCH($A$2,"average", AVERAGE(Instances!W18:Instances!W18),"median", MEDIAN(Instances!W18:Instances!W18),"min", MIN(Instances!W18:Instances!W18),"max", MAX(Instances!W18:Instances!W18),"diff", MAX(Instances!W18:Instances!W18)-MIN(Instances!W18:Instances!W18))</f>
        <v>0</v>
      </c>
      <c r="X18" s="1" cm="1">
        <f t="array" ref="X18">_xlfn.SWITCH($A$2,"average", AVERAGE(Instances!X18:Instances!X18),"median", MEDIAN(Instances!X18:Instances!X18),"min", MIN(Instances!X18:Instances!X18),"max", MAX(Instances!X18:Instances!X18),"diff", MAX(Instances!X18:Instances!X18)-MIN(Instances!X18:Instances!X18))</f>
        <v>0</v>
      </c>
      <c r="Y18" s="1" cm="1">
        <f t="array" ref="Y18">_xlfn.SWITCH($A$2,"average", AVERAGE(Instances!Y18:Instances!Y18),"median", MEDIAN(Instances!Y18:Instances!Y18),"min", MIN(Instances!Y18:Instances!Y18),"max", MAX(Instances!Y18:Instances!Y18),"diff", MAX(Instances!Y18:Instances!Y18)-MIN(Instances!Y18:Instances!Y18))</f>
        <v>0</v>
      </c>
      <c r="Z18" s="1" cm="1">
        <f t="array" ref="Z18">_xlfn.SWITCH($A$2,"average", AVERAGE(Instances!Z18:Instances!Z18),"median", MEDIAN(Instances!Z18:Instances!Z18),"min", MIN(Instances!Z18:Instances!Z18),"max", MAX(Instances!Z18:Instances!Z18),"diff", MAX(Instances!Z18:Instances!Z18)-MIN(Instances!Z18:Instances!Z18))</f>
        <v>0</v>
      </c>
      <c r="AA18" s="1" cm="1">
        <f t="array" ref="AA18">_xlfn.SWITCH($A$2,"average", AVERAGE(Instances!AA18:Instances!AA18),"median", MEDIAN(Instances!AA18:Instances!AA18),"min", MIN(Instances!AA18:Instances!AA18),"max", MAX(Instances!AA18:Instances!AA18),"diff", MAX(Instances!AA18:Instances!AA18)-MIN(Instances!AA18:Instances!AA18))</f>
        <v>0</v>
      </c>
      <c r="AB18" s="1" cm="1">
        <f t="array" ref="AB18">_xlfn.SWITCH($A$2,"average", AVERAGE(Instances!AB18:Instances!AB18),"median", MEDIAN(Instances!AB18:Instances!AB18),"min", MIN(Instances!AB18:Instances!AB18),"max", MAX(Instances!AB18:Instances!AB18),"diff", MAX(Instances!AB18:Instances!AB18)-MIN(Instances!AB18:Instances!AB18))</f>
        <v>0</v>
      </c>
      <c r="AC18" s="1" cm="1">
        <f t="array" ref="AC18">_xlfn.SWITCH($A$2,"average", AVERAGE(Instances!AC18:Instances!AC18),"median", MEDIAN(Instances!AC18:Instances!AC18),"min", MIN(Instances!AC18:Instances!AC18),"max", MAX(Instances!AC18:Instances!AC18),"diff", MAX(Instances!AC18:Instances!AC18)-MIN(Instances!AC18:Instances!AC18))</f>
        <v>0</v>
      </c>
      <c r="AD18" s="1" cm="1">
        <f t="array" ref="AD18">_xlfn.SWITCH($A$2,"average", AVERAGE(Instances!AD18:Instances!AD18),"median", MEDIAN(Instances!AD18:Instances!AD18),"min", MIN(Instances!AD18:Instances!AD18),"max", MAX(Instances!AD18:Instances!AD18),"diff", MAX(Instances!AD18:Instances!AD18)-MIN(Instances!AD18:Instances!AD18))</f>
        <v>0</v>
      </c>
      <c r="AE18" s="1" cm="1">
        <f t="array" ref="AE18">_xlfn.SWITCH($A$2,"average", AVERAGE(Instances!AE18:Instances!AE18),"median", MEDIAN(Instances!AE18:Instances!AE18),"min", MIN(Instances!AE18:Instances!AE18),"max", MAX(Instances!AE18:Instances!AE18),"diff", MAX(Instances!AE18:Instances!AE18)-MIN(Instances!AE18:Instances!AE18))</f>
        <v>0</v>
      </c>
      <c r="AF18" s="1" cm="1">
        <f t="array" ref="AF18">_xlfn.SWITCH($A$2,"average", AVERAGE(Instances!AF18:Instances!AF18),"median", MEDIAN(Instances!AF18:Instances!AF18),"min", MIN(Instances!AF18:Instances!AF18),"max", MAX(Instances!AF18:Instances!AF18),"diff", MAX(Instances!AF18:Instances!AF18)-MIN(Instances!AF18:Instances!AF18))</f>
        <v>0</v>
      </c>
      <c r="AG18" s="1" cm="1">
        <f t="array" ref="AG18">_xlfn.SWITCH($A$2,"average", AVERAGE(Instances!AG18:Instances!AG18),"median", MEDIAN(Instances!AG18:Instances!AG18),"min", MIN(Instances!AG18:Instances!AG18),"max", MAX(Instances!AG18:Instances!AG18),"diff", MAX(Instances!AG18:Instances!AG18)-MIN(Instances!AG18:Instances!AG18))</f>
        <v>0</v>
      </c>
      <c r="AH18" s="1"/>
      <c r="AI18" s="1" cm="1">
        <f t="array" ref="AI18">_xlfn.SWITCH($A$2,"average", AVERAGE(Instances!AI18:Instances!AI18),"median", MEDIAN(Instances!AI18:Instances!AI18),"min", MIN(Instances!AI18:Instances!AI18),"max", MAX(Instances!AI18:Instances!AI18),"diff", MAX(Instances!AI18:Instances!AI18)-MIN(Instances!AI18:Instances!AI18))</f>
        <v>0</v>
      </c>
      <c r="AJ18" s="1" cm="1">
        <f t="array" ref="AJ18">_xlfn.SWITCH($A$2,"average", AVERAGE(Instances!AJ18:Instances!AJ18),"median", MEDIAN(Instances!AJ18:Instances!AJ18),"min", MIN(Instances!AJ18:Instances!AJ18),"max", MAX(Instances!AJ18:Instances!AJ18),"diff", MAX(Instances!AJ18:Instances!AJ18)-MIN(Instances!AJ18:Instances!AJ18))</f>
        <v>0</v>
      </c>
      <c r="AK18" s="1" cm="1">
        <f t="array" ref="AK18">_xlfn.SWITCH($A$2,"average", AVERAGE(Instances!AK18:Instances!AK18),"median", MEDIAN(Instances!AK18:Instances!AK18),"min", MIN(Instances!AK18:Instances!AK18),"max", MAX(Instances!AK18:Instances!AK18),"diff", MAX(Instances!AK18:Instances!AK18)-MIN(Instances!AK18:Instances!AK18))</f>
        <v>0</v>
      </c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 cm="1">
        <f t="array" ref="CN18">_xlfn.SWITCH($A$2,"average", AVERAGE(Instances!CN18:Instances!CN18),"median", MEDIAN(Instances!CN18:Instances!CN18),"min", MIN(Instances!CN18:Instances!CN18),"max", MAX(Instances!CN18:Instances!CN18),"diff", MAX(Instances!CN18:Instances!CN18)-MIN(Instances!CN18:Instances!CN18))</f>
        <v>0</v>
      </c>
      <c r="CO18" s="1" cm="1">
        <f t="array" ref="CO18">_xlfn.SWITCH($A$2,"average", AVERAGE(Instances!CO18:Instances!CO18),"median", MEDIAN(Instances!CO18:Instances!CO18),"min", MIN(Instances!CO18:Instances!CO18),"max", MAX(Instances!CO18:Instances!CO18),"diff", MAX(Instances!CO18:Instances!CO18)-MIN(Instances!CO18:Instances!CO18))</f>
        <v>0</v>
      </c>
      <c r="CP18" s="1" cm="1">
        <f t="array" ref="CP18">_xlfn.SWITCH($A$2,"average", AVERAGE(Instances!CP18:Instances!CP18),"median", MEDIAN(Instances!CP18:Instances!CP18),"min", MIN(Instances!CP18:Instances!CP18),"max", MAX(Instances!CP18:Instances!CP18),"diff", MAX(Instances!CP18:Instances!CP18)-MIN(Instances!CP18:Instances!CP18))</f>
        <v>0</v>
      </c>
      <c r="CQ18" s="1" cm="1">
        <f t="array" ref="CQ18">_xlfn.SWITCH($A$2,"average", AVERAGE(Instances!CQ18:Instances!CQ18),"median", MEDIAN(Instances!CQ18:Instances!CQ18),"min", MIN(Instances!CQ18:Instances!CQ18),"max", MAX(Instances!CQ18:Instances!CQ18),"diff", MAX(Instances!CQ18:Instances!CQ18)-MIN(Instances!CQ18:Instances!CQ18))</f>
        <v>0</v>
      </c>
      <c r="CR18" s="1" cm="1">
        <f t="array" ref="CR18">_xlfn.SWITCH($A$2,"average", AVERAGE(Instances!CR18:Instances!CR18),"median", MEDIAN(Instances!CR18:Instances!CR18),"min", MIN(Instances!CR18:Instances!CR18),"max", MAX(Instances!CR18:Instances!CR18),"diff", MAX(Instances!CR18:Instances!CR18)-MIN(Instances!CR18:Instances!CR18))</f>
        <v>0</v>
      </c>
      <c r="CS18" s="1" cm="1">
        <f t="array" ref="CS18">_xlfn.SWITCH($A$2,"average", AVERAGE(Instances!CS18:Instances!CS18),"median", MEDIAN(Instances!CS18:Instances!CS18),"min", MIN(Instances!CS18:Instances!CS18),"max", MAX(Instances!CS18:Instances!CS18),"diff", MAX(Instances!CS18:Instances!CS18)-MIN(Instances!CS18:Instances!CS18))</f>
        <v>0</v>
      </c>
      <c r="CT18" s="1" cm="1">
        <f t="array" ref="CT18">_xlfn.SWITCH($A$2,"average", AVERAGE(Instances!CT18:Instances!CT18),"median", MEDIAN(Instances!CT18:Instances!CT18),"min", MIN(Instances!CT18:Instances!CT18),"max", MAX(Instances!CT18:Instances!CT18),"diff", MAX(Instances!CT18:Instances!CT18)-MIN(Instances!CT18:Instances!CT18))</f>
        <v>0</v>
      </c>
      <c r="CU18" s="1" cm="1">
        <f t="array" ref="CU18">_xlfn.SWITCH($A$2,"average", AVERAGE(Instances!CU18:Instances!CU18),"median", MEDIAN(Instances!CU18:Instances!CU18),"min", MIN(Instances!CU18:Instances!CU18),"max", MAX(Instances!CU18:Instances!CU18),"diff", MAX(Instances!CU18:Instances!CU18)-MIN(Instances!CU18:Instances!CU18))</f>
        <v>0</v>
      </c>
      <c r="CV18" s="1" cm="1">
        <f t="array" ref="CV18">_xlfn.SWITCH($A$2,"average", AVERAGE(Instances!CV18:Instances!CV18),"median", MEDIAN(Instances!CV18:Instances!CV18),"min", MIN(Instances!CV18:Instances!CV18),"max", MAX(Instances!CV18:Instances!CV18),"diff", MAX(Instances!CV18:Instances!CV18)-MIN(Instances!CV18:Instances!CV18))</f>
        <v>0</v>
      </c>
      <c r="CW18" s="1" cm="1">
        <f t="array" ref="CW18">_xlfn.SWITCH($A$2,"average", AVERAGE(Instances!CW18:Instances!CW18),"median", MEDIAN(Instances!CW18:Instances!CW18),"min", MIN(Instances!CW18:Instances!CW18),"max", MAX(Instances!CW18:Instances!CW18),"diff", MAX(Instances!CW18:Instances!CW18)-MIN(Instances!CW18:Instances!CW18))</f>
        <v>0</v>
      </c>
      <c r="CX18" s="1" cm="1">
        <f t="array" ref="CX18">_xlfn.SWITCH($A$2,"average", AVERAGE(Instances!CX18:Instances!CX18),"median", MEDIAN(Instances!CX18:Instances!CX18),"min", MIN(Instances!CX18:Instances!CX18),"max", MAX(Instances!CX18:Instances!CX18),"diff", MAX(Instances!CX18:Instances!CX18)-MIN(Instances!CX18:Instances!CX18))</f>
        <v>0</v>
      </c>
      <c r="CY18" s="1" cm="1">
        <f t="array" ref="CY18">_xlfn.SWITCH($A$2,"average", AVERAGE(Instances!CY18:Instances!CY18),"median", MEDIAN(Instances!CY18:Instances!CY18),"min", MIN(Instances!CY18:Instances!CY18),"max", MAX(Instances!CY18:Instances!CY18),"diff", MAX(Instances!CY18:Instances!CY18)-MIN(Instances!CY18:Instances!CY18))</f>
        <v>0</v>
      </c>
      <c r="CZ18" s="1" cm="1">
        <f t="array" ref="CZ18">_xlfn.SWITCH($A$2,"average", AVERAGE(Instances!CZ18:Instances!CZ18),"median", MEDIAN(Instances!CZ18:Instances!CZ18),"min", MIN(Instances!CZ18:Instances!CZ18),"max", MAX(Instances!CZ18:Instances!CZ18),"diff", MAX(Instances!CZ18:Instances!CZ18)-MIN(Instances!CZ18:Instances!CZ18))</f>
        <v>0</v>
      </c>
      <c r="DA18" s="1" cm="1">
        <f t="array" ref="DA18">_xlfn.SWITCH($A$2,"average", AVERAGE(Instances!DA18:Instances!DA18),"median", MEDIAN(Instances!DA18:Instances!DA18),"min", MIN(Instances!DA18:Instances!DA18),"max", MAX(Instances!DA18:Instances!DA18),"diff", MAX(Instances!DA18:Instances!DA18)-MIN(Instances!DA18:Instances!DA18))</f>
        <v>0</v>
      </c>
      <c r="DB18" s="1"/>
      <c r="DC18" s="1" cm="1">
        <f t="array" ref="DC18">_xlfn.SWITCH($A$2,"average", AVERAGE(Instances!DC18:Instances!DC18),"median", MEDIAN(Instances!DC18:Instances!DC18),"min", MIN(Instances!DC18:Instances!DC18),"max", MAX(Instances!DC18:Instances!DC18),"diff", MAX(Instances!DC18:Instances!DC18)-MIN(Instances!DC18:Instances!DC18))</f>
        <v>0</v>
      </c>
      <c r="DD18" s="1" cm="1">
        <f t="array" ref="DD18">_xlfn.SWITCH($A$2,"average", AVERAGE(Instances!DD18:Instances!DD18),"median", MEDIAN(Instances!DD18:Instances!DD18),"min", MIN(Instances!DD18:Instances!DD18),"max", MAX(Instances!DD18:Instances!DD18),"diff", MAX(Instances!DD18:Instances!DD18)-MIN(Instances!DD18:Instances!DD18))</f>
        <v>0</v>
      </c>
      <c r="DE18" s="1" cm="1">
        <f t="array" ref="DE18">_xlfn.SWITCH($A$2,"average", AVERAGE(Instances!DE18:Instances!DE18),"median", MEDIAN(Instances!DE18:Instances!DE18),"min", MIN(Instances!DE18:Instances!DE18),"max", MAX(Instances!DE18:Instances!DE18),"diff", MAX(Instances!DE18:Instances!DE18)-MIN(Instances!DE18:Instances!DE18))</f>
        <v>0</v>
      </c>
      <c r="DF18" s="1" cm="1">
        <f t="array" ref="DF18">_xlfn.SWITCH($A$2,"average", AVERAGE(Instances!DF18:Instances!DF18),"median", MEDIAN(Instances!DF18:Instances!DF18),"min", MIN(Instances!DF18:Instances!DF18),"max", MAX(Instances!DF18:Instances!DF18),"diff", MAX(Instances!DF18:Instances!DF18)-MIN(Instances!DF18:Instances!DF18))</f>
        <v>0</v>
      </c>
      <c r="DG18" s="1" cm="1">
        <f t="array" ref="DG18">_xlfn.SWITCH($A$2,"average", AVERAGE(Instances!DG18:Instances!DG18),"median", MEDIAN(Instances!DG18:Instances!DG18),"min", MIN(Instances!DG18:Instances!DG18),"max", MAX(Instances!DG18:Instances!DG18),"diff", MAX(Instances!DG18:Instances!DG18)-MIN(Instances!DG18:Instances!DG18))</f>
        <v>0</v>
      </c>
      <c r="DH18" s="1" cm="1">
        <f t="array" ref="DH18">_xlfn.SWITCH($A$2,"average", AVERAGE(Instances!DH18:Instances!DH18),"median", MEDIAN(Instances!DH18:Instances!DH18),"min", MIN(Instances!DH18:Instances!DH18),"max", MAX(Instances!DH18:Instances!DH18),"diff", MAX(Instances!DH18:Instances!DH18)-MIN(Instances!DH18:Instances!DH18))</f>
        <v>0</v>
      </c>
      <c r="DI18" s="1" cm="1">
        <f t="array" ref="DI18">_xlfn.SWITCH($A$2,"average", AVERAGE(Instances!DI18:Instances!DI18),"median", MEDIAN(Instances!DI18:Instances!DI18),"min", MIN(Instances!DI18:Instances!DI18),"max", MAX(Instances!DI18:Instances!DI18),"diff", MAX(Instances!DI18:Instances!DI18)-MIN(Instances!DI18:Instances!DI18))</f>
        <v>0</v>
      </c>
      <c r="DJ18" s="1" cm="1">
        <f t="array" ref="DJ18">_xlfn.SWITCH($A$2,"average", AVERAGE(Instances!DJ18:Instances!DJ18),"median", MEDIAN(Instances!DJ18:Instances!DJ18),"min", MIN(Instances!DJ18:Instances!DJ18),"max", MAX(Instances!DJ18:Instances!DJ18),"diff", MAX(Instances!DJ18:Instances!DJ18)-MIN(Instances!DJ18:Instances!DJ18))</f>
        <v>0</v>
      </c>
      <c r="DK18" s="1" cm="1">
        <f t="array" ref="DK18">_xlfn.SWITCH($A$2,"average", AVERAGE(Instances!DK18:Instances!DK18),"median", MEDIAN(Instances!DK18:Instances!DK18),"min", MIN(Instances!DK18:Instances!DK18),"max", MAX(Instances!DK18:Instances!DK18),"diff", MAX(Instances!DK18:Instances!DK18)-MIN(Instances!DK18:Instances!DK18))</f>
        <v>0</v>
      </c>
      <c r="DL18" s="1" cm="1">
        <f t="array" ref="DL18">_xlfn.SWITCH($A$2,"average", AVERAGE(Instances!DL18:Instances!DL18),"median", MEDIAN(Instances!DL18:Instances!DL18),"min", MIN(Instances!DL18:Instances!DL18),"max", MAX(Instances!DL18:Instances!DL18),"diff", MAX(Instances!DL18:Instances!DL18)-MIN(Instances!DL18:Instances!DL18))</f>
        <v>0</v>
      </c>
      <c r="DM18" s="1" cm="1">
        <f t="array" ref="DM18">_xlfn.SWITCH($A$2,"average", AVERAGE(Instances!DM18:Instances!DM18),"median", MEDIAN(Instances!DM18:Instances!DM18),"min", MIN(Instances!DM18:Instances!DM18),"max", MAX(Instances!DM18:Instances!DM18),"diff", MAX(Instances!DM18:Instances!DM18)-MIN(Instances!DM18:Instances!DM18))</f>
        <v>0</v>
      </c>
      <c r="DN18" s="1" cm="1">
        <f t="array" ref="DN18">_xlfn.SWITCH($A$2,"average", AVERAGE(Instances!DN18:Instances!DN18),"median", MEDIAN(Instances!DN18:Instances!DN18),"min", MIN(Instances!DN18:Instances!DN18),"max", MAX(Instances!DN18:Instances!DN18),"diff", MAX(Instances!DN18:Instances!DN18)-MIN(Instances!DN18:Instances!DN18))</f>
        <v>0</v>
      </c>
      <c r="DO18" s="1" cm="1">
        <f t="array" ref="DO18">_xlfn.SWITCH($A$2,"average", AVERAGE(Instances!DO18:Instances!DO18),"median", MEDIAN(Instances!DO18:Instances!DO18),"min", MIN(Instances!DO18:Instances!DO18),"max", MAX(Instances!DO18:Instances!DO18),"diff", MAX(Instances!DO18:Instances!DO18)-MIN(Instances!DO18:Instances!DO18))</f>
        <v>0</v>
      </c>
      <c r="DP18" s="1" cm="1">
        <f t="array" ref="DP18">_xlfn.SWITCH($A$2,"average", AVERAGE(Instances!DP18:Instances!DP18),"median", MEDIAN(Instances!DP18:Instances!DP18),"min", MIN(Instances!DP18:Instances!DP18),"max", MAX(Instances!DP18:Instances!DP18),"diff", MAX(Instances!DP18:Instances!DP18)-MIN(Instances!DP18:Instances!DP18))</f>
        <v>0</v>
      </c>
      <c r="DQ18" s="1" cm="1">
        <f t="array" ref="DQ18">_xlfn.SWITCH($A$2,"average", AVERAGE(Instances!DQ18:Instances!DQ18),"median", MEDIAN(Instances!DQ18:Instances!DQ18),"min", MIN(Instances!DQ18:Instances!DQ18),"max", MAX(Instances!DQ18:Instances!DQ18),"diff", MAX(Instances!DQ18:Instances!DQ18)-MIN(Instances!DQ18:Instances!DQ18))</f>
        <v>0</v>
      </c>
      <c r="DR18" s="1" cm="1">
        <f t="array" ref="DR18">_xlfn.SWITCH($A$2,"average", AVERAGE(Instances!DR18:Instances!DR18),"median", MEDIAN(Instances!DR18:Instances!DR18),"min", MIN(Instances!DR18:Instances!DR18),"max", MAX(Instances!DR18:Instances!DR18),"diff", MAX(Instances!DR18:Instances!DR18)-MIN(Instances!DR18:Instances!DR18))</f>
        <v>0</v>
      </c>
      <c r="DS18" s="1" cm="1">
        <f t="array" ref="DS18">_xlfn.SWITCH($A$2,"average", AVERAGE(Instances!DS18:Instances!DS18),"median", MEDIAN(Instances!DS18:Instances!DS18),"min", MIN(Instances!DS18:Instances!DS18),"max", MAX(Instances!DS18:Instances!DS18),"diff", MAX(Instances!DS18:Instances!DS18)-MIN(Instances!DS18:Instances!DS18))</f>
        <v>0</v>
      </c>
      <c r="DT18" s="1"/>
      <c r="DU18" s="1" cm="1">
        <f t="array" ref="DU18">_xlfn.SWITCH($A$2,"average", AVERAGE(Instances!DU18:Instances!DU18),"median", MEDIAN(Instances!DU18:Instances!DU18),"min", MIN(Instances!DU18:Instances!DU18),"max", MAX(Instances!DU18:Instances!DU18),"diff", MAX(Instances!DU18:Instances!DU18)-MIN(Instances!DU18:Instances!DU18))</f>
        <v>0</v>
      </c>
      <c r="DV18" s="1" cm="1">
        <f t="array" ref="DV18">_xlfn.SWITCH($A$2,"average", AVERAGE(Instances!DV18:Instances!DV18),"median", MEDIAN(Instances!DV18:Instances!DV18),"min", MIN(Instances!DV18:Instances!DV18),"max", MAX(Instances!DV18:Instances!DV18),"diff", MAX(Instances!DV18:Instances!DV18)-MIN(Instances!DV18:Instances!DV18))</f>
        <v>0</v>
      </c>
      <c r="DW18" s="1" cm="1">
        <f t="array" ref="DW18">_xlfn.SWITCH($A$2,"average", AVERAGE(Instances!DW18:Instances!DW18),"median", MEDIAN(Instances!DW18:Instances!DW18),"min", MIN(Instances!DW18:Instances!DW18),"max", MAX(Instances!DW18:Instances!DW18),"diff", MAX(Instances!DW18:Instances!DW18)-MIN(Instances!DW18:Instances!DW18))</f>
        <v>0</v>
      </c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 cm="1">
        <f t="array" ref="FH18">_xlfn.SWITCH($A$2,"average", AVERAGE(Instances!FH18:Instances!FH18),"median", MEDIAN(Instances!FH18:Instances!FH18),"min", MIN(Instances!FH18:Instances!FH18),"max", MAX(Instances!FH18:Instances!FH18),"diff", MAX(Instances!FH18:Instances!FH18)-MIN(Instances!FH18:Instances!FH18))</f>
        <v>0</v>
      </c>
      <c r="FI18" s="1" cm="1">
        <f t="array" ref="FI18">_xlfn.SWITCH($A$2,"average", AVERAGE(Instances!FI18:Instances!FI18),"median", MEDIAN(Instances!FI18:Instances!FI18),"min", MIN(Instances!FI18:Instances!FI18),"max", MAX(Instances!FI18:Instances!FI18),"diff", MAX(Instances!FI18:Instances!FI18)-MIN(Instances!FI18:Instances!FI18))</f>
        <v>0</v>
      </c>
      <c r="FJ18" s="1" cm="1">
        <f t="array" ref="FJ18">_xlfn.SWITCH($A$2,"average", AVERAGE(Instances!FJ18:Instances!FJ18),"median", MEDIAN(Instances!FJ18:Instances!FJ18),"min", MIN(Instances!FJ18:Instances!FJ18),"max", MAX(Instances!FJ18:Instances!FJ18),"diff", MAX(Instances!FJ18:Instances!FJ18)-MIN(Instances!FJ18:Instances!FJ18))</f>
        <v>0</v>
      </c>
      <c r="FK18" s="1" cm="1">
        <f t="array" ref="FK18">_xlfn.SWITCH($A$2,"average", AVERAGE(Instances!FK18:Instances!FK18),"median", MEDIAN(Instances!FK18:Instances!FK18),"min", MIN(Instances!FK18:Instances!FK18),"max", MAX(Instances!FK18:Instances!FK18),"diff", MAX(Instances!FK18:Instances!FK18)-MIN(Instances!FK18:Instances!FK18))</f>
        <v>0</v>
      </c>
      <c r="FL18" s="1" cm="1">
        <f t="array" ref="FL18">_xlfn.SWITCH($A$2,"average", AVERAGE(Instances!FL18:Instances!FL18),"median", MEDIAN(Instances!FL18:Instances!FL18),"min", MIN(Instances!FL18:Instances!FL18),"max", MAX(Instances!FL18:Instances!FL18),"diff", MAX(Instances!FL18:Instances!FL18)-MIN(Instances!FL18:Instances!FL18))</f>
        <v>0</v>
      </c>
      <c r="FM18" s="1" cm="1">
        <f t="array" ref="FM18">_xlfn.SWITCH($A$2,"average", AVERAGE(Instances!FM18:Instances!FM18),"median", MEDIAN(Instances!FM18:Instances!FM18),"min", MIN(Instances!FM18:Instances!FM18),"max", MAX(Instances!FM18:Instances!FM18),"diff", MAX(Instances!FM18:Instances!FM18)-MIN(Instances!FM18:Instances!FM18))</f>
        <v>0</v>
      </c>
      <c r="FN18" s="1" cm="1">
        <f t="array" ref="FN18">_xlfn.SWITCH($A$2,"average", AVERAGE(Instances!FN18:Instances!FN18),"median", MEDIAN(Instances!FN18:Instances!FN18),"min", MIN(Instances!FN18:Instances!FN18),"max", MAX(Instances!FN18:Instances!FN18),"diff", MAX(Instances!FN18:Instances!FN18)-MIN(Instances!FN18:Instances!FN18))</f>
        <v>0</v>
      </c>
      <c r="FO18" s="1" cm="1">
        <f t="array" ref="FO18">_xlfn.SWITCH($A$2,"average", AVERAGE(Instances!FO18:Instances!FO18),"median", MEDIAN(Instances!FO18:Instances!FO18),"min", MIN(Instances!FO18:Instances!FO18),"max", MAX(Instances!FO18:Instances!FO18),"diff", MAX(Instances!FO18:Instances!FO18)-MIN(Instances!FO18:Instances!FO18))</f>
        <v>0</v>
      </c>
      <c r="FP18" s="1" cm="1">
        <f t="array" ref="FP18">_xlfn.SWITCH($A$2,"average", AVERAGE(Instances!FP18:Instances!FP18),"median", MEDIAN(Instances!FP18:Instances!FP18),"min", MIN(Instances!FP18:Instances!FP18),"max", MAX(Instances!FP18:Instances!FP18),"diff", MAX(Instances!FP18:Instances!FP18)-MIN(Instances!FP18:Instances!FP18))</f>
        <v>0</v>
      </c>
      <c r="FQ18" s="1" cm="1">
        <f t="array" ref="FQ18">_xlfn.SWITCH($A$2,"average", AVERAGE(Instances!FQ18:Instances!FQ18),"median", MEDIAN(Instances!FQ18:Instances!FQ18),"min", MIN(Instances!FQ18:Instances!FQ18),"max", MAX(Instances!FQ18:Instances!FQ18),"diff", MAX(Instances!FQ18:Instances!FQ18)-MIN(Instances!FQ18:Instances!FQ18))</f>
        <v>0</v>
      </c>
      <c r="FR18" s="1" cm="1">
        <f t="array" ref="FR18">_xlfn.SWITCH($A$2,"average", AVERAGE(Instances!FR18:Instances!FR18),"median", MEDIAN(Instances!FR18:Instances!FR18),"min", MIN(Instances!FR18:Instances!FR18),"max", MAX(Instances!FR18:Instances!FR18),"diff", MAX(Instances!FR18:Instances!FR18)-MIN(Instances!FR18:Instances!FR18))</f>
        <v>0</v>
      </c>
      <c r="FS18" s="1" cm="1">
        <f t="array" ref="FS18">_xlfn.SWITCH($A$2,"average", AVERAGE(Instances!FS18:Instances!FS18),"median", MEDIAN(Instances!FS18:Instances!FS18),"min", MIN(Instances!FS18:Instances!FS18),"max", MAX(Instances!FS18:Instances!FS18),"diff", MAX(Instances!FS18:Instances!FS18)-MIN(Instances!FS18:Instances!FS18))</f>
        <v>0</v>
      </c>
      <c r="FT18" s="1" cm="1">
        <f t="array" ref="FT18">_xlfn.SWITCH($A$2,"average", AVERAGE(Instances!FT18:Instances!FT18),"median", MEDIAN(Instances!FT18:Instances!FT18),"min", MIN(Instances!FT18:Instances!FT18),"max", MAX(Instances!FT18:Instances!FT18),"diff", MAX(Instances!FT18:Instances!FT18)-MIN(Instances!FT18:Instances!FT18))</f>
        <v>0</v>
      </c>
      <c r="FU18" s="1" cm="1">
        <f t="array" ref="FU18">_xlfn.SWITCH($A$2,"average", AVERAGE(Instances!FU18:Instances!FU18),"median", MEDIAN(Instances!FU18:Instances!FU18),"min", MIN(Instances!FU18:Instances!FU18),"max", MAX(Instances!FU18:Instances!FU18),"diff", MAX(Instances!FU18:Instances!FU18)-MIN(Instances!FU18:Instances!FU18))</f>
        <v>0</v>
      </c>
      <c r="FV18" s="1"/>
      <c r="FW18" s="1" cm="1">
        <f t="array" ref="FW18">_xlfn.SWITCH($A$2,"average", AVERAGE(Instances!FW18:Instances!FW18),"median", MEDIAN(Instances!FW18:Instances!FW18),"min", MIN(Instances!FW18:Instances!FW18),"max", MAX(Instances!FW18:Instances!FW18),"diff", MAX(Instances!FW18:Instances!FW18)-MIN(Instances!FW18:Instances!FW18))</f>
        <v>0</v>
      </c>
      <c r="FX18" s="1" cm="1">
        <f t="array" ref="FX18">_xlfn.SWITCH($A$2,"average", AVERAGE(Instances!FX18:Instances!FX18),"median", MEDIAN(Instances!FX18:Instances!FX18),"min", MIN(Instances!FX18:Instances!FX18),"max", MAX(Instances!FX18:Instances!FX18),"diff", MAX(Instances!FX18:Instances!FX18)-MIN(Instances!FX18:Instances!FX18))</f>
        <v>0</v>
      </c>
      <c r="FY18" s="1" cm="1">
        <f t="array" ref="FY18">_xlfn.SWITCH($A$2,"average", AVERAGE(Instances!FY18:Instances!FY18),"median", MEDIAN(Instances!FY18:Instances!FY18),"min", MIN(Instances!FY18:Instances!FY18),"max", MAX(Instances!FY18:Instances!FY18),"diff", MAX(Instances!FY18:Instances!FY18)-MIN(Instances!FY18:Instances!FY18))</f>
        <v>0</v>
      </c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 cm="1">
        <f t="array" ref="IB18">_xlfn.SWITCH($A$2,"average", AVERAGE(Instances!IB18:Instances!IB18),"median", MEDIAN(Instances!IB18:Instances!IB18),"min", MIN(Instances!IB18:Instances!IB18),"max", MAX(Instances!IB18:Instances!IB18),"diff", MAX(Instances!IB18:Instances!IB18)-MIN(Instances!IB18:Instances!IB18))</f>
        <v>0</v>
      </c>
      <c r="IC18" s="1" cm="1">
        <f t="array" ref="IC18">_xlfn.SWITCH($A$2,"average", AVERAGE(Instances!IC18:Instances!IC18),"median", MEDIAN(Instances!IC18:Instances!IC18),"min", MIN(Instances!IC18:Instances!IC18),"max", MAX(Instances!IC18:Instances!IC18),"diff", MAX(Instances!IC18:Instances!IC18)-MIN(Instances!IC18:Instances!IC18))</f>
        <v>0</v>
      </c>
      <c r="ID18" s="1" cm="1">
        <f t="array" ref="ID18">_xlfn.SWITCH($A$2,"average", AVERAGE(Instances!ID18:Instances!ID18),"median", MEDIAN(Instances!ID18:Instances!ID18),"min", MIN(Instances!ID18:Instances!ID18),"max", MAX(Instances!ID18:Instances!ID18),"diff", MAX(Instances!ID18:Instances!ID18)-MIN(Instances!ID18:Instances!ID18))</f>
        <v>0</v>
      </c>
      <c r="IE18" s="1" cm="1">
        <f t="array" ref="IE18">_xlfn.SWITCH($A$2,"average", AVERAGE(Instances!IE18:Instances!IE18),"median", MEDIAN(Instances!IE18:Instances!IE18),"min", MIN(Instances!IE18:Instances!IE18),"max", MAX(Instances!IE18:Instances!IE18),"diff", MAX(Instances!IE18:Instances!IE18)-MIN(Instances!IE18:Instances!IE18))</f>
        <v>0</v>
      </c>
      <c r="IF18" s="1" cm="1">
        <f t="array" ref="IF18">_xlfn.SWITCH($A$2,"average", AVERAGE(Instances!IF18:Instances!IF18),"median", MEDIAN(Instances!IF18:Instances!IF18),"min", MIN(Instances!IF18:Instances!IF18),"max", MAX(Instances!IF18:Instances!IF18),"diff", MAX(Instances!IF18:Instances!IF18)-MIN(Instances!IF18:Instances!IF18))</f>
        <v>0</v>
      </c>
      <c r="IG18" s="1" cm="1">
        <f t="array" ref="IG18">_xlfn.SWITCH($A$2,"average", AVERAGE(Instances!IG18:Instances!IG18),"median", MEDIAN(Instances!IG18:Instances!IG18),"min", MIN(Instances!IG18:Instances!IG18),"max", MAX(Instances!IG18:Instances!IG18),"diff", MAX(Instances!IG18:Instances!IG18)-MIN(Instances!IG18:Instances!IG18))</f>
        <v>0</v>
      </c>
      <c r="IH18" s="1" cm="1">
        <f t="array" ref="IH18">_xlfn.SWITCH($A$2,"average", AVERAGE(Instances!IH18:Instances!IH18),"median", MEDIAN(Instances!IH18:Instances!IH18),"min", MIN(Instances!IH18:Instances!IH18),"max", MAX(Instances!IH18:Instances!IH18),"diff", MAX(Instances!IH18:Instances!IH18)-MIN(Instances!IH18:Instances!IH18))</f>
        <v>0</v>
      </c>
      <c r="II18" s="1" cm="1">
        <f t="array" ref="II18">_xlfn.SWITCH($A$2,"average", AVERAGE(Instances!II18:Instances!II18),"median", MEDIAN(Instances!II18:Instances!II18),"min", MIN(Instances!II18:Instances!II18),"max", MAX(Instances!II18:Instances!II18),"diff", MAX(Instances!II18:Instances!II18)-MIN(Instances!II18:Instances!II18))</f>
        <v>0</v>
      </c>
      <c r="IJ18" s="1" cm="1">
        <f t="array" ref="IJ18">_xlfn.SWITCH($A$2,"average", AVERAGE(Instances!IJ18:Instances!IJ18),"median", MEDIAN(Instances!IJ18:Instances!IJ18),"min", MIN(Instances!IJ18:Instances!IJ18),"max", MAX(Instances!IJ18:Instances!IJ18),"diff", MAX(Instances!IJ18:Instances!IJ18)-MIN(Instances!IJ18:Instances!IJ18))</f>
        <v>0</v>
      </c>
      <c r="IK18" s="1" cm="1">
        <f t="array" ref="IK18">_xlfn.SWITCH($A$2,"average", AVERAGE(Instances!IK18:Instances!IK18),"median", MEDIAN(Instances!IK18:Instances!IK18),"min", MIN(Instances!IK18:Instances!IK18),"max", MAX(Instances!IK18:Instances!IK18),"diff", MAX(Instances!IK18:Instances!IK18)-MIN(Instances!IK18:Instances!IK18))</f>
        <v>0</v>
      </c>
      <c r="IL18" s="1" cm="1">
        <f t="array" ref="IL18">_xlfn.SWITCH($A$2,"average", AVERAGE(Instances!IL18:Instances!IL18),"median", MEDIAN(Instances!IL18:Instances!IL18),"min", MIN(Instances!IL18:Instances!IL18),"max", MAX(Instances!IL18:Instances!IL18),"diff", MAX(Instances!IL18:Instances!IL18)-MIN(Instances!IL18:Instances!IL18))</f>
        <v>0</v>
      </c>
      <c r="IM18" s="1" cm="1">
        <f t="array" ref="IM18">_xlfn.SWITCH($A$2,"average", AVERAGE(Instances!IM18:Instances!IM18),"median", MEDIAN(Instances!IM18:Instances!IM18),"min", MIN(Instances!IM18:Instances!IM18),"max", MAX(Instances!IM18:Instances!IM18),"diff", MAX(Instances!IM18:Instances!IM18)-MIN(Instances!IM18:Instances!IM18))</f>
        <v>0</v>
      </c>
      <c r="IN18" s="1" cm="1">
        <f t="array" ref="IN18">_xlfn.SWITCH($A$2,"average", AVERAGE(Instances!IN18:Instances!IN18),"median", MEDIAN(Instances!IN18:Instances!IN18),"min", MIN(Instances!IN18:Instances!IN18),"max", MAX(Instances!IN18:Instances!IN18),"diff", MAX(Instances!IN18:Instances!IN18)-MIN(Instances!IN18:Instances!IN18))</f>
        <v>0</v>
      </c>
      <c r="IO18" s="1" cm="1">
        <f t="array" ref="IO18">_xlfn.SWITCH($A$2,"average", AVERAGE(Instances!IO18:Instances!IO18),"median", MEDIAN(Instances!IO18:Instances!IO18),"min", MIN(Instances!IO18:Instances!IO18),"max", MAX(Instances!IO18:Instances!IO18),"diff", MAX(Instances!IO18:Instances!IO18)-MIN(Instances!IO18:Instances!IO18))</f>
        <v>0</v>
      </c>
      <c r="IP18" s="1"/>
      <c r="IQ18" s="1" cm="1">
        <f t="array" ref="IQ18">_xlfn.SWITCH($A$2,"average", AVERAGE(Instances!IQ18:Instances!IQ18),"median", MEDIAN(Instances!IQ18:Instances!IQ18),"min", MIN(Instances!IQ18:Instances!IQ18),"max", MAX(Instances!IQ18:Instances!IQ18),"diff", MAX(Instances!IQ18:Instances!IQ18)-MIN(Instances!IQ18:Instances!IQ18))</f>
        <v>0</v>
      </c>
      <c r="IR18" s="1" cm="1">
        <f t="array" ref="IR18">_xlfn.SWITCH($A$2,"average", AVERAGE(Instances!IR18:Instances!IR18),"median", MEDIAN(Instances!IR18:Instances!IR18),"min", MIN(Instances!IR18:Instances!IR18),"max", MAX(Instances!IR18:Instances!IR18),"diff", MAX(Instances!IR18:Instances!IR18)-MIN(Instances!IR18:Instances!IR18))</f>
        <v>0</v>
      </c>
      <c r="IS18" s="1" cm="1">
        <f t="array" ref="IS18">_xlfn.SWITCH($A$2,"average", AVERAGE(Instances!IS18:Instances!IS18),"median", MEDIAN(Instances!IS18:Instances!IS18),"min", MIN(Instances!IS18:Instances!IS18),"max", MAX(Instances!IS18:Instances!IS18),"diff", MAX(Instances!IS18:Instances!IS18)-MIN(Instances!IS18:Instances!IS18))</f>
        <v>0</v>
      </c>
      <c r="IT18" s="1" cm="1">
        <f t="array" ref="IT18">_xlfn.SWITCH($A$2,"average", AVERAGE(Instances!IT18:Instances!IT18),"median", MEDIAN(Instances!IT18:Instances!IT18),"min", MIN(Instances!IT18:Instances!IT18),"max", MAX(Instances!IT18:Instances!IT18),"diff", MAX(Instances!IT18:Instances!IT18)-MIN(Instances!IT18:Instances!IT18))</f>
        <v>0</v>
      </c>
      <c r="IU18" s="1" cm="1">
        <f t="array" ref="IU18">_xlfn.SWITCH($A$2,"average", AVERAGE(Instances!IU18:Instances!IU18),"median", MEDIAN(Instances!IU18:Instances!IU18),"min", MIN(Instances!IU18:Instances!IU18),"max", MAX(Instances!IU18:Instances!IU18),"diff", MAX(Instances!IU18:Instances!IU18)-MIN(Instances!IU18:Instances!IU18))</f>
        <v>0</v>
      </c>
      <c r="IV18" s="1" cm="1">
        <f t="array" ref="IV18">_xlfn.SWITCH($A$2,"average", AVERAGE(Instances!IV18:Instances!IV18),"median", MEDIAN(Instances!IV18:Instances!IV18),"min", MIN(Instances!IV18:Instances!IV18),"max", MAX(Instances!IV18:Instances!IV18),"diff", MAX(Instances!IV18:Instances!IV18)-MIN(Instances!IV18:Instances!IV18))</f>
        <v>0</v>
      </c>
      <c r="IW18" s="1" cm="1">
        <f t="array" ref="IW18">_xlfn.SWITCH($A$2,"average", AVERAGE(Instances!IW18:Instances!IW18),"median", MEDIAN(Instances!IW18:Instances!IW18),"min", MIN(Instances!IW18:Instances!IW18),"max", MAX(Instances!IW18:Instances!IW18),"diff", MAX(Instances!IW18:Instances!IW18)-MIN(Instances!IW18:Instances!IW18))</f>
        <v>0</v>
      </c>
      <c r="IX18" s="1" cm="1">
        <f t="array" ref="IX18">_xlfn.SWITCH($A$2,"average", AVERAGE(Instances!IX18:Instances!IX18),"median", MEDIAN(Instances!IX18:Instances!IX18),"min", MIN(Instances!IX18:Instances!IX18),"max", MAX(Instances!IX18:Instances!IX18),"diff", MAX(Instances!IX18:Instances!IX18)-MIN(Instances!IX18:Instances!IX18))</f>
        <v>0</v>
      </c>
      <c r="IY18" s="1" cm="1">
        <f t="array" ref="IY18">_xlfn.SWITCH($A$2,"average", AVERAGE(Instances!IY18:Instances!IY18),"median", MEDIAN(Instances!IY18:Instances!IY18),"min", MIN(Instances!IY18:Instances!IY18),"max", MAX(Instances!IY18:Instances!IY18),"diff", MAX(Instances!IY18:Instances!IY18)-MIN(Instances!IY18:Instances!IY18))</f>
        <v>0</v>
      </c>
      <c r="IZ18" s="1" cm="1">
        <f t="array" ref="IZ18">_xlfn.SWITCH($A$2,"average", AVERAGE(Instances!IZ18:Instances!IZ18),"median", MEDIAN(Instances!IZ18:Instances!IZ18),"min", MIN(Instances!IZ18:Instances!IZ18),"max", MAX(Instances!IZ18:Instances!IZ18),"diff", MAX(Instances!IZ18:Instances!IZ18)-MIN(Instances!IZ18:Instances!IZ18))</f>
        <v>0</v>
      </c>
      <c r="JA18" s="1" cm="1">
        <f t="array" ref="JA18">_xlfn.SWITCH($A$2,"average", AVERAGE(Instances!JA18:Instances!JA18),"median", MEDIAN(Instances!JA18:Instances!JA18),"min", MIN(Instances!JA18:Instances!JA18),"max", MAX(Instances!JA18:Instances!JA18),"diff", MAX(Instances!JA18:Instances!JA18)-MIN(Instances!JA18:Instances!JA18))</f>
        <v>0</v>
      </c>
      <c r="JB18" s="1" cm="1">
        <f t="array" ref="JB18">_xlfn.SWITCH($A$2,"average", AVERAGE(Instances!JB18:Instances!JB18),"median", MEDIAN(Instances!JB18:Instances!JB18),"min", MIN(Instances!JB18:Instances!JB18),"max", MAX(Instances!JB18:Instances!JB18),"diff", MAX(Instances!JB18:Instances!JB18)-MIN(Instances!JB18:Instances!JB18))</f>
        <v>0</v>
      </c>
      <c r="JC18" s="1" cm="1">
        <f t="array" ref="JC18">_xlfn.SWITCH($A$2,"average", AVERAGE(Instances!JC18:Instances!JC18),"median", MEDIAN(Instances!JC18:Instances!JC18),"min", MIN(Instances!JC18:Instances!JC18),"max", MAX(Instances!JC18:Instances!JC18),"diff", MAX(Instances!JC18:Instances!JC18)-MIN(Instances!JC18:Instances!JC18))</f>
        <v>0</v>
      </c>
      <c r="JD18" s="1" cm="1">
        <f t="array" ref="JD18">_xlfn.SWITCH($A$2,"average", AVERAGE(Instances!JD18:Instances!JD18),"median", MEDIAN(Instances!JD18:Instances!JD18),"min", MIN(Instances!JD18:Instances!JD18),"max", MAX(Instances!JD18:Instances!JD18),"diff", MAX(Instances!JD18:Instances!JD18)-MIN(Instances!JD18:Instances!JD18))</f>
        <v>0</v>
      </c>
      <c r="JE18" s="1" cm="1">
        <f t="array" ref="JE18">_xlfn.SWITCH($A$2,"average", AVERAGE(Instances!JE18:Instances!JE18),"median", MEDIAN(Instances!JE18:Instances!JE18),"min", MIN(Instances!JE18:Instances!JE18),"max", MAX(Instances!JE18:Instances!JE18),"diff", MAX(Instances!JE18:Instances!JE18)-MIN(Instances!JE18:Instances!JE18))</f>
        <v>0</v>
      </c>
      <c r="JF18" s="1" cm="1">
        <f t="array" ref="JF18">_xlfn.SWITCH($A$2,"average", AVERAGE(Instances!JF18:Instances!JF18),"median", MEDIAN(Instances!JF18:Instances!JF18),"min", MIN(Instances!JF18:Instances!JF18),"max", MAX(Instances!JF18:Instances!JF18),"diff", MAX(Instances!JF18:Instances!JF18)-MIN(Instances!JF18:Instances!JF18))</f>
        <v>0</v>
      </c>
      <c r="JG18" s="1" cm="1">
        <f t="array" ref="JG18">_xlfn.SWITCH($A$2,"average", AVERAGE(Instances!JG18:Instances!JG18),"median", MEDIAN(Instances!JG18:Instances!JG18),"min", MIN(Instances!JG18:Instances!JG18),"max", MAX(Instances!JG18:Instances!JG18),"diff", MAX(Instances!JG18:Instances!JG18)-MIN(Instances!JG18:Instances!JG18))</f>
        <v>0</v>
      </c>
      <c r="JH18" s="1"/>
      <c r="JI18" s="1" cm="1">
        <f t="array" ref="JI18">_xlfn.SWITCH($A$2,"average", AVERAGE(Instances!JI18:Instances!JI18),"median", MEDIAN(Instances!JI18:Instances!JI18),"min", MIN(Instances!JI18:Instances!JI18),"max", MAX(Instances!JI18:Instances!JI18),"diff", MAX(Instances!JI18:Instances!JI18)-MIN(Instances!JI18:Instances!JI18))</f>
        <v>0</v>
      </c>
      <c r="JJ18" s="1" cm="1">
        <f t="array" ref="JJ18">_xlfn.SWITCH($A$2,"average", AVERAGE(Instances!JJ18:Instances!JJ18),"median", MEDIAN(Instances!JJ18:Instances!JJ18),"min", MIN(Instances!JJ18:Instances!JJ18),"max", MAX(Instances!JJ18:Instances!JJ18),"diff", MAX(Instances!JJ18:Instances!JJ18)-MIN(Instances!JJ18:Instances!JJ18))</f>
        <v>0</v>
      </c>
      <c r="JK18" s="1" cm="1">
        <f t="array" ref="JK18">_xlfn.SWITCH($A$2,"average", AVERAGE(Instances!JK18:Instances!JK18),"median", MEDIAN(Instances!JK18:Instances!JK18),"min", MIN(Instances!JK18:Instances!JK18),"max", MAX(Instances!JK18:Instances!JK18),"diff", MAX(Instances!JK18:Instances!JK18)-MIN(Instances!JK18:Instances!JK18))</f>
        <v>0</v>
      </c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 cm="1">
        <f t="array" ref="O19">_xlfn.SWITCH($A$2,"average", AVERAGE(Instances!O19:Instances!O19),"median", MEDIAN(Instances!O19:Instances!O19),"min", MIN(Instances!O19:Instances!O19),"max", MAX(Instances!O19:Instances!O19),"diff", MAX(Instances!O19:Instances!O19)-MIN(Instances!O19:Instances!O19))</f>
        <v>0</v>
      </c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 cm="1">
        <f t="array" ref="S19">_xlfn.SWITCH($A$2,"average", AVERAGE(Instances!S19:Instances!S19),"median", MEDIAN(Instances!S19:Instances!S19),"min", MIN(Instances!S19:Instances!S19),"max", MAX(Instances!S19:Instances!S19),"diff", MAX(Instances!S19:Instances!S19)-MIN(Instances!S19:Instances!S19))</f>
        <v>0</v>
      </c>
      <c r="T19" s="1" cm="1">
        <f t="array" ref="T19">_xlfn.SWITCH($A$2,"average", AVERAGE(Instances!T19:Instances!T19),"median", MEDIAN(Instances!T19:Instances!T19),"min", MIN(Instances!T19:Instances!T19),"max", MAX(Instances!T19:Instances!T19),"diff", MAX(Instances!T19:Instances!T19)-MIN(Instances!T19:Instances!T19))</f>
        <v>0</v>
      </c>
      <c r="U19" s="1" cm="1">
        <f t="array" ref="U19">_xlfn.SWITCH($A$2,"average", AVERAGE(Instances!U19:Instances!U19),"median", MEDIAN(Instances!U19:Instances!U19),"min", MIN(Instances!U19:Instances!U19),"max", MAX(Instances!U19:Instances!U19),"diff", MAX(Instances!U19:Instances!U19)-MIN(Instances!U19:Instances!U19))</f>
        <v>0</v>
      </c>
      <c r="V19" s="1" cm="1">
        <f t="array" ref="V19">_xlfn.SWITCH($A$2,"average", AVERAGE(Instances!V19:Instances!V19),"median", MEDIAN(Instances!V19:Instances!V19),"min", MIN(Instances!V19:Instances!V19),"max", MAX(Instances!V19:Instances!V19),"diff", MAX(Instances!V19:Instances!V19)-MIN(Instances!V19:Instances!V19))</f>
        <v>0</v>
      </c>
      <c r="W19" s="1" cm="1">
        <f t="array" ref="W19">_xlfn.SWITCH($A$2,"average", AVERAGE(Instances!W19:Instances!W19),"median", MEDIAN(Instances!W19:Instances!W19),"min", MIN(Instances!W19:Instances!W19),"max", MAX(Instances!W19:Instances!W19),"diff", MAX(Instances!W19:Instances!W19)-MIN(Instances!W19:Instances!W19))</f>
        <v>0</v>
      </c>
      <c r="X19" s="1" cm="1">
        <f t="array" ref="X19">_xlfn.SWITCH($A$2,"average", AVERAGE(Instances!X19:Instances!X19),"median", MEDIAN(Instances!X19:Instances!X19),"min", MIN(Instances!X19:Instances!X19),"max", MAX(Instances!X19:Instances!X19),"diff", MAX(Instances!X19:Instances!X19)-MIN(Instances!X19:Instances!X19))</f>
        <v>0</v>
      </c>
      <c r="Y19" s="1" cm="1">
        <f t="array" ref="Y19">_xlfn.SWITCH($A$2,"average", AVERAGE(Instances!Y19:Instances!Y19),"median", MEDIAN(Instances!Y19:Instances!Y19),"min", MIN(Instances!Y19:Instances!Y19),"max", MAX(Instances!Y19:Instances!Y19),"diff", MAX(Instances!Y19:Instances!Y19)-MIN(Instances!Y19:Instances!Y19))</f>
        <v>0</v>
      </c>
      <c r="Z19" s="1" cm="1">
        <f t="array" ref="Z19">_xlfn.SWITCH($A$2,"average", AVERAGE(Instances!Z19:Instances!Z19),"median", MEDIAN(Instances!Z19:Instances!Z19),"min", MIN(Instances!Z19:Instances!Z19),"max", MAX(Instances!Z19:Instances!Z19),"diff", MAX(Instances!Z19:Instances!Z19)-MIN(Instances!Z19:Instances!Z19))</f>
        <v>0</v>
      </c>
      <c r="AA19" s="1" cm="1">
        <f t="array" ref="AA19">_xlfn.SWITCH($A$2,"average", AVERAGE(Instances!AA19:Instances!AA19),"median", MEDIAN(Instances!AA19:Instances!AA19),"min", MIN(Instances!AA19:Instances!AA19),"max", MAX(Instances!AA19:Instances!AA19),"diff", MAX(Instances!AA19:Instances!AA19)-MIN(Instances!AA19:Instances!AA19))</f>
        <v>0</v>
      </c>
      <c r="AB19" s="1" cm="1">
        <f t="array" ref="AB19">_xlfn.SWITCH($A$2,"average", AVERAGE(Instances!AB19:Instances!AB19),"median", MEDIAN(Instances!AB19:Instances!AB19),"min", MIN(Instances!AB19:Instances!AB19),"max", MAX(Instances!AB19:Instances!AB19),"diff", MAX(Instances!AB19:Instances!AB19)-MIN(Instances!AB19:Instances!AB19))</f>
        <v>0</v>
      </c>
      <c r="AC19" s="1" cm="1">
        <f t="array" ref="AC19">_xlfn.SWITCH($A$2,"average", AVERAGE(Instances!AC19:Instances!AC19),"median", MEDIAN(Instances!AC19:Instances!AC19),"min", MIN(Instances!AC19:Instances!AC19),"max", MAX(Instances!AC19:Instances!AC19),"diff", MAX(Instances!AC19:Instances!AC19)-MIN(Instances!AC19:Instances!AC19))</f>
        <v>0</v>
      </c>
      <c r="AD19" s="1" cm="1">
        <f t="array" ref="AD19">_xlfn.SWITCH($A$2,"average", AVERAGE(Instances!AD19:Instances!AD19),"median", MEDIAN(Instances!AD19:Instances!AD19),"min", MIN(Instances!AD19:Instances!AD19),"max", MAX(Instances!AD19:Instances!AD19),"diff", MAX(Instances!AD19:Instances!AD19)-MIN(Instances!AD19:Instances!AD19))</f>
        <v>0</v>
      </c>
      <c r="AE19" s="1" cm="1">
        <f t="array" ref="AE19">_xlfn.SWITCH($A$2,"average", AVERAGE(Instances!AE19:Instances!AE19),"median", MEDIAN(Instances!AE19:Instances!AE19),"min", MIN(Instances!AE19:Instances!AE19),"max", MAX(Instances!AE19:Instances!AE19),"diff", MAX(Instances!AE19:Instances!AE19)-MIN(Instances!AE19:Instances!AE19))</f>
        <v>0</v>
      </c>
      <c r="AF19" s="1" cm="1">
        <f t="array" ref="AF19">_xlfn.SWITCH($A$2,"average", AVERAGE(Instances!AF19:Instances!AF19),"median", MEDIAN(Instances!AF19:Instances!AF19),"min", MIN(Instances!AF19:Instances!AF19),"max", MAX(Instances!AF19:Instances!AF19),"diff", MAX(Instances!AF19:Instances!AF19)-MIN(Instances!AF19:Instances!AF19))</f>
        <v>0</v>
      </c>
      <c r="AG19" s="1" cm="1">
        <f t="array" ref="AG19">_xlfn.SWITCH($A$2,"average", AVERAGE(Instances!AG19:Instances!AG19),"median", MEDIAN(Instances!AG19:Instances!AG19),"min", MIN(Instances!AG19:Instances!AG19),"max", MAX(Instances!AG19:Instances!AG19),"diff", MAX(Instances!AG19:Instances!AG19)-MIN(Instances!AG19:Instances!AG19))</f>
        <v>0</v>
      </c>
      <c r="AH19" s="1"/>
      <c r="AI19" s="1" cm="1">
        <f t="array" ref="AI19">_xlfn.SWITCH($A$2,"average", AVERAGE(Instances!AI19:Instances!AI19),"median", MEDIAN(Instances!AI19:Instances!AI19),"min", MIN(Instances!AI19:Instances!AI19),"max", MAX(Instances!AI19:Instances!AI19),"diff", MAX(Instances!AI19:Instances!AI19)-MIN(Instances!AI19:Instances!AI19))</f>
        <v>0</v>
      </c>
      <c r="AJ19" s="1" cm="1">
        <f t="array" ref="AJ19">_xlfn.SWITCH($A$2,"average", AVERAGE(Instances!AJ19:Instances!AJ19),"median", MEDIAN(Instances!AJ19:Instances!AJ19),"min", MIN(Instances!AJ19:Instances!AJ19),"max", MAX(Instances!AJ19:Instances!AJ19),"diff", MAX(Instances!AJ19:Instances!AJ19)-MIN(Instances!AJ19:Instances!AJ19))</f>
        <v>0</v>
      </c>
      <c r="AK19" s="1" cm="1">
        <f t="array" ref="AK19">_xlfn.SWITCH($A$2,"average", AVERAGE(Instances!AK19:Instances!AK19),"median", MEDIAN(Instances!AK19:Instances!AK19),"min", MIN(Instances!AK19:Instances!AK19),"max", MAX(Instances!AK19:Instances!AK19),"diff", MAX(Instances!AK19:Instances!AK19)-MIN(Instances!AK19:Instances!AK19))</f>
        <v>0</v>
      </c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 cm="1">
        <f t="array" ref="CN19">_xlfn.SWITCH($A$2,"average", AVERAGE(Instances!CN19:Instances!CN19),"median", MEDIAN(Instances!CN19:Instances!CN19),"min", MIN(Instances!CN19:Instances!CN19),"max", MAX(Instances!CN19:Instances!CN19),"diff", MAX(Instances!CN19:Instances!CN19)-MIN(Instances!CN19:Instances!CN19))</f>
        <v>0</v>
      </c>
      <c r="CO19" s="1" cm="1">
        <f t="array" ref="CO19">_xlfn.SWITCH($A$2,"average", AVERAGE(Instances!CO19:Instances!CO19),"median", MEDIAN(Instances!CO19:Instances!CO19),"min", MIN(Instances!CO19:Instances!CO19),"max", MAX(Instances!CO19:Instances!CO19),"diff", MAX(Instances!CO19:Instances!CO19)-MIN(Instances!CO19:Instances!CO19))</f>
        <v>0</v>
      </c>
      <c r="CP19" s="1" cm="1">
        <f t="array" ref="CP19">_xlfn.SWITCH($A$2,"average", AVERAGE(Instances!CP19:Instances!CP19),"median", MEDIAN(Instances!CP19:Instances!CP19),"min", MIN(Instances!CP19:Instances!CP19),"max", MAX(Instances!CP19:Instances!CP19),"diff", MAX(Instances!CP19:Instances!CP19)-MIN(Instances!CP19:Instances!CP19))</f>
        <v>0</v>
      </c>
      <c r="CQ19" s="1" cm="1">
        <f t="array" ref="CQ19">_xlfn.SWITCH($A$2,"average", AVERAGE(Instances!CQ19:Instances!CQ19),"median", MEDIAN(Instances!CQ19:Instances!CQ19),"min", MIN(Instances!CQ19:Instances!CQ19),"max", MAX(Instances!CQ19:Instances!CQ19),"diff", MAX(Instances!CQ19:Instances!CQ19)-MIN(Instances!CQ19:Instances!CQ19))</f>
        <v>0</v>
      </c>
      <c r="CR19" s="1" cm="1">
        <f t="array" ref="CR19">_xlfn.SWITCH($A$2,"average", AVERAGE(Instances!CR19:Instances!CR19),"median", MEDIAN(Instances!CR19:Instances!CR19),"min", MIN(Instances!CR19:Instances!CR19),"max", MAX(Instances!CR19:Instances!CR19),"diff", MAX(Instances!CR19:Instances!CR19)-MIN(Instances!CR19:Instances!CR19))</f>
        <v>0</v>
      </c>
      <c r="CS19" s="1" cm="1">
        <f t="array" ref="CS19">_xlfn.SWITCH($A$2,"average", AVERAGE(Instances!CS19:Instances!CS19),"median", MEDIAN(Instances!CS19:Instances!CS19),"min", MIN(Instances!CS19:Instances!CS19),"max", MAX(Instances!CS19:Instances!CS19),"diff", MAX(Instances!CS19:Instances!CS19)-MIN(Instances!CS19:Instances!CS19))</f>
        <v>0</v>
      </c>
      <c r="CT19" s="1" cm="1">
        <f t="array" ref="CT19">_xlfn.SWITCH($A$2,"average", AVERAGE(Instances!CT19:Instances!CT19),"median", MEDIAN(Instances!CT19:Instances!CT19),"min", MIN(Instances!CT19:Instances!CT19),"max", MAX(Instances!CT19:Instances!CT19),"diff", MAX(Instances!CT19:Instances!CT19)-MIN(Instances!CT19:Instances!CT19))</f>
        <v>0</v>
      </c>
      <c r="CU19" s="1" cm="1">
        <f t="array" ref="CU19">_xlfn.SWITCH($A$2,"average", AVERAGE(Instances!CU19:Instances!CU19),"median", MEDIAN(Instances!CU19:Instances!CU19),"min", MIN(Instances!CU19:Instances!CU19),"max", MAX(Instances!CU19:Instances!CU19),"diff", MAX(Instances!CU19:Instances!CU19)-MIN(Instances!CU19:Instances!CU19))</f>
        <v>0</v>
      </c>
      <c r="CV19" s="1" cm="1">
        <f t="array" ref="CV19">_xlfn.SWITCH($A$2,"average", AVERAGE(Instances!CV19:Instances!CV19),"median", MEDIAN(Instances!CV19:Instances!CV19),"min", MIN(Instances!CV19:Instances!CV19),"max", MAX(Instances!CV19:Instances!CV19),"diff", MAX(Instances!CV19:Instances!CV19)-MIN(Instances!CV19:Instances!CV19))</f>
        <v>0</v>
      </c>
      <c r="CW19" s="1" cm="1">
        <f t="array" ref="CW19">_xlfn.SWITCH($A$2,"average", AVERAGE(Instances!CW19:Instances!CW19),"median", MEDIAN(Instances!CW19:Instances!CW19),"min", MIN(Instances!CW19:Instances!CW19),"max", MAX(Instances!CW19:Instances!CW19),"diff", MAX(Instances!CW19:Instances!CW19)-MIN(Instances!CW19:Instances!CW19))</f>
        <v>0</v>
      </c>
      <c r="CX19" s="1" cm="1">
        <f t="array" ref="CX19">_xlfn.SWITCH($A$2,"average", AVERAGE(Instances!CX19:Instances!CX19),"median", MEDIAN(Instances!CX19:Instances!CX19),"min", MIN(Instances!CX19:Instances!CX19),"max", MAX(Instances!CX19:Instances!CX19),"diff", MAX(Instances!CX19:Instances!CX19)-MIN(Instances!CX19:Instances!CX19))</f>
        <v>0</v>
      </c>
      <c r="CY19" s="1" cm="1">
        <f t="array" ref="CY19">_xlfn.SWITCH($A$2,"average", AVERAGE(Instances!CY19:Instances!CY19),"median", MEDIAN(Instances!CY19:Instances!CY19),"min", MIN(Instances!CY19:Instances!CY19),"max", MAX(Instances!CY19:Instances!CY19),"diff", MAX(Instances!CY19:Instances!CY19)-MIN(Instances!CY19:Instances!CY19))</f>
        <v>0</v>
      </c>
      <c r="CZ19" s="1" cm="1">
        <f t="array" ref="CZ19">_xlfn.SWITCH($A$2,"average", AVERAGE(Instances!CZ19:Instances!CZ19),"median", MEDIAN(Instances!CZ19:Instances!CZ19),"min", MIN(Instances!CZ19:Instances!CZ19),"max", MAX(Instances!CZ19:Instances!CZ19),"diff", MAX(Instances!CZ19:Instances!CZ19)-MIN(Instances!CZ19:Instances!CZ19))</f>
        <v>0</v>
      </c>
      <c r="DA19" s="1" cm="1">
        <f t="array" ref="DA19">_xlfn.SWITCH($A$2,"average", AVERAGE(Instances!DA19:Instances!DA19),"median", MEDIAN(Instances!DA19:Instances!DA19),"min", MIN(Instances!DA19:Instances!DA19),"max", MAX(Instances!DA19:Instances!DA19),"diff", MAX(Instances!DA19:Instances!DA19)-MIN(Instances!DA19:Instances!DA19))</f>
        <v>0</v>
      </c>
      <c r="DB19" s="1"/>
      <c r="DC19" s="1" cm="1">
        <f t="array" ref="DC19">_xlfn.SWITCH($A$2,"average", AVERAGE(Instances!DC19:Instances!DC19),"median", MEDIAN(Instances!DC19:Instances!DC19),"min", MIN(Instances!DC19:Instances!DC19),"max", MAX(Instances!DC19:Instances!DC19),"diff", MAX(Instances!DC19:Instances!DC19)-MIN(Instances!DC19:Instances!DC19))</f>
        <v>0</v>
      </c>
      <c r="DD19" s="1" cm="1">
        <f t="array" ref="DD19">_xlfn.SWITCH($A$2,"average", AVERAGE(Instances!DD19:Instances!DD19),"median", MEDIAN(Instances!DD19:Instances!DD19),"min", MIN(Instances!DD19:Instances!DD19),"max", MAX(Instances!DD19:Instances!DD19),"diff", MAX(Instances!DD19:Instances!DD19)-MIN(Instances!DD19:Instances!DD19))</f>
        <v>0</v>
      </c>
      <c r="DE19" s="1" cm="1">
        <f t="array" ref="DE19">_xlfn.SWITCH($A$2,"average", AVERAGE(Instances!DE19:Instances!DE19),"median", MEDIAN(Instances!DE19:Instances!DE19),"min", MIN(Instances!DE19:Instances!DE19),"max", MAX(Instances!DE19:Instances!DE19),"diff", MAX(Instances!DE19:Instances!DE19)-MIN(Instances!DE19:Instances!DE19))</f>
        <v>0</v>
      </c>
      <c r="DF19" s="1" cm="1">
        <f t="array" ref="DF19">_xlfn.SWITCH($A$2,"average", AVERAGE(Instances!DF19:Instances!DF19),"median", MEDIAN(Instances!DF19:Instances!DF19),"min", MIN(Instances!DF19:Instances!DF19),"max", MAX(Instances!DF19:Instances!DF19),"diff", MAX(Instances!DF19:Instances!DF19)-MIN(Instances!DF19:Instances!DF19))</f>
        <v>0</v>
      </c>
      <c r="DG19" s="1" cm="1">
        <f t="array" ref="DG19">_xlfn.SWITCH($A$2,"average", AVERAGE(Instances!DG19:Instances!DG19),"median", MEDIAN(Instances!DG19:Instances!DG19),"min", MIN(Instances!DG19:Instances!DG19),"max", MAX(Instances!DG19:Instances!DG19),"diff", MAX(Instances!DG19:Instances!DG19)-MIN(Instances!DG19:Instances!DG19))</f>
        <v>0</v>
      </c>
      <c r="DH19" s="1" cm="1">
        <f t="array" ref="DH19">_xlfn.SWITCH($A$2,"average", AVERAGE(Instances!DH19:Instances!DH19),"median", MEDIAN(Instances!DH19:Instances!DH19),"min", MIN(Instances!DH19:Instances!DH19),"max", MAX(Instances!DH19:Instances!DH19),"diff", MAX(Instances!DH19:Instances!DH19)-MIN(Instances!DH19:Instances!DH19))</f>
        <v>0</v>
      </c>
      <c r="DI19" s="1" cm="1">
        <f t="array" ref="DI19">_xlfn.SWITCH($A$2,"average", AVERAGE(Instances!DI19:Instances!DI19),"median", MEDIAN(Instances!DI19:Instances!DI19),"min", MIN(Instances!DI19:Instances!DI19),"max", MAX(Instances!DI19:Instances!DI19),"diff", MAX(Instances!DI19:Instances!DI19)-MIN(Instances!DI19:Instances!DI19))</f>
        <v>0</v>
      </c>
      <c r="DJ19" s="1" cm="1">
        <f t="array" ref="DJ19">_xlfn.SWITCH($A$2,"average", AVERAGE(Instances!DJ19:Instances!DJ19),"median", MEDIAN(Instances!DJ19:Instances!DJ19),"min", MIN(Instances!DJ19:Instances!DJ19),"max", MAX(Instances!DJ19:Instances!DJ19),"diff", MAX(Instances!DJ19:Instances!DJ19)-MIN(Instances!DJ19:Instances!DJ19))</f>
        <v>0</v>
      </c>
      <c r="DK19" s="1" cm="1">
        <f t="array" ref="DK19">_xlfn.SWITCH($A$2,"average", AVERAGE(Instances!DK19:Instances!DK19),"median", MEDIAN(Instances!DK19:Instances!DK19),"min", MIN(Instances!DK19:Instances!DK19),"max", MAX(Instances!DK19:Instances!DK19),"diff", MAX(Instances!DK19:Instances!DK19)-MIN(Instances!DK19:Instances!DK19))</f>
        <v>0</v>
      </c>
      <c r="DL19" s="1" cm="1">
        <f t="array" ref="DL19">_xlfn.SWITCH($A$2,"average", AVERAGE(Instances!DL19:Instances!DL19),"median", MEDIAN(Instances!DL19:Instances!DL19),"min", MIN(Instances!DL19:Instances!DL19),"max", MAX(Instances!DL19:Instances!DL19),"diff", MAX(Instances!DL19:Instances!DL19)-MIN(Instances!DL19:Instances!DL19))</f>
        <v>0</v>
      </c>
      <c r="DM19" s="1" cm="1">
        <f t="array" ref="DM19">_xlfn.SWITCH($A$2,"average", AVERAGE(Instances!DM19:Instances!DM19),"median", MEDIAN(Instances!DM19:Instances!DM19),"min", MIN(Instances!DM19:Instances!DM19),"max", MAX(Instances!DM19:Instances!DM19),"diff", MAX(Instances!DM19:Instances!DM19)-MIN(Instances!DM19:Instances!DM19))</f>
        <v>0</v>
      </c>
      <c r="DN19" s="1" cm="1">
        <f t="array" ref="DN19">_xlfn.SWITCH($A$2,"average", AVERAGE(Instances!DN19:Instances!DN19),"median", MEDIAN(Instances!DN19:Instances!DN19),"min", MIN(Instances!DN19:Instances!DN19),"max", MAX(Instances!DN19:Instances!DN19),"diff", MAX(Instances!DN19:Instances!DN19)-MIN(Instances!DN19:Instances!DN19))</f>
        <v>0</v>
      </c>
      <c r="DO19" s="1" cm="1">
        <f t="array" ref="DO19">_xlfn.SWITCH($A$2,"average", AVERAGE(Instances!DO19:Instances!DO19),"median", MEDIAN(Instances!DO19:Instances!DO19),"min", MIN(Instances!DO19:Instances!DO19),"max", MAX(Instances!DO19:Instances!DO19),"diff", MAX(Instances!DO19:Instances!DO19)-MIN(Instances!DO19:Instances!DO19))</f>
        <v>0</v>
      </c>
      <c r="DP19" s="1" cm="1">
        <f t="array" ref="DP19">_xlfn.SWITCH($A$2,"average", AVERAGE(Instances!DP19:Instances!DP19),"median", MEDIAN(Instances!DP19:Instances!DP19),"min", MIN(Instances!DP19:Instances!DP19),"max", MAX(Instances!DP19:Instances!DP19),"diff", MAX(Instances!DP19:Instances!DP19)-MIN(Instances!DP19:Instances!DP19))</f>
        <v>0</v>
      </c>
      <c r="DQ19" s="1" cm="1">
        <f t="array" ref="DQ19">_xlfn.SWITCH($A$2,"average", AVERAGE(Instances!DQ19:Instances!DQ19),"median", MEDIAN(Instances!DQ19:Instances!DQ19),"min", MIN(Instances!DQ19:Instances!DQ19),"max", MAX(Instances!DQ19:Instances!DQ19),"diff", MAX(Instances!DQ19:Instances!DQ19)-MIN(Instances!DQ19:Instances!DQ19))</f>
        <v>0</v>
      </c>
      <c r="DR19" s="1" cm="1">
        <f t="array" ref="DR19">_xlfn.SWITCH($A$2,"average", AVERAGE(Instances!DR19:Instances!DR19),"median", MEDIAN(Instances!DR19:Instances!DR19),"min", MIN(Instances!DR19:Instances!DR19),"max", MAX(Instances!DR19:Instances!DR19),"diff", MAX(Instances!DR19:Instances!DR19)-MIN(Instances!DR19:Instances!DR19))</f>
        <v>0</v>
      </c>
      <c r="DS19" s="1" cm="1">
        <f t="array" ref="DS19">_xlfn.SWITCH($A$2,"average", AVERAGE(Instances!DS19:Instances!DS19),"median", MEDIAN(Instances!DS19:Instances!DS19),"min", MIN(Instances!DS19:Instances!DS19),"max", MAX(Instances!DS19:Instances!DS19),"diff", MAX(Instances!DS19:Instances!DS19)-MIN(Instances!DS19:Instances!DS19))</f>
        <v>0</v>
      </c>
      <c r="DT19" s="1"/>
      <c r="DU19" s="1" cm="1">
        <f t="array" ref="DU19">_xlfn.SWITCH($A$2,"average", AVERAGE(Instances!DU19:Instances!DU19),"median", MEDIAN(Instances!DU19:Instances!DU19),"min", MIN(Instances!DU19:Instances!DU19),"max", MAX(Instances!DU19:Instances!DU19),"diff", MAX(Instances!DU19:Instances!DU19)-MIN(Instances!DU19:Instances!DU19))</f>
        <v>0</v>
      </c>
      <c r="DV19" s="1" cm="1">
        <f t="array" ref="DV19">_xlfn.SWITCH($A$2,"average", AVERAGE(Instances!DV19:Instances!DV19),"median", MEDIAN(Instances!DV19:Instances!DV19),"min", MIN(Instances!DV19:Instances!DV19),"max", MAX(Instances!DV19:Instances!DV19),"diff", MAX(Instances!DV19:Instances!DV19)-MIN(Instances!DV19:Instances!DV19))</f>
        <v>0</v>
      </c>
      <c r="DW19" s="1" cm="1">
        <f t="array" ref="DW19">_xlfn.SWITCH($A$2,"average", AVERAGE(Instances!DW19:Instances!DW19),"median", MEDIAN(Instances!DW19:Instances!DW19),"min", MIN(Instances!DW19:Instances!DW19),"max", MAX(Instances!DW19:Instances!DW19),"diff", MAX(Instances!DW19:Instances!DW19)-MIN(Instances!DW19:Instances!DW19))</f>
        <v>0</v>
      </c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 cm="1">
        <f t="array" ref="FH19">_xlfn.SWITCH($A$2,"average", AVERAGE(Instances!FH19:Instances!FH19),"median", MEDIAN(Instances!FH19:Instances!FH19),"min", MIN(Instances!FH19:Instances!FH19),"max", MAX(Instances!FH19:Instances!FH19),"diff", MAX(Instances!FH19:Instances!FH19)-MIN(Instances!FH19:Instances!FH19))</f>
        <v>0</v>
      </c>
      <c r="FI19" s="1" cm="1">
        <f t="array" ref="FI19">_xlfn.SWITCH($A$2,"average", AVERAGE(Instances!FI19:Instances!FI19),"median", MEDIAN(Instances!FI19:Instances!FI19),"min", MIN(Instances!FI19:Instances!FI19),"max", MAX(Instances!FI19:Instances!FI19),"diff", MAX(Instances!FI19:Instances!FI19)-MIN(Instances!FI19:Instances!FI19))</f>
        <v>0</v>
      </c>
      <c r="FJ19" s="1" cm="1">
        <f t="array" ref="FJ19">_xlfn.SWITCH($A$2,"average", AVERAGE(Instances!FJ19:Instances!FJ19),"median", MEDIAN(Instances!FJ19:Instances!FJ19),"min", MIN(Instances!FJ19:Instances!FJ19),"max", MAX(Instances!FJ19:Instances!FJ19),"diff", MAX(Instances!FJ19:Instances!FJ19)-MIN(Instances!FJ19:Instances!FJ19))</f>
        <v>0</v>
      </c>
      <c r="FK19" s="1" cm="1">
        <f t="array" ref="FK19">_xlfn.SWITCH($A$2,"average", AVERAGE(Instances!FK19:Instances!FK19),"median", MEDIAN(Instances!FK19:Instances!FK19),"min", MIN(Instances!FK19:Instances!FK19),"max", MAX(Instances!FK19:Instances!FK19),"diff", MAX(Instances!FK19:Instances!FK19)-MIN(Instances!FK19:Instances!FK19))</f>
        <v>0</v>
      </c>
      <c r="FL19" s="1" cm="1">
        <f t="array" ref="FL19">_xlfn.SWITCH($A$2,"average", AVERAGE(Instances!FL19:Instances!FL19),"median", MEDIAN(Instances!FL19:Instances!FL19),"min", MIN(Instances!FL19:Instances!FL19),"max", MAX(Instances!FL19:Instances!FL19),"diff", MAX(Instances!FL19:Instances!FL19)-MIN(Instances!FL19:Instances!FL19))</f>
        <v>0</v>
      </c>
      <c r="FM19" s="1" cm="1">
        <f t="array" ref="FM19">_xlfn.SWITCH($A$2,"average", AVERAGE(Instances!FM19:Instances!FM19),"median", MEDIAN(Instances!FM19:Instances!FM19),"min", MIN(Instances!FM19:Instances!FM19),"max", MAX(Instances!FM19:Instances!FM19),"diff", MAX(Instances!FM19:Instances!FM19)-MIN(Instances!FM19:Instances!FM19))</f>
        <v>0</v>
      </c>
      <c r="FN19" s="1" cm="1">
        <f t="array" ref="FN19">_xlfn.SWITCH($A$2,"average", AVERAGE(Instances!FN19:Instances!FN19),"median", MEDIAN(Instances!FN19:Instances!FN19),"min", MIN(Instances!FN19:Instances!FN19),"max", MAX(Instances!FN19:Instances!FN19),"diff", MAX(Instances!FN19:Instances!FN19)-MIN(Instances!FN19:Instances!FN19))</f>
        <v>0</v>
      </c>
      <c r="FO19" s="1" cm="1">
        <f t="array" ref="FO19">_xlfn.SWITCH($A$2,"average", AVERAGE(Instances!FO19:Instances!FO19),"median", MEDIAN(Instances!FO19:Instances!FO19),"min", MIN(Instances!FO19:Instances!FO19),"max", MAX(Instances!FO19:Instances!FO19),"diff", MAX(Instances!FO19:Instances!FO19)-MIN(Instances!FO19:Instances!FO19))</f>
        <v>0</v>
      </c>
      <c r="FP19" s="1" cm="1">
        <f t="array" ref="FP19">_xlfn.SWITCH($A$2,"average", AVERAGE(Instances!FP19:Instances!FP19),"median", MEDIAN(Instances!FP19:Instances!FP19),"min", MIN(Instances!FP19:Instances!FP19),"max", MAX(Instances!FP19:Instances!FP19),"diff", MAX(Instances!FP19:Instances!FP19)-MIN(Instances!FP19:Instances!FP19))</f>
        <v>0</v>
      </c>
      <c r="FQ19" s="1" cm="1">
        <f t="array" ref="FQ19">_xlfn.SWITCH($A$2,"average", AVERAGE(Instances!FQ19:Instances!FQ19),"median", MEDIAN(Instances!FQ19:Instances!FQ19),"min", MIN(Instances!FQ19:Instances!FQ19),"max", MAX(Instances!FQ19:Instances!FQ19),"diff", MAX(Instances!FQ19:Instances!FQ19)-MIN(Instances!FQ19:Instances!FQ19))</f>
        <v>0</v>
      </c>
      <c r="FR19" s="1" cm="1">
        <f t="array" ref="FR19">_xlfn.SWITCH($A$2,"average", AVERAGE(Instances!FR19:Instances!FR19),"median", MEDIAN(Instances!FR19:Instances!FR19),"min", MIN(Instances!FR19:Instances!FR19),"max", MAX(Instances!FR19:Instances!FR19),"diff", MAX(Instances!FR19:Instances!FR19)-MIN(Instances!FR19:Instances!FR19))</f>
        <v>0</v>
      </c>
      <c r="FS19" s="1" cm="1">
        <f t="array" ref="FS19">_xlfn.SWITCH($A$2,"average", AVERAGE(Instances!FS19:Instances!FS19),"median", MEDIAN(Instances!FS19:Instances!FS19),"min", MIN(Instances!FS19:Instances!FS19),"max", MAX(Instances!FS19:Instances!FS19),"diff", MAX(Instances!FS19:Instances!FS19)-MIN(Instances!FS19:Instances!FS19))</f>
        <v>0</v>
      </c>
      <c r="FT19" s="1" cm="1">
        <f t="array" ref="FT19">_xlfn.SWITCH($A$2,"average", AVERAGE(Instances!FT19:Instances!FT19),"median", MEDIAN(Instances!FT19:Instances!FT19),"min", MIN(Instances!FT19:Instances!FT19),"max", MAX(Instances!FT19:Instances!FT19),"diff", MAX(Instances!FT19:Instances!FT19)-MIN(Instances!FT19:Instances!FT19))</f>
        <v>0</v>
      </c>
      <c r="FU19" s="1" cm="1">
        <f t="array" ref="FU19">_xlfn.SWITCH($A$2,"average", AVERAGE(Instances!FU19:Instances!FU19),"median", MEDIAN(Instances!FU19:Instances!FU19),"min", MIN(Instances!FU19:Instances!FU19),"max", MAX(Instances!FU19:Instances!FU19),"diff", MAX(Instances!FU19:Instances!FU19)-MIN(Instances!FU19:Instances!FU19))</f>
        <v>0</v>
      </c>
      <c r="FV19" s="1"/>
      <c r="FW19" s="1" cm="1">
        <f t="array" ref="FW19">_xlfn.SWITCH($A$2,"average", AVERAGE(Instances!FW19:Instances!FW19),"median", MEDIAN(Instances!FW19:Instances!FW19),"min", MIN(Instances!FW19:Instances!FW19),"max", MAX(Instances!FW19:Instances!FW19),"diff", MAX(Instances!FW19:Instances!FW19)-MIN(Instances!FW19:Instances!FW19))</f>
        <v>0</v>
      </c>
      <c r="FX19" s="1" cm="1">
        <f t="array" ref="FX19">_xlfn.SWITCH($A$2,"average", AVERAGE(Instances!FX19:Instances!FX19),"median", MEDIAN(Instances!FX19:Instances!FX19),"min", MIN(Instances!FX19:Instances!FX19),"max", MAX(Instances!FX19:Instances!FX19),"diff", MAX(Instances!FX19:Instances!FX19)-MIN(Instances!FX19:Instances!FX19))</f>
        <v>0</v>
      </c>
      <c r="FY19" s="1" cm="1">
        <f t="array" ref="FY19">_xlfn.SWITCH($A$2,"average", AVERAGE(Instances!FY19:Instances!FY19),"median", MEDIAN(Instances!FY19:Instances!FY19),"min", MIN(Instances!FY19:Instances!FY19),"max", MAX(Instances!FY19:Instances!FY19),"diff", MAX(Instances!FY19:Instances!FY19)-MIN(Instances!FY19:Instances!FY19))</f>
        <v>0</v>
      </c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 cm="1">
        <f t="array" ref="IB19">_xlfn.SWITCH($A$2,"average", AVERAGE(Instances!IB19:Instances!IB19),"median", MEDIAN(Instances!IB19:Instances!IB19),"min", MIN(Instances!IB19:Instances!IB19),"max", MAX(Instances!IB19:Instances!IB19),"diff", MAX(Instances!IB19:Instances!IB19)-MIN(Instances!IB19:Instances!IB19))</f>
        <v>0</v>
      </c>
      <c r="IC19" s="1" cm="1">
        <f t="array" ref="IC19">_xlfn.SWITCH($A$2,"average", AVERAGE(Instances!IC19:Instances!IC19),"median", MEDIAN(Instances!IC19:Instances!IC19),"min", MIN(Instances!IC19:Instances!IC19),"max", MAX(Instances!IC19:Instances!IC19),"diff", MAX(Instances!IC19:Instances!IC19)-MIN(Instances!IC19:Instances!IC19))</f>
        <v>0</v>
      </c>
      <c r="ID19" s="1" cm="1">
        <f t="array" ref="ID19">_xlfn.SWITCH($A$2,"average", AVERAGE(Instances!ID19:Instances!ID19),"median", MEDIAN(Instances!ID19:Instances!ID19),"min", MIN(Instances!ID19:Instances!ID19),"max", MAX(Instances!ID19:Instances!ID19),"diff", MAX(Instances!ID19:Instances!ID19)-MIN(Instances!ID19:Instances!ID19))</f>
        <v>0</v>
      </c>
      <c r="IE19" s="1" cm="1">
        <f t="array" ref="IE19">_xlfn.SWITCH($A$2,"average", AVERAGE(Instances!IE19:Instances!IE19),"median", MEDIAN(Instances!IE19:Instances!IE19),"min", MIN(Instances!IE19:Instances!IE19),"max", MAX(Instances!IE19:Instances!IE19),"diff", MAX(Instances!IE19:Instances!IE19)-MIN(Instances!IE19:Instances!IE19))</f>
        <v>0</v>
      </c>
      <c r="IF19" s="1" cm="1">
        <f t="array" ref="IF19">_xlfn.SWITCH($A$2,"average", AVERAGE(Instances!IF19:Instances!IF19),"median", MEDIAN(Instances!IF19:Instances!IF19),"min", MIN(Instances!IF19:Instances!IF19),"max", MAX(Instances!IF19:Instances!IF19),"diff", MAX(Instances!IF19:Instances!IF19)-MIN(Instances!IF19:Instances!IF19))</f>
        <v>0</v>
      </c>
      <c r="IG19" s="1" cm="1">
        <f t="array" ref="IG19">_xlfn.SWITCH($A$2,"average", AVERAGE(Instances!IG19:Instances!IG19),"median", MEDIAN(Instances!IG19:Instances!IG19),"min", MIN(Instances!IG19:Instances!IG19),"max", MAX(Instances!IG19:Instances!IG19),"diff", MAX(Instances!IG19:Instances!IG19)-MIN(Instances!IG19:Instances!IG19))</f>
        <v>0</v>
      </c>
      <c r="IH19" s="1" cm="1">
        <f t="array" ref="IH19">_xlfn.SWITCH($A$2,"average", AVERAGE(Instances!IH19:Instances!IH19),"median", MEDIAN(Instances!IH19:Instances!IH19),"min", MIN(Instances!IH19:Instances!IH19),"max", MAX(Instances!IH19:Instances!IH19),"diff", MAX(Instances!IH19:Instances!IH19)-MIN(Instances!IH19:Instances!IH19))</f>
        <v>0</v>
      </c>
      <c r="II19" s="1" cm="1">
        <f t="array" ref="II19">_xlfn.SWITCH($A$2,"average", AVERAGE(Instances!II19:Instances!II19),"median", MEDIAN(Instances!II19:Instances!II19),"min", MIN(Instances!II19:Instances!II19),"max", MAX(Instances!II19:Instances!II19),"diff", MAX(Instances!II19:Instances!II19)-MIN(Instances!II19:Instances!II19))</f>
        <v>0</v>
      </c>
      <c r="IJ19" s="1" cm="1">
        <f t="array" ref="IJ19">_xlfn.SWITCH($A$2,"average", AVERAGE(Instances!IJ19:Instances!IJ19),"median", MEDIAN(Instances!IJ19:Instances!IJ19),"min", MIN(Instances!IJ19:Instances!IJ19),"max", MAX(Instances!IJ19:Instances!IJ19),"diff", MAX(Instances!IJ19:Instances!IJ19)-MIN(Instances!IJ19:Instances!IJ19))</f>
        <v>0</v>
      </c>
      <c r="IK19" s="1" cm="1">
        <f t="array" ref="IK19">_xlfn.SWITCH($A$2,"average", AVERAGE(Instances!IK19:Instances!IK19),"median", MEDIAN(Instances!IK19:Instances!IK19),"min", MIN(Instances!IK19:Instances!IK19),"max", MAX(Instances!IK19:Instances!IK19),"diff", MAX(Instances!IK19:Instances!IK19)-MIN(Instances!IK19:Instances!IK19))</f>
        <v>0</v>
      </c>
      <c r="IL19" s="1" cm="1">
        <f t="array" ref="IL19">_xlfn.SWITCH($A$2,"average", AVERAGE(Instances!IL19:Instances!IL19),"median", MEDIAN(Instances!IL19:Instances!IL19),"min", MIN(Instances!IL19:Instances!IL19),"max", MAX(Instances!IL19:Instances!IL19),"diff", MAX(Instances!IL19:Instances!IL19)-MIN(Instances!IL19:Instances!IL19))</f>
        <v>0</v>
      </c>
      <c r="IM19" s="1" cm="1">
        <f t="array" ref="IM19">_xlfn.SWITCH($A$2,"average", AVERAGE(Instances!IM19:Instances!IM19),"median", MEDIAN(Instances!IM19:Instances!IM19),"min", MIN(Instances!IM19:Instances!IM19),"max", MAX(Instances!IM19:Instances!IM19),"diff", MAX(Instances!IM19:Instances!IM19)-MIN(Instances!IM19:Instances!IM19))</f>
        <v>0</v>
      </c>
      <c r="IN19" s="1" cm="1">
        <f t="array" ref="IN19">_xlfn.SWITCH($A$2,"average", AVERAGE(Instances!IN19:Instances!IN19),"median", MEDIAN(Instances!IN19:Instances!IN19),"min", MIN(Instances!IN19:Instances!IN19),"max", MAX(Instances!IN19:Instances!IN19),"diff", MAX(Instances!IN19:Instances!IN19)-MIN(Instances!IN19:Instances!IN19))</f>
        <v>0</v>
      </c>
      <c r="IO19" s="1" cm="1">
        <f t="array" ref="IO19">_xlfn.SWITCH($A$2,"average", AVERAGE(Instances!IO19:Instances!IO19),"median", MEDIAN(Instances!IO19:Instances!IO19),"min", MIN(Instances!IO19:Instances!IO19),"max", MAX(Instances!IO19:Instances!IO19),"diff", MAX(Instances!IO19:Instances!IO19)-MIN(Instances!IO19:Instances!IO19))</f>
        <v>0</v>
      </c>
      <c r="IP19" s="1"/>
      <c r="IQ19" s="1" cm="1">
        <f t="array" ref="IQ19">_xlfn.SWITCH($A$2,"average", AVERAGE(Instances!IQ19:Instances!IQ19),"median", MEDIAN(Instances!IQ19:Instances!IQ19),"min", MIN(Instances!IQ19:Instances!IQ19),"max", MAX(Instances!IQ19:Instances!IQ19),"diff", MAX(Instances!IQ19:Instances!IQ19)-MIN(Instances!IQ19:Instances!IQ19))</f>
        <v>0</v>
      </c>
      <c r="IR19" s="1" cm="1">
        <f t="array" ref="IR19">_xlfn.SWITCH($A$2,"average", AVERAGE(Instances!IR19:Instances!IR19),"median", MEDIAN(Instances!IR19:Instances!IR19),"min", MIN(Instances!IR19:Instances!IR19),"max", MAX(Instances!IR19:Instances!IR19),"diff", MAX(Instances!IR19:Instances!IR19)-MIN(Instances!IR19:Instances!IR19))</f>
        <v>0</v>
      </c>
      <c r="IS19" s="1" cm="1">
        <f t="array" ref="IS19">_xlfn.SWITCH($A$2,"average", AVERAGE(Instances!IS19:Instances!IS19),"median", MEDIAN(Instances!IS19:Instances!IS19),"min", MIN(Instances!IS19:Instances!IS19),"max", MAX(Instances!IS19:Instances!IS19),"diff", MAX(Instances!IS19:Instances!IS19)-MIN(Instances!IS19:Instances!IS19))</f>
        <v>0</v>
      </c>
      <c r="IT19" s="1" cm="1">
        <f t="array" ref="IT19">_xlfn.SWITCH($A$2,"average", AVERAGE(Instances!IT19:Instances!IT19),"median", MEDIAN(Instances!IT19:Instances!IT19),"min", MIN(Instances!IT19:Instances!IT19),"max", MAX(Instances!IT19:Instances!IT19),"diff", MAX(Instances!IT19:Instances!IT19)-MIN(Instances!IT19:Instances!IT19))</f>
        <v>0</v>
      </c>
      <c r="IU19" s="1" cm="1">
        <f t="array" ref="IU19">_xlfn.SWITCH($A$2,"average", AVERAGE(Instances!IU19:Instances!IU19),"median", MEDIAN(Instances!IU19:Instances!IU19),"min", MIN(Instances!IU19:Instances!IU19),"max", MAX(Instances!IU19:Instances!IU19),"diff", MAX(Instances!IU19:Instances!IU19)-MIN(Instances!IU19:Instances!IU19))</f>
        <v>0</v>
      </c>
      <c r="IV19" s="1" cm="1">
        <f t="array" ref="IV19">_xlfn.SWITCH($A$2,"average", AVERAGE(Instances!IV19:Instances!IV19),"median", MEDIAN(Instances!IV19:Instances!IV19),"min", MIN(Instances!IV19:Instances!IV19),"max", MAX(Instances!IV19:Instances!IV19),"diff", MAX(Instances!IV19:Instances!IV19)-MIN(Instances!IV19:Instances!IV19))</f>
        <v>0</v>
      </c>
      <c r="IW19" s="1" cm="1">
        <f t="array" ref="IW19">_xlfn.SWITCH($A$2,"average", AVERAGE(Instances!IW19:Instances!IW19),"median", MEDIAN(Instances!IW19:Instances!IW19),"min", MIN(Instances!IW19:Instances!IW19),"max", MAX(Instances!IW19:Instances!IW19),"diff", MAX(Instances!IW19:Instances!IW19)-MIN(Instances!IW19:Instances!IW19))</f>
        <v>0</v>
      </c>
      <c r="IX19" s="1" cm="1">
        <f t="array" ref="IX19">_xlfn.SWITCH($A$2,"average", AVERAGE(Instances!IX19:Instances!IX19),"median", MEDIAN(Instances!IX19:Instances!IX19),"min", MIN(Instances!IX19:Instances!IX19),"max", MAX(Instances!IX19:Instances!IX19),"diff", MAX(Instances!IX19:Instances!IX19)-MIN(Instances!IX19:Instances!IX19))</f>
        <v>0</v>
      </c>
      <c r="IY19" s="1" cm="1">
        <f t="array" ref="IY19">_xlfn.SWITCH($A$2,"average", AVERAGE(Instances!IY19:Instances!IY19),"median", MEDIAN(Instances!IY19:Instances!IY19),"min", MIN(Instances!IY19:Instances!IY19),"max", MAX(Instances!IY19:Instances!IY19),"diff", MAX(Instances!IY19:Instances!IY19)-MIN(Instances!IY19:Instances!IY19))</f>
        <v>0</v>
      </c>
      <c r="IZ19" s="1" cm="1">
        <f t="array" ref="IZ19">_xlfn.SWITCH($A$2,"average", AVERAGE(Instances!IZ19:Instances!IZ19),"median", MEDIAN(Instances!IZ19:Instances!IZ19),"min", MIN(Instances!IZ19:Instances!IZ19),"max", MAX(Instances!IZ19:Instances!IZ19),"diff", MAX(Instances!IZ19:Instances!IZ19)-MIN(Instances!IZ19:Instances!IZ19))</f>
        <v>0</v>
      </c>
      <c r="JA19" s="1" cm="1">
        <f t="array" ref="JA19">_xlfn.SWITCH($A$2,"average", AVERAGE(Instances!JA19:Instances!JA19),"median", MEDIAN(Instances!JA19:Instances!JA19),"min", MIN(Instances!JA19:Instances!JA19),"max", MAX(Instances!JA19:Instances!JA19),"diff", MAX(Instances!JA19:Instances!JA19)-MIN(Instances!JA19:Instances!JA19))</f>
        <v>0</v>
      </c>
      <c r="JB19" s="1" cm="1">
        <f t="array" ref="JB19">_xlfn.SWITCH($A$2,"average", AVERAGE(Instances!JB19:Instances!JB19),"median", MEDIAN(Instances!JB19:Instances!JB19),"min", MIN(Instances!JB19:Instances!JB19),"max", MAX(Instances!JB19:Instances!JB19),"diff", MAX(Instances!JB19:Instances!JB19)-MIN(Instances!JB19:Instances!JB19))</f>
        <v>0</v>
      </c>
      <c r="JC19" s="1" cm="1">
        <f t="array" ref="JC19">_xlfn.SWITCH($A$2,"average", AVERAGE(Instances!JC19:Instances!JC19),"median", MEDIAN(Instances!JC19:Instances!JC19),"min", MIN(Instances!JC19:Instances!JC19),"max", MAX(Instances!JC19:Instances!JC19),"diff", MAX(Instances!JC19:Instances!JC19)-MIN(Instances!JC19:Instances!JC19))</f>
        <v>0</v>
      </c>
      <c r="JD19" s="1" cm="1">
        <f t="array" ref="JD19">_xlfn.SWITCH($A$2,"average", AVERAGE(Instances!JD19:Instances!JD19),"median", MEDIAN(Instances!JD19:Instances!JD19),"min", MIN(Instances!JD19:Instances!JD19),"max", MAX(Instances!JD19:Instances!JD19),"diff", MAX(Instances!JD19:Instances!JD19)-MIN(Instances!JD19:Instances!JD19))</f>
        <v>0</v>
      </c>
      <c r="JE19" s="1" cm="1">
        <f t="array" ref="JE19">_xlfn.SWITCH($A$2,"average", AVERAGE(Instances!JE19:Instances!JE19),"median", MEDIAN(Instances!JE19:Instances!JE19),"min", MIN(Instances!JE19:Instances!JE19),"max", MAX(Instances!JE19:Instances!JE19),"diff", MAX(Instances!JE19:Instances!JE19)-MIN(Instances!JE19:Instances!JE19))</f>
        <v>0</v>
      </c>
      <c r="JF19" s="1" cm="1">
        <f t="array" ref="JF19">_xlfn.SWITCH($A$2,"average", AVERAGE(Instances!JF19:Instances!JF19),"median", MEDIAN(Instances!JF19:Instances!JF19),"min", MIN(Instances!JF19:Instances!JF19),"max", MAX(Instances!JF19:Instances!JF19),"diff", MAX(Instances!JF19:Instances!JF19)-MIN(Instances!JF19:Instances!JF19))</f>
        <v>0</v>
      </c>
      <c r="JG19" s="1" cm="1">
        <f t="array" ref="JG19">_xlfn.SWITCH($A$2,"average", AVERAGE(Instances!JG19:Instances!JG19),"median", MEDIAN(Instances!JG19:Instances!JG19),"min", MIN(Instances!JG19:Instances!JG19),"max", MAX(Instances!JG19:Instances!JG19),"diff", MAX(Instances!JG19:Instances!JG19)-MIN(Instances!JG19:Instances!JG19))</f>
        <v>0</v>
      </c>
      <c r="JH19" s="1"/>
      <c r="JI19" s="1" cm="1">
        <f t="array" ref="JI19">_xlfn.SWITCH($A$2,"average", AVERAGE(Instances!JI19:Instances!JI19),"median", MEDIAN(Instances!JI19:Instances!JI19),"min", MIN(Instances!JI19:Instances!JI19),"max", MAX(Instances!JI19:Instances!JI19),"diff", MAX(Instances!JI19:Instances!JI19)-MIN(Instances!JI19:Instances!JI19))</f>
        <v>0</v>
      </c>
      <c r="JJ19" s="1" cm="1">
        <f t="array" ref="JJ19">_xlfn.SWITCH($A$2,"average", AVERAGE(Instances!JJ19:Instances!JJ19),"median", MEDIAN(Instances!JJ19:Instances!JJ19),"min", MIN(Instances!JJ19:Instances!JJ19),"max", MAX(Instances!JJ19:Instances!JJ19),"diff", MAX(Instances!JJ19:Instances!JJ19)-MIN(Instances!JJ19:Instances!JJ19))</f>
        <v>0</v>
      </c>
      <c r="JK19" s="1" cm="1">
        <f t="array" ref="JK19">_xlfn.SWITCH($A$2,"average", AVERAGE(Instances!JK19:Instances!JK19),"median", MEDIAN(Instances!JK19:Instances!JK19),"min", MIN(Instances!JK19:Instances!JK19),"max", MAX(Instances!JK19:Instances!JK19),"diff", MAX(Instances!JK19:Instances!JK19)-MIN(Instances!JK19:Instances!JK19))</f>
        <v>0</v>
      </c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 cm="1">
        <f t="array" ref="O20">_xlfn.SWITCH($A$2,"average", AVERAGE(Instances!O20:Instances!O20),"median", MEDIAN(Instances!O20:Instances!O20),"min", MIN(Instances!O20:Instances!O20),"max", MAX(Instances!O20:Instances!O20),"diff", MAX(Instances!O20:Instances!O20)-MIN(Instances!O20:Instances!O20))</f>
        <v>0</v>
      </c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 cm="1">
        <f t="array" ref="S20">_xlfn.SWITCH($A$2,"average", AVERAGE(Instances!S20:Instances!S20),"median", MEDIAN(Instances!S20:Instances!S20),"min", MIN(Instances!S20:Instances!S20),"max", MAX(Instances!S20:Instances!S20),"diff", MAX(Instances!S20:Instances!S20)-MIN(Instances!S20:Instances!S20))</f>
        <v>0</v>
      </c>
      <c r="T20" s="1" cm="1">
        <f t="array" ref="T20">_xlfn.SWITCH($A$2,"average", AVERAGE(Instances!T20:Instances!T20),"median", MEDIAN(Instances!T20:Instances!T20),"min", MIN(Instances!T20:Instances!T20),"max", MAX(Instances!T20:Instances!T20),"diff", MAX(Instances!T20:Instances!T20)-MIN(Instances!T20:Instances!T20))</f>
        <v>0</v>
      </c>
      <c r="U20" s="1" cm="1">
        <f t="array" ref="U20">_xlfn.SWITCH($A$2,"average", AVERAGE(Instances!U20:Instances!U20),"median", MEDIAN(Instances!U20:Instances!U20),"min", MIN(Instances!U20:Instances!U20),"max", MAX(Instances!U20:Instances!U20),"diff", MAX(Instances!U20:Instances!U20)-MIN(Instances!U20:Instances!U20))</f>
        <v>0</v>
      </c>
      <c r="V20" s="1" cm="1">
        <f t="array" ref="V20">_xlfn.SWITCH($A$2,"average", AVERAGE(Instances!V20:Instances!V20),"median", MEDIAN(Instances!V20:Instances!V20),"min", MIN(Instances!V20:Instances!V20),"max", MAX(Instances!V20:Instances!V20),"diff", MAX(Instances!V20:Instances!V20)-MIN(Instances!V20:Instances!V20))</f>
        <v>0</v>
      </c>
      <c r="W20" s="1" cm="1">
        <f t="array" ref="W20">_xlfn.SWITCH($A$2,"average", AVERAGE(Instances!W20:Instances!W20),"median", MEDIAN(Instances!W20:Instances!W20),"min", MIN(Instances!W20:Instances!W20),"max", MAX(Instances!W20:Instances!W20),"diff", MAX(Instances!W20:Instances!W20)-MIN(Instances!W20:Instances!W20))</f>
        <v>0</v>
      </c>
      <c r="X20" s="1" cm="1">
        <f t="array" ref="X20">_xlfn.SWITCH($A$2,"average", AVERAGE(Instances!X20:Instances!X20),"median", MEDIAN(Instances!X20:Instances!X20),"min", MIN(Instances!X20:Instances!X20),"max", MAX(Instances!X20:Instances!X20),"diff", MAX(Instances!X20:Instances!X20)-MIN(Instances!X20:Instances!X20))</f>
        <v>0</v>
      </c>
      <c r="Y20" s="1" cm="1">
        <f t="array" ref="Y20">_xlfn.SWITCH($A$2,"average", AVERAGE(Instances!Y20:Instances!Y20),"median", MEDIAN(Instances!Y20:Instances!Y20),"min", MIN(Instances!Y20:Instances!Y20),"max", MAX(Instances!Y20:Instances!Y20),"diff", MAX(Instances!Y20:Instances!Y20)-MIN(Instances!Y20:Instances!Y20))</f>
        <v>0</v>
      </c>
      <c r="Z20" s="1" cm="1">
        <f t="array" ref="Z20">_xlfn.SWITCH($A$2,"average", AVERAGE(Instances!Z20:Instances!Z20),"median", MEDIAN(Instances!Z20:Instances!Z20),"min", MIN(Instances!Z20:Instances!Z20),"max", MAX(Instances!Z20:Instances!Z20),"diff", MAX(Instances!Z20:Instances!Z20)-MIN(Instances!Z20:Instances!Z20))</f>
        <v>0</v>
      </c>
      <c r="AA20" s="1" cm="1">
        <f t="array" ref="AA20">_xlfn.SWITCH($A$2,"average", AVERAGE(Instances!AA20:Instances!AA20),"median", MEDIAN(Instances!AA20:Instances!AA20),"min", MIN(Instances!AA20:Instances!AA20),"max", MAX(Instances!AA20:Instances!AA20),"diff", MAX(Instances!AA20:Instances!AA20)-MIN(Instances!AA20:Instances!AA20))</f>
        <v>0</v>
      </c>
      <c r="AB20" s="1" cm="1">
        <f t="array" ref="AB20">_xlfn.SWITCH($A$2,"average", AVERAGE(Instances!AB20:Instances!AB20),"median", MEDIAN(Instances!AB20:Instances!AB20),"min", MIN(Instances!AB20:Instances!AB20),"max", MAX(Instances!AB20:Instances!AB20),"diff", MAX(Instances!AB20:Instances!AB20)-MIN(Instances!AB20:Instances!AB20))</f>
        <v>0</v>
      </c>
      <c r="AC20" s="1" cm="1">
        <f t="array" ref="AC20">_xlfn.SWITCH($A$2,"average", AVERAGE(Instances!AC20:Instances!AC20),"median", MEDIAN(Instances!AC20:Instances!AC20),"min", MIN(Instances!AC20:Instances!AC20),"max", MAX(Instances!AC20:Instances!AC20),"diff", MAX(Instances!AC20:Instances!AC20)-MIN(Instances!AC20:Instances!AC20))</f>
        <v>0</v>
      </c>
      <c r="AD20" s="1" cm="1">
        <f t="array" ref="AD20">_xlfn.SWITCH($A$2,"average", AVERAGE(Instances!AD20:Instances!AD20),"median", MEDIAN(Instances!AD20:Instances!AD20),"min", MIN(Instances!AD20:Instances!AD20),"max", MAX(Instances!AD20:Instances!AD20),"diff", MAX(Instances!AD20:Instances!AD20)-MIN(Instances!AD20:Instances!AD20))</f>
        <v>0</v>
      </c>
      <c r="AE20" s="1" cm="1">
        <f t="array" ref="AE20">_xlfn.SWITCH($A$2,"average", AVERAGE(Instances!AE20:Instances!AE20),"median", MEDIAN(Instances!AE20:Instances!AE20),"min", MIN(Instances!AE20:Instances!AE20),"max", MAX(Instances!AE20:Instances!AE20),"diff", MAX(Instances!AE20:Instances!AE20)-MIN(Instances!AE20:Instances!AE20))</f>
        <v>0</v>
      </c>
      <c r="AF20" s="1" cm="1">
        <f t="array" ref="AF20">_xlfn.SWITCH($A$2,"average", AVERAGE(Instances!AF20:Instances!AF20),"median", MEDIAN(Instances!AF20:Instances!AF20),"min", MIN(Instances!AF20:Instances!AF20),"max", MAX(Instances!AF20:Instances!AF20),"diff", MAX(Instances!AF20:Instances!AF20)-MIN(Instances!AF20:Instances!AF20))</f>
        <v>0</v>
      </c>
      <c r="AG20" s="1" cm="1">
        <f t="array" ref="AG20">_xlfn.SWITCH($A$2,"average", AVERAGE(Instances!AG20:Instances!AG20),"median", MEDIAN(Instances!AG20:Instances!AG20),"min", MIN(Instances!AG20:Instances!AG20),"max", MAX(Instances!AG20:Instances!AG20),"diff", MAX(Instances!AG20:Instances!AG20)-MIN(Instances!AG20:Instances!AG20))</f>
        <v>0</v>
      </c>
      <c r="AH20" s="1"/>
      <c r="AI20" s="1" cm="1">
        <f t="array" ref="AI20">_xlfn.SWITCH($A$2,"average", AVERAGE(Instances!AI20:Instances!AI20),"median", MEDIAN(Instances!AI20:Instances!AI20),"min", MIN(Instances!AI20:Instances!AI20),"max", MAX(Instances!AI20:Instances!AI20),"diff", MAX(Instances!AI20:Instances!AI20)-MIN(Instances!AI20:Instances!AI20))</f>
        <v>0</v>
      </c>
      <c r="AJ20" s="1" cm="1">
        <f t="array" ref="AJ20">_xlfn.SWITCH($A$2,"average", AVERAGE(Instances!AJ20:Instances!AJ20),"median", MEDIAN(Instances!AJ20:Instances!AJ20),"min", MIN(Instances!AJ20:Instances!AJ20),"max", MAX(Instances!AJ20:Instances!AJ20),"diff", MAX(Instances!AJ20:Instances!AJ20)-MIN(Instances!AJ20:Instances!AJ20))</f>
        <v>0</v>
      </c>
      <c r="AK20" s="1" cm="1">
        <f t="array" ref="AK20">_xlfn.SWITCH($A$2,"average", AVERAGE(Instances!AK20:Instances!AK20),"median", MEDIAN(Instances!AK20:Instances!AK20),"min", MIN(Instances!AK20:Instances!AK20),"max", MAX(Instances!AK20:Instances!AK20),"diff", MAX(Instances!AK20:Instances!AK20)-MIN(Instances!AK20:Instances!AK20))</f>
        <v>0</v>
      </c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 cm="1">
        <f t="array" ref="CN20">_xlfn.SWITCH($A$2,"average", AVERAGE(Instances!CN20:Instances!CN20),"median", MEDIAN(Instances!CN20:Instances!CN20),"min", MIN(Instances!CN20:Instances!CN20),"max", MAX(Instances!CN20:Instances!CN20),"diff", MAX(Instances!CN20:Instances!CN20)-MIN(Instances!CN20:Instances!CN20))</f>
        <v>0</v>
      </c>
      <c r="CO20" s="1" cm="1">
        <f t="array" ref="CO20">_xlfn.SWITCH($A$2,"average", AVERAGE(Instances!CO20:Instances!CO20),"median", MEDIAN(Instances!CO20:Instances!CO20),"min", MIN(Instances!CO20:Instances!CO20),"max", MAX(Instances!CO20:Instances!CO20),"diff", MAX(Instances!CO20:Instances!CO20)-MIN(Instances!CO20:Instances!CO20))</f>
        <v>0</v>
      </c>
      <c r="CP20" s="1" cm="1">
        <f t="array" ref="CP20">_xlfn.SWITCH($A$2,"average", AVERAGE(Instances!CP20:Instances!CP20),"median", MEDIAN(Instances!CP20:Instances!CP20),"min", MIN(Instances!CP20:Instances!CP20),"max", MAX(Instances!CP20:Instances!CP20),"diff", MAX(Instances!CP20:Instances!CP20)-MIN(Instances!CP20:Instances!CP20))</f>
        <v>0</v>
      </c>
      <c r="CQ20" s="1" cm="1">
        <f t="array" ref="CQ20">_xlfn.SWITCH($A$2,"average", AVERAGE(Instances!CQ20:Instances!CQ20),"median", MEDIAN(Instances!CQ20:Instances!CQ20),"min", MIN(Instances!CQ20:Instances!CQ20),"max", MAX(Instances!CQ20:Instances!CQ20),"diff", MAX(Instances!CQ20:Instances!CQ20)-MIN(Instances!CQ20:Instances!CQ20))</f>
        <v>0</v>
      </c>
      <c r="CR20" s="1" cm="1">
        <f t="array" ref="CR20">_xlfn.SWITCH($A$2,"average", AVERAGE(Instances!CR20:Instances!CR20),"median", MEDIAN(Instances!CR20:Instances!CR20),"min", MIN(Instances!CR20:Instances!CR20),"max", MAX(Instances!CR20:Instances!CR20),"diff", MAX(Instances!CR20:Instances!CR20)-MIN(Instances!CR20:Instances!CR20))</f>
        <v>0</v>
      </c>
      <c r="CS20" s="1" cm="1">
        <f t="array" ref="CS20">_xlfn.SWITCH($A$2,"average", AVERAGE(Instances!CS20:Instances!CS20),"median", MEDIAN(Instances!CS20:Instances!CS20),"min", MIN(Instances!CS20:Instances!CS20),"max", MAX(Instances!CS20:Instances!CS20),"diff", MAX(Instances!CS20:Instances!CS20)-MIN(Instances!CS20:Instances!CS20))</f>
        <v>0</v>
      </c>
      <c r="CT20" s="1" cm="1">
        <f t="array" ref="CT20">_xlfn.SWITCH($A$2,"average", AVERAGE(Instances!CT20:Instances!CT20),"median", MEDIAN(Instances!CT20:Instances!CT20),"min", MIN(Instances!CT20:Instances!CT20),"max", MAX(Instances!CT20:Instances!CT20),"diff", MAX(Instances!CT20:Instances!CT20)-MIN(Instances!CT20:Instances!CT20))</f>
        <v>0</v>
      </c>
      <c r="CU20" s="1" cm="1">
        <f t="array" ref="CU20">_xlfn.SWITCH($A$2,"average", AVERAGE(Instances!CU20:Instances!CU20),"median", MEDIAN(Instances!CU20:Instances!CU20),"min", MIN(Instances!CU20:Instances!CU20),"max", MAX(Instances!CU20:Instances!CU20),"diff", MAX(Instances!CU20:Instances!CU20)-MIN(Instances!CU20:Instances!CU20))</f>
        <v>0</v>
      </c>
      <c r="CV20" s="1" cm="1">
        <f t="array" ref="CV20">_xlfn.SWITCH($A$2,"average", AVERAGE(Instances!CV20:Instances!CV20),"median", MEDIAN(Instances!CV20:Instances!CV20),"min", MIN(Instances!CV20:Instances!CV20),"max", MAX(Instances!CV20:Instances!CV20),"diff", MAX(Instances!CV20:Instances!CV20)-MIN(Instances!CV20:Instances!CV20))</f>
        <v>0</v>
      </c>
      <c r="CW20" s="1" cm="1">
        <f t="array" ref="CW20">_xlfn.SWITCH($A$2,"average", AVERAGE(Instances!CW20:Instances!CW20),"median", MEDIAN(Instances!CW20:Instances!CW20),"min", MIN(Instances!CW20:Instances!CW20),"max", MAX(Instances!CW20:Instances!CW20),"diff", MAX(Instances!CW20:Instances!CW20)-MIN(Instances!CW20:Instances!CW20))</f>
        <v>0</v>
      </c>
      <c r="CX20" s="1" cm="1">
        <f t="array" ref="CX20">_xlfn.SWITCH($A$2,"average", AVERAGE(Instances!CX20:Instances!CX20),"median", MEDIAN(Instances!CX20:Instances!CX20),"min", MIN(Instances!CX20:Instances!CX20),"max", MAX(Instances!CX20:Instances!CX20),"diff", MAX(Instances!CX20:Instances!CX20)-MIN(Instances!CX20:Instances!CX20))</f>
        <v>0</v>
      </c>
      <c r="CY20" s="1" cm="1">
        <f t="array" ref="CY20">_xlfn.SWITCH($A$2,"average", AVERAGE(Instances!CY20:Instances!CY20),"median", MEDIAN(Instances!CY20:Instances!CY20),"min", MIN(Instances!CY20:Instances!CY20),"max", MAX(Instances!CY20:Instances!CY20),"diff", MAX(Instances!CY20:Instances!CY20)-MIN(Instances!CY20:Instances!CY20))</f>
        <v>0</v>
      </c>
      <c r="CZ20" s="1" cm="1">
        <f t="array" ref="CZ20">_xlfn.SWITCH($A$2,"average", AVERAGE(Instances!CZ20:Instances!CZ20),"median", MEDIAN(Instances!CZ20:Instances!CZ20),"min", MIN(Instances!CZ20:Instances!CZ20),"max", MAX(Instances!CZ20:Instances!CZ20),"diff", MAX(Instances!CZ20:Instances!CZ20)-MIN(Instances!CZ20:Instances!CZ20))</f>
        <v>0</v>
      </c>
      <c r="DA20" s="1" cm="1">
        <f t="array" ref="DA20">_xlfn.SWITCH($A$2,"average", AVERAGE(Instances!DA20:Instances!DA20),"median", MEDIAN(Instances!DA20:Instances!DA20),"min", MIN(Instances!DA20:Instances!DA20),"max", MAX(Instances!DA20:Instances!DA20),"diff", MAX(Instances!DA20:Instances!DA20)-MIN(Instances!DA20:Instances!DA20))</f>
        <v>0</v>
      </c>
      <c r="DB20" s="1"/>
      <c r="DC20" s="1" cm="1">
        <f t="array" ref="DC20">_xlfn.SWITCH($A$2,"average", AVERAGE(Instances!DC20:Instances!DC20),"median", MEDIAN(Instances!DC20:Instances!DC20),"min", MIN(Instances!DC20:Instances!DC20),"max", MAX(Instances!DC20:Instances!DC20),"diff", MAX(Instances!DC20:Instances!DC20)-MIN(Instances!DC20:Instances!DC20))</f>
        <v>0</v>
      </c>
      <c r="DD20" s="1" cm="1">
        <f t="array" ref="DD20">_xlfn.SWITCH($A$2,"average", AVERAGE(Instances!DD20:Instances!DD20),"median", MEDIAN(Instances!DD20:Instances!DD20),"min", MIN(Instances!DD20:Instances!DD20),"max", MAX(Instances!DD20:Instances!DD20),"diff", MAX(Instances!DD20:Instances!DD20)-MIN(Instances!DD20:Instances!DD20))</f>
        <v>0</v>
      </c>
      <c r="DE20" s="1" cm="1">
        <f t="array" ref="DE20">_xlfn.SWITCH($A$2,"average", AVERAGE(Instances!DE20:Instances!DE20),"median", MEDIAN(Instances!DE20:Instances!DE20),"min", MIN(Instances!DE20:Instances!DE20),"max", MAX(Instances!DE20:Instances!DE20),"diff", MAX(Instances!DE20:Instances!DE20)-MIN(Instances!DE20:Instances!DE20))</f>
        <v>0</v>
      </c>
      <c r="DF20" s="1" cm="1">
        <f t="array" ref="DF20">_xlfn.SWITCH($A$2,"average", AVERAGE(Instances!DF20:Instances!DF20),"median", MEDIAN(Instances!DF20:Instances!DF20),"min", MIN(Instances!DF20:Instances!DF20),"max", MAX(Instances!DF20:Instances!DF20),"diff", MAX(Instances!DF20:Instances!DF20)-MIN(Instances!DF20:Instances!DF20))</f>
        <v>0</v>
      </c>
      <c r="DG20" s="1" cm="1">
        <f t="array" ref="DG20">_xlfn.SWITCH($A$2,"average", AVERAGE(Instances!DG20:Instances!DG20),"median", MEDIAN(Instances!DG20:Instances!DG20),"min", MIN(Instances!DG20:Instances!DG20),"max", MAX(Instances!DG20:Instances!DG20),"diff", MAX(Instances!DG20:Instances!DG20)-MIN(Instances!DG20:Instances!DG20))</f>
        <v>0</v>
      </c>
      <c r="DH20" s="1" cm="1">
        <f t="array" ref="DH20">_xlfn.SWITCH($A$2,"average", AVERAGE(Instances!DH20:Instances!DH20),"median", MEDIAN(Instances!DH20:Instances!DH20),"min", MIN(Instances!DH20:Instances!DH20),"max", MAX(Instances!DH20:Instances!DH20),"diff", MAX(Instances!DH20:Instances!DH20)-MIN(Instances!DH20:Instances!DH20))</f>
        <v>0</v>
      </c>
      <c r="DI20" s="1" cm="1">
        <f t="array" ref="DI20">_xlfn.SWITCH($A$2,"average", AVERAGE(Instances!DI20:Instances!DI20),"median", MEDIAN(Instances!DI20:Instances!DI20),"min", MIN(Instances!DI20:Instances!DI20),"max", MAX(Instances!DI20:Instances!DI20),"diff", MAX(Instances!DI20:Instances!DI20)-MIN(Instances!DI20:Instances!DI20))</f>
        <v>0</v>
      </c>
      <c r="DJ20" s="1" cm="1">
        <f t="array" ref="DJ20">_xlfn.SWITCH($A$2,"average", AVERAGE(Instances!DJ20:Instances!DJ20),"median", MEDIAN(Instances!DJ20:Instances!DJ20),"min", MIN(Instances!DJ20:Instances!DJ20),"max", MAX(Instances!DJ20:Instances!DJ20),"diff", MAX(Instances!DJ20:Instances!DJ20)-MIN(Instances!DJ20:Instances!DJ20))</f>
        <v>0</v>
      </c>
      <c r="DK20" s="1" cm="1">
        <f t="array" ref="DK20">_xlfn.SWITCH($A$2,"average", AVERAGE(Instances!DK20:Instances!DK20),"median", MEDIAN(Instances!DK20:Instances!DK20),"min", MIN(Instances!DK20:Instances!DK20),"max", MAX(Instances!DK20:Instances!DK20),"diff", MAX(Instances!DK20:Instances!DK20)-MIN(Instances!DK20:Instances!DK20))</f>
        <v>0</v>
      </c>
      <c r="DL20" s="1" cm="1">
        <f t="array" ref="DL20">_xlfn.SWITCH($A$2,"average", AVERAGE(Instances!DL20:Instances!DL20),"median", MEDIAN(Instances!DL20:Instances!DL20),"min", MIN(Instances!DL20:Instances!DL20),"max", MAX(Instances!DL20:Instances!DL20),"diff", MAX(Instances!DL20:Instances!DL20)-MIN(Instances!DL20:Instances!DL20))</f>
        <v>0</v>
      </c>
      <c r="DM20" s="1" cm="1">
        <f t="array" ref="DM20">_xlfn.SWITCH($A$2,"average", AVERAGE(Instances!DM20:Instances!DM20),"median", MEDIAN(Instances!DM20:Instances!DM20),"min", MIN(Instances!DM20:Instances!DM20),"max", MAX(Instances!DM20:Instances!DM20),"diff", MAX(Instances!DM20:Instances!DM20)-MIN(Instances!DM20:Instances!DM20))</f>
        <v>0</v>
      </c>
      <c r="DN20" s="1" cm="1">
        <f t="array" ref="DN20">_xlfn.SWITCH($A$2,"average", AVERAGE(Instances!DN20:Instances!DN20),"median", MEDIAN(Instances!DN20:Instances!DN20),"min", MIN(Instances!DN20:Instances!DN20),"max", MAX(Instances!DN20:Instances!DN20),"diff", MAX(Instances!DN20:Instances!DN20)-MIN(Instances!DN20:Instances!DN20))</f>
        <v>0</v>
      </c>
      <c r="DO20" s="1" cm="1">
        <f t="array" ref="DO20">_xlfn.SWITCH($A$2,"average", AVERAGE(Instances!DO20:Instances!DO20),"median", MEDIAN(Instances!DO20:Instances!DO20),"min", MIN(Instances!DO20:Instances!DO20),"max", MAX(Instances!DO20:Instances!DO20),"diff", MAX(Instances!DO20:Instances!DO20)-MIN(Instances!DO20:Instances!DO20))</f>
        <v>0</v>
      </c>
      <c r="DP20" s="1" cm="1">
        <f t="array" ref="DP20">_xlfn.SWITCH($A$2,"average", AVERAGE(Instances!DP20:Instances!DP20),"median", MEDIAN(Instances!DP20:Instances!DP20),"min", MIN(Instances!DP20:Instances!DP20),"max", MAX(Instances!DP20:Instances!DP20),"diff", MAX(Instances!DP20:Instances!DP20)-MIN(Instances!DP20:Instances!DP20))</f>
        <v>0</v>
      </c>
      <c r="DQ20" s="1" cm="1">
        <f t="array" ref="DQ20">_xlfn.SWITCH($A$2,"average", AVERAGE(Instances!DQ20:Instances!DQ20),"median", MEDIAN(Instances!DQ20:Instances!DQ20),"min", MIN(Instances!DQ20:Instances!DQ20),"max", MAX(Instances!DQ20:Instances!DQ20),"diff", MAX(Instances!DQ20:Instances!DQ20)-MIN(Instances!DQ20:Instances!DQ20))</f>
        <v>0</v>
      </c>
      <c r="DR20" s="1" cm="1">
        <f t="array" ref="DR20">_xlfn.SWITCH($A$2,"average", AVERAGE(Instances!DR20:Instances!DR20),"median", MEDIAN(Instances!DR20:Instances!DR20),"min", MIN(Instances!DR20:Instances!DR20),"max", MAX(Instances!DR20:Instances!DR20),"diff", MAX(Instances!DR20:Instances!DR20)-MIN(Instances!DR20:Instances!DR20))</f>
        <v>0</v>
      </c>
      <c r="DS20" s="1" cm="1">
        <f t="array" ref="DS20">_xlfn.SWITCH($A$2,"average", AVERAGE(Instances!DS20:Instances!DS20),"median", MEDIAN(Instances!DS20:Instances!DS20),"min", MIN(Instances!DS20:Instances!DS20),"max", MAX(Instances!DS20:Instances!DS20),"diff", MAX(Instances!DS20:Instances!DS20)-MIN(Instances!DS20:Instances!DS20))</f>
        <v>0</v>
      </c>
      <c r="DT20" s="1"/>
      <c r="DU20" s="1" cm="1">
        <f t="array" ref="DU20">_xlfn.SWITCH($A$2,"average", AVERAGE(Instances!DU20:Instances!DU20),"median", MEDIAN(Instances!DU20:Instances!DU20),"min", MIN(Instances!DU20:Instances!DU20),"max", MAX(Instances!DU20:Instances!DU20),"diff", MAX(Instances!DU20:Instances!DU20)-MIN(Instances!DU20:Instances!DU20))</f>
        <v>0</v>
      </c>
      <c r="DV20" s="1" cm="1">
        <f t="array" ref="DV20">_xlfn.SWITCH($A$2,"average", AVERAGE(Instances!DV20:Instances!DV20),"median", MEDIAN(Instances!DV20:Instances!DV20),"min", MIN(Instances!DV20:Instances!DV20),"max", MAX(Instances!DV20:Instances!DV20),"diff", MAX(Instances!DV20:Instances!DV20)-MIN(Instances!DV20:Instances!DV20))</f>
        <v>0</v>
      </c>
      <c r="DW20" s="1" cm="1">
        <f t="array" ref="DW20">_xlfn.SWITCH($A$2,"average", AVERAGE(Instances!DW20:Instances!DW20),"median", MEDIAN(Instances!DW20:Instances!DW20),"min", MIN(Instances!DW20:Instances!DW20),"max", MAX(Instances!DW20:Instances!DW20),"diff", MAX(Instances!DW20:Instances!DW20)-MIN(Instances!DW20:Instances!DW20))</f>
        <v>0</v>
      </c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 cm="1">
        <f t="array" ref="FH20">_xlfn.SWITCH($A$2,"average", AVERAGE(Instances!FH20:Instances!FH20),"median", MEDIAN(Instances!FH20:Instances!FH20),"min", MIN(Instances!FH20:Instances!FH20),"max", MAX(Instances!FH20:Instances!FH20),"diff", MAX(Instances!FH20:Instances!FH20)-MIN(Instances!FH20:Instances!FH20))</f>
        <v>0</v>
      </c>
      <c r="FI20" s="1" cm="1">
        <f t="array" ref="FI20">_xlfn.SWITCH($A$2,"average", AVERAGE(Instances!FI20:Instances!FI20),"median", MEDIAN(Instances!FI20:Instances!FI20),"min", MIN(Instances!FI20:Instances!FI20),"max", MAX(Instances!FI20:Instances!FI20),"diff", MAX(Instances!FI20:Instances!FI20)-MIN(Instances!FI20:Instances!FI20))</f>
        <v>0</v>
      </c>
      <c r="FJ20" s="1" cm="1">
        <f t="array" ref="FJ20">_xlfn.SWITCH($A$2,"average", AVERAGE(Instances!FJ20:Instances!FJ20),"median", MEDIAN(Instances!FJ20:Instances!FJ20),"min", MIN(Instances!FJ20:Instances!FJ20),"max", MAX(Instances!FJ20:Instances!FJ20),"diff", MAX(Instances!FJ20:Instances!FJ20)-MIN(Instances!FJ20:Instances!FJ20))</f>
        <v>0</v>
      </c>
      <c r="FK20" s="1" cm="1">
        <f t="array" ref="FK20">_xlfn.SWITCH($A$2,"average", AVERAGE(Instances!FK20:Instances!FK20),"median", MEDIAN(Instances!FK20:Instances!FK20),"min", MIN(Instances!FK20:Instances!FK20),"max", MAX(Instances!FK20:Instances!FK20),"diff", MAX(Instances!FK20:Instances!FK20)-MIN(Instances!FK20:Instances!FK20))</f>
        <v>0</v>
      </c>
      <c r="FL20" s="1" cm="1">
        <f t="array" ref="FL20">_xlfn.SWITCH($A$2,"average", AVERAGE(Instances!FL20:Instances!FL20),"median", MEDIAN(Instances!FL20:Instances!FL20),"min", MIN(Instances!FL20:Instances!FL20),"max", MAX(Instances!FL20:Instances!FL20),"diff", MAX(Instances!FL20:Instances!FL20)-MIN(Instances!FL20:Instances!FL20))</f>
        <v>0</v>
      </c>
      <c r="FM20" s="1" cm="1">
        <f t="array" ref="FM20">_xlfn.SWITCH($A$2,"average", AVERAGE(Instances!FM20:Instances!FM20),"median", MEDIAN(Instances!FM20:Instances!FM20),"min", MIN(Instances!FM20:Instances!FM20),"max", MAX(Instances!FM20:Instances!FM20),"diff", MAX(Instances!FM20:Instances!FM20)-MIN(Instances!FM20:Instances!FM20))</f>
        <v>0</v>
      </c>
      <c r="FN20" s="1" cm="1">
        <f t="array" ref="FN20">_xlfn.SWITCH($A$2,"average", AVERAGE(Instances!FN20:Instances!FN20),"median", MEDIAN(Instances!FN20:Instances!FN20),"min", MIN(Instances!FN20:Instances!FN20),"max", MAX(Instances!FN20:Instances!FN20),"diff", MAX(Instances!FN20:Instances!FN20)-MIN(Instances!FN20:Instances!FN20))</f>
        <v>0</v>
      </c>
      <c r="FO20" s="1" cm="1">
        <f t="array" ref="FO20">_xlfn.SWITCH($A$2,"average", AVERAGE(Instances!FO20:Instances!FO20),"median", MEDIAN(Instances!FO20:Instances!FO20),"min", MIN(Instances!FO20:Instances!FO20),"max", MAX(Instances!FO20:Instances!FO20),"diff", MAX(Instances!FO20:Instances!FO20)-MIN(Instances!FO20:Instances!FO20))</f>
        <v>0</v>
      </c>
      <c r="FP20" s="1" cm="1">
        <f t="array" ref="FP20">_xlfn.SWITCH($A$2,"average", AVERAGE(Instances!FP20:Instances!FP20),"median", MEDIAN(Instances!FP20:Instances!FP20),"min", MIN(Instances!FP20:Instances!FP20),"max", MAX(Instances!FP20:Instances!FP20),"diff", MAX(Instances!FP20:Instances!FP20)-MIN(Instances!FP20:Instances!FP20))</f>
        <v>0</v>
      </c>
      <c r="FQ20" s="1" cm="1">
        <f t="array" ref="FQ20">_xlfn.SWITCH($A$2,"average", AVERAGE(Instances!FQ20:Instances!FQ20),"median", MEDIAN(Instances!FQ20:Instances!FQ20),"min", MIN(Instances!FQ20:Instances!FQ20),"max", MAX(Instances!FQ20:Instances!FQ20),"diff", MAX(Instances!FQ20:Instances!FQ20)-MIN(Instances!FQ20:Instances!FQ20))</f>
        <v>0</v>
      </c>
      <c r="FR20" s="1" cm="1">
        <f t="array" ref="FR20">_xlfn.SWITCH($A$2,"average", AVERAGE(Instances!FR20:Instances!FR20),"median", MEDIAN(Instances!FR20:Instances!FR20),"min", MIN(Instances!FR20:Instances!FR20),"max", MAX(Instances!FR20:Instances!FR20),"diff", MAX(Instances!FR20:Instances!FR20)-MIN(Instances!FR20:Instances!FR20))</f>
        <v>0</v>
      </c>
      <c r="FS20" s="1" cm="1">
        <f t="array" ref="FS20">_xlfn.SWITCH($A$2,"average", AVERAGE(Instances!FS20:Instances!FS20),"median", MEDIAN(Instances!FS20:Instances!FS20),"min", MIN(Instances!FS20:Instances!FS20),"max", MAX(Instances!FS20:Instances!FS20),"diff", MAX(Instances!FS20:Instances!FS20)-MIN(Instances!FS20:Instances!FS20))</f>
        <v>0</v>
      </c>
      <c r="FT20" s="1" cm="1">
        <f t="array" ref="FT20">_xlfn.SWITCH($A$2,"average", AVERAGE(Instances!FT20:Instances!FT20),"median", MEDIAN(Instances!FT20:Instances!FT20),"min", MIN(Instances!FT20:Instances!FT20),"max", MAX(Instances!FT20:Instances!FT20),"diff", MAX(Instances!FT20:Instances!FT20)-MIN(Instances!FT20:Instances!FT20))</f>
        <v>0</v>
      </c>
      <c r="FU20" s="1" cm="1">
        <f t="array" ref="FU20">_xlfn.SWITCH($A$2,"average", AVERAGE(Instances!FU20:Instances!FU20),"median", MEDIAN(Instances!FU20:Instances!FU20),"min", MIN(Instances!FU20:Instances!FU20),"max", MAX(Instances!FU20:Instances!FU20),"diff", MAX(Instances!FU20:Instances!FU20)-MIN(Instances!FU20:Instances!FU20))</f>
        <v>0</v>
      </c>
      <c r="FV20" s="1"/>
      <c r="FW20" s="1" cm="1">
        <f t="array" ref="FW20">_xlfn.SWITCH($A$2,"average", AVERAGE(Instances!FW20:Instances!FW20),"median", MEDIAN(Instances!FW20:Instances!FW20),"min", MIN(Instances!FW20:Instances!FW20),"max", MAX(Instances!FW20:Instances!FW20),"diff", MAX(Instances!FW20:Instances!FW20)-MIN(Instances!FW20:Instances!FW20))</f>
        <v>0</v>
      </c>
      <c r="FX20" s="1" cm="1">
        <f t="array" ref="FX20">_xlfn.SWITCH($A$2,"average", AVERAGE(Instances!FX20:Instances!FX20),"median", MEDIAN(Instances!FX20:Instances!FX20),"min", MIN(Instances!FX20:Instances!FX20),"max", MAX(Instances!FX20:Instances!FX20),"diff", MAX(Instances!FX20:Instances!FX20)-MIN(Instances!FX20:Instances!FX20))</f>
        <v>0</v>
      </c>
      <c r="FY20" s="1" cm="1">
        <f t="array" ref="FY20">_xlfn.SWITCH($A$2,"average", AVERAGE(Instances!FY20:Instances!FY20),"median", MEDIAN(Instances!FY20:Instances!FY20),"min", MIN(Instances!FY20:Instances!FY20),"max", MAX(Instances!FY20:Instances!FY20),"diff", MAX(Instances!FY20:Instances!FY20)-MIN(Instances!FY20:Instances!FY20))</f>
        <v>0</v>
      </c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 cm="1">
        <f t="array" ref="IB20">_xlfn.SWITCH($A$2,"average", AVERAGE(Instances!IB20:Instances!IB20),"median", MEDIAN(Instances!IB20:Instances!IB20),"min", MIN(Instances!IB20:Instances!IB20),"max", MAX(Instances!IB20:Instances!IB20),"diff", MAX(Instances!IB20:Instances!IB20)-MIN(Instances!IB20:Instances!IB20))</f>
        <v>0</v>
      </c>
      <c r="IC20" s="1" cm="1">
        <f t="array" ref="IC20">_xlfn.SWITCH($A$2,"average", AVERAGE(Instances!IC20:Instances!IC20),"median", MEDIAN(Instances!IC20:Instances!IC20),"min", MIN(Instances!IC20:Instances!IC20),"max", MAX(Instances!IC20:Instances!IC20),"diff", MAX(Instances!IC20:Instances!IC20)-MIN(Instances!IC20:Instances!IC20))</f>
        <v>0</v>
      </c>
      <c r="ID20" s="1" cm="1">
        <f t="array" ref="ID20">_xlfn.SWITCH($A$2,"average", AVERAGE(Instances!ID20:Instances!ID20),"median", MEDIAN(Instances!ID20:Instances!ID20),"min", MIN(Instances!ID20:Instances!ID20),"max", MAX(Instances!ID20:Instances!ID20),"diff", MAX(Instances!ID20:Instances!ID20)-MIN(Instances!ID20:Instances!ID20))</f>
        <v>0</v>
      </c>
      <c r="IE20" s="1" cm="1">
        <f t="array" ref="IE20">_xlfn.SWITCH($A$2,"average", AVERAGE(Instances!IE20:Instances!IE20),"median", MEDIAN(Instances!IE20:Instances!IE20),"min", MIN(Instances!IE20:Instances!IE20),"max", MAX(Instances!IE20:Instances!IE20),"diff", MAX(Instances!IE20:Instances!IE20)-MIN(Instances!IE20:Instances!IE20))</f>
        <v>0</v>
      </c>
      <c r="IF20" s="1" cm="1">
        <f t="array" ref="IF20">_xlfn.SWITCH($A$2,"average", AVERAGE(Instances!IF20:Instances!IF20),"median", MEDIAN(Instances!IF20:Instances!IF20),"min", MIN(Instances!IF20:Instances!IF20),"max", MAX(Instances!IF20:Instances!IF20),"diff", MAX(Instances!IF20:Instances!IF20)-MIN(Instances!IF20:Instances!IF20))</f>
        <v>0</v>
      </c>
      <c r="IG20" s="1" cm="1">
        <f t="array" ref="IG20">_xlfn.SWITCH($A$2,"average", AVERAGE(Instances!IG20:Instances!IG20),"median", MEDIAN(Instances!IG20:Instances!IG20),"min", MIN(Instances!IG20:Instances!IG20),"max", MAX(Instances!IG20:Instances!IG20),"diff", MAX(Instances!IG20:Instances!IG20)-MIN(Instances!IG20:Instances!IG20))</f>
        <v>0</v>
      </c>
      <c r="IH20" s="1" cm="1">
        <f t="array" ref="IH20">_xlfn.SWITCH($A$2,"average", AVERAGE(Instances!IH20:Instances!IH20),"median", MEDIAN(Instances!IH20:Instances!IH20),"min", MIN(Instances!IH20:Instances!IH20),"max", MAX(Instances!IH20:Instances!IH20),"diff", MAX(Instances!IH20:Instances!IH20)-MIN(Instances!IH20:Instances!IH20))</f>
        <v>0</v>
      </c>
      <c r="II20" s="1" cm="1">
        <f t="array" ref="II20">_xlfn.SWITCH($A$2,"average", AVERAGE(Instances!II20:Instances!II20),"median", MEDIAN(Instances!II20:Instances!II20),"min", MIN(Instances!II20:Instances!II20),"max", MAX(Instances!II20:Instances!II20),"diff", MAX(Instances!II20:Instances!II20)-MIN(Instances!II20:Instances!II20))</f>
        <v>0</v>
      </c>
      <c r="IJ20" s="1" cm="1">
        <f t="array" ref="IJ20">_xlfn.SWITCH($A$2,"average", AVERAGE(Instances!IJ20:Instances!IJ20),"median", MEDIAN(Instances!IJ20:Instances!IJ20),"min", MIN(Instances!IJ20:Instances!IJ20),"max", MAX(Instances!IJ20:Instances!IJ20),"diff", MAX(Instances!IJ20:Instances!IJ20)-MIN(Instances!IJ20:Instances!IJ20))</f>
        <v>0</v>
      </c>
      <c r="IK20" s="1" cm="1">
        <f t="array" ref="IK20">_xlfn.SWITCH($A$2,"average", AVERAGE(Instances!IK20:Instances!IK20),"median", MEDIAN(Instances!IK20:Instances!IK20),"min", MIN(Instances!IK20:Instances!IK20),"max", MAX(Instances!IK20:Instances!IK20),"diff", MAX(Instances!IK20:Instances!IK20)-MIN(Instances!IK20:Instances!IK20))</f>
        <v>0</v>
      </c>
      <c r="IL20" s="1" cm="1">
        <f t="array" ref="IL20">_xlfn.SWITCH($A$2,"average", AVERAGE(Instances!IL20:Instances!IL20),"median", MEDIAN(Instances!IL20:Instances!IL20),"min", MIN(Instances!IL20:Instances!IL20),"max", MAX(Instances!IL20:Instances!IL20),"diff", MAX(Instances!IL20:Instances!IL20)-MIN(Instances!IL20:Instances!IL20))</f>
        <v>0</v>
      </c>
      <c r="IM20" s="1" cm="1">
        <f t="array" ref="IM20">_xlfn.SWITCH($A$2,"average", AVERAGE(Instances!IM20:Instances!IM20),"median", MEDIAN(Instances!IM20:Instances!IM20),"min", MIN(Instances!IM20:Instances!IM20),"max", MAX(Instances!IM20:Instances!IM20),"diff", MAX(Instances!IM20:Instances!IM20)-MIN(Instances!IM20:Instances!IM20))</f>
        <v>0</v>
      </c>
      <c r="IN20" s="1" cm="1">
        <f t="array" ref="IN20">_xlfn.SWITCH($A$2,"average", AVERAGE(Instances!IN20:Instances!IN20),"median", MEDIAN(Instances!IN20:Instances!IN20),"min", MIN(Instances!IN20:Instances!IN20),"max", MAX(Instances!IN20:Instances!IN20),"diff", MAX(Instances!IN20:Instances!IN20)-MIN(Instances!IN20:Instances!IN20))</f>
        <v>0</v>
      </c>
      <c r="IO20" s="1" cm="1">
        <f t="array" ref="IO20">_xlfn.SWITCH($A$2,"average", AVERAGE(Instances!IO20:Instances!IO20),"median", MEDIAN(Instances!IO20:Instances!IO20),"min", MIN(Instances!IO20:Instances!IO20),"max", MAX(Instances!IO20:Instances!IO20),"diff", MAX(Instances!IO20:Instances!IO20)-MIN(Instances!IO20:Instances!IO20))</f>
        <v>0</v>
      </c>
      <c r="IP20" s="1"/>
      <c r="IQ20" s="1" cm="1">
        <f t="array" ref="IQ20">_xlfn.SWITCH($A$2,"average", AVERAGE(Instances!IQ20:Instances!IQ20),"median", MEDIAN(Instances!IQ20:Instances!IQ20),"min", MIN(Instances!IQ20:Instances!IQ20),"max", MAX(Instances!IQ20:Instances!IQ20),"diff", MAX(Instances!IQ20:Instances!IQ20)-MIN(Instances!IQ20:Instances!IQ20))</f>
        <v>0</v>
      </c>
      <c r="IR20" s="1" cm="1">
        <f t="array" ref="IR20">_xlfn.SWITCH($A$2,"average", AVERAGE(Instances!IR20:Instances!IR20),"median", MEDIAN(Instances!IR20:Instances!IR20),"min", MIN(Instances!IR20:Instances!IR20),"max", MAX(Instances!IR20:Instances!IR20),"diff", MAX(Instances!IR20:Instances!IR20)-MIN(Instances!IR20:Instances!IR20))</f>
        <v>0</v>
      </c>
      <c r="IS20" s="1" cm="1">
        <f t="array" ref="IS20">_xlfn.SWITCH($A$2,"average", AVERAGE(Instances!IS20:Instances!IS20),"median", MEDIAN(Instances!IS20:Instances!IS20),"min", MIN(Instances!IS20:Instances!IS20),"max", MAX(Instances!IS20:Instances!IS20),"diff", MAX(Instances!IS20:Instances!IS20)-MIN(Instances!IS20:Instances!IS20))</f>
        <v>0</v>
      </c>
      <c r="IT20" s="1" cm="1">
        <f t="array" ref="IT20">_xlfn.SWITCH($A$2,"average", AVERAGE(Instances!IT20:Instances!IT20),"median", MEDIAN(Instances!IT20:Instances!IT20),"min", MIN(Instances!IT20:Instances!IT20),"max", MAX(Instances!IT20:Instances!IT20),"diff", MAX(Instances!IT20:Instances!IT20)-MIN(Instances!IT20:Instances!IT20))</f>
        <v>0</v>
      </c>
      <c r="IU20" s="1" cm="1">
        <f t="array" ref="IU20">_xlfn.SWITCH($A$2,"average", AVERAGE(Instances!IU20:Instances!IU20),"median", MEDIAN(Instances!IU20:Instances!IU20),"min", MIN(Instances!IU20:Instances!IU20),"max", MAX(Instances!IU20:Instances!IU20),"diff", MAX(Instances!IU20:Instances!IU20)-MIN(Instances!IU20:Instances!IU20))</f>
        <v>0</v>
      </c>
      <c r="IV20" s="1" cm="1">
        <f t="array" ref="IV20">_xlfn.SWITCH($A$2,"average", AVERAGE(Instances!IV20:Instances!IV20),"median", MEDIAN(Instances!IV20:Instances!IV20),"min", MIN(Instances!IV20:Instances!IV20),"max", MAX(Instances!IV20:Instances!IV20),"diff", MAX(Instances!IV20:Instances!IV20)-MIN(Instances!IV20:Instances!IV20))</f>
        <v>0</v>
      </c>
      <c r="IW20" s="1" cm="1">
        <f t="array" ref="IW20">_xlfn.SWITCH($A$2,"average", AVERAGE(Instances!IW20:Instances!IW20),"median", MEDIAN(Instances!IW20:Instances!IW20),"min", MIN(Instances!IW20:Instances!IW20),"max", MAX(Instances!IW20:Instances!IW20),"diff", MAX(Instances!IW20:Instances!IW20)-MIN(Instances!IW20:Instances!IW20))</f>
        <v>0</v>
      </c>
      <c r="IX20" s="1" cm="1">
        <f t="array" ref="IX20">_xlfn.SWITCH($A$2,"average", AVERAGE(Instances!IX20:Instances!IX20),"median", MEDIAN(Instances!IX20:Instances!IX20),"min", MIN(Instances!IX20:Instances!IX20),"max", MAX(Instances!IX20:Instances!IX20),"diff", MAX(Instances!IX20:Instances!IX20)-MIN(Instances!IX20:Instances!IX20))</f>
        <v>0</v>
      </c>
      <c r="IY20" s="1" cm="1">
        <f t="array" ref="IY20">_xlfn.SWITCH($A$2,"average", AVERAGE(Instances!IY20:Instances!IY20),"median", MEDIAN(Instances!IY20:Instances!IY20),"min", MIN(Instances!IY20:Instances!IY20),"max", MAX(Instances!IY20:Instances!IY20),"diff", MAX(Instances!IY20:Instances!IY20)-MIN(Instances!IY20:Instances!IY20))</f>
        <v>0</v>
      </c>
      <c r="IZ20" s="1" cm="1">
        <f t="array" ref="IZ20">_xlfn.SWITCH($A$2,"average", AVERAGE(Instances!IZ20:Instances!IZ20),"median", MEDIAN(Instances!IZ20:Instances!IZ20),"min", MIN(Instances!IZ20:Instances!IZ20),"max", MAX(Instances!IZ20:Instances!IZ20),"diff", MAX(Instances!IZ20:Instances!IZ20)-MIN(Instances!IZ20:Instances!IZ20))</f>
        <v>0</v>
      </c>
      <c r="JA20" s="1" cm="1">
        <f t="array" ref="JA20">_xlfn.SWITCH($A$2,"average", AVERAGE(Instances!JA20:Instances!JA20),"median", MEDIAN(Instances!JA20:Instances!JA20),"min", MIN(Instances!JA20:Instances!JA20),"max", MAX(Instances!JA20:Instances!JA20),"diff", MAX(Instances!JA20:Instances!JA20)-MIN(Instances!JA20:Instances!JA20))</f>
        <v>0</v>
      </c>
      <c r="JB20" s="1" cm="1">
        <f t="array" ref="JB20">_xlfn.SWITCH($A$2,"average", AVERAGE(Instances!JB20:Instances!JB20),"median", MEDIAN(Instances!JB20:Instances!JB20),"min", MIN(Instances!JB20:Instances!JB20),"max", MAX(Instances!JB20:Instances!JB20),"diff", MAX(Instances!JB20:Instances!JB20)-MIN(Instances!JB20:Instances!JB20))</f>
        <v>0</v>
      </c>
      <c r="JC20" s="1" cm="1">
        <f t="array" ref="JC20">_xlfn.SWITCH($A$2,"average", AVERAGE(Instances!JC20:Instances!JC20),"median", MEDIAN(Instances!JC20:Instances!JC20),"min", MIN(Instances!JC20:Instances!JC20),"max", MAX(Instances!JC20:Instances!JC20),"diff", MAX(Instances!JC20:Instances!JC20)-MIN(Instances!JC20:Instances!JC20))</f>
        <v>0</v>
      </c>
      <c r="JD20" s="1" cm="1">
        <f t="array" ref="JD20">_xlfn.SWITCH($A$2,"average", AVERAGE(Instances!JD20:Instances!JD20),"median", MEDIAN(Instances!JD20:Instances!JD20),"min", MIN(Instances!JD20:Instances!JD20),"max", MAX(Instances!JD20:Instances!JD20),"diff", MAX(Instances!JD20:Instances!JD20)-MIN(Instances!JD20:Instances!JD20))</f>
        <v>0</v>
      </c>
      <c r="JE20" s="1" cm="1">
        <f t="array" ref="JE20">_xlfn.SWITCH($A$2,"average", AVERAGE(Instances!JE20:Instances!JE20),"median", MEDIAN(Instances!JE20:Instances!JE20),"min", MIN(Instances!JE20:Instances!JE20),"max", MAX(Instances!JE20:Instances!JE20),"diff", MAX(Instances!JE20:Instances!JE20)-MIN(Instances!JE20:Instances!JE20))</f>
        <v>0</v>
      </c>
      <c r="JF20" s="1" cm="1">
        <f t="array" ref="JF20">_xlfn.SWITCH($A$2,"average", AVERAGE(Instances!JF20:Instances!JF20),"median", MEDIAN(Instances!JF20:Instances!JF20),"min", MIN(Instances!JF20:Instances!JF20),"max", MAX(Instances!JF20:Instances!JF20),"diff", MAX(Instances!JF20:Instances!JF20)-MIN(Instances!JF20:Instances!JF20))</f>
        <v>0</v>
      </c>
      <c r="JG20" s="1" cm="1">
        <f t="array" ref="JG20">_xlfn.SWITCH($A$2,"average", AVERAGE(Instances!JG20:Instances!JG20),"median", MEDIAN(Instances!JG20:Instances!JG20),"min", MIN(Instances!JG20:Instances!JG20),"max", MAX(Instances!JG20:Instances!JG20),"diff", MAX(Instances!JG20:Instances!JG20)-MIN(Instances!JG20:Instances!JG20))</f>
        <v>0</v>
      </c>
      <c r="JH20" s="1"/>
      <c r="JI20" s="1" cm="1">
        <f t="array" ref="JI20">_xlfn.SWITCH($A$2,"average", AVERAGE(Instances!JI20:Instances!JI20),"median", MEDIAN(Instances!JI20:Instances!JI20),"min", MIN(Instances!JI20:Instances!JI20),"max", MAX(Instances!JI20:Instances!JI20),"diff", MAX(Instances!JI20:Instances!JI20)-MIN(Instances!JI20:Instances!JI20))</f>
        <v>0</v>
      </c>
      <c r="JJ20" s="1" cm="1">
        <f t="array" ref="JJ20">_xlfn.SWITCH($A$2,"average", AVERAGE(Instances!JJ20:Instances!JJ20),"median", MEDIAN(Instances!JJ20:Instances!JJ20),"min", MIN(Instances!JJ20:Instances!JJ20),"max", MAX(Instances!JJ20:Instances!JJ20),"diff", MAX(Instances!JJ20:Instances!JJ20)-MIN(Instances!JJ20:Instances!JJ20))</f>
        <v>0</v>
      </c>
      <c r="JK20" s="1" cm="1">
        <f t="array" ref="JK20">_xlfn.SWITCH($A$2,"average", AVERAGE(Instances!JK20:Instances!JK20),"median", MEDIAN(Instances!JK20:Instances!JK20),"min", MIN(Instances!JK20:Instances!JK20),"max", MAX(Instances!JK20:Instances!JK20),"diff", MAX(Instances!JK20:Instances!JK20)-MIN(Instances!JK20:Instances!JK20))</f>
        <v>0</v>
      </c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 cm="1">
        <f t="array" ref="O21">_xlfn.SWITCH($A$2,"average", AVERAGE(Instances!O21:Instances!O21),"median", MEDIAN(Instances!O21:Instances!O21),"min", MIN(Instances!O21:Instances!O21),"max", MAX(Instances!O21:Instances!O21),"diff", MAX(Instances!O21:Instances!O21)-MIN(Instances!O21:Instances!O21))</f>
        <v>0</v>
      </c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 cm="1">
        <f t="array" ref="S21">_xlfn.SWITCH($A$2,"average", AVERAGE(Instances!S21:Instances!S21),"median", MEDIAN(Instances!S21:Instances!S21),"min", MIN(Instances!S21:Instances!S21),"max", MAX(Instances!S21:Instances!S21),"diff", MAX(Instances!S21:Instances!S21)-MIN(Instances!S21:Instances!S21))</f>
        <v>0</v>
      </c>
      <c r="T21" s="1" cm="1">
        <f t="array" ref="T21">_xlfn.SWITCH($A$2,"average", AVERAGE(Instances!T21:Instances!T21),"median", MEDIAN(Instances!T21:Instances!T21),"min", MIN(Instances!T21:Instances!T21),"max", MAX(Instances!T21:Instances!T21),"diff", MAX(Instances!T21:Instances!T21)-MIN(Instances!T21:Instances!T21))</f>
        <v>0</v>
      </c>
      <c r="U21" s="1" cm="1">
        <f t="array" ref="U21">_xlfn.SWITCH($A$2,"average", AVERAGE(Instances!U21:Instances!U21),"median", MEDIAN(Instances!U21:Instances!U21),"min", MIN(Instances!U21:Instances!U21),"max", MAX(Instances!U21:Instances!U21),"diff", MAX(Instances!U21:Instances!U21)-MIN(Instances!U21:Instances!U21))</f>
        <v>0</v>
      </c>
      <c r="V21" s="1" cm="1">
        <f t="array" ref="V21">_xlfn.SWITCH($A$2,"average", AVERAGE(Instances!V21:Instances!V21),"median", MEDIAN(Instances!V21:Instances!V21),"min", MIN(Instances!V21:Instances!V21),"max", MAX(Instances!V21:Instances!V21),"diff", MAX(Instances!V21:Instances!V21)-MIN(Instances!V21:Instances!V21))</f>
        <v>0</v>
      </c>
      <c r="W21" s="1" cm="1">
        <f t="array" ref="W21">_xlfn.SWITCH($A$2,"average", AVERAGE(Instances!W21:Instances!W21),"median", MEDIAN(Instances!W21:Instances!W21),"min", MIN(Instances!W21:Instances!W21),"max", MAX(Instances!W21:Instances!W21),"diff", MAX(Instances!W21:Instances!W21)-MIN(Instances!W21:Instances!W21))</f>
        <v>0</v>
      </c>
      <c r="X21" s="1" cm="1">
        <f t="array" ref="X21">_xlfn.SWITCH($A$2,"average", AVERAGE(Instances!X21:Instances!X21),"median", MEDIAN(Instances!X21:Instances!X21),"min", MIN(Instances!X21:Instances!X21),"max", MAX(Instances!X21:Instances!X21),"diff", MAX(Instances!X21:Instances!X21)-MIN(Instances!X21:Instances!X21))</f>
        <v>0</v>
      </c>
      <c r="Y21" s="1" cm="1">
        <f t="array" ref="Y21">_xlfn.SWITCH($A$2,"average", AVERAGE(Instances!Y21:Instances!Y21),"median", MEDIAN(Instances!Y21:Instances!Y21),"min", MIN(Instances!Y21:Instances!Y21),"max", MAX(Instances!Y21:Instances!Y21),"diff", MAX(Instances!Y21:Instances!Y21)-MIN(Instances!Y21:Instances!Y21))</f>
        <v>0</v>
      </c>
      <c r="Z21" s="1" cm="1">
        <f t="array" ref="Z21">_xlfn.SWITCH($A$2,"average", AVERAGE(Instances!Z21:Instances!Z21),"median", MEDIAN(Instances!Z21:Instances!Z21),"min", MIN(Instances!Z21:Instances!Z21),"max", MAX(Instances!Z21:Instances!Z21),"diff", MAX(Instances!Z21:Instances!Z21)-MIN(Instances!Z21:Instances!Z21))</f>
        <v>0</v>
      </c>
      <c r="AA21" s="1" cm="1">
        <f t="array" ref="AA21">_xlfn.SWITCH($A$2,"average", AVERAGE(Instances!AA21:Instances!AA21),"median", MEDIAN(Instances!AA21:Instances!AA21),"min", MIN(Instances!AA21:Instances!AA21),"max", MAX(Instances!AA21:Instances!AA21),"diff", MAX(Instances!AA21:Instances!AA21)-MIN(Instances!AA21:Instances!AA21))</f>
        <v>0</v>
      </c>
      <c r="AB21" s="1" cm="1">
        <f t="array" ref="AB21">_xlfn.SWITCH($A$2,"average", AVERAGE(Instances!AB21:Instances!AB21),"median", MEDIAN(Instances!AB21:Instances!AB21),"min", MIN(Instances!AB21:Instances!AB21),"max", MAX(Instances!AB21:Instances!AB21),"diff", MAX(Instances!AB21:Instances!AB21)-MIN(Instances!AB21:Instances!AB21))</f>
        <v>0</v>
      </c>
      <c r="AC21" s="1" cm="1">
        <f t="array" ref="AC21">_xlfn.SWITCH($A$2,"average", AVERAGE(Instances!AC21:Instances!AC21),"median", MEDIAN(Instances!AC21:Instances!AC21),"min", MIN(Instances!AC21:Instances!AC21),"max", MAX(Instances!AC21:Instances!AC21),"diff", MAX(Instances!AC21:Instances!AC21)-MIN(Instances!AC21:Instances!AC21))</f>
        <v>0</v>
      </c>
      <c r="AD21" s="1" cm="1">
        <f t="array" ref="AD21">_xlfn.SWITCH($A$2,"average", AVERAGE(Instances!AD21:Instances!AD21),"median", MEDIAN(Instances!AD21:Instances!AD21),"min", MIN(Instances!AD21:Instances!AD21),"max", MAX(Instances!AD21:Instances!AD21),"diff", MAX(Instances!AD21:Instances!AD21)-MIN(Instances!AD21:Instances!AD21))</f>
        <v>0</v>
      </c>
      <c r="AE21" s="1" cm="1">
        <f t="array" ref="AE21">_xlfn.SWITCH($A$2,"average", AVERAGE(Instances!AE21:Instances!AE21),"median", MEDIAN(Instances!AE21:Instances!AE21),"min", MIN(Instances!AE21:Instances!AE21),"max", MAX(Instances!AE21:Instances!AE21),"diff", MAX(Instances!AE21:Instances!AE21)-MIN(Instances!AE21:Instances!AE21))</f>
        <v>0</v>
      </c>
      <c r="AF21" s="1" cm="1">
        <f t="array" ref="AF21">_xlfn.SWITCH($A$2,"average", AVERAGE(Instances!AF21:Instances!AF21),"median", MEDIAN(Instances!AF21:Instances!AF21),"min", MIN(Instances!AF21:Instances!AF21),"max", MAX(Instances!AF21:Instances!AF21),"diff", MAX(Instances!AF21:Instances!AF21)-MIN(Instances!AF21:Instances!AF21))</f>
        <v>0</v>
      </c>
      <c r="AG21" s="1" cm="1">
        <f t="array" ref="AG21">_xlfn.SWITCH($A$2,"average", AVERAGE(Instances!AG21:Instances!AG21),"median", MEDIAN(Instances!AG21:Instances!AG21),"min", MIN(Instances!AG21:Instances!AG21),"max", MAX(Instances!AG21:Instances!AG21),"diff", MAX(Instances!AG21:Instances!AG21)-MIN(Instances!AG21:Instances!AG21))</f>
        <v>0</v>
      </c>
      <c r="AH21" s="1"/>
      <c r="AI21" s="1" cm="1">
        <f t="array" ref="AI21">_xlfn.SWITCH($A$2,"average", AVERAGE(Instances!AI21:Instances!AI21),"median", MEDIAN(Instances!AI21:Instances!AI21),"min", MIN(Instances!AI21:Instances!AI21),"max", MAX(Instances!AI21:Instances!AI21),"diff", MAX(Instances!AI21:Instances!AI21)-MIN(Instances!AI21:Instances!AI21))</f>
        <v>0</v>
      </c>
      <c r="AJ21" s="1" cm="1">
        <f t="array" ref="AJ21">_xlfn.SWITCH($A$2,"average", AVERAGE(Instances!AJ21:Instances!AJ21),"median", MEDIAN(Instances!AJ21:Instances!AJ21),"min", MIN(Instances!AJ21:Instances!AJ21),"max", MAX(Instances!AJ21:Instances!AJ21),"diff", MAX(Instances!AJ21:Instances!AJ21)-MIN(Instances!AJ21:Instances!AJ21))</f>
        <v>0</v>
      </c>
      <c r="AK21" s="1" cm="1">
        <f t="array" ref="AK21">_xlfn.SWITCH($A$2,"average", AVERAGE(Instances!AK21:Instances!AK21),"median", MEDIAN(Instances!AK21:Instances!AK21),"min", MIN(Instances!AK21:Instances!AK21),"max", MAX(Instances!AK21:Instances!AK21),"diff", MAX(Instances!AK21:Instances!AK21)-MIN(Instances!AK21:Instances!AK21))</f>
        <v>0</v>
      </c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 cm="1">
        <f t="array" ref="CN21">_xlfn.SWITCH($A$2,"average", AVERAGE(Instances!CN21:Instances!CN21),"median", MEDIAN(Instances!CN21:Instances!CN21),"min", MIN(Instances!CN21:Instances!CN21),"max", MAX(Instances!CN21:Instances!CN21),"diff", MAX(Instances!CN21:Instances!CN21)-MIN(Instances!CN21:Instances!CN21))</f>
        <v>0</v>
      </c>
      <c r="CO21" s="1" cm="1">
        <f t="array" ref="CO21">_xlfn.SWITCH($A$2,"average", AVERAGE(Instances!CO21:Instances!CO21),"median", MEDIAN(Instances!CO21:Instances!CO21),"min", MIN(Instances!CO21:Instances!CO21),"max", MAX(Instances!CO21:Instances!CO21),"diff", MAX(Instances!CO21:Instances!CO21)-MIN(Instances!CO21:Instances!CO21))</f>
        <v>0</v>
      </c>
      <c r="CP21" s="1" cm="1">
        <f t="array" ref="CP21">_xlfn.SWITCH($A$2,"average", AVERAGE(Instances!CP21:Instances!CP21),"median", MEDIAN(Instances!CP21:Instances!CP21),"min", MIN(Instances!CP21:Instances!CP21),"max", MAX(Instances!CP21:Instances!CP21),"diff", MAX(Instances!CP21:Instances!CP21)-MIN(Instances!CP21:Instances!CP21))</f>
        <v>0</v>
      </c>
      <c r="CQ21" s="1" cm="1">
        <f t="array" ref="CQ21">_xlfn.SWITCH($A$2,"average", AVERAGE(Instances!CQ21:Instances!CQ21),"median", MEDIAN(Instances!CQ21:Instances!CQ21),"min", MIN(Instances!CQ21:Instances!CQ21),"max", MAX(Instances!CQ21:Instances!CQ21),"diff", MAX(Instances!CQ21:Instances!CQ21)-MIN(Instances!CQ21:Instances!CQ21))</f>
        <v>0</v>
      </c>
      <c r="CR21" s="1" cm="1">
        <f t="array" ref="CR21">_xlfn.SWITCH($A$2,"average", AVERAGE(Instances!CR21:Instances!CR21),"median", MEDIAN(Instances!CR21:Instances!CR21),"min", MIN(Instances!CR21:Instances!CR21),"max", MAX(Instances!CR21:Instances!CR21),"diff", MAX(Instances!CR21:Instances!CR21)-MIN(Instances!CR21:Instances!CR21))</f>
        <v>0</v>
      </c>
      <c r="CS21" s="1" cm="1">
        <f t="array" ref="CS21">_xlfn.SWITCH($A$2,"average", AVERAGE(Instances!CS21:Instances!CS21),"median", MEDIAN(Instances!CS21:Instances!CS21),"min", MIN(Instances!CS21:Instances!CS21),"max", MAX(Instances!CS21:Instances!CS21),"diff", MAX(Instances!CS21:Instances!CS21)-MIN(Instances!CS21:Instances!CS21))</f>
        <v>0</v>
      </c>
      <c r="CT21" s="1" cm="1">
        <f t="array" ref="CT21">_xlfn.SWITCH($A$2,"average", AVERAGE(Instances!CT21:Instances!CT21),"median", MEDIAN(Instances!CT21:Instances!CT21),"min", MIN(Instances!CT21:Instances!CT21),"max", MAX(Instances!CT21:Instances!CT21),"diff", MAX(Instances!CT21:Instances!CT21)-MIN(Instances!CT21:Instances!CT21))</f>
        <v>0</v>
      </c>
      <c r="CU21" s="1" cm="1">
        <f t="array" ref="CU21">_xlfn.SWITCH($A$2,"average", AVERAGE(Instances!CU21:Instances!CU21),"median", MEDIAN(Instances!CU21:Instances!CU21),"min", MIN(Instances!CU21:Instances!CU21),"max", MAX(Instances!CU21:Instances!CU21),"diff", MAX(Instances!CU21:Instances!CU21)-MIN(Instances!CU21:Instances!CU21))</f>
        <v>0</v>
      </c>
      <c r="CV21" s="1" cm="1">
        <f t="array" ref="CV21">_xlfn.SWITCH($A$2,"average", AVERAGE(Instances!CV21:Instances!CV21),"median", MEDIAN(Instances!CV21:Instances!CV21),"min", MIN(Instances!CV21:Instances!CV21),"max", MAX(Instances!CV21:Instances!CV21),"diff", MAX(Instances!CV21:Instances!CV21)-MIN(Instances!CV21:Instances!CV21))</f>
        <v>0</v>
      </c>
      <c r="CW21" s="1" cm="1">
        <f t="array" ref="CW21">_xlfn.SWITCH($A$2,"average", AVERAGE(Instances!CW21:Instances!CW21),"median", MEDIAN(Instances!CW21:Instances!CW21),"min", MIN(Instances!CW21:Instances!CW21),"max", MAX(Instances!CW21:Instances!CW21),"diff", MAX(Instances!CW21:Instances!CW21)-MIN(Instances!CW21:Instances!CW21))</f>
        <v>0</v>
      </c>
      <c r="CX21" s="1" cm="1">
        <f t="array" ref="CX21">_xlfn.SWITCH($A$2,"average", AVERAGE(Instances!CX21:Instances!CX21),"median", MEDIAN(Instances!CX21:Instances!CX21),"min", MIN(Instances!CX21:Instances!CX21),"max", MAX(Instances!CX21:Instances!CX21),"diff", MAX(Instances!CX21:Instances!CX21)-MIN(Instances!CX21:Instances!CX21))</f>
        <v>0</v>
      </c>
      <c r="CY21" s="1" cm="1">
        <f t="array" ref="CY21">_xlfn.SWITCH($A$2,"average", AVERAGE(Instances!CY21:Instances!CY21),"median", MEDIAN(Instances!CY21:Instances!CY21),"min", MIN(Instances!CY21:Instances!CY21),"max", MAX(Instances!CY21:Instances!CY21),"diff", MAX(Instances!CY21:Instances!CY21)-MIN(Instances!CY21:Instances!CY21))</f>
        <v>0</v>
      </c>
      <c r="CZ21" s="1" cm="1">
        <f t="array" ref="CZ21">_xlfn.SWITCH($A$2,"average", AVERAGE(Instances!CZ21:Instances!CZ21),"median", MEDIAN(Instances!CZ21:Instances!CZ21),"min", MIN(Instances!CZ21:Instances!CZ21),"max", MAX(Instances!CZ21:Instances!CZ21),"diff", MAX(Instances!CZ21:Instances!CZ21)-MIN(Instances!CZ21:Instances!CZ21))</f>
        <v>0</v>
      </c>
      <c r="DA21" s="1" cm="1">
        <f t="array" ref="DA21">_xlfn.SWITCH($A$2,"average", AVERAGE(Instances!DA21:Instances!DA21),"median", MEDIAN(Instances!DA21:Instances!DA21),"min", MIN(Instances!DA21:Instances!DA21),"max", MAX(Instances!DA21:Instances!DA21),"diff", MAX(Instances!DA21:Instances!DA21)-MIN(Instances!DA21:Instances!DA21))</f>
        <v>0</v>
      </c>
      <c r="DB21" s="1"/>
      <c r="DC21" s="1" cm="1">
        <f t="array" ref="DC21">_xlfn.SWITCH($A$2,"average", AVERAGE(Instances!DC21:Instances!DC21),"median", MEDIAN(Instances!DC21:Instances!DC21),"min", MIN(Instances!DC21:Instances!DC21),"max", MAX(Instances!DC21:Instances!DC21),"diff", MAX(Instances!DC21:Instances!DC21)-MIN(Instances!DC21:Instances!DC21))</f>
        <v>0</v>
      </c>
      <c r="DD21" s="1" cm="1">
        <f t="array" ref="DD21">_xlfn.SWITCH($A$2,"average", AVERAGE(Instances!DD21:Instances!DD21),"median", MEDIAN(Instances!DD21:Instances!DD21),"min", MIN(Instances!DD21:Instances!DD21),"max", MAX(Instances!DD21:Instances!DD21),"diff", MAX(Instances!DD21:Instances!DD21)-MIN(Instances!DD21:Instances!DD21))</f>
        <v>0</v>
      </c>
      <c r="DE21" s="1" cm="1">
        <f t="array" ref="DE21">_xlfn.SWITCH($A$2,"average", AVERAGE(Instances!DE21:Instances!DE21),"median", MEDIAN(Instances!DE21:Instances!DE21),"min", MIN(Instances!DE21:Instances!DE21),"max", MAX(Instances!DE21:Instances!DE21),"diff", MAX(Instances!DE21:Instances!DE21)-MIN(Instances!DE21:Instances!DE21))</f>
        <v>0</v>
      </c>
      <c r="DF21" s="1" cm="1">
        <f t="array" ref="DF21">_xlfn.SWITCH($A$2,"average", AVERAGE(Instances!DF21:Instances!DF21),"median", MEDIAN(Instances!DF21:Instances!DF21),"min", MIN(Instances!DF21:Instances!DF21),"max", MAX(Instances!DF21:Instances!DF21),"diff", MAX(Instances!DF21:Instances!DF21)-MIN(Instances!DF21:Instances!DF21))</f>
        <v>0</v>
      </c>
      <c r="DG21" s="1" cm="1">
        <f t="array" ref="DG21">_xlfn.SWITCH($A$2,"average", AVERAGE(Instances!DG21:Instances!DG21),"median", MEDIAN(Instances!DG21:Instances!DG21),"min", MIN(Instances!DG21:Instances!DG21),"max", MAX(Instances!DG21:Instances!DG21),"diff", MAX(Instances!DG21:Instances!DG21)-MIN(Instances!DG21:Instances!DG21))</f>
        <v>0</v>
      </c>
      <c r="DH21" s="1" cm="1">
        <f t="array" ref="DH21">_xlfn.SWITCH($A$2,"average", AVERAGE(Instances!DH21:Instances!DH21),"median", MEDIAN(Instances!DH21:Instances!DH21),"min", MIN(Instances!DH21:Instances!DH21),"max", MAX(Instances!DH21:Instances!DH21),"diff", MAX(Instances!DH21:Instances!DH21)-MIN(Instances!DH21:Instances!DH21))</f>
        <v>0</v>
      </c>
      <c r="DI21" s="1" cm="1">
        <f t="array" ref="DI21">_xlfn.SWITCH($A$2,"average", AVERAGE(Instances!DI21:Instances!DI21),"median", MEDIAN(Instances!DI21:Instances!DI21),"min", MIN(Instances!DI21:Instances!DI21),"max", MAX(Instances!DI21:Instances!DI21),"diff", MAX(Instances!DI21:Instances!DI21)-MIN(Instances!DI21:Instances!DI21))</f>
        <v>0</v>
      </c>
      <c r="DJ21" s="1" cm="1">
        <f t="array" ref="DJ21">_xlfn.SWITCH($A$2,"average", AVERAGE(Instances!DJ21:Instances!DJ21),"median", MEDIAN(Instances!DJ21:Instances!DJ21),"min", MIN(Instances!DJ21:Instances!DJ21),"max", MAX(Instances!DJ21:Instances!DJ21),"diff", MAX(Instances!DJ21:Instances!DJ21)-MIN(Instances!DJ21:Instances!DJ21))</f>
        <v>0</v>
      </c>
      <c r="DK21" s="1" cm="1">
        <f t="array" ref="DK21">_xlfn.SWITCH($A$2,"average", AVERAGE(Instances!DK21:Instances!DK21),"median", MEDIAN(Instances!DK21:Instances!DK21),"min", MIN(Instances!DK21:Instances!DK21),"max", MAX(Instances!DK21:Instances!DK21),"diff", MAX(Instances!DK21:Instances!DK21)-MIN(Instances!DK21:Instances!DK21))</f>
        <v>0</v>
      </c>
      <c r="DL21" s="1" cm="1">
        <f t="array" ref="DL21">_xlfn.SWITCH($A$2,"average", AVERAGE(Instances!DL21:Instances!DL21),"median", MEDIAN(Instances!DL21:Instances!DL21),"min", MIN(Instances!DL21:Instances!DL21),"max", MAX(Instances!DL21:Instances!DL21),"diff", MAX(Instances!DL21:Instances!DL21)-MIN(Instances!DL21:Instances!DL21))</f>
        <v>0</v>
      </c>
      <c r="DM21" s="1" cm="1">
        <f t="array" ref="DM21">_xlfn.SWITCH($A$2,"average", AVERAGE(Instances!DM21:Instances!DM21),"median", MEDIAN(Instances!DM21:Instances!DM21),"min", MIN(Instances!DM21:Instances!DM21),"max", MAX(Instances!DM21:Instances!DM21),"diff", MAX(Instances!DM21:Instances!DM21)-MIN(Instances!DM21:Instances!DM21))</f>
        <v>0</v>
      </c>
      <c r="DN21" s="1" cm="1">
        <f t="array" ref="DN21">_xlfn.SWITCH($A$2,"average", AVERAGE(Instances!DN21:Instances!DN21),"median", MEDIAN(Instances!DN21:Instances!DN21),"min", MIN(Instances!DN21:Instances!DN21),"max", MAX(Instances!DN21:Instances!DN21),"diff", MAX(Instances!DN21:Instances!DN21)-MIN(Instances!DN21:Instances!DN21))</f>
        <v>0</v>
      </c>
      <c r="DO21" s="1" cm="1">
        <f t="array" ref="DO21">_xlfn.SWITCH($A$2,"average", AVERAGE(Instances!DO21:Instances!DO21),"median", MEDIAN(Instances!DO21:Instances!DO21),"min", MIN(Instances!DO21:Instances!DO21),"max", MAX(Instances!DO21:Instances!DO21),"diff", MAX(Instances!DO21:Instances!DO21)-MIN(Instances!DO21:Instances!DO21))</f>
        <v>0</v>
      </c>
      <c r="DP21" s="1" cm="1">
        <f t="array" ref="DP21">_xlfn.SWITCH($A$2,"average", AVERAGE(Instances!DP21:Instances!DP21),"median", MEDIAN(Instances!DP21:Instances!DP21),"min", MIN(Instances!DP21:Instances!DP21),"max", MAX(Instances!DP21:Instances!DP21),"diff", MAX(Instances!DP21:Instances!DP21)-MIN(Instances!DP21:Instances!DP21))</f>
        <v>0</v>
      </c>
      <c r="DQ21" s="1" cm="1">
        <f t="array" ref="DQ21">_xlfn.SWITCH($A$2,"average", AVERAGE(Instances!DQ21:Instances!DQ21),"median", MEDIAN(Instances!DQ21:Instances!DQ21),"min", MIN(Instances!DQ21:Instances!DQ21),"max", MAX(Instances!DQ21:Instances!DQ21),"diff", MAX(Instances!DQ21:Instances!DQ21)-MIN(Instances!DQ21:Instances!DQ21))</f>
        <v>0</v>
      </c>
      <c r="DR21" s="1" cm="1">
        <f t="array" ref="DR21">_xlfn.SWITCH($A$2,"average", AVERAGE(Instances!DR21:Instances!DR21),"median", MEDIAN(Instances!DR21:Instances!DR21),"min", MIN(Instances!DR21:Instances!DR21),"max", MAX(Instances!DR21:Instances!DR21),"diff", MAX(Instances!DR21:Instances!DR21)-MIN(Instances!DR21:Instances!DR21))</f>
        <v>0</v>
      </c>
      <c r="DS21" s="1" cm="1">
        <f t="array" ref="DS21">_xlfn.SWITCH($A$2,"average", AVERAGE(Instances!DS21:Instances!DS21),"median", MEDIAN(Instances!DS21:Instances!DS21),"min", MIN(Instances!DS21:Instances!DS21),"max", MAX(Instances!DS21:Instances!DS21),"diff", MAX(Instances!DS21:Instances!DS21)-MIN(Instances!DS21:Instances!DS21))</f>
        <v>0</v>
      </c>
      <c r="DT21" s="1"/>
      <c r="DU21" s="1" cm="1">
        <f t="array" ref="DU21">_xlfn.SWITCH($A$2,"average", AVERAGE(Instances!DU21:Instances!DU21),"median", MEDIAN(Instances!DU21:Instances!DU21),"min", MIN(Instances!DU21:Instances!DU21),"max", MAX(Instances!DU21:Instances!DU21),"diff", MAX(Instances!DU21:Instances!DU21)-MIN(Instances!DU21:Instances!DU21))</f>
        <v>0</v>
      </c>
      <c r="DV21" s="1" cm="1">
        <f t="array" ref="DV21">_xlfn.SWITCH($A$2,"average", AVERAGE(Instances!DV21:Instances!DV21),"median", MEDIAN(Instances!DV21:Instances!DV21),"min", MIN(Instances!DV21:Instances!DV21),"max", MAX(Instances!DV21:Instances!DV21),"diff", MAX(Instances!DV21:Instances!DV21)-MIN(Instances!DV21:Instances!DV21))</f>
        <v>0</v>
      </c>
      <c r="DW21" s="1" cm="1">
        <f t="array" ref="DW21">_xlfn.SWITCH($A$2,"average", AVERAGE(Instances!DW21:Instances!DW21),"median", MEDIAN(Instances!DW21:Instances!DW21),"min", MIN(Instances!DW21:Instances!DW21),"max", MAX(Instances!DW21:Instances!DW21),"diff", MAX(Instances!DW21:Instances!DW21)-MIN(Instances!DW21:Instances!DW21))</f>
        <v>0</v>
      </c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 cm="1">
        <f t="array" ref="FH21">_xlfn.SWITCH($A$2,"average", AVERAGE(Instances!FH21:Instances!FH21),"median", MEDIAN(Instances!FH21:Instances!FH21),"min", MIN(Instances!FH21:Instances!FH21),"max", MAX(Instances!FH21:Instances!FH21),"diff", MAX(Instances!FH21:Instances!FH21)-MIN(Instances!FH21:Instances!FH21))</f>
        <v>0</v>
      </c>
      <c r="FI21" s="1" cm="1">
        <f t="array" ref="FI21">_xlfn.SWITCH($A$2,"average", AVERAGE(Instances!FI21:Instances!FI21),"median", MEDIAN(Instances!FI21:Instances!FI21),"min", MIN(Instances!FI21:Instances!FI21),"max", MAX(Instances!FI21:Instances!FI21),"diff", MAX(Instances!FI21:Instances!FI21)-MIN(Instances!FI21:Instances!FI21))</f>
        <v>0</v>
      </c>
      <c r="FJ21" s="1" cm="1">
        <f t="array" ref="FJ21">_xlfn.SWITCH($A$2,"average", AVERAGE(Instances!FJ21:Instances!FJ21),"median", MEDIAN(Instances!FJ21:Instances!FJ21),"min", MIN(Instances!FJ21:Instances!FJ21),"max", MAX(Instances!FJ21:Instances!FJ21),"diff", MAX(Instances!FJ21:Instances!FJ21)-MIN(Instances!FJ21:Instances!FJ21))</f>
        <v>0</v>
      </c>
      <c r="FK21" s="1" cm="1">
        <f t="array" ref="FK21">_xlfn.SWITCH($A$2,"average", AVERAGE(Instances!FK21:Instances!FK21),"median", MEDIAN(Instances!FK21:Instances!FK21),"min", MIN(Instances!FK21:Instances!FK21),"max", MAX(Instances!FK21:Instances!FK21),"diff", MAX(Instances!FK21:Instances!FK21)-MIN(Instances!FK21:Instances!FK21))</f>
        <v>0</v>
      </c>
      <c r="FL21" s="1" cm="1">
        <f t="array" ref="FL21">_xlfn.SWITCH($A$2,"average", AVERAGE(Instances!FL21:Instances!FL21),"median", MEDIAN(Instances!FL21:Instances!FL21),"min", MIN(Instances!FL21:Instances!FL21),"max", MAX(Instances!FL21:Instances!FL21),"diff", MAX(Instances!FL21:Instances!FL21)-MIN(Instances!FL21:Instances!FL21))</f>
        <v>0</v>
      </c>
      <c r="FM21" s="1" cm="1">
        <f t="array" ref="FM21">_xlfn.SWITCH($A$2,"average", AVERAGE(Instances!FM21:Instances!FM21),"median", MEDIAN(Instances!FM21:Instances!FM21),"min", MIN(Instances!FM21:Instances!FM21),"max", MAX(Instances!FM21:Instances!FM21),"diff", MAX(Instances!FM21:Instances!FM21)-MIN(Instances!FM21:Instances!FM21))</f>
        <v>0</v>
      </c>
      <c r="FN21" s="1" cm="1">
        <f t="array" ref="FN21">_xlfn.SWITCH($A$2,"average", AVERAGE(Instances!FN21:Instances!FN21),"median", MEDIAN(Instances!FN21:Instances!FN21),"min", MIN(Instances!FN21:Instances!FN21),"max", MAX(Instances!FN21:Instances!FN21),"diff", MAX(Instances!FN21:Instances!FN21)-MIN(Instances!FN21:Instances!FN21))</f>
        <v>0</v>
      </c>
      <c r="FO21" s="1" cm="1">
        <f t="array" ref="FO21">_xlfn.SWITCH($A$2,"average", AVERAGE(Instances!FO21:Instances!FO21),"median", MEDIAN(Instances!FO21:Instances!FO21),"min", MIN(Instances!FO21:Instances!FO21),"max", MAX(Instances!FO21:Instances!FO21),"diff", MAX(Instances!FO21:Instances!FO21)-MIN(Instances!FO21:Instances!FO21))</f>
        <v>0</v>
      </c>
      <c r="FP21" s="1" cm="1">
        <f t="array" ref="FP21">_xlfn.SWITCH($A$2,"average", AVERAGE(Instances!FP21:Instances!FP21),"median", MEDIAN(Instances!FP21:Instances!FP21),"min", MIN(Instances!FP21:Instances!FP21),"max", MAX(Instances!FP21:Instances!FP21),"diff", MAX(Instances!FP21:Instances!FP21)-MIN(Instances!FP21:Instances!FP21))</f>
        <v>0</v>
      </c>
      <c r="FQ21" s="1" cm="1">
        <f t="array" ref="FQ21">_xlfn.SWITCH($A$2,"average", AVERAGE(Instances!FQ21:Instances!FQ21),"median", MEDIAN(Instances!FQ21:Instances!FQ21),"min", MIN(Instances!FQ21:Instances!FQ21),"max", MAX(Instances!FQ21:Instances!FQ21),"diff", MAX(Instances!FQ21:Instances!FQ21)-MIN(Instances!FQ21:Instances!FQ21))</f>
        <v>0</v>
      </c>
      <c r="FR21" s="1" cm="1">
        <f t="array" ref="FR21">_xlfn.SWITCH($A$2,"average", AVERAGE(Instances!FR21:Instances!FR21),"median", MEDIAN(Instances!FR21:Instances!FR21),"min", MIN(Instances!FR21:Instances!FR21),"max", MAX(Instances!FR21:Instances!FR21),"diff", MAX(Instances!FR21:Instances!FR21)-MIN(Instances!FR21:Instances!FR21))</f>
        <v>0</v>
      </c>
      <c r="FS21" s="1" cm="1">
        <f t="array" ref="FS21">_xlfn.SWITCH($A$2,"average", AVERAGE(Instances!FS21:Instances!FS21),"median", MEDIAN(Instances!FS21:Instances!FS21),"min", MIN(Instances!FS21:Instances!FS21),"max", MAX(Instances!FS21:Instances!FS21),"diff", MAX(Instances!FS21:Instances!FS21)-MIN(Instances!FS21:Instances!FS21))</f>
        <v>0</v>
      </c>
      <c r="FT21" s="1" cm="1">
        <f t="array" ref="FT21">_xlfn.SWITCH($A$2,"average", AVERAGE(Instances!FT21:Instances!FT21),"median", MEDIAN(Instances!FT21:Instances!FT21),"min", MIN(Instances!FT21:Instances!FT21),"max", MAX(Instances!FT21:Instances!FT21),"diff", MAX(Instances!FT21:Instances!FT21)-MIN(Instances!FT21:Instances!FT21))</f>
        <v>0</v>
      </c>
      <c r="FU21" s="1" cm="1">
        <f t="array" ref="FU21">_xlfn.SWITCH($A$2,"average", AVERAGE(Instances!FU21:Instances!FU21),"median", MEDIAN(Instances!FU21:Instances!FU21),"min", MIN(Instances!FU21:Instances!FU21),"max", MAX(Instances!FU21:Instances!FU21),"diff", MAX(Instances!FU21:Instances!FU21)-MIN(Instances!FU21:Instances!FU21))</f>
        <v>0</v>
      </c>
      <c r="FV21" s="1"/>
      <c r="FW21" s="1" cm="1">
        <f t="array" ref="FW21">_xlfn.SWITCH($A$2,"average", AVERAGE(Instances!FW21:Instances!FW21),"median", MEDIAN(Instances!FW21:Instances!FW21),"min", MIN(Instances!FW21:Instances!FW21),"max", MAX(Instances!FW21:Instances!FW21),"diff", MAX(Instances!FW21:Instances!FW21)-MIN(Instances!FW21:Instances!FW21))</f>
        <v>0</v>
      </c>
      <c r="FX21" s="1" cm="1">
        <f t="array" ref="FX21">_xlfn.SWITCH($A$2,"average", AVERAGE(Instances!FX21:Instances!FX21),"median", MEDIAN(Instances!FX21:Instances!FX21),"min", MIN(Instances!FX21:Instances!FX21),"max", MAX(Instances!FX21:Instances!FX21),"diff", MAX(Instances!FX21:Instances!FX21)-MIN(Instances!FX21:Instances!FX21))</f>
        <v>0</v>
      </c>
      <c r="FY21" s="1" cm="1">
        <f t="array" ref="FY21">_xlfn.SWITCH($A$2,"average", AVERAGE(Instances!FY21:Instances!FY21),"median", MEDIAN(Instances!FY21:Instances!FY21),"min", MIN(Instances!FY21:Instances!FY21),"max", MAX(Instances!FY21:Instances!FY21),"diff", MAX(Instances!FY21:Instances!FY21)-MIN(Instances!FY21:Instances!FY21))</f>
        <v>0</v>
      </c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 cm="1">
        <f t="array" ref="IB21">_xlfn.SWITCH($A$2,"average", AVERAGE(Instances!IB21:Instances!IB21),"median", MEDIAN(Instances!IB21:Instances!IB21),"min", MIN(Instances!IB21:Instances!IB21),"max", MAX(Instances!IB21:Instances!IB21),"diff", MAX(Instances!IB21:Instances!IB21)-MIN(Instances!IB21:Instances!IB21))</f>
        <v>0</v>
      </c>
      <c r="IC21" s="1" cm="1">
        <f t="array" ref="IC21">_xlfn.SWITCH($A$2,"average", AVERAGE(Instances!IC21:Instances!IC21),"median", MEDIAN(Instances!IC21:Instances!IC21),"min", MIN(Instances!IC21:Instances!IC21),"max", MAX(Instances!IC21:Instances!IC21),"diff", MAX(Instances!IC21:Instances!IC21)-MIN(Instances!IC21:Instances!IC21))</f>
        <v>0</v>
      </c>
      <c r="ID21" s="1" cm="1">
        <f t="array" ref="ID21">_xlfn.SWITCH($A$2,"average", AVERAGE(Instances!ID21:Instances!ID21),"median", MEDIAN(Instances!ID21:Instances!ID21),"min", MIN(Instances!ID21:Instances!ID21),"max", MAX(Instances!ID21:Instances!ID21),"diff", MAX(Instances!ID21:Instances!ID21)-MIN(Instances!ID21:Instances!ID21))</f>
        <v>0</v>
      </c>
      <c r="IE21" s="1" cm="1">
        <f t="array" ref="IE21">_xlfn.SWITCH($A$2,"average", AVERAGE(Instances!IE21:Instances!IE21),"median", MEDIAN(Instances!IE21:Instances!IE21),"min", MIN(Instances!IE21:Instances!IE21),"max", MAX(Instances!IE21:Instances!IE21),"diff", MAX(Instances!IE21:Instances!IE21)-MIN(Instances!IE21:Instances!IE21))</f>
        <v>0</v>
      </c>
      <c r="IF21" s="1" cm="1">
        <f t="array" ref="IF21">_xlfn.SWITCH($A$2,"average", AVERAGE(Instances!IF21:Instances!IF21),"median", MEDIAN(Instances!IF21:Instances!IF21),"min", MIN(Instances!IF21:Instances!IF21),"max", MAX(Instances!IF21:Instances!IF21),"diff", MAX(Instances!IF21:Instances!IF21)-MIN(Instances!IF21:Instances!IF21))</f>
        <v>0</v>
      </c>
      <c r="IG21" s="1" cm="1">
        <f t="array" ref="IG21">_xlfn.SWITCH($A$2,"average", AVERAGE(Instances!IG21:Instances!IG21),"median", MEDIAN(Instances!IG21:Instances!IG21),"min", MIN(Instances!IG21:Instances!IG21),"max", MAX(Instances!IG21:Instances!IG21),"diff", MAX(Instances!IG21:Instances!IG21)-MIN(Instances!IG21:Instances!IG21))</f>
        <v>0</v>
      </c>
      <c r="IH21" s="1" cm="1">
        <f t="array" ref="IH21">_xlfn.SWITCH($A$2,"average", AVERAGE(Instances!IH21:Instances!IH21),"median", MEDIAN(Instances!IH21:Instances!IH21),"min", MIN(Instances!IH21:Instances!IH21),"max", MAX(Instances!IH21:Instances!IH21),"diff", MAX(Instances!IH21:Instances!IH21)-MIN(Instances!IH21:Instances!IH21))</f>
        <v>0</v>
      </c>
      <c r="II21" s="1" cm="1">
        <f t="array" ref="II21">_xlfn.SWITCH($A$2,"average", AVERAGE(Instances!II21:Instances!II21),"median", MEDIAN(Instances!II21:Instances!II21),"min", MIN(Instances!II21:Instances!II21),"max", MAX(Instances!II21:Instances!II21),"diff", MAX(Instances!II21:Instances!II21)-MIN(Instances!II21:Instances!II21))</f>
        <v>0</v>
      </c>
      <c r="IJ21" s="1" cm="1">
        <f t="array" ref="IJ21">_xlfn.SWITCH($A$2,"average", AVERAGE(Instances!IJ21:Instances!IJ21),"median", MEDIAN(Instances!IJ21:Instances!IJ21),"min", MIN(Instances!IJ21:Instances!IJ21),"max", MAX(Instances!IJ21:Instances!IJ21),"diff", MAX(Instances!IJ21:Instances!IJ21)-MIN(Instances!IJ21:Instances!IJ21))</f>
        <v>0</v>
      </c>
      <c r="IK21" s="1" cm="1">
        <f t="array" ref="IK21">_xlfn.SWITCH($A$2,"average", AVERAGE(Instances!IK21:Instances!IK21),"median", MEDIAN(Instances!IK21:Instances!IK21),"min", MIN(Instances!IK21:Instances!IK21),"max", MAX(Instances!IK21:Instances!IK21),"diff", MAX(Instances!IK21:Instances!IK21)-MIN(Instances!IK21:Instances!IK21))</f>
        <v>0</v>
      </c>
      <c r="IL21" s="1" cm="1">
        <f t="array" ref="IL21">_xlfn.SWITCH($A$2,"average", AVERAGE(Instances!IL21:Instances!IL21),"median", MEDIAN(Instances!IL21:Instances!IL21),"min", MIN(Instances!IL21:Instances!IL21),"max", MAX(Instances!IL21:Instances!IL21),"diff", MAX(Instances!IL21:Instances!IL21)-MIN(Instances!IL21:Instances!IL21))</f>
        <v>0</v>
      </c>
      <c r="IM21" s="1" cm="1">
        <f t="array" ref="IM21">_xlfn.SWITCH($A$2,"average", AVERAGE(Instances!IM21:Instances!IM21),"median", MEDIAN(Instances!IM21:Instances!IM21),"min", MIN(Instances!IM21:Instances!IM21),"max", MAX(Instances!IM21:Instances!IM21),"diff", MAX(Instances!IM21:Instances!IM21)-MIN(Instances!IM21:Instances!IM21))</f>
        <v>0</v>
      </c>
      <c r="IN21" s="1" cm="1">
        <f t="array" ref="IN21">_xlfn.SWITCH($A$2,"average", AVERAGE(Instances!IN21:Instances!IN21),"median", MEDIAN(Instances!IN21:Instances!IN21),"min", MIN(Instances!IN21:Instances!IN21),"max", MAX(Instances!IN21:Instances!IN21),"diff", MAX(Instances!IN21:Instances!IN21)-MIN(Instances!IN21:Instances!IN21))</f>
        <v>0</v>
      </c>
      <c r="IO21" s="1" cm="1">
        <f t="array" ref="IO21">_xlfn.SWITCH($A$2,"average", AVERAGE(Instances!IO21:Instances!IO21),"median", MEDIAN(Instances!IO21:Instances!IO21),"min", MIN(Instances!IO21:Instances!IO21),"max", MAX(Instances!IO21:Instances!IO21),"diff", MAX(Instances!IO21:Instances!IO21)-MIN(Instances!IO21:Instances!IO21))</f>
        <v>0</v>
      </c>
      <c r="IP21" s="1"/>
      <c r="IQ21" s="1" cm="1">
        <f t="array" ref="IQ21">_xlfn.SWITCH($A$2,"average", AVERAGE(Instances!IQ21:Instances!IQ21),"median", MEDIAN(Instances!IQ21:Instances!IQ21),"min", MIN(Instances!IQ21:Instances!IQ21),"max", MAX(Instances!IQ21:Instances!IQ21),"diff", MAX(Instances!IQ21:Instances!IQ21)-MIN(Instances!IQ21:Instances!IQ21))</f>
        <v>0</v>
      </c>
      <c r="IR21" s="1" cm="1">
        <f t="array" ref="IR21">_xlfn.SWITCH($A$2,"average", AVERAGE(Instances!IR21:Instances!IR21),"median", MEDIAN(Instances!IR21:Instances!IR21),"min", MIN(Instances!IR21:Instances!IR21),"max", MAX(Instances!IR21:Instances!IR21),"diff", MAX(Instances!IR21:Instances!IR21)-MIN(Instances!IR21:Instances!IR21))</f>
        <v>0</v>
      </c>
      <c r="IS21" s="1" cm="1">
        <f t="array" ref="IS21">_xlfn.SWITCH($A$2,"average", AVERAGE(Instances!IS21:Instances!IS21),"median", MEDIAN(Instances!IS21:Instances!IS21),"min", MIN(Instances!IS21:Instances!IS21),"max", MAX(Instances!IS21:Instances!IS21),"diff", MAX(Instances!IS21:Instances!IS21)-MIN(Instances!IS21:Instances!IS21))</f>
        <v>0</v>
      </c>
      <c r="IT21" s="1" cm="1">
        <f t="array" ref="IT21">_xlfn.SWITCH($A$2,"average", AVERAGE(Instances!IT21:Instances!IT21),"median", MEDIAN(Instances!IT21:Instances!IT21),"min", MIN(Instances!IT21:Instances!IT21),"max", MAX(Instances!IT21:Instances!IT21),"diff", MAX(Instances!IT21:Instances!IT21)-MIN(Instances!IT21:Instances!IT21))</f>
        <v>0</v>
      </c>
      <c r="IU21" s="1" cm="1">
        <f t="array" ref="IU21">_xlfn.SWITCH($A$2,"average", AVERAGE(Instances!IU21:Instances!IU21),"median", MEDIAN(Instances!IU21:Instances!IU21),"min", MIN(Instances!IU21:Instances!IU21),"max", MAX(Instances!IU21:Instances!IU21),"diff", MAX(Instances!IU21:Instances!IU21)-MIN(Instances!IU21:Instances!IU21))</f>
        <v>0</v>
      </c>
      <c r="IV21" s="1" cm="1">
        <f t="array" ref="IV21">_xlfn.SWITCH($A$2,"average", AVERAGE(Instances!IV21:Instances!IV21),"median", MEDIAN(Instances!IV21:Instances!IV21),"min", MIN(Instances!IV21:Instances!IV21),"max", MAX(Instances!IV21:Instances!IV21),"diff", MAX(Instances!IV21:Instances!IV21)-MIN(Instances!IV21:Instances!IV21))</f>
        <v>0</v>
      </c>
      <c r="IW21" s="1" cm="1">
        <f t="array" ref="IW21">_xlfn.SWITCH($A$2,"average", AVERAGE(Instances!IW21:Instances!IW21),"median", MEDIAN(Instances!IW21:Instances!IW21),"min", MIN(Instances!IW21:Instances!IW21),"max", MAX(Instances!IW21:Instances!IW21),"diff", MAX(Instances!IW21:Instances!IW21)-MIN(Instances!IW21:Instances!IW21))</f>
        <v>0</v>
      </c>
      <c r="IX21" s="1" cm="1">
        <f t="array" ref="IX21">_xlfn.SWITCH($A$2,"average", AVERAGE(Instances!IX21:Instances!IX21),"median", MEDIAN(Instances!IX21:Instances!IX21),"min", MIN(Instances!IX21:Instances!IX21),"max", MAX(Instances!IX21:Instances!IX21),"diff", MAX(Instances!IX21:Instances!IX21)-MIN(Instances!IX21:Instances!IX21))</f>
        <v>0</v>
      </c>
      <c r="IY21" s="1" cm="1">
        <f t="array" ref="IY21">_xlfn.SWITCH($A$2,"average", AVERAGE(Instances!IY21:Instances!IY21),"median", MEDIAN(Instances!IY21:Instances!IY21),"min", MIN(Instances!IY21:Instances!IY21),"max", MAX(Instances!IY21:Instances!IY21),"diff", MAX(Instances!IY21:Instances!IY21)-MIN(Instances!IY21:Instances!IY21))</f>
        <v>0</v>
      </c>
      <c r="IZ21" s="1" cm="1">
        <f t="array" ref="IZ21">_xlfn.SWITCH($A$2,"average", AVERAGE(Instances!IZ21:Instances!IZ21),"median", MEDIAN(Instances!IZ21:Instances!IZ21),"min", MIN(Instances!IZ21:Instances!IZ21),"max", MAX(Instances!IZ21:Instances!IZ21),"diff", MAX(Instances!IZ21:Instances!IZ21)-MIN(Instances!IZ21:Instances!IZ21))</f>
        <v>0</v>
      </c>
      <c r="JA21" s="1" cm="1">
        <f t="array" ref="JA21">_xlfn.SWITCH($A$2,"average", AVERAGE(Instances!JA21:Instances!JA21),"median", MEDIAN(Instances!JA21:Instances!JA21),"min", MIN(Instances!JA21:Instances!JA21),"max", MAX(Instances!JA21:Instances!JA21),"diff", MAX(Instances!JA21:Instances!JA21)-MIN(Instances!JA21:Instances!JA21))</f>
        <v>0</v>
      </c>
      <c r="JB21" s="1" cm="1">
        <f t="array" ref="JB21">_xlfn.SWITCH($A$2,"average", AVERAGE(Instances!JB21:Instances!JB21),"median", MEDIAN(Instances!JB21:Instances!JB21),"min", MIN(Instances!JB21:Instances!JB21),"max", MAX(Instances!JB21:Instances!JB21),"diff", MAX(Instances!JB21:Instances!JB21)-MIN(Instances!JB21:Instances!JB21))</f>
        <v>0</v>
      </c>
      <c r="JC21" s="1" cm="1">
        <f t="array" ref="JC21">_xlfn.SWITCH($A$2,"average", AVERAGE(Instances!JC21:Instances!JC21),"median", MEDIAN(Instances!JC21:Instances!JC21),"min", MIN(Instances!JC21:Instances!JC21),"max", MAX(Instances!JC21:Instances!JC21),"diff", MAX(Instances!JC21:Instances!JC21)-MIN(Instances!JC21:Instances!JC21))</f>
        <v>0</v>
      </c>
      <c r="JD21" s="1" cm="1">
        <f t="array" ref="JD21">_xlfn.SWITCH($A$2,"average", AVERAGE(Instances!JD21:Instances!JD21),"median", MEDIAN(Instances!JD21:Instances!JD21),"min", MIN(Instances!JD21:Instances!JD21),"max", MAX(Instances!JD21:Instances!JD21),"diff", MAX(Instances!JD21:Instances!JD21)-MIN(Instances!JD21:Instances!JD21))</f>
        <v>0</v>
      </c>
      <c r="JE21" s="1" cm="1">
        <f t="array" ref="JE21">_xlfn.SWITCH($A$2,"average", AVERAGE(Instances!JE21:Instances!JE21),"median", MEDIAN(Instances!JE21:Instances!JE21),"min", MIN(Instances!JE21:Instances!JE21),"max", MAX(Instances!JE21:Instances!JE21),"diff", MAX(Instances!JE21:Instances!JE21)-MIN(Instances!JE21:Instances!JE21))</f>
        <v>0</v>
      </c>
      <c r="JF21" s="1" cm="1">
        <f t="array" ref="JF21">_xlfn.SWITCH($A$2,"average", AVERAGE(Instances!JF21:Instances!JF21),"median", MEDIAN(Instances!JF21:Instances!JF21),"min", MIN(Instances!JF21:Instances!JF21),"max", MAX(Instances!JF21:Instances!JF21),"diff", MAX(Instances!JF21:Instances!JF21)-MIN(Instances!JF21:Instances!JF21))</f>
        <v>0</v>
      </c>
      <c r="JG21" s="1" cm="1">
        <f t="array" ref="JG21">_xlfn.SWITCH($A$2,"average", AVERAGE(Instances!JG21:Instances!JG21),"median", MEDIAN(Instances!JG21:Instances!JG21),"min", MIN(Instances!JG21:Instances!JG21),"max", MAX(Instances!JG21:Instances!JG21),"diff", MAX(Instances!JG21:Instances!JG21)-MIN(Instances!JG21:Instances!JG21))</f>
        <v>0</v>
      </c>
      <c r="JH21" s="1"/>
      <c r="JI21" s="1" cm="1">
        <f t="array" ref="JI21">_xlfn.SWITCH($A$2,"average", AVERAGE(Instances!JI21:Instances!JI21),"median", MEDIAN(Instances!JI21:Instances!JI21),"min", MIN(Instances!JI21:Instances!JI21),"max", MAX(Instances!JI21:Instances!JI21),"diff", MAX(Instances!JI21:Instances!JI21)-MIN(Instances!JI21:Instances!JI21))</f>
        <v>0</v>
      </c>
      <c r="JJ21" s="1" cm="1">
        <f t="array" ref="JJ21">_xlfn.SWITCH($A$2,"average", AVERAGE(Instances!JJ21:Instances!JJ21),"median", MEDIAN(Instances!JJ21:Instances!JJ21),"min", MIN(Instances!JJ21:Instances!JJ21),"max", MAX(Instances!JJ21:Instances!JJ21),"diff", MAX(Instances!JJ21:Instances!JJ21)-MIN(Instances!JJ21:Instances!JJ21))</f>
        <v>0</v>
      </c>
      <c r="JK21" s="1" cm="1">
        <f t="array" ref="JK21">_xlfn.SWITCH($A$2,"average", AVERAGE(Instances!JK21:Instances!JK21),"median", MEDIAN(Instances!JK21:Instances!JK21),"min", MIN(Instances!JK21:Instances!JK21),"max", MAX(Instances!JK21:Instances!JK21),"diff", MAX(Instances!JK21:Instances!JK21)-MIN(Instances!JK21:Instances!JK21))</f>
        <v>0</v>
      </c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 cm="1">
        <f t="array" ref="O22">_xlfn.SWITCH($A$2,"average", AVERAGE(Instances!O22:Instances!O22),"median", MEDIAN(Instances!O22:Instances!O22),"min", MIN(Instances!O22:Instances!O22),"max", MAX(Instances!O22:Instances!O22),"diff", MAX(Instances!O22:Instances!O22)-MIN(Instances!O22:Instances!O22))</f>
        <v>0</v>
      </c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 cm="1">
        <f t="array" ref="S22">_xlfn.SWITCH($A$2,"average", AVERAGE(Instances!S22:Instances!S22),"median", MEDIAN(Instances!S22:Instances!S22),"min", MIN(Instances!S22:Instances!S22),"max", MAX(Instances!S22:Instances!S22),"diff", MAX(Instances!S22:Instances!S22)-MIN(Instances!S22:Instances!S22))</f>
        <v>0</v>
      </c>
      <c r="T22" s="1" cm="1">
        <f t="array" ref="T22">_xlfn.SWITCH($A$2,"average", AVERAGE(Instances!T22:Instances!T22),"median", MEDIAN(Instances!T22:Instances!T22),"min", MIN(Instances!T22:Instances!T22),"max", MAX(Instances!T22:Instances!T22),"diff", MAX(Instances!T22:Instances!T22)-MIN(Instances!T22:Instances!T22))</f>
        <v>0</v>
      </c>
      <c r="U22" s="1" cm="1">
        <f t="array" ref="U22">_xlfn.SWITCH($A$2,"average", AVERAGE(Instances!U22:Instances!U22),"median", MEDIAN(Instances!U22:Instances!U22),"min", MIN(Instances!U22:Instances!U22),"max", MAX(Instances!U22:Instances!U22),"diff", MAX(Instances!U22:Instances!U22)-MIN(Instances!U22:Instances!U22))</f>
        <v>0</v>
      </c>
      <c r="V22" s="1" cm="1">
        <f t="array" ref="V22">_xlfn.SWITCH($A$2,"average", AVERAGE(Instances!V22:Instances!V22),"median", MEDIAN(Instances!V22:Instances!V22),"min", MIN(Instances!V22:Instances!V22),"max", MAX(Instances!V22:Instances!V22),"diff", MAX(Instances!V22:Instances!V22)-MIN(Instances!V22:Instances!V22))</f>
        <v>0</v>
      </c>
      <c r="W22" s="1" cm="1">
        <f t="array" ref="W22">_xlfn.SWITCH($A$2,"average", AVERAGE(Instances!W22:Instances!W22),"median", MEDIAN(Instances!W22:Instances!W22),"min", MIN(Instances!W22:Instances!W22),"max", MAX(Instances!W22:Instances!W22),"diff", MAX(Instances!W22:Instances!W22)-MIN(Instances!W22:Instances!W22))</f>
        <v>0</v>
      </c>
      <c r="X22" s="1" cm="1">
        <f t="array" ref="X22">_xlfn.SWITCH($A$2,"average", AVERAGE(Instances!X22:Instances!X22),"median", MEDIAN(Instances!X22:Instances!X22),"min", MIN(Instances!X22:Instances!X22),"max", MAX(Instances!X22:Instances!X22),"diff", MAX(Instances!X22:Instances!X22)-MIN(Instances!X22:Instances!X22))</f>
        <v>0</v>
      </c>
      <c r="Y22" s="1" cm="1">
        <f t="array" ref="Y22">_xlfn.SWITCH($A$2,"average", AVERAGE(Instances!Y22:Instances!Y22),"median", MEDIAN(Instances!Y22:Instances!Y22),"min", MIN(Instances!Y22:Instances!Y22),"max", MAX(Instances!Y22:Instances!Y22),"diff", MAX(Instances!Y22:Instances!Y22)-MIN(Instances!Y22:Instances!Y22))</f>
        <v>0</v>
      </c>
      <c r="Z22" s="1" cm="1">
        <f t="array" ref="Z22">_xlfn.SWITCH($A$2,"average", AVERAGE(Instances!Z22:Instances!Z22),"median", MEDIAN(Instances!Z22:Instances!Z22),"min", MIN(Instances!Z22:Instances!Z22),"max", MAX(Instances!Z22:Instances!Z22),"diff", MAX(Instances!Z22:Instances!Z22)-MIN(Instances!Z22:Instances!Z22))</f>
        <v>0</v>
      </c>
      <c r="AA22" s="1" cm="1">
        <f t="array" ref="AA22">_xlfn.SWITCH($A$2,"average", AVERAGE(Instances!AA22:Instances!AA22),"median", MEDIAN(Instances!AA22:Instances!AA22),"min", MIN(Instances!AA22:Instances!AA22),"max", MAX(Instances!AA22:Instances!AA22),"diff", MAX(Instances!AA22:Instances!AA22)-MIN(Instances!AA22:Instances!AA22))</f>
        <v>0</v>
      </c>
      <c r="AB22" s="1" cm="1">
        <f t="array" ref="AB22">_xlfn.SWITCH($A$2,"average", AVERAGE(Instances!AB22:Instances!AB22),"median", MEDIAN(Instances!AB22:Instances!AB22),"min", MIN(Instances!AB22:Instances!AB22),"max", MAX(Instances!AB22:Instances!AB22),"diff", MAX(Instances!AB22:Instances!AB22)-MIN(Instances!AB22:Instances!AB22))</f>
        <v>0</v>
      </c>
      <c r="AC22" s="1" cm="1">
        <f t="array" ref="AC22">_xlfn.SWITCH($A$2,"average", AVERAGE(Instances!AC22:Instances!AC22),"median", MEDIAN(Instances!AC22:Instances!AC22),"min", MIN(Instances!AC22:Instances!AC22),"max", MAX(Instances!AC22:Instances!AC22),"diff", MAX(Instances!AC22:Instances!AC22)-MIN(Instances!AC22:Instances!AC22))</f>
        <v>0</v>
      </c>
      <c r="AD22" s="1" cm="1">
        <f t="array" ref="AD22">_xlfn.SWITCH($A$2,"average", AVERAGE(Instances!AD22:Instances!AD22),"median", MEDIAN(Instances!AD22:Instances!AD22),"min", MIN(Instances!AD22:Instances!AD22),"max", MAX(Instances!AD22:Instances!AD22),"diff", MAX(Instances!AD22:Instances!AD22)-MIN(Instances!AD22:Instances!AD22))</f>
        <v>0</v>
      </c>
      <c r="AE22" s="1" cm="1">
        <f t="array" ref="AE22">_xlfn.SWITCH($A$2,"average", AVERAGE(Instances!AE22:Instances!AE22),"median", MEDIAN(Instances!AE22:Instances!AE22),"min", MIN(Instances!AE22:Instances!AE22),"max", MAX(Instances!AE22:Instances!AE22),"diff", MAX(Instances!AE22:Instances!AE22)-MIN(Instances!AE22:Instances!AE22))</f>
        <v>0</v>
      </c>
      <c r="AF22" s="1" cm="1">
        <f t="array" ref="AF22">_xlfn.SWITCH($A$2,"average", AVERAGE(Instances!AF22:Instances!AF22),"median", MEDIAN(Instances!AF22:Instances!AF22),"min", MIN(Instances!AF22:Instances!AF22),"max", MAX(Instances!AF22:Instances!AF22),"diff", MAX(Instances!AF22:Instances!AF22)-MIN(Instances!AF22:Instances!AF22))</f>
        <v>0</v>
      </c>
      <c r="AG22" s="1" cm="1">
        <f t="array" ref="AG22">_xlfn.SWITCH($A$2,"average", AVERAGE(Instances!AG22:Instances!AG22),"median", MEDIAN(Instances!AG22:Instances!AG22),"min", MIN(Instances!AG22:Instances!AG22),"max", MAX(Instances!AG22:Instances!AG22),"diff", MAX(Instances!AG22:Instances!AG22)-MIN(Instances!AG22:Instances!AG22))</f>
        <v>0</v>
      </c>
      <c r="AH22" s="1"/>
      <c r="AI22" s="1" cm="1">
        <f t="array" ref="AI22">_xlfn.SWITCH($A$2,"average", AVERAGE(Instances!AI22:Instances!AI22),"median", MEDIAN(Instances!AI22:Instances!AI22),"min", MIN(Instances!AI22:Instances!AI22),"max", MAX(Instances!AI22:Instances!AI22),"diff", MAX(Instances!AI22:Instances!AI22)-MIN(Instances!AI22:Instances!AI22))</f>
        <v>0</v>
      </c>
      <c r="AJ22" s="1" cm="1">
        <f t="array" ref="AJ22">_xlfn.SWITCH($A$2,"average", AVERAGE(Instances!AJ22:Instances!AJ22),"median", MEDIAN(Instances!AJ22:Instances!AJ22),"min", MIN(Instances!AJ22:Instances!AJ22),"max", MAX(Instances!AJ22:Instances!AJ22),"diff", MAX(Instances!AJ22:Instances!AJ22)-MIN(Instances!AJ22:Instances!AJ22))</f>
        <v>0</v>
      </c>
      <c r="AK22" s="1" cm="1">
        <f t="array" ref="AK22">_xlfn.SWITCH($A$2,"average", AVERAGE(Instances!AK22:Instances!AK22),"median", MEDIAN(Instances!AK22:Instances!AK22),"min", MIN(Instances!AK22:Instances!AK22),"max", MAX(Instances!AK22:Instances!AK22),"diff", MAX(Instances!AK22:Instances!AK22)-MIN(Instances!AK22:Instances!AK22))</f>
        <v>0</v>
      </c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 cm="1">
        <f t="array" ref="CN22">_xlfn.SWITCH($A$2,"average", AVERAGE(Instances!CN22:Instances!CN22),"median", MEDIAN(Instances!CN22:Instances!CN22),"min", MIN(Instances!CN22:Instances!CN22),"max", MAX(Instances!CN22:Instances!CN22),"diff", MAX(Instances!CN22:Instances!CN22)-MIN(Instances!CN22:Instances!CN22))</f>
        <v>0</v>
      </c>
      <c r="CO22" s="1" cm="1">
        <f t="array" ref="CO22">_xlfn.SWITCH($A$2,"average", AVERAGE(Instances!CO22:Instances!CO22),"median", MEDIAN(Instances!CO22:Instances!CO22),"min", MIN(Instances!CO22:Instances!CO22),"max", MAX(Instances!CO22:Instances!CO22),"diff", MAX(Instances!CO22:Instances!CO22)-MIN(Instances!CO22:Instances!CO22))</f>
        <v>0</v>
      </c>
      <c r="CP22" s="1" cm="1">
        <f t="array" ref="CP22">_xlfn.SWITCH($A$2,"average", AVERAGE(Instances!CP22:Instances!CP22),"median", MEDIAN(Instances!CP22:Instances!CP22),"min", MIN(Instances!CP22:Instances!CP22),"max", MAX(Instances!CP22:Instances!CP22),"diff", MAX(Instances!CP22:Instances!CP22)-MIN(Instances!CP22:Instances!CP22))</f>
        <v>0</v>
      </c>
      <c r="CQ22" s="1" cm="1">
        <f t="array" ref="CQ22">_xlfn.SWITCH($A$2,"average", AVERAGE(Instances!CQ22:Instances!CQ22),"median", MEDIAN(Instances!CQ22:Instances!CQ22),"min", MIN(Instances!CQ22:Instances!CQ22),"max", MAX(Instances!CQ22:Instances!CQ22),"diff", MAX(Instances!CQ22:Instances!CQ22)-MIN(Instances!CQ22:Instances!CQ22))</f>
        <v>0</v>
      </c>
      <c r="CR22" s="1" cm="1">
        <f t="array" ref="CR22">_xlfn.SWITCH($A$2,"average", AVERAGE(Instances!CR22:Instances!CR22),"median", MEDIAN(Instances!CR22:Instances!CR22),"min", MIN(Instances!CR22:Instances!CR22),"max", MAX(Instances!CR22:Instances!CR22),"diff", MAX(Instances!CR22:Instances!CR22)-MIN(Instances!CR22:Instances!CR22))</f>
        <v>0</v>
      </c>
      <c r="CS22" s="1" cm="1">
        <f t="array" ref="CS22">_xlfn.SWITCH($A$2,"average", AVERAGE(Instances!CS22:Instances!CS22),"median", MEDIAN(Instances!CS22:Instances!CS22),"min", MIN(Instances!CS22:Instances!CS22),"max", MAX(Instances!CS22:Instances!CS22),"diff", MAX(Instances!CS22:Instances!CS22)-MIN(Instances!CS22:Instances!CS22))</f>
        <v>0</v>
      </c>
      <c r="CT22" s="1" cm="1">
        <f t="array" ref="CT22">_xlfn.SWITCH($A$2,"average", AVERAGE(Instances!CT22:Instances!CT22),"median", MEDIAN(Instances!CT22:Instances!CT22),"min", MIN(Instances!CT22:Instances!CT22),"max", MAX(Instances!CT22:Instances!CT22),"diff", MAX(Instances!CT22:Instances!CT22)-MIN(Instances!CT22:Instances!CT22))</f>
        <v>0</v>
      </c>
      <c r="CU22" s="1" cm="1">
        <f t="array" ref="CU22">_xlfn.SWITCH($A$2,"average", AVERAGE(Instances!CU22:Instances!CU22),"median", MEDIAN(Instances!CU22:Instances!CU22),"min", MIN(Instances!CU22:Instances!CU22),"max", MAX(Instances!CU22:Instances!CU22),"diff", MAX(Instances!CU22:Instances!CU22)-MIN(Instances!CU22:Instances!CU22))</f>
        <v>0</v>
      </c>
      <c r="CV22" s="1" cm="1">
        <f t="array" ref="CV22">_xlfn.SWITCH($A$2,"average", AVERAGE(Instances!CV22:Instances!CV22),"median", MEDIAN(Instances!CV22:Instances!CV22),"min", MIN(Instances!CV22:Instances!CV22),"max", MAX(Instances!CV22:Instances!CV22),"diff", MAX(Instances!CV22:Instances!CV22)-MIN(Instances!CV22:Instances!CV22))</f>
        <v>0</v>
      </c>
      <c r="CW22" s="1" cm="1">
        <f t="array" ref="CW22">_xlfn.SWITCH($A$2,"average", AVERAGE(Instances!CW22:Instances!CW22),"median", MEDIAN(Instances!CW22:Instances!CW22),"min", MIN(Instances!CW22:Instances!CW22),"max", MAX(Instances!CW22:Instances!CW22),"diff", MAX(Instances!CW22:Instances!CW22)-MIN(Instances!CW22:Instances!CW22))</f>
        <v>0</v>
      </c>
      <c r="CX22" s="1" cm="1">
        <f t="array" ref="CX22">_xlfn.SWITCH($A$2,"average", AVERAGE(Instances!CX22:Instances!CX22),"median", MEDIAN(Instances!CX22:Instances!CX22),"min", MIN(Instances!CX22:Instances!CX22),"max", MAX(Instances!CX22:Instances!CX22),"diff", MAX(Instances!CX22:Instances!CX22)-MIN(Instances!CX22:Instances!CX22))</f>
        <v>0</v>
      </c>
      <c r="CY22" s="1" cm="1">
        <f t="array" ref="CY22">_xlfn.SWITCH($A$2,"average", AVERAGE(Instances!CY22:Instances!CY22),"median", MEDIAN(Instances!CY22:Instances!CY22),"min", MIN(Instances!CY22:Instances!CY22),"max", MAX(Instances!CY22:Instances!CY22),"diff", MAX(Instances!CY22:Instances!CY22)-MIN(Instances!CY22:Instances!CY22))</f>
        <v>0</v>
      </c>
      <c r="CZ22" s="1" cm="1">
        <f t="array" ref="CZ22">_xlfn.SWITCH($A$2,"average", AVERAGE(Instances!CZ22:Instances!CZ22),"median", MEDIAN(Instances!CZ22:Instances!CZ22),"min", MIN(Instances!CZ22:Instances!CZ22),"max", MAX(Instances!CZ22:Instances!CZ22),"diff", MAX(Instances!CZ22:Instances!CZ22)-MIN(Instances!CZ22:Instances!CZ22))</f>
        <v>0</v>
      </c>
      <c r="DA22" s="1" cm="1">
        <f t="array" ref="DA22">_xlfn.SWITCH($A$2,"average", AVERAGE(Instances!DA22:Instances!DA22),"median", MEDIAN(Instances!DA22:Instances!DA22),"min", MIN(Instances!DA22:Instances!DA22),"max", MAX(Instances!DA22:Instances!DA22),"diff", MAX(Instances!DA22:Instances!DA22)-MIN(Instances!DA22:Instances!DA22))</f>
        <v>0</v>
      </c>
      <c r="DB22" s="1"/>
      <c r="DC22" s="1" cm="1">
        <f t="array" ref="DC22">_xlfn.SWITCH($A$2,"average", AVERAGE(Instances!DC22:Instances!DC22),"median", MEDIAN(Instances!DC22:Instances!DC22),"min", MIN(Instances!DC22:Instances!DC22),"max", MAX(Instances!DC22:Instances!DC22),"diff", MAX(Instances!DC22:Instances!DC22)-MIN(Instances!DC22:Instances!DC22))</f>
        <v>0</v>
      </c>
      <c r="DD22" s="1" cm="1">
        <f t="array" ref="DD22">_xlfn.SWITCH($A$2,"average", AVERAGE(Instances!DD22:Instances!DD22),"median", MEDIAN(Instances!DD22:Instances!DD22),"min", MIN(Instances!DD22:Instances!DD22),"max", MAX(Instances!DD22:Instances!DD22),"diff", MAX(Instances!DD22:Instances!DD22)-MIN(Instances!DD22:Instances!DD22))</f>
        <v>0</v>
      </c>
      <c r="DE22" s="1" cm="1">
        <f t="array" ref="DE22">_xlfn.SWITCH($A$2,"average", AVERAGE(Instances!DE22:Instances!DE22),"median", MEDIAN(Instances!DE22:Instances!DE22),"min", MIN(Instances!DE22:Instances!DE22),"max", MAX(Instances!DE22:Instances!DE22),"diff", MAX(Instances!DE22:Instances!DE22)-MIN(Instances!DE22:Instances!DE22))</f>
        <v>0</v>
      </c>
      <c r="DF22" s="1" cm="1">
        <f t="array" ref="DF22">_xlfn.SWITCH($A$2,"average", AVERAGE(Instances!DF22:Instances!DF22),"median", MEDIAN(Instances!DF22:Instances!DF22),"min", MIN(Instances!DF22:Instances!DF22),"max", MAX(Instances!DF22:Instances!DF22),"diff", MAX(Instances!DF22:Instances!DF22)-MIN(Instances!DF22:Instances!DF22))</f>
        <v>0</v>
      </c>
      <c r="DG22" s="1" cm="1">
        <f t="array" ref="DG22">_xlfn.SWITCH($A$2,"average", AVERAGE(Instances!DG22:Instances!DG22),"median", MEDIAN(Instances!DG22:Instances!DG22),"min", MIN(Instances!DG22:Instances!DG22),"max", MAX(Instances!DG22:Instances!DG22),"diff", MAX(Instances!DG22:Instances!DG22)-MIN(Instances!DG22:Instances!DG22))</f>
        <v>0</v>
      </c>
      <c r="DH22" s="1" cm="1">
        <f t="array" ref="DH22">_xlfn.SWITCH($A$2,"average", AVERAGE(Instances!DH22:Instances!DH22),"median", MEDIAN(Instances!DH22:Instances!DH22),"min", MIN(Instances!DH22:Instances!DH22),"max", MAX(Instances!DH22:Instances!DH22),"diff", MAX(Instances!DH22:Instances!DH22)-MIN(Instances!DH22:Instances!DH22))</f>
        <v>0</v>
      </c>
      <c r="DI22" s="1" cm="1">
        <f t="array" ref="DI22">_xlfn.SWITCH($A$2,"average", AVERAGE(Instances!DI22:Instances!DI22),"median", MEDIAN(Instances!DI22:Instances!DI22),"min", MIN(Instances!DI22:Instances!DI22),"max", MAX(Instances!DI22:Instances!DI22),"diff", MAX(Instances!DI22:Instances!DI22)-MIN(Instances!DI22:Instances!DI22))</f>
        <v>0</v>
      </c>
      <c r="DJ22" s="1" cm="1">
        <f t="array" ref="DJ22">_xlfn.SWITCH($A$2,"average", AVERAGE(Instances!DJ22:Instances!DJ22),"median", MEDIAN(Instances!DJ22:Instances!DJ22),"min", MIN(Instances!DJ22:Instances!DJ22),"max", MAX(Instances!DJ22:Instances!DJ22),"diff", MAX(Instances!DJ22:Instances!DJ22)-MIN(Instances!DJ22:Instances!DJ22))</f>
        <v>0</v>
      </c>
      <c r="DK22" s="1" cm="1">
        <f t="array" ref="DK22">_xlfn.SWITCH($A$2,"average", AVERAGE(Instances!DK22:Instances!DK22),"median", MEDIAN(Instances!DK22:Instances!DK22),"min", MIN(Instances!DK22:Instances!DK22),"max", MAX(Instances!DK22:Instances!DK22),"diff", MAX(Instances!DK22:Instances!DK22)-MIN(Instances!DK22:Instances!DK22))</f>
        <v>0</v>
      </c>
      <c r="DL22" s="1" cm="1">
        <f t="array" ref="DL22">_xlfn.SWITCH($A$2,"average", AVERAGE(Instances!DL22:Instances!DL22),"median", MEDIAN(Instances!DL22:Instances!DL22),"min", MIN(Instances!DL22:Instances!DL22),"max", MAX(Instances!DL22:Instances!DL22),"diff", MAX(Instances!DL22:Instances!DL22)-MIN(Instances!DL22:Instances!DL22))</f>
        <v>0</v>
      </c>
      <c r="DM22" s="1" cm="1">
        <f t="array" ref="DM22">_xlfn.SWITCH($A$2,"average", AVERAGE(Instances!DM22:Instances!DM22),"median", MEDIAN(Instances!DM22:Instances!DM22),"min", MIN(Instances!DM22:Instances!DM22),"max", MAX(Instances!DM22:Instances!DM22),"diff", MAX(Instances!DM22:Instances!DM22)-MIN(Instances!DM22:Instances!DM22))</f>
        <v>0</v>
      </c>
      <c r="DN22" s="1" cm="1">
        <f t="array" ref="DN22">_xlfn.SWITCH($A$2,"average", AVERAGE(Instances!DN22:Instances!DN22),"median", MEDIAN(Instances!DN22:Instances!DN22),"min", MIN(Instances!DN22:Instances!DN22),"max", MAX(Instances!DN22:Instances!DN22),"diff", MAX(Instances!DN22:Instances!DN22)-MIN(Instances!DN22:Instances!DN22))</f>
        <v>0</v>
      </c>
      <c r="DO22" s="1" cm="1">
        <f t="array" ref="DO22">_xlfn.SWITCH($A$2,"average", AVERAGE(Instances!DO22:Instances!DO22),"median", MEDIAN(Instances!DO22:Instances!DO22),"min", MIN(Instances!DO22:Instances!DO22),"max", MAX(Instances!DO22:Instances!DO22),"diff", MAX(Instances!DO22:Instances!DO22)-MIN(Instances!DO22:Instances!DO22))</f>
        <v>0</v>
      </c>
      <c r="DP22" s="1" cm="1">
        <f t="array" ref="DP22">_xlfn.SWITCH($A$2,"average", AVERAGE(Instances!DP22:Instances!DP22),"median", MEDIAN(Instances!DP22:Instances!DP22),"min", MIN(Instances!DP22:Instances!DP22),"max", MAX(Instances!DP22:Instances!DP22),"diff", MAX(Instances!DP22:Instances!DP22)-MIN(Instances!DP22:Instances!DP22))</f>
        <v>0</v>
      </c>
      <c r="DQ22" s="1" cm="1">
        <f t="array" ref="DQ22">_xlfn.SWITCH($A$2,"average", AVERAGE(Instances!DQ22:Instances!DQ22),"median", MEDIAN(Instances!DQ22:Instances!DQ22),"min", MIN(Instances!DQ22:Instances!DQ22),"max", MAX(Instances!DQ22:Instances!DQ22),"diff", MAX(Instances!DQ22:Instances!DQ22)-MIN(Instances!DQ22:Instances!DQ22))</f>
        <v>0</v>
      </c>
      <c r="DR22" s="1" cm="1">
        <f t="array" ref="DR22">_xlfn.SWITCH($A$2,"average", AVERAGE(Instances!DR22:Instances!DR22),"median", MEDIAN(Instances!DR22:Instances!DR22),"min", MIN(Instances!DR22:Instances!DR22),"max", MAX(Instances!DR22:Instances!DR22),"diff", MAX(Instances!DR22:Instances!DR22)-MIN(Instances!DR22:Instances!DR22))</f>
        <v>0</v>
      </c>
      <c r="DS22" s="1" cm="1">
        <f t="array" ref="DS22">_xlfn.SWITCH($A$2,"average", AVERAGE(Instances!DS22:Instances!DS22),"median", MEDIAN(Instances!DS22:Instances!DS22),"min", MIN(Instances!DS22:Instances!DS22),"max", MAX(Instances!DS22:Instances!DS22),"diff", MAX(Instances!DS22:Instances!DS22)-MIN(Instances!DS22:Instances!DS22))</f>
        <v>0</v>
      </c>
      <c r="DT22" s="1"/>
      <c r="DU22" s="1" cm="1">
        <f t="array" ref="DU22">_xlfn.SWITCH($A$2,"average", AVERAGE(Instances!DU22:Instances!DU22),"median", MEDIAN(Instances!DU22:Instances!DU22),"min", MIN(Instances!DU22:Instances!DU22),"max", MAX(Instances!DU22:Instances!DU22),"diff", MAX(Instances!DU22:Instances!DU22)-MIN(Instances!DU22:Instances!DU22))</f>
        <v>0</v>
      </c>
      <c r="DV22" s="1" cm="1">
        <f t="array" ref="DV22">_xlfn.SWITCH($A$2,"average", AVERAGE(Instances!DV22:Instances!DV22),"median", MEDIAN(Instances!DV22:Instances!DV22),"min", MIN(Instances!DV22:Instances!DV22),"max", MAX(Instances!DV22:Instances!DV22),"diff", MAX(Instances!DV22:Instances!DV22)-MIN(Instances!DV22:Instances!DV22))</f>
        <v>0</v>
      </c>
      <c r="DW22" s="1" cm="1">
        <f t="array" ref="DW22">_xlfn.SWITCH($A$2,"average", AVERAGE(Instances!DW22:Instances!DW22),"median", MEDIAN(Instances!DW22:Instances!DW22),"min", MIN(Instances!DW22:Instances!DW22),"max", MAX(Instances!DW22:Instances!DW22),"diff", MAX(Instances!DW22:Instances!DW22)-MIN(Instances!DW22:Instances!DW22))</f>
        <v>0</v>
      </c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 cm="1">
        <f t="array" ref="FH22">_xlfn.SWITCH($A$2,"average", AVERAGE(Instances!FH22:Instances!FH22),"median", MEDIAN(Instances!FH22:Instances!FH22),"min", MIN(Instances!FH22:Instances!FH22),"max", MAX(Instances!FH22:Instances!FH22),"diff", MAX(Instances!FH22:Instances!FH22)-MIN(Instances!FH22:Instances!FH22))</f>
        <v>0</v>
      </c>
      <c r="FI22" s="1" cm="1">
        <f t="array" ref="FI22">_xlfn.SWITCH($A$2,"average", AVERAGE(Instances!FI22:Instances!FI22),"median", MEDIAN(Instances!FI22:Instances!FI22),"min", MIN(Instances!FI22:Instances!FI22),"max", MAX(Instances!FI22:Instances!FI22),"diff", MAX(Instances!FI22:Instances!FI22)-MIN(Instances!FI22:Instances!FI22))</f>
        <v>0</v>
      </c>
      <c r="FJ22" s="1" cm="1">
        <f t="array" ref="FJ22">_xlfn.SWITCH($A$2,"average", AVERAGE(Instances!FJ22:Instances!FJ22),"median", MEDIAN(Instances!FJ22:Instances!FJ22),"min", MIN(Instances!FJ22:Instances!FJ22),"max", MAX(Instances!FJ22:Instances!FJ22),"diff", MAX(Instances!FJ22:Instances!FJ22)-MIN(Instances!FJ22:Instances!FJ22))</f>
        <v>0</v>
      </c>
      <c r="FK22" s="1" cm="1">
        <f t="array" ref="FK22">_xlfn.SWITCH($A$2,"average", AVERAGE(Instances!FK22:Instances!FK22),"median", MEDIAN(Instances!FK22:Instances!FK22),"min", MIN(Instances!FK22:Instances!FK22),"max", MAX(Instances!FK22:Instances!FK22),"diff", MAX(Instances!FK22:Instances!FK22)-MIN(Instances!FK22:Instances!FK22))</f>
        <v>0</v>
      </c>
      <c r="FL22" s="1" cm="1">
        <f t="array" ref="FL22">_xlfn.SWITCH($A$2,"average", AVERAGE(Instances!FL22:Instances!FL22),"median", MEDIAN(Instances!FL22:Instances!FL22),"min", MIN(Instances!FL22:Instances!FL22),"max", MAX(Instances!FL22:Instances!FL22),"diff", MAX(Instances!FL22:Instances!FL22)-MIN(Instances!FL22:Instances!FL22))</f>
        <v>0</v>
      </c>
      <c r="FM22" s="1" cm="1">
        <f t="array" ref="FM22">_xlfn.SWITCH($A$2,"average", AVERAGE(Instances!FM22:Instances!FM22),"median", MEDIAN(Instances!FM22:Instances!FM22),"min", MIN(Instances!FM22:Instances!FM22),"max", MAX(Instances!FM22:Instances!FM22),"diff", MAX(Instances!FM22:Instances!FM22)-MIN(Instances!FM22:Instances!FM22))</f>
        <v>0</v>
      </c>
      <c r="FN22" s="1" cm="1">
        <f t="array" ref="FN22">_xlfn.SWITCH($A$2,"average", AVERAGE(Instances!FN22:Instances!FN22),"median", MEDIAN(Instances!FN22:Instances!FN22),"min", MIN(Instances!FN22:Instances!FN22),"max", MAX(Instances!FN22:Instances!FN22),"diff", MAX(Instances!FN22:Instances!FN22)-MIN(Instances!FN22:Instances!FN22))</f>
        <v>0</v>
      </c>
      <c r="FO22" s="1" cm="1">
        <f t="array" ref="FO22">_xlfn.SWITCH($A$2,"average", AVERAGE(Instances!FO22:Instances!FO22),"median", MEDIAN(Instances!FO22:Instances!FO22),"min", MIN(Instances!FO22:Instances!FO22),"max", MAX(Instances!FO22:Instances!FO22),"diff", MAX(Instances!FO22:Instances!FO22)-MIN(Instances!FO22:Instances!FO22))</f>
        <v>0</v>
      </c>
      <c r="FP22" s="1" cm="1">
        <f t="array" ref="FP22">_xlfn.SWITCH($A$2,"average", AVERAGE(Instances!FP22:Instances!FP22),"median", MEDIAN(Instances!FP22:Instances!FP22),"min", MIN(Instances!FP22:Instances!FP22),"max", MAX(Instances!FP22:Instances!FP22),"diff", MAX(Instances!FP22:Instances!FP22)-MIN(Instances!FP22:Instances!FP22))</f>
        <v>0</v>
      </c>
      <c r="FQ22" s="1" cm="1">
        <f t="array" ref="FQ22">_xlfn.SWITCH($A$2,"average", AVERAGE(Instances!FQ22:Instances!FQ22),"median", MEDIAN(Instances!FQ22:Instances!FQ22),"min", MIN(Instances!FQ22:Instances!FQ22),"max", MAX(Instances!FQ22:Instances!FQ22),"diff", MAX(Instances!FQ22:Instances!FQ22)-MIN(Instances!FQ22:Instances!FQ22))</f>
        <v>0</v>
      </c>
      <c r="FR22" s="1" cm="1">
        <f t="array" ref="FR22">_xlfn.SWITCH($A$2,"average", AVERAGE(Instances!FR22:Instances!FR22),"median", MEDIAN(Instances!FR22:Instances!FR22),"min", MIN(Instances!FR22:Instances!FR22),"max", MAX(Instances!FR22:Instances!FR22),"diff", MAX(Instances!FR22:Instances!FR22)-MIN(Instances!FR22:Instances!FR22))</f>
        <v>0</v>
      </c>
      <c r="FS22" s="1" cm="1">
        <f t="array" ref="FS22">_xlfn.SWITCH($A$2,"average", AVERAGE(Instances!FS22:Instances!FS22),"median", MEDIAN(Instances!FS22:Instances!FS22),"min", MIN(Instances!FS22:Instances!FS22),"max", MAX(Instances!FS22:Instances!FS22),"diff", MAX(Instances!FS22:Instances!FS22)-MIN(Instances!FS22:Instances!FS22))</f>
        <v>0</v>
      </c>
      <c r="FT22" s="1" cm="1">
        <f t="array" ref="FT22">_xlfn.SWITCH($A$2,"average", AVERAGE(Instances!FT22:Instances!FT22),"median", MEDIAN(Instances!FT22:Instances!FT22),"min", MIN(Instances!FT22:Instances!FT22),"max", MAX(Instances!FT22:Instances!FT22),"diff", MAX(Instances!FT22:Instances!FT22)-MIN(Instances!FT22:Instances!FT22))</f>
        <v>0</v>
      </c>
      <c r="FU22" s="1" cm="1">
        <f t="array" ref="FU22">_xlfn.SWITCH($A$2,"average", AVERAGE(Instances!FU22:Instances!FU22),"median", MEDIAN(Instances!FU22:Instances!FU22),"min", MIN(Instances!FU22:Instances!FU22),"max", MAX(Instances!FU22:Instances!FU22),"diff", MAX(Instances!FU22:Instances!FU22)-MIN(Instances!FU22:Instances!FU22))</f>
        <v>0</v>
      </c>
      <c r="FV22" s="1"/>
      <c r="FW22" s="1" cm="1">
        <f t="array" ref="FW22">_xlfn.SWITCH($A$2,"average", AVERAGE(Instances!FW22:Instances!FW22),"median", MEDIAN(Instances!FW22:Instances!FW22),"min", MIN(Instances!FW22:Instances!FW22),"max", MAX(Instances!FW22:Instances!FW22),"diff", MAX(Instances!FW22:Instances!FW22)-MIN(Instances!FW22:Instances!FW22))</f>
        <v>0</v>
      </c>
      <c r="FX22" s="1" cm="1">
        <f t="array" ref="FX22">_xlfn.SWITCH($A$2,"average", AVERAGE(Instances!FX22:Instances!FX22),"median", MEDIAN(Instances!FX22:Instances!FX22),"min", MIN(Instances!FX22:Instances!FX22),"max", MAX(Instances!FX22:Instances!FX22),"diff", MAX(Instances!FX22:Instances!FX22)-MIN(Instances!FX22:Instances!FX22))</f>
        <v>0</v>
      </c>
      <c r="FY22" s="1" cm="1">
        <f t="array" ref="FY22">_xlfn.SWITCH($A$2,"average", AVERAGE(Instances!FY22:Instances!FY22),"median", MEDIAN(Instances!FY22:Instances!FY22),"min", MIN(Instances!FY22:Instances!FY22),"max", MAX(Instances!FY22:Instances!FY22),"diff", MAX(Instances!FY22:Instances!FY22)-MIN(Instances!FY22:Instances!FY22))</f>
        <v>0</v>
      </c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 cm="1">
        <f t="array" ref="IB22">_xlfn.SWITCH($A$2,"average", AVERAGE(Instances!IB22:Instances!IB22),"median", MEDIAN(Instances!IB22:Instances!IB22),"min", MIN(Instances!IB22:Instances!IB22),"max", MAX(Instances!IB22:Instances!IB22),"diff", MAX(Instances!IB22:Instances!IB22)-MIN(Instances!IB22:Instances!IB22))</f>
        <v>0</v>
      </c>
      <c r="IC22" s="1" cm="1">
        <f t="array" ref="IC22">_xlfn.SWITCH($A$2,"average", AVERAGE(Instances!IC22:Instances!IC22),"median", MEDIAN(Instances!IC22:Instances!IC22),"min", MIN(Instances!IC22:Instances!IC22),"max", MAX(Instances!IC22:Instances!IC22),"diff", MAX(Instances!IC22:Instances!IC22)-MIN(Instances!IC22:Instances!IC22))</f>
        <v>0</v>
      </c>
      <c r="ID22" s="1" cm="1">
        <f t="array" ref="ID22">_xlfn.SWITCH($A$2,"average", AVERAGE(Instances!ID22:Instances!ID22),"median", MEDIAN(Instances!ID22:Instances!ID22),"min", MIN(Instances!ID22:Instances!ID22),"max", MAX(Instances!ID22:Instances!ID22),"diff", MAX(Instances!ID22:Instances!ID22)-MIN(Instances!ID22:Instances!ID22))</f>
        <v>0</v>
      </c>
      <c r="IE22" s="1" cm="1">
        <f t="array" ref="IE22">_xlfn.SWITCH($A$2,"average", AVERAGE(Instances!IE22:Instances!IE22),"median", MEDIAN(Instances!IE22:Instances!IE22),"min", MIN(Instances!IE22:Instances!IE22),"max", MAX(Instances!IE22:Instances!IE22),"diff", MAX(Instances!IE22:Instances!IE22)-MIN(Instances!IE22:Instances!IE22))</f>
        <v>0</v>
      </c>
      <c r="IF22" s="1" cm="1">
        <f t="array" ref="IF22">_xlfn.SWITCH($A$2,"average", AVERAGE(Instances!IF22:Instances!IF22),"median", MEDIAN(Instances!IF22:Instances!IF22),"min", MIN(Instances!IF22:Instances!IF22),"max", MAX(Instances!IF22:Instances!IF22),"diff", MAX(Instances!IF22:Instances!IF22)-MIN(Instances!IF22:Instances!IF22))</f>
        <v>0</v>
      </c>
      <c r="IG22" s="1" cm="1">
        <f t="array" ref="IG22">_xlfn.SWITCH($A$2,"average", AVERAGE(Instances!IG22:Instances!IG22),"median", MEDIAN(Instances!IG22:Instances!IG22),"min", MIN(Instances!IG22:Instances!IG22),"max", MAX(Instances!IG22:Instances!IG22),"diff", MAX(Instances!IG22:Instances!IG22)-MIN(Instances!IG22:Instances!IG22))</f>
        <v>0</v>
      </c>
      <c r="IH22" s="1" cm="1">
        <f t="array" ref="IH22">_xlfn.SWITCH($A$2,"average", AVERAGE(Instances!IH22:Instances!IH22),"median", MEDIAN(Instances!IH22:Instances!IH22),"min", MIN(Instances!IH22:Instances!IH22),"max", MAX(Instances!IH22:Instances!IH22),"diff", MAX(Instances!IH22:Instances!IH22)-MIN(Instances!IH22:Instances!IH22))</f>
        <v>0</v>
      </c>
      <c r="II22" s="1" cm="1">
        <f t="array" ref="II22">_xlfn.SWITCH($A$2,"average", AVERAGE(Instances!II22:Instances!II22),"median", MEDIAN(Instances!II22:Instances!II22),"min", MIN(Instances!II22:Instances!II22),"max", MAX(Instances!II22:Instances!II22),"diff", MAX(Instances!II22:Instances!II22)-MIN(Instances!II22:Instances!II22))</f>
        <v>0</v>
      </c>
      <c r="IJ22" s="1" cm="1">
        <f t="array" ref="IJ22">_xlfn.SWITCH($A$2,"average", AVERAGE(Instances!IJ22:Instances!IJ22),"median", MEDIAN(Instances!IJ22:Instances!IJ22),"min", MIN(Instances!IJ22:Instances!IJ22),"max", MAX(Instances!IJ22:Instances!IJ22),"diff", MAX(Instances!IJ22:Instances!IJ22)-MIN(Instances!IJ22:Instances!IJ22))</f>
        <v>0</v>
      </c>
      <c r="IK22" s="1" cm="1">
        <f t="array" ref="IK22">_xlfn.SWITCH($A$2,"average", AVERAGE(Instances!IK22:Instances!IK22),"median", MEDIAN(Instances!IK22:Instances!IK22),"min", MIN(Instances!IK22:Instances!IK22),"max", MAX(Instances!IK22:Instances!IK22),"diff", MAX(Instances!IK22:Instances!IK22)-MIN(Instances!IK22:Instances!IK22))</f>
        <v>0</v>
      </c>
      <c r="IL22" s="1" cm="1">
        <f t="array" ref="IL22">_xlfn.SWITCH($A$2,"average", AVERAGE(Instances!IL22:Instances!IL22),"median", MEDIAN(Instances!IL22:Instances!IL22),"min", MIN(Instances!IL22:Instances!IL22),"max", MAX(Instances!IL22:Instances!IL22),"diff", MAX(Instances!IL22:Instances!IL22)-MIN(Instances!IL22:Instances!IL22))</f>
        <v>0</v>
      </c>
      <c r="IM22" s="1" cm="1">
        <f t="array" ref="IM22">_xlfn.SWITCH($A$2,"average", AVERAGE(Instances!IM22:Instances!IM22),"median", MEDIAN(Instances!IM22:Instances!IM22),"min", MIN(Instances!IM22:Instances!IM22),"max", MAX(Instances!IM22:Instances!IM22),"diff", MAX(Instances!IM22:Instances!IM22)-MIN(Instances!IM22:Instances!IM22))</f>
        <v>0</v>
      </c>
      <c r="IN22" s="1" cm="1">
        <f t="array" ref="IN22">_xlfn.SWITCH($A$2,"average", AVERAGE(Instances!IN22:Instances!IN22),"median", MEDIAN(Instances!IN22:Instances!IN22),"min", MIN(Instances!IN22:Instances!IN22),"max", MAX(Instances!IN22:Instances!IN22),"diff", MAX(Instances!IN22:Instances!IN22)-MIN(Instances!IN22:Instances!IN22))</f>
        <v>0</v>
      </c>
      <c r="IO22" s="1" cm="1">
        <f t="array" ref="IO22">_xlfn.SWITCH($A$2,"average", AVERAGE(Instances!IO22:Instances!IO22),"median", MEDIAN(Instances!IO22:Instances!IO22),"min", MIN(Instances!IO22:Instances!IO22),"max", MAX(Instances!IO22:Instances!IO22),"diff", MAX(Instances!IO22:Instances!IO22)-MIN(Instances!IO22:Instances!IO22))</f>
        <v>0</v>
      </c>
      <c r="IP22" s="1"/>
      <c r="IQ22" s="1" cm="1">
        <f t="array" ref="IQ22">_xlfn.SWITCH($A$2,"average", AVERAGE(Instances!IQ22:Instances!IQ22),"median", MEDIAN(Instances!IQ22:Instances!IQ22),"min", MIN(Instances!IQ22:Instances!IQ22),"max", MAX(Instances!IQ22:Instances!IQ22),"diff", MAX(Instances!IQ22:Instances!IQ22)-MIN(Instances!IQ22:Instances!IQ22))</f>
        <v>0</v>
      </c>
      <c r="IR22" s="1" cm="1">
        <f t="array" ref="IR22">_xlfn.SWITCH($A$2,"average", AVERAGE(Instances!IR22:Instances!IR22),"median", MEDIAN(Instances!IR22:Instances!IR22),"min", MIN(Instances!IR22:Instances!IR22),"max", MAX(Instances!IR22:Instances!IR22),"diff", MAX(Instances!IR22:Instances!IR22)-MIN(Instances!IR22:Instances!IR22))</f>
        <v>0</v>
      </c>
      <c r="IS22" s="1" cm="1">
        <f t="array" ref="IS22">_xlfn.SWITCH($A$2,"average", AVERAGE(Instances!IS22:Instances!IS22),"median", MEDIAN(Instances!IS22:Instances!IS22),"min", MIN(Instances!IS22:Instances!IS22),"max", MAX(Instances!IS22:Instances!IS22),"diff", MAX(Instances!IS22:Instances!IS22)-MIN(Instances!IS22:Instances!IS22))</f>
        <v>0</v>
      </c>
      <c r="IT22" s="1" cm="1">
        <f t="array" ref="IT22">_xlfn.SWITCH($A$2,"average", AVERAGE(Instances!IT22:Instances!IT22),"median", MEDIAN(Instances!IT22:Instances!IT22),"min", MIN(Instances!IT22:Instances!IT22),"max", MAX(Instances!IT22:Instances!IT22),"diff", MAX(Instances!IT22:Instances!IT22)-MIN(Instances!IT22:Instances!IT22))</f>
        <v>0</v>
      </c>
      <c r="IU22" s="1" cm="1">
        <f t="array" ref="IU22">_xlfn.SWITCH($A$2,"average", AVERAGE(Instances!IU22:Instances!IU22),"median", MEDIAN(Instances!IU22:Instances!IU22),"min", MIN(Instances!IU22:Instances!IU22),"max", MAX(Instances!IU22:Instances!IU22),"diff", MAX(Instances!IU22:Instances!IU22)-MIN(Instances!IU22:Instances!IU22))</f>
        <v>0</v>
      </c>
      <c r="IV22" s="1" cm="1">
        <f t="array" ref="IV22">_xlfn.SWITCH($A$2,"average", AVERAGE(Instances!IV22:Instances!IV22),"median", MEDIAN(Instances!IV22:Instances!IV22),"min", MIN(Instances!IV22:Instances!IV22),"max", MAX(Instances!IV22:Instances!IV22),"diff", MAX(Instances!IV22:Instances!IV22)-MIN(Instances!IV22:Instances!IV22))</f>
        <v>0</v>
      </c>
      <c r="IW22" s="1" cm="1">
        <f t="array" ref="IW22">_xlfn.SWITCH($A$2,"average", AVERAGE(Instances!IW22:Instances!IW22),"median", MEDIAN(Instances!IW22:Instances!IW22),"min", MIN(Instances!IW22:Instances!IW22),"max", MAX(Instances!IW22:Instances!IW22),"diff", MAX(Instances!IW22:Instances!IW22)-MIN(Instances!IW22:Instances!IW22))</f>
        <v>0</v>
      </c>
      <c r="IX22" s="1" cm="1">
        <f t="array" ref="IX22">_xlfn.SWITCH($A$2,"average", AVERAGE(Instances!IX22:Instances!IX22),"median", MEDIAN(Instances!IX22:Instances!IX22),"min", MIN(Instances!IX22:Instances!IX22),"max", MAX(Instances!IX22:Instances!IX22),"diff", MAX(Instances!IX22:Instances!IX22)-MIN(Instances!IX22:Instances!IX22))</f>
        <v>0</v>
      </c>
      <c r="IY22" s="1" cm="1">
        <f t="array" ref="IY22">_xlfn.SWITCH($A$2,"average", AVERAGE(Instances!IY22:Instances!IY22),"median", MEDIAN(Instances!IY22:Instances!IY22),"min", MIN(Instances!IY22:Instances!IY22),"max", MAX(Instances!IY22:Instances!IY22),"diff", MAX(Instances!IY22:Instances!IY22)-MIN(Instances!IY22:Instances!IY22))</f>
        <v>0</v>
      </c>
      <c r="IZ22" s="1" cm="1">
        <f t="array" ref="IZ22">_xlfn.SWITCH($A$2,"average", AVERAGE(Instances!IZ22:Instances!IZ22),"median", MEDIAN(Instances!IZ22:Instances!IZ22),"min", MIN(Instances!IZ22:Instances!IZ22),"max", MAX(Instances!IZ22:Instances!IZ22),"diff", MAX(Instances!IZ22:Instances!IZ22)-MIN(Instances!IZ22:Instances!IZ22))</f>
        <v>0</v>
      </c>
      <c r="JA22" s="1" cm="1">
        <f t="array" ref="JA22">_xlfn.SWITCH($A$2,"average", AVERAGE(Instances!JA22:Instances!JA22),"median", MEDIAN(Instances!JA22:Instances!JA22),"min", MIN(Instances!JA22:Instances!JA22),"max", MAX(Instances!JA22:Instances!JA22),"diff", MAX(Instances!JA22:Instances!JA22)-MIN(Instances!JA22:Instances!JA22))</f>
        <v>0</v>
      </c>
      <c r="JB22" s="1" cm="1">
        <f t="array" ref="JB22">_xlfn.SWITCH($A$2,"average", AVERAGE(Instances!JB22:Instances!JB22),"median", MEDIAN(Instances!JB22:Instances!JB22),"min", MIN(Instances!JB22:Instances!JB22),"max", MAX(Instances!JB22:Instances!JB22),"diff", MAX(Instances!JB22:Instances!JB22)-MIN(Instances!JB22:Instances!JB22))</f>
        <v>0</v>
      </c>
      <c r="JC22" s="1" cm="1">
        <f t="array" ref="JC22">_xlfn.SWITCH($A$2,"average", AVERAGE(Instances!JC22:Instances!JC22),"median", MEDIAN(Instances!JC22:Instances!JC22),"min", MIN(Instances!JC22:Instances!JC22),"max", MAX(Instances!JC22:Instances!JC22),"diff", MAX(Instances!JC22:Instances!JC22)-MIN(Instances!JC22:Instances!JC22))</f>
        <v>0</v>
      </c>
      <c r="JD22" s="1" cm="1">
        <f t="array" ref="JD22">_xlfn.SWITCH($A$2,"average", AVERAGE(Instances!JD22:Instances!JD22),"median", MEDIAN(Instances!JD22:Instances!JD22),"min", MIN(Instances!JD22:Instances!JD22),"max", MAX(Instances!JD22:Instances!JD22),"diff", MAX(Instances!JD22:Instances!JD22)-MIN(Instances!JD22:Instances!JD22))</f>
        <v>0</v>
      </c>
      <c r="JE22" s="1" cm="1">
        <f t="array" ref="JE22">_xlfn.SWITCH($A$2,"average", AVERAGE(Instances!JE22:Instances!JE22),"median", MEDIAN(Instances!JE22:Instances!JE22),"min", MIN(Instances!JE22:Instances!JE22),"max", MAX(Instances!JE22:Instances!JE22),"diff", MAX(Instances!JE22:Instances!JE22)-MIN(Instances!JE22:Instances!JE22))</f>
        <v>0</v>
      </c>
      <c r="JF22" s="1" cm="1">
        <f t="array" ref="JF22">_xlfn.SWITCH($A$2,"average", AVERAGE(Instances!JF22:Instances!JF22),"median", MEDIAN(Instances!JF22:Instances!JF22),"min", MIN(Instances!JF22:Instances!JF22),"max", MAX(Instances!JF22:Instances!JF22),"diff", MAX(Instances!JF22:Instances!JF22)-MIN(Instances!JF22:Instances!JF22))</f>
        <v>0</v>
      </c>
      <c r="JG22" s="1" cm="1">
        <f t="array" ref="JG22">_xlfn.SWITCH($A$2,"average", AVERAGE(Instances!JG22:Instances!JG22),"median", MEDIAN(Instances!JG22:Instances!JG22),"min", MIN(Instances!JG22:Instances!JG22),"max", MAX(Instances!JG22:Instances!JG22),"diff", MAX(Instances!JG22:Instances!JG22)-MIN(Instances!JG22:Instances!JG22))</f>
        <v>0</v>
      </c>
      <c r="JH22" s="1"/>
      <c r="JI22" s="1" cm="1">
        <f t="array" ref="JI22">_xlfn.SWITCH($A$2,"average", AVERAGE(Instances!JI22:Instances!JI22),"median", MEDIAN(Instances!JI22:Instances!JI22),"min", MIN(Instances!JI22:Instances!JI22),"max", MAX(Instances!JI22:Instances!JI22),"diff", MAX(Instances!JI22:Instances!JI22)-MIN(Instances!JI22:Instances!JI22))</f>
        <v>0</v>
      </c>
      <c r="JJ22" s="1" cm="1">
        <f t="array" ref="JJ22">_xlfn.SWITCH($A$2,"average", AVERAGE(Instances!JJ22:Instances!JJ22),"median", MEDIAN(Instances!JJ22:Instances!JJ22),"min", MIN(Instances!JJ22:Instances!JJ22),"max", MAX(Instances!JJ22:Instances!JJ22),"diff", MAX(Instances!JJ22:Instances!JJ22)-MIN(Instances!JJ22:Instances!JJ22))</f>
        <v>0</v>
      </c>
      <c r="JK22" s="1" cm="1">
        <f t="array" ref="JK22">_xlfn.SWITCH($A$2,"average", AVERAGE(Instances!JK22:Instances!JK22),"median", MEDIAN(Instances!JK22:Instances!JK22),"min", MIN(Instances!JK22:Instances!JK22),"max", MAX(Instances!JK22:Instances!JK22),"diff", MAX(Instances!JK22:Instances!JK22)-MIN(Instances!JK22:Instances!JK22))</f>
        <v>0</v>
      </c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 cm="1">
        <f t="array" ref="O23">_xlfn.SWITCH($A$2,"average", AVERAGE(Instances!O23:Instances!O23),"median", MEDIAN(Instances!O23:Instances!O23),"min", MIN(Instances!O23:Instances!O23),"max", MAX(Instances!O23:Instances!O23),"diff", MAX(Instances!O23:Instances!O23)-MIN(Instances!O23:Instances!O23))</f>
        <v>0</v>
      </c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 cm="1">
        <f t="array" ref="S23">_xlfn.SWITCH($A$2,"average", AVERAGE(Instances!S23:Instances!S23),"median", MEDIAN(Instances!S23:Instances!S23),"min", MIN(Instances!S23:Instances!S23),"max", MAX(Instances!S23:Instances!S23),"diff", MAX(Instances!S23:Instances!S23)-MIN(Instances!S23:Instances!S23))</f>
        <v>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 cm="1">
        <f t="array" ref="EP23">_xlfn.SWITCH($A$2,"average", AVERAGE(Instances!EP23:Instances!EP23),"median", MEDIAN(Instances!EP23:Instances!EP23),"min", MIN(Instances!EP23:Instances!EP23),"max", MAX(Instances!EP23:Instances!EP23),"diff", MAX(Instances!EP23:Instances!EP23)-MIN(Instances!EP23:Instances!EP23))</f>
        <v>0</v>
      </c>
      <c r="EQ23" s="1" cm="1">
        <f t="array" ref="EQ23">_xlfn.SWITCH($A$2,"average", AVERAGE(Instances!EQ23:Instances!EQ23),"median", MEDIAN(Instances!EQ23:Instances!EQ23),"min", MIN(Instances!EQ23:Instances!EQ23),"max", MAX(Instances!EQ23:Instances!EQ23),"diff", MAX(Instances!EQ23:Instances!EQ23)-MIN(Instances!EQ23:Instances!EQ23))</f>
        <v>0</v>
      </c>
      <c r="ER23" s="1" cm="1">
        <f t="array" ref="ER23">_xlfn.SWITCH($A$2,"average", AVERAGE(Instances!ER23:Instances!ER23),"median", MEDIAN(Instances!ER23:Instances!ER23),"min", MIN(Instances!ER23:Instances!ER23),"max", MAX(Instances!ER23:Instances!ER23),"diff", MAX(Instances!ER23:Instances!ER23)-MIN(Instances!ER23:Instances!ER23))</f>
        <v>0</v>
      </c>
      <c r="ES23" s="1" cm="1">
        <f t="array" ref="ES23">_xlfn.SWITCH($A$2,"average", AVERAGE(Instances!ES23:Instances!ES23),"median", MEDIAN(Instances!ES23:Instances!ES23),"min", MIN(Instances!ES23:Instances!ES23),"max", MAX(Instances!ES23:Instances!ES23),"diff", MAX(Instances!ES23:Instances!ES23)-MIN(Instances!ES23:Instances!ES23))</f>
        <v>0</v>
      </c>
      <c r="ET23" s="1" cm="1">
        <f t="array" ref="ET23">_xlfn.SWITCH($A$2,"average", AVERAGE(Instances!ET23:Instances!ET23),"median", MEDIAN(Instances!ET23:Instances!ET23),"min", MIN(Instances!ET23:Instances!ET23),"max", MAX(Instances!ET23:Instances!ET23),"diff", MAX(Instances!ET23:Instances!ET23)-MIN(Instances!ET23:Instances!ET23))</f>
        <v>0</v>
      </c>
      <c r="EU23" s="1" cm="1">
        <f t="array" ref="EU23">_xlfn.SWITCH($A$2,"average", AVERAGE(Instances!EU23:Instances!EU23),"median", MEDIAN(Instances!EU23:Instances!EU23),"min", MIN(Instances!EU23:Instances!EU23),"max", MAX(Instances!EU23:Instances!EU23),"diff", MAX(Instances!EU23:Instances!EU23)-MIN(Instances!EU23:Instances!EU23))</f>
        <v>0</v>
      </c>
      <c r="EV23" s="1" cm="1">
        <f t="array" ref="EV23">_xlfn.SWITCH($A$2,"average", AVERAGE(Instances!EV23:Instances!EV23),"median", MEDIAN(Instances!EV23:Instances!EV23),"min", MIN(Instances!EV23:Instances!EV23),"max", MAX(Instances!EV23:Instances!EV23),"diff", MAX(Instances!EV23:Instances!EV23)-MIN(Instances!EV23:Instances!EV23))</f>
        <v>0</v>
      </c>
      <c r="EW23" s="1" cm="1">
        <f t="array" ref="EW23">_xlfn.SWITCH($A$2,"average", AVERAGE(Instances!EW23:Instances!EW23),"median", MEDIAN(Instances!EW23:Instances!EW23),"min", MIN(Instances!EW23:Instances!EW23),"max", MAX(Instances!EW23:Instances!EW23),"diff", MAX(Instances!EW23:Instances!EW23)-MIN(Instances!EW23:Instances!EW23))</f>
        <v>0</v>
      </c>
      <c r="EX23" s="1" cm="1">
        <f t="array" ref="EX23">_xlfn.SWITCH($A$2,"average", AVERAGE(Instances!EX23:Instances!EX23),"median", MEDIAN(Instances!EX23:Instances!EX23),"min", MIN(Instances!EX23:Instances!EX23),"max", MAX(Instances!EX23:Instances!EX23),"diff", MAX(Instances!EX23:Instances!EX23)-MIN(Instances!EX23:Instances!EX23))</f>
        <v>0</v>
      </c>
      <c r="EY23" s="1" cm="1">
        <f t="array" ref="EY23">_xlfn.SWITCH($A$2,"average", AVERAGE(Instances!EY23:Instances!EY23),"median", MEDIAN(Instances!EY23:Instances!EY23),"min", MIN(Instances!EY23:Instances!EY23),"max", MAX(Instances!EY23:Instances!EY23),"diff", MAX(Instances!EY23:Instances!EY23)-MIN(Instances!EY23:Instances!EY23))</f>
        <v>0</v>
      </c>
      <c r="EZ23" s="1" cm="1">
        <f t="array" ref="EZ23">_xlfn.SWITCH($A$2,"average", AVERAGE(Instances!EZ23:Instances!EZ23),"median", MEDIAN(Instances!EZ23:Instances!EZ23),"min", MIN(Instances!EZ23:Instances!EZ23),"max", MAX(Instances!EZ23:Instances!EZ23),"diff", MAX(Instances!EZ23:Instances!EZ23)-MIN(Instances!EZ23:Instances!EZ23))</f>
        <v>0</v>
      </c>
      <c r="FA23" s="1" cm="1">
        <f t="array" ref="FA23">_xlfn.SWITCH($A$2,"average", AVERAGE(Instances!FA23:Instances!FA23),"median", MEDIAN(Instances!FA23:Instances!FA23),"min", MIN(Instances!FA23:Instances!FA23),"max", MAX(Instances!FA23:Instances!FA23),"diff", MAX(Instances!FA23:Instances!FA23)-MIN(Instances!FA23:Instances!FA23))</f>
        <v>0</v>
      </c>
      <c r="FB23" s="1" cm="1">
        <f t="array" ref="FB23">_xlfn.SWITCH($A$2,"average", AVERAGE(Instances!FB23:Instances!FB23),"median", MEDIAN(Instances!FB23:Instances!FB23),"min", MIN(Instances!FB23:Instances!FB23),"max", MAX(Instances!FB23:Instances!FB23),"diff", MAX(Instances!FB23:Instances!FB23)-MIN(Instances!FB23:Instances!FB23))</f>
        <v>0</v>
      </c>
      <c r="FC23" s="1" cm="1">
        <f t="array" ref="FC23">_xlfn.SWITCH($A$2,"average", AVERAGE(Instances!FC23:Instances!FC23),"median", MEDIAN(Instances!FC23:Instances!FC23),"min", MIN(Instances!FC23:Instances!FC23),"max", MAX(Instances!FC23:Instances!FC23),"diff", MAX(Instances!FC23:Instances!FC23)-MIN(Instances!FC23:Instances!FC23))</f>
        <v>0</v>
      </c>
      <c r="FD23" s="1"/>
      <c r="FE23" s="1" cm="1">
        <f t="array" ref="FE23">_xlfn.SWITCH($A$2,"average", AVERAGE(Instances!FE23:Instances!FE23),"median", MEDIAN(Instances!FE23:Instances!FE23),"min", MIN(Instances!FE23:Instances!FE23),"max", MAX(Instances!FE23:Instances!FE23),"diff", MAX(Instances!FE23:Instances!FE23)-MIN(Instances!FE23:Instances!FE23))</f>
        <v>0</v>
      </c>
      <c r="FF23" s="1" cm="1">
        <f t="array" ref="FF23">_xlfn.SWITCH($A$2,"average", AVERAGE(Instances!FF23:Instances!FF23),"median", MEDIAN(Instances!FF23:Instances!FF23),"min", MIN(Instances!FF23:Instances!FF23),"max", MAX(Instances!FF23:Instances!FF23),"diff", MAX(Instances!FF23:Instances!FF23)-MIN(Instances!FF23:Instances!FF23))</f>
        <v>0</v>
      </c>
      <c r="FG23" s="1" cm="1">
        <f t="array" ref="FG23">_xlfn.SWITCH($A$2,"average", AVERAGE(Instances!FG23:Instances!FG23),"median", MEDIAN(Instances!FG23:Instances!FG23),"min", MIN(Instances!FG23:Instances!FG23),"max", MAX(Instances!FG23:Instances!FG23),"diff", MAX(Instances!FG23:Instances!FG23)-MIN(Instances!FG23:Instances!FG23))</f>
        <v>0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 cm="1">
        <f t="array" ref="O24">_xlfn.SWITCH($A$2,"average", AVERAGE(Instances!O24:Instances!O24),"median", MEDIAN(Instances!O24:Instances!O24),"min", MIN(Instances!O24:Instances!O24),"max", MAX(Instances!O24:Instances!O24),"diff", MAX(Instances!O24:Instances!O24)-MIN(Instances!O24:Instances!O24))</f>
        <v>0</v>
      </c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 cm="1">
        <f t="array" ref="S24">_xlfn.SWITCH($A$2,"average", AVERAGE(Instances!S24:Instances!S24),"median", MEDIAN(Instances!S24:Instances!S24),"min", MIN(Instances!S24:Instances!S24),"max", MAX(Instances!S24:Instances!S24),"diff", MAX(Instances!S24:Instances!S24)-MIN(Instances!S24:Instances!S24))</f>
        <v>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 cm="1">
        <f t="array" ref="EP24">_xlfn.SWITCH($A$2,"average", AVERAGE(Instances!EP24:Instances!EP24),"median", MEDIAN(Instances!EP24:Instances!EP24),"min", MIN(Instances!EP24:Instances!EP24),"max", MAX(Instances!EP24:Instances!EP24),"diff", MAX(Instances!EP24:Instances!EP24)-MIN(Instances!EP24:Instances!EP24))</f>
        <v>0</v>
      </c>
      <c r="EQ24" s="1" cm="1">
        <f t="array" ref="EQ24">_xlfn.SWITCH($A$2,"average", AVERAGE(Instances!EQ24:Instances!EQ24),"median", MEDIAN(Instances!EQ24:Instances!EQ24),"min", MIN(Instances!EQ24:Instances!EQ24),"max", MAX(Instances!EQ24:Instances!EQ24),"diff", MAX(Instances!EQ24:Instances!EQ24)-MIN(Instances!EQ24:Instances!EQ24))</f>
        <v>0</v>
      </c>
      <c r="ER24" s="1" cm="1">
        <f t="array" ref="ER24">_xlfn.SWITCH($A$2,"average", AVERAGE(Instances!ER24:Instances!ER24),"median", MEDIAN(Instances!ER24:Instances!ER24),"min", MIN(Instances!ER24:Instances!ER24),"max", MAX(Instances!ER24:Instances!ER24),"diff", MAX(Instances!ER24:Instances!ER24)-MIN(Instances!ER24:Instances!ER24))</f>
        <v>0</v>
      </c>
      <c r="ES24" s="1" cm="1">
        <f t="array" ref="ES24">_xlfn.SWITCH($A$2,"average", AVERAGE(Instances!ES24:Instances!ES24),"median", MEDIAN(Instances!ES24:Instances!ES24),"min", MIN(Instances!ES24:Instances!ES24),"max", MAX(Instances!ES24:Instances!ES24),"diff", MAX(Instances!ES24:Instances!ES24)-MIN(Instances!ES24:Instances!ES24))</f>
        <v>0</v>
      </c>
      <c r="ET24" s="1" cm="1">
        <f t="array" ref="ET24">_xlfn.SWITCH($A$2,"average", AVERAGE(Instances!ET24:Instances!ET24),"median", MEDIAN(Instances!ET24:Instances!ET24),"min", MIN(Instances!ET24:Instances!ET24),"max", MAX(Instances!ET24:Instances!ET24),"diff", MAX(Instances!ET24:Instances!ET24)-MIN(Instances!ET24:Instances!ET24))</f>
        <v>0</v>
      </c>
      <c r="EU24" s="1" cm="1">
        <f t="array" ref="EU24">_xlfn.SWITCH($A$2,"average", AVERAGE(Instances!EU24:Instances!EU24),"median", MEDIAN(Instances!EU24:Instances!EU24),"min", MIN(Instances!EU24:Instances!EU24),"max", MAX(Instances!EU24:Instances!EU24),"diff", MAX(Instances!EU24:Instances!EU24)-MIN(Instances!EU24:Instances!EU24))</f>
        <v>0</v>
      </c>
      <c r="EV24" s="1" cm="1">
        <f t="array" ref="EV24">_xlfn.SWITCH($A$2,"average", AVERAGE(Instances!EV24:Instances!EV24),"median", MEDIAN(Instances!EV24:Instances!EV24),"min", MIN(Instances!EV24:Instances!EV24),"max", MAX(Instances!EV24:Instances!EV24),"diff", MAX(Instances!EV24:Instances!EV24)-MIN(Instances!EV24:Instances!EV24))</f>
        <v>0</v>
      </c>
      <c r="EW24" s="1" cm="1">
        <f t="array" ref="EW24">_xlfn.SWITCH($A$2,"average", AVERAGE(Instances!EW24:Instances!EW24),"median", MEDIAN(Instances!EW24:Instances!EW24),"min", MIN(Instances!EW24:Instances!EW24),"max", MAX(Instances!EW24:Instances!EW24),"diff", MAX(Instances!EW24:Instances!EW24)-MIN(Instances!EW24:Instances!EW24))</f>
        <v>0</v>
      </c>
      <c r="EX24" s="1" cm="1">
        <f t="array" ref="EX24">_xlfn.SWITCH($A$2,"average", AVERAGE(Instances!EX24:Instances!EX24),"median", MEDIAN(Instances!EX24:Instances!EX24),"min", MIN(Instances!EX24:Instances!EX24),"max", MAX(Instances!EX24:Instances!EX24),"diff", MAX(Instances!EX24:Instances!EX24)-MIN(Instances!EX24:Instances!EX24))</f>
        <v>0</v>
      </c>
      <c r="EY24" s="1" cm="1">
        <f t="array" ref="EY24">_xlfn.SWITCH($A$2,"average", AVERAGE(Instances!EY24:Instances!EY24),"median", MEDIAN(Instances!EY24:Instances!EY24),"min", MIN(Instances!EY24:Instances!EY24),"max", MAX(Instances!EY24:Instances!EY24),"diff", MAX(Instances!EY24:Instances!EY24)-MIN(Instances!EY24:Instances!EY24))</f>
        <v>0</v>
      </c>
      <c r="EZ24" s="1" cm="1">
        <f t="array" ref="EZ24">_xlfn.SWITCH($A$2,"average", AVERAGE(Instances!EZ24:Instances!EZ24),"median", MEDIAN(Instances!EZ24:Instances!EZ24),"min", MIN(Instances!EZ24:Instances!EZ24),"max", MAX(Instances!EZ24:Instances!EZ24),"diff", MAX(Instances!EZ24:Instances!EZ24)-MIN(Instances!EZ24:Instances!EZ24))</f>
        <v>0</v>
      </c>
      <c r="FA24" s="1" cm="1">
        <f t="array" ref="FA24">_xlfn.SWITCH($A$2,"average", AVERAGE(Instances!FA24:Instances!FA24),"median", MEDIAN(Instances!FA24:Instances!FA24),"min", MIN(Instances!FA24:Instances!FA24),"max", MAX(Instances!FA24:Instances!FA24),"diff", MAX(Instances!FA24:Instances!FA24)-MIN(Instances!FA24:Instances!FA24))</f>
        <v>0</v>
      </c>
      <c r="FB24" s="1" cm="1">
        <f t="array" ref="FB24">_xlfn.SWITCH($A$2,"average", AVERAGE(Instances!FB24:Instances!FB24),"median", MEDIAN(Instances!FB24:Instances!FB24),"min", MIN(Instances!FB24:Instances!FB24),"max", MAX(Instances!FB24:Instances!FB24),"diff", MAX(Instances!FB24:Instances!FB24)-MIN(Instances!FB24:Instances!FB24))</f>
        <v>0</v>
      </c>
      <c r="FC24" s="1" cm="1">
        <f t="array" ref="FC24">_xlfn.SWITCH($A$2,"average", AVERAGE(Instances!FC24:Instances!FC24),"median", MEDIAN(Instances!FC24:Instances!FC24),"min", MIN(Instances!FC24:Instances!FC24),"max", MAX(Instances!FC24:Instances!FC24),"diff", MAX(Instances!FC24:Instances!FC24)-MIN(Instances!FC24:Instances!FC24))</f>
        <v>0</v>
      </c>
      <c r="FD24" s="1"/>
      <c r="FE24" s="1" cm="1">
        <f t="array" ref="FE24">_xlfn.SWITCH($A$2,"average", AVERAGE(Instances!FE24:Instances!FE24),"median", MEDIAN(Instances!FE24:Instances!FE24),"min", MIN(Instances!FE24:Instances!FE24),"max", MAX(Instances!FE24:Instances!FE24),"diff", MAX(Instances!FE24:Instances!FE24)-MIN(Instances!FE24:Instances!FE24))</f>
        <v>0</v>
      </c>
      <c r="FF24" s="1" cm="1">
        <f t="array" ref="FF24">_xlfn.SWITCH($A$2,"average", AVERAGE(Instances!FF24:Instances!FF24),"median", MEDIAN(Instances!FF24:Instances!FF24),"min", MIN(Instances!FF24:Instances!FF24),"max", MAX(Instances!FF24:Instances!FF24),"diff", MAX(Instances!FF24:Instances!FF24)-MIN(Instances!FF24:Instances!FF24))</f>
        <v>0</v>
      </c>
      <c r="FG24" s="1" cm="1">
        <f t="array" ref="FG24">_xlfn.SWITCH($A$2,"average", AVERAGE(Instances!FG24:Instances!FG24),"median", MEDIAN(Instances!FG24:Instances!FG24),"min", MIN(Instances!FG24:Instances!FG24),"max", MAX(Instances!FG24:Instances!FG24),"diff", MAX(Instances!FG24:Instances!FG24)-MIN(Instances!FG24:Instances!FG24))</f>
        <v>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 cm="1">
        <f t="array" ref="O25">_xlfn.SWITCH($A$2,"average", AVERAGE(Instances!O25:Instances!O25),"median", MEDIAN(Instances!O25:Instances!O25),"min", MIN(Instances!O25:Instances!O25),"max", MAX(Instances!O25:Instances!O25),"diff", MAX(Instances!O25:Instances!O25)-MIN(Instances!O25:Instances!O25))</f>
        <v>0</v>
      </c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 cm="1">
        <f t="array" ref="S25">_xlfn.SWITCH($A$2,"average", AVERAGE(Instances!S25:Instances!S25),"median", MEDIAN(Instances!S25:Instances!S25),"min", MIN(Instances!S25:Instances!S25),"max", MAX(Instances!S25:Instances!S25),"diff", MAX(Instances!S25:Instances!S25)-MIN(Instances!S25:Instances!S25))</f>
        <v>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 cm="1">
        <f t="array" ref="EP25">_xlfn.SWITCH($A$2,"average", AVERAGE(Instances!EP25:Instances!EP25),"median", MEDIAN(Instances!EP25:Instances!EP25),"min", MIN(Instances!EP25:Instances!EP25),"max", MAX(Instances!EP25:Instances!EP25),"diff", MAX(Instances!EP25:Instances!EP25)-MIN(Instances!EP25:Instances!EP25))</f>
        <v>0</v>
      </c>
      <c r="EQ25" s="1" cm="1">
        <f t="array" ref="EQ25">_xlfn.SWITCH($A$2,"average", AVERAGE(Instances!EQ25:Instances!EQ25),"median", MEDIAN(Instances!EQ25:Instances!EQ25),"min", MIN(Instances!EQ25:Instances!EQ25),"max", MAX(Instances!EQ25:Instances!EQ25),"diff", MAX(Instances!EQ25:Instances!EQ25)-MIN(Instances!EQ25:Instances!EQ25))</f>
        <v>0</v>
      </c>
      <c r="ER25" s="1" cm="1">
        <f t="array" ref="ER25">_xlfn.SWITCH($A$2,"average", AVERAGE(Instances!ER25:Instances!ER25),"median", MEDIAN(Instances!ER25:Instances!ER25),"min", MIN(Instances!ER25:Instances!ER25),"max", MAX(Instances!ER25:Instances!ER25),"diff", MAX(Instances!ER25:Instances!ER25)-MIN(Instances!ER25:Instances!ER25))</f>
        <v>0</v>
      </c>
      <c r="ES25" s="1" cm="1">
        <f t="array" ref="ES25">_xlfn.SWITCH($A$2,"average", AVERAGE(Instances!ES25:Instances!ES25),"median", MEDIAN(Instances!ES25:Instances!ES25),"min", MIN(Instances!ES25:Instances!ES25),"max", MAX(Instances!ES25:Instances!ES25),"diff", MAX(Instances!ES25:Instances!ES25)-MIN(Instances!ES25:Instances!ES25))</f>
        <v>0</v>
      </c>
      <c r="ET25" s="1" cm="1">
        <f t="array" ref="ET25">_xlfn.SWITCH($A$2,"average", AVERAGE(Instances!ET25:Instances!ET25),"median", MEDIAN(Instances!ET25:Instances!ET25),"min", MIN(Instances!ET25:Instances!ET25),"max", MAX(Instances!ET25:Instances!ET25),"diff", MAX(Instances!ET25:Instances!ET25)-MIN(Instances!ET25:Instances!ET25))</f>
        <v>0</v>
      </c>
      <c r="EU25" s="1" cm="1">
        <f t="array" ref="EU25">_xlfn.SWITCH($A$2,"average", AVERAGE(Instances!EU25:Instances!EU25),"median", MEDIAN(Instances!EU25:Instances!EU25),"min", MIN(Instances!EU25:Instances!EU25),"max", MAX(Instances!EU25:Instances!EU25),"diff", MAX(Instances!EU25:Instances!EU25)-MIN(Instances!EU25:Instances!EU25))</f>
        <v>0</v>
      </c>
      <c r="EV25" s="1" cm="1">
        <f t="array" ref="EV25">_xlfn.SWITCH($A$2,"average", AVERAGE(Instances!EV25:Instances!EV25),"median", MEDIAN(Instances!EV25:Instances!EV25),"min", MIN(Instances!EV25:Instances!EV25),"max", MAX(Instances!EV25:Instances!EV25),"diff", MAX(Instances!EV25:Instances!EV25)-MIN(Instances!EV25:Instances!EV25))</f>
        <v>0</v>
      </c>
      <c r="EW25" s="1" cm="1">
        <f t="array" ref="EW25">_xlfn.SWITCH($A$2,"average", AVERAGE(Instances!EW25:Instances!EW25),"median", MEDIAN(Instances!EW25:Instances!EW25),"min", MIN(Instances!EW25:Instances!EW25),"max", MAX(Instances!EW25:Instances!EW25),"diff", MAX(Instances!EW25:Instances!EW25)-MIN(Instances!EW25:Instances!EW25))</f>
        <v>0</v>
      </c>
      <c r="EX25" s="1" cm="1">
        <f t="array" ref="EX25">_xlfn.SWITCH($A$2,"average", AVERAGE(Instances!EX25:Instances!EX25),"median", MEDIAN(Instances!EX25:Instances!EX25),"min", MIN(Instances!EX25:Instances!EX25),"max", MAX(Instances!EX25:Instances!EX25),"diff", MAX(Instances!EX25:Instances!EX25)-MIN(Instances!EX25:Instances!EX25))</f>
        <v>0</v>
      </c>
      <c r="EY25" s="1" cm="1">
        <f t="array" ref="EY25">_xlfn.SWITCH($A$2,"average", AVERAGE(Instances!EY25:Instances!EY25),"median", MEDIAN(Instances!EY25:Instances!EY25),"min", MIN(Instances!EY25:Instances!EY25),"max", MAX(Instances!EY25:Instances!EY25),"diff", MAX(Instances!EY25:Instances!EY25)-MIN(Instances!EY25:Instances!EY25))</f>
        <v>0</v>
      </c>
      <c r="EZ25" s="1" cm="1">
        <f t="array" ref="EZ25">_xlfn.SWITCH($A$2,"average", AVERAGE(Instances!EZ25:Instances!EZ25),"median", MEDIAN(Instances!EZ25:Instances!EZ25),"min", MIN(Instances!EZ25:Instances!EZ25),"max", MAX(Instances!EZ25:Instances!EZ25),"diff", MAX(Instances!EZ25:Instances!EZ25)-MIN(Instances!EZ25:Instances!EZ25))</f>
        <v>0</v>
      </c>
      <c r="FA25" s="1" cm="1">
        <f t="array" ref="FA25">_xlfn.SWITCH($A$2,"average", AVERAGE(Instances!FA25:Instances!FA25),"median", MEDIAN(Instances!FA25:Instances!FA25),"min", MIN(Instances!FA25:Instances!FA25),"max", MAX(Instances!FA25:Instances!FA25),"diff", MAX(Instances!FA25:Instances!FA25)-MIN(Instances!FA25:Instances!FA25))</f>
        <v>0</v>
      </c>
      <c r="FB25" s="1" cm="1">
        <f t="array" ref="FB25">_xlfn.SWITCH($A$2,"average", AVERAGE(Instances!FB25:Instances!FB25),"median", MEDIAN(Instances!FB25:Instances!FB25),"min", MIN(Instances!FB25:Instances!FB25),"max", MAX(Instances!FB25:Instances!FB25),"diff", MAX(Instances!FB25:Instances!FB25)-MIN(Instances!FB25:Instances!FB25))</f>
        <v>0</v>
      </c>
      <c r="FC25" s="1" cm="1">
        <f t="array" ref="FC25">_xlfn.SWITCH($A$2,"average", AVERAGE(Instances!FC25:Instances!FC25),"median", MEDIAN(Instances!FC25:Instances!FC25),"min", MIN(Instances!FC25:Instances!FC25),"max", MAX(Instances!FC25:Instances!FC25),"diff", MAX(Instances!FC25:Instances!FC25)-MIN(Instances!FC25:Instances!FC25))</f>
        <v>0</v>
      </c>
      <c r="FD25" s="1"/>
      <c r="FE25" s="1" cm="1">
        <f t="array" ref="FE25">_xlfn.SWITCH($A$2,"average", AVERAGE(Instances!FE25:Instances!FE25),"median", MEDIAN(Instances!FE25:Instances!FE25),"min", MIN(Instances!FE25:Instances!FE25),"max", MAX(Instances!FE25:Instances!FE25),"diff", MAX(Instances!FE25:Instances!FE25)-MIN(Instances!FE25:Instances!FE25))</f>
        <v>0</v>
      </c>
      <c r="FF25" s="1" cm="1">
        <f t="array" ref="FF25">_xlfn.SWITCH($A$2,"average", AVERAGE(Instances!FF25:Instances!FF25),"median", MEDIAN(Instances!FF25:Instances!FF25),"min", MIN(Instances!FF25:Instances!FF25),"max", MAX(Instances!FF25:Instances!FF25),"diff", MAX(Instances!FF25:Instances!FF25)-MIN(Instances!FF25:Instances!FF25))</f>
        <v>0</v>
      </c>
      <c r="FG25" s="1" cm="1">
        <f t="array" ref="FG25">_xlfn.SWITCH($A$2,"average", AVERAGE(Instances!FG25:Instances!FG25),"median", MEDIAN(Instances!FG25:Instances!FG25),"min", MIN(Instances!FG25:Instances!FG25),"max", MAX(Instances!FG25:Instances!FG25),"diff", MAX(Instances!FG25:Instances!FG25)-MIN(Instances!FG25:Instances!FG25))</f>
        <v>0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 cm="1">
        <f t="array" ref="O26">_xlfn.SWITCH($A$2,"average", AVERAGE(Instances!O26:Instances!O26),"median", MEDIAN(Instances!O26:Instances!O26),"min", MIN(Instances!O26:Instances!O26),"max", MAX(Instances!O26:Instances!O26),"diff", MAX(Instances!O26:Instances!O26)-MIN(Instances!O26:Instances!O26))</f>
        <v>0</v>
      </c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 cm="1">
        <f t="array" ref="S26">_xlfn.SWITCH($A$2,"average", AVERAGE(Instances!S26:Instances!S26),"median", MEDIAN(Instances!S26:Instances!S26),"min", MIN(Instances!S26:Instances!S26),"max", MAX(Instances!S26:Instances!S26),"diff", MAX(Instances!S26:Instances!S26)-MIN(Instances!S26:Instances!S26))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 cm="1">
        <f t="array" ref="EP26">_xlfn.SWITCH($A$2,"average", AVERAGE(Instances!EP26:Instances!EP26),"median", MEDIAN(Instances!EP26:Instances!EP26),"min", MIN(Instances!EP26:Instances!EP26),"max", MAX(Instances!EP26:Instances!EP26),"diff", MAX(Instances!EP26:Instances!EP26)-MIN(Instances!EP26:Instances!EP26))</f>
        <v>0</v>
      </c>
      <c r="EQ26" s="1" cm="1">
        <f t="array" ref="EQ26">_xlfn.SWITCH($A$2,"average", AVERAGE(Instances!EQ26:Instances!EQ26),"median", MEDIAN(Instances!EQ26:Instances!EQ26),"min", MIN(Instances!EQ26:Instances!EQ26),"max", MAX(Instances!EQ26:Instances!EQ26),"diff", MAX(Instances!EQ26:Instances!EQ26)-MIN(Instances!EQ26:Instances!EQ26))</f>
        <v>0</v>
      </c>
      <c r="ER26" s="1" cm="1">
        <f t="array" ref="ER26">_xlfn.SWITCH($A$2,"average", AVERAGE(Instances!ER26:Instances!ER26),"median", MEDIAN(Instances!ER26:Instances!ER26),"min", MIN(Instances!ER26:Instances!ER26),"max", MAX(Instances!ER26:Instances!ER26),"diff", MAX(Instances!ER26:Instances!ER26)-MIN(Instances!ER26:Instances!ER26))</f>
        <v>0</v>
      </c>
      <c r="ES26" s="1" cm="1">
        <f t="array" ref="ES26">_xlfn.SWITCH($A$2,"average", AVERAGE(Instances!ES26:Instances!ES26),"median", MEDIAN(Instances!ES26:Instances!ES26),"min", MIN(Instances!ES26:Instances!ES26),"max", MAX(Instances!ES26:Instances!ES26),"diff", MAX(Instances!ES26:Instances!ES26)-MIN(Instances!ES26:Instances!ES26))</f>
        <v>0</v>
      </c>
      <c r="ET26" s="1" cm="1">
        <f t="array" ref="ET26">_xlfn.SWITCH($A$2,"average", AVERAGE(Instances!ET26:Instances!ET26),"median", MEDIAN(Instances!ET26:Instances!ET26),"min", MIN(Instances!ET26:Instances!ET26),"max", MAX(Instances!ET26:Instances!ET26),"diff", MAX(Instances!ET26:Instances!ET26)-MIN(Instances!ET26:Instances!ET26))</f>
        <v>0</v>
      </c>
      <c r="EU26" s="1" cm="1">
        <f t="array" ref="EU26">_xlfn.SWITCH($A$2,"average", AVERAGE(Instances!EU26:Instances!EU26),"median", MEDIAN(Instances!EU26:Instances!EU26),"min", MIN(Instances!EU26:Instances!EU26),"max", MAX(Instances!EU26:Instances!EU26),"diff", MAX(Instances!EU26:Instances!EU26)-MIN(Instances!EU26:Instances!EU26))</f>
        <v>0</v>
      </c>
      <c r="EV26" s="1" cm="1">
        <f t="array" ref="EV26">_xlfn.SWITCH($A$2,"average", AVERAGE(Instances!EV26:Instances!EV26),"median", MEDIAN(Instances!EV26:Instances!EV26),"min", MIN(Instances!EV26:Instances!EV26),"max", MAX(Instances!EV26:Instances!EV26),"diff", MAX(Instances!EV26:Instances!EV26)-MIN(Instances!EV26:Instances!EV26))</f>
        <v>0</v>
      </c>
      <c r="EW26" s="1" cm="1">
        <f t="array" ref="EW26">_xlfn.SWITCH($A$2,"average", AVERAGE(Instances!EW26:Instances!EW26),"median", MEDIAN(Instances!EW26:Instances!EW26),"min", MIN(Instances!EW26:Instances!EW26),"max", MAX(Instances!EW26:Instances!EW26),"diff", MAX(Instances!EW26:Instances!EW26)-MIN(Instances!EW26:Instances!EW26))</f>
        <v>0</v>
      </c>
      <c r="EX26" s="1" cm="1">
        <f t="array" ref="EX26">_xlfn.SWITCH($A$2,"average", AVERAGE(Instances!EX26:Instances!EX26),"median", MEDIAN(Instances!EX26:Instances!EX26),"min", MIN(Instances!EX26:Instances!EX26),"max", MAX(Instances!EX26:Instances!EX26),"diff", MAX(Instances!EX26:Instances!EX26)-MIN(Instances!EX26:Instances!EX26))</f>
        <v>0</v>
      </c>
      <c r="EY26" s="1" cm="1">
        <f t="array" ref="EY26">_xlfn.SWITCH($A$2,"average", AVERAGE(Instances!EY26:Instances!EY26),"median", MEDIAN(Instances!EY26:Instances!EY26),"min", MIN(Instances!EY26:Instances!EY26),"max", MAX(Instances!EY26:Instances!EY26),"diff", MAX(Instances!EY26:Instances!EY26)-MIN(Instances!EY26:Instances!EY26))</f>
        <v>0</v>
      </c>
      <c r="EZ26" s="1" cm="1">
        <f t="array" ref="EZ26">_xlfn.SWITCH($A$2,"average", AVERAGE(Instances!EZ26:Instances!EZ26),"median", MEDIAN(Instances!EZ26:Instances!EZ26),"min", MIN(Instances!EZ26:Instances!EZ26),"max", MAX(Instances!EZ26:Instances!EZ26),"diff", MAX(Instances!EZ26:Instances!EZ26)-MIN(Instances!EZ26:Instances!EZ26))</f>
        <v>0</v>
      </c>
      <c r="FA26" s="1" cm="1">
        <f t="array" ref="FA26">_xlfn.SWITCH($A$2,"average", AVERAGE(Instances!FA26:Instances!FA26),"median", MEDIAN(Instances!FA26:Instances!FA26),"min", MIN(Instances!FA26:Instances!FA26),"max", MAX(Instances!FA26:Instances!FA26),"diff", MAX(Instances!FA26:Instances!FA26)-MIN(Instances!FA26:Instances!FA26))</f>
        <v>0</v>
      </c>
      <c r="FB26" s="1" cm="1">
        <f t="array" ref="FB26">_xlfn.SWITCH($A$2,"average", AVERAGE(Instances!FB26:Instances!FB26),"median", MEDIAN(Instances!FB26:Instances!FB26),"min", MIN(Instances!FB26:Instances!FB26),"max", MAX(Instances!FB26:Instances!FB26),"diff", MAX(Instances!FB26:Instances!FB26)-MIN(Instances!FB26:Instances!FB26))</f>
        <v>0</v>
      </c>
      <c r="FC26" s="1" cm="1">
        <f t="array" ref="FC26">_xlfn.SWITCH($A$2,"average", AVERAGE(Instances!FC26:Instances!FC26),"median", MEDIAN(Instances!FC26:Instances!FC26),"min", MIN(Instances!FC26:Instances!FC26),"max", MAX(Instances!FC26:Instances!FC26),"diff", MAX(Instances!FC26:Instances!FC26)-MIN(Instances!FC26:Instances!FC26))</f>
        <v>0</v>
      </c>
      <c r="FD26" s="1"/>
      <c r="FE26" s="1" cm="1">
        <f t="array" ref="FE26">_xlfn.SWITCH($A$2,"average", AVERAGE(Instances!FE26:Instances!FE26),"median", MEDIAN(Instances!FE26:Instances!FE26),"min", MIN(Instances!FE26:Instances!FE26),"max", MAX(Instances!FE26:Instances!FE26),"diff", MAX(Instances!FE26:Instances!FE26)-MIN(Instances!FE26:Instances!FE26))</f>
        <v>0</v>
      </c>
      <c r="FF26" s="1" cm="1">
        <f t="array" ref="FF26">_xlfn.SWITCH($A$2,"average", AVERAGE(Instances!FF26:Instances!FF26),"median", MEDIAN(Instances!FF26:Instances!FF26),"min", MIN(Instances!FF26:Instances!FF26),"max", MAX(Instances!FF26:Instances!FF26),"diff", MAX(Instances!FF26:Instances!FF26)-MIN(Instances!FF26:Instances!FF26))</f>
        <v>0</v>
      </c>
      <c r="FG26" s="1" cm="1">
        <f t="array" ref="FG26">_xlfn.SWITCH($A$2,"average", AVERAGE(Instances!FG26:Instances!FG26),"median", MEDIAN(Instances!FG26:Instances!FG26),"min", MIN(Instances!FG26:Instances!FG26),"max", MAX(Instances!FG26:Instances!FG26),"diff", MAX(Instances!FG26:Instances!FG26)-MIN(Instances!FG26:Instances!FG26))</f>
        <v>0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 cm="1">
        <f t="array" ref="O27">_xlfn.SWITCH($A$2,"average", AVERAGE(Instances!O27:Instances!O27),"median", MEDIAN(Instances!O27:Instances!O27),"min", MIN(Instances!O27:Instances!O27),"max", MAX(Instances!O27:Instances!O27),"diff", MAX(Instances!O27:Instances!O27)-MIN(Instances!O27:Instances!O27))</f>
        <v>0</v>
      </c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 cm="1">
        <f t="array" ref="S27">_xlfn.SWITCH($A$2,"average", AVERAGE(Instances!S27:Instances!S27),"median", MEDIAN(Instances!S27:Instances!S27),"min", MIN(Instances!S27:Instances!S27),"max", MAX(Instances!S27:Instances!S27),"diff", MAX(Instances!S27:Instances!S27)-MIN(Instances!S27:Instances!S27))</f>
        <v>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 cm="1">
        <f t="array" ref="EP27">_xlfn.SWITCH($A$2,"average", AVERAGE(Instances!EP27:Instances!EP27),"median", MEDIAN(Instances!EP27:Instances!EP27),"min", MIN(Instances!EP27:Instances!EP27),"max", MAX(Instances!EP27:Instances!EP27),"diff", MAX(Instances!EP27:Instances!EP27)-MIN(Instances!EP27:Instances!EP27))</f>
        <v>0</v>
      </c>
      <c r="EQ27" s="1" cm="1">
        <f t="array" ref="EQ27">_xlfn.SWITCH($A$2,"average", AVERAGE(Instances!EQ27:Instances!EQ27),"median", MEDIAN(Instances!EQ27:Instances!EQ27),"min", MIN(Instances!EQ27:Instances!EQ27),"max", MAX(Instances!EQ27:Instances!EQ27),"diff", MAX(Instances!EQ27:Instances!EQ27)-MIN(Instances!EQ27:Instances!EQ27))</f>
        <v>0</v>
      </c>
      <c r="ER27" s="1" cm="1">
        <f t="array" ref="ER27">_xlfn.SWITCH($A$2,"average", AVERAGE(Instances!ER27:Instances!ER27),"median", MEDIAN(Instances!ER27:Instances!ER27),"min", MIN(Instances!ER27:Instances!ER27),"max", MAX(Instances!ER27:Instances!ER27),"diff", MAX(Instances!ER27:Instances!ER27)-MIN(Instances!ER27:Instances!ER27))</f>
        <v>0</v>
      </c>
      <c r="ES27" s="1" cm="1">
        <f t="array" ref="ES27">_xlfn.SWITCH($A$2,"average", AVERAGE(Instances!ES27:Instances!ES27),"median", MEDIAN(Instances!ES27:Instances!ES27),"min", MIN(Instances!ES27:Instances!ES27),"max", MAX(Instances!ES27:Instances!ES27),"diff", MAX(Instances!ES27:Instances!ES27)-MIN(Instances!ES27:Instances!ES27))</f>
        <v>0</v>
      </c>
      <c r="ET27" s="1" cm="1">
        <f t="array" ref="ET27">_xlfn.SWITCH($A$2,"average", AVERAGE(Instances!ET27:Instances!ET27),"median", MEDIAN(Instances!ET27:Instances!ET27),"min", MIN(Instances!ET27:Instances!ET27),"max", MAX(Instances!ET27:Instances!ET27),"diff", MAX(Instances!ET27:Instances!ET27)-MIN(Instances!ET27:Instances!ET27))</f>
        <v>0</v>
      </c>
      <c r="EU27" s="1" cm="1">
        <f t="array" ref="EU27">_xlfn.SWITCH($A$2,"average", AVERAGE(Instances!EU27:Instances!EU27),"median", MEDIAN(Instances!EU27:Instances!EU27),"min", MIN(Instances!EU27:Instances!EU27),"max", MAX(Instances!EU27:Instances!EU27),"diff", MAX(Instances!EU27:Instances!EU27)-MIN(Instances!EU27:Instances!EU27))</f>
        <v>0</v>
      </c>
      <c r="EV27" s="1" cm="1">
        <f t="array" ref="EV27">_xlfn.SWITCH($A$2,"average", AVERAGE(Instances!EV27:Instances!EV27),"median", MEDIAN(Instances!EV27:Instances!EV27),"min", MIN(Instances!EV27:Instances!EV27),"max", MAX(Instances!EV27:Instances!EV27),"diff", MAX(Instances!EV27:Instances!EV27)-MIN(Instances!EV27:Instances!EV27))</f>
        <v>0</v>
      </c>
      <c r="EW27" s="1" cm="1">
        <f t="array" ref="EW27">_xlfn.SWITCH($A$2,"average", AVERAGE(Instances!EW27:Instances!EW27),"median", MEDIAN(Instances!EW27:Instances!EW27),"min", MIN(Instances!EW27:Instances!EW27),"max", MAX(Instances!EW27:Instances!EW27),"diff", MAX(Instances!EW27:Instances!EW27)-MIN(Instances!EW27:Instances!EW27))</f>
        <v>0</v>
      </c>
      <c r="EX27" s="1" cm="1">
        <f t="array" ref="EX27">_xlfn.SWITCH($A$2,"average", AVERAGE(Instances!EX27:Instances!EX27),"median", MEDIAN(Instances!EX27:Instances!EX27),"min", MIN(Instances!EX27:Instances!EX27),"max", MAX(Instances!EX27:Instances!EX27),"diff", MAX(Instances!EX27:Instances!EX27)-MIN(Instances!EX27:Instances!EX27))</f>
        <v>0</v>
      </c>
      <c r="EY27" s="1" cm="1">
        <f t="array" ref="EY27">_xlfn.SWITCH($A$2,"average", AVERAGE(Instances!EY27:Instances!EY27),"median", MEDIAN(Instances!EY27:Instances!EY27),"min", MIN(Instances!EY27:Instances!EY27),"max", MAX(Instances!EY27:Instances!EY27),"diff", MAX(Instances!EY27:Instances!EY27)-MIN(Instances!EY27:Instances!EY27))</f>
        <v>0</v>
      </c>
      <c r="EZ27" s="1" cm="1">
        <f t="array" ref="EZ27">_xlfn.SWITCH($A$2,"average", AVERAGE(Instances!EZ27:Instances!EZ27),"median", MEDIAN(Instances!EZ27:Instances!EZ27),"min", MIN(Instances!EZ27:Instances!EZ27),"max", MAX(Instances!EZ27:Instances!EZ27),"diff", MAX(Instances!EZ27:Instances!EZ27)-MIN(Instances!EZ27:Instances!EZ27))</f>
        <v>0</v>
      </c>
      <c r="FA27" s="1" cm="1">
        <f t="array" ref="FA27">_xlfn.SWITCH($A$2,"average", AVERAGE(Instances!FA27:Instances!FA27),"median", MEDIAN(Instances!FA27:Instances!FA27),"min", MIN(Instances!FA27:Instances!FA27),"max", MAX(Instances!FA27:Instances!FA27),"diff", MAX(Instances!FA27:Instances!FA27)-MIN(Instances!FA27:Instances!FA27))</f>
        <v>0</v>
      </c>
      <c r="FB27" s="1" cm="1">
        <f t="array" ref="FB27">_xlfn.SWITCH($A$2,"average", AVERAGE(Instances!FB27:Instances!FB27),"median", MEDIAN(Instances!FB27:Instances!FB27),"min", MIN(Instances!FB27:Instances!FB27),"max", MAX(Instances!FB27:Instances!FB27),"diff", MAX(Instances!FB27:Instances!FB27)-MIN(Instances!FB27:Instances!FB27))</f>
        <v>0</v>
      </c>
      <c r="FC27" s="1" cm="1">
        <f t="array" ref="FC27">_xlfn.SWITCH($A$2,"average", AVERAGE(Instances!FC27:Instances!FC27),"median", MEDIAN(Instances!FC27:Instances!FC27),"min", MIN(Instances!FC27:Instances!FC27),"max", MAX(Instances!FC27:Instances!FC27),"diff", MAX(Instances!FC27:Instances!FC27)-MIN(Instances!FC27:Instances!FC27))</f>
        <v>0</v>
      </c>
      <c r="FD27" s="1"/>
      <c r="FE27" s="1" cm="1">
        <f t="array" ref="FE27">_xlfn.SWITCH($A$2,"average", AVERAGE(Instances!FE27:Instances!FE27),"median", MEDIAN(Instances!FE27:Instances!FE27),"min", MIN(Instances!FE27:Instances!FE27),"max", MAX(Instances!FE27:Instances!FE27),"diff", MAX(Instances!FE27:Instances!FE27)-MIN(Instances!FE27:Instances!FE27))</f>
        <v>0</v>
      </c>
      <c r="FF27" s="1" cm="1">
        <f t="array" ref="FF27">_xlfn.SWITCH($A$2,"average", AVERAGE(Instances!FF27:Instances!FF27),"median", MEDIAN(Instances!FF27:Instances!FF27),"min", MIN(Instances!FF27:Instances!FF27),"max", MAX(Instances!FF27:Instances!FF27),"diff", MAX(Instances!FF27:Instances!FF27)-MIN(Instances!FF27:Instances!FF27))</f>
        <v>0</v>
      </c>
      <c r="FG27" s="1" cm="1">
        <f t="array" ref="FG27">_xlfn.SWITCH($A$2,"average", AVERAGE(Instances!FG27:Instances!FG27),"median", MEDIAN(Instances!FG27:Instances!FG27),"min", MIN(Instances!FG27:Instances!FG27),"max", MAX(Instances!FG27:Instances!FG27),"diff", MAX(Instances!FG27:Instances!FG27)-MIN(Instances!FG27:Instances!FG27))</f>
        <v>0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 cm="1">
        <f t="array" ref="O28">_xlfn.SWITCH($A$2,"average", AVERAGE(Instances!O28:Instances!O28),"median", MEDIAN(Instances!O28:Instances!O28),"min", MIN(Instances!O28:Instances!O28),"max", MAX(Instances!O28:Instances!O28),"diff", MAX(Instances!O28:Instances!O28)-MIN(Instances!O28:Instances!O28))</f>
        <v>0</v>
      </c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 cm="1">
        <f t="array" ref="S28">_xlfn.SWITCH($A$2,"average", AVERAGE(Instances!S28:Instances!S28),"median", MEDIAN(Instances!S28:Instances!S28),"min", MIN(Instances!S28:Instances!S28),"max", MAX(Instances!S28:Instances!S28),"diff", MAX(Instances!S28:Instances!S28)-MIN(Instances!S28:Instances!S28))</f>
        <v>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 cm="1">
        <f t="array" ref="EP28">_xlfn.SWITCH($A$2,"average", AVERAGE(Instances!EP28:Instances!EP28),"median", MEDIAN(Instances!EP28:Instances!EP28),"min", MIN(Instances!EP28:Instances!EP28),"max", MAX(Instances!EP28:Instances!EP28),"diff", MAX(Instances!EP28:Instances!EP28)-MIN(Instances!EP28:Instances!EP28))</f>
        <v>0</v>
      </c>
      <c r="EQ28" s="1" cm="1">
        <f t="array" ref="EQ28">_xlfn.SWITCH($A$2,"average", AVERAGE(Instances!EQ28:Instances!EQ28),"median", MEDIAN(Instances!EQ28:Instances!EQ28),"min", MIN(Instances!EQ28:Instances!EQ28),"max", MAX(Instances!EQ28:Instances!EQ28),"diff", MAX(Instances!EQ28:Instances!EQ28)-MIN(Instances!EQ28:Instances!EQ28))</f>
        <v>0</v>
      </c>
      <c r="ER28" s="1" cm="1">
        <f t="array" ref="ER28">_xlfn.SWITCH($A$2,"average", AVERAGE(Instances!ER28:Instances!ER28),"median", MEDIAN(Instances!ER28:Instances!ER28),"min", MIN(Instances!ER28:Instances!ER28),"max", MAX(Instances!ER28:Instances!ER28),"diff", MAX(Instances!ER28:Instances!ER28)-MIN(Instances!ER28:Instances!ER28))</f>
        <v>0</v>
      </c>
      <c r="ES28" s="1" cm="1">
        <f t="array" ref="ES28">_xlfn.SWITCH($A$2,"average", AVERAGE(Instances!ES28:Instances!ES28),"median", MEDIAN(Instances!ES28:Instances!ES28),"min", MIN(Instances!ES28:Instances!ES28),"max", MAX(Instances!ES28:Instances!ES28),"diff", MAX(Instances!ES28:Instances!ES28)-MIN(Instances!ES28:Instances!ES28))</f>
        <v>0</v>
      </c>
      <c r="ET28" s="1" cm="1">
        <f t="array" ref="ET28">_xlfn.SWITCH($A$2,"average", AVERAGE(Instances!ET28:Instances!ET28),"median", MEDIAN(Instances!ET28:Instances!ET28),"min", MIN(Instances!ET28:Instances!ET28),"max", MAX(Instances!ET28:Instances!ET28),"diff", MAX(Instances!ET28:Instances!ET28)-MIN(Instances!ET28:Instances!ET28))</f>
        <v>0</v>
      </c>
      <c r="EU28" s="1" cm="1">
        <f t="array" ref="EU28">_xlfn.SWITCH($A$2,"average", AVERAGE(Instances!EU28:Instances!EU28),"median", MEDIAN(Instances!EU28:Instances!EU28),"min", MIN(Instances!EU28:Instances!EU28),"max", MAX(Instances!EU28:Instances!EU28),"diff", MAX(Instances!EU28:Instances!EU28)-MIN(Instances!EU28:Instances!EU28))</f>
        <v>0</v>
      </c>
      <c r="EV28" s="1" cm="1">
        <f t="array" ref="EV28">_xlfn.SWITCH($A$2,"average", AVERAGE(Instances!EV28:Instances!EV28),"median", MEDIAN(Instances!EV28:Instances!EV28),"min", MIN(Instances!EV28:Instances!EV28),"max", MAX(Instances!EV28:Instances!EV28),"diff", MAX(Instances!EV28:Instances!EV28)-MIN(Instances!EV28:Instances!EV28))</f>
        <v>0</v>
      </c>
      <c r="EW28" s="1" cm="1">
        <f t="array" ref="EW28">_xlfn.SWITCH($A$2,"average", AVERAGE(Instances!EW28:Instances!EW28),"median", MEDIAN(Instances!EW28:Instances!EW28),"min", MIN(Instances!EW28:Instances!EW28),"max", MAX(Instances!EW28:Instances!EW28),"diff", MAX(Instances!EW28:Instances!EW28)-MIN(Instances!EW28:Instances!EW28))</f>
        <v>0</v>
      </c>
      <c r="EX28" s="1" cm="1">
        <f t="array" ref="EX28">_xlfn.SWITCH($A$2,"average", AVERAGE(Instances!EX28:Instances!EX28),"median", MEDIAN(Instances!EX28:Instances!EX28),"min", MIN(Instances!EX28:Instances!EX28),"max", MAX(Instances!EX28:Instances!EX28),"diff", MAX(Instances!EX28:Instances!EX28)-MIN(Instances!EX28:Instances!EX28))</f>
        <v>0</v>
      </c>
      <c r="EY28" s="1" cm="1">
        <f t="array" ref="EY28">_xlfn.SWITCH($A$2,"average", AVERAGE(Instances!EY28:Instances!EY28),"median", MEDIAN(Instances!EY28:Instances!EY28),"min", MIN(Instances!EY28:Instances!EY28),"max", MAX(Instances!EY28:Instances!EY28),"diff", MAX(Instances!EY28:Instances!EY28)-MIN(Instances!EY28:Instances!EY28))</f>
        <v>0</v>
      </c>
      <c r="EZ28" s="1" cm="1">
        <f t="array" ref="EZ28">_xlfn.SWITCH($A$2,"average", AVERAGE(Instances!EZ28:Instances!EZ28),"median", MEDIAN(Instances!EZ28:Instances!EZ28),"min", MIN(Instances!EZ28:Instances!EZ28),"max", MAX(Instances!EZ28:Instances!EZ28),"diff", MAX(Instances!EZ28:Instances!EZ28)-MIN(Instances!EZ28:Instances!EZ28))</f>
        <v>0</v>
      </c>
      <c r="FA28" s="1" cm="1">
        <f t="array" ref="FA28">_xlfn.SWITCH($A$2,"average", AVERAGE(Instances!FA28:Instances!FA28),"median", MEDIAN(Instances!FA28:Instances!FA28),"min", MIN(Instances!FA28:Instances!FA28),"max", MAX(Instances!FA28:Instances!FA28),"diff", MAX(Instances!FA28:Instances!FA28)-MIN(Instances!FA28:Instances!FA28))</f>
        <v>0</v>
      </c>
      <c r="FB28" s="1" cm="1">
        <f t="array" ref="FB28">_xlfn.SWITCH($A$2,"average", AVERAGE(Instances!FB28:Instances!FB28),"median", MEDIAN(Instances!FB28:Instances!FB28),"min", MIN(Instances!FB28:Instances!FB28),"max", MAX(Instances!FB28:Instances!FB28),"diff", MAX(Instances!FB28:Instances!FB28)-MIN(Instances!FB28:Instances!FB28))</f>
        <v>0</v>
      </c>
      <c r="FC28" s="1" cm="1">
        <f t="array" ref="FC28">_xlfn.SWITCH($A$2,"average", AVERAGE(Instances!FC28:Instances!FC28),"median", MEDIAN(Instances!FC28:Instances!FC28),"min", MIN(Instances!FC28:Instances!FC28),"max", MAX(Instances!FC28:Instances!FC28),"diff", MAX(Instances!FC28:Instances!FC28)-MIN(Instances!FC28:Instances!FC28))</f>
        <v>0</v>
      </c>
      <c r="FD28" s="1"/>
      <c r="FE28" s="1" cm="1">
        <f t="array" ref="FE28">_xlfn.SWITCH($A$2,"average", AVERAGE(Instances!FE28:Instances!FE28),"median", MEDIAN(Instances!FE28:Instances!FE28),"min", MIN(Instances!FE28:Instances!FE28),"max", MAX(Instances!FE28:Instances!FE28),"diff", MAX(Instances!FE28:Instances!FE28)-MIN(Instances!FE28:Instances!FE28))</f>
        <v>0</v>
      </c>
      <c r="FF28" s="1" cm="1">
        <f t="array" ref="FF28">_xlfn.SWITCH($A$2,"average", AVERAGE(Instances!FF28:Instances!FF28),"median", MEDIAN(Instances!FF28:Instances!FF28),"min", MIN(Instances!FF28:Instances!FF28),"max", MAX(Instances!FF28:Instances!FF28),"diff", MAX(Instances!FF28:Instances!FF28)-MIN(Instances!FF28:Instances!FF28))</f>
        <v>0</v>
      </c>
      <c r="FG28" s="1" cm="1">
        <f t="array" ref="FG28">_xlfn.SWITCH($A$2,"average", AVERAGE(Instances!FG28:Instances!FG28),"median", MEDIAN(Instances!FG28:Instances!FG28),"min", MIN(Instances!FG28:Instances!FG28),"max", MAX(Instances!FG28:Instances!FG28),"diff", MAX(Instances!FG28:Instances!FG28)-MIN(Instances!FG28:Instances!FG28))</f>
        <v>0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 cm="1">
        <f t="array" ref="O29">_xlfn.SWITCH($A$2,"average", AVERAGE(Instances!O29:Instances!O29),"median", MEDIAN(Instances!O29:Instances!O29),"min", MIN(Instances!O29:Instances!O29),"max", MAX(Instances!O29:Instances!O29),"diff", MAX(Instances!O29:Instances!O29)-MIN(Instances!O29:Instances!O29))</f>
        <v>0</v>
      </c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 cm="1">
        <f t="array" ref="S29">_xlfn.SWITCH($A$2,"average", AVERAGE(Instances!S29:Instances!S29),"median", MEDIAN(Instances!S29:Instances!S29),"min", MIN(Instances!S29:Instances!S29),"max", MAX(Instances!S29:Instances!S29),"diff", MAX(Instances!S29:Instances!S29)-MIN(Instances!S29:Instances!S29))</f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 cm="1">
        <f t="array" ref="EP29">_xlfn.SWITCH($A$2,"average", AVERAGE(Instances!EP29:Instances!EP29),"median", MEDIAN(Instances!EP29:Instances!EP29),"min", MIN(Instances!EP29:Instances!EP29),"max", MAX(Instances!EP29:Instances!EP29),"diff", MAX(Instances!EP29:Instances!EP29)-MIN(Instances!EP29:Instances!EP29))</f>
        <v>0</v>
      </c>
      <c r="EQ29" s="1" cm="1">
        <f t="array" ref="EQ29">_xlfn.SWITCH($A$2,"average", AVERAGE(Instances!EQ29:Instances!EQ29),"median", MEDIAN(Instances!EQ29:Instances!EQ29),"min", MIN(Instances!EQ29:Instances!EQ29),"max", MAX(Instances!EQ29:Instances!EQ29),"diff", MAX(Instances!EQ29:Instances!EQ29)-MIN(Instances!EQ29:Instances!EQ29))</f>
        <v>0</v>
      </c>
      <c r="ER29" s="1" cm="1">
        <f t="array" ref="ER29">_xlfn.SWITCH($A$2,"average", AVERAGE(Instances!ER29:Instances!ER29),"median", MEDIAN(Instances!ER29:Instances!ER29),"min", MIN(Instances!ER29:Instances!ER29),"max", MAX(Instances!ER29:Instances!ER29),"diff", MAX(Instances!ER29:Instances!ER29)-MIN(Instances!ER29:Instances!ER29))</f>
        <v>0</v>
      </c>
      <c r="ES29" s="1" cm="1">
        <f t="array" ref="ES29">_xlfn.SWITCH($A$2,"average", AVERAGE(Instances!ES29:Instances!ES29),"median", MEDIAN(Instances!ES29:Instances!ES29),"min", MIN(Instances!ES29:Instances!ES29),"max", MAX(Instances!ES29:Instances!ES29),"diff", MAX(Instances!ES29:Instances!ES29)-MIN(Instances!ES29:Instances!ES29))</f>
        <v>0</v>
      </c>
      <c r="ET29" s="1" cm="1">
        <f t="array" ref="ET29">_xlfn.SWITCH($A$2,"average", AVERAGE(Instances!ET29:Instances!ET29),"median", MEDIAN(Instances!ET29:Instances!ET29),"min", MIN(Instances!ET29:Instances!ET29),"max", MAX(Instances!ET29:Instances!ET29),"diff", MAX(Instances!ET29:Instances!ET29)-MIN(Instances!ET29:Instances!ET29))</f>
        <v>0</v>
      </c>
      <c r="EU29" s="1" cm="1">
        <f t="array" ref="EU29">_xlfn.SWITCH($A$2,"average", AVERAGE(Instances!EU29:Instances!EU29),"median", MEDIAN(Instances!EU29:Instances!EU29),"min", MIN(Instances!EU29:Instances!EU29),"max", MAX(Instances!EU29:Instances!EU29),"diff", MAX(Instances!EU29:Instances!EU29)-MIN(Instances!EU29:Instances!EU29))</f>
        <v>0</v>
      </c>
      <c r="EV29" s="1" cm="1">
        <f t="array" ref="EV29">_xlfn.SWITCH($A$2,"average", AVERAGE(Instances!EV29:Instances!EV29),"median", MEDIAN(Instances!EV29:Instances!EV29),"min", MIN(Instances!EV29:Instances!EV29),"max", MAX(Instances!EV29:Instances!EV29),"diff", MAX(Instances!EV29:Instances!EV29)-MIN(Instances!EV29:Instances!EV29))</f>
        <v>0</v>
      </c>
      <c r="EW29" s="1" cm="1">
        <f t="array" ref="EW29">_xlfn.SWITCH($A$2,"average", AVERAGE(Instances!EW29:Instances!EW29),"median", MEDIAN(Instances!EW29:Instances!EW29),"min", MIN(Instances!EW29:Instances!EW29),"max", MAX(Instances!EW29:Instances!EW29),"diff", MAX(Instances!EW29:Instances!EW29)-MIN(Instances!EW29:Instances!EW29))</f>
        <v>0</v>
      </c>
      <c r="EX29" s="1" cm="1">
        <f t="array" ref="EX29">_xlfn.SWITCH($A$2,"average", AVERAGE(Instances!EX29:Instances!EX29),"median", MEDIAN(Instances!EX29:Instances!EX29),"min", MIN(Instances!EX29:Instances!EX29),"max", MAX(Instances!EX29:Instances!EX29),"diff", MAX(Instances!EX29:Instances!EX29)-MIN(Instances!EX29:Instances!EX29))</f>
        <v>0</v>
      </c>
      <c r="EY29" s="1" cm="1">
        <f t="array" ref="EY29">_xlfn.SWITCH($A$2,"average", AVERAGE(Instances!EY29:Instances!EY29),"median", MEDIAN(Instances!EY29:Instances!EY29),"min", MIN(Instances!EY29:Instances!EY29),"max", MAX(Instances!EY29:Instances!EY29),"diff", MAX(Instances!EY29:Instances!EY29)-MIN(Instances!EY29:Instances!EY29))</f>
        <v>0</v>
      </c>
      <c r="EZ29" s="1" cm="1">
        <f t="array" ref="EZ29">_xlfn.SWITCH($A$2,"average", AVERAGE(Instances!EZ29:Instances!EZ29),"median", MEDIAN(Instances!EZ29:Instances!EZ29),"min", MIN(Instances!EZ29:Instances!EZ29),"max", MAX(Instances!EZ29:Instances!EZ29),"diff", MAX(Instances!EZ29:Instances!EZ29)-MIN(Instances!EZ29:Instances!EZ29))</f>
        <v>0</v>
      </c>
      <c r="FA29" s="1" cm="1">
        <f t="array" ref="FA29">_xlfn.SWITCH($A$2,"average", AVERAGE(Instances!FA29:Instances!FA29),"median", MEDIAN(Instances!FA29:Instances!FA29),"min", MIN(Instances!FA29:Instances!FA29),"max", MAX(Instances!FA29:Instances!FA29),"diff", MAX(Instances!FA29:Instances!FA29)-MIN(Instances!FA29:Instances!FA29))</f>
        <v>0</v>
      </c>
      <c r="FB29" s="1" cm="1">
        <f t="array" ref="FB29">_xlfn.SWITCH($A$2,"average", AVERAGE(Instances!FB29:Instances!FB29),"median", MEDIAN(Instances!FB29:Instances!FB29),"min", MIN(Instances!FB29:Instances!FB29),"max", MAX(Instances!FB29:Instances!FB29),"diff", MAX(Instances!FB29:Instances!FB29)-MIN(Instances!FB29:Instances!FB29))</f>
        <v>0</v>
      </c>
      <c r="FC29" s="1" cm="1">
        <f t="array" ref="FC29">_xlfn.SWITCH($A$2,"average", AVERAGE(Instances!FC29:Instances!FC29),"median", MEDIAN(Instances!FC29:Instances!FC29),"min", MIN(Instances!FC29:Instances!FC29),"max", MAX(Instances!FC29:Instances!FC29),"diff", MAX(Instances!FC29:Instances!FC29)-MIN(Instances!FC29:Instances!FC29))</f>
        <v>0</v>
      </c>
      <c r="FD29" s="1"/>
      <c r="FE29" s="1" cm="1">
        <f t="array" ref="FE29">_xlfn.SWITCH($A$2,"average", AVERAGE(Instances!FE29:Instances!FE29),"median", MEDIAN(Instances!FE29:Instances!FE29),"min", MIN(Instances!FE29:Instances!FE29),"max", MAX(Instances!FE29:Instances!FE29),"diff", MAX(Instances!FE29:Instances!FE29)-MIN(Instances!FE29:Instances!FE29))</f>
        <v>0</v>
      </c>
      <c r="FF29" s="1" cm="1">
        <f t="array" ref="FF29">_xlfn.SWITCH($A$2,"average", AVERAGE(Instances!FF29:Instances!FF29),"median", MEDIAN(Instances!FF29:Instances!FF29),"min", MIN(Instances!FF29:Instances!FF29),"max", MAX(Instances!FF29:Instances!FF29),"diff", MAX(Instances!FF29:Instances!FF29)-MIN(Instances!FF29:Instances!FF29))</f>
        <v>0</v>
      </c>
      <c r="FG29" s="1" cm="1">
        <f t="array" ref="FG29">_xlfn.SWITCH($A$2,"average", AVERAGE(Instances!FG29:Instances!FG29),"median", MEDIAN(Instances!FG29:Instances!FG29),"min", MIN(Instances!FG29:Instances!FG29),"max", MAX(Instances!FG29:Instances!FG29),"diff", MAX(Instances!FG29:Instances!FG29)-MIN(Instances!FG29:Instances!FG29))</f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 cm="1">
        <f t="array" ref="O30">_xlfn.SWITCH($A$2,"average", AVERAGE(Instances!O30:Instances!O30),"median", MEDIAN(Instances!O30:Instances!O30),"min", MIN(Instances!O30:Instances!O30),"max", MAX(Instances!O30:Instances!O30),"diff", MAX(Instances!O30:Instances!O30)-MIN(Instances!O30:Instances!O30))</f>
        <v>0</v>
      </c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 cm="1">
        <f t="array" ref="S30">_xlfn.SWITCH($A$2,"average", AVERAGE(Instances!S30:Instances!S30),"median", MEDIAN(Instances!S30:Instances!S30),"min", MIN(Instances!S30:Instances!S30),"max", MAX(Instances!S30:Instances!S30),"diff", MAX(Instances!S30:Instances!S30)-MIN(Instances!S30:Instances!S30))</f>
        <v>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 cm="1">
        <f t="array" ref="EP30">_xlfn.SWITCH($A$2,"average", AVERAGE(Instances!EP30:Instances!EP30),"median", MEDIAN(Instances!EP30:Instances!EP30),"min", MIN(Instances!EP30:Instances!EP30),"max", MAX(Instances!EP30:Instances!EP30),"diff", MAX(Instances!EP30:Instances!EP30)-MIN(Instances!EP30:Instances!EP30))</f>
        <v>0</v>
      </c>
      <c r="EQ30" s="1" cm="1">
        <f t="array" ref="EQ30">_xlfn.SWITCH($A$2,"average", AVERAGE(Instances!EQ30:Instances!EQ30),"median", MEDIAN(Instances!EQ30:Instances!EQ30),"min", MIN(Instances!EQ30:Instances!EQ30),"max", MAX(Instances!EQ30:Instances!EQ30),"diff", MAX(Instances!EQ30:Instances!EQ30)-MIN(Instances!EQ30:Instances!EQ30))</f>
        <v>0</v>
      </c>
      <c r="ER30" s="1" cm="1">
        <f t="array" ref="ER30">_xlfn.SWITCH($A$2,"average", AVERAGE(Instances!ER30:Instances!ER30),"median", MEDIAN(Instances!ER30:Instances!ER30),"min", MIN(Instances!ER30:Instances!ER30),"max", MAX(Instances!ER30:Instances!ER30),"diff", MAX(Instances!ER30:Instances!ER30)-MIN(Instances!ER30:Instances!ER30))</f>
        <v>0</v>
      </c>
      <c r="ES30" s="1" cm="1">
        <f t="array" ref="ES30">_xlfn.SWITCH($A$2,"average", AVERAGE(Instances!ES30:Instances!ES30),"median", MEDIAN(Instances!ES30:Instances!ES30),"min", MIN(Instances!ES30:Instances!ES30),"max", MAX(Instances!ES30:Instances!ES30),"diff", MAX(Instances!ES30:Instances!ES30)-MIN(Instances!ES30:Instances!ES30))</f>
        <v>0</v>
      </c>
      <c r="ET30" s="1" cm="1">
        <f t="array" ref="ET30">_xlfn.SWITCH($A$2,"average", AVERAGE(Instances!ET30:Instances!ET30),"median", MEDIAN(Instances!ET30:Instances!ET30),"min", MIN(Instances!ET30:Instances!ET30),"max", MAX(Instances!ET30:Instances!ET30),"diff", MAX(Instances!ET30:Instances!ET30)-MIN(Instances!ET30:Instances!ET30))</f>
        <v>0</v>
      </c>
      <c r="EU30" s="1" cm="1">
        <f t="array" ref="EU30">_xlfn.SWITCH($A$2,"average", AVERAGE(Instances!EU30:Instances!EU30),"median", MEDIAN(Instances!EU30:Instances!EU30),"min", MIN(Instances!EU30:Instances!EU30),"max", MAX(Instances!EU30:Instances!EU30),"diff", MAX(Instances!EU30:Instances!EU30)-MIN(Instances!EU30:Instances!EU30))</f>
        <v>0</v>
      </c>
      <c r="EV30" s="1" cm="1">
        <f t="array" ref="EV30">_xlfn.SWITCH($A$2,"average", AVERAGE(Instances!EV30:Instances!EV30),"median", MEDIAN(Instances!EV30:Instances!EV30),"min", MIN(Instances!EV30:Instances!EV30),"max", MAX(Instances!EV30:Instances!EV30),"diff", MAX(Instances!EV30:Instances!EV30)-MIN(Instances!EV30:Instances!EV30))</f>
        <v>0</v>
      </c>
      <c r="EW30" s="1" cm="1">
        <f t="array" ref="EW30">_xlfn.SWITCH($A$2,"average", AVERAGE(Instances!EW30:Instances!EW30),"median", MEDIAN(Instances!EW30:Instances!EW30),"min", MIN(Instances!EW30:Instances!EW30),"max", MAX(Instances!EW30:Instances!EW30),"diff", MAX(Instances!EW30:Instances!EW30)-MIN(Instances!EW30:Instances!EW30))</f>
        <v>0</v>
      </c>
      <c r="EX30" s="1" cm="1">
        <f t="array" ref="EX30">_xlfn.SWITCH($A$2,"average", AVERAGE(Instances!EX30:Instances!EX30),"median", MEDIAN(Instances!EX30:Instances!EX30),"min", MIN(Instances!EX30:Instances!EX30),"max", MAX(Instances!EX30:Instances!EX30),"diff", MAX(Instances!EX30:Instances!EX30)-MIN(Instances!EX30:Instances!EX30))</f>
        <v>0</v>
      </c>
      <c r="EY30" s="1" cm="1">
        <f t="array" ref="EY30">_xlfn.SWITCH($A$2,"average", AVERAGE(Instances!EY30:Instances!EY30),"median", MEDIAN(Instances!EY30:Instances!EY30),"min", MIN(Instances!EY30:Instances!EY30),"max", MAX(Instances!EY30:Instances!EY30),"diff", MAX(Instances!EY30:Instances!EY30)-MIN(Instances!EY30:Instances!EY30))</f>
        <v>0</v>
      </c>
      <c r="EZ30" s="1" cm="1">
        <f t="array" ref="EZ30">_xlfn.SWITCH($A$2,"average", AVERAGE(Instances!EZ30:Instances!EZ30),"median", MEDIAN(Instances!EZ30:Instances!EZ30),"min", MIN(Instances!EZ30:Instances!EZ30),"max", MAX(Instances!EZ30:Instances!EZ30),"diff", MAX(Instances!EZ30:Instances!EZ30)-MIN(Instances!EZ30:Instances!EZ30))</f>
        <v>0</v>
      </c>
      <c r="FA30" s="1" cm="1">
        <f t="array" ref="FA30">_xlfn.SWITCH($A$2,"average", AVERAGE(Instances!FA30:Instances!FA30),"median", MEDIAN(Instances!FA30:Instances!FA30),"min", MIN(Instances!FA30:Instances!FA30),"max", MAX(Instances!FA30:Instances!FA30),"diff", MAX(Instances!FA30:Instances!FA30)-MIN(Instances!FA30:Instances!FA30))</f>
        <v>0</v>
      </c>
      <c r="FB30" s="1" cm="1">
        <f t="array" ref="FB30">_xlfn.SWITCH($A$2,"average", AVERAGE(Instances!FB30:Instances!FB30),"median", MEDIAN(Instances!FB30:Instances!FB30),"min", MIN(Instances!FB30:Instances!FB30),"max", MAX(Instances!FB30:Instances!FB30),"diff", MAX(Instances!FB30:Instances!FB30)-MIN(Instances!FB30:Instances!FB30))</f>
        <v>0</v>
      </c>
      <c r="FC30" s="1" cm="1">
        <f t="array" ref="FC30">_xlfn.SWITCH($A$2,"average", AVERAGE(Instances!FC30:Instances!FC30),"median", MEDIAN(Instances!FC30:Instances!FC30),"min", MIN(Instances!FC30:Instances!FC30),"max", MAX(Instances!FC30:Instances!FC30),"diff", MAX(Instances!FC30:Instances!FC30)-MIN(Instances!FC30:Instances!FC30))</f>
        <v>0</v>
      </c>
      <c r="FD30" s="1"/>
      <c r="FE30" s="1" cm="1">
        <f t="array" ref="FE30">_xlfn.SWITCH($A$2,"average", AVERAGE(Instances!FE30:Instances!FE30),"median", MEDIAN(Instances!FE30:Instances!FE30),"min", MIN(Instances!FE30:Instances!FE30),"max", MAX(Instances!FE30:Instances!FE30),"diff", MAX(Instances!FE30:Instances!FE30)-MIN(Instances!FE30:Instances!FE30))</f>
        <v>0</v>
      </c>
      <c r="FF30" s="1" cm="1">
        <f t="array" ref="FF30">_xlfn.SWITCH($A$2,"average", AVERAGE(Instances!FF30:Instances!FF30),"median", MEDIAN(Instances!FF30:Instances!FF30),"min", MIN(Instances!FF30:Instances!FF30),"max", MAX(Instances!FF30:Instances!FF30),"diff", MAX(Instances!FF30:Instances!FF30)-MIN(Instances!FF30:Instances!FF30))</f>
        <v>0</v>
      </c>
      <c r="FG30" s="1" cm="1">
        <f t="array" ref="FG30">_xlfn.SWITCH($A$2,"average", AVERAGE(Instances!FG30:Instances!FG30),"median", MEDIAN(Instances!FG30:Instances!FG30),"min", MIN(Instances!FG30:Instances!FG30),"max", MAX(Instances!FG30:Instances!FG30),"diff", MAX(Instances!FG30:Instances!FG30)-MIN(Instances!FG30:Instances!FG30))</f>
        <v>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 cm="1">
        <f t="array" ref="O31">_xlfn.SWITCH($A$2,"average", AVERAGE(Instances!O31:Instances!O31),"median", MEDIAN(Instances!O31:Instances!O31),"min", MIN(Instances!O31:Instances!O31),"max", MAX(Instances!O31:Instances!O31),"diff", MAX(Instances!O31:Instances!O31)-MIN(Instances!O31:Instances!O31))</f>
        <v>0</v>
      </c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 cm="1">
        <f t="array" ref="S31">_xlfn.SWITCH($A$2,"average", AVERAGE(Instances!S31:Instances!S31),"median", MEDIAN(Instances!S31:Instances!S31),"min", MIN(Instances!S31:Instances!S31),"max", MAX(Instances!S31:Instances!S31),"diff", MAX(Instances!S31:Instances!S31)-MIN(Instances!S31:Instances!S31))</f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 cm="1">
        <f t="array" ref="EP31">_xlfn.SWITCH($A$2,"average", AVERAGE(Instances!EP31:Instances!EP31),"median", MEDIAN(Instances!EP31:Instances!EP31),"min", MIN(Instances!EP31:Instances!EP31),"max", MAX(Instances!EP31:Instances!EP31),"diff", MAX(Instances!EP31:Instances!EP31)-MIN(Instances!EP31:Instances!EP31))</f>
        <v>0</v>
      </c>
      <c r="EQ31" s="1" cm="1">
        <f t="array" ref="EQ31">_xlfn.SWITCH($A$2,"average", AVERAGE(Instances!EQ31:Instances!EQ31),"median", MEDIAN(Instances!EQ31:Instances!EQ31),"min", MIN(Instances!EQ31:Instances!EQ31),"max", MAX(Instances!EQ31:Instances!EQ31),"diff", MAX(Instances!EQ31:Instances!EQ31)-MIN(Instances!EQ31:Instances!EQ31))</f>
        <v>0</v>
      </c>
      <c r="ER31" s="1" cm="1">
        <f t="array" ref="ER31">_xlfn.SWITCH($A$2,"average", AVERAGE(Instances!ER31:Instances!ER31),"median", MEDIAN(Instances!ER31:Instances!ER31),"min", MIN(Instances!ER31:Instances!ER31),"max", MAX(Instances!ER31:Instances!ER31),"diff", MAX(Instances!ER31:Instances!ER31)-MIN(Instances!ER31:Instances!ER31))</f>
        <v>0</v>
      </c>
      <c r="ES31" s="1" cm="1">
        <f t="array" ref="ES31">_xlfn.SWITCH($A$2,"average", AVERAGE(Instances!ES31:Instances!ES31),"median", MEDIAN(Instances!ES31:Instances!ES31),"min", MIN(Instances!ES31:Instances!ES31),"max", MAX(Instances!ES31:Instances!ES31),"diff", MAX(Instances!ES31:Instances!ES31)-MIN(Instances!ES31:Instances!ES31))</f>
        <v>0</v>
      </c>
      <c r="ET31" s="1" cm="1">
        <f t="array" ref="ET31">_xlfn.SWITCH($A$2,"average", AVERAGE(Instances!ET31:Instances!ET31),"median", MEDIAN(Instances!ET31:Instances!ET31),"min", MIN(Instances!ET31:Instances!ET31),"max", MAX(Instances!ET31:Instances!ET31),"diff", MAX(Instances!ET31:Instances!ET31)-MIN(Instances!ET31:Instances!ET31))</f>
        <v>0</v>
      </c>
      <c r="EU31" s="1" cm="1">
        <f t="array" ref="EU31">_xlfn.SWITCH($A$2,"average", AVERAGE(Instances!EU31:Instances!EU31),"median", MEDIAN(Instances!EU31:Instances!EU31),"min", MIN(Instances!EU31:Instances!EU31),"max", MAX(Instances!EU31:Instances!EU31),"diff", MAX(Instances!EU31:Instances!EU31)-MIN(Instances!EU31:Instances!EU31))</f>
        <v>0</v>
      </c>
      <c r="EV31" s="1" cm="1">
        <f t="array" ref="EV31">_xlfn.SWITCH($A$2,"average", AVERAGE(Instances!EV31:Instances!EV31),"median", MEDIAN(Instances!EV31:Instances!EV31),"min", MIN(Instances!EV31:Instances!EV31),"max", MAX(Instances!EV31:Instances!EV31),"diff", MAX(Instances!EV31:Instances!EV31)-MIN(Instances!EV31:Instances!EV31))</f>
        <v>0</v>
      </c>
      <c r="EW31" s="1" cm="1">
        <f t="array" ref="EW31">_xlfn.SWITCH($A$2,"average", AVERAGE(Instances!EW31:Instances!EW31),"median", MEDIAN(Instances!EW31:Instances!EW31),"min", MIN(Instances!EW31:Instances!EW31),"max", MAX(Instances!EW31:Instances!EW31),"diff", MAX(Instances!EW31:Instances!EW31)-MIN(Instances!EW31:Instances!EW31))</f>
        <v>0</v>
      </c>
      <c r="EX31" s="1" cm="1">
        <f t="array" ref="EX31">_xlfn.SWITCH($A$2,"average", AVERAGE(Instances!EX31:Instances!EX31),"median", MEDIAN(Instances!EX31:Instances!EX31),"min", MIN(Instances!EX31:Instances!EX31),"max", MAX(Instances!EX31:Instances!EX31),"diff", MAX(Instances!EX31:Instances!EX31)-MIN(Instances!EX31:Instances!EX31))</f>
        <v>0</v>
      </c>
      <c r="EY31" s="1" cm="1">
        <f t="array" ref="EY31">_xlfn.SWITCH($A$2,"average", AVERAGE(Instances!EY31:Instances!EY31),"median", MEDIAN(Instances!EY31:Instances!EY31),"min", MIN(Instances!EY31:Instances!EY31),"max", MAX(Instances!EY31:Instances!EY31),"diff", MAX(Instances!EY31:Instances!EY31)-MIN(Instances!EY31:Instances!EY31))</f>
        <v>0</v>
      </c>
      <c r="EZ31" s="1" cm="1">
        <f t="array" ref="EZ31">_xlfn.SWITCH($A$2,"average", AVERAGE(Instances!EZ31:Instances!EZ31),"median", MEDIAN(Instances!EZ31:Instances!EZ31),"min", MIN(Instances!EZ31:Instances!EZ31),"max", MAX(Instances!EZ31:Instances!EZ31),"diff", MAX(Instances!EZ31:Instances!EZ31)-MIN(Instances!EZ31:Instances!EZ31))</f>
        <v>0</v>
      </c>
      <c r="FA31" s="1" cm="1">
        <f t="array" ref="FA31">_xlfn.SWITCH($A$2,"average", AVERAGE(Instances!FA31:Instances!FA31),"median", MEDIAN(Instances!FA31:Instances!FA31),"min", MIN(Instances!FA31:Instances!FA31),"max", MAX(Instances!FA31:Instances!FA31),"diff", MAX(Instances!FA31:Instances!FA31)-MIN(Instances!FA31:Instances!FA31))</f>
        <v>0</v>
      </c>
      <c r="FB31" s="1" cm="1">
        <f t="array" ref="FB31">_xlfn.SWITCH($A$2,"average", AVERAGE(Instances!FB31:Instances!FB31),"median", MEDIAN(Instances!FB31:Instances!FB31),"min", MIN(Instances!FB31:Instances!FB31),"max", MAX(Instances!FB31:Instances!FB31),"diff", MAX(Instances!FB31:Instances!FB31)-MIN(Instances!FB31:Instances!FB31))</f>
        <v>0</v>
      </c>
      <c r="FC31" s="1" cm="1">
        <f t="array" ref="FC31">_xlfn.SWITCH($A$2,"average", AVERAGE(Instances!FC31:Instances!FC31),"median", MEDIAN(Instances!FC31:Instances!FC31),"min", MIN(Instances!FC31:Instances!FC31),"max", MAX(Instances!FC31:Instances!FC31),"diff", MAX(Instances!FC31:Instances!FC31)-MIN(Instances!FC31:Instances!FC31))</f>
        <v>0</v>
      </c>
      <c r="FD31" s="1"/>
      <c r="FE31" s="1" cm="1">
        <f t="array" ref="FE31">_xlfn.SWITCH($A$2,"average", AVERAGE(Instances!FE31:Instances!FE31),"median", MEDIAN(Instances!FE31:Instances!FE31),"min", MIN(Instances!FE31:Instances!FE31),"max", MAX(Instances!FE31:Instances!FE31),"diff", MAX(Instances!FE31:Instances!FE31)-MIN(Instances!FE31:Instances!FE31))</f>
        <v>0</v>
      </c>
      <c r="FF31" s="1" cm="1">
        <f t="array" ref="FF31">_xlfn.SWITCH($A$2,"average", AVERAGE(Instances!FF31:Instances!FF31),"median", MEDIAN(Instances!FF31:Instances!FF31),"min", MIN(Instances!FF31:Instances!FF31),"max", MAX(Instances!FF31:Instances!FF31),"diff", MAX(Instances!FF31:Instances!FF31)-MIN(Instances!FF31:Instances!FF31))</f>
        <v>0</v>
      </c>
      <c r="FG31" s="1" cm="1">
        <f t="array" ref="FG31">_xlfn.SWITCH($A$2,"average", AVERAGE(Instances!FG31:Instances!FG31),"median", MEDIAN(Instances!FG31:Instances!FG31),"min", MIN(Instances!FG31:Instances!FG31),"max", MAX(Instances!FG31:Instances!FG31),"diff", MAX(Instances!FG31:Instances!FG31)-MIN(Instances!FG31:Instances!FG31))</f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 cm="1">
        <f t="array" ref="O32">_xlfn.SWITCH($A$2,"average", AVERAGE(Instances!O32:Instances!O32),"median", MEDIAN(Instances!O32:Instances!O32),"min", MIN(Instances!O32:Instances!O32),"max", MAX(Instances!O32:Instances!O32),"diff", MAX(Instances!O32:Instances!O32)-MIN(Instances!O32:Instances!O32))</f>
        <v>0</v>
      </c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 cm="1">
        <f t="array" ref="S32">_xlfn.SWITCH($A$2,"average", AVERAGE(Instances!S32:Instances!S32),"median", MEDIAN(Instances!S32:Instances!S32),"min", MIN(Instances!S32:Instances!S32),"max", MAX(Instances!S32:Instances!S32),"diff", MAX(Instances!S32:Instances!S32)-MIN(Instances!S32:Instances!S32))</f>
        <v>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 cm="1">
        <f t="array" ref="EP32">_xlfn.SWITCH($A$2,"average", AVERAGE(Instances!EP32:Instances!EP32),"median", MEDIAN(Instances!EP32:Instances!EP32),"min", MIN(Instances!EP32:Instances!EP32),"max", MAX(Instances!EP32:Instances!EP32),"diff", MAX(Instances!EP32:Instances!EP32)-MIN(Instances!EP32:Instances!EP32))</f>
        <v>0</v>
      </c>
      <c r="EQ32" s="1" cm="1">
        <f t="array" ref="EQ32">_xlfn.SWITCH($A$2,"average", AVERAGE(Instances!EQ32:Instances!EQ32),"median", MEDIAN(Instances!EQ32:Instances!EQ32),"min", MIN(Instances!EQ32:Instances!EQ32),"max", MAX(Instances!EQ32:Instances!EQ32),"diff", MAX(Instances!EQ32:Instances!EQ32)-MIN(Instances!EQ32:Instances!EQ32))</f>
        <v>0</v>
      </c>
      <c r="ER32" s="1" cm="1">
        <f t="array" ref="ER32">_xlfn.SWITCH($A$2,"average", AVERAGE(Instances!ER32:Instances!ER32),"median", MEDIAN(Instances!ER32:Instances!ER32),"min", MIN(Instances!ER32:Instances!ER32),"max", MAX(Instances!ER32:Instances!ER32),"diff", MAX(Instances!ER32:Instances!ER32)-MIN(Instances!ER32:Instances!ER32))</f>
        <v>0</v>
      </c>
      <c r="ES32" s="1" cm="1">
        <f t="array" ref="ES32">_xlfn.SWITCH($A$2,"average", AVERAGE(Instances!ES32:Instances!ES32),"median", MEDIAN(Instances!ES32:Instances!ES32),"min", MIN(Instances!ES32:Instances!ES32),"max", MAX(Instances!ES32:Instances!ES32),"diff", MAX(Instances!ES32:Instances!ES32)-MIN(Instances!ES32:Instances!ES32))</f>
        <v>0</v>
      </c>
      <c r="ET32" s="1" cm="1">
        <f t="array" ref="ET32">_xlfn.SWITCH($A$2,"average", AVERAGE(Instances!ET32:Instances!ET32),"median", MEDIAN(Instances!ET32:Instances!ET32),"min", MIN(Instances!ET32:Instances!ET32),"max", MAX(Instances!ET32:Instances!ET32),"diff", MAX(Instances!ET32:Instances!ET32)-MIN(Instances!ET32:Instances!ET32))</f>
        <v>0</v>
      </c>
      <c r="EU32" s="1" cm="1">
        <f t="array" ref="EU32">_xlfn.SWITCH($A$2,"average", AVERAGE(Instances!EU32:Instances!EU32),"median", MEDIAN(Instances!EU32:Instances!EU32),"min", MIN(Instances!EU32:Instances!EU32),"max", MAX(Instances!EU32:Instances!EU32),"diff", MAX(Instances!EU32:Instances!EU32)-MIN(Instances!EU32:Instances!EU32))</f>
        <v>0</v>
      </c>
      <c r="EV32" s="1" cm="1">
        <f t="array" ref="EV32">_xlfn.SWITCH($A$2,"average", AVERAGE(Instances!EV32:Instances!EV32),"median", MEDIAN(Instances!EV32:Instances!EV32),"min", MIN(Instances!EV32:Instances!EV32),"max", MAX(Instances!EV32:Instances!EV32),"diff", MAX(Instances!EV32:Instances!EV32)-MIN(Instances!EV32:Instances!EV32))</f>
        <v>0</v>
      </c>
      <c r="EW32" s="1" cm="1">
        <f t="array" ref="EW32">_xlfn.SWITCH($A$2,"average", AVERAGE(Instances!EW32:Instances!EW32),"median", MEDIAN(Instances!EW32:Instances!EW32),"min", MIN(Instances!EW32:Instances!EW32),"max", MAX(Instances!EW32:Instances!EW32),"diff", MAX(Instances!EW32:Instances!EW32)-MIN(Instances!EW32:Instances!EW32))</f>
        <v>0</v>
      </c>
      <c r="EX32" s="1" cm="1">
        <f t="array" ref="EX32">_xlfn.SWITCH($A$2,"average", AVERAGE(Instances!EX32:Instances!EX32),"median", MEDIAN(Instances!EX32:Instances!EX32),"min", MIN(Instances!EX32:Instances!EX32),"max", MAX(Instances!EX32:Instances!EX32),"diff", MAX(Instances!EX32:Instances!EX32)-MIN(Instances!EX32:Instances!EX32))</f>
        <v>0</v>
      </c>
      <c r="EY32" s="1" cm="1">
        <f t="array" ref="EY32">_xlfn.SWITCH($A$2,"average", AVERAGE(Instances!EY32:Instances!EY32),"median", MEDIAN(Instances!EY32:Instances!EY32),"min", MIN(Instances!EY32:Instances!EY32),"max", MAX(Instances!EY32:Instances!EY32),"diff", MAX(Instances!EY32:Instances!EY32)-MIN(Instances!EY32:Instances!EY32))</f>
        <v>0</v>
      </c>
      <c r="EZ32" s="1" cm="1">
        <f t="array" ref="EZ32">_xlfn.SWITCH($A$2,"average", AVERAGE(Instances!EZ32:Instances!EZ32),"median", MEDIAN(Instances!EZ32:Instances!EZ32),"min", MIN(Instances!EZ32:Instances!EZ32),"max", MAX(Instances!EZ32:Instances!EZ32),"diff", MAX(Instances!EZ32:Instances!EZ32)-MIN(Instances!EZ32:Instances!EZ32))</f>
        <v>0</v>
      </c>
      <c r="FA32" s="1" cm="1">
        <f t="array" ref="FA32">_xlfn.SWITCH($A$2,"average", AVERAGE(Instances!FA32:Instances!FA32),"median", MEDIAN(Instances!FA32:Instances!FA32),"min", MIN(Instances!FA32:Instances!FA32),"max", MAX(Instances!FA32:Instances!FA32),"diff", MAX(Instances!FA32:Instances!FA32)-MIN(Instances!FA32:Instances!FA32))</f>
        <v>0</v>
      </c>
      <c r="FB32" s="1" cm="1">
        <f t="array" ref="FB32">_xlfn.SWITCH($A$2,"average", AVERAGE(Instances!FB32:Instances!FB32),"median", MEDIAN(Instances!FB32:Instances!FB32),"min", MIN(Instances!FB32:Instances!FB32),"max", MAX(Instances!FB32:Instances!FB32),"diff", MAX(Instances!FB32:Instances!FB32)-MIN(Instances!FB32:Instances!FB32))</f>
        <v>0</v>
      </c>
      <c r="FC32" s="1" cm="1">
        <f t="array" ref="FC32">_xlfn.SWITCH($A$2,"average", AVERAGE(Instances!FC32:Instances!FC32),"median", MEDIAN(Instances!FC32:Instances!FC32),"min", MIN(Instances!FC32:Instances!FC32),"max", MAX(Instances!FC32:Instances!FC32),"diff", MAX(Instances!FC32:Instances!FC32)-MIN(Instances!FC32:Instances!FC32))</f>
        <v>0</v>
      </c>
      <c r="FD32" s="1"/>
      <c r="FE32" s="1" cm="1">
        <f t="array" ref="FE32">_xlfn.SWITCH($A$2,"average", AVERAGE(Instances!FE32:Instances!FE32),"median", MEDIAN(Instances!FE32:Instances!FE32),"min", MIN(Instances!FE32:Instances!FE32),"max", MAX(Instances!FE32:Instances!FE32),"diff", MAX(Instances!FE32:Instances!FE32)-MIN(Instances!FE32:Instances!FE32))</f>
        <v>0</v>
      </c>
      <c r="FF32" s="1" cm="1">
        <f t="array" ref="FF32">_xlfn.SWITCH($A$2,"average", AVERAGE(Instances!FF32:Instances!FF32),"median", MEDIAN(Instances!FF32:Instances!FF32),"min", MIN(Instances!FF32:Instances!FF32),"max", MAX(Instances!FF32:Instances!FF32),"diff", MAX(Instances!FF32:Instances!FF32)-MIN(Instances!FF32:Instances!FF32))</f>
        <v>0</v>
      </c>
      <c r="FG32" s="1" cm="1">
        <f t="array" ref="FG32">_xlfn.SWITCH($A$2,"average", AVERAGE(Instances!FG32:Instances!FG32),"median", MEDIAN(Instances!FG32:Instances!FG32),"min", MIN(Instances!FG32:Instances!FG32),"max", MAX(Instances!FG32:Instances!FG32),"diff", MAX(Instances!FG32:Instances!FG32)-MIN(Instances!FG32:Instances!FG32))</f>
        <v>0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 cm="1">
        <f t="array" ref="O33">_xlfn.SWITCH($A$2,"average", AVERAGE(Instances!O33:Instances!O33),"median", MEDIAN(Instances!O33:Instances!O33),"min", MIN(Instances!O33:Instances!O33),"max", MAX(Instances!O33:Instances!O33),"diff", MAX(Instances!O33:Instances!O33)-MIN(Instances!O33:Instances!O33))</f>
        <v>0</v>
      </c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 cm="1">
        <f t="array" ref="S33">_xlfn.SWITCH($A$2,"average", AVERAGE(Instances!S33:Instances!S33),"median", MEDIAN(Instances!S33:Instances!S33),"min", MIN(Instances!S33:Instances!S33),"max", MAX(Instances!S33:Instances!S33),"diff", MAX(Instances!S33:Instances!S33)-MIN(Instances!S33:Instances!S33))</f>
        <v>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 cm="1">
        <f t="array" ref="EP33">_xlfn.SWITCH($A$2,"average", AVERAGE(Instances!EP33:Instances!EP33),"median", MEDIAN(Instances!EP33:Instances!EP33),"min", MIN(Instances!EP33:Instances!EP33),"max", MAX(Instances!EP33:Instances!EP33),"diff", MAX(Instances!EP33:Instances!EP33)-MIN(Instances!EP33:Instances!EP33))</f>
        <v>0</v>
      </c>
      <c r="EQ33" s="1" cm="1">
        <f t="array" ref="EQ33">_xlfn.SWITCH($A$2,"average", AVERAGE(Instances!EQ33:Instances!EQ33),"median", MEDIAN(Instances!EQ33:Instances!EQ33),"min", MIN(Instances!EQ33:Instances!EQ33),"max", MAX(Instances!EQ33:Instances!EQ33),"diff", MAX(Instances!EQ33:Instances!EQ33)-MIN(Instances!EQ33:Instances!EQ33))</f>
        <v>0</v>
      </c>
      <c r="ER33" s="1" cm="1">
        <f t="array" ref="ER33">_xlfn.SWITCH($A$2,"average", AVERAGE(Instances!ER33:Instances!ER33),"median", MEDIAN(Instances!ER33:Instances!ER33),"min", MIN(Instances!ER33:Instances!ER33),"max", MAX(Instances!ER33:Instances!ER33),"diff", MAX(Instances!ER33:Instances!ER33)-MIN(Instances!ER33:Instances!ER33))</f>
        <v>0</v>
      </c>
      <c r="ES33" s="1" cm="1">
        <f t="array" ref="ES33">_xlfn.SWITCH($A$2,"average", AVERAGE(Instances!ES33:Instances!ES33),"median", MEDIAN(Instances!ES33:Instances!ES33),"min", MIN(Instances!ES33:Instances!ES33),"max", MAX(Instances!ES33:Instances!ES33),"diff", MAX(Instances!ES33:Instances!ES33)-MIN(Instances!ES33:Instances!ES33))</f>
        <v>0</v>
      </c>
      <c r="ET33" s="1" cm="1">
        <f t="array" ref="ET33">_xlfn.SWITCH($A$2,"average", AVERAGE(Instances!ET33:Instances!ET33),"median", MEDIAN(Instances!ET33:Instances!ET33),"min", MIN(Instances!ET33:Instances!ET33),"max", MAX(Instances!ET33:Instances!ET33),"diff", MAX(Instances!ET33:Instances!ET33)-MIN(Instances!ET33:Instances!ET33))</f>
        <v>0</v>
      </c>
      <c r="EU33" s="1" cm="1">
        <f t="array" ref="EU33">_xlfn.SWITCH($A$2,"average", AVERAGE(Instances!EU33:Instances!EU33),"median", MEDIAN(Instances!EU33:Instances!EU33),"min", MIN(Instances!EU33:Instances!EU33),"max", MAX(Instances!EU33:Instances!EU33),"diff", MAX(Instances!EU33:Instances!EU33)-MIN(Instances!EU33:Instances!EU33))</f>
        <v>0</v>
      </c>
      <c r="EV33" s="1" cm="1">
        <f t="array" ref="EV33">_xlfn.SWITCH($A$2,"average", AVERAGE(Instances!EV33:Instances!EV33),"median", MEDIAN(Instances!EV33:Instances!EV33),"min", MIN(Instances!EV33:Instances!EV33),"max", MAX(Instances!EV33:Instances!EV33),"diff", MAX(Instances!EV33:Instances!EV33)-MIN(Instances!EV33:Instances!EV33))</f>
        <v>0</v>
      </c>
      <c r="EW33" s="1" cm="1">
        <f t="array" ref="EW33">_xlfn.SWITCH($A$2,"average", AVERAGE(Instances!EW33:Instances!EW33),"median", MEDIAN(Instances!EW33:Instances!EW33),"min", MIN(Instances!EW33:Instances!EW33),"max", MAX(Instances!EW33:Instances!EW33),"diff", MAX(Instances!EW33:Instances!EW33)-MIN(Instances!EW33:Instances!EW33))</f>
        <v>0</v>
      </c>
      <c r="EX33" s="1" cm="1">
        <f t="array" ref="EX33">_xlfn.SWITCH($A$2,"average", AVERAGE(Instances!EX33:Instances!EX33),"median", MEDIAN(Instances!EX33:Instances!EX33),"min", MIN(Instances!EX33:Instances!EX33),"max", MAX(Instances!EX33:Instances!EX33),"diff", MAX(Instances!EX33:Instances!EX33)-MIN(Instances!EX33:Instances!EX33))</f>
        <v>0</v>
      </c>
      <c r="EY33" s="1" cm="1">
        <f t="array" ref="EY33">_xlfn.SWITCH($A$2,"average", AVERAGE(Instances!EY33:Instances!EY33),"median", MEDIAN(Instances!EY33:Instances!EY33),"min", MIN(Instances!EY33:Instances!EY33),"max", MAX(Instances!EY33:Instances!EY33),"diff", MAX(Instances!EY33:Instances!EY33)-MIN(Instances!EY33:Instances!EY33))</f>
        <v>0</v>
      </c>
      <c r="EZ33" s="1" cm="1">
        <f t="array" ref="EZ33">_xlfn.SWITCH($A$2,"average", AVERAGE(Instances!EZ33:Instances!EZ33),"median", MEDIAN(Instances!EZ33:Instances!EZ33),"min", MIN(Instances!EZ33:Instances!EZ33),"max", MAX(Instances!EZ33:Instances!EZ33),"diff", MAX(Instances!EZ33:Instances!EZ33)-MIN(Instances!EZ33:Instances!EZ33))</f>
        <v>0</v>
      </c>
      <c r="FA33" s="1" cm="1">
        <f t="array" ref="FA33">_xlfn.SWITCH($A$2,"average", AVERAGE(Instances!FA33:Instances!FA33),"median", MEDIAN(Instances!FA33:Instances!FA33),"min", MIN(Instances!FA33:Instances!FA33),"max", MAX(Instances!FA33:Instances!FA33),"diff", MAX(Instances!FA33:Instances!FA33)-MIN(Instances!FA33:Instances!FA33))</f>
        <v>0</v>
      </c>
      <c r="FB33" s="1" cm="1">
        <f t="array" ref="FB33">_xlfn.SWITCH($A$2,"average", AVERAGE(Instances!FB33:Instances!FB33),"median", MEDIAN(Instances!FB33:Instances!FB33),"min", MIN(Instances!FB33:Instances!FB33),"max", MAX(Instances!FB33:Instances!FB33),"diff", MAX(Instances!FB33:Instances!FB33)-MIN(Instances!FB33:Instances!FB33))</f>
        <v>0</v>
      </c>
      <c r="FC33" s="1" cm="1">
        <f t="array" ref="FC33">_xlfn.SWITCH($A$2,"average", AVERAGE(Instances!FC33:Instances!FC33),"median", MEDIAN(Instances!FC33:Instances!FC33),"min", MIN(Instances!FC33:Instances!FC33),"max", MAX(Instances!FC33:Instances!FC33),"diff", MAX(Instances!FC33:Instances!FC33)-MIN(Instances!FC33:Instances!FC33))</f>
        <v>0</v>
      </c>
      <c r="FD33" s="1"/>
      <c r="FE33" s="1" cm="1">
        <f t="array" ref="FE33">_xlfn.SWITCH($A$2,"average", AVERAGE(Instances!FE33:Instances!FE33),"median", MEDIAN(Instances!FE33:Instances!FE33),"min", MIN(Instances!FE33:Instances!FE33),"max", MAX(Instances!FE33:Instances!FE33),"diff", MAX(Instances!FE33:Instances!FE33)-MIN(Instances!FE33:Instances!FE33))</f>
        <v>0</v>
      </c>
      <c r="FF33" s="1" cm="1">
        <f t="array" ref="FF33">_xlfn.SWITCH($A$2,"average", AVERAGE(Instances!FF33:Instances!FF33),"median", MEDIAN(Instances!FF33:Instances!FF33),"min", MIN(Instances!FF33:Instances!FF33),"max", MAX(Instances!FF33:Instances!FF33),"diff", MAX(Instances!FF33:Instances!FF33)-MIN(Instances!FF33:Instances!FF33))</f>
        <v>0</v>
      </c>
      <c r="FG33" s="1" cm="1">
        <f t="array" ref="FG33">_xlfn.SWITCH($A$2,"average", AVERAGE(Instances!FG33:Instances!FG33),"median", MEDIAN(Instances!FG33:Instances!FG33),"min", MIN(Instances!FG33:Instances!FG33),"max", MAX(Instances!FG33:Instances!FG33),"diff", MAX(Instances!FG33:Instances!FG33)-MIN(Instances!FG33:Instances!FG33))</f>
        <v>0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 cm="1">
        <f t="array" ref="O34">_xlfn.SWITCH($A$2,"average", AVERAGE(Instances!O34:Instances!O34),"median", MEDIAN(Instances!O34:Instances!O34),"min", MIN(Instances!O34:Instances!O34),"max", MAX(Instances!O34:Instances!O34),"diff", MAX(Instances!O34:Instances!O34)-MIN(Instances!O34:Instances!O34))</f>
        <v>0</v>
      </c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 cm="1">
        <f t="array" ref="S34">_xlfn.SWITCH($A$2,"average", AVERAGE(Instances!S34:Instances!S34),"median", MEDIAN(Instances!S34:Instances!S34),"min", MIN(Instances!S34:Instances!S34),"max", MAX(Instances!S34:Instances!S34),"diff", MAX(Instances!S34:Instances!S34)-MIN(Instances!S34:Instances!S34))</f>
        <v>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 cm="1">
        <f t="array" ref="EP34">_xlfn.SWITCH($A$2,"average", AVERAGE(Instances!EP34:Instances!EP34),"median", MEDIAN(Instances!EP34:Instances!EP34),"min", MIN(Instances!EP34:Instances!EP34),"max", MAX(Instances!EP34:Instances!EP34),"diff", MAX(Instances!EP34:Instances!EP34)-MIN(Instances!EP34:Instances!EP34))</f>
        <v>0</v>
      </c>
      <c r="EQ34" s="1" cm="1">
        <f t="array" ref="EQ34">_xlfn.SWITCH($A$2,"average", AVERAGE(Instances!EQ34:Instances!EQ34),"median", MEDIAN(Instances!EQ34:Instances!EQ34),"min", MIN(Instances!EQ34:Instances!EQ34),"max", MAX(Instances!EQ34:Instances!EQ34),"diff", MAX(Instances!EQ34:Instances!EQ34)-MIN(Instances!EQ34:Instances!EQ34))</f>
        <v>0</v>
      </c>
      <c r="ER34" s="1" cm="1">
        <f t="array" ref="ER34">_xlfn.SWITCH($A$2,"average", AVERAGE(Instances!ER34:Instances!ER34),"median", MEDIAN(Instances!ER34:Instances!ER34),"min", MIN(Instances!ER34:Instances!ER34),"max", MAX(Instances!ER34:Instances!ER34),"diff", MAX(Instances!ER34:Instances!ER34)-MIN(Instances!ER34:Instances!ER34))</f>
        <v>0</v>
      </c>
      <c r="ES34" s="1" cm="1">
        <f t="array" ref="ES34">_xlfn.SWITCH($A$2,"average", AVERAGE(Instances!ES34:Instances!ES34),"median", MEDIAN(Instances!ES34:Instances!ES34),"min", MIN(Instances!ES34:Instances!ES34),"max", MAX(Instances!ES34:Instances!ES34),"diff", MAX(Instances!ES34:Instances!ES34)-MIN(Instances!ES34:Instances!ES34))</f>
        <v>0</v>
      </c>
      <c r="ET34" s="1" cm="1">
        <f t="array" ref="ET34">_xlfn.SWITCH($A$2,"average", AVERAGE(Instances!ET34:Instances!ET34),"median", MEDIAN(Instances!ET34:Instances!ET34),"min", MIN(Instances!ET34:Instances!ET34),"max", MAX(Instances!ET34:Instances!ET34),"diff", MAX(Instances!ET34:Instances!ET34)-MIN(Instances!ET34:Instances!ET34))</f>
        <v>0</v>
      </c>
      <c r="EU34" s="1" cm="1">
        <f t="array" ref="EU34">_xlfn.SWITCH($A$2,"average", AVERAGE(Instances!EU34:Instances!EU34),"median", MEDIAN(Instances!EU34:Instances!EU34),"min", MIN(Instances!EU34:Instances!EU34),"max", MAX(Instances!EU34:Instances!EU34),"diff", MAX(Instances!EU34:Instances!EU34)-MIN(Instances!EU34:Instances!EU34))</f>
        <v>0</v>
      </c>
      <c r="EV34" s="1" cm="1">
        <f t="array" ref="EV34">_xlfn.SWITCH($A$2,"average", AVERAGE(Instances!EV34:Instances!EV34),"median", MEDIAN(Instances!EV34:Instances!EV34),"min", MIN(Instances!EV34:Instances!EV34),"max", MAX(Instances!EV34:Instances!EV34),"diff", MAX(Instances!EV34:Instances!EV34)-MIN(Instances!EV34:Instances!EV34))</f>
        <v>0</v>
      </c>
      <c r="EW34" s="1" cm="1">
        <f t="array" ref="EW34">_xlfn.SWITCH($A$2,"average", AVERAGE(Instances!EW34:Instances!EW34),"median", MEDIAN(Instances!EW34:Instances!EW34),"min", MIN(Instances!EW34:Instances!EW34),"max", MAX(Instances!EW34:Instances!EW34),"diff", MAX(Instances!EW34:Instances!EW34)-MIN(Instances!EW34:Instances!EW34))</f>
        <v>0</v>
      </c>
      <c r="EX34" s="1" cm="1">
        <f t="array" ref="EX34">_xlfn.SWITCH($A$2,"average", AVERAGE(Instances!EX34:Instances!EX34),"median", MEDIAN(Instances!EX34:Instances!EX34),"min", MIN(Instances!EX34:Instances!EX34),"max", MAX(Instances!EX34:Instances!EX34),"diff", MAX(Instances!EX34:Instances!EX34)-MIN(Instances!EX34:Instances!EX34))</f>
        <v>0</v>
      </c>
      <c r="EY34" s="1" cm="1">
        <f t="array" ref="EY34">_xlfn.SWITCH($A$2,"average", AVERAGE(Instances!EY34:Instances!EY34),"median", MEDIAN(Instances!EY34:Instances!EY34),"min", MIN(Instances!EY34:Instances!EY34),"max", MAX(Instances!EY34:Instances!EY34),"diff", MAX(Instances!EY34:Instances!EY34)-MIN(Instances!EY34:Instances!EY34))</f>
        <v>0</v>
      </c>
      <c r="EZ34" s="1" cm="1">
        <f t="array" ref="EZ34">_xlfn.SWITCH($A$2,"average", AVERAGE(Instances!EZ34:Instances!EZ34),"median", MEDIAN(Instances!EZ34:Instances!EZ34),"min", MIN(Instances!EZ34:Instances!EZ34),"max", MAX(Instances!EZ34:Instances!EZ34),"diff", MAX(Instances!EZ34:Instances!EZ34)-MIN(Instances!EZ34:Instances!EZ34))</f>
        <v>0</v>
      </c>
      <c r="FA34" s="1" cm="1">
        <f t="array" ref="FA34">_xlfn.SWITCH($A$2,"average", AVERAGE(Instances!FA34:Instances!FA34),"median", MEDIAN(Instances!FA34:Instances!FA34),"min", MIN(Instances!FA34:Instances!FA34),"max", MAX(Instances!FA34:Instances!FA34),"diff", MAX(Instances!FA34:Instances!FA34)-MIN(Instances!FA34:Instances!FA34))</f>
        <v>0</v>
      </c>
      <c r="FB34" s="1" cm="1">
        <f t="array" ref="FB34">_xlfn.SWITCH($A$2,"average", AVERAGE(Instances!FB34:Instances!FB34),"median", MEDIAN(Instances!FB34:Instances!FB34),"min", MIN(Instances!FB34:Instances!FB34),"max", MAX(Instances!FB34:Instances!FB34),"diff", MAX(Instances!FB34:Instances!FB34)-MIN(Instances!FB34:Instances!FB34))</f>
        <v>0</v>
      </c>
      <c r="FC34" s="1" cm="1">
        <f t="array" ref="FC34">_xlfn.SWITCH($A$2,"average", AVERAGE(Instances!FC34:Instances!FC34),"median", MEDIAN(Instances!FC34:Instances!FC34),"min", MIN(Instances!FC34:Instances!FC34),"max", MAX(Instances!FC34:Instances!FC34),"diff", MAX(Instances!FC34:Instances!FC34)-MIN(Instances!FC34:Instances!FC34))</f>
        <v>0</v>
      </c>
      <c r="FD34" s="1"/>
      <c r="FE34" s="1" cm="1">
        <f t="array" ref="FE34">_xlfn.SWITCH($A$2,"average", AVERAGE(Instances!FE34:Instances!FE34),"median", MEDIAN(Instances!FE34:Instances!FE34),"min", MIN(Instances!FE34:Instances!FE34),"max", MAX(Instances!FE34:Instances!FE34),"diff", MAX(Instances!FE34:Instances!FE34)-MIN(Instances!FE34:Instances!FE34))</f>
        <v>0</v>
      </c>
      <c r="FF34" s="1" cm="1">
        <f t="array" ref="FF34">_xlfn.SWITCH($A$2,"average", AVERAGE(Instances!FF34:Instances!FF34),"median", MEDIAN(Instances!FF34:Instances!FF34),"min", MIN(Instances!FF34:Instances!FF34),"max", MAX(Instances!FF34:Instances!FF34),"diff", MAX(Instances!FF34:Instances!FF34)-MIN(Instances!FF34:Instances!FF34))</f>
        <v>0</v>
      </c>
      <c r="FG34" s="1" cm="1">
        <f t="array" ref="FG34">_xlfn.SWITCH($A$2,"average", AVERAGE(Instances!FG34:Instances!FG34),"median", MEDIAN(Instances!FG34:Instances!FG34),"min", MIN(Instances!FG34:Instances!FG34),"max", MAX(Instances!FG34:Instances!FG34),"diff", MAX(Instances!FG34:Instances!FG34)-MIN(Instances!FG34:Instances!FG34))</f>
        <v>0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 cm="1">
        <f t="array" ref="K35">_xlfn.SWITCH($A$2,"average", AVERAGE(Instances!K35:Instances!K35),"median", MEDIAN(Instances!K35:Instances!K35),"min", MIN(Instances!K35:Instances!K35),"max", MAX(Instances!K35:Instances!K35),"diff", MAX(Instances!K35:Instances!K35)-MIN(Instances!K35:Instances!K35))</f>
        <v>0</v>
      </c>
      <c r="L35" s="1" cm="1">
        <f t="array" ref="L35">_xlfn.SWITCH($A$2,"average", AVERAGE(Instances!L35:Instances!L35),"median", MEDIAN(Instances!L35:Instances!L35),"min", MIN(Instances!L35:Instances!L35),"max", MAX(Instances!L35:Instances!L35),"diff", MAX(Instances!L35:Instances!L35)-MIN(Instances!L35:Instances!L35))</f>
        <v>0</v>
      </c>
      <c r="M35" s="1" cm="1">
        <f t="array" ref="M35">_xlfn.SWITCH($A$2,"average", AVERAGE(Instances!M35:Instances!M35),"median", MEDIAN(Instances!M35:Instances!M35),"min", MIN(Instances!M35:Instances!M35),"max", MAX(Instances!M35:Instances!M35),"diff", MAX(Instances!M35:Instances!M35)-MIN(Instances!M35:Instances!M35))</f>
        <v>0</v>
      </c>
      <c r="N35" s="1" cm="1">
        <f t="array" ref="N35">_xlfn.SWITCH($A$2,"average", AVERAGE(Instances!N35:Instances!N35),"median", MEDIAN(Instances!N35:Instances!N35),"min", MIN(Instances!N35:Instances!N35),"max", MAX(Instances!N35:Instances!N35),"diff", MAX(Instances!N35:Instances!N35)-MIN(Instances!N35:Instances!N35))</f>
        <v>0</v>
      </c>
      <c r="O35" s="1" cm="1">
        <f t="array" ref="O35">_xlfn.SWITCH($A$2,"average", AVERAGE(Instances!O35:Instances!O35),"median", MEDIAN(Instances!O35:Instances!O35),"min", MIN(Instances!O35:Instances!O35),"max", MAX(Instances!O35:Instances!O35),"diff", MAX(Instances!O35:Instances!O35)-MIN(Instances!O35:Instances!O35))</f>
        <v>0</v>
      </c>
      <c r="P35" s="1"/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 cm="1">
        <f t="array" ref="S35">_xlfn.SWITCH($A$2,"average", AVERAGE(Instances!S35:Instances!S35),"median", MEDIAN(Instances!S35:Instances!S35),"min", MIN(Instances!S35:Instances!S35),"max", MAX(Instances!S35:Instances!S35),"diff", MAX(Instances!S35:Instances!S35)-MIN(Instances!S35:Instances!S35))</f>
        <v>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 cm="1">
        <f t="array" ref="AL35">_xlfn.SWITCH($A$2,"average", AVERAGE(Instances!AL35:Instances!AL35),"median", MEDIAN(Instances!AL35:Instances!AL35),"min", MIN(Instances!AL35:Instances!AL35),"max", MAX(Instances!AL35:Instances!AL35),"diff", MAX(Instances!AL35:Instances!AL35)-MIN(Instances!AL35:Instances!AL35))</f>
        <v>0</v>
      </c>
      <c r="AM35" s="1" cm="1">
        <f t="array" ref="AM35">_xlfn.SWITCH($A$2,"average", AVERAGE(Instances!AM35:Instances!AM35),"median", MEDIAN(Instances!AM35:Instances!AM35),"min", MIN(Instances!AM35:Instances!AM35),"max", MAX(Instances!AM35:Instances!AM35),"diff", MAX(Instances!AM35:Instances!AM35)-MIN(Instances!AM35:Instances!AM35))</f>
        <v>0</v>
      </c>
      <c r="AN35" s="1" cm="1">
        <f t="array" ref="AN35">_xlfn.SWITCH($A$2,"average", AVERAGE(Instances!AN35:Instances!AN35),"median", MEDIAN(Instances!AN35:Instances!AN35),"min", MIN(Instances!AN35:Instances!AN35),"max", MAX(Instances!AN35:Instances!AN35),"diff", MAX(Instances!AN35:Instances!AN35)-MIN(Instances!AN35:Instances!AN35))</f>
        <v>0</v>
      </c>
      <c r="AO35" s="1" cm="1">
        <f t="array" ref="AO35">_xlfn.SWITCH($A$2,"average", AVERAGE(Instances!AO35:Instances!AO35),"median", MEDIAN(Instances!AO35:Instances!AO35),"min", MIN(Instances!AO35:Instances!AO35),"max", MAX(Instances!AO35:Instances!AO35),"diff", MAX(Instances!AO35:Instances!AO35)-MIN(Instances!AO35:Instances!AO35))</f>
        <v>0</v>
      </c>
      <c r="AP35" s="1" cm="1">
        <f t="array" ref="AP35">_xlfn.SWITCH($A$2,"average", AVERAGE(Instances!AP35:Instances!AP35),"median", MEDIAN(Instances!AP35:Instances!AP35),"min", MIN(Instances!AP35:Instances!AP35),"max", MAX(Instances!AP35:Instances!AP35),"diff", MAX(Instances!AP35:Instances!AP35)-MIN(Instances!AP35:Instances!AP35))</f>
        <v>0</v>
      </c>
      <c r="AQ35" s="1" cm="1">
        <f t="array" ref="AQ35">_xlfn.SWITCH($A$2,"average", AVERAGE(Instances!AQ35:Instances!AQ35),"median", MEDIAN(Instances!AQ35:Instances!AQ35),"min", MIN(Instances!AQ35:Instances!AQ35),"max", MAX(Instances!AQ35:Instances!AQ35),"diff", MAX(Instances!AQ35:Instances!AQ35)-MIN(Instances!AQ35:Instances!AQ35))</f>
        <v>0</v>
      </c>
      <c r="AR35" s="1" cm="1">
        <f t="array" ref="AR35">_xlfn.SWITCH($A$2,"average", AVERAGE(Instances!AR35:Instances!AR35),"median", MEDIAN(Instances!AR35:Instances!AR35),"min", MIN(Instances!AR35:Instances!AR35),"max", MAX(Instances!AR35:Instances!AR35),"diff", MAX(Instances!AR35:Instances!AR35)-MIN(Instances!AR35:Instances!AR35))</f>
        <v>0</v>
      </c>
      <c r="AS35" s="1" cm="1">
        <f t="array" ref="AS35">_xlfn.SWITCH($A$2,"average", AVERAGE(Instances!AS35:Instances!AS35),"median", MEDIAN(Instances!AS35:Instances!AS35),"min", MIN(Instances!AS35:Instances!AS35),"max", MAX(Instances!AS35:Instances!AS35),"diff", MAX(Instances!AS35:Instances!AS35)-MIN(Instances!AS35:Instances!AS35))</f>
        <v>0</v>
      </c>
      <c r="AT35" s="1" cm="1">
        <f t="array" ref="AT35">_xlfn.SWITCH($A$2,"average", AVERAGE(Instances!AT35:Instances!AT35),"median", MEDIAN(Instances!AT35:Instances!AT35),"min", MIN(Instances!AT35:Instances!AT35),"max", MAX(Instances!AT35:Instances!AT35),"diff", MAX(Instances!AT35:Instances!AT35)-MIN(Instances!AT35:Instances!AT35))</f>
        <v>0</v>
      </c>
      <c r="AU35" s="1" cm="1">
        <f t="array" ref="AU35">_xlfn.SWITCH($A$2,"average", AVERAGE(Instances!AU35:Instances!AU35),"median", MEDIAN(Instances!AU35:Instances!AU35),"min", MIN(Instances!AU35:Instances!AU35),"max", MAX(Instances!AU35:Instances!AU35),"diff", MAX(Instances!AU35:Instances!AU35)-MIN(Instances!AU35:Instances!AU35))</f>
        <v>0</v>
      </c>
      <c r="AV35" s="1" cm="1">
        <f t="array" ref="AV35">_xlfn.SWITCH($A$2,"average", AVERAGE(Instances!AV35:Instances!AV35),"median", MEDIAN(Instances!AV35:Instances!AV35),"min", MIN(Instances!AV35:Instances!AV35),"max", MAX(Instances!AV35:Instances!AV35),"diff", MAX(Instances!AV35:Instances!AV35)-MIN(Instances!AV35:Instances!AV35))</f>
        <v>0</v>
      </c>
      <c r="AW35" s="1" cm="1">
        <f t="array" ref="AW35">_xlfn.SWITCH($A$2,"average", AVERAGE(Instances!AW35:Instances!AW35),"median", MEDIAN(Instances!AW35:Instances!AW35),"min", MIN(Instances!AW35:Instances!AW35),"max", MAX(Instances!AW35:Instances!AW35),"diff", MAX(Instances!AW35:Instances!AW35)-MIN(Instances!AW35:Instances!AW35))</f>
        <v>0</v>
      </c>
      <c r="AX35" s="1" cm="1">
        <f t="array" ref="AX35">_xlfn.SWITCH($A$2,"average", AVERAGE(Instances!AX35:Instances!AX35),"median", MEDIAN(Instances!AX35:Instances!AX35),"min", MIN(Instances!AX35:Instances!AX35),"max", MAX(Instances!AX35:Instances!AX35),"diff", MAX(Instances!AX35:Instances!AX35)-MIN(Instances!AX35:Instances!AX35))</f>
        <v>0</v>
      </c>
      <c r="AY35" s="1" cm="1">
        <f t="array" ref="AY35">_xlfn.SWITCH($A$2,"average", AVERAGE(Instances!AY35:Instances!AY35),"median", MEDIAN(Instances!AY35:Instances!AY35),"min", MIN(Instances!AY35:Instances!AY35),"max", MAX(Instances!AY35:Instances!AY35),"diff", MAX(Instances!AY35:Instances!AY35)-MIN(Instances!AY35:Instances!AY35))</f>
        <v>0</v>
      </c>
      <c r="AZ35" s="1"/>
      <c r="BA35" s="1" cm="1">
        <f t="array" ref="BA35">_xlfn.SWITCH($A$2,"average", AVERAGE(Instances!BA35:Instances!BA35),"median", MEDIAN(Instances!BA35:Instances!BA35),"min", MIN(Instances!BA35:Instances!BA35),"max", MAX(Instances!BA35:Instances!BA35),"diff", MAX(Instances!BA35:Instances!BA35)-MIN(Instances!BA35:Instances!BA35))</f>
        <v>0</v>
      </c>
      <c r="BB35" s="1" cm="1">
        <f t="array" ref="BB35">_xlfn.SWITCH($A$2,"average", AVERAGE(Instances!BB35:Instances!BB35),"median", MEDIAN(Instances!BB35:Instances!BB35),"min", MIN(Instances!BB35:Instances!BB35),"max", MAX(Instances!BB35:Instances!BB35),"diff", MAX(Instances!BB35:Instances!BB35)-MIN(Instances!BB35:Instances!BB35))</f>
        <v>0</v>
      </c>
      <c r="BC35" s="1" cm="1">
        <f t="array" ref="BC35">_xlfn.SWITCH($A$2,"average", AVERAGE(Instances!BC35:Instances!BC35),"median", MEDIAN(Instances!BC35:Instances!BC35),"min", MIN(Instances!BC35:Instances!BC35),"max", MAX(Instances!BC35:Instances!BC35),"diff", MAX(Instances!BC35:Instances!BC35)-MIN(Instances!BC35:Instances!BC35))</f>
        <v>0</v>
      </c>
      <c r="BD35" s="1" cm="1">
        <f t="array" ref="BD35">_xlfn.SWITCH($A$2,"average", AVERAGE(Instances!BD35:Instances!BD35),"median", MEDIAN(Instances!BD35:Instances!BD35),"min", MIN(Instances!BD35:Instances!BD35),"max", MAX(Instances!BD35:Instances!BD35),"diff", MAX(Instances!BD35:Instances!BD35)-MIN(Instances!BD35:Instances!BD35))</f>
        <v>0</v>
      </c>
      <c r="BE35" s="1" cm="1">
        <f t="array" ref="BE35">_xlfn.SWITCH($A$2,"average", AVERAGE(Instances!BE35:Instances!BE35),"median", MEDIAN(Instances!BE35:Instances!BE35),"min", MIN(Instances!BE35:Instances!BE35),"max", MAX(Instances!BE35:Instances!BE35),"diff", MAX(Instances!BE35:Instances!BE35)-MIN(Instances!BE35:Instances!BE35))</f>
        <v>0</v>
      </c>
      <c r="BF35" s="1" cm="1">
        <f t="array" ref="BF35">_xlfn.SWITCH($A$2,"average", AVERAGE(Instances!BF35:Instances!BF35),"median", MEDIAN(Instances!BF35:Instances!BF35),"min", MIN(Instances!BF35:Instances!BF35),"max", MAX(Instances!BF35:Instances!BF35),"diff", MAX(Instances!BF35:Instances!BF35)-MIN(Instances!BF35:Instances!BF35))</f>
        <v>0</v>
      </c>
      <c r="BG35" s="1" cm="1">
        <f t="array" ref="BG35">_xlfn.SWITCH($A$2,"average", AVERAGE(Instances!BG35:Instances!BG35),"median", MEDIAN(Instances!BG35:Instances!BG35),"min", MIN(Instances!BG35:Instances!BG35),"max", MAX(Instances!BG35:Instances!BG35),"diff", MAX(Instances!BG35:Instances!BG35)-MIN(Instances!BG35:Instances!BG35))</f>
        <v>0</v>
      </c>
      <c r="BH35" s="1" cm="1">
        <f t="array" ref="BH35">_xlfn.SWITCH($A$2,"average", AVERAGE(Instances!BH35:Instances!BH35),"median", MEDIAN(Instances!BH35:Instances!BH35),"min", MIN(Instances!BH35:Instances!BH35),"max", MAX(Instances!BH35:Instances!BH35),"diff", MAX(Instances!BH35:Instances!BH35)-MIN(Instances!BH35:Instances!BH35))</f>
        <v>0</v>
      </c>
      <c r="BI35" s="1" cm="1">
        <f t="array" ref="BI35">_xlfn.SWITCH($A$2,"average", AVERAGE(Instances!BI35:Instances!BI35),"median", MEDIAN(Instances!BI35:Instances!BI35),"min", MIN(Instances!BI35:Instances!BI35),"max", MAX(Instances!BI35:Instances!BI35),"diff", MAX(Instances!BI35:Instances!BI35)-MIN(Instances!BI35:Instances!BI35))</f>
        <v>0</v>
      </c>
      <c r="BJ35" s="1" cm="1">
        <f t="array" ref="BJ35">_xlfn.SWITCH($A$2,"average", AVERAGE(Instances!BJ35:Instances!BJ35),"median", MEDIAN(Instances!BJ35:Instances!BJ35),"min", MIN(Instances!BJ35:Instances!BJ35),"max", MAX(Instances!BJ35:Instances!BJ35),"diff", MAX(Instances!BJ35:Instances!BJ35)-MIN(Instances!BJ35:Instances!BJ35))</f>
        <v>0</v>
      </c>
      <c r="BK35" s="1" cm="1">
        <f t="array" ref="BK35">_xlfn.SWITCH($A$2,"average", AVERAGE(Instances!BK35:Instances!BK35),"median", MEDIAN(Instances!BK35:Instances!BK35),"min", MIN(Instances!BK35:Instances!BK35),"max", MAX(Instances!BK35:Instances!BK35),"diff", MAX(Instances!BK35:Instances!BK35)-MIN(Instances!BK35:Instances!BK35))</f>
        <v>0</v>
      </c>
      <c r="BL35" s="1" cm="1">
        <f t="array" ref="BL35">_xlfn.SWITCH($A$2,"average", AVERAGE(Instances!BL35:Instances!BL35),"median", MEDIAN(Instances!BL35:Instances!BL35),"min", MIN(Instances!BL35:Instances!BL35),"max", MAX(Instances!BL35:Instances!BL35),"diff", MAX(Instances!BL35:Instances!BL35)-MIN(Instances!BL35:Instances!BL35))</f>
        <v>0</v>
      </c>
      <c r="BM35" s="1" cm="1">
        <f t="array" ref="BM35">_xlfn.SWITCH($A$2,"average", AVERAGE(Instances!BM35:Instances!BM35),"median", MEDIAN(Instances!BM35:Instances!BM35),"min", MIN(Instances!BM35:Instances!BM35),"max", MAX(Instances!BM35:Instances!BM35),"diff", MAX(Instances!BM35:Instances!BM35)-MIN(Instances!BM35:Instances!BM35))</f>
        <v>0</v>
      </c>
      <c r="BN35" s="1" cm="1">
        <f t="array" ref="BN35">_xlfn.SWITCH($A$2,"average", AVERAGE(Instances!BN35:Instances!BN35),"median", MEDIAN(Instances!BN35:Instances!BN35),"min", MIN(Instances!BN35:Instances!BN35),"max", MAX(Instances!BN35:Instances!BN35),"diff", MAX(Instances!BN35:Instances!BN35)-MIN(Instances!BN35:Instances!BN35))</f>
        <v>0</v>
      </c>
      <c r="BO35" s="1" cm="1">
        <f t="array" ref="BO35">_xlfn.SWITCH($A$2,"average", AVERAGE(Instances!BO35:Instances!BO35),"median", MEDIAN(Instances!BO35:Instances!BO35),"min", MIN(Instances!BO35:Instances!BO35),"max", MAX(Instances!BO35:Instances!BO35),"diff", MAX(Instances!BO35:Instances!BO35)-MIN(Instances!BO35:Instances!BO35))</f>
        <v>0</v>
      </c>
      <c r="BP35" s="1" cm="1">
        <f t="array" ref="BP35">_xlfn.SWITCH($A$2,"average", AVERAGE(Instances!BP35:Instances!BP35),"median", MEDIAN(Instances!BP35:Instances!BP35),"min", MIN(Instances!BP35:Instances!BP35),"max", MAX(Instances!BP35:Instances!BP35),"diff", MAX(Instances!BP35:Instances!BP35)-MIN(Instances!BP35:Instances!BP35))</f>
        <v>0</v>
      </c>
      <c r="BQ35" s="1" cm="1">
        <f t="array" ref="BQ35">_xlfn.SWITCH($A$2,"average", AVERAGE(Instances!BQ35:Instances!BQ35),"median", MEDIAN(Instances!BQ35:Instances!BQ35),"min", MIN(Instances!BQ35:Instances!BQ35),"max", MAX(Instances!BQ35:Instances!BQ35),"diff", MAX(Instances!BQ35:Instances!BQ35)-MIN(Instances!BQ35:Instances!BQ35))</f>
        <v>0</v>
      </c>
      <c r="BR35" s="1"/>
      <c r="BS35" s="1" cm="1">
        <f t="array" ref="BS35">_xlfn.SWITCH($A$2,"average", AVERAGE(Instances!BS35:Instances!BS35),"median", MEDIAN(Instances!BS35:Instances!BS35),"min", MIN(Instances!BS35:Instances!BS35),"max", MAX(Instances!BS35:Instances!BS35),"diff", MAX(Instances!BS35:Instances!BS35)-MIN(Instances!BS35:Instances!BS35))</f>
        <v>0</v>
      </c>
      <c r="BT35" s="1" cm="1">
        <f t="array" ref="BT35">_xlfn.SWITCH($A$2,"average", AVERAGE(Instances!BT35:Instances!BT35),"median", MEDIAN(Instances!BT35:Instances!BT35),"min", MIN(Instances!BT35:Instances!BT35),"max", MAX(Instances!BT35:Instances!BT35),"diff", MAX(Instances!BT35:Instances!BT35)-MIN(Instances!BT35:Instances!BT35))</f>
        <v>0</v>
      </c>
      <c r="BU35" s="1" cm="1">
        <f t="array" ref="BU35">_xlfn.SWITCH($A$2,"average", AVERAGE(Instances!BU35:Instances!BU35),"median", MEDIAN(Instances!BU35:Instances!BU35),"min", MIN(Instances!BU35:Instances!BU35),"max", MAX(Instances!BU35:Instances!BU35),"diff", MAX(Instances!BU35:Instances!BU35)-MIN(Instances!BU35:Instances!BU35))</f>
        <v>0</v>
      </c>
      <c r="BV35" s="1" cm="1">
        <f t="array" ref="BV35">_xlfn.SWITCH($A$2,"average", AVERAGE(Instances!BV35:Instances!BV35),"median", MEDIAN(Instances!BV35:Instances!BV35),"min", MIN(Instances!BV35:Instances!BV35),"max", MAX(Instances!BV35:Instances!BV35),"diff", MAX(Instances!BV35:Instances!BV35)-MIN(Instances!BV35:Instances!BV35))</f>
        <v>0</v>
      </c>
      <c r="BW35" s="1" cm="1">
        <f t="array" ref="BW35">_xlfn.SWITCH($A$2,"average", AVERAGE(Instances!BW35:Instances!BW35),"median", MEDIAN(Instances!BW35:Instances!BW35),"min", MIN(Instances!BW35:Instances!BW35),"max", MAX(Instances!BW35:Instances!BW35),"diff", MAX(Instances!BW35:Instances!BW35)-MIN(Instances!BW35:Instances!BW35))</f>
        <v>0</v>
      </c>
      <c r="BX35" s="1" cm="1">
        <f t="array" ref="BX35">_xlfn.SWITCH($A$2,"average", AVERAGE(Instances!BX35:Instances!BX35),"median", MEDIAN(Instances!BX35:Instances!BX35),"min", MIN(Instances!BX35:Instances!BX35),"max", MAX(Instances!BX35:Instances!BX35),"diff", MAX(Instances!BX35:Instances!BX35)-MIN(Instances!BX35:Instances!BX35))</f>
        <v>0</v>
      </c>
      <c r="BY35" s="1" cm="1">
        <f t="array" ref="BY35">_xlfn.SWITCH($A$2,"average", AVERAGE(Instances!BY35:Instances!BY35),"median", MEDIAN(Instances!BY35:Instances!BY35),"min", MIN(Instances!BY35:Instances!BY35),"max", MAX(Instances!BY35:Instances!BY35),"diff", MAX(Instances!BY35:Instances!BY35)-MIN(Instances!BY35:Instances!BY35))</f>
        <v>0</v>
      </c>
      <c r="BZ35" s="1" cm="1">
        <f t="array" ref="BZ35">_xlfn.SWITCH($A$2,"average", AVERAGE(Instances!BZ35:Instances!BZ35),"median", MEDIAN(Instances!BZ35:Instances!BZ35),"min", MIN(Instances!BZ35:Instances!BZ35),"max", MAX(Instances!BZ35:Instances!BZ35),"diff", MAX(Instances!BZ35:Instances!BZ35)-MIN(Instances!BZ35:Instances!BZ35))</f>
        <v>0</v>
      </c>
      <c r="CA35" s="1" cm="1">
        <f t="array" ref="CA35">_xlfn.SWITCH($A$2,"average", AVERAGE(Instances!CA35:Instances!CA35),"median", MEDIAN(Instances!CA35:Instances!CA35),"min", MIN(Instances!CA35:Instances!CA35),"max", MAX(Instances!CA35:Instances!CA35),"diff", MAX(Instances!CA35:Instances!CA35)-MIN(Instances!CA35:Instances!CA35))</f>
        <v>0</v>
      </c>
      <c r="CB35" s="1" cm="1">
        <f t="array" ref="CB35">_xlfn.SWITCH($A$2,"average", AVERAGE(Instances!CB35:Instances!CB35),"median", MEDIAN(Instances!CB35:Instances!CB35),"min", MIN(Instances!CB35:Instances!CB35),"max", MAX(Instances!CB35:Instances!CB35),"diff", MAX(Instances!CB35:Instances!CB35)-MIN(Instances!CB35:Instances!CB35))</f>
        <v>0</v>
      </c>
      <c r="CC35" s="1" cm="1">
        <f t="array" ref="CC35">_xlfn.SWITCH($A$2,"average", AVERAGE(Instances!CC35:Instances!CC35),"median", MEDIAN(Instances!CC35:Instances!CC35),"min", MIN(Instances!CC35:Instances!CC35),"max", MAX(Instances!CC35:Instances!CC35),"diff", MAX(Instances!CC35:Instances!CC35)-MIN(Instances!CC35:Instances!CC35))</f>
        <v>0</v>
      </c>
      <c r="CD35" s="1" cm="1">
        <f t="array" ref="CD35">_xlfn.SWITCH($A$2,"average", AVERAGE(Instances!CD35:Instances!CD35),"median", MEDIAN(Instances!CD35:Instances!CD35),"min", MIN(Instances!CD35:Instances!CD35),"max", MAX(Instances!CD35:Instances!CD35),"diff", MAX(Instances!CD35:Instances!CD35)-MIN(Instances!CD35:Instances!CD35))</f>
        <v>0</v>
      </c>
      <c r="CE35" s="1" cm="1">
        <f t="array" ref="CE35">_xlfn.SWITCH($A$2,"average", AVERAGE(Instances!CE35:Instances!CE35),"median", MEDIAN(Instances!CE35:Instances!CE35),"min", MIN(Instances!CE35:Instances!CE35),"max", MAX(Instances!CE35:Instances!CE35),"diff", MAX(Instances!CE35:Instances!CE35)-MIN(Instances!CE35:Instances!CE35))</f>
        <v>0</v>
      </c>
      <c r="CF35" s="1" cm="1">
        <f t="array" ref="CF35">_xlfn.SWITCH($A$2,"average", AVERAGE(Instances!CF35:Instances!CF35),"median", MEDIAN(Instances!CF35:Instances!CF35),"min", MIN(Instances!CF35:Instances!CF35),"max", MAX(Instances!CF35:Instances!CF35),"diff", MAX(Instances!CF35:Instances!CF35)-MIN(Instances!CF35:Instances!CF35))</f>
        <v>0</v>
      </c>
      <c r="CG35" s="1" cm="1">
        <f t="array" ref="CG35">_xlfn.SWITCH($A$2,"average", AVERAGE(Instances!CG35:Instances!CG35),"median", MEDIAN(Instances!CG35:Instances!CG35),"min", MIN(Instances!CG35:Instances!CG35),"max", MAX(Instances!CG35:Instances!CG35),"diff", MAX(Instances!CG35:Instances!CG35)-MIN(Instances!CG35:Instances!CG35))</f>
        <v>0</v>
      </c>
      <c r="CH35" s="1" cm="1">
        <f t="array" ref="CH35">_xlfn.SWITCH($A$2,"average", AVERAGE(Instances!CH35:Instances!CH35),"median", MEDIAN(Instances!CH35:Instances!CH35),"min", MIN(Instances!CH35:Instances!CH35),"max", MAX(Instances!CH35:Instances!CH35),"diff", MAX(Instances!CH35:Instances!CH35)-MIN(Instances!CH35:Instances!CH35))</f>
        <v>0</v>
      </c>
      <c r="CI35" s="1" cm="1">
        <f t="array" ref="CI35">_xlfn.SWITCH($A$2,"average", AVERAGE(Instances!CI35:Instances!CI35),"median", MEDIAN(Instances!CI35:Instances!CI35),"min", MIN(Instances!CI35:Instances!CI35),"max", MAX(Instances!CI35:Instances!CI35),"diff", MAX(Instances!CI35:Instances!CI35)-MIN(Instances!CI35:Instances!CI35))</f>
        <v>0</v>
      </c>
      <c r="CJ35" s="1"/>
      <c r="CK35" s="1" cm="1">
        <f t="array" ref="CK35">_xlfn.SWITCH($A$2,"average", AVERAGE(Instances!CK35:Instances!CK35),"median", MEDIAN(Instances!CK35:Instances!CK35),"min", MIN(Instances!CK35:Instances!CK35),"max", MAX(Instances!CK35:Instances!CK35),"diff", MAX(Instances!CK35:Instances!CK35)-MIN(Instances!CK35:Instances!CK35))</f>
        <v>0</v>
      </c>
      <c r="CL35" s="1" cm="1">
        <f t="array" ref="CL35">_xlfn.SWITCH($A$2,"average", AVERAGE(Instances!CL35:Instances!CL35),"median", MEDIAN(Instances!CL35:Instances!CL35),"min", MIN(Instances!CL35:Instances!CL35),"max", MAX(Instances!CL35:Instances!CL35),"diff", MAX(Instances!CL35:Instances!CL35)-MIN(Instances!CL35:Instances!CL35))</f>
        <v>0</v>
      </c>
      <c r="CM35" s="1" cm="1">
        <f t="array" ref="CM35">_xlfn.SWITCH($A$2,"average", AVERAGE(Instances!CM35:Instances!CM35),"median", MEDIAN(Instances!CM35:Instances!CM35),"min", MIN(Instances!CM35:Instances!CM35),"max", MAX(Instances!CM35:Instances!CM35),"diff", MAX(Instances!CM35:Instances!CM35)-MIN(Instances!CM35:Instances!CM35))</f>
        <v>0</v>
      </c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 cm="1">
        <f t="array" ref="DX35">_xlfn.SWITCH($A$2,"average", AVERAGE(Instances!DX35:Instances!DX35),"median", MEDIAN(Instances!DX35:Instances!DX35),"min", MIN(Instances!DX35:Instances!DX35),"max", MAX(Instances!DX35:Instances!DX35),"diff", MAX(Instances!DX35:Instances!DX35)-MIN(Instances!DX35:Instances!DX35))</f>
        <v>0</v>
      </c>
      <c r="DY35" s="1" cm="1">
        <f t="array" ref="DY35">_xlfn.SWITCH($A$2,"average", AVERAGE(Instances!DY35:Instances!DY35),"median", MEDIAN(Instances!DY35:Instances!DY35),"min", MIN(Instances!DY35:Instances!DY35),"max", MAX(Instances!DY35:Instances!DY35),"diff", MAX(Instances!DY35:Instances!DY35)-MIN(Instances!DY35:Instances!DY35))</f>
        <v>0</v>
      </c>
      <c r="DZ35" s="1" cm="1">
        <f t="array" ref="DZ35">_xlfn.SWITCH($A$2,"average", AVERAGE(Instances!DZ35:Instances!DZ35),"median", MEDIAN(Instances!DZ35:Instances!DZ35),"min", MIN(Instances!DZ35:Instances!DZ35),"max", MAX(Instances!DZ35:Instances!DZ35),"diff", MAX(Instances!DZ35:Instances!DZ35)-MIN(Instances!DZ35:Instances!DZ35))</f>
        <v>0</v>
      </c>
      <c r="EA35" s="1" cm="1">
        <f t="array" ref="EA35">_xlfn.SWITCH($A$2,"average", AVERAGE(Instances!EA35:Instances!EA35),"median", MEDIAN(Instances!EA35:Instances!EA35),"min", MIN(Instances!EA35:Instances!EA35),"max", MAX(Instances!EA35:Instances!EA35),"diff", MAX(Instances!EA35:Instances!EA35)-MIN(Instances!EA35:Instances!EA35))</f>
        <v>0</v>
      </c>
      <c r="EB35" s="1" cm="1">
        <f t="array" ref="EB35">_xlfn.SWITCH($A$2,"average", AVERAGE(Instances!EB35:Instances!EB35),"median", MEDIAN(Instances!EB35:Instances!EB35),"min", MIN(Instances!EB35:Instances!EB35),"max", MAX(Instances!EB35:Instances!EB35),"diff", MAX(Instances!EB35:Instances!EB35)-MIN(Instances!EB35:Instances!EB35))</f>
        <v>0</v>
      </c>
      <c r="EC35" s="1" cm="1">
        <f t="array" ref="EC35">_xlfn.SWITCH($A$2,"average", AVERAGE(Instances!EC35:Instances!EC35),"median", MEDIAN(Instances!EC35:Instances!EC35),"min", MIN(Instances!EC35:Instances!EC35),"max", MAX(Instances!EC35:Instances!EC35),"diff", MAX(Instances!EC35:Instances!EC35)-MIN(Instances!EC35:Instances!EC35))</f>
        <v>0</v>
      </c>
      <c r="ED35" s="1" cm="1">
        <f t="array" ref="ED35">_xlfn.SWITCH($A$2,"average", AVERAGE(Instances!ED35:Instances!ED35),"median", MEDIAN(Instances!ED35:Instances!ED35),"min", MIN(Instances!ED35:Instances!ED35),"max", MAX(Instances!ED35:Instances!ED35),"diff", MAX(Instances!ED35:Instances!ED35)-MIN(Instances!ED35:Instances!ED35))</f>
        <v>0</v>
      </c>
      <c r="EE35" s="1" cm="1">
        <f t="array" ref="EE35">_xlfn.SWITCH($A$2,"average", AVERAGE(Instances!EE35:Instances!EE35),"median", MEDIAN(Instances!EE35:Instances!EE35),"min", MIN(Instances!EE35:Instances!EE35),"max", MAX(Instances!EE35:Instances!EE35),"diff", MAX(Instances!EE35:Instances!EE35)-MIN(Instances!EE35:Instances!EE35))</f>
        <v>0</v>
      </c>
      <c r="EF35" s="1" cm="1">
        <f t="array" ref="EF35">_xlfn.SWITCH($A$2,"average", AVERAGE(Instances!EF35:Instances!EF35),"median", MEDIAN(Instances!EF35:Instances!EF35),"min", MIN(Instances!EF35:Instances!EF35),"max", MAX(Instances!EF35:Instances!EF35),"diff", MAX(Instances!EF35:Instances!EF35)-MIN(Instances!EF35:Instances!EF35))</f>
        <v>0</v>
      </c>
      <c r="EG35" s="1" cm="1">
        <f t="array" ref="EG35">_xlfn.SWITCH($A$2,"average", AVERAGE(Instances!EG35:Instances!EG35),"median", MEDIAN(Instances!EG35:Instances!EG35),"min", MIN(Instances!EG35:Instances!EG35),"max", MAX(Instances!EG35:Instances!EG35),"diff", MAX(Instances!EG35:Instances!EG35)-MIN(Instances!EG35:Instances!EG35))</f>
        <v>0</v>
      </c>
      <c r="EH35" s="1" cm="1">
        <f t="array" ref="EH35">_xlfn.SWITCH($A$2,"average", AVERAGE(Instances!EH35:Instances!EH35),"median", MEDIAN(Instances!EH35:Instances!EH35),"min", MIN(Instances!EH35:Instances!EH35),"max", MAX(Instances!EH35:Instances!EH35),"diff", MAX(Instances!EH35:Instances!EH35)-MIN(Instances!EH35:Instances!EH35))</f>
        <v>0</v>
      </c>
      <c r="EI35" s="1" cm="1">
        <f t="array" ref="EI35">_xlfn.SWITCH($A$2,"average", AVERAGE(Instances!EI35:Instances!EI35),"median", MEDIAN(Instances!EI35:Instances!EI35),"min", MIN(Instances!EI35:Instances!EI35),"max", MAX(Instances!EI35:Instances!EI35),"diff", MAX(Instances!EI35:Instances!EI35)-MIN(Instances!EI35:Instances!EI35))</f>
        <v>0</v>
      </c>
      <c r="EJ35" s="1" cm="1">
        <f t="array" ref="EJ35">_xlfn.SWITCH($A$2,"average", AVERAGE(Instances!EJ35:Instances!EJ35),"median", MEDIAN(Instances!EJ35:Instances!EJ35),"min", MIN(Instances!EJ35:Instances!EJ35),"max", MAX(Instances!EJ35:Instances!EJ35),"diff", MAX(Instances!EJ35:Instances!EJ35)-MIN(Instances!EJ35:Instances!EJ35))</f>
        <v>0</v>
      </c>
      <c r="EK35" s="1" cm="1">
        <f t="array" ref="EK35">_xlfn.SWITCH($A$2,"average", AVERAGE(Instances!EK35:Instances!EK35),"median", MEDIAN(Instances!EK35:Instances!EK35),"min", MIN(Instances!EK35:Instances!EK35),"max", MAX(Instances!EK35:Instances!EK35),"diff", MAX(Instances!EK35:Instances!EK35)-MIN(Instances!EK35:Instances!EK35))</f>
        <v>0</v>
      </c>
      <c r="EL35" s="1"/>
      <c r="EM35" s="1" cm="1">
        <f t="array" ref="EM35">_xlfn.SWITCH($A$2,"average", AVERAGE(Instances!EM35:Instances!EM35),"median", MEDIAN(Instances!EM35:Instances!EM35),"min", MIN(Instances!EM35:Instances!EM35),"max", MAX(Instances!EM35:Instances!EM35),"diff", MAX(Instances!EM35:Instances!EM35)-MIN(Instances!EM35:Instances!EM35))</f>
        <v>0</v>
      </c>
      <c r="EN35" s="1" cm="1">
        <f t="array" ref="EN35">_xlfn.SWITCH($A$2,"average", AVERAGE(Instances!EN35:Instances!EN35),"median", MEDIAN(Instances!EN35:Instances!EN35),"min", MIN(Instances!EN35:Instances!EN35),"max", MAX(Instances!EN35:Instances!EN35),"diff", MAX(Instances!EN35:Instances!EN35)-MIN(Instances!EN35:Instances!EN35))</f>
        <v>0</v>
      </c>
      <c r="EO35" s="1" cm="1">
        <f t="array" ref="EO35">_xlfn.SWITCH($A$2,"average", AVERAGE(Instances!EO35:Instances!EO35),"median", MEDIAN(Instances!EO35:Instances!EO35),"min", MIN(Instances!EO35:Instances!EO35),"max", MAX(Instances!EO35:Instances!EO35),"diff", MAX(Instances!EO35:Instances!EO35)-MIN(Instances!EO35:Instances!EO35))</f>
        <v>0</v>
      </c>
      <c r="EP35" s="1" cm="1">
        <f t="array" ref="EP35">_xlfn.SWITCH($A$2,"average", AVERAGE(Instances!EP35:Instances!EP35),"median", MEDIAN(Instances!EP35:Instances!EP35),"min", MIN(Instances!EP35:Instances!EP35),"max", MAX(Instances!EP35:Instances!EP35),"diff", MAX(Instances!EP35:Instances!EP35)-MIN(Instances!EP35:Instances!EP35))</f>
        <v>0</v>
      </c>
      <c r="EQ35" s="1" cm="1">
        <f t="array" ref="EQ35">_xlfn.SWITCH($A$2,"average", AVERAGE(Instances!EQ35:Instances!EQ35),"median", MEDIAN(Instances!EQ35:Instances!EQ35),"min", MIN(Instances!EQ35:Instances!EQ35),"max", MAX(Instances!EQ35:Instances!EQ35),"diff", MAX(Instances!EQ35:Instances!EQ35)-MIN(Instances!EQ35:Instances!EQ35))</f>
        <v>0</v>
      </c>
      <c r="ER35" s="1" cm="1">
        <f t="array" ref="ER35">_xlfn.SWITCH($A$2,"average", AVERAGE(Instances!ER35:Instances!ER35),"median", MEDIAN(Instances!ER35:Instances!ER35),"min", MIN(Instances!ER35:Instances!ER35),"max", MAX(Instances!ER35:Instances!ER35),"diff", MAX(Instances!ER35:Instances!ER35)-MIN(Instances!ER35:Instances!ER35))</f>
        <v>0</v>
      </c>
      <c r="ES35" s="1" cm="1">
        <f t="array" ref="ES35">_xlfn.SWITCH($A$2,"average", AVERAGE(Instances!ES35:Instances!ES35),"median", MEDIAN(Instances!ES35:Instances!ES35),"min", MIN(Instances!ES35:Instances!ES35),"max", MAX(Instances!ES35:Instances!ES35),"diff", MAX(Instances!ES35:Instances!ES35)-MIN(Instances!ES35:Instances!ES35))</f>
        <v>0</v>
      </c>
      <c r="ET35" s="1" cm="1">
        <f t="array" ref="ET35">_xlfn.SWITCH($A$2,"average", AVERAGE(Instances!ET35:Instances!ET35),"median", MEDIAN(Instances!ET35:Instances!ET35),"min", MIN(Instances!ET35:Instances!ET35),"max", MAX(Instances!ET35:Instances!ET35),"diff", MAX(Instances!ET35:Instances!ET35)-MIN(Instances!ET35:Instances!ET35))</f>
        <v>0</v>
      </c>
      <c r="EU35" s="1" cm="1">
        <f t="array" ref="EU35">_xlfn.SWITCH($A$2,"average", AVERAGE(Instances!EU35:Instances!EU35),"median", MEDIAN(Instances!EU35:Instances!EU35),"min", MIN(Instances!EU35:Instances!EU35),"max", MAX(Instances!EU35:Instances!EU35),"diff", MAX(Instances!EU35:Instances!EU35)-MIN(Instances!EU35:Instances!EU35))</f>
        <v>0</v>
      </c>
      <c r="EV35" s="1" cm="1">
        <f t="array" ref="EV35">_xlfn.SWITCH($A$2,"average", AVERAGE(Instances!EV35:Instances!EV35),"median", MEDIAN(Instances!EV35:Instances!EV35),"min", MIN(Instances!EV35:Instances!EV35),"max", MAX(Instances!EV35:Instances!EV35),"diff", MAX(Instances!EV35:Instances!EV35)-MIN(Instances!EV35:Instances!EV35))</f>
        <v>0</v>
      </c>
      <c r="EW35" s="1" cm="1">
        <f t="array" ref="EW35">_xlfn.SWITCH($A$2,"average", AVERAGE(Instances!EW35:Instances!EW35),"median", MEDIAN(Instances!EW35:Instances!EW35),"min", MIN(Instances!EW35:Instances!EW35),"max", MAX(Instances!EW35:Instances!EW35),"diff", MAX(Instances!EW35:Instances!EW35)-MIN(Instances!EW35:Instances!EW35))</f>
        <v>0</v>
      </c>
      <c r="EX35" s="1" cm="1">
        <f t="array" ref="EX35">_xlfn.SWITCH($A$2,"average", AVERAGE(Instances!EX35:Instances!EX35),"median", MEDIAN(Instances!EX35:Instances!EX35),"min", MIN(Instances!EX35:Instances!EX35),"max", MAX(Instances!EX35:Instances!EX35),"diff", MAX(Instances!EX35:Instances!EX35)-MIN(Instances!EX35:Instances!EX35))</f>
        <v>0</v>
      </c>
      <c r="EY35" s="1" cm="1">
        <f t="array" ref="EY35">_xlfn.SWITCH($A$2,"average", AVERAGE(Instances!EY35:Instances!EY35),"median", MEDIAN(Instances!EY35:Instances!EY35),"min", MIN(Instances!EY35:Instances!EY35),"max", MAX(Instances!EY35:Instances!EY35),"diff", MAX(Instances!EY35:Instances!EY35)-MIN(Instances!EY35:Instances!EY35))</f>
        <v>0</v>
      </c>
      <c r="EZ35" s="1" cm="1">
        <f t="array" ref="EZ35">_xlfn.SWITCH($A$2,"average", AVERAGE(Instances!EZ35:Instances!EZ35),"median", MEDIAN(Instances!EZ35:Instances!EZ35),"min", MIN(Instances!EZ35:Instances!EZ35),"max", MAX(Instances!EZ35:Instances!EZ35),"diff", MAX(Instances!EZ35:Instances!EZ35)-MIN(Instances!EZ35:Instances!EZ35))</f>
        <v>0</v>
      </c>
      <c r="FA35" s="1" cm="1">
        <f t="array" ref="FA35">_xlfn.SWITCH($A$2,"average", AVERAGE(Instances!FA35:Instances!FA35),"median", MEDIAN(Instances!FA35:Instances!FA35),"min", MIN(Instances!FA35:Instances!FA35),"max", MAX(Instances!FA35:Instances!FA35),"diff", MAX(Instances!FA35:Instances!FA35)-MIN(Instances!FA35:Instances!FA35))</f>
        <v>0</v>
      </c>
      <c r="FB35" s="1" cm="1">
        <f t="array" ref="FB35">_xlfn.SWITCH($A$2,"average", AVERAGE(Instances!FB35:Instances!FB35),"median", MEDIAN(Instances!FB35:Instances!FB35),"min", MIN(Instances!FB35:Instances!FB35),"max", MAX(Instances!FB35:Instances!FB35),"diff", MAX(Instances!FB35:Instances!FB35)-MIN(Instances!FB35:Instances!FB35))</f>
        <v>0</v>
      </c>
      <c r="FC35" s="1" cm="1">
        <f t="array" ref="FC35">_xlfn.SWITCH($A$2,"average", AVERAGE(Instances!FC35:Instances!FC35),"median", MEDIAN(Instances!FC35:Instances!FC35),"min", MIN(Instances!FC35:Instances!FC35),"max", MAX(Instances!FC35:Instances!FC35),"diff", MAX(Instances!FC35:Instances!FC35)-MIN(Instances!FC35:Instances!FC35))</f>
        <v>0</v>
      </c>
      <c r="FD35" s="1"/>
      <c r="FE35" s="1" cm="1">
        <f t="array" ref="FE35">_xlfn.SWITCH($A$2,"average", AVERAGE(Instances!FE35:Instances!FE35),"median", MEDIAN(Instances!FE35:Instances!FE35),"min", MIN(Instances!FE35:Instances!FE35),"max", MAX(Instances!FE35:Instances!FE35),"diff", MAX(Instances!FE35:Instances!FE35)-MIN(Instances!FE35:Instances!FE35))</f>
        <v>0</v>
      </c>
      <c r="FF35" s="1" cm="1">
        <f t="array" ref="FF35">_xlfn.SWITCH($A$2,"average", AVERAGE(Instances!FF35:Instances!FF35),"median", MEDIAN(Instances!FF35:Instances!FF35),"min", MIN(Instances!FF35:Instances!FF35),"max", MAX(Instances!FF35:Instances!FF35),"diff", MAX(Instances!FF35:Instances!FF35)-MIN(Instances!FF35:Instances!FF35))</f>
        <v>0</v>
      </c>
      <c r="FG35" s="1" cm="1">
        <f t="array" ref="FG35">_xlfn.SWITCH($A$2,"average", AVERAGE(Instances!FG35:Instances!FG35),"median", MEDIAN(Instances!FG35:Instances!FG35),"min", MIN(Instances!FG35:Instances!FG35),"max", MAX(Instances!FG35:Instances!FG35),"diff", MAX(Instances!FG35:Instances!FG35)-MIN(Instances!FG35:Instances!FG35))</f>
        <v>0</v>
      </c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 cm="1">
        <f t="array" ref="FZ35">_xlfn.SWITCH($A$2,"average", AVERAGE(Instances!FZ35:Instances!FZ35),"median", MEDIAN(Instances!FZ35:Instances!FZ35),"min", MIN(Instances!FZ35:Instances!FZ35),"max", MAX(Instances!FZ35:Instances!FZ35),"diff", MAX(Instances!FZ35:Instances!FZ35)-MIN(Instances!FZ35:Instances!FZ35))</f>
        <v>0</v>
      </c>
      <c r="GA35" s="1" cm="1">
        <f t="array" ref="GA35">_xlfn.SWITCH($A$2,"average", AVERAGE(Instances!GA35:Instances!GA35),"median", MEDIAN(Instances!GA35:Instances!GA35),"min", MIN(Instances!GA35:Instances!GA35),"max", MAX(Instances!GA35:Instances!GA35),"diff", MAX(Instances!GA35:Instances!GA35)-MIN(Instances!GA35:Instances!GA35))</f>
        <v>0</v>
      </c>
      <c r="GB35" s="1" cm="1">
        <f t="array" ref="GB35">_xlfn.SWITCH($A$2,"average", AVERAGE(Instances!GB35:Instances!GB35),"median", MEDIAN(Instances!GB35:Instances!GB35),"min", MIN(Instances!GB35:Instances!GB35),"max", MAX(Instances!GB35:Instances!GB35),"diff", MAX(Instances!GB35:Instances!GB35)-MIN(Instances!GB35:Instances!GB35))</f>
        <v>0</v>
      </c>
      <c r="GC35" s="1" cm="1">
        <f t="array" ref="GC35">_xlfn.SWITCH($A$2,"average", AVERAGE(Instances!GC35:Instances!GC35),"median", MEDIAN(Instances!GC35:Instances!GC35),"min", MIN(Instances!GC35:Instances!GC35),"max", MAX(Instances!GC35:Instances!GC35),"diff", MAX(Instances!GC35:Instances!GC35)-MIN(Instances!GC35:Instances!GC35))</f>
        <v>0</v>
      </c>
      <c r="GD35" s="1" cm="1">
        <f t="array" ref="GD35">_xlfn.SWITCH($A$2,"average", AVERAGE(Instances!GD35:Instances!GD35),"median", MEDIAN(Instances!GD35:Instances!GD35),"min", MIN(Instances!GD35:Instances!GD35),"max", MAX(Instances!GD35:Instances!GD35),"diff", MAX(Instances!GD35:Instances!GD35)-MIN(Instances!GD35:Instances!GD35))</f>
        <v>0</v>
      </c>
      <c r="GE35" s="1" cm="1">
        <f t="array" ref="GE35">_xlfn.SWITCH($A$2,"average", AVERAGE(Instances!GE35:Instances!GE35),"median", MEDIAN(Instances!GE35:Instances!GE35),"min", MIN(Instances!GE35:Instances!GE35),"max", MAX(Instances!GE35:Instances!GE35),"diff", MAX(Instances!GE35:Instances!GE35)-MIN(Instances!GE35:Instances!GE35))</f>
        <v>0</v>
      </c>
      <c r="GF35" s="1" cm="1">
        <f t="array" ref="GF35">_xlfn.SWITCH($A$2,"average", AVERAGE(Instances!GF35:Instances!GF35),"median", MEDIAN(Instances!GF35:Instances!GF35),"min", MIN(Instances!GF35:Instances!GF35),"max", MAX(Instances!GF35:Instances!GF35),"diff", MAX(Instances!GF35:Instances!GF35)-MIN(Instances!GF35:Instances!GF35))</f>
        <v>0</v>
      </c>
      <c r="GG35" s="1" cm="1">
        <f t="array" ref="GG35">_xlfn.SWITCH($A$2,"average", AVERAGE(Instances!GG35:Instances!GG35),"median", MEDIAN(Instances!GG35:Instances!GG35),"min", MIN(Instances!GG35:Instances!GG35),"max", MAX(Instances!GG35:Instances!GG35),"diff", MAX(Instances!GG35:Instances!GG35)-MIN(Instances!GG35:Instances!GG35))</f>
        <v>0</v>
      </c>
      <c r="GH35" s="1" cm="1">
        <f t="array" ref="GH35">_xlfn.SWITCH($A$2,"average", AVERAGE(Instances!GH35:Instances!GH35),"median", MEDIAN(Instances!GH35:Instances!GH35),"min", MIN(Instances!GH35:Instances!GH35),"max", MAX(Instances!GH35:Instances!GH35),"diff", MAX(Instances!GH35:Instances!GH35)-MIN(Instances!GH35:Instances!GH35))</f>
        <v>0</v>
      </c>
      <c r="GI35" s="1" cm="1">
        <f t="array" ref="GI35">_xlfn.SWITCH($A$2,"average", AVERAGE(Instances!GI35:Instances!GI35),"median", MEDIAN(Instances!GI35:Instances!GI35),"min", MIN(Instances!GI35:Instances!GI35),"max", MAX(Instances!GI35:Instances!GI35),"diff", MAX(Instances!GI35:Instances!GI35)-MIN(Instances!GI35:Instances!GI35))</f>
        <v>0</v>
      </c>
      <c r="GJ35" s="1" cm="1">
        <f t="array" ref="GJ35">_xlfn.SWITCH($A$2,"average", AVERAGE(Instances!GJ35:Instances!GJ35),"median", MEDIAN(Instances!GJ35:Instances!GJ35),"min", MIN(Instances!GJ35:Instances!GJ35),"max", MAX(Instances!GJ35:Instances!GJ35),"diff", MAX(Instances!GJ35:Instances!GJ35)-MIN(Instances!GJ35:Instances!GJ35))</f>
        <v>0</v>
      </c>
      <c r="GK35" s="1" cm="1">
        <f t="array" ref="GK35">_xlfn.SWITCH($A$2,"average", AVERAGE(Instances!GK35:Instances!GK35),"median", MEDIAN(Instances!GK35:Instances!GK35),"min", MIN(Instances!GK35:Instances!GK35),"max", MAX(Instances!GK35:Instances!GK35),"diff", MAX(Instances!GK35:Instances!GK35)-MIN(Instances!GK35:Instances!GK35))</f>
        <v>0</v>
      </c>
      <c r="GL35" s="1" cm="1">
        <f t="array" ref="GL35">_xlfn.SWITCH($A$2,"average", AVERAGE(Instances!GL35:Instances!GL35),"median", MEDIAN(Instances!GL35:Instances!GL35),"min", MIN(Instances!GL35:Instances!GL35),"max", MAX(Instances!GL35:Instances!GL35),"diff", MAX(Instances!GL35:Instances!GL35)-MIN(Instances!GL35:Instances!GL35))</f>
        <v>0</v>
      </c>
      <c r="GM35" s="1" cm="1">
        <f t="array" ref="GM35">_xlfn.SWITCH($A$2,"average", AVERAGE(Instances!GM35:Instances!GM35),"median", MEDIAN(Instances!GM35:Instances!GM35),"min", MIN(Instances!GM35:Instances!GM35),"max", MAX(Instances!GM35:Instances!GM35),"diff", MAX(Instances!GM35:Instances!GM35)-MIN(Instances!GM35:Instances!GM35))</f>
        <v>0</v>
      </c>
      <c r="GN35" s="1"/>
      <c r="GO35" s="1" cm="1">
        <f t="array" ref="GO35">_xlfn.SWITCH($A$2,"average", AVERAGE(Instances!GO35:Instances!GO35),"median", MEDIAN(Instances!GO35:Instances!GO35),"min", MIN(Instances!GO35:Instances!GO35),"max", MAX(Instances!GO35:Instances!GO35),"diff", MAX(Instances!GO35:Instances!GO35)-MIN(Instances!GO35:Instances!GO35))</f>
        <v>0</v>
      </c>
      <c r="GP35" s="1" cm="1">
        <f t="array" ref="GP35">_xlfn.SWITCH($A$2,"average", AVERAGE(Instances!GP35:Instances!GP35),"median", MEDIAN(Instances!GP35:Instances!GP35),"min", MIN(Instances!GP35:Instances!GP35),"max", MAX(Instances!GP35:Instances!GP35),"diff", MAX(Instances!GP35:Instances!GP35)-MIN(Instances!GP35:Instances!GP35))</f>
        <v>0</v>
      </c>
      <c r="GQ35" s="1" cm="1">
        <f t="array" ref="GQ35">_xlfn.SWITCH($A$2,"average", AVERAGE(Instances!GQ35:Instances!GQ35),"median", MEDIAN(Instances!GQ35:Instances!GQ35),"min", MIN(Instances!GQ35:Instances!GQ35),"max", MAX(Instances!GQ35:Instances!GQ35),"diff", MAX(Instances!GQ35:Instances!GQ35)-MIN(Instances!GQ35:Instances!GQ35))</f>
        <v>0</v>
      </c>
      <c r="GR35" s="1" cm="1">
        <f t="array" ref="GR35">_xlfn.SWITCH($A$2,"average", AVERAGE(Instances!GR35:Instances!GR35),"median", MEDIAN(Instances!GR35:Instances!GR35),"min", MIN(Instances!GR35:Instances!GR35),"max", MAX(Instances!GR35:Instances!GR35),"diff", MAX(Instances!GR35:Instances!GR35)-MIN(Instances!GR35:Instances!GR35))</f>
        <v>0</v>
      </c>
      <c r="GS35" s="1" cm="1">
        <f t="array" ref="GS35">_xlfn.SWITCH($A$2,"average", AVERAGE(Instances!GS35:Instances!GS35),"median", MEDIAN(Instances!GS35:Instances!GS35),"min", MIN(Instances!GS35:Instances!GS35),"max", MAX(Instances!GS35:Instances!GS35),"diff", MAX(Instances!GS35:Instances!GS35)-MIN(Instances!GS35:Instances!GS35))</f>
        <v>0</v>
      </c>
      <c r="GT35" s="1" cm="1">
        <f t="array" ref="GT35">_xlfn.SWITCH($A$2,"average", AVERAGE(Instances!GT35:Instances!GT35),"median", MEDIAN(Instances!GT35:Instances!GT35),"min", MIN(Instances!GT35:Instances!GT35),"max", MAX(Instances!GT35:Instances!GT35),"diff", MAX(Instances!GT35:Instances!GT35)-MIN(Instances!GT35:Instances!GT35))</f>
        <v>0</v>
      </c>
      <c r="GU35" s="1" cm="1">
        <f t="array" ref="GU35">_xlfn.SWITCH($A$2,"average", AVERAGE(Instances!GU35:Instances!GU35),"median", MEDIAN(Instances!GU35:Instances!GU35),"min", MIN(Instances!GU35:Instances!GU35),"max", MAX(Instances!GU35:Instances!GU35),"diff", MAX(Instances!GU35:Instances!GU35)-MIN(Instances!GU35:Instances!GU35))</f>
        <v>0</v>
      </c>
      <c r="GV35" s="1" cm="1">
        <f t="array" ref="GV35">_xlfn.SWITCH($A$2,"average", AVERAGE(Instances!GV35:Instances!GV35),"median", MEDIAN(Instances!GV35:Instances!GV35),"min", MIN(Instances!GV35:Instances!GV35),"max", MAX(Instances!GV35:Instances!GV35),"diff", MAX(Instances!GV35:Instances!GV35)-MIN(Instances!GV35:Instances!GV35))</f>
        <v>0</v>
      </c>
      <c r="GW35" s="1" cm="1">
        <f t="array" ref="GW35">_xlfn.SWITCH($A$2,"average", AVERAGE(Instances!GW35:Instances!GW35),"median", MEDIAN(Instances!GW35:Instances!GW35),"min", MIN(Instances!GW35:Instances!GW35),"max", MAX(Instances!GW35:Instances!GW35),"diff", MAX(Instances!GW35:Instances!GW35)-MIN(Instances!GW35:Instances!GW35))</f>
        <v>0</v>
      </c>
      <c r="GX35" s="1" cm="1">
        <f t="array" ref="GX35">_xlfn.SWITCH($A$2,"average", AVERAGE(Instances!GX35:Instances!GX35),"median", MEDIAN(Instances!GX35:Instances!GX35),"min", MIN(Instances!GX35:Instances!GX35),"max", MAX(Instances!GX35:Instances!GX35),"diff", MAX(Instances!GX35:Instances!GX35)-MIN(Instances!GX35:Instances!GX35))</f>
        <v>0</v>
      </c>
      <c r="GY35" s="1" cm="1">
        <f t="array" ref="GY35">_xlfn.SWITCH($A$2,"average", AVERAGE(Instances!GY35:Instances!GY35),"median", MEDIAN(Instances!GY35:Instances!GY35),"min", MIN(Instances!GY35:Instances!GY35),"max", MAX(Instances!GY35:Instances!GY35),"diff", MAX(Instances!GY35:Instances!GY35)-MIN(Instances!GY35:Instances!GY35))</f>
        <v>0</v>
      </c>
      <c r="GZ35" s="1" cm="1">
        <f t="array" ref="GZ35">_xlfn.SWITCH($A$2,"average", AVERAGE(Instances!GZ35:Instances!GZ35),"median", MEDIAN(Instances!GZ35:Instances!GZ35),"min", MIN(Instances!GZ35:Instances!GZ35),"max", MAX(Instances!GZ35:Instances!GZ35),"diff", MAX(Instances!GZ35:Instances!GZ35)-MIN(Instances!GZ35:Instances!GZ35))</f>
        <v>0</v>
      </c>
      <c r="HA35" s="1" cm="1">
        <f t="array" ref="HA35">_xlfn.SWITCH($A$2,"average", AVERAGE(Instances!HA35:Instances!HA35),"median", MEDIAN(Instances!HA35:Instances!HA35),"min", MIN(Instances!HA35:Instances!HA35),"max", MAX(Instances!HA35:Instances!HA35),"diff", MAX(Instances!HA35:Instances!HA35)-MIN(Instances!HA35:Instances!HA35))</f>
        <v>0</v>
      </c>
      <c r="HB35" s="1" cm="1">
        <f t="array" ref="HB35">_xlfn.SWITCH($A$2,"average", AVERAGE(Instances!HB35:Instances!HB35),"median", MEDIAN(Instances!HB35:Instances!HB35),"min", MIN(Instances!HB35:Instances!HB35),"max", MAX(Instances!HB35:Instances!HB35),"diff", MAX(Instances!HB35:Instances!HB35)-MIN(Instances!HB35:Instances!HB35))</f>
        <v>0</v>
      </c>
      <c r="HC35" s="1" cm="1">
        <f t="array" ref="HC35">_xlfn.SWITCH($A$2,"average", AVERAGE(Instances!HC35:Instances!HC35),"median", MEDIAN(Instances!HC35:Instances!HC35),"min", MIN(Instances!HC35:Instances!HC35),"max", MAX(Instances!HC35:Instances!HC35),"diff", MAX(Instances!HC35:Instances!HC35)-MIN(Instances!HC35:Instances!HC35))</f>
        <v>0</v>
      </c>
      <c r="HD35" s="1" cm="1">
        <f t="array" ref="HD35">_xlfn.SWITCH($A$2,"average", AVERAGE(Instances!HD35:Instances!HD35),"median", MEDIAN(Instances!HD35:Instances!HD35),"min", MIN(Instances!HD35:Instances!HD35),"max", MAX(Instances!HD35:Instances!HD35),"diff", MAX(Instances!HD35:Instances!HD35)-MIN(Instances!HD35:Instances!HD35))</f>
        <v>0</v>
      </c>
      <c r="HE35" s="1" cm="1">
        <f t="array" ref="HE35">_xlfn.SWITCH($A$2,"average", AVERAGE(Instances!HE35:Instances!HE35),"median", MEDIAN(Instances!HE35:Instances!HE35),"min", MIN(Instances!HE35:Instances!HE35),"max", MAX(Instances!HE35:Instances!HE35),"diff", MAX(Instances!HE35:Instances!HE35)-MIN(Instances!HE35:Instances!HE35))</f>
        <v>0</v>
      </c>
      <c r="HF35" s="1"/>
      <c r="HG35" s="1" cm="1">
        <f t="array" ref="HG35">_xlfn.SWITCH($A$2,"average", AVERAGE(Instances!HG35:Instances!HG35),"median", MEDIAN(Instances!HG35:Instances!HG35),"min", MIN(Instances!HG35:Instances!HG35),"max", MAX(Instances!HG35:Instances!HG35),"diff", MAX(Instances!HG35:Instances!HG35)-MIN(Instances!HG35:Instances!HG35))</f>
        <v>0</v>
      </c>
      <c r="HH35" s="1" cm="1">
        <f t="array" ref="HH35">_xlfn.SWITCH($A$2,"average", AVERAGE(Instances!HH35:Instances!HH35),"median", MEDIAN(Instances!HH35:Instances!HH35),"min", MIN(Instances!HH35:Instances!HH35),"max", MAX(Instances!HH35:Instances!HH35),"diff", MAX(Instances!HH35:Instances!HH35)-MIN(Instances!HH35:Instances!HH35))</f>
        <v>0</v>
      </c>
      <c r="HI35" s="1" cm="1">
        <f t="array" ref="HI35">_xlfn.SWITCH($A$2,"average", AVERAGE(Instances!HI35:Instances!HI35),"median", MEDIAN(Instances!HI35:Instances!HI35),"min", MIN(Instances!HI35:Instances!HI35),"max", MAX(Instances!HI35:Instances!HI35),"diff", MAX(Instances!HI35:Instances!HI35)-MIN(Instances!HI35:Instances!HI35))</f>
        <v>0</v>
      </c>
      <c r="HJ35" s="1" cm="1">
        <f t="array" ref="HJ35">_xlfn.SWITCH($A$2,"average", AVERAGE(Instances!HJ35:Instances!HJ35),"median", MEDIAN(Instances!HJ35:Instances!HJ35),"min", MIN(Instances!HJ35:Instances!HJ35),"max", MAX(Instances!HJ35:Instances!HJ35),"diff", MAX(Instances!HJ35:Instances!HJ35)-MIN(Instances!HJ35:Instances!HJ35))</f>
        <v>0</v>
      </c>
      <c r="HK35" s="1" cm="1">
        <f t="array" ref="HK35">_xlfn.SWITCH($A$2,"average", AVERAGE(Instances!HK35:Instances!HK35),"median", MEDIAN(Instances!HK35:Instances!HK35),"min", MIN(Instances!HK35:Instances!HK35),"max", MAX(Instances!HK35:Instances!HK35),"diff", MAX(Instances!HK35:Instances!HK35)-MIN(Instances!HK35:Instances!HK35))</f>
        <v>0</v>
      </c>
      <c r="HL35" s="1" cm="1">
        <f t="array" ref="HL35">_xlfn.SWITCH($A$2,"average", AVERAGE(Instances!HL35:Instances!HL35),"median", MEDIAN(Instances!HL35:Instances!HL35),"min", MIN(Instances!HL35:Instances!HL35),"max", MAX(Instances!HL35:Instances!HL35),"diff", MAX(Instances!HL35:Instances!HL35)-MIN(Instances!HL35:Instances!HL35))</f>
        <v>0</v>
      </c>
      <c r="HM35" s="1" cm="1">
        <f t="array" ref="HM35">_xlfn.SWITCH($A$2,"average", AVERAGE(Instances!HM35:Instances!HM35),"median", MEDIAN(Instances!HM35:Instances!HM35),"min", MIN(Instances!HM35:Instances!HM35),"max", MAX(Instances!HM35:Instances!HM35),"diff", MAX(Instances!HM35:Instances!HM35)-MIN(Instances!HM35:Instances!HM35))</f>
        <v>0</v>
      </c>
      <c r="HN35" s="1" cm="1">
        <f t="array" ref="HN35">_xlfn.SWITCH($A$2,"average", AVERAGE(Instances!HN35:Instances!HN35),"median", MEDIAN(Instances!HN35:Instances!HN35),"min", MIN(Instances!HN35:Instances!HN35),"max", MAX(Instances!HN35:Instances!HN35),"diff", MAX(Instances!HN35:Instances!HN35)-MIN(Instances!HN35:Instances!HN35))</f>
        <v>0</v>
      </c>
      <c r="HO35" s="1" cm="1">
        <f t="array" ref="HO35">_xlfn.SWITCH($A$2,"average", AVERAGE(Instances!HO35:Instances!HO35),"median", MEDIAN(Instances!HO35:Instances!HO35),"min", MIN(Instances!HO35:Instances!HO35),"max", MAX(Instances!HO35:Instances!HO35),"diff", MAX(Instances!HO35:Instances!HO35)-MIN(Instances!HO35:Instances!HO35))</f>
        <v>0</v>
      </c>
      <c r="HP35" s="1" cm="1">
        <f t="array" ref="HP35">_xlfn.SWITCH($A$2,"average", AVERAGE(Instances!HP35:Instances!HP35),"median", MEDIAN(Instances!HP35:Instances!HP35),"min", MIN(Instances!HP35:Instances!HP35),"max", MAX(Instances!HP35:Instances!HP35),"diff", MAX(Instances!HP35:Instances!HP35)-MIN(Instances!HP35:Instances!HP35))</f>
        <v>0</v>
      </c>
      <c r="HQ35" s="1" cm="1">
        <f t="array" ref="HQ35">_xlfn.SWITCH($A$2,"average", AVERAGE(Instances!HQ35:Instances!HQ35),"median", MEDIAN(Instances!HQ35:Instances!HQ35),"min", MIN(Instances!HQ35:Instances!HQ35),"max", MAX(Instances!HQ35:Instances!HQ35),"diff", MAX(Instances!HQ35:Instances!HQ35)-MIN(Instances!HQ35:Instances!HQ35))</f>
        <v>0</v>
      </c>
      <c r="HR35" s="1" cm="1">
        <f t="array" ref="HR35">_xlfn.SWITCH($A$2,"average", AVERAGE(Instances!HR35:Instances!HR35),"median", MEDIAN(Instances!HR35:Instances!HR35),"min", MIN(Instances!HR35:Instances!HR35),"max", MAX(Instances!HR35:Instances!HR35),"diff", MAX(Instances!HR35:Instances!HR35)-MIN(Instances!HR35:Instances!HR35))</f>
        <v>0</v>
      </c>
      <c r="HS35" s="1" cm="1">
        <f t="array" ref="HS35">_xlfn.SWITCH($A$2,"average", AVERAGE(Instances!HS35:Instances!HS35),"median", MEDIAN(Instances!HS35:Instances!HS35),"min", MIN(Instances!HS35:Instances!HS35),"max", MAX(Instances!HS35:Instances!HS35),"diff", MAX(Instances!HS35:Instances!HS35)-MIN(Instances!HS35:Instances!HS35))</f>
        <v>0</v>
      </c>
      <c r="HT35" s="1" cm="1">
        <f t="array" ref="HT35">_xlfn.SWITCH($A$2,"average", AVERAGE(Instances!HT35:Instances!HT35),"median", MEDIAN(Instances!HT35:Instances!HT35),"min", MIN(Instances!HT35:Instances!HT35),"max", MAX(Instances!HT35:Instances!HT35),"diff", MAX(Instances!HT35:Instances!HT35)-MIN(Instances!HT35:Instances!HT35))</f>
        <v>0</v>
      </c>
      <c r="HU35" s="1" cm="1">
        <f t="array" ref="HU35">_xlfn.SWITCH($A$2,"average", AVERAGE(Instances!HU35:Instances!HU35),"median", MEDIAN(Instances!HU35:Instances!HU35),"min", MIN(Instances!HU35:Instances!HU35),"max", MAX(Instances!HU35:Instances!HU35),"diff", MAX(Instances!HU35:Instances!HU35)-MIN(Instances!HU35:Instances!HU35))</f>
        <v>0</v>
      </c>
      <c r="HV35" s="1" cm="1">
        <f t="array" ref="HV35">_xlfn.SWITCH($A$2,"average", AVERAGE(Instances!HV35:Instances!HV35),"median", MEDIAN(Instances!HV35:Instances!HV35),"min", MIN(Instances!HV35:Instances!HV35),"max", MAX(Instances!HV35:Instances!HV35),"diff", MAX(Instances!HV35:Instances!HV35)-MIN(Instances!HV35:Instances!HV35))</f>
        <v>0</v>
      </c>
      <c r="HW35" s="1" cm="1">
        <f t="array" ref="HW35">_xlfn.SWITCH($A$2,"average", AVERAGE(Instances!HW35:Instances!HW35),"median", MEDIAN(Instances!HW35:Instances!HW35),"min", MIN(Instances!HW35:Instances!HW35),"max", MAX(Instances!HW35:Instances!HW35),"diff", MAX(Instances!HW35:Instances!HW35)-MIN(Instances!HW35:Instances!HW35))</f>
        <v>0</v>
      </c>
      <c r="HX35" s="1"/>
      <c r="HY35" s="1" cm="1">
        <f t="array" ref="HY35">_xlfn.SWITCH($A$2,"average", AVERAGE(Instances!HY35:Instances!HY35),"median", MEDIAN(Instances!HY35:Instances!HY35),"min", MIN(Instances!HY35:Instances!HY35),"max", MAX(Instances!HY35:Instances!HY35),"diff", MAX(Instances!HY35:Instances!HY35)-MIN(Instances!HY35:Instances!HY35))</f>
        <v>0</v>
      </c>
      <c r="HZ35" s="1" cm="1">
        <f t="array" ref="HZ35">_xlfn.SWITCH($A$2,"average", AVERAGE(Instances!HZ35:Instances!HZ35),"median", MEDIAN(Instances!HZ35:Instances!HZ35),"min", MIN(Instances!HZ35:Instances!HZ35),"max", MAX(Instances!HZ35:Instances!HZ35),"diff", MAX(Instances!HZ35:Instances!HZ35)-MIN(Instances!HZ35:Instances!HZ35))</f>
        <v>0</v>
      </c>
      <c r="IA35" s="1" cm="1">
        <f t="array" ref="IA35">_xlfn.SWITCH($A$2,"average", AVERAGE(Instances!IA35:Instances!IA35),"median", MEDIAN(Instances!IA35:Instances!IA35),"min", MIN(Instances!IA35:Instances!IA35),"max", MAX(Instances!IA35:Instances!IA35),"diff", MAX(Instances!IA35:Instances!IA35)-MIN(Instances!IA35:Instances!IA35))</f>
        <v>0</v>
      </c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 cm="1">
        <f t="array" ref="JL35">_xlfn.SWITCH($A$2,"average", AVERAGE(Instances!JL35:Instances!JL35),"median", MEDIAN(Instances!JL35:Instances!JL35),"min", MIN(Instances!JL35:Instances!JL35),"max", MAX(Instances!JL35:Instances!JL35),"diff", MAX(Instances!JL35:Instances!JL35)-MIN(Instances!JL35:Instances!JL35))</f>
        <v>0</v>
      </c>
      <c r="JM35" s="1" cm="1">
        <f t="array" ref="JM35">_xlfn.SWITCH($A$2,"average", AVERAGE(Instances!JM35:Instances!JM35),"median", MEDIAN(Instances!JM35:Instances!JM35),"min", MIN(Instances!JM35:Instances!JM35),"max", MAX(Instances!JM35:Instances!JM35),"diff", MAX(Instances!JM35:Instances!JM35)-MIN(Instances!JM35:Instances!JM35))</f>
        <v>0</v>
      </c>
      <c r="JN35" s="1" cm="1">
        <f t="array" ref="JN35">_xlfn.SWITCH($A$2,"average", AVERAGE(Instances!JN35:Instances!JN35),"median", MEDIAN(Instances!JN35:Instances!JN35),"min", MIN(Instances!JN35:Instances!JN35),"max", MAX(Instances!JN35:Instances!JN35),"diff", MAX(Instances!JN35:Instances!JN35)-MIN(Instances!JN35:Instances!JN35))</f>
        <v>0</v>
      </c>
      <c r="JO35" s="1" cm="1">
        <f t="array" ref="JO35">_xlfn.SWITCH($A$2,"average", AVERAGE(Instances!JO35:Instances!JO35),"median", MEDIAN(Instances!JO35:Instances!JO35),"min", MIN(Instances!JO35:Instances!JO35),"max", MAX(Instances!JO35:Instances!JO35),"diff", MAX(Instances!JO35:Instances!JO35)-MIN(Instances!JO35:Instances!JO35))</f>
        <v>0</v>
      </c>
      <c r="JP35" s="1" cm="1">
        <f t="array" ref="JP35">_xlfn.SWITCH($A$2,"average", AVERAGE(Instances!JP35:Instances!JP35),"median", MEDIAN(Instances!JP35:Instances!JP35),"min", MIN(Instances!JP35:Instances!JP35),"max", MAX(Instances!JP35:Instances!JP35),"diff", MAX(Instances!JP35:Instances!JP35)-MIN(Instances!JP35:Instances!JP35))</f>
        <v>0</v>
      </c>
      <c r="JQ35" s="1" cm="1">
        <f t="array" ref="JQ35">_xlfn.SWITCH($A$2,"average", AVERAGE(Instances!JQ35:Instances!JQ35),"median", MEDIAN(Instances!JQ35:Instances!JQ35),"min", MIN(Instances!JQ35:Instances!JQ35),"max", MAX(Instances!JQ35:Instances!JQ35),"diff", MAX(Instances!JQ35:Instances!JQ35)-MIN(Instances!JQ35:Instances!JQ35))</f>
        <v>0</v>
      </c>
      <c r="JR35" s="1" cm="1">
        <f t="array" ref="JR35">_xlfn.SWITCH($A$2,"average", AVERAGE(Instances!JR35:Instances!JR35),"median", MEDIAN(Instances!JR35:Instances!JR35),"min", MIN(Instances!JR35:Instances!JR35),"max", MAX(Instances!JR35:Instances!JR35),"diff", MAX(Instances!JR35:Instances!JR35)-MIN(Instances!JR35:Instances!JR35))</f>
        <v>0</v>
      </c>
      <c r="JS35" s="1" cm="1">
        <f t="array" ref="JS35">_xlfn.SWITCH($A$2,"average", AVERAGE(Instances!JS35:Instances!JS35),"median", MEDIAN(Instances!JS35:Instances!JS35),"min", MIN(Instances!JS35:Instances!JS35),"max", MAX(Instances!JS35:Instances!JS35),"diff", MAX(Instances!JS35:Instances!JS35)-MIN(Instances!JS35:Instances!JS35))</f>
        <v>0</v>
      </c>
      <c r="JT35" s="1" cm="1">
        <f t="array" ref="JT35">_xlfn.SWITCH($A$2,"average", AVERAGE(Instances!JT35:Instances!JT35),"median", MEDIAN(Instances!JT35:Instances!JT35),"min", MIN(Instances!JT35:Instances!JT35),"max", MAX(Instances!JT35:Instances!JT35),"diff", MAX(Instances!JT35:Instances!JT35)-MIN(Instances!JT35:Instances!JT35))</f>
        <v>0</v>
      </c>
      <c r="JU35" s="1" cm="1">
        <f t="array" ref="JU35">_xlfn.SWITCH($A$2,"average", AVERAGE(Instances!JU35:Instances!JU35),"median", MEDIAN(Instances!JU35:Instances!JU35),"min", MIN(Instances!JU35:Instances!JU35),"max", MAX(Instances!JU35:Instances!JU35),"diff", MAX(Instances!JU35:Instances!JU35)-MIN(Instances!JU35:Instances!JU35))</f>
        <v>0</v>
      </c>
      <c r="JV35" s="1" cm="1">
        <f t="array" ref="JV35">_xlfn.SWITCH($A$2,"average", AVERAGE(Instances!JV35:Instances!JV35),"median", MEDIAN(Instances!JV35:Instances!JV35),"min", MIN(Instances!JV35:Instances!JV35),"max", MAX(Instances!JV35:Instances!JV35),"diff", MAX(Instances!JV35:Instances!JV35)-MIN(Instances!JV35:Instances!JV35))</f>
        <v>0</v>
      </c>
      <c r="JW35" s="1" cm="1">
        <f t="array" ref="JW35">_xlfn.SWITCH($A$2,"average", AVERAGE(Instances!JW35:Instances!JW35),"median", MEDIAN(Instances!JW35:Instances!JW35),"min", MIN(Instances!JW35:Instances!JW35),"max", MAX(Instances!JW35:Instances!JW35),"diff", MAX(Instances!JW35:Instances!JW35)-MIN(Instances!JW35:Instances!JW35))</f>
        <v>0</v>
      </c>
      <c r="JX35" s="1" cm="1">
        <f t="array" ref="JX35">_xlfn.SWITCH($A$2,"average", AVERAGE(Instances!JX35:Instances!JX35),"median", MEDIAN(Instances!JX35:Instances!JX35),"min", MIN(Instances!JX35:Instances!JX35),"max", MAX(Instances!JX35:Instances!JX35),"diff", MAX(Instances!JX35:Instances!JX35)-MIN(Instances!JX35:Instances!JX35))</f>
        <v>0</v>
      </c>
      <c r="JY35" s="1" cm="1">
        <f t="array" ref="JY35">_xlfn.SWITCH($A$2,"average", AVERAGE(Instances!JY35:Instances!JY35),"median", MEDIAN(Instances!JY35:Instances!JY35),"min", MIN(Instances!JY35:Instances!JY35),"max", MAX(Instances!JY35:Instances!JY35),"diff", MAX(Instances!JY35:Instances!JY35)-MIN(Instances!JY35:Instances!JY35))</f>
        <v>0</v>
      </c>
      <c r="JZ35" s="1"/>
      <c r="KA35" s="1" cm="1">
        <f t="array" ref="KA35">_xlfn.SWITCH($A$2,"average", AVERAGE(Instances!KA35:Instances!KA35),"median", MEDIAN(Instances!KA35:Instances!KA35),"min", MIN(Instances!KA35:Instances!KA35),"max", MAX(Instances!KA35:Instances!KA35),"diff", MAX(Instances!KA35:Instances!KA35)-MIN(Instances!KA35:Instances!KA35))</f>
        <v>0</v>
      </c>
      <c r="KB35" s="1" cm="1">
        <f t="array" ref="KB35">_xlfn.SWITCH($A$2,"average", AVERAGE(Instances!KB35:Instances!KB35),"median", MEDIAN(Instances!KB35:Instances!KB35),"min", MIN(Instances!KB35:Instances!KB35),"max", MAX(Instances!KB35:Instances!KB35),"diff", MAX(Instances!KB35:Instances!KB35)-MIN(Instances!KB35:Instances!KB35))</f>
        <v>0</v>
      </c>
      <c r="KC35" s="1" cm="1">
        <f t="array" ref="KC35">_xlfn.SWITCH($A$2,"average", AVERAGE(Instances!KC35:Instances!KC35),"median", MEDIAN(Instances!KC35:Instances!KC35),"min", MIN(Instances!KC35:Instances!KC35),"max", MAX(Instances!KC35:Instances!KC35),"diff", MAX(Instances!KC35:Instances!KC35)-MIN(Instances!KC35:Instances!KC35))</f>
        <v>0</v>
      </c>
      <c r="KD35" s="1">
        <f>MIN($B35,$T35,$AL35,$BD35,$BV35,$CN35,$DF35,$DX35,$EP35,$FH35,$FZ35,$GR35,$HJ35,$IB35,$IT35,$JL35)</f>
        <v>0</v>
      </c>
      <c r="KE35" s="1">
        <f>MIN($C35,$U35,$AM35,$BE35,$BW35,$CO35,$DG35,$DY35,$EQ35,$FI35,$GA35,$GS35,$HK35,$IC35,$IU35,$JM35)</f>
        <v>0</v>
      </c>
      <c r="KF35" s="1">
        <f>MIN($D35,$V35,$AN35,$BF35,$BX35,$CP35,$DH35,$DZ35,$ER35,$FJ35,$GB35,$GT35,$HL35,$ID35,$IV35,$JN35)</f>
        <v>0</v>
      </c>
      <c r="KG35" s="1">
        <f>MIN($E35,$W35,$AO35,$BG35,$BY35,$CQ35,$DI35,$EA35,$ES35,$FK35,$GC35,$GU35,$HM35,$IE35,$IW35,$JO35)</f>
        <v>0</v>
      </c>
      <c r="KH35" s="1">
        <f>MIN($F35,$X35,$AP35,$BH35,$BZ35,$CR35,$DJ35,$EB35,$ET35,$FL35,$GD35,$GV35,$HN35,$IF35,$IX35,$JP35)</f>
        <v>0</v>
      </c>
      <c r="KI35" s="1">
        <f>MIN($G35,$Y35,$AQ35,$BI35,$CA35,$CS35,$DK35,$EC35,$EU35,$FM35,$GE35,$GW35,$HO35,$IG35,$IY35,$JQ35)</f>
        <v>0</v>
      </c>
      <c r="KJ35" s="1">
        <f>MIN($H35,$Z35,$AR35,$BJ35,$CB35,$CT35,$DL35,$ED35,$EV35,$FN35,$GF35,$GX35,$HP35,$IH35,$IZ35,$JR35)</f>
        <v>0</v>
      </c>
      <c r="KK35" s="1">
        <f>MIN($I35,$AA35,$AS35,$BK35,$CC35,$CU35,$DM35,$EE35,$EW35,$FO35,$GG35,$GY35,$HQ35,$II35,$JA35,$JS35)</f>
        <v>0</v>
      </c>
      <c r="KL35" s="1">
        <f>MIN($J35,$AB35,$AT35,$BL35,$CD35,$CV35,$DN35,$EF35,$EX35,$FP35,$GH35,$GZ35,$HR35,$IJ35,$JB35,$JT35)</f>
        <v>0</v>
      </c>
      <c r="KM35" s="1">
        <f>MIN($K35,$AC35,$AU35,$BM35,$CE35,$CW35,$DO35,$EG35,$EY35,$FQ35,$GI35,$HA35,$HS35,$IK35,$JC35,$JU35)</f>
        <v>0</v>
      </c>
      <c r="KN35" s="1">
        <f>MIN($L35,$AD35,$AV35,$BN35,$CF35,$CX35,$DP35,$EH35,$EZ35,$FR35,$GJ35,$HB35,$HT35,$IL35,$JD35,$JV35)</f>
        <v>0</v>
      </c>
      <c r="KO35" s="1">
        <f>MIN($M35,$AE35,$AW35,$BO35,$CG35,$CY35,$DQ35,$EI35,$FA35,$FS35,$GK35,$HC35,$HU35,$IM35,$JE35,$JW35)</f>
        <v>0</v>
      </c>
      <c r="KP35" s="1">
        <f>MIN($N35,$AF35,$AX35,$BP35,$CH35,$CZ35,$DR35,$EJ35,$FB35,$FT35,$GL35,$HD35,$HV35,$IN35,$JF35,$JX35)</f>
        <v>0</v>
      </c>
      <c r="KQ35" s="1">
        <f>MIN($O35,$AG35,$AY35,$BQ35,$CI35,$DA35,$DS35,$EK35,$FC35,$FU35,$GM35,$HE35,$HW35,$IO35,$JG35,$JY35)</f>
        <v>0</v>
      </c>
      <c r="KR35" s="1">
        <f>MIN($Q35,$AI35,$BA35,$BS35,$CK35,$DC35,$DU35,$EM35,$FE35,$FW35,$GO35,$HG35,$HY35,$IQ35,$JI35,$KA35)</f>
        <v>0</v>
      </c>
      <c r="KS35" s="1">
        <f>MIN($R35,$AJ35,$BB35,$BT35,$CL35,$DD35,$DV35,$EN35,$FF35,$FX35,$GP35,$HH35,$HZ35,$IR35,$JJ35,$KB35)</f>
        <v>0</v>
      </c>
      <c r="KT35" s="1">
        <f>MIN($S35,$AK35,$BC35,$BU35,$CM35,$DE35,$DW35,$EO35,$FG35,$FY35,$GQ35,$HI35,$IA35,$IS35,$JK35,$KC35)</f>
        <v>0</v>
      </c>
      <c r="KU35" s="1">
        <f>MEDIAN($B35,$T35,$AL35,$BD35,$BV35,$CN35,$DF35,$DX35,$EP35,$FH35,$FZ35,$GR35,$HJ35,$IB35,$IT35,$JL35)</f>
        <v>0</v>
      </c>
      <c r="KV35" s="1">
        <f>MEDIAN($C35,$U35,$AM35,$BE35,$BW35,$CO35,$DG35,$DY35,$EQ35,$FI35,$GA35,$GS35,$HK35,$IC35,$IU35,$JM35)</f>
        <v>0</v>
      </c>
      <c r="KW35" s="1">
        <f>MEDIAN($D35,$V35,$AN35,$BF35,$BX35,$CP35,$DH35,$DZ35,$ER35,$FJ35,$GB35,$GT35,$HL35,$ID35,$IV35,$JN35)</f>
        <v>0</v>
      </c>
      <c r="KX35" s="1">
        <f>MEDIAN($E35,$W35,$AO35,$BG35,$BY35,$CQ35,$DI35,$EA35,$ES35,$FK35,$GC35,$GU35,$HM35,$IE35,$IW35,$JO35)</f>
        <v>0</v>
      </c>
      <c r="KY35" s="1">
        <f>MEDIAN($F35,$X35,$AP35,$BH35,$BZ35,$CR35,$DJ35,$EB35,$ET35,$FL35,$GD35,$GV35,$HN35,$IF35,$IX35,$JP35)</f>
        <v>0</v>
      </c>
      <c r="KZ35" s="1">
        <f>MEDIAN($G35,$Y35,$AQ35,$BI35,$CA35,$CS35,$DK35,$EC35,$EU35,$FM35,$GE35,$GW35,$HO35,$IG35,$IY35,$JQ35)</f>
        <v>0</v>
      </c>
      <c r="LA35" s="1">
        <f>MEDIAN($H35,$Z35,$AR35,$BJ35,$CB35,$CT35,$DL35,$ED35,$EV35,$FN35,$GF35,$GX35,$HP35,$IH35,$IZ35,$JR35)</f>
        <v>0</v>
      </c>
      <c r="LB35" s="1">
        <f>MEDIAN($I35,$AA35,$AS35,$BK35,$CC35,$CU35,$DM35,$EE35,$EW35,$FO35,$GG35,$GY35,$HQ35,$II35,$JA35,$JS35)</f>
        <v>0</v>
      </c>
      <c r="LC35" s="1">
        <f>MEDIAN($J35,$AB35,$AT35,$BL35,$CD35,$CV35,$DN35,$EF35,$EX35,$FP35,$GH35,$GZ35,$HR35,$IJ35,$JB35,$JT35)</f>
        <v>0</v>
      </c>
      <c r="LD35" s="1">
        <f>MEDIAN($K35,$AC35,$AU35,$BM35,$CE35,$CW35,$DO35,$EG35,$EY35,$FQ35,$GI35,$HA35,$HS35,$IK35,$JC35,$JU35)</f>
        <v>0</v>
      </c>
      <c r="LE35" s="1">
        <f>MEDIAN($L35,$AD35,$AV35,$BN35,$CF35,$CX35,$DP35,$EH35,$EZ35,$FR35,$GJ35,$HB35,$HT35,$IL35,$JD35,$JV35)</f>
        <v>0</v>
      </c>
      <c r="LF35" s="1">
        <f>MEDIAN($M35,$AE35,$AW35,$BO35,$CG35,$CY35,$DQ35,$EI35,$FA35,$FS35,$GK35,$HC35,$HU35,$IM35,$JE35,$JW35)</f>
        <v>0</v>
      </c>
      <c r="LG35" s="1">
        <f>MEDIAN($N35,$AF35,$AX35,$BP35,$CH35,$CZ35,$DR35,$EJ35,$FB35,$FT35,$GL35,$HD35,$HV35,$IN35,$JF35,$JX35)</f>
        <v>0</v>
      </c>
      <c r="LH35" s="1">
        <f>MEDIAN($O35,$AG35,$AY35,$BQ35,$CI35,$DA35,$DS35,$EK35,$FC35,$FU35,$GM35,$HE35,$HW35,$IO35,$JG35,$JY35)</f>
        <v>0</v>
      </c>
      <c r="LI35" s="1">
        <f>MEDIAN($Q35,$AI35,$BA35,$BS35,$CK35,$DC35,$DU35,$EM35,$FE35,$FW35,$GO35,$HG35,$HY35,$IQ35,$JI35,$KA35)</f>
        <v>0</v>
      </c>
      <c r="LJ35" s="1">
        <f>MEDIAN($R35,$AJ35,$BB35,$BT35,$CL35,$DD35,$DV35,$EN35,$FF35,$FX35,$GP35,$HH35,$HZ35,$IR35,$JJ35,$KB35)</f>
        <v>0</v>
      </c>
      <c r="LK35" s="1">
        <f>MEDIAN($S35,$AK35,$BC35,$BU35,$CM35,$DE35,$DW35,$EO35,$FG35,$FY35,$GQ35,$HI35,$IA35,$IS35,$JK35,$KC35)</f>
        <v>0</v>
      </c>
      <c r="LL35" s="1">
        <f>MAX($B35,$T35,$AL35,$BD35,$BV35,$CN35,$DF35,$DX35,$EP35,$FH35,$FZ35,$GR35,$HJ35,$IB35,$IT35,$JL35)</f>
        <v>0</v>
      </c>
      <c r="LM35" s="1">
        <f>MAX($C35,$U35,$AM35,$BE35,$BW35,$CO35,$DG35,$DY35,$EQ35,$FI35,$GA35,$GS35,$HK35,$IC35,$IU35,$JM35)</f>
        <v>0</v>
      </c>
      <c r="LN35" s="1">
        <f>MAX($D35,$V35,$AN35,$BF35,$BX35,$CP35,$DH35,$DZ35,$ER35,$FJ35,$GB35,$GT35,$HL35,$ID35,$IV35,$JN35)</f>
        <v>0</v>
      </c>
      <c r="LO35" s="1">
        <f>MAX($E35,$W35,$AO35,$BG35,$BY35,$CQ35,$DI35,$EA35,$ES35,$FK35,$GC35,$GU35,$HM35,$IE35,$IW35,$JO35)</f>
        <v>0</v>
      </c>
      <c r="LP35" s="1">
        <f>MAX($F35,$X35,$AP35,$BH35,$BZ35,$CR35,$DJ35,$EB35,$ET35,$FL35,$GD35,$GV35,$HN35,$IF35,$IX35,$JP35)</f>
        <v>0</v>
      </c>
      <c r="LQ35" s="1">
        <f>MAX($G35,$Y35,$AQ35,$BI35,$CA35,$CS35,$DK35,$EC35,$EU35,$FM35,$GE35,$GW35,$HO35,$IG35,$IY35,$JQ35)</f>
        <v>0</v>
      </c>
      <c r="LR35" s="1">
        <f>MAX($H35,$Z35,$AR35,$BJ35,$CB35,$CT35,$DL35,$ED35,$EV35,$FN35,$GF35,$GX35,$HP35,$IH35,$IZ35,$JR35)</f>
        <v>0</v>
      </c>
      <c r="LS35" s="1">
        <f>MAX($I35,$AA35,$AS35,$BK35,$CC35,$CU35,$DM35,$EE35,$EW35,$FO35,$GG35,$GY35,$HQ35,$II35,$JA35,$JS35)</f>
        <v>0</v>
      </c>
      <c r="LT35" s="1">
        <f>MAX($J35,$AB35,$AT35,$BL35,$CD35,$CV35,$DN35,$EF35,$EX35,$FP35,$GH35,$GZ35,$HR35,$IJ35,$JB35,$JT35)</f>
        <v>0</v>
      </c>
      <c r="LU35" s="1">
        <f>MAX($K35,$AC35,$AU35,$BM35,$CE35,$CW35,$DO35,$EG35,$EY35,$FQ35,$GI35,$HA35,$HS35,$IK35,$JC35,$JU35)</f>
        <v>0</v>
      </c>
      <c r="LV35" s="1">
        <f>MAX($L35,$AD35,$AV35,$BN35,$CF35,$CX35,$DP35,$EH35,$EZ35,$FR35,$GJ35,$HB35,$HT35,$IL35,$JD35,$JV35)</f>
        <v>0</v>
      </c>
      <c r="LW35" s="1">
        <f>MAX($M35,$AE35,$AW35,$BO35,$CG35,$CY35,$DQ35,$EI35,$FA35,$FS35,$GK35,$HC35,$HU35,$IM35,$JE35,$JW35)</f>
        <v>0</v>
      </c>
      <c r="LX35" s="1">
        <f>MAX($N35,$AF35,$AX35,$BP35,$CH35,$CZ35,$DR35,$EJ35,$FB35,$FT35,$GL35,$HD35,$HV35,$IN35,$JF35,$JX35)</f>
        <v>0</v>
      </c>
      <c r="LY35" s="1">
        <f>MAX($O35,$AG35,$AY35,$BQ35,$CI35,$DA35,$DS35,$EK35,$FC35,$FU35,$GM35,$HE35,$HW35,$IO35,$JG35,$JY35)</f>
        <v>0</v>
      </c>
      <c r="LZ35" s="1">
        <f>MAX($Q35,$AI35,$BA35,$BS35,$CK35,$DC35,$DU35,$EM35,$FE35,$FW35,$GO35,$HG35,$HY35,$IQ35,$JI35,$KA35)</f>
        <v>0</v>
      </c>
      <c r="MA35" s="1">
        <f>MAX($R35,$AJ35,$BB35,$BT35,$CL35,$DD35,$DV35,$EN35,$FF35,$FX35,$GP35,$HH35,$HZ35,$IR35,$JJ35,$KB35)</f>
        <v>0</v>
      </c>
      <c r="MB35" s="1">
        <f>MAX($S35,$AK35,$BC35,$BU35,$CM35,$DE35,$DW35,$EO35,$FG35,$FY35,$GQ35,$HI35,$IA35,$IS35,$JK35,$KC35)</f>
        <v>0</v>
      </c>
    </row>
    <row r="36" spans="1:340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 cm="1">
        <f t="array" ref="K36">_xlfn.SWITCH($A$2,"average", AVERAGE(Instances!K36:Instances!K36),"median", MEDIAN(Instances!K36:Instances!K36),"min", MIN(Instances!K36:Instances!K36),"max", MAX(Instances!K36:Instances!K36),"diff", MAX(Instances!K36:Instances!K36)-MIN(Instances!K36:Instances!K36))</f>
        <v>0</v>
      </c>
      <c r="L36" s="1" cm="1">
        <f t="array" ref="L36">_xlfn.SWITCH($A$2,"average", AVERAGE(Instances!L36:Instances!L36),"median", MEDIAN(Instances!L36:Instances!L36),"min", MIN(Instances!L36:Instances!L36),"max", MAX(Instances!L36:Instances!L36),"diff", MAX(Instances!L36:Instances!L36)-MIN(Instances!L36:Instances!L36))</f>
        <v>0</v>
      </c>
      <c r="M36" s="1" cm="1">
        <f t="array" ref="M36">_xlfn.SWITCH($A$2,"average", AVERAGE(Instances!M36:Instances!M36),"median", MEDIAN(Instances!M36:Instances!M36),"min", MIN(Instances!M36:Instances!M36),"max", MAX(Instances!M36:Instances!M36),"diff", MAX(Instances!M36:Instances!M36)-MIN(Instances!M36:Instances!M36))</f>
        <v>0</v>
      </c>
      <c r="N36" s="1" cm="1">
        <f t="array" ref="N36">_xlfn.SWITCH($A$2,"average", AVERAGE(Instances!N36:Instances!N36),"median", MEDIAN(Instances!N36:Instances!N36),"min", MIN(Instances!N36:Instances!N36),"max", MAX(Instances!N36:Instances!N36),"diff", MAX(Instances!N36:Instances!N36)-MIN(Instances!N36:Instances!N36))</f>
        <v>0</v>
      </c>
      <c r="O36" s="1" cm="1">
        <f t="array" ref="O36">_xlfn.SWITCH($A$2,"average", AVERAGE(Instances!O36:Instances!O36),"median", MEDIAN(Instances!O36:Instances!O36),"min", MIN(Instances!O36:Instances!O36),"max", MAX(Instances!O36:Instances!O36),"diff", MAX(Instances!O36:Instances!O36)-MIN(Instances!O36:Instances!O36))</f>
        <v>0</v>
      </c>
      <c r="P36" s="1"/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 cm="1">
        <f t="array" ref="S36">_xlfn.SWITCH($A$2,"average", AVERAGE(Instances!S36:Instances!S36),"median", MEDIAN(Instances!S36:Instances!S36),"min", MIN(Instances!S36:Instances!S36),"max", MAX(Instances!S36:Instances!S36),"diff", MAX(Instances!S36:Instances!S36)-MIN(Instances!S36:Instances!S36))</f>
        <v>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 cm="1">
        <f t="array" ref="AL36">_xlfn.SWITCH($A$2,"average", AVERAGE(Instances!AL36:Instances!AL36),"median", MEDIAN(Instances!AL36:Instances!AL36),"min", MIN(Instances!AL36:Instances!AL36),"max", MAX(Instances!AL36:Instances!AL36),"diff", MAX(Instances!AL36:Instances!AL36)-MIN(Instances!AL36:Instances!AL36))</f>
        <v>0</v>
      </c>
      <c r="AM36" s="1" cm="1">
        <f t="array" ref="AM36">_xlfn.SWITCH($A$2,"average", AVERAGE(Instances!AM36:Instances!AM36),"median", MEDIAN(Instances!AM36:Instances!AM36),"min", MIN(Instances!AM36:Instances!AM36),"max", MAX(Instances!AM36:Instances!AM36),"diff", MAX(Instances!AM36:Instances!AM36)-MIN(Instances!AM36:Instances!AM36))</f>
        <v>0</v>
      </c>
      <c r="AN36" s="1" cm="1">
        <f t="array" ref="AN36">_xlfn.SWITCH($A$2,"average", AVERAGE(Instances!AN36:Instances!AN36),"median", MEDIAN(Instances!AN36:Instances!AN36),"min", MIN(Instances!AN36:Instances!AN36),"max", MAX(Instances!AN36:Instances!AN36),"diff", MAX(Instances!AN36:Instances!AN36)-MIN(Instances!AN36:Instances!AN36))</f>
        <v>0</v>
      </c>
      <c r="AO36" s="1" cm="1">
        <f t="array" ref="AO36">_xlfn.SWITCH($A$2,"average", AVERAGE(Instances!AO36:Instances!AO36),"median", MEDIAN(Instances!AO36:Instances!AO36),"min", MIN(Instances!AO36:Instances!AO36),"max", MAX(Instances!AO36:Instances!AO36),"diff", MAX(Instances!AO36:Instances!AO36)-MIN(Instances!AO36:Instances!AO36))</f>
        <v>0</v>
      </c>
      <c r="AP36" s="1" cm="1">
        <f t="array" ref="AP36">_xlfn.SWITCH($A$2,"average", AVERAGE(Instances!AP36:Instances!AP36),"median", MEDIAN(Instances!AP36:Instances!AP36),"min", MIN(Instances!AP36:Instances!AP36),"max", MAX(Instances!AP36:Instances!AP36),"diff", MAX(Instances!AP36:Instances!AP36)-MIN(Instances!AP36:Instances!AP36))</f>
        <v>0</v>
      </c>
      <c r="AQ36" s="1" cm="1">
        <f t="array" ref="AQ36">_xlfn.SWITCH($A$2,"average", AVERAGE(Instances!AQ36:Instances!AQ36),"median", MEDIAN(Instances!AQ36:Instances!AQ36),"min", MIN(Instances!AQ36:Instances!AQ36),"max", MAX(Instances!AQ36:Instances!AQ36),"diff", MAX(Instances!AQ36:Instances!AQ36)-MIN(Instances!AQ36:Instances!AQ36))</f>
        <v>0</v>
      </c>
      <c r="AR36" s="1" cm="1">
        <f t="array" ref="AR36">_xlfn.SWITCH($A$2,"average", AVERAGE(Instances!AR36:Instances!AR36),"median", MEDIAN(Instances!AR36:Instances!AR36),"min", MIN(Instances!AR36:Instances!AR36),"max", MAX(Instances!AR36:Instances!AR36),"diff", MAX(Instances!AR36:Instances!AR36)-MIN(Instances!AR36:Instances!AR36))</f>
        <v>0</v>
      </c>
      <c r="AS36" s="1" cm="1">
        <f t="array" ref="AS36">_xlfn.SWITCH($A$2,"average", AVERAGE(Instances!AS36:Instances!AS36),"median", MEDIAN(Instances!AS36:Instances!AS36),"min", MIN(Instances!AS36:Instances!AS36),"max", MAX(Instances!AS36:Instances!AS36),"diff", MAX(Instances!AS36:Instances!AS36)-MIN(Instances!AS36:Instances!AS36))</f>
        <v>0</v>
      </c>
      <c r="AT36" s="1" cm="1">
        <f t="array" ref="AT36">_xlfn.SWITCH($A$2,"average", AVERAGE(Instances!AT36:Instances!AT36),"median", MEDIAN(Instances!AT36:Instances!AT36),"min", MIN(Instances!AT36:Instances!AT36),"max", MAX(Instances!AT36:Instances!AT36),"diff", MAX(Instances!AT36:Instances!AT36)-MIN(Instances!AT36:Instances!AT36))</f>
        <v>0</v>
      </c>
      <c r="AU36" s="1" cm="1">
        <f t="array" ref="AU36">_xlfn.SWITCH($A$2,"average", AVERAGE(Instances!AU36:Instances!AU36),"median", MEDIAN(Instances!AU36:Instances!AU36),"min", MIN(Instances!AU36:Instances!AU36),"max", MAX(Instances!AU36:Instances!AU36),"diff", MAX(Instances!AU36:Instances!AU36)-MIN(Instances!AU36:Instances!AU36))</f>
        <v>0</v>
      </c>
      <c r="AV36" s="1" cm="1">
        <f t="array" ref="AV36">_xlfn.SWITCH($A$2,"average", AVERAGE(Instances!AV36:Instances!AV36),"median", MEDIAN(Instances!AV36:Instances!AV36),"min", MIN(Instances!AV36:Instances!AV36),"max", MAX(Instances!AV36:Instances!AV36),"diff", MAX(Instances!AV36:Instances!AV36)-MIN(Instances!AV36:Instances!AV36))</f>
        <v>0</v>
      </c>
      <c r="AW36" s="1" cm="1">
        <f t="array" ref="AW36">_xlfn.SWITCH($A$2,"average", AVERAGE(Instances!AW36:Instances!AW36),"median", MEDIAN(Instances!AW36:Instances!AW36),"min", MIN(Instances!AW36:Instances!AW36),"max", MAX(Instances!AW36:Instances!AW36),"diff", MAX(Instances!AW36:Instances!AW36)-MIN(Instances!AW36:Instances!AW36))</f>
        <v>0</v>
      </c>
      <c r="AX36" s="1" cm="1">
        <f t="array" ref="AX36">_xlfn.SWITCH($A$2,"average", AVERAGE(Instances!AX36:Instances!AX36),"median", MEDIAN(Instances!AX36:Instances!AX36),"min", MIN(Instances!AX36:Instances!AX36),"max", MAX(Instances!AX36:Instances!AX36),"diff", MAX(Instances!AX36:Instances!AX36)-MIN(Instances!AX36:Instances!AX36))</f>
        <v>0</v>
      </c>
      <c r="AY36" s="1" cm="1">
        <f t="array" ref="AY36">_xlfn.SWITCH($A$2,"average", AVERAGE(Instances!AY36:Instances!AY36),"median", MEDIAN(Instances!AY36:Instances!AY36),"min", MIN(Instances!AY36:Instances!AY36),"max", MAX(Instances!AY36:Instances!AY36),"diff", MAX(Instances!AY36:Instances!AY36)-MIN(Instances!AY36:Instances!AY36))</f>
        <v>0</v>
      </c>
      <c r="AZ36" s="1"/>
      <c r="BA36" s="1" cm="1">
        <f t="array" ref="BA36">_xlfn.SWITCH($A$2,"average", AVERAGE(Instances!BA36:Instances!BA36),"median", MEDIAN(Instances!BA36:Instances!BA36),"min", MIN(Instances!BA36:Instances!BA36),"max", MAX(Instances!BA36:Instances!BA36),"diff", MAX(Instances!BA36:Instances!BA36)-MIN(Instances!BA36:Instances!BA36))</f>
        <v>0</v>
      </c>
      <c r="BB36" s="1" cm="1">
        <f t="array" ref="BB36">_xlfn.SWITCH($A$2,"average", AVERAGE(Instances!BB36:Instances!BB36),"median", MEDIAN(Instances!BB36:Instances!BB36),"min", MIN(Instances!BB36:Instances!BB36),"max", MAX(Instances!BB36:Instances!BB36),"diff", MAX(Instances!BB36:Instances!BB36)-MIN(Instances!BB36:Instances!BB36))</f>
        <v>0</v>
      </c>
      <c r="BC36" s="1" cm="1">
        <f t="array" ref="BC36">_xlfn.SWITCH($A$2,"average", AVERAGE(Instances!BC36:Instances!BC36),"median", MEDIAN(Instances!BC36:Instances!BC36),"min", MIN(Instances!BC36:Instances!BC36),"max", MAX(Instances!BC36:Instances!BC36),"diff", MAX(Instances!BC36:Instances!BC36)-MIN(Instances!BC36:Instances!BC36))</f>
        <v>0</v>
      </c>
      <c r="BD36" s="1" cm="1">
        <f t="array" ref="BD36">_xlfn.SWITCH($A$2,"average", AVERAGE(Instances!BD36:Instances!BD36),"median", MEDIAN(Instances!BD36:Instances!BD36),"min", MIN(Instances!BD36:Instances!BD36),"max", MAX(Instances!BD36:Instances!BD36),"diff", MAX(Instances!BD36:Instances!BD36)-MIN(Instances!BD36:Instances!BD36))</f>
        <v>0</v>
      </c>
      <c r="BE36" s="1" cm="1">
        <f t="array" ref="BE36">_xlfn.SWITCH($A$2,"average", AVERAGE(Instances!BE36:Instances!BE36),"median", MEDIAN(Instances!BE36:Instances!BE36),"min", MIN(Instances!BE36:Instances!BE36),"max", MAX(Instances!BE36:Instances!BE36),"diff", MAX(Instances!BE36:Instances!BE36)-MIN(Instances!BE36:Instances!BE36))</f>
        <v>0</v>
      </c>
      <c r="BF36" s="1" cm="1">
        <f t="array" ref="BF36">_xlfn.SWITCH($A$2,"average", AVERAGE(Instances!BF36:Instances!BF36),"median", MEDIAN(Instances!BF36:Instances!BF36),"min", MIN(Instances!BF36:Instances!BF36),"max", MAX(Instances!BF36:Instances!BF36),"diff", MAX(Instances!BF36:Instances!BF36)-MIN(Instances!BF36:Instances!BF36))</f>
        <v>0</v>
      </c>
      <c r="BG36" s="1" cm="1">
        <f t="array" ref="BG36">_xlfn.SWITCH($A$2,"average", AVERAGE(Instances!BG36:Instances!BG36),"median", MEDIAN(Instances!BG36:Instances!BG36),"min", MIN(Instances!BG36:Instances!BG36),"max", MAX(Instances!BG36:Instances!BG36),"diff", MAX(Instances!BG36:Instances!BG36)-MIN(Instances!BG36:Instances!BG36))</f>
        <v>0</v>
      </c>
      <c r="BH36" s="1" cm="1">
        <f t="array" ref="BH36">_xlfn.SWITCH($A$2,"average", AVERAGE(Instances!BH36:Instances!BH36),"median", MEDIAN(Instances!BH36:Instances!BH36),"min", MIN(Instances!BH36:Instances!BH36),"max", MAX(Instances!BH36:Instances!BH36),"diff", MAX(Instances!BH36:Instances!BH36)-MIN(Instances!BH36:Instances!BH36))</f>
        <v>0</v>
      </c>
      <c r="BI36" s="1" cm="1">
        <f t="array" ref="BI36">_xlfn.SWITCH($A$2,"average", AVERAGE(Instances!BI36:Instances!BI36),"median", MEDIAN(Instances!BI36:Instances!BI36),"min", MIN(Instances!BI36:Instances!BI36),"max", MAX(Instances!BI36:Instances!BI36),"diff", MAX(Instances!BI36:Instances!BI36)-MIN(Instances!BI36:Instances!BI36))</f>
        <v>0</v>
      </c>
      <c r="BJ36" s="1" cm="1">
        <f t="array" ref="BJ36">_xlfn.SWITCH($A$2,"average", AVERAGE(Instances!BJ36:Instances!BJ36),"median", MEDIAN(Instances!BJ36:Instances!BJ36),"min", MIN(Instances!BJ36:Instances!BJ36),"max", MAX(Instances!BJ36:Instances!BJ36),"diff", MAX(Instances!BJ36:Instances!BJ36)-MIN(Instances!BJ36:Instances!BJ36))</f>
        <v>0</v>
      </c>
      <c r="BK36" s="1" cm="1">
        <f t="array" ref="BK36">_xlfn.SWITCH($A$2,"average", AVERAGE(Instances!BK36:Instances!BK36),"median", MEDIAN(Instances!BK36:Instances!BK36),"min", MIN(Instances!BK36:Instances!BK36),"max", MAX(Instances!BK36:Instances!BK36),"diff", MAX(Instances!BK36:Instances!BK36)-MIN(Instances!BK36:Instances!BK36))</f>
        <v>0</v>
      </c>
      <c r="BL36" s="1" cm="1">
        <f t="array" ref="BL36">_xlfn.SWITCH($A$2,"average", AVERAGE(Instances!BL36:Instances!BL36),"median", MEDIAN(Instances!BL36:Instances!BL36),"min", MIN(Instances!BL36:Instances!BL36),"max", MAX(Instances!BL36:Instances!BL36),"diff", MAX(Instances!BL36:Instances!BL36)-MIN(Instances!BL36:Instances!BL36))</f>
        <v>0</v>
      </c>
      <c r="BM36" s="1" cm="1">
        <f t="array" ref="BM36">_xlfn.SWITCH($A$2,"average", AVERAGE(Instances!BM36:Instances!BM36),"median", MEDIAN(Instances!BM36:Instances!BM36),"min", MIN(Instances!BM36:Instances!BM36),"max", MAX(Instances!BM36:Instances!BM36),"diff", MAX(Instances!BM36:Instances!BM36)-MIN(Instances!BM36:Instances!BM36))</f>
        <v>0</v>
      </c>
      <c r="BN36" s="1" cm="1">
        <f t="array" ref="BN36">_xlfn.SWITCH($A$2,"average", AVERAGE(Instances!BN36:Instances!BN36),"median", MEDIAN(Instances!BN36:Instances!BN36),"min", MIN(Instances!BN36:Instances!BN36),"max", MAX(Instances!BN36:Instances!BN36),"diff", MAX(Instances!BN36:Instances!BN36)-MIN(Instances!BN36:Instances!BN36))</f>
        <v>0</v>
      </c>
      <c r="BO36" s="1" cm="1">
        <f t="array" ref="BO36">_xlfn.SWITCH($A$2,"average", AVERAGE(Instances!BO36:Instances!BO36),"median", MEDIAN(Instances!BO36:Instances!BO36),"min", MIN(Instances!BO36:Instances!BO36),"max", MAX(Instances!BO36:Instances!BO36),"diff", MAX(Instances!BO36:Instances!BO36)-MIN(Instances!BO36:Instances!BO36))</f>
        <v>0</v>
      </c>
      <c r="BP36" s="1" cm="1">
        <f t="array" ref="BP36">_xlfn.SWITCH($A$2,"average", AVERAGE(Instances!BP36:Instances!BP36),"median", MEDIAN(Instances!BP36:Instances!BP36),"min", MIN(Instances!BP36:Instances!BP36),"max", MAX(Instances!BP36:Instances!BP36),"diff", MAX(Instances!BP36:Instances!BP36)-MIN(Instances!BP36:Instances!BP36))</f>
        <v>0</v>
      </c>
      <c r="BQ36" s="1" cm="1">
        <f t="array" ref="BQ36">_xlfn.SWITCH($A$2,"average", AVERAGE(Instances!BQ36:Instances!BQ36),"median", MEDIAN(Instances!BQ36:Instances!BQ36),"min", MIN(Instances!BQ36:Instances!BQ36),"max", MAX(Instances!BQ36:Instances!BQ36),"diff", MAX(Instances!BQ36:Instances!BQ36)-MIN(Instances!BQ36:Instances!BQ36))</f>
        <v>0</v>
      </c>
      <c r="BR36" s="1"/>
      <c r="BS36" s="1" cm="1">
        <f t="array" ref="BS36">_xlfn.SWITCH($A$2,"average", AVERAGE(Instances!BS36:Instances!BS36),"median", MEDIAN(Instances!BS36:Instances!BS36),"min", MIN(Instances!BS36:Instances!BS36),"max", MAX(Instances!BS36:Instances!BS36),"diff", MAX(Instances!BS36:Instances!BS36)-MIN(Instances!BS36:Instances!BS36))</f>
        <v>0</v>
      </c>
      <c r="BT36" s="1" cm="1">
        <f t="array" ref="BT36">_xlfn.SWITCH($A$2,"average", AVERAGE(Instances!BT36:Instances!BT36),"median", MEDIAN(Instances!BT36:Instances!BT36),"min", MIN(Instances!BT36:Instances!BT36),"max", MAX(Instances!BT36:Instances!BT36),"diff", MAX(Instances!BT36:Instances!BT36)-MIN(Instances!BT36:Instances!BT36))</f>
        <v>0</v>
      </c>
      <c r="BU36" s="1" cm="1">
        <f t="array" ref="BU36">_xlfn.SWITCH($A$2,"average", AVERAGE(Instances!BU36:Instances!BU36),"median", MEDIAN(Instances!BU36:Instances!BU36),"min", MIN(Instances!BU36:Instances!BU36),"max", MAX(Instances!BU36:Instances!BU36),"diff", MAX(Instances!BU36:Instances!BU36)-MIN(Instances!BU36:Instances!BU36))</f>
        <v>0</v>
      </c>
      <c r="BV36" s="1" cm="1">
        <f t="array" ref="BV36">_xlfn.SWITCH($A$2,"average", AVERAGE(Instances!BV36:Instances!BV36),"median", MEDIAN(Instances!BV36:Instances!BV36),"min", MIN(Instances!BV36:Instances!BV36),"max", MAX(Instances!BV36:Instances!BV36),"diff", MAX(Instances!BV36:Instances!BV36)-MIN(Instances!BV36:Instances!BV36))</f>
        <v>0</v>
      </c>
      <c r="BW36" s="1" cm="1">
        <f t="array" ref="BW36">_xlfn.SWITCH($A$2,"average", AVERAGE(Instances!BW36:Instances!BW36),"median", MEDIAN(Instances!BW36:Instances!BW36),"min", MIN(Instances!BW36:Instances!BW36),"max", MAX(Instances!BW36:Instances!BW36),"diff", MAX(Instances!BW36:Instances!BW36)-MIN(Instances!BW36:Instances!BW36))</f>
        <v>0</v>
      </c>
      <c r="BX36" s="1" cm="1">
        <f t="array" ref="BX36">_xlfn.SWITCH($A$2,"average", AVERAGE(Instances!BX36:Instances!BX36),"median", MEDIAN(Instances!BX36:Instances!BX36),"min", MIN(Instances!BX36:Instances!BX36),"max", MAX(Instances!BX36:Instances!BX36),"diff", MAX(Instances!BX36:Instances!BX36)-MIN(Instances!BX36:Instances!BX36))</f>
        <v>0</v>
      </c>
      <c r="BY36" s="1" cm="1">
        <f t="array" ref="BY36">_xlfn.SWITCH($A$2,"average", AVERAGE(Instances!BY36:Instances!BY36),"median", MEDIAN(Instances!BY36:Instances!BY36),"min", MIN(Instances!BY36:Instances!BY36),"max", MAX(Instances!BY36:Instances!BY36),"diff", MAX(Instances!BY36:Instances!BY36)-MIN(Instances!BY36:Instances!BY36))</f>
        <v>0</v>
      </c>
      <c r="BZ36" s="1" cm="1">
        <f t="array" ref="BZ36">_xlfn.SWITCH($A$2,"average", AVERAGE(Instances!BZ36:Instances!BZ36),"median", MEDIAN(Instances!BZ36:Instances!BZ36),"min", MIN(Instances!BZ36:Instances!BZ36),"max", MAX(Instances!BZ36:Instances!BZ36),"diff", MAX(Instances!BZ36:Instances!BZ36)-MIN(Instances!BZ36:Instances!BZ36))</f>
        <v>0</v>
      </c>
      <c r="CA36" s="1" cm="1">
        <f t="array" ref="CA36">_xlfn.SWITCH($A$2,"average", AVERAGE(Instances!CA36:Instances!CA36),"median", MEDIAN(Instances!CA36:Instances!CA36),"min", MIN(Instances!CA36:Instances!CA36),"max", MAX(Instances!CA36:Instances!CA36),"diff", MAX(Instances!CA36:Instances!CA36)-MIN(Instances!CA36:Instances!CA36))</f>
        <v>0</v>
      </c>
      <c r="CB36" s="1" cm="1">
        <f t="array" ref="CB36">_xlfn.SWITCH($A$2,"average", AVERAGE(Instances!CB36:Instances!CB36),"median", MEDIAN(Instances!CB36:Instances!CB36),"min", MIN(Instances!CB36:Instances!CB36),"max", MAX(Instances!CB36:Instances!CB36),"diff", MAX(Instances!CB36:Instances!CB36)-MIN(Instances!CB36:Instances!CB36))</f>
        <v>0</v>
      </c>
      <c r="CC36" s="1" cm="1">
        <f t="array" ref="CC36">_xlfn.SWITCH($A$2,"average", AVERAGE(Instances!CC36:Instances!CC36),"median", MEDIAN(Instances!CC36:Instances!CC36),"min", MIN(Instances!CC36:Instances!CC36),"max", MAX(Instances!CC36:Instances!CC36),"diff", MAX(Instances!CC36:Instances!CC36)-MIN(Instances!CC36:Instances!CC36))</f>
        <v>0</v>
      </c>
      <c r="CD36" s="1" cm="1">
        <f t="array" ref="CD36">_xlfn.SWITCH($A$2,"average", AVERAGE(Instances!CD36:Instances!CD36),"median", MEDIAN(Instances!CD36:Instances!CD36),"min", MIN(Instances!CD36:Instances!CD36),"max", MAX(Instances!CD36:Instances!CD36),"diff", MAX(Instances!CD36:Instances!CD36)-MIN(Instances!CD36:Instances!CD36))</f>
        <v>0</v>
      </c>
      <c r="CE36" s="1" cm="1">
        <f t="array" ref="CE36">_xlfn.SWITCH($A$2,"average", AVERAGE(Instances!CE36:Instances!CE36),"median", MEDIAN(Instances!CE36:Instances!CE36),"min", MIN(Instances!CE36:Instances!CE36),"max", MAX(Instances!CE36:Instances!CE36),"diff", MAX(Instances!CE36:Instances!CE36)-MIN(Instances!CE36:Instances!CE36))</f>
        <v>0</v>
      </c>
      <c r="CF36" s="1" cm="1">
        <f t="array" ref="CF36">_xlfn.SWITCH($A$2,"average", AVERAGE(Instances!CF36:Instances!CF36),"median", MEDIAN(Instances!CF36:Instances!CF36),"min", MIN(Instances!CF36:Instances!CF36),"max", MAX(Instances!CF36:Instances!CF36),"diff", MAX(Instances!CF36:Instances!CF36)-MIN(Instances!CF36:Instances!CF36))</f>
        <v>0</v>
      </c>
      <c r="CG36" s="1" cm="1">
        <f t="array" ref="CG36">_xlfn.SWITCH($A$2,"average", AVERAGE(Instances!CG36:Instances!CG36),"median", MEDIAN(Instances!CG36:Instances!CG36),"min", MIN(Instances!CG36:Instances!CG36),"max", MAX(Instances!CG36:Instances!CG36),"diff", MAX(Instances!CG36:Instances!CG36)-MIN(Instances!CG36:Instances!CG36))</f>
        <v>0</v>
      </c>
      <c r="CH36" s="1" cm="1">
        <f t="array" ref="CH36">_xlfn.SWITCH($A$2,"average", AVERAGE(Instances!CH36:Instances!CH36),"median", MEDIAN(Instances!CH36:Instances!CH36),"min", MIN(Instances!CH36:Instances!CH36),"max", MAX(Instances!CH36:Instances!CH36),"diff", MAX(Instances!CH36:Instances!CH36)-MIN(Instances!CH36:Instances!CH36))</f>
        <v>0</v>
      </c>
      <c r="CI36" s="1" cm="1">
        <f t="array" ref="CI36">_xlfn.SWITCH($A$2,"average", AVERAGE(Instances!CI36:Instances!CI36),"median", MEDIAN(Instances!CI36:Instances!CI36),"min", MIN(Instances!CI36:Instances!CI36),"max", MAX(Instances!CI36:Instances!CI36),"diff", MAX(Instances!CI36:Instances!CI36)-MIN(Instances!CI36:Instances!CI36))</f>
        <v>0</v>
      </c>
      <c r="CJ36" s="1"/>
      <c r="CK36" s="1" cm="1">
        <f t="array" ref="CK36">_xlfn.SWITCH($A$2,"average", AVERAGE(Instances!CK36:Instances!CK36),"median", MEDIAN(Instances!CK36:Instances!CK36),"min", MIN(Instances!CK36:Instances!CK36),"max", MAX(Instances!CK36:Instances!CK36),"diff", MAX(Instances!CK36:Instances!CK36)-MIN(Instances!CK36:Instances!CK36))</f>
        <v>0</v>
      </c>
      <c r="CL36" s="1" cm="1">
        <f t="array" ref="CL36">_xlfn.SWITCH($A$2,"average", AVERAGE(Instances!CL36:Instances!CL36),"median", MEDIAN(Instances!CL36:Instances!CL36),"min", MIN(Instances!CL36:Instances!CL36),"max", MAX(Instances!CL36:Instances!CL36),"diff", MAX(Instances!CL36:Instances!CL36)-MIN(Instances!CL36:Instances!CL36))</f>
        <v>0</v>
      </c>
      <c r="CM36" s="1" cm="1">
        <f t="array" ref="CM36">_xlfn.SWITCH($A$2,"average", AVERAGE(Instances!CM36:Instances!CM36),"median", MEDIAN(Instances!CM36:Instances!CM36),"min", MIN(Instances!CM36:Instances!CM36),"max", MAX(Instances!CM36:Instances!CM36),"diff", MAX(Instances!CM36:Instances!CM36)-MIN(Instances!CM36:Instances!CM36))</f>
        <v>0</v>
      </c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 cm="1">
        <f t="array" ref="DX36">_xlfn.SWITCH($A$2,"average", AVERAGE(Instances!DX36:Instances!DX36),"median", MEDIAN(Instances!DX36:Instances!DX36),"min", MIN(Instances!DX36:Instances!DX36),"max", MAX(Instances!DX36:Instances!DX36),"diff", MAX(Instances!DX36:Instances!DX36)-MIN(Instances!DX36:Instances!DX36))</f>
        <v>0</v>
      </c>
      <c r="DY36" s="1" cm="1">
        <f t="array" ref="DY36">_xlfn.SWITCH($A$2,"average", AVERAGE(Instances!DY36:Instances!DY36),"median", MEDIAN(Instances!DY36:Instances!DY36),"min", MIN(Instances!DY36:Instances!DY36),"max", MAX(Instances!DY36:Instances!DY36),"diff", MAX(Instances!DY36:Instances!DY36)-MIN(Instances!DY36:Instances!DY36))</f>
        <v>0</v>
      </c>
      <c r="DZ36" s="1" cm="1">
        <f t="array" ref="DZ36">_xlfn.SWITCH($A$2,"average", AVERAGE(Instances!DZ36:Instances!DZ36),"median", MEDIAN(Instances!DZ36:Instances!DZ36),"min", MIN(Instances!DZ36:Instances!DZ36),"max", MAX(Instances!DZ36:Instances!DZ36),"diff", MAX(Instances!DZ36:Instances!DZ36)-MIN(Instances!DZ36:Instances!DZ36))</f>
        <v>0</v>
      </c>
      <c r="EA36" s="1" cm="1">
        <f t="array" ref="EA36">_xlfn.SWITCH($A$2,"average", AVERAGE(Instances!EA36:Instances!EA36),"median", MEDIAN(Instances!EA36:Instances!EA36),"min", MIN(Instances!EA36:Instances!EA36),"max", MAX(Instances!EA36:Instances!EA36),"diff", MAX(Instances!EA36:Instances!EA36)-MIN(Instances!EA36:Instances!EA36))</f>
        <v>0</v>
      </c>
      <c r="EB36" s="1" cm="1">
        <f t="array" ref="EB36">_xlfn.SWITCH($A$2,"average", AVERAGE(Instances!EB36:Instances!EB36),"median", MEDIAN(Instances!EB36:Instances!EB36),"min", MIN(Instances!EB36:Instances!EB36),"max", MAX(Instances!EB36:Instances!EB36),"diff", MAX(Instances!EB36:Instances!EB36)-MIN(Instances!EB36:Instances!EB36))</f>
        <v>0</v>
      </c>
      <c r="EC36" s="1" cm="1">
        <f t="array" ref="EC36">_xlfn.SWITCH($A$2,"average", AVERAGE(Instances!EC36:Instances!EC36),"median", MEDIAN(Instances!EC36:Instances!EC36),"min", MIN(Instances!EC36:Instances!EC36),"max", MAX(Instances!EC36:Instances!EC36),"diff", MAX(Instances!EC36:Instances!EC36)-MIN(Instances!EC36:Instances!EC36))</f>
        <v>0</v>
      </c>
      <c r="ED36" s="1" cm="1">
        <f t="array" ref="ED36">_xlfn.SWITCH($A$2,"average", AVERAGE(Instances!ED36:Instances!ED36),"median", MEDIAN(Instances!ED36:Instances!ED36),"min", MIN(Instances!ED36:Instances!ED36),"max", MAX(Instances!ED36:Instances!ED36),"diff", MAX(Instances!ED36:Instances!ED36)-MIN(Instances!ED36:Instances!ED36))</f>
        <v>0</v>
      </c>
      <c r="EE36" s="1" cm="1">
        <f t="array" ref="EE36">_xlfn.SWITCH($A$2,"average", AVERAGE(Instances!EE36:Instances!EE36),"median", MEDIAN(Instances!EE36:Instances!EE36),"min", MIN(Instances!EE36:Instances!EE36),"max", MAX(Instances!EE36:Instances!EE36),"diff", MAX(Instances!EE36:Instances!EE36)-MIN(Instances!EE36:Instances!EE36))</f>
        <v>0</v>
      </c>
      <c r="EF36" s="1" cm="1">
        <f t="array" ref="EF36">_xlfn.SWITCH($A$2,"average", AVERAGE(Instances!EF36:Instances!EF36),"median", MEDIAN(Instances!EF36:Instances!EF36),"min", MIN(Instances!EF36:Instances!EF36),"max", MAX(Instances!EF36:Instances!EF36),"diff", MAX(Instances!EF36:Instances!EF36)-MIN(Instances!EF36:Instances!EF36))</f>
        <v>0</v>
      </c>
      <c r="EG36" s="1" cm="1">
        <f t="array" ref="EG36">_xlfn.SWITCH($A$2,"average", AVERAGE(Instances!EG36:Instances!EG36),"median", MEDIAN(Instances!EG36:Instances!EG36),"min", MIN(Instances!EG36:Instances!EG36),"max", MAX(Instances!EG36:Instances!EG36),"diff", MAX(Instances!EG36:Instances!EG36)-MIN(Instances!EG36:Instances!EG36))</f>
        <v>0</v>
      </c>
      <c r="EH36" s="1" cm="1">
        <f t="array" ref="EH36">_xlfn.SWITCH($A$2,"average", AVERAGE(Instances!EH36:Instances!EH36),"median", MEDIAN(Instances!EH36:Instances!EH36),"min", MIN(Instances!EH36:Instances!EH36),"max", MAX(Instances!EH36:Instances!EH36),"diff", MAX(Instances!EH36:Instances!EH36)-MIN(Instances!EH36:Instances!EH36))</f>
        <v>0</v>
      </c>
      <c r="EI36" s="1" cm="1">
        <f t="array" ref="EI36">_xlfn.SWITCH($A$2,"average", AVERAGE(Instances!EI36:Instances!EI36),"median", MEDIAN(Instances!EI36:Instances!EI36),"min", MIN(Instances!EI36:Instances!EI36),"max", MAX(Instances!EI36:Instances!EI36),"diff", MAX(Instances!EI36:Instances!EI36)-MIN(Instances!EI36:Instances!EI36))</f>
        <v>0</v>
      </c>
      <c r="EJ36" s="1" cm="1">
        <f t="array" ref="EJ36">_xlfn.SWITCH($A$2,"average", AVERAGE(Instances!EJ36:Instances!EJ36),"median", MEDIAN(Instances!EJ36:Instances!EJ36),"min", MIN(Instances!EJ36:Instances!EJ36),"max", MAX(Instances!EJ36:Instances!EJ36),"diff", MAX(Instances!EJ36:Instances!EJ36)-MIN(Instances!EJ36:Instances!EJ36))</f>
        <v>0</v>
      </c>
      <c r="EK36" s="1" cm="1">
        <f t="array" ref="EK36">_xlfn.SWITCH($A$2,"average", AVERAGE(Instances!EK36:Instances!EK36),"median", MEDIAN(Instances!EK36:Instances!EK36),"min", MIN(Instances!EK36:Instances!EK36),"max", MAX(Instances!EK36:Instances!EK36),"diff", MAX(Instances!EK36:Instances!EK36)-MIN(Instances!EK36:Instances!EK36))</f>
        <v>0</v>
      </c>
      <c r="EL36" s="1"/>
      <c r="EM36" s="1" cm="1">
        <f t="array" ref="EM36">_xlfn.SWITCH($A$2,"average", AVERAGE(Instances!EM36:Instances!EM36),"median", MEDIAN(Instances!EM36:Instances!EM36),"min", MIN(Instances!EM36:Instances!EM36),"max", MAX(Instances!EM36:Instances!EM36),"diff", MAX(Instances!EM36:Instances!EM36)-MIN(Instances!EM36:Instances!EM36))</f>
        <v>0</v>
      </c>
      <c r="EN36" s="1" cm="1">
        <f t="array" ref="EN36">_xlfn.SWITCH($A$2,"average", AVERAGE(Instances!EN36:Instances!EN36),"median", MEDIAN(Instances!EN36:Instances!EN36),"min", MIN(Instances!EN36:Instances!EN36),"max", MAX(Instances!EN36:Instances!EN36),"diff", MAX(Instances!EN36:Instances!EN36)-MIN(Instances!EN36:Instances!EN36))</f>
        <v>0</v>
      </c>
      <c r="EO36" s="1" cm="1">
        <f t="array" ref="EO36">_xlfn.SWITCH($A$2,"average", AVERAGE(Instances!EO36:Instances!EO36),"median", MEDIAN(Instances!EO36:Instances!EO36),"min", MIN(Instances!EO36:Instances!EO36),"max", MAX(Instances!EO36:Instances!EO36),"diff", MAX(Instances!EO36:Instances!EO36)-MIN(Instances!EO36:Instances!EO36))</f>
        <v>0</v>
      </c>
      <c r="EP36" s="1" cm="1">
        <f t="array" ref="EP36">_xlfn.SWITCH($A$2,"average", AVERAGE(Instances!EP36:Instances!EP36),"median", MEDIAN(Instances!EP36:Instances!EP36),"min", MIN(Instances!EP36:Instances!EP36),"max", MAX(Instances!EP36:Instances!EP36),"diff", MAX(Instances!EP36:Instances!EP36)-MIN(Instances!EP36:Instances!EP36))</f>
        <v>0</v>
      </c>
      <c r="EQ36" s="1" cm="1">
        <f t="array" ref="EQ36">_xlfn.SWITCH($A$2,"average", AVERAGE(Instances!EQ36:Instances!EQ36),"median", MEDIAN(Instances!EQ36:Instances!EQ36),"min", MIN(Instances!EQ36:Instances!EQ36),"max", MAX(Instances!EQ36:Instances!EQ36),"diff", MAX(Instances!EQ36:Instances!EQ36)-MIN(Instances!EQ36:Instances!EQ36))</f>
        <v>0</v>
      </c>
      <c r="ER36" s="1" cm="1">
        <f t="array" ref="ER36">_xlfn.SWITCH($A$2,"average", AVERAGE(Instances!ER36:Instances!ER36),"median", MEDIAN(Instances!ER36:Instances!ER36),"min", MIN(Instances!ER36:Instances!ER36),"max", MAX(Instances!ER36:Instances!ER36),"diff", MAX(Instances!ER36:Instances!ER36)-MIN(Instances!ER36:Instances!ER36))</f>
        <v>0</v>
      </c>
      <c r="ES36" s="1" cm="1">
        <f t="array" ref="ES36">_xlfn.SWITCH($A$2,"average", AVERAGE(Instances!ES36:Instances!ES36),"median", MEDIAN(Instances!ES36:Instances!ES36),"min", MIN(Instances!ES36:Instances!ES36),"max", MAX(Instances!ES36:Instances!ES36),"diff", MAX(Instances!ES36:Instances!ES36)-MIN(Instances!ES36:Instances!ES36))</f>
        <v>0</v>
      </c>
      <c r="ET36" s="1" cm="1">
        <f t="array" ref="ET36">_xlfn.SWITCH($A$2,"average", AVERAGE(Instances!ET36:Instances!ET36),"median", MEDIAN(Instances!ET36:Instances!ET36),"min", MIN(Instances!ET36:Instances!ET36),"max", MAX(Instances!ET36:Instances!ET36),"diff", MAX(Instances!ET36:Instances!ET36)-MIN(Instances!ET36:Instances!ET36))</f>
        <v>0</v>
      </c>
      <c r="EU36" s="1" cm="1">
        <f t="array" ref="EU36">_xlfn.SWITCH($A$2,"average", AVERAGE(Instances!EU36:Instances!EU36),"median", MEDIAN(Instances!EU36:Instances!EU36),"min", MIN(Instances!EU36:Instances!EU36),"max", MAX(Instances!EU36:Instances!EU36),"diff", MAX(Instances!EU36:Instances!EU36)-MIN(Instances!EU36:Instances!EU36))</f>
        <v>0</v>
      </c>
      <c r="EV36" s="1" cm="1">
        <f t="array" ref="EV36">_xlfn.SWITCH($A$2,"average", AVERAGE(Instances!EV36:Instances!EV36),"median", MEDIAN(Instances!EV36:Instances!EV36),"min", MIN(Instances!EV36:Instances!EV36),"max", MAX(Instances!EV36:Instances!EV36),"diff", MAX(Instances!EV36:Instances!EV36)-MIN(Instances!EV36:Instances!EV36))</f>
        <v>0</v>
      </c>
      <c r="EW36" s="1" cm="1">
        <f t="array" ref="EW36">_xlfn.SWITCH($A$2,"average", AVERAGE(Instances!EW36:Instances!EW36),"median", MEDIAN(Instances!EW36:Instances!EW36),"min", MIN(Instances!EW36:Instances!EW36),"max", MAX(Instances!EW36:Instances!EW36),"diff", MAX(Instances!EW36:Instances!EW36)-MIN(Instances!EW36:Instances!EW36))</f>
        <v>0</v>
      </c>
      <c r="EX36" s="1" cm="1">
        <f t="array" ref="EX36">_xlfn.SWITCH($A$2,"average", AVERAGE(Instances!EX36:Instances!EX36),"median", MEDIAN(Instances!EX36:Instances!EX36),"min", MIN(Instances!EX36:Instances!EX36),"max", MAX(Instances!EX36:Instances!EX36),"diff", MAX(Instances!EX36:Instances!EX36)-MIN(Instances!EX36:Instances!EX36))</f>
        <v>0</v>
      </c>
      <c r="EY36" s="1" cm="1">
        <f t="array" ref="EY36">_xlfn.SWITCH($A$2,"average", AVERAGE(Instances!EY36:Instances!EY36),"median", MEDIAN(Instances!EY36:Instances!EY36),"min", MIN(Instances!EY36:Instances!EY36),"max", MAX(Instances!EY36:Instances!EY36),"diff", MAX(Instances!EY36:Instances!EY36)-MIN(Instances!EY36:Instances!EY36))</f>
        <v>0</v>
      </c>
      <c r="EZ36" s="1" cm="1">
        <f t="array" ref="EZ36">_xlfn.SWITCH($A$2,"average", AVERAGE(Instances!EZ36:Instances!EZ36),"median", MEDIAN(Instances!EZ36:Instances!EZ36),"min", MIN(Instances!EZ36:Instances!EZ36),"max", MAX(Instances!EZ36:Instances!EZ36),"diff", MAX(Instances!EZ36:Instances!EZ36)-MIN(Instances!EZ36:Instances!EZ36))</f>
        <v>0</v>
      </c>
      <c r="FA36" s="1" cm="1">
        <f t="array" ref="FA36">_xlfn.SWITCH($A$2,"average", AVERAGE(Instances!FA36:Instances!FA36),"median", MEDIAN(Instances!FA36:Instances!FA36),"min", MIN(Instances!FA36:Instances!FA36),"max", MAX(Instances!FA36:Instances!FA36),"diff", MAX(Instances!FA36:Instances!FA36)-MIN(Instances!FA36:Instances!FA36))</f>
        <v>0</v>
      </c>
      <c r="FB36" s="1" cm="1">
        <f t="array" ref="FB36">_xlfn.SWITCH($A$2,"average", AVERAGE(Instances!FB36:Instances!FB36),"median", MEDIAN(Instances!FB36:Instances!FB36),"min", MIN(Instances!FB36:Instances!FB36),"max", MAX(Instances!FB36:Instances!FB36),"diff", MAX(Instances!FB36:Instances!FB36)-MIN(Instances!FB36:Instances!FB36))</f>
        <v>0</v>
      </c>
      <c r="FC36" s="1" cm="1">
        <f t="array" ref="FC36">_xlfn.SWITCH($A$2,"average", AVERAGE(Instances!FC36:Instances!FC36),"median", MEDIAN(Instances!FC36:Instances!FC36),"min", MIN(Instances!FC36:Instances!FC36),"max", MAX(Instances!FC36:Instances!FC36),"diff", MAX(Instances!FC36:Instances!FC36)-MIN(Instances!FC36:Instances!FC36))</f>
        <v>0</v>
      </c>
      <c r="FD36" s="1"/>
      <c r="FE36" s="1" cm="1">
        <f t="array" ref="FE36">_xlfn.SWITCH($A$2,"average", AVERAGE(Instances!FE36:Instances!FE36),"median", MEDIAN(Instances!FE36:Instances!FE36),"min", MIN(Instances!FE36:Instances!FE36),"max", MAX(Instances!FE36:Instances!FE36),"diff", MAX(Instances!FE36:Instances!FE36)-MIN(Instances!FE36:Instances!FE36))</f>
        <v>0</v>
      </c>
      <c r="FF36" s="1" cm="1">
        <f t="array" ref="FF36">_xlfn.SWITCH($A$2,"average", AVERAGE(Instances!FF36:Instances!FF36),"median", MEDIAN(Instances!FF36:Instances!FF36),"min", MIN(Instances!FF36:Instances!FF36),"max", MAX(Instances!FF36:Instances!FF36),"diff", MAX(Instances!FF36:Instances!FF36)-MIN(Instances!FF36:Instances!FF36))</f>
        <v>0</v>
      </c>
      <c r="FG36" s="1" cm="1">
        <f t="array" ref="FG36">_xlfn.SWITCH($A$2,"average", AVERAGE(Instances!FG36:Instances!FG36),"median", MEDIAN(Instances!FG36:Instances!FG36),"min", MIN(Instances!FG36:Instances!FG36),"max", MAX(Instances!FG36:Instances!FG36),"diff", MAX(Instances!FG36:Instances!FG36)-MIN(Instances!FG36:Instances!FG36))</f>
        <v>0</v>
      </c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 cm="1">
        <f t="array" ref="FZ36">_xlfn.SWITCH($A$2,"average", AVERAGE(Instances!FZ36:Instances!FZ36),"median", MEDIAN(Instances!FZ36:Instances!FZ36),"min", MIN(Instances!FZ36:Instances!FZ36),"max", MAX(Instances!FZ36:Instances!FZ36),"diff", MAX(Instances!FZ36:Instances!FZ36)-MIN(Instances!FZ36:Instances!FZ36))</f>
        <v>0</v>
      </c>
      <c r="GA36" s="1" cm="1">
        <f t="array" ref="GA36">_xlfn.SWITCH($A$2,"average", AVERAGE(Instances!GA36:Instances!GA36),"median", MEDIAN(Instances!GA36:Instances!GA36),"min", MIN(Instances!GA36:Instances!GA36),"max", MAX(Instances!GA36:Instances!GA36),"diff", MAX(Instances!GA36:Instances!GA36)-MIN(Instances!GA36:Instances!GA36))</f>
        <v>0</v>
      </c>
      <c r="GB36" s="1" cm="1">
        <f t="array" ref="GB36">_xlfn.SWITCH($A$2,"average", AVERAGE(Instances!GB36:Instances!GB36),"median", MEDIAN(Instances!GB36:Instances!GB36),"min", MIN(Instances!GB36:Instances!GB36),"max", MAX(Instances!GB36:Instances!GB36),"diff", MAX(Instances!GB36:Instances!GB36)-MIN(Instances!GB36:Instances!GB36))</f>
        <v>0</v>
      </c>
      <c r="GC36" s="1" cm="1">
        <f t="array" ref="GC36">_xlfn.SWITCH($A$2,"average", AVERAGE(Instances!GC36:Instances!GC36),"median", MEDIAN(Instances!GC36:Instances!GC36),"min", MIN(Instances!GC36:Instances!GC36),"max", MAX(Instances!GC36:Instances!GC36),"diff", MAX(Instances!GC36:Instances!GC36)-MIN(Instances!GC36:Instances!GC36))</f>
        <v>0</v>
      </c>
      <c r="GD36" s="1" cm="1">
        <f t="array" ref="GD36">_xlfn.SWITCH($A$2,"average", AVERAGE(Instances!GD36:Instances!GD36),"median", MEDIAN(Instances!GD36:Instances!GD36),"min", MIN(Instances!GD36:Instances!GD36),"max", MAX(Instances!GD36:Instances!GD36),"diff", MAX(Instances!GD36:Instances!GD36)-MIN(Instances!GD36:Instances!GD36))</f>
        <v>0</v>
      </c>
      <c r="GE36" s="1" cm="1">
        <f t="array" ref="GE36">_xlfn.SWITCH($A$2,"average", AVERAGE(Instances!GE36:Instances!GE36),"median", MEDIAN(Instances!GE36:Instances!GE36),"min", MIN(Instances!GE36:Instances!GE36),"max", MAX(Instances!GE36:Instances!GE36),"diff", MAX(Instances!GE36:Instances!GE36)-MIN(Instances!GE36:Instances!GE36))</f>
        <v>0</v>
      </c>
      <c r="GF36" s="1" cm="1">
        <f t="array" ref="GF36">_xlfn.SWITCH($A$2,"average", AVERAGE(Instances!GF36:Instances!GF36),"median", MEDIAN(Instances!GF36:Instances!GF36),"min", MIN(Instances!GF36:Instances!GF36),"max", MAX(Instances!GF36:Instances!GF36),"diff", MAX(Instances!GF36:Instances!GF36)-MIN(Instances!GF36:Instances!GF36))</f>
        <v>0</v>
      </c>
      <c r="GG36" s="1" cm="1">
        <f t="array" ref="GG36">_xlfn.SWITCH($A$2,"average", AVERAGE(Instances!GG36:Instances!GG36),"median", MEDIAN(Instances!GG36:Instances!GG36),"min", MIN(Instances!GG36:Instances!GG36),"max", MAX(Instances!GG36:Instances!GG36),"diff", MAX(Instances!GG36:Instances!GG36)-MIN(Instances!GG36:Instances!GG36))</f>
        <v>0</v>
      </c>
      <c r="GH36" s="1" cm="1">
        <f t="array" ref="GH36">_xlfn.SWITCH($A$2,"average", AVERAGE(Instances!GH36:Instances!GH36),"median", MEDIAN(Instances!GH36:Instances!GH36),"min", MIN(Instances!GH36:Instances!GH36),"max", MAX(Instances!GH36:Instances!GH36),"diff", MAX(Instances!GH36:Instances!GH36)-MIN(Instances!GH36:Instances!GH36))</f>
        <v>0</v>
      </c>
      <c r="GI36" s="1" cm="1">
        <f t="array" ref="GI36">_xlfn.SWITCH($A$2,"average", AVERAGE(Instances!GI36:Instances!GI36),"median", MEDIAN(Instances!GI36:Instances!GI36),"min", MIN(Instances!GI36:Instances!GI36),"max", MAX(Instances!GI36:Instances!GI36),"diff", MAX(Instances!GI36:Instances!GI36)-MIN(Instances!GI36:Instances!GI36))</f>
        <v>0</v>
      </c>
      <c r="GJ36" s="1" cm="1">
        <f t="array" ref="GJ36">_xlfn.SWITCH($A$2,"average", AVERAGE(Instances!GJ36:Instances!GJ36),"median", MEDIAN(Instances!GJ36:Instances!GJ36),"min", MIN(Instances!GJ36:Instances!GJ36),"max", MAX(Instances!GJ36:Instances!GJ36),"diff", MAX(Instances!GJ36:Instances!GJ36)-MIN(Instances!GJ36:Instances!GJ36))</f>
        <v>0</v>
      </c>
      <c r="GK36" s="1" cm="1">
        <f t="array" ref="GK36">_xlfn.SWITCH($A$2,"average", AVERAGE(Instances!GK36:Instances!GK36),"median", MEDIAN(Instances!GK36:Instances!GK36),"min", MIN(Instances!GK36:Instances!GK36),"max", MAX(Instances!GK36:Instances!GK36),"diff", MAX(Instances!GK36:Instances!GK36)-MIN(Instances!GK36:Instances!GK36))</f>
        <v>0</v>
      </c>
      <c r="GL36" s="1" cm="1">
        <f t="array" ref="GL36">_xlfn.SWITCH($A$2,"average", AVERAGE(Instances!GL36:Instances!GL36),"median", MEDIAN(Instances!GL36:Instances!GL36),"min", MIN(Instances!GL36:Instances!GL36),"max", MAX(Instances!GL36:Instances!GL36),"diff", MAX(Instances!GL36:Instances!GL36)-MIN(Instances!GL36:Instances!GL36))</f>
        <v>0</v>
      </c>
      <c r="GM36" s="1" cm="1">
        <f t="array" ref="GM36">_xlfn.SWITCH($A$2,"average", AVERAGE(Instances!GM36:Instances!GM36),"median", MEDIAN(Instances!GM36:Instances!GM36),"min", MIN(Instances!GM36:Instances!GM36),"max", MAX(Instances!GM36:Instances!GM36),"diff", MAX(Instances!GM36:Instances!GM36)-MIN(Instances!GM36:Instances!GM36))</f>
        <v>0</v>
      </c>
      <c r="GN36" s="1"/>
      <c r="GO36" s="1" cm="1">
        <f t="array" ref="GO36">_xlfn.SWITCH($A$2,"average", AVERAGE(Instances!GO36:Instances!GO36),"median", MEDIAN(Instances!GO36:Instances!GO36),"min", MIN(Instances!GO36:Instances!GO36),"max", MAX(Instances!GO36:Instances!GO36),"diff", MAX(Instances!GO36:Instances!GO36)-MIN(Instances!GO36:Instances!GO36))</f>
        <v>0</v>
      </c>
      <c r="GP36" s="1" cm="1">
        <f t="array" ref="GP36">_xlfn.SWITCH($A$2,"average", AVERAGE(Instances!GP36:Instances!GP36),"median", MEDIAN(Instances!GP36:Instances!GP36),"min", MIN(Instances!GP36:Instances!GP36),"max", MAX(Instances!GP36:Instances!GP36),"diff", MAX(Instances!GP36:Instances!GP36)-MIN(Instances!GP36:Instances!GP36))</f>
        <v>0</v>
      </c>
      <c r="GQ36" s="1" cm="1">
        <f t="array" ref="GQ36">_xlfn.SWITCH($A$2,"average", AVERAGE(Instances!GQ36:Instances!GQ36),"median", MEDIAN(Instances!GQ36:Instances!GQ36),"min", MIN(Instances!GQ36:Instances!GQ36),"max", MAX(Instances!GQ36:Instances!GQ36),"diff", MAX(Instances!GQ36:Instances!GQ36)-MIN(Instances!GQ36:Instances!GQ36))</f>
        <v>0</v>
      </c>
      <c r="GR36" s="1" cm="1">
        <f t="array" ref="GR36">_xlfn.SWITCH($A$2,"average", AVERAGE(Instances!GR36:Instances!GR36),"median", MEDIAN(Instances!GR36:Instances!GR36),"min", MIN(Instances!GR36:Instances!GR36),"max", MAX(Instances!GR36:Instances!GR36),"diff", MAX(Instances!GR36:Instances!GR36)-MIN(Instances!GR36:Instances!GR36))</f>
        <v>0</v>
      </c>
      <c r="GS36" s="1" cm="1">
        <f t="array" ref="GS36">_xlfn.SWITCH($A$2,"average", AVERAGE(Instances!GS36:Instances!GS36),"median", MEDIAN(Instances!GS36:Instances!GS36),"min", MIN(Instances!GS36:Instances!GS36),"max", MAX(Instances!GS36:Instances!GS36),"diff", MAX(Instances!GS36:Instances!GS36)-MIN(Instances!GS36:Instances!GS36))</f>
        <v>0</v>
      </c>
      <c r="GT36" s="1" cm="1">
        <f t="array" ref="GT36">_xlfn.SWITCH($A$2,"average", AVERAGE(Instances!GT36:Instances!GT36),"median", MEDIAN(Instances!GT36:Instances!GT36),"min", MIN(Instances!GT36:Instances!GT36),"max", MAX(Instances!GT36:Instances!GT36),"diff", MAX(Instances!GT36:Instances!GT36)-MIN(Instances!GT36:Instances!GT36))</f>
        <v>0</v>
      </c>
      <c r="GU36" s="1" cm="1">
        <f t="array" ref="GU36">_xlfn.SWITCH($A$2,"average", AVERAGE(Instances!GU36:Instances!GU36),"median", MEDIAN(Instances!GU36:Instances!GU36),"min", MIN(Instances!GU36:Instances!GU36),"max", MAX(Instances!GU36:Instances!GU36),"diff", MAX(Instances!GU36:Instances!GU36)-MIN(Instances!GU36:Instances!GU36))</f>
        <v>0</v>
      </c>
      <c r="GV36" s="1" cm="1">
        <f t="array" ref="GV36">_xlfn.SWITCH($A$2,"average", AVERAGE(Instances!GV36:Instances!GV36),"median", MEDIAN(Instances!GV36:Instances!GV36),"min", MIN(Instances!GV36:Instances!GV36),"max", MAX(Instances!GV36:Instances!GV36),"diff", MAX(Instances!GV36:Instances!GV36)-MIN(Instances!GV36:Instances!GV36))</f>
        <v>0</v>
      </c>
      <c r="GW36" s="1" cm="1">
        <f t="array" ref="GW36">_xlfn.SWITCH($A$2,"average", AVERAGE(Instances!GW36:Instances!GW36),"median", MEDIAN(Instances!GW36:Instances!GW36),"min", MIN(Instances!GW36:Instances!GW36),"max", MAX(Instances!GW36:Instances!GW36),"diff", MAX(Instances!GW36:Instances!GW36)-MIN(Instances!GW36:Instances!GW36))</f>
        <v>0</v>
      </c>
      <c r="GX36" s="1" cm="1">
        <f t="array" ref="GX36">_xlfn.SWITCH($A$2,"average", AVERAGE(Instances!GX36:Instances!GX36),"median", MEDIAN(Instances!GX36:Instances!GX36),"min", MIN(Instances!GX36:Instances!GX36),"max", MAX(Instances!GX36:Instances!GX36),"diff", MAX(Instances!GX36:Instances!GX36)-MIN(Instances!GX36:Instances!GX36))</f>
        <v>0</v>
      </c>
      <c r="GY36" s="1" cm="1">
        <f t="array" ref="GY36">_xlfn.SWITCH($A$2,"average", AVERAGE(Instances!GY36:Instances!GY36),"median", MEDIAN(Instances!GY36:Instances!GY36),"min", MIN(Instances!GY36:Instances!GY36),"max", MAX(Instances!GY36:Instances!GY36),"diff", MAX(Instances!GY36:Instances!GY36)-MIN(Instances!GY36:Instances!GY36))</f>
        <v>0</v>
      </c>
      <c r="GZ36" s="1" cm="1">
        <f t="array" ref="GZ36">_xlfn.SWITCH($A$2,"average", AVERAGE(Instances!GZ36:Instances!GZ36),"median", MEDIAN(Instances!GZ36:Instances!GZ36),"min", MIN(Instances!GZ36:Instances!GZ36),"max", MAX(Instances!GZ36:Instances!GZ36),"diff", MAX(Instances!GZ36:Instances!GZ36)-MIN(Instances!GZ36:Instances!GZ36))</f>
        <v>0</v>
      </c>
      <c r="HA36" s="1" cm="1">
        <f t="array" ref="HA36">_xlfn.SWITCH($A$2,"average", AVERAGE(Instances!HA36:Instances!HA36),"median", MEDIAN(Instances!HA36:Instances!HA36),"min", MIN(Instances!HA36:Instances!HA36),"max", MAX(Instances!HA36:Instances!HA36),"diff", MAX(Instances!HA36:Instances!HA36)-MIN(Instances!HA36:Instances!HA36))</f>
        <v>0</v>
      </c>
      <c r="HB36" s="1" cm="1">
        <f t="array" ref="HB36">_xlfn.SWITCH($A$2,"average", AVERAGE(Instances!HB36:Instances!HB36),"median", MEDIAN(Instances!HB36:Instances!HB36),"min", MIN(Instances!HB36:Instances!HB36),"max", MAX(Instances!HB36:Instances!HB36),"diff", MAX(Instances!HB36:Instances!HB36)-MIN(Instances!HB36:Instances!HB36))</f>
        <v>0</v>
      </c>
      <c r="HC36" s="1" cm="1">
        <f t="array" ref="HC36">_xlfn.SWITCH($A$2,"average", AVERAGE(Instances!HC36:Instances!HC36),"median", MEDIAN(Instances!HC36:Instances!HC36),"min", MIN(Instances!HC36:Instances!HC36),"max", MAX(Instances!HC36:Instances!HC36),"diff", MAX(Instances!HC36:Instances!HC36)-MIN(Instances!HC36:Instances!HC36))</f>
        <v>0</v>
      </c>
      <c r="HD36" s="1" cm="1">
        <f t="array" ref="HD36">_xlfn.SWITCH($A$2,"average", AVERAGE(Instances!HD36:Instances!HD36),"median", MEDIAN(Instances!HD36:Instances!HD36),"min", MIN(Instances!HD36:Instances!HD36),"max", MAX(Instances!HD36:Instances!HD36),"diff", MAX(Instances!HD36:Instances!HD36)-MIN(Instances!HD36:Instances!HD36))</f>
        <v>0</v>
      </c>
      <c r="HE36" s="1" cm="1">
        <f t="array" ref="HE36">_xlfn.SWITCH($A$2,"average", AVERAGE(Instances!HE36:Instances!HE36),"median", MEDIAN(Instances!HE36:Instances!HE36),"min", MIN(Instances!HE36:Instances!HE36),"max", MAX(Instances!HE36:Instances!HE36),"diff", MAX(Instances!HE36:Instances!HE36)-MIN(Instances!HE36:Instances!HE36))</f>
        <v>0</v>
      </c>
      <c r="HF36" s="1"/>
      <c r="HG36" s="1" cm="1">
        <f t="array" ref="HG36">_xlfn.SWITCH($A$2,"average", AVERAGE(Instances!HG36:Instances!HG36),"median", MEDIAN(Instances!HG36:Instances!HG36),"min", MIN(Instances!HG36:Instances!HG36),"max", MAX(Instances!HG36:Instances!HG36),"diff", MAX(Instances!HG36:Instances!HG36)-MIN(Instances!HG36:Instances!HG36))</f>
        <v>0</v>
      </c>
      <c r="HH36" s="1" cm="1">
        <f t="array" ref="HH36">_xlfn.SWITCH($A$2,"average", AVERAGE(Instances!HH36:Instances!HH36),"median", MEDIAN(Instances!HH36:Instances!HH36),"min", MIN(Instances!HH36:Instances!HH36),"max", MAX(Instances!HH36:Instances!HH36),"diff", MAX(Instances!HH36:Instances!HH36)-MIN(Instances!HH36:Instances!HH36))</f>
        <v>0</v>
      </c>
      <c r="HI36" s="1" cm="1">
        <f t="array" ref="HI36">_xlfn.SWITCH($A$2,"average", AVERAGE(Instances!HI36:Instances!HI36),"median", MEDIAN(Instances!HI36:Instances!HI36),"min", MIN(Instances!HI36:Instances!HI36),"max", MAX(Instances!HI36:Instances!HI36),"diff", MAX(Instances!HI36:Instances!HI36)-MIN(Instances!HI36:Instances!HI36))</f>
        <v>0</v>
      </c>
      <c r="HJ36" s="1" cm="1">
        <f t="array" ref="HJ36">_xlfn.SWITCH($A$2,"average", AVERAGE(Instances!HJ36:Instances!HJ36),"median", MEDIAN(Instances!HJ36:Instances!HJ36),"min", MIN(Instances!HJ36:Instances!HJ36),"max", MAX(Instances!HJ36:Instances!HJ36),"diff", MAX(Instances!HJ36:Instances!HJ36)-MIN(Instances!HJ36:Instances!HJ36))</f>
        <v>0</v>
      </c>
      <c r="HK36" s="1" cm="1">
        <f t="array" ref="HK36">_xlfn.SWITCH($A$2,"average", AVERAGE(Instances!HK36:Instances!HK36),"median", MEDIAN(Instances!HK36:Instances!HK36),"min", MIN(Instances!HK36:Instances!HK36),"max", MAX(Instances!HK36:Instances!HK36),"diff", MAX(Instances!HK36:Instances!HK36)-MIN(Instances!HK36:Instances!HK36))</f>
        <v>0</v>
      </c>
      <c r="HL36" s="1" cm="1">
        <f t="array" ref="HL36">_xlfn.SWITCH($A$2,"average", AVERAGE(Instances!HL36:Instances!HL36),"median", MEDIAN(Instances!HL36:Instances!HL36),"min", MIN(Instances!HL36:Instances!HL36),"max", MAX(Instances!HL36:Instances!HL36),"diff", MAX(Instances!HL36:Instances!HL36)-MIN(Instances!HL36:Instances!HL36))</f>
        <v>0</v>
      </c>
      <c r="HM36" s="1" cm="1">
        <f t="array" ref="HM36">_xlfn.SWITCH($A$2,"average", AVERAGE(Instances!HM36:Instances!HM36),"median", MEDIAN(Instances!HM36:Instances!HM36),"min", MIN(Instances!HM36:Instances!HM36),"max", MAX(Instances!HM36:Instances!HM36),"diff", MAX(Instances!HM36:Instances!HM36)-MIN(Instances!HM36:Instances!HM36))</f>
        <v>0</v>
      </c>
      <c r="HN36" s="1" cm="1">
        <f t="array" ref="HN36">_xlfn.SWITCH($A$2,"average", AVERAGE(Instances!HN36:Instances!HN36),"median", MEDIAN(Instances!HN36:Instances!HN36),"min", MIN(Instances!HN36:Instances!HN36),"max", MAX(Instances!HN36:Instances!HN36),"diff", MAX(Instances!HN36:Instances!HN36)-MIN(Instances!HN36:Instances!HN36))</f>
        <v>0</v>
      </c>
      <c r="HO36" s="1" cm="1">
        <f t="array" ref="HO36">_xlfn.SWITCH($A$2,"average", AVERAGE(Instances!HO36:Instances!HO36),"median", MEDIAN(Instances!HO36:Instances!HO36),"min", MIN(Instances!HO36:Instances!HO36),"max", MAX(Instances!HO36:Instances!HO36),"diff", MAX(Instances!HO36:Instances!HO36)-MIN(Instances!HO36:Instances!HO36))</f>
        <v>0</v>
      </c>
      <c r="HP36" s="1" cm="1">
        <f t="array" ref="HP36">_xlfn.SWITCH($A$2,"average", AVERAGE(Instances!HP36:Instances!HP36),"median", MEDIAN(Instances!HP36:Instances!HP36),"min", MIN(Instances!HP36:Instances!HP36),"max", MAX(Instances!HP36:Instances!HP36),"diff", MAX(Instances!HP36:Instances!HP36)-MIN(Instances!HP36:Instances!HP36))</f>
        <v>0</v>
      </c>
      <c r="HQ36" s="1" cm="1">
        <f t="array" ref="HQ36">_xlfn.SWITCH($A$2,"average", AVERAGE(Instances!HQ36:Instances!HQ36),"median", MEDIAN(Instances!HQ36:Instances!HQ36),"min", MIN(Instances!HQ36:Instances!HQ36),"max", MAX(Instances!HQ36:Instances!HQ36),"diff", MAX(Instances!HQ36:Instances!HQ36)-MIN(Instances!HQ36:Instances!HQ36))</f>
        <v>0</v>
      </c>
      <c r="HR36" s="1" cm="1">
        <f t="array" ref="HR36">_xlfn.SWITCH($A$2,"average", AVERAGE(Instances!HR36:Instances!HR36),"median", MEDIAN(Instances!HR36:Instances!HR36),"min", MIN(Instances!HR36:Instances!HR36),"max", MAX(Instances!HR36:Instances!HR36),"diff", MAX(Instances!HR36:Instances!HR36)-MIN(Instances!HR36:Instances!HR36))</f>
        <v>0</v>
      </c>
      <c r="HS36" s="1" cm="1">
        <f t="array" ref="HS36">_xlfn.SWITCH($A$2,"average", AVERAGE(Instances!HS36:Instances!HS36),"median", MEDIAN(Instances!HS36:Instances!HS36),"min", MIN(Instances!HS36:Instances!HS36),"max", MAX(Instances!HS36:Instances!HS36),"diff", MAX(Instances!HS36:Instances!HS36)-MIN(Instances!HS36:Instances!HS36))</f>
        <v>0</v>
      </c>
      <c r="HT36" s="1" cm="1">
        <f t="array" ref="HT36">_xlfn.SWITCH($A$2,"average", AVERAGE(Instances!HT36:Instances!HT36),"median", MEDIAN(Instances!HT36:Instances!HT36),"min", MIN(Instances!HT36:Instances!HT36),"max", MAX(Instances!HT36:Instances!HT36),"diff", MAX(Instances!HT36:Instances!HT36)-MIN(Instances!HT36:Instances!HT36))</f>
        <v>0</v>
      </c>
      <c r="HU36" s="1" cm="1">
        <f t="array" ref="HU36">_xlfn.SWITCH($A$2,"average", AVERAGE(Instances!HU36:Instances!HU36),"median", MEDIAN(Instances!HU36:Instances!HU36),"min", MIN(Instances!HU36:Instances!HU36),"max", MAX(Instances!HU36:Instances!HU36),"diff", MAX(Instances!HU36:Instances!HU36)-MIN(Instances!HU36:Instances!HU36))</f>
        <v>0</v>
      </c>
      <c r="HV36" s="1" cm="1">
        <f t="array" ref="HV36">_xlfn.SWITCH($A$2,"average", AVERAGE(Instances!HV36:Instances!HV36),"median", MEDIAN(Instances!HV36:Instances!HV36),"min", MIN(Instances!HV36:Instances!HV36),"max", MAX(Instances!HV36:Instances!HV36),"diff", MAX(Instances!HV36:Instances!HV36)-MIN(Instances!HV36:Instances!HV36))</f>
        <v>0</v>
      </c>
      <c r="HW36" s="1" cm="1">
        <f t="array" ref="HW36">_xlfn.SWITCH($A$2,"average", AVERAGE(Instances!HW36:Instances!HW36),"median", MEDIAN(Instances!HW36:Instances!HW36),"min", MIN(Instances!HW36:Instances!HW36),"max", MAX(Instances!HW36:Instances!HW36),"diff", MAX(Instances!HW36:Instances!HW36)-MIN(Instances!HW36:Instances!HW36))</f>
        <v>0</v>
      </c>
      <c r="HX36" s="1"/>
      <c r="HY36" s="1" cm="1">
        <f t="array" ref="HY36">_xlfn.SWITCH($A$2,"average", AVERAGE(Instances!HY36:Instances!HY36),"median", MEDIAN(Instances!HY36:Instances!HY36),"min", MIN(Instances!HY36:Instances!HY36),"max", MAX(Instances!HY36:Instances!HY36),"diff", MAX(Instances!HY36:Instances!HY36)-MIN(Instances!HY36:Instances!HY36))</f>
        <v>0</v>
      </c>
      <c r="HZ36" s="1" cm="1">
        <f t="array" ref="HZ36">_xlfn.SWITCH($A$2,"average", AVERAGE(Instances!HZ36:Instances!HZ36),"median", MEDIAN(Instances!HZ36:Instances!HZ36),"min", MIN(Instances!HZ36:Instances!HZ36),"max", MAX(Instances!HZ36:Instances!HZ36),"diff", MAX(Instances!HZ36:Instances!HZ36)-MIN(Instances!HZ36:Instances!HZ36))</f>
        <v>0</v>
      </c>
      <c r="IA36" s="1" cm="1">
        <f t="array" ref="IA36">_xlfn.SWITCH($A$2,"average", AVERAGE(Instances!IA36:Instances!IA36),"median", MEDIAN(Instances!IA36:Instances!IA36),"min", MIN(Instances!IA36:Instances!IA36),"max", MAX(Instances!IA36:Instances!IA36),"diff", MAX(Instances!IA36:Instances!IA36)-MIN(Instances!IA36:Instances!IA36))</f>
        <v>0</v>
      </c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 cm="1">
        <f t="array" ref="JL36">_xlfn.SWITCH($A$2,"average", AVERAGE(Instances!JL36:Instances!JL36),"median", MEDIAN(Instances!JL36:Instances!JL36),"min", MIN(Instances!JL36:Instances!JL36),"max", MAX(Instances!JL36:Instances!JL36),"diff", MAX(Instances!JL36:Instances!JL36)-MIN(Instances!JL36:Instances!JL36))</f>
        <v>0</v>
      </c>
      <c r="JM36" s="1" cm="1">
        <f t="array" ref="JM36">_xlfn.SWITCH($A$2,"average", AVERAGE(Instances!JM36:Instances!JM36),"median", MEDIAN(Instances!JM36:Instances!JM36),"min", MIN(Instances!JM36:Instances!JM36),"max", MAX(Instances!JM36:Instances!JM36),"diff", MAX(Instances!JM36:Instances!JM36)-MIN(Instances!JM36:Instances!JM36))</f>
        <v>0</v>
      </c>
      <c r="JN36" s="1" cm="1">
        <f t="array" ref="JN36">_xlfn.SWITCH($A$2,"average", AVERAGE(Instances!JN36:Instances!JN36),"median", MEDIAN(Instances!JN36:Instances!JN36),"min", MIN(Instances!JN36:Instances!JN36),"max", MAX(Instances!JN36:Instances!JN36),"diff", MAX(Instances!JN36:Instances!JN36)-MIN(Instances!JN36:Instances!JN36))</f>
        <v>0</v>
      </c>
      <c r="JO36" s="1" cm="1">
        <f t="array" ref="JO36">_xlfn.SWITCH($A$2,"average", AVERAGE(Instances!JO36:Instances!JO36),"median", MEDIAN(Instances!JO36:Instances!JO36),"min", MIN(Instances!JO36:Instances!JO36),"max", MAX(Instances!JO36:Instances!JO36),"diff", MAX(Instances!JO36:Instances!JO36)-MIN(Instances!JO36:Instances!JO36))</f>
        <v>0</v>
      </c>
      <c r="JP36" s="1" cm="1">
        <f t="array" ref="JP36">_xlfn.SWITCH($A$2,"average", AVERAGE(Instances!JP36:Instances!JP36),"median", MEDIAN(Instances!JP36:Instances!JP36),"min", MIN(Instances!JP36:Instances!JP36),"max", MAX(Instances!JP36:Instances!JP36),"diff", MAX(Instances!JP36:Instances!JP36)-MIN(Instances!JP36:Instances!JP36))</f>
        <v>0</v>
      </c>
      <c r="JQ36" s="1" cm="1">
        <f t="array" ref="JQ36">_xlfn.SWITCH($A$2,"average", AVERAGE(Instances!JQ36:Instances!JQ36),"median", MEDIAN(Instances!JQ36:Instances!JQ36),"min", MIN(Instances!JQ36:Instances!JQ36),"max", MAX(Instances!JQ36:Instances!JQ36),"diff", MAX(Instances!JQ36:Instances!JQ36)-MIN(Instances!JQ36:Instances!JQ36))</f>
        <v>0</v>
      </c>
      <c r="JR36" s="1" cm="1">
        <f t="array" ref="JR36">_xlfn.SWITCH($A$2,"average", AVERAGE(Instances!JR36:Instances!JR36),"median", MEDIAN(Instances!JR36:Instances!JR36),"min", MIN(Instances!JR36:Instances!JR36),"max", MAX(Instances!JR36:Instances!JR36),"diff", MAX(Instances!JR36:Instances!JR36)-MIN(Instances!JR36:Instances!JR36))</f>
        <v>0</v>
      </c>
      <c r="JS36" s="1" cm="1">
        <f t="array" ref="JS36">_xlfn.SWITCH($A$2,"average", AVERAGE(Instances!JS36:Instances!JS36),"median", MEDIAN(Instances!JS36:Instances!JS36),"min", MIN(Instances!JS36:Instances!JS36),"max", MAX(Instances!JS36:Instances!JS36),"diff", MAX(Instances!JS36:Instances!JS36)-MIN(Instances!JS36:Instances!JS36))</f>
        <v>0</v>
      </c>
      <c r="JT36" s="1" cm="1">
        <f t="array" ref="JT36">_xlfn.SWITCH($A$2,"average", AVERAGE(Instances!JT36:Instances!JT36),"median", MEDIAN(Instances!JT36:Instances!JT36),"min", MIN(Instances!JT36:Instances!JT36),"max", MAX(Instances!JT36:Instances!JT36),"diff", MAX(Instances!JT36:Instances!JT36)-MIN(Instances!JT36:Instances!JT36))</f>
        <v>0</v>
      </c>
      <c r="JU36" s="1" cm="1">
        <f t="array" ref="JU36">_xlfn.SWITCH($A$2,"average", AVERAGE(Instances!JU36:Instances!JU36),"median", MEDIAN(Instances!JU36:Instances!JU36),"min", MIN(Instances!JU36:Instances!JU36),"max", MAX(Instances!JU36:Instances!JU36),"diff", MAX(Instances!JU36:Instances!JU36)-MIN(Instances!JU36:Instances!JU36))</f>
        <v>0</v>
      </c>
      <c r="JV36" s="1" cm="1">
        <f t="array" ref="JV36">_xlfn.SWITCH($A$2,"average", AVERAGE(Instances!JV36:Instances!JV36),"median", MEDIAN(Instances!JV36:Instances!JV36),"min", MIN(Instances!JV36:Instances!JV36),"max", MAX(Instances!JV36:Instances!JV36),"diff", MAX(Instances!JV36:Instances!JV36)-MIN(Instances!JV36:Instances!JV36))</f>
        <v>0</v>
      </c>
      <c r="JW36" s="1" cm="1">
        <f t="array" ref="JW36">_xlfn.SWITCH($A$2,"average", AVERAGE(Instances!JW36:Instances!JW36),"median", MEDIAN(Instances!JW36:Instances!JW36),"min", MIN(Instances!JW36:Instances!JW36),"max", MAX(Instances!JW36:Instances!JW36),"diff", MAX(Instances!JW36:Instances!JW36)-MIN(Instances!JW36:Instances!JW36))</f>
        <v>0</v>
      </c>
      <c r="JX36" s="1" cm="1">
        <f t="array" ref="JX36">_xlfn.SWITCH($A$2,"average", AVERAGE(Instances!JX36:Instances!JX36),"median", MEDIAN(Instances!JX36:Instances!JX36),"min", MIN(Instances!JX36:Instances!JX36),"max", MAX(Instances!JX36:Instances!JX36),"diff", MAX(Instances!JX36:Instances!JX36)-MIN(Instances!JX36:Instances!JX36))</f>
        <v>0</v>
      </c>
      <c r="JY36" s="1" cm="1">
        <f t="array" ref="JY36">_xlfn.SWITCH($A$2,"average", AVERAGE(Instances!JY36:Instances!JY36),"median", MEDIAN(Instances!JY36:Instances!JY36),"min", MIN(Instances!JY36:Instances!JY36),"max", MAX(Instances!JY36:Instances!JY36),"diff", MAX(Instances!JY36:Instances!JY36)-MIN(Instances!JY36:Instances!JY36))</f>
        <v>0</v>
      </c>
      <c r="JZ36" s="1"/>
      <c r="KA36" s="1" cm="1">
        <f t="array" ref="KA36">_xlfn.SWITCH($A$2,"average", AVERAGE(Instances!KA36:Instances!KA36),"median", MEDIAN(Instances!KA36:Instances!KA36),"min", MIN(Instances!KA36:Instances!KA36),"max", MAX(Instances!KA36:Instances!KA36),"diff", MAX(Instances!KA36:Instances!KA36)-MIN(Instances!KA36:Instances!KA36))</f>
        <v>0</v>
      </c>
      <c r="KB36" s="1" cm="1">
        <f t="array" ref="KB36">_xlfn.SWITCH($A$2,"average", AVERAGE(Instances!KB36:Instances!KB36),"median", MEDIAN(Instances!KB36:Instances!KB36),"min", MIN(Instances!KB36:Instances!KB36),"max", MAX(Instances!KB36:Instances!KB36),"diff", MAX(Instances!KB36:Instances!KB36)-MIN(Instances!KB36:Instances!KB36))</f>
        <v>0</v>
      </c>
      <c r="KC36" s="1" cm="1">
        <f t="array" ref="KC36">_xlfn.SWITCH($A$2,"average", AVERAGE(Instances!KC36:Instances!KC36),"median", MEDIAN(Instances!KC36:Instances!KC36),"min", MIN(Instances!KC36:Instances!KC36),"max", MAX(Instances!KC36:Instances!KC36),"diff", MAX(Instances!KC36:Instances!KC36)-MIN(Instances!KC36:Instances!KC36))</f>
        <v>0</v>
      </c>
      <c r="KD36" s="1">
        <f>MIN($B36,$T36,$AL36,$BD36,$BV36,$CN36,$DF36,$DX36,$EP36,$FH36,$FZ36,$GR36,$HJ36,$IB36,$IT36,$JL36)</f>
        <v>0</v>
      </c>
      <c r="KE36" s="1">
        <f>MIN($C36,$U36,$AM36,$BE36,$BW36,$CO36,$DG36,$DY36,$EQ36,$FI36,$GA36,$GS36,$HK36,$IC36,$IU36,$JM36)</f>
        <v>0</v>
      </c>
      <c r="KF36" s="1">
        <f>MIN($D36,$V36,$AN36,$BF36,$BX36,$CP36,$DH36,$DZ36,$ER36,$FJ36,$GB36,$GT36,$HL36,$ID36,$IV36,$JN36)</f>
        <v>0</v>
      </c>
      <c r="KG36" s="1">
        <f>MIN($E36,$W36,$AO36,$BG36,$BY36,$CQ36,$DI36,$EA36,$ES36,$FK36,$GC36,$GU36,$HM36,$IE36,$IW36,$JO36)</f>
        <v>0</v>
      </c>
      <c r="KH36" s="1">
        <f>MIN($F36,$X36,$AP36,$BH36,$BZ36,$CR36,$DJ36,$EB36,$ET36,$FL36,$GD36,$GV36,$HN36,$IF36,$IX36,$JP36)</f>
        <v>0</v>
      </c>
      <c r="KI36" s="1">
        <f>MIN($G36,$Y36,$AQ36,$BI36,$CA36,$CS36,$DK36,$EC36,$EU36,$FM36,$GE36,$GW36,$HO36,$IG36,$IY36,$JQ36)</f>
        <v>0</v>
      </c>
      <c r="KJ36" s="1">
        <f>MIN($H36,$Z36,$AR36,$BJ36,$CB36,$CT36,$DL36,$ED36,$EV36,$FN36,$GF36,$GX36,$HP36,$IH36,$IZ36,$JR36)</f>
        <v>0</v>
      </c>
      <c r="KK36" s="1">
        <f>MIN($I36,$AA36,$AS36,$BK36,$CC36,$CU36,$DM36,$EE36,$EW36,$FO36,$GG36,$GY36,$HQ36,$II36,$JA36,$JS36)</f>
        <v>0</v>
      </c>
      <c r="KL36" s="1">
        <f>MIN($J36,$AB36,$AT36,$BL36,$CD36,$CV36,$DN36,$EF36,$EX36,$FP36,$GH36,$GZ36,$HR36,$IJ36,$JB36,$JT36)</f>
        <v>0</v>
      </c>
      <c r="KM36" s="1">
        <f>MIN($K36,$AC36,$AU36,$BM36,$CE36,$CW36,$DO36,$EG36,$EY36,$FQ36,$GI36,$HA36,$HS36,$IK36,$JC36,$JU36)</f>
        <v>0</v>
      </c>
      <c r="KN36" s="1">
        <f>MIN($L36,$AD36,$AV36,$BN36,$CF36,$CX36,$DP36,$EH36,$EZ36,$FR36,$GJ36,$HB36,$HT36,$IL36,$JD36,$JV36)</f>
        <v>0</v>
      </c>
      <c r="KO36" s="1">
        <f>MIN($M36,$AE36,$AW36,$BO36,$CG36,$CY36,$DQ36,$EI36,$FA36,$FS36,$GK36,$HC36,$HU36,$IM36,$JE36,$JW36)</f>
        <v>0</v>
      </c>
      <c r="KP36" s="1">
        <f>MIN($N36,$AF36,$AX36,$BP36,$CH36,$CZ36,$DR36,$EJ36,$FB36,$FT36,$GL36,$HD36,$HV36,$IN36,$JF36,$JX36)</f>
        <v>0</v>
      </c>
      <c r="KQ36" s="1">
        <f>MIN($O36,$AG36,$AY36,$BQ36,$CI36,$DA36,$DS36,$EK36,$FC36,$FU36,$GM36,$HE36,$HW36,$IO36,$JG36,$JY36)</f>
        <v>0</v>
      </c>
      <c r="KR36" s="1">
        <f>MIN($Q36,$AI36,$BA36,$BS36,$CK36,$DC36,$DU36,$EM36,$FE36,$FW36,$GO36,$HG36,$HY36,$IQ36,$JI36,$KA36)</f>
        <v>0</v>
      </c>
      <c r="KS36" s="1">
        <f>MIN($R36,$AJ36,$BB36,$BT36,$CL36,$DD36,$DV36,$EN36,$FF36,$FX36,$GP36,$HH36,$HZ36,$IR36,$JJ36,$KB36)</f>
        <v>0</v>
      </c>
      <c r="KT36" s="1">
        <f>MIN($S36,$AK36,$BC36,$BU36,$CM36,$DE36,$DW36,$EO36,$FG36,$FY36,$GQ36,$HI36,$IA36,$IS36,$JK36,$KC36)</f>
        <v>0</v>
      </c>
      <c r="KU36" s="1">
        <f>MEDIAN($B36,$T36,$AL36,$BD36,$BV36,$CN36,$DF36,$DX36,$EP36,$FH36,$FZ36,$GR36,$HJ36,$IB36,$IT36,$JL36)</f>
        <v>0</v>
      </c>
      <c r="KV36" s="1">
        <f>MEDIAN($C36,$U36,$AM36,$BE36,$BW36,$CO36,$DG36,$DY36,$EQ36,$FI36,$GA36,$GS36,$HK36,$IC36,$IU36,$JM36)</f>
        <v>0</v>
      </c>
      <c r="KW36" s="1">
        <f>MEDIAN($D36,$V36,$AN36,$BF36,$BX36,$CP36,$DH36,$DZ36,$ER36,$FJ36,$GB36,$GT36,$HL36,$ID36,$IV36,$JN36)</f>
        <v>0</v>
      </c>
      <c r="KX36" s="1">
        <f>MEDIAN($E36,$W36,$AO36,$BG36,$BY36,$CQ36,$DI36,$EA36,$ES36,$FK36,$GC36,$GU36,$HM36,$IE36,$IW36,$JO36)</f>
        <v>0</v>
      </c>
      <c r="KY36" s="1">
        <f>MEDIAN($F36,$X36,$AP36,$BH36,$BZ36,$CR36,$DJ36,$EB36,$ET36,$FL36,$GD36,$GV36,$HN36,$IF36,$IX36,$JP36)</f>
        <v>0</v>
      </c>
      <c r="KZ36" s="1">
        <f>MEDIAN($G36,$Y36,$AQ36,$BI36,$CA36,$CS36,$DK36,$EC36,$EU36,$FM36,$GE36,$GW36,$HO36,$IG36,$IY36,$JQ36)</f>
        <v>0</v>
      </c>
      <c r="LA36" s="1">
        <f>MEDIAN($H36,$Z36,$AR36,$BJ36,$CB36,$CT36,$DL36,$ED36,$EV36,$FN36,$GF36,$GX36,$HP36,$IH36,$IZ36,$JR36)</f>
        <v>0</v>
      </c>
      <c r="LB36" s="1">
        <f>MEDIAN($I36,$AA36,$AS36,$BK36,$CC36,$CU36,$DM36,$EE36,$EW36,$FO36,$GG36,$GY36,$HQ36,$II36,$JA36,$JS36)</f>
        <v>0</v>
      </c>
      <c r="LC36" s="1">
        <f>MEDIAN($J36,$AB36,$AT36,$BL36,$CD36,$CV36,$DN36,$EF36,$EX36,$FP36,$GH36,$GZ36,$HR36,$IJ36,$JB36,$JT36)</f>
        <v>0</v>
      </c>
      <c r="LD36" s="1">
        <f>MEDIAN($K36,$AC36,$AU36,$BM36,$CE36,$CW36,$DO36,$EG36,$EY36,$FQ36,$GI36,$HA36,$HS36,$IK36,$JC36,$JU36)</f>
        <v>0</v>
      </c>
      <c r="LE36" s="1">
        <f>MEDIAN($L36,$AD36,$AV36,$BN36,$CF36,$CX36,$DP36,$EH36,$EZ36,$FR36,$GJ36,$HB36,$HT36,$IL36,$JD36,$JV36)</f>
        <v>0</v>
      </c>
      <c r="LF36" s="1">
        <f>MEDIAN($M36,$AE36,$AW36,$BO36,$CG36,$CY36,$DQ36,$EI36,$FA36,$FS36,$GK36,$HC36,$HU36,$IM36,$JE36,$JW36)</f>
        <v>0</v>
      </c>
      <c r="LG36" s="1">
        <f>MEDIAN($N36,$AF36,$AX36,$BP36,$CH36,$CZ36,$DR36,$EJ36,$FB36,$FT36,$GL36,$HD36,$HV36,$IN36,$JF36,$JX36)</f>
        <v>0</v>
      </c>
      <c r="LH36" s="1">
        <f>MEDIAN($O36,$AG36,$AY36,$BQ36,$CI36,$DA36,$DS36,$EK36,$FC36,$FU36,$GM36,$HE36,$HW36,$IO36,$JG36,$JY36)</f>
        <v>0</v>
      </c>
      <c r="LI36" s="1">
        <f>MEDIAN($Q36,$AI36,$BA36,$BS36,$CK36,$DC36,$DU36,$EM36,$FE36,$FW36,$GO36,$HG36,$HY36,$IQ36,$JI36,$KA36)</f>
        <v>0</v>
      </c>
      <c r="LJ36" s="1">
        <f>MEDIAN($R36,$AJ36,$BB36,$BT36,$CL36,$DD36,$DV36,$EN36,$FF36,$FX36,$GP36,$HH36,$HZ36,$IR36,$JJ36,$KB36)</f>
        <v>0</v>
      </c>
      <c r="LK36" s="1">
        <f>MEDIAN($S36,$AK36,$BC36,$BU36,$CM36,$DE36,$DW36,$EO36,$FG36,$FY36,$GQ36,$HI36,$IA36,$IS36,$JK36,$KC36)</f>
        <v>0</v>
      </c>
      <c r="LL36" s="1">
        <f>MAX($B36,$T36,$AL36,$BD36,$BV36,$CN36,$DF36,$DX36,$EP36,$FH36,$FZ36,$GR36,$HJ36,$IB36,$IT36,$JL36)</f>
        <v>0</v>
      </c>
      <c r="LM36" s="1">
        <f>MAX($C36,$U36,$AM36,$BE36,$BW36,$CO36,$DG36,$DY36,$EQ36,$FI36,$GA36,$GS36,$HK36,$IC36,$IU36,$JM36)</f>
        <v>0</v>
      </c>
      <c r="LN36" s="1">
        <f>MAX($D36,$V36,$AN36,$BF36,$BX36,$CP36,$DH36,$DZ36,$ER36,$FJ36,$GB36,$GT36,$HL36,$ID36,$IV36,$JN36)</f>
        <v>0</v>
      </c>
      <c r="LO36" s="1">
        <f>MAX($E36,$W36,$AO36,$BG36,$BY36,$CQ36,$DI36,$EA36,$ES36,$FK36,$GC36,$GU36,$HM36,$IE36,$IW36,$JO36)</f>
        <v>0</v>
      </c>
      <c r="LP36" s="1">
        <f>MAX($F36,$X36,$AP36,$BH36,$BZ36,$CR36,$DJ36,$EB36,$ET36,$FL36,$GD36,$GV36,$HN36,$IF36,$IX36,$JP36)</f>
        <v>0</v>
      </c>
      <c r="LQ36" s="1">
        <f>MAX($G36,$Y36,$AQ36,$BI36,$CA36,$CS36,$DK36,$EC36,$EU36,$FM36,$GE36,$GW36,$HO36,$IG36,$IY36,$JQ36)</f>
        <v>0</v>
      </c>
      <c r="LR36" s="1">
        <f>MAX($H36,$Z36,$AR36,$BJ36,$CB36,$CT36,$DL36,$ED36,$EV36,$FN36,$GF36,$GX36,$HP36,$IH36,$IZ36,$JR36)</f>
        <v>0</v>
      </c>
      <c r="LS36" s="1">
        <f>MAX($I36,$AA36,$AS36,$BK36,$CC36,$CU36,$DM36,$EE36,$EW36,$FO36,$GG36,$GY36,$HQ36,$II36,$JA36,$JS36)</f>
        <v>0</v>
      </c>
      <c r="LT36" s="1">
        <f>MAX($J36,$AB36,$AT36,$BL36,$CD36,$CV36,$DN36,$EF36,$EX36,$FP36,$GH36,$GZ36,$HR36,$IJ36,$JB36,$JT36)</f>
        <v>0</v>
      </c>
      <c r="LU36" s="1">
        <f>MAX($K36,$AC36,$AU36,$BM36,$CE36,$CW36,$DO36,$EG36,$EY36,$FQ36,$GI36,$HA36,$HS36,$IK36,$JC36,$JU36)</f>
        <v>0</v>
      </c>
      <c r="LV36" s="1">
        <f>MAX($L36,$AD36,$AV36,$BN36,$CF36,$CX36,$DP36,$EH36,$EZ36,$FR36,$GJ36,$HB36,$HT36,$IL36,$JD36,$JV36)</f>
        <v>0</v>
      </c>
      <c r="LW36" s="1">
        <f>MAX($M36,$AE36,$AW36,$BO36,$CG36,$CY36,$DQ36,$EI36,$FA36,$FS36,$GK36,$HC36,$HU36,$IM36,$JE36,$JW36)</f>
        <v>0</v>
      </c>
      <c r="LX36" s="1">
        <f>MAX($N36,$AF36,$AX36,$BP36,$CH36,$CZ36,$DR36,$EJ36,$FB36,$FT36,$GL36,$HD36,$HV36,$IN36,$JF36,$JX36)</f>
        <v>0</v>
      </c>
      <c r="LY36" s="1">
        <f>MAX($O36,$AG36,$AY36,$BQ36,$CI36,$DA36,$DS36,$EK36,$FC36,$FU36,$GM36,$HE36,$HW36,$IO36,$JG36,$JY36)</f>
        <v>0</v>
      </c>
      <c r="LZ36" s="1">
        <f>MAX($Q36,$AI36,$BA36,$BS36,$CK36,$DC36,$DU36,$EM36,$FE36,$FW36,$GO36,$HG36,$HY36,$IQ36,$JI36,$KA36)</f>
        <v>0</v>
      </c>
      <c r="MA36" s="1">
        <f>MAX($R36,$AJ36,$BB36,$BT36,$CL36,$DD36,$DV36,$EN36,$FF36,$FX36,$GP36,$HH36,$HZ36,$IR36,$JJ36,$KB36)</f>
        <v>0</v>
      </c>
      <c r="MB36" s="1">
        <f>MAX($S36,$AK36,$BC36,$BU36,$CM36,$DE36,$DW36,$EO36,$FG36,$FY36,$GQ36,$HI36,$IA36,$IS36,$JK36,$KC36)</f>
        <v>0</v>
      </c>
    </row>
    <row r="37" spans="1:340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 cm="1">
        <f t="array" ref="K37">_xlfn.SWITCH($A$2,"average", AVERAGE(Instances!K37:Instances!K37),"median", MEDIAN(Instances!K37:Instances!K37),"min", MIN(Instances!K37:Instances!K37),"max", MAX(Instances!K37:Instances!K37),"diff", MAX(Instances!K37:Instances!K37)-MIN(Instances!K37:Instances!K37))</f>
        <v>0</v>
      </c>
      <c r="L37" s="1" cm="1">
        <f t="array" ref="L37">_xlfn.SWITCH($A$2,"average", AVERAGE(Instances!L37:Instances!L37),"median", MEDIAN(Instances!L37:Instances!L37),"min", MIN(Instances!L37:Instances!L37),"max", MAX(Instances!L37:Instances!L37),"diff", MAX(Instances!L37:Instances!L37)-MIN(Instances!L37:Instances!L37))</f>
        <v>0</v>
      </c>
      <c r="M37" s="1" cm="1">
        <f t="array" ref="M37">_xlfn.SWITCH($A$2,"average", AVERAGE(Instances!M37:Instances!M37),"median", MEDIAN(Instances!M37:Instances!M37),"min", MIN(Instances!M37:Instances!M37),"max", MAX(Instances!M37:Instances!M37),"diff", MAX(Instances!M37:Instances!M37)-MIN(Instances!M37:Instances!M37))</f>
        <v>0</v>
      </c>
      <c r="N37" s="1" cm="1">
        <f t="array" ref="N37">_xlfn.SWITCH($A$2,"average", AVERAGE(Instances!N37:Instances!N37),"median", MEDIAN(Instances!N37:Instances!N37),"min", MIN(Instances!N37:Instances!N37),"max", MAX(Instances!N37:Instances!N37),"diff", MAX(Instances!N37:Instances!N37)-MIN(Instances!N37:Instances!N37))</f>
        <v>0</v>
      </c>
      <c r="O37" s="1" cm="1">
        <f t="array" ref="O37">_xlfn.SWITCH($A$2,"average", AVERAGE(Instances!O37:Instances!O37),"median", MEDIAN(Instances!O37:Instances!O37),"min", MIN(Instances!O37:Instances!O37),"max", MAX(Instances!O37:Instances!O37),"diff", MAX(Instances!O37:Instances!O37)-MIN(Instances!O37:Instances!O37))</f>
        <v>0</v>
      </c>
      <c r="P37" s="1"/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 cm="1">
        <f t="array" ref="S37">_xlfn.SWITCH($A$2,"average", AVERAGE(Instances!S37:Instances!S37),"median", MEDIAN(Instances!S37:Instances!S37),"min", MIN(Instances!S37:Instances!S37),"max", MAX(Instances!S37:Instances!S37),"diff", MAX(Instances!S37:Instances!S37)-MIN(Instances!S37:Instances!S37))</f>
        <v>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 cm="1">
        <f t="array" ref="AL37">_xlfn.SWITCH($A$2,"average", AVERAGE(Instances!AL37:Instances!AL37),"median", MEDIAN(Instances!AL37:Instances!AL37),"min", MIN(Instances!AL37:Instances!AL37),"max", MAX(Instances!AL37:Instances!AL37),"diff", MAX(Instances!AL37:Instances!AL37)-MIN(Instances!AL37:Instances!AL37))</f>
        <v>0</v>
      </c>
      <c r="AM37" s="1" cm="1">
        <f t="array" ref="AM37">_xlfn.SWITCH($A$2,"average", AVERAGE(Instances!AM37:Instances!AM37),"median", MEDIAN(Instances!AM37:Instances!AM37),"min", MIN(Instances!AM37:Instances!AM37),"max", MAX(Instances!AM37:Instances!AM37),"diff", MAX(Instances!AM37:Instances!AM37)-MIN(Instances!AM37:Instances!AM37))</f>
        <v>0</v>
      </c>
      <c r="AN37" s="1" cm="1">
        <f t="array" ref="AN37">_xlfn.SWITCH($A$2,"average", AVERAGE(Instances!AN37:Instances!AN37),"median", MEDIAN(Instances!AN37:Instances!AN37),"min", MIN(Instances!AN37:Instances!AN37),"max", MAX(Instances!AN37:Instances!AN37),"diff", MAX(Instances!AN37:Instances!AN37)-MIN(Instances!AN37:Instances!AN37))</f>
        <v>0</v>
      </c>
      <c r="AO37" s="1" cm="1">
        <f t="array" ref="AO37">_xlfn.SWITCH($A$2,"average", AVERAGE(Instances!AO37:Instances!AO37),"median", MEDIAN(Instances!AO37:Instances!AO37),"min", MIN(Instances!AO37:Instances!AO37),"max", MAX(Instances!AO37:Instances!AO37),"diff", MAX(Instances!AO37:Instances!AO37)-MIN(Instances!AO37:Instances!AO37))</f>
        <v>0</v>
      </c>
      <c r="AP37" s="1" cm="1">
        <f t="array" ref="AP37">_xlfn.SWITCH($A$2,"average", AVERAGE(Instances!AP37:Instances!AP37),"median", MEDIAN(Instances!AP37:Instances!AP37),"min", MIN(Instances!AP37:Instances!AP37),"max", MAX(Instances!AP37:Instances!AP37),"diff", MAX(Instances!AP37:Instances!AP37)-MIN(Instances!AP37:Instances!AP37))</f>
        <v>0</v>
      </c>
      <c r="AQ37" s="1" cm="1">
        <f t="array" ref="AQ37">_xlfn.SWITCH($A$2,"average", AVERAGE(Instances!AQ37:Instances!AQ37),"median", MEDIAN(Instances!AQ37:Instances!AQ37),"min", MIN(Instances!AQ37:Instances!AQ37),"max", MAX(Instances!AQ37:Instances!AQ37),"diff", MAX(Instances!AQ37:Instances!AQ37)-MIN(Instances!AQ37:Instances!AQ37))</f>
        <v>0</v>
      </c>
      <c r="AR37" s="1" cm="1">
        <f t="array" ref="AR37">_xlfn.SWITCH($A$2,"average", AVERAGE(Instances!AR37:Instances!AR37),"median", MEDIAN(Instances!AR37:Instances!AR37),"min", MIN(Instances!AR37:Instances!AR37),"max", MAX(Instances!AR37:Instances!AR37),"diff", MAX(Instances!AR37:Instances!AR37)-MIN(Instances!AR37:Instances!AR37))</f>
        <v>0</v>
      </c>
      <c r="AS37" s="1" cm="1">
        <f t="array" ref="AS37">_xlfn.SWITCH($A$2,"average", AVERAGE(Instances!AS37:Instances!AS37),"median", MEDIAN(Instances!AS37:Instances!AS37),"min", MIN(Instances!AS37:Instances!AS37),"max", MAX(Instances!AS37:Instances!AS37),"diff", MAX(Instances!AS37:Instances!AS37)-MIN(Instances!AS37:Instances!AS37))</f>
        <v>0</v>
      </c>
      <c r="AT37" s="1" cm="1">
        <f t="array" ref="AT37">_xlfn.SWITCH($A$2,"average", AVERAGE(Instances!AT37:Instances!AT37),"median", MEDIAN(Instances!AT37:Instances!AT37),"min", MIN(Instances!AT37:Instances!AT37),"max", MAX(Instances!AT37:Instances!AT37),"diff", MAX(Instances!AT37:Instances!AT37)-MIN(Instances!AT37:Instances!AT37))</f>
        <v>0</v>
      </c>
      <c r="AU37" s="1" cm="1">
        <f t="array" ref="AU37">_xlfn.SWITCH($A$2,"average", AVERAGE(Instances!AU37:Instances!AU37),"median", MEDIAN(Instances!AU37:Instances!AU37),"min", MIN(Instances!AU37:Instances!AU37),"max", MAX(Instances!AU37:Instances!AU37),"diff", MAX(Instances!AU37:Instances!AU37)-MIN(Instances!AU37:Instances!AU37))</f>
        <v>0</v>
      </c>
      <c r="AV37" s="1" cm="1">
        <f t="array" ref="AV37">_xlfn.SWITCH($A$2,"average", AVERAGE(Instances!AV37:Instances!AV37),"median", MEDIAN(Instances!AV37:Instances!AV37),"min", MIN(Instances!AV37:Instances!AV37),"max", MAX(Instances!AV37:Instances!AV37),"diff", MAX(Instances!AV37:Instances!AV37)-MIN(Instances!AV37:Instances!AV37))</f>
        <v>0</v>
      </c>
      <c r="AW37" s="1" cm="1">
        <f t="array" ref="AW37">_xlfn.SWITCH($A$2,"average", AVERAGE(Instances!AW37:Instances!AW37),"median", MEDIAN(Instances!AW37:Instances!AW37),"min", MIN(Instances!AW37:Instances!AW37),"max", MAX(Instances!AW37:Instances!AW37),"diff", MAX(Instances!AW37:Instances!AW37)-MIN(Instances!AW37:Instances!AW37))</f>
        <v>0</v>
      </c>
      <c r="AX37" s="1" cm="1">
        <f t="array" ref="AX37">_xlfn.SWITCH($A$2,"average", AVERAGE(Instances!AX37:Instances!AX37),"median", MEDIAN(Instances!AX37:Instances!AX37),"min", MIN(Instances!AX37:Instances!AX37),"max", MAX(Instances!AX37:Instances!AX37),"diff", MAX(Instances!AX37:Instances!AX37)-MIN(Instances!AX37:Instances!AX37))</f>
        <v>0</v>
      </c>
      <c r="AY37" s="1" cm="1">
        <f t="array" ref="AY37">_xlfn.SWITCH($A$2,"average", AVERAGE(Instances!AY37:Instances!AY37),"median", MEDIAN(Instances!AY37:Instances!AY37),"min", MIN(Instances!AY37:Instances!AY37),"max", MAX(Instances!AY37:Instances!AY37),"diff", MAX(Instances!AY37:Instances!AY37)-MIN(Instances!AY37:Instances!AY37))</f>
        <v>0</v>
      </c>
      <c r="AZ37" s="1"/>
      <c r="BA37" s="1" cm="1">
        <f t="array" ref="BA37">_xlfn.SWITCH($A$2,"average", AVERAGE(Instances!BA37:Instances!BA37),"median", MEDIAN(Instances!BA37:Instances!BA37),"min", MIN(Instances!BA37:Instances!BA37),"max", MAX(Instances!BA37:Instances!BA37),"diff", MAX(Instances!BA37:Instances!BA37)-MIN(Instances!BA37:Instances!BA37))</f>
        <v>0</v>
      </c>
      <c r="BB37" s="1" cm="1">
        <f t="array" ref="BB37">_xlfn.SWITCH($A$2,"average", AVERAGE(Instances!BB37:Instances!BB37),"median", MEDIAN(Instances!BB37:Instances!BB37),"min", MIN(Instances!BB37:Instances!BB37),"max", MAX(Instances!BB37:Instances!BB37),"diff", MAX(Instances!BB37:Instances!BB37)-MIN(Instances!BB37:Instances!BB37))</f>
        <v>0</v>
      </c>
      <c r="BC37" s="1" cm="1">
        <f t="array" ref="BC37">_xlfn.SWITCH($A$2,"average", AVERAGE(Instances!BC37:Instances!BC37),"median", MEDIAN(Instances!BC37:Instances!BC37),"min", MIN(Instances!BC37:Instances!BC37),"max", MAX(Instances!BC37:Instances!BC37),"diff", MAX(Instances!BC37:Instances!BC37)-MIN(Instances!BC37:Instances!BC37))</f>
        <v>0</v>
      </c>
      <c r="BD37" s="1" cm="1">
        <f t="array" ref="BD37">_xlfn.SWITCH($A$2,"average", AVERAGE(Instances!BD37:Instances!BD37),"median", MEDIAN(Instances!BD37:Instances!BD37),"min", MIN(Instances!BD37:Instances!BD37),"max", MAX(Instances!BD37:Instances!BD37),"diff", MAX(Instances!BD37:Instances!BD37)-MIN(Instances!BD37:Instances!BD37))</f>
        <v>0</v>
      </c>
      <c r="BE37" s="1" cm="1">
        <f t="array" ref="BE37">_xlfn.SWITCH($A$2,"average", AVERAGE(Instances!BE37:Instances!BE37),"median", MEDIAN(Instances!BE37:Instances!BE37),"min", MIN(Instances!BE37:Instances!BE37),"max", MAX(Instances!BE37:Instances!BE37),"diff", MAX(Instances!BE37:Instances!BE37)-MIN(Instances!BE37:Instances!BE37))</f>
        <v>0</v>
      </c>
      <c r="BF37" s="1" cm="1">
        <f t="array" ref="BF37">_xlfn.SWITCH($A$2,"average", AVERAGE(Instances!BF37:Instances!BF37),"median", MEDIAN(Instances!BF37:Instances!BF37),"min", MIN(Instances!BF37:Instances!BF37),"max", MAX(Instances!BF37:Instances!BF37),"diff", MAX(Instances!BF37:Instances!BF37)-MIN(Instances!BF37:Instances!BF37))</f>
        <v>0</v>
      </c>
      <c r="BG37" s="1" cm="1">
        <f t="array" ref="BG37">_xlfn.SWITCH($A$2,"average", AVERAGE(Instances!BG37:Instances!BG37),"median", MEDIAN(Instances!BG37:Instances!BG37),"min", MIN(Instances!BG37:Instances!BG37),"max", MAX(Instances!BG37:Instances!BG37),"diff", MAX(Instances!BG37:Instances!BG37)-MIN(Instances!BG37:Instances!BG37))</f>
        <v>0</v>
      </c>
      <c r="BH37" s="1" cm="1">
        <f t="array" ref="BH37">_xlfn.SWITCH($A$2,"average", AVERAGE(Instances!BH37:Instances!BH37),"median", MEDIAN(Instances!BH37:Instances!BH37),"min", MIN(Instances!BH37:Instances!BH37),"max", MAX(Instances!BH37:Instances!BH37),"diff", MAX(Instances!BH37:Instances!BH37)-MIN(Instances!BH37:Instances!BH37))</f>
        <v>0</v>
      </c>
      <c r="BI37" s="1" cm="1">
        <f t="array" ref="BI37">_xlfn.SWITCH($A$2,"average", AVERAGE(Instances!BI37:Instances!BI37),"median", MEDIAN(Instances!BI37:Instances!BI37),"min", MIN(Instances!BI37:Instances!BI37),"max", MAX(Instances!BI37:Instances!BI37),"diff", MAX(Instances!BI37:Instances!BI37)-MIN(Instances!BI37:Instances!BI37))</f>
        <v>0</v>
      </c>
      <c r="BJ37" s="1" cm="1">
        <f t="array" ref="BJ37">_xlfn.SWITCH($A$2,"average", AVERAGE(Instances!BJ37:Instances!BJ37),"median", MEDIAN(Instances!BJ37:Instances!BJ37),"min", MIN(Instances!BJ37:Instances!BJ37),"max", MAX(Instances!BJ37:Instances!BJ37),"diff", MAX(Instances!BJ37:Instances!BJ37)-MIN(Instances!BJ37:Instances!BJ37))</f>
        <v>0</v>
      </c>
      <c r="BK37" s="1" cm="1">
        <f t="array" ref="BK37">_xlfn.SWITCH($A$2,"average", AVERAGE(Instances!BK37:Instances!BK37),"median", MEDIAN(Instances!BK37:Instances!BK37),"min", MIN(Instances!BK37:Instances!BK37),"max", MAX(Instances!BK37:Instances!BK37),"diff", MAX(Instances!BK37:Instances!BK37)-MIN(Instances!BK37:Instances!BK37))</f>
        <v>0</v>
      </c>
      <c r="BL37" s="1" cm="1">
        <f t="array" ref="BL37">_xlfn.SWITCH($A$2,"average", AVERAGE(Instances!BL37:Instances!BL37),"median", MEDIAN(Instances!BL37:Instances!BL37),"min", MIN(Instances!BL37:Instances!BL37),"max", MAX(Instances!BL37:Instances!BL37),"diff", MAX(Instances!BL37:Instances!BL37)-MIN(Instances!BL37:Instances!BL37))</f>
        <v>0</v>
      </c>
      <c r="BM37" s="1" cm="1">
        <f t="array" ref="BM37">_xlfn.SWITCH($A$2,"average", AVERAGE(Instances!BM37:Instances!BM37),"median", MEDIAN(Instances!BM37:Instances!BM37),"min", MIN(Instances!BM37:Instances!BM37),"max", MAX(Instances!BM37:Instances!BM37),"diff", MAX(Instances!BM37:Instances!BM37)-MIN(Instances!BM37:Instances!BM37))</f>
        <v>0</v>
      </c>
      <c r="BN37" s="1" cm="1">
        <f t="array" ref="BN37">_xlfn.SWITCH($A$2,"average", AVERAGE(Instances!BN37:Instances!BN37),"median", MEDIAN(Instances!BN37:Instances!BN37),"min", MIN(Instances!BN37:Instances!BN37),"max", MAX(Instances!BN37:Instances!BN37),"diff", MAX(Instances!BN37:Instances!BN37)-MIN(Instances!BN37:Instances!BN37))</f>
        <v>0</v>
      </c>
      <c r="BO37" s="1" cm="1">
        <f t="array" ref="BO37">_xlfn.SWITCH($A$2,"average", AVERAGE(Instances!BO37:Instances!BO37),"median", MEDIAN(Instances!BO37:Instances!BO37),"min", MIN(Instances!BO37:Instances!BO37),"max", MAX(Instances!BO37:Instances!BO37),"diff", MAX(Instances!BO37:Instances!BO37)-MIN(Instances!BO37:Instances!BO37))</f>
        <v>0</v>
      </c>
      <c r="BP37" s="1" cm="1">
        <f t="array" ref="BP37">_xlfn.SWITCH($A$2,"average", AVERAGE(Instances!BP37:Instances!BP37),"median", MEDIAN(Instances!BP37:Instances!BP37),"min", MIN(Instances!BP37:Instances!BP37),"max", MAX(Instances!BP37:Instances!BP37),"diff", MAX(Instances!BP37:Instances!BP37)-MIN(Instances!BP37:Instances!BP37))</f>
        <v>0</v>
      </c>
      <c r="BQ37" s="1" cm="1">
        <f t="array" ref="BQ37">_xlfn.SWITCH($A$2,"average", AVERAGE(Instances!BQ37:Instances!BQ37),"median", MEDIAN(Instances!BQ37:Instances!BQ37),"min", MIN(Instances!BQ37:Instances!BQ37),"max", MAX(Instances!BQ37:Instances!BQ37),"diff", MAX(Instances!BQ37:Instances!BQ37)-MIN(Instances!BQ37:Instances!BQ37))</f>
        <v>0</v>
      </c>
      <c r="BR37" s="1"/>
      <c r="BS37" s="1" cm="1">
        <f t="array" ref="BS37">_xlfn.SWITCH($A$2,"average", AVERAGE(Instances!BS37:Instances!BS37),"median", MEDIAN(Instances!BS37:Instances!BS37),"min", MIN(Instances!BS37:Instances!BS37),"max", MAX(Instances!BS37:Instances!BS37),"diff", MAX(Instances!BS37:Instances!BS37)-MIN(Instances!BS37:Instances!BS37))</f>
        <v>0</v>
      </c>
      <c r="BT37" s="1" cm="1">
        <f t="array" ref="BT37">_xlfn.SWITCH($A$2,"average", AVERAGE(Instances!BT37:Instances!BT37),"median", MEDIAN(Instances!BT37:Instances!BT37),"min", MIN(Instances!BT37:Instances!BT37),"max", MAX(Instances!BT37:Instances!BT37),"diff", MAX(Instances!BT37:Instances!BT37)-MIN(Instances!BT37:Instances!BT37))</f>
        <v>0</v>
      </c>
      <c r="BU37" s="1" cm="1">
        <f t="array" ref="BU37">_xlfn.SWITCH($A$2,"average", AVERAGE(Instances!BU37:Instances!BU37),"median", MEDIAN(Instances!BU37:Instances!BU37),"min", MIN(Instances!BU37:Instances!BU37),"max", MAX(Instances!BU37:Instances!BU37),"diff", MAX(Instances!BU37:Instances!BU37)-MIN(Instances!BU37:Instances!BU37))</f>
        <v>0</v>
      </c>
      <c r="BV37" s="1" cm="1">
        <f t="array" ref="BV37">_xlfn.SWITCH($A$2,"average", AVERAGE(Instances!BV37:Instances!BV37),"median", MEDIAN(Instances!BV37:Instances!BV37),"min", MIN(Instances!BV37:Instances!BV37),"max", MAX(Instances!BV37:Instances!BV37),"diff", MAX(Instances!BV37:Instances!BV37)-MIN(Instances!BV37:Instances!BV37))</f>
        <v>0</v>
      </c>
      <c r="BW37" s="1" cm="1">
        <f t="array" ref="BW37">_xlfn.SWITCH($A$2,"average", AVERAGE(Instances!BW37:Instances!BW37),"median", MEDIAN(Instances!BW37:Instances!BW37),"min", MIN(Instances!BW37:Instances!BW37),"max", MAX(Instances!BW37:Instances!BW37),"diff", MAX(Instances!BW37:Instances!BW37)-MIN(Instances!BW37:Instances!BW37))</f>
        <v>0</v>
      </c>
      <c r="BX37" s="1" cm="1">
        <f t="array" ref="BX37">_xlfn.SWITCH($A$2,"average", AVERAGE(Instances!BX37:Instances!BX37),"median", MEDIAN(Instances!BX37:Instances!BX37),"min", MIN(Instances!BX37:Instances!BX37),"max", MAX(Instances!BX37:Instances!BX37),"diff", MAX(Instances!BX37:Instances!BX37)-MIN(Instances!BX37:Instances!BX37))</f>
        <v>0</v>
      </c>
      <c r="BY37" s="1" cm="1">
        <f t="array" ref="BY37">_xlfn.SWITCH($A$2,"average", AVERAGE(Instances!BY37:Instances!BY37),"median", MEDIAN(Instances!BY37:Instances!BY37),"min", MIN(Instances!BY37:Instances!BY37),"max", MAX(Instances!BY37:Instances!BY37),"diff", MAX(Instances!BY37:Instances!BY37)-MIN(Instances!BY37:Instances!BY37))</f>
        <v>0</v>
      </c>
      <c r="BZ37" s="1" cm="1">
        <f t="array" ref="BZ37">_xlfn.SWITCH($A$2,"average", AVERAGE(Instances!BZ37:Instances!BZ37),"median", MEDIAN(Instances!BZ37:Instances!BZ37),"min", MIN(Instances!BZ37:Instances!BZ37),"max", MAX(Instances!BZ37:Instances!BZ37),"diff", MAX(Instances!BZ37:Instances!BZ37)-MIN(Instances!BZ37:Instances!BZ37))</f>
        <v>0</v>
      </c>
      <c r="CA37" s="1" cm="1">
        <f t="array" ref="CA37">_xlfn.SWITCH($A$2,"average", AVERAGE(Instances!CA37:Instances!CA37),"median", MEDIAN(Instances!CA37:Instances!CA37),"min", MIN(Instances!CA37:Instances!CA37),"max", MAX(Instances!CA37:Instances!CA37),"diff", MAX(Instances!CA37:Instances!CA37)-MIN(Instances!CA37:Instances!CA37))</f>
        <v>0</v>
      </c>
      <c r="CB37" s="1" cm="1">
        <f t="array" ref="CB37">_xlfn.SWITCH($A$2,"average", AVERAGE(Instances!CB37:Instances!CB37),"median", MEDIAN(Instances!CB37:Instances!CB37),"min", MIN(Instances!CB37:Instances!CB37),"max", MAX(Instances!CB37:Instances!CB37),"diff", MAX(Instances!CB37:Instances!CB37)-MIN(Instances!CB37:Instances!CB37))</f>
        <v>0</v>
      </c>
      <c r="CC37" s="1" cm="1">
        <f t="array" ref="CC37">_xlfn.SWITCH($A$2,"average", AVERAGE(Instances!CC37:Instances!CC37),"median", MEDIAN(Instances!CC37:Instances!CC37),"min", MIN(Instances!CC37:Instances!CC37),"max", MAX(Instances!CC37:Instances!CC37),"diff", MAX(Instances!CC37:Instances!CC37)-MIN(Instances!CC37:Instances!CC37))</f>
        <v>0</v>
      </c>
      <c r="CD37" s="1" cm="1">
        <f t="array" ref="CD37">_xlfn.SWITCH($A$2,"average", AVERAGE(Instances!CD37:Instances!CD37),"median", MEDIAN(Instances!CD37:Instances!CD37),"min", MIN(Instances!CD37:Instances!CD37),"max", MAX(Instances!CD37:Instances!CD37),"diff", MAX(Instances!CD37:Instances!CD37)-MIN(Instances!CD37:Instances!CD37))</f>
        <v>0</v>
      </c>
      <c r="CE37" s="1" cm="1">
        <f t="array" ref="CE37">_xlfn.SWITCH($A$2,"average", AVERAGE(Instances!CE37:Instances!CE37),"median", MEDIAN(Instances!CE37:Instances!CE37),"min", MIN(Instances!CE37:Instances!CE37),"max", MAX(Instances!CE37:Instances!CE37),"diff", MAX(Instances!CE37:Instances!CE37)-MIN(Instances!CE37:Instances!CE37))</f>
        <v>0</v>
      </c>
      <c r="CF37" s="1" cm="1">
        <f t="array" ref="CF37">_xlfn.SWITCH($A$2,"average", AVERAGE(Instances!CF37:Instances!CF37),"median", MEDIAN(Instances!CF37:Instances!CF37),"min", MIN(Instances!CF37:Instances!CF37),"max", MAX(Instances!CF37:Instances!CF37),"diff", MAX(Instances!CF37:Instances!CF37)-MIN(Instances!CF37:Instances!CF37))</f>
        <v>0</v>
      </c>
      <c r="CG37" s="1" cm="1">
        <f t="array" ref="CG37">_xlfn.SWITCH($A$2,"average", AVERAGE(Instances!CG37:Instances!CG37),"median", MEDIAN(Instances!CG37:Instances!CG37),"min", MIN(Instances!CG37:Instances!CG37),"max", MAX(Instances!CG37:Instances!CG37),"diff", MAX(Instances!CG37:Instances!CG37)-MIN(Instances!CG37:Instances!CG37))</f>
        <v>0</v>
      </c>
      <c r="CH37" s="1" cm="1">
        <f t="array" ref="CH37">_xlfn.SWITCH($A$2,"average", AVERAGE(Instances!CH37:Instances!CH37),"median", MEDIAN(Instances!CH37:Instances!CH37),"min", MIN(Instances!CH37:Instances!CH37),"max", MAX(Instances!CH37:Instances!CH37),"diff", MAX(Instances!CH37:Instances!CH37)-MIN(Instances!CH37:Instances!CH37))</f>
        <v>0</v>
      </c>
      <c r="CI37" s="1" cm="1">
        <f t="array" ref="CI37">_xlfn.SWITCH($A$2,"average", AVERAGE(Instances!CI37:Instances!CI37),"median", MEDIAN(Instances!CI37:Instances!CI37),"min", MIN(Instances!CI37:Instances!CI37),"max", MAX(Instances!CI37:Instances!CI37),"diff", MAX(Instances!CI37:Instances!CI37)-MIN(Instances!CI37:Instances!CI37))</f>
        <v>0</v>
      </c>
      <c r="CJ37" s="1"/>
      <c r="CK37" s="1" cm="1">
        <f t="array" ref="CK37">_xlfn.SWITCH($A$2,"average", AVERAGE(Instances!CK37:Instances!CK37),"median", MEDIAN(Instances!CK37:Instances!CK37),"min", MIN(Instances!CK37:Instances!CK37),"max", MAX(Instances!CK37:Instances!CK37),"diff", MAX(Instances!CK37:Instances!CK37)-MIN(Instances!CK37:Instances!CK37))</f>
        <v>0</v>
      </c>
      <c r="CL37" s="1" cm="1">
        <f t="array" ref="CL37">_xlfn.SWITCH($A$2,"average", AVERAGE(Instances!CL37:Instances!CL37),"median", MEDIAN(Instances!CL37:Instances!CL37),"min", MIN(Instances!CL37:Instances!CL37),"max", MAX(Instances!CL37:Instances!CL37),"diff", MAX(Instances!CL37:Instances!CL37)-MIN(Instances!CL37:Instances!CL37))</f>
        <v>0</v>
      </c>
      <c r="CM37" s="1" cm="1">
        <f t="array" ref="CM37">_xlfn.SWITCH($A$2,"average", AVERAGE(Instances!CM37:Instances!CM37),"median", MEDIAN(Instances!CM37:Instances!CM37),"min", MIN(Instances!CM37:Instances!CM37),"max", MAX(Instances!CM37:Instances!CM37),"diff", MAX(Instances!CM37:Instances!CM37)-MIN(Instances!CM37:Instances!CM37))</f>
        <v>0</v>
      </c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 cm="1">
        <f t="array" ref="DX37">_xlfn.SWITCH($A$2,"average", AVERAGE(Instances!DX37:Instances!DX37),"median", MEDIAN(Instances!DX37:Instances!DX37),"min", MIN(Instances!DX37:Instances!DX37),"max", MAX(Instances!DX37:Instances!DX37),"diff", MAX(Instances!DX37:Instances!DX37)-MIN(Instances!DX37:Instances!DX37))</f>
        <v>0</v>
      </c>
      <c r="DY37" s="1" cm="1">
        <f t="array" ref="DY37">_xlfn.SWITCH($A$2,"average", AVERAGE(Instances!DY37:Instances!DY37),"median", MEDIAN(Instances!DY37:Instances!DY37),"min", MIN(Instances!DY37:Instances!DY37),"max", MAX(Instances!DY37:Instances!DY37),"diff", MAX(Instances!DY37:Instances!DY37)-MIN(Instances!DY37:Instances!DY37))</f>
        <v>0</v>
      </c>
      <c r="DZ37" s="1" cm="1">
        <f t="array" ref="DZ37">_xlfn.SWITCH($A$2,"average", AVERAGE(Instances!DZ37:Instances!DZ37),"median", MEDIAN(Instances!DZ37:Instances!DZ37),"min", MIN(Instances!DZ37:Instances!DZ37),"max", MAX(Instances!DZ37:Instances!DZ37),"diff", MAX(Instances!DZ37:Instances!DZ37)-MIN(Instances!DZ37:Instances!DZ37))</f>
        <v>0</v>
      </c>
      <c r="EA37" s="1" cm="1">
        <f t="array" ref="EA37">_xlfn.SWITCH($A$2,"average", AVERAGE(Instances!EA37:Instances!EA37),"median", MEDIAN(Instances!EA37:Instances!EA37),"min", MIN(Instances!EA37:Instances!EA37),"max", MAX(Instances!EA37:Instances!EA37),"diff", MAX(Instances!EA37:Instances!EA37)-MIN(Instances!EA37:Instances!EA37))</f>
        <v>0</v>
      </c>
      <c r="EB37" s="1" cm="1">
        <f t="array" ref="EB37">_xlfn.SWITCH($A$2,"average", AVERAGE(Instances!EB37:Instances!EB37),"median", MEDIAN(Instances!EB37:Instances!EB37),"min", MIN(Instances!EB37:Instances!EB37),"max", MAX(Instances!EB37:Instances!EB37),"diff", MAX(Instances!EB37:Instances!EB37)-MIN(Instances!EB37:Instances!EB37))</f>
        <v>0</v>
      </c>
      <c r="EC37" s="1" cm="1">
        <f t="array" ref="EC37">_xlfn.SWITCH($A$2,"average", AVERAGE(Instances!EC37:Instances!EC37),"median", MEDIAN(Instances!EC37:Instances!EC37),"min", MIN(Instances!EC37:Instances!EC37),"max", MAX(Instances!EC37:Instances!EC37),"diff", MAX(Instances!EC37:Instances!EC37)-MIN(Instances!EC37:Instances!EC37))</f>
        <v>0</v>
      </c>
      <c r="ED37" s="1" cm="1">
        <f t="array" ref="ED37">_xlfn.SWITCH($A$2,"average", AVERAGE(Instances!ED37:Instances!ED37),"median", MEDIAN(Instances!ED37:Instances!ED37),"min", MIN(Instances!ED37:Instances!ED37),"max", MAX(Instances!ED37:Instances!ED37),"diff", MAX(Instances!ED37:Instances!ED37)-MIN(Instances!ED37:Instances!ED37))</f>
        <v>0</v>
      </c>
      <c r="EE37" s="1" cm="1">
        <f t="array" ref="EE37">_xlfn.SWITCH($A$2,"average", AVERAGE(Instances!EE37:Instances!EE37),"median", MEDIAN(Instances!EE37:Instances!EE37),"min", MIN(Instances!EE37:Instances!EE37),"max", MAX(Instances!EE37:Instances!EE37),"diff", MAX(Instances!EE37:Instances!EE37)-MIN(Instances!EE37:Instances!EE37))</f>
        <v>0</v>
      </c>
      <c r="EF37" s="1" cm="1">
        <f t="array" ref="EF37">_xlfn.SWITCH($A$2,"average", AVERAGE(Instances!EF37:Instances!EF37),"median", MEDIAN(Instances!EF37:Instances!EF37),"min", MIN(Instances!EF37:Instances!EF37),"max", MAX(Instances!EF37:Instances!EF37),"diff", MAX(Instances!EF37:Instances!EF37)-MIN(Instances!EF37:Instances!EF37))</f>
        <v>0</v>
      </c>
      <c r="EG37" s="1" cm="1">
        <f t="array" ref="EG37">_xlfn.SWITCH($A$2,"average", AVERAGE(Instances!EG37:Instances!EG37),"median", MEDIAN(Instances!EG37:Instances!EG37),"min", MIN(Instances!EG37:Instances!EG37),"max", MAX(Instances!EG37:Instances!EG37),"diff", MAX(Instances!EG37:Instances!EG37)-MIN(Instances!EG37:Instances!EG37))</f>
        <v>0</v>
      </c>
      <c r="EH37" s="1" cm="1">
        <f t="array" ref="EH37">_xlfn.SWITCH($A$2,"average", AVERAGE(Instances!EH37:Instances!EH37),"median", MEDIAN(Instances!EH37:Instances!EH37),"min", MIN(Instances!EH37:Instances!EH37),"max", MAX(Instances!EH37:Instances!EH37),"diff", MAX(Instances!EH37:Instances!EH37)-MIN(Instances!EH37:Instances!EH37))</f>
        <v>0</v>
      </c>
      <c r="EI37" s="1" cm="1">
        <f t="array" ref="EI37">_xlfn.SWITCH($A$2,"average", AVERAGE(Instances!EI37:Instances!EI37),"median", MEDIAN(Instances!EI37:Instances!EI37),"min", MIN(Instances!EI37:Instances!EI37),"max", MAX(Instances!EI37:Instances!EI37),"diff", MAX(Instances!EI37:Instances!EI37)-MIN(Instances!EI37:Instances!EI37))</f>
        <v>0</v>
      </c>
      <c r="EJ37" s="1" cm="1">
        <f t="array" ref="EJ37">_xlfn.SWITCH($A$2,"average", AVERAGE(Instances!EJ37:Instances!EJ37),"median", MEDIAN(Instances!EJ37:Instances!EJ37),"min", MIN(Instances!EJ37:Instances!EJ37),"max", MAX(Instances!EJ37:Instances!EJ37),"diff", MAX(Instances!EJ37:Instances!EJ37)-MIN(Instances!EJ37:Instances!EJ37))</f>
        <v>0</v>
      </c>
      <c r="EK37" s="1" cm="1">
        <f t="array" ref="EK37">_xlfn.SWITCH($A$2,"average", AVERAGE(Instances!EK37:Instances!EK37),"median", MEDIAN(Instances!EK37:Instances!EK37),"min", MIN(Instances!EK37:Instances!EK37),"max", MAX(Instances!EK37:Instances!EK37),"diff", MAX(Instances!EK37:Instances!EK37)-MIN(Instances!EK37:Instances!EK37))</f>
        <v>0</v>
      </c>
      <c r="EL37" s="1"/>
      <c r="EM37" s="1" cm="1">
        <f t="array" ref="EM37">_xlfn.SWITCH($A$2,"average", AVERAGE(Instances!EM37:Instances!EM37),"median", MEDIAN(Instances!EM37:Instances!EM37),"min", MIN(Instances!EM37:Instances!EM37),"max", MAX(Instances!EM37:Instances!EM37),"diff", MAX(Instances!EM37:Instances!EM37)-MIN(Instances!EM37:Instances!EM37))</f>
        <v>0</v>
      </c>
      <c r="EN37" s="1" cm="1">
        <f t="array" ref="EN37">_xlfn.SWITCH($A$2,"average", AVERAGE(Instances!EN37:Instances!EN37),"median", MEDIAN(Instances!EN37:Instances!EN37),"min", MIN(Instances!EN37:Instances!EN37),"max", MAX(Instances!EN37:Instances!EN37),"diff", MAX(Instances!EN37:Instances!EN37)-MIN(Instances!EN37:Instances!EN37))</f>
        <v>0</v>
      </c>
      <c r="EO37" s="1" cm="1">
        <f t="array" ref="EO37">_xlfn.SWITCH($A$2,"average", AVERAGE(Instances!EO37:Instances!EO37),"median", MEDIAN(Instances!EO37:Instances!EO37),"min", MIN(Instances!EO37:Instances!EO37),"max", MAX(Instances!EO37:Instances!EO37),"diff", MAX(Instances!EO37:Instances!EO37)-MIN(Instances!EO37:Instances!EO37))</f>
        <v>0</v>
      </c>
      <c r="EP37" s="1" cm="1">
        <f t="array" ref="EP37">_xlfn.SWITCH($A$2,"average", AVERAGE(Instances!EP37:Instances!EP37),"median", MEDIAN(Instances!EP37:Instances!EP37),"min", MIN(Instances!EP37:Instances!EP37),"max", MAX(Instances!EP37:Instances!EP37),"diff", MAX(Instances!EP37:Instances!EP37)-MIN(Instances!EP37:Instances!EP37))</f>
        <v>0</v>
      </c>
      <c r="EQ37" s="1" cm="1">
        <f t="array" ref="EQ37">_xlfn.SWITCH($A$2,"average", AVERAGE(Instances!EQ37:Instances!EQ37),"median", MEDIAN(Instances!EQ37:Instances!EQ37),"min", MIN(Instances!EQ37:Instances!EQ37),"max", MAX(Instances!EQ37:Instances!EQ37),"diff", MAX(Instances!EQ37:Instances!EQ37)-MIN(Instances!EQ37:Instances!EQ37))</f>
        <v>0</v>
      </c>
      <c r="ER37" s="1" cm="1">
        <f t="array" ref="ER37">_xlfn.SWITCH($A$2,"average", AVERAGE(Instances!ER37:Instances!ER37),"median", MEDIAN(Instances!ER37:Instances!ER37),"min", MIN(Instances!ER37:Instances!ER37),"max", MAX(Instances!ER37:Instances!ER37),"diff", MAX(Instances!ER37:Instances!ER37)-MIN(Instances!ER37:Instances!ER37))</f>
        <v>0</v>
      </c>
      <c r="ES37" s="1" cm="1">
        <f t="array" ref="ES37">_xlfn.SWITCH($A$2,"average", AVERAGE(Instances!ES37:Instances!ES37),"median", MEDIAN(Instances!ES37:Instances!ES37),"min", MIN(Instances!ES37:Instances!ES37),"max", MAX(Instances!ES37:Instances!ES37),"diff", MAX(Instances!ES37:Instances!ES37)-MIN(Instances!ES37:Instances!ES37))</f>
        <v>0</v>
      </c>
      <c r="ET37" s="1" cm="1">
        <f t="array" ref="ET37">_xlfn.SWITCH($A$2,"average", AVERAGE(Instances!ET37:Instances!ET37),"median", MEDIAN(Instances!ET37:Instances!ET37),"min", MIN(Instances!ET37:Instances!ET37),"max", MAX(Instances!ET37:Instances!ET37),"diff", MAX(Instances!ET37:Instances!ET37)-MIN(Instances!ET37:Instances!ET37))</f>
        <v>0</v>
      </c>
      <c r="EU37" s="1" cm="1">
        <f t="array" ref="EU37">_xlfn.SWITCH($A$2,"average", AVERAGE(Instances!EU37:Instances!EU37),"median", MEDIAN(Instances!EU37:Instances!EU37),"min", MIN(Instances!EU37:Instances!EU37),"max", MAX(Instances!EU37:Instances!EU37),"diff", MAX(Instances!EU37:Instances!EU37)-MIN(Instances!EU37:Instances!EU37))</f>
        <v>0</v>
      </c>
      <c r="EV37" s="1" cm="1">
        <f t="array" ref="EV37">_xlfn.SWITCH($A$2,"average", AVERAGE(Instances!EV37:Instances!EV37),"median", MEDIAN(Instances!EV37:Instances!EV37),"min", MIN(Instances!EV37:Instances!EV37),"max", MAX(Instances!EV37:Instances!EV37),"diff", MAX(Instances!EV37:Instances!EV37)-MIN(Instances!EV37:Instances!EV37))</f>
        <v>0</v>
      </c>
      <c r="EW37" s="1" cm="1">
        <f t="array" ref="EW37">_xlfn.SWITCH($A$2,"average", AVERAGE(Instances!EW37:Instances!EW37),"median", MEDIAN(Instances!EW37:Instances!EW37),"min", MIN(Instances!EW37:Instances!EW37),"max", MAX(Instances!EW37:Instances!EW37),"diff", MAX(Instances!EW37:Instances!EW37)-MIN(Instances!EW37:Instances!EW37))</f>
        <v>0</v>
      </c>
      <c r="EX37" s="1" cm="1">
        <f t="array" ref="EX37">_xlfn.SWITCH($A$2,"average", AVERAGE(Instances!EX37:Instances!EX37),"median", MEDIAN(Instances!EX37:Instances!EX37),"min", MIN(Instances!EX37:Instances!EX37),"max", MAX(Instances!EX37:Instances!EX37),"diff", MAX(Instances!EX37:Instances!EX37)-MIN(Instances!EX37:Instances!EX37))</f>
        <v>0</v>
      </c>
      <c r="EY37" s="1" cm="1">
        <f t="array" ref="EY37">_xlfn.SWITCH($A$2,"average", AVERAGE(Instances!EY37:Instances!EY37),"median", MEDIAN(Instances!EY37:Instances!EY37),"min", MIN(Instances!EY37:Instances!EY37),"max", MAX(Instances!EY37:Instances!EY37),"diff", MAX(Instances!EY37:Instances!EY37)-MIN(Instances!EY37:Instances!EY37))</f>
        <v>0</v>
      </c>
      <c r="EZ37" s="1" cm="1">
        <f t="array" ref="EZ37">_xlfn.SWITCH($A$2,"average", AVERAGE(Instances!EZ37:Instances!EZ37),"median", MEDIAN(Instances!EZ37:Instances!EZ37),"min", MIN(Instances!EZ37:Instances!EZ37),"max", MAX(Instances!EZ37:Instances!EZ37),"diff", MAX(Instances!EZ37:Instances!EZ37)-MIN(Instances!EZ37:Instances!EZ37))</f>
        <v>0</v>
      </c>
      <c r="FA37" s="1" cm="1">
        <f t="array" ref="FA37">_xlfn.SWITCH($A$2,"average", AVERAGE(Instances!FA37:Instances!FA37),"median", MEDIAN(Instances!FA37:Instances!FA37),"min", MIN(Instances!FA37:Instances!FA37),"max", MAX(Instances!FA37:Instances!FA37),"diff", MAX(Instances!FA37:Instances!FA37)-MIN(Instances!FA37:Instances!FA37))</f>
        <v>0</v>
      </c>
      <c r="FB37" s="1" cm="1">
        <f t="array" ref="FB37">_xlfn.SWITCH($A$2,"average", AVERAGE(Instances!FB37:Instances!FB37),"median", MEDIAN(Instances!FB37:Instances!FB37),"min", MIN(Instances!FB37:Instances!FB37),"max", MAX(Instances!FB37:Instances!FB37),"diff", MAX(Instances!FB37:Instances!FB37)-MIN(Instances!FB37:Instances!FB37))</f>
        <v>0</v>
      </c>
      <c r="FC37" s="1" cm="1">
        <f t="array" ref="FC37">_xlfn.SWITCH($A$2,"average", AVERAGE(Instances!FC37:Instances!FC37),"median", MEDIAN(Instances!FC37:Instances!FC37),"min", MIN(Instances!FC37:Instances!FC37),"max", MAX(Instances!FC37:Instances!FC37),"diff", MAX(Instances!FC37:Instances!FC37)-MIN(Instances!FC37:Instances!FC37))</f>
        <v>0</v>
      </c>
      <c r="FD37" s="1"/>
      <c r="FE37" s="1" cm="1">
        <f t="array" ref="FE37">_xlfn.SWITCH($A$2,"average", AVERAGE(Instances!FE37:Instances!FE37),"median", MEDIAN(Instances!FE37:Instances!FE37),"min", MIN(Instances!FE37:Instances!FE37),"max", MAX(Instances!FE37:Instances!FE37),"diff", MAX(Instances!FE37:Instances!FE37)-MIN(Instances!FE37:Instances!FE37))</f>
        <v>0</v>
      </c>
      <c r="FF37" s="1" cm="1">
        <f t="array" ref="FF37">_xlfn.SWITCH($A$2,"average", AVERAGE(Instances!FF37:Instances!FF37),"median", MEDIAN(Instances!FF37:Instances!FF37),"min", MIN(Instances!FF37:Instances!FF37),"max", MAX(Instances!FF37:Instances!FF37),"diff", MAX(Instances!FF37:Instances!FF37)-MIN(Instances!FF37:Instances!FF37))</f>
        <v>0</v>
      </c>
      <c r="FG37" s="1" cm="1">
        <f t="array" ref="FG37">_xlfn.SWITCH($A$2,"average", AVERAGE(Instances!FG37:Instances!FG37),"median", MEDIAN(Instances!FG37:Instances!FG37),"min", MIN(Instances!FG37:Instances!FG37),"max", MAX(Instances!FG37:Instances!FG37),"diff", MAX(Instances!FG37:Instances!FG37)-MIN(Instances!FG37:Instances!FG37))</f>
        <v>0</v>
      </c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 cm="1">
        <f t="array" ref="FZ37">_xlfn.SWITCH($A$2,"average", AVERAGE(Instances!FZ37:Instances!FZ37),"median", MEDIAN(Instances!FZ37:Instances!FZ37),"min", MIN(Instances!FZ37:Instances!FZ37),"max", MAX(Instances!FZ37:Instances!FZ37),"diff", MAX(Instances!FZ37:Instances!FZ37)-MIN(Instances!FZ37:Instances!FZ37))</f>
        <v>0</v>
      </c>
      <c r="GA37" s="1" cm="1">
        <f t="array" ref="GA37">_xlfn.SWITCH($A$2,"average", AVERAGE(Instances!GA37:Instances!GA37),"median", MEDIAN(Instances!GA37:Instances!GA37),"min", MIN(Instances!GA37:Instances!GA37),"max", MAX(Instances!GA37:Instances!GA37),"diff", MAX(Instances!GA37:Instances!GA37)-MIN(Instances!GA37:Instances!GA37))</f>
        <v>0</v>
      </c>
      <c r="GB37" s="1" cm="1">
        <f t="array" ref="GB37">_xlfn.SWITCH($A$2,"average", AVERAGE(Instances!GB37:Instances!GB37),"median", MEDIAN(Instances!GB37:Instances!GB37),"min", MIN(Instances!GB37:Instances!GB37),"max", MAX(Instances!GB37:Instances!GB37),"diff", MAX(Instances!GB37:Instances!GB37)-MIN(Instances!GB37:Instances!GB37))</f>
        <v>0</v>
      </c>
      <c r="GC37" s="1" cm="1">
        <f t="array" ref="GC37">_xlfn.SWITCH($A$2,"average", AVERAGE(Instances!GC37:Instances!GC37),"median", MEDIAN(Instances!GC37:Instances!GC37),"min", MIN(Instances!GC37:Instances!GC37),"max", MAX(Instances!GC37:Instances!GC37),"diff", MAX(Instances!GC37:Instances!GC37)-MIN(Instances!GC37:Instances!GC37))</f>
        <v>0</v>
      </c>
      <c r="GD37" s="1" cm="1">
        <f t="array" ref="GD37">_xlfn.SWITCH($A$2,"average", AVERAGE(Instances!GD37:Instances!GD37),"median", MEDIAN(Instances!GD37:Instances!GD37),"min", MIN(Instances!GD37:Instances!GD37),"max", MAX(Instances!GD37:Instances!GD37),"diff", MAX(Instances!GD37:Instances!GD37)-MIN(Instances!GD37:Instances!GD37))</f>
        <v>0</v>
      </c>
      <c r="GE37" s="1" cm="1">
        <f t="array" ref="GE37">_xlfn.SWITCH($A$2,"average", AVERAGE(Instances!GE37:Instances!GE37),"median", MEDIAN(Instances!GE37:Instances!GE37),"min", MIN(Instances!GE37:Instances!GE37),"max", MAX(Instances!GE37:Instances!GE37),"diff", MAX(Instances!GE37:Instances!GE37)-MIN(Instances!GE37:Instances!GE37))</f>
        <v>0</v>
      </c>
      <c r="GF37" s="1" cm="1">
        <f t="array" ref="GF37">_xlfn.SWITCH($A$2,"average", AVERAGE(Instances!GF37:Instances!GF37),"median", MEDIAN(Instances!GF37:Instances!GF37),"min", MIN(Instances!GF37:Instances!GF37),"max", MAX(Instances!GF37:Instances!GF37),"diff", MAX(Instances!GF37:Instances!GF37)-MIN(Instances!GF37:Instances!GF37))</f>
        <v>0</v>
      </c>
      <c r="GG37" s="1" cm="1">
        <f t="array" ref="GG37">_xlfn.SWITCH($A$2,"average", AVERAGE(Instances!GG37:Instances!GG37),"median", MEDIAN(Instances!GG37:Instances!GG37),"min", MIN(Instances!GG37:Instances!GG37),"max", MAX(Instances!GG37:Instances!GG37),"diff", MAX(Instances!GG37:Instances!GG37)-MIN(Instances!GG37:Instances!GG37))</f>
        <v>0</v>
      </c>
      <c r="GH37" s="1" cm="1">
        <f t="array" ref="GH37">_xlfn.SWITCH($A$2,"average", AVERAGE(Instances!GH37:Instances!GH37),"median", MEDIAN(Instances!GH37:Instances!GH37),"min", MIN(Instances!GH37:Instances!GH37),"max", MAX(Instances!GH37:Instances!GH37),"diff", MAX(Instances!GH37:Instances!GH37)-MIN(Instances!GH37:Instances!GH37))</f>
        <v>0</v>
      </c>
      <c r="GI37" s="1" cm="1">
        <f t="array" ref="GI37">_xlfn.SWITCH($A$2,"average", AVERAGE(Instances!GI37:Instances!GI37),"median", MEDIAN(Instances!GI37:Instances!GI37),"min", MIN(Instances!GI37:Instances!GI37),"max", MAX(Instances!GI37:Instances!GI37),"diff", MAX(Instances!GI37:Instances!GI37)-MIN(Instances!GI37:Instances!GI37))</f>
        <v>0</v>
      </c>
      <c r="GJ37" s="1" cm="1">
        <f t="array" ref="GJ37">_xlfn.SWITCH($A$2,"average", AVERAGE(Instances!GJ37:Instances!GJ37),"median", MEDIAN(Instances!GJ37:Instances!GJ37),"min", MIN(Instances!GJ37:Instances!GJ37),"max", MAX(Instances!GJ37:Instances!GJ37),"diff", MAX(Instances!GJ37:Instances!GJ37)-MIN(Instances!GJ37:Instances!GJ37))</f>
        <v>0</v>
      </c>
      <c r="GK37" s="1" cm="1">
        <f t="array" ref="GK37">_xlfn.SWITCH($A$2,"average", AVERAGE(Instances!GK37:Instances!GK37),"median", MEDIAN(Instances!GK37:Instances!GK37),"min", MIN(Instances!GK37:Instances!GK37),"max", MAX(Instances!GK37:Instances!GK37),"diff", MAX(Instances!GK37:Instances!GK37)-MIN(Instances!GK37:Instances!GK37))</f>
        <v>0</v>
      </c>
      <c r="GL37" s="1" cm="1">
        <f t="array" ref="GL37">_xlfn.SWITCH($A$2,"average", AVERAGE(Instances!GL37:Instances!GL37),"median", MEDIAN(Instances!GL37:Instances!GL37),"min", MIN(Instances!GL37:Instances!GL37),"max", MAX(Instances!GL37:Instances!GL37),"diff", MAX(Instances!GL37:Instances!GL37)-MIN(Instances!GL37:Instances!GL37))</f>
        <v>0</v>
      </c>
      <c r="GM37" s="1" cm="1">
        <f t="array" ref="GM37">_xlfn.SWITCH($A$2,"average", AVERAGE(Instances!GM37:Instances!GM37),"median", MEDIAN(Instances!GM37:Instances!GM37),"min", MIN(Instances!GM37:Instances!GM37),"max", MAX(Instances!GM37:Instances!GM37),"diff", MAX(Instances!GM37:Instances!GM37)-MIN(Instances!GM37:Instances!GM37))</f>
        <v>0</v>
      </c>
      <c r="GN37" s="1"/>
      <c r="GO37" s="1" cm="1">
        <f t="array" ref="GO37">_xlfn.SWITCH($A$2,"average", AVERAGE(Instances!GO37:Instances!GO37),"median", MEDIAN(Instances!GO37:Instances!GO37),"min", MIN(Instances!GO37:Instances!GO37),"max", MAX(Instances!GO37:Instances!GO37),"diff", MAX(Instances!GO37:Instances!GO37)-MIN(Instances!GO37:Instances!GO37))</f>
        <v>0</v>
      </c>
      <c r="GP37" s="1" cm="1">
        <f t="array" ref="GP37">_xlfn.SWITCH($A$2,"average", AVERAGE(Instances!GP37:Instances!GP37),"median", MEDIAN(Instances!GP37:Instances!GP37),"min", MIN(Instances!GP37:Instances!GP37),"max", MAX(Instances!GP37:Instances!GP37),"diff", MAX(Instances!GP37:Instances!GP37)-MIN(Instances!GP37:Instances!GP37))</f>
        <v>0</v>
      </c>
      <c r="GQ37" s="1" cm="1">
        <f t="array" ref="GQ37">_xlfn.SWITCH($A$2,"average", AVERAGE(Instances!GQ37:Instances!GQ37),"median", MEDIAN(Instances!GQ37:Instances!GQ37),"min", MIN(Instances!GQ37:Instances!GQ37),"max", MAX(Instances!GQ37:Instances!GQ37),"diff", MAX(Instances!GQ37:Instances!GQ37)-MIN(Instances!GQ37:Instances!GQ37))</f>
        <v>0</v>
      </c>
      <c r="GR37" s="1" cm="1">
        <f t="array" ref="GR37">_xlfn.SWITCH($A$2,"average", AVERAGE(Instances!GR37:Instances!GR37),"median", MEDIAN(Instances!GR37:Instances!GR37),"min", MIN(Instances!GR37:Instances!GR37),"max", MAX(Instances!GR37:Instances!GR37),"diff", MAX(Instances!GR37:Instances!GR37)-MIN(Instances!GR37:Instances!GR37))</f>
        <v>0</v>
      </c>
      <c r="GS37" s="1" cm="1">
        <f t="array" ref="GS37">_xlfn.SWITCH($A$2,"average", AVERAGE(Instances!GS37:Instances!GS37),"median", MEDIAN(Instances!GS37:Instances!GS37),"min", MIN(Instances!GS37:Instances!GS37),"max", MAX(Instances!GS37:Instances!GS37),"diff", MAX(Instances!GS37:Instances!GS37)-MIN(Instances!GS37:Instances!GS37))</f>
        <v>0</v>
      </c>
      <c r="GT37" s="1" cm="1">
        <f t="array" ref="GT37">_xlfn.SWITCH($A$2,"average", AVERAGE(Instances!GT37:Instances!GT37),"median", MEDIAN(Instances!GT37:Instances!GT37),"min", MIN(Instances!GT37:Instances!GT37),"max", MAX(Instances!GT37:Instances!GT37),"diff", MAX(Instances!GT37:Instances!GT37)-MIN(Instances!GT37:Instances!GT37))</f>
        <v>0</v>
      </c>
      <c r="GU37" s="1" cm="1">
        <f t="array" ref="GU37">_xlfn.SWITCH($A$2,"average", AVERAGE(Instances!GU37:Instances!GU37),"median", MEDIAN(Instances!GU37:Instances!GU37),"min", MIN(Instances!GU37:Instances!GU37),"max", MAX(Instances!GU37:Instances!GU37),"diff", MAX(Instances!GU37:Instances!GU37)-MIN(Instances!GU37:Instances!GU37))</f>
        <v>0</v>
      </c>
      <c r="GV37" s="1" cm="1">
        <f t="array" ref="GV37">_xlfn.SWITCH($A$2,"average", AVERAGE(Instances!GV37:Instances!GV37),"median", MEDIAN(Instances!GV37:Instances!GV37),"min", MIN(Instances!GV37:Instances!GV37),"max", MAX(Instances!GV37:Instances!GV37),"diff", MAX(Instances!GV37:Instances!GV37)-MIN(Instances!GV37:Instances!GV37))</f>
        <v>0</v>
      </c>
      <c r="GW37" s="1" cm="1">
        <f t="array" ref="GW37">_xlfn.SWITCH($A$2,"average", AVERAGE(Instances!GW37:Instances!GW37),"median", MEDIAN(Instances!GW37:Instances!GW37),"min", MIN(Instances!GW37:Instances!GW37),"max", MAX(Instances!GW37:Instances!GW37),"diff", MAX(Instances!GW37:Instances!GW37)-MIN(Instances!GW37:Instances!GW37))</f>
        <v>0</v>
      </c>
      <c r="GX37" s="1" cm="1">
        <f t="array" ref="GX37">_xlfn.SWITCH($A$2,"average", AVERAGE(Instances!GX37:Instances!GX37),"median", MEDIAN(Instances!GX37:Instances!GX37),"min", MIN(Instances!GX37:Instances!GX37),"max", MAX(Instances!GX37:Instances!GX37),"diff", MAX(Instances!GX37:Instances!GX37)-MIN(Instances!GX37:Instances!GX37))</f>
        <v>0</v>
      </c>
      <c r="GY37" s="1" cm="1">
        <f t="array" ref="GY37">_xlfn.SWITCH($A$2,"average", AVERAGE(Instances!GY37:Instances!GY37),"median", MEDIAN(Instances!GY37:Instances!GY37),"min", MIN(Instances!GY37:Instances!GY37),"max", MAX(Instances!GY37:Instances!GY37),"diff", MAX(Instances!GY37:Instances!GY37)-MIN(Instances!GY37:Instances!GY37))</f>
        <v>0</v>
      </c>
      <c r="GZ37" s="1" cm="1">
        <f t="array" ref="GZ37">_xlfn.SWITCH($A$2,"average", AVERAGE(Instances!GZ37:Instances!GZ37),"median", MEDIAN(Instances!GZ37:Instances!GZ37),"min", MIN(Instances!GZ37:Instances!GZ37),"max", MAX(Instances!GZ37:Instances!GZ37),"diff", MAX(Instances!GZ37:Instances!GZ37)-MIN(Instances!GZ37:Instances!GZ37))</f>
        <v>0</v>
      </c>
      <c r="HA37" s="1" cm="1">
        <f t="array" ref="HA37">_xlfn.SWITCH($A$2,"average", AVERAGE(Instances!HA37:Instances!HA37),"median", MEDIAN(Instances!HA37:Instances!HA37),"min", MIN(Instances!HA37:Instances!HA37),"max", MAX(Instances!HA37:Instances!HA37),"diff", MAX(Instances!HA37:Instances!HA37)-MIN(Instances!HA37:Instances!HA37))</f>
        <v>0</v>
      </c>
      <c r="HB37" s="1" cm="1">
        <f t="array" ref="HB37">_xlfn.SWITCH($A$2,"average", AVERAGE(Instances!HB37:Instances!HB37),"median", MEDIAN(Instances!HB37:Instances!HB37),"min", MIN(Instances!HB37:Instances!HB37),"max", MAX(Instances!HB37:Instances!HB37),"diff", MAX(Instances!HB37:Instances!HB37)-MIN(Instances!HB37:Instances!HB37))</f>
        <v>0</v>
      </c>
      <c r="HC37" s="1" cm="1">
        <f t="array" ref="HC37">_xlfn.SWITCH($A$2,"average", AVERAGE(Instances!HC37:Instances!HC37),"median", MEDIAN(Instances!HC37:Instances!HC37),"min", MIN(Instances!HC37:Instances!HC37),"max", MAX(Instances!HC37:Instances!HC37),"diff", MAX(Instances!HC37:Instances!HC37)-MIN(Instances!HC37:Instances!HC37))</f>
        <v>0</v>
      </c>
      <c r="HD37" s="1" cm="1">
        <f t="array" ref="HD37">_xlfn.SWITCH($A$2,"average", AVERAGE(Instances!HD37:Instances!HD37),"median", MEDIAN(Instances!HD37:Instances!HD37),"min", MIN(Instances!HD37:Instances!HD37),"max", MAX(Instances!HD37:Instances!HD37),"diff", MAX(Instances!HD37:Instances!HD37)-MIN(Instances!HD37:Instances!HD37))</f>
        <v>0</v>
      </c>
      <c r="HE37" s="1" cm="1">
        <f t="array" ref="HE37">_xlfn.SWITCH($A$2,"average", AVERAGE(Instances!HE37:Instances!HE37),"median", MEDIAN(Instances!HE37:Instances!HE37),"min", MIN(Instances!HE37:Instances!HE37),"max", MAX(Instances!HE37:Instances!HE37),"diff", MAX(Instances!HE37:Instances!HE37)-MIN(Instances!HE37:Instances!HE37))</f>
        <v>0</v>
      </c>
      <c r="HF37" s="1"/>
      <c r="HG37" s="1" cm="1">
        <f t="array" ref="HG37">_xlfn.SWITCH($A$2,"average", AVERAGE(Instances!HG37:Instances!HG37),"median", MEDIAN(Instances!HG37:Instances!HG37),"min", MIN(Instances!HG37:Instances!HG37),"max", MAX(Instances!HG37:Instances!HG37),"diff", MAX(Instances!HG37:Instances!HG37)-MIN(Instances!HG37:Instances!HG37))</f>
        <v>0</v>
      </c>
      <c r="HH37" s="1" cm="1">
        <f t="array" ref="HH37">_xlfn.SWITCH($A$2,"average", AVERAGE(Instances!HH37:Instances!HH37),"median", MEDIAN(Instances!HH37:Instances!HH37),"min", MIN(Instances!HH37:Instances!HH37),"max", MAX(Instances!HH37:Instances!HH37),"diff", MAX(Instances!HH37:Instances!HH37)-MIN(Instances!HH37:Instances!HH37))</f>
        <v>0</v>
      </c>
      <c r="HI37" s="1" cm="1">
        <f t="array" ref="HI37">_xlfn.SWITCH($A$2,"average", AVERAGE(Instances!HI37:Instances!HI37),"median", MEDIAN(Instances!HI37:Instances!HI37),"min", MIN(Instances!HI37:Instances!HI37),"max", MAX(Instances!HI37:Instances!HI37),"diff", MAX(Instances!HI37:Instances!HI37)-MIN(Instances!HI37:Instances!HI37))</f>
        <v>0</v>
      </c>
      <c r="HJ37" s="1" cm="1">
        <f t="array" ref="HJ37">_xlfn.SWITCH($A$2,"average", AVERAGE(Instances!HJ37:Instances!HJ37),"median", MEDIAN(Instances!HJ37:Instances!HJ37),"min", MIN(Instances!HJ37:Instances!HJ37),"max", MAX(Instances!HJ37:Instances!HJ37),"diff", MAX(Instances!HJ37:Instances!HJ37)-MIN(Instances!HJ37:Instances!HJ37))</f>
        <v>0</v>
      </c>
      <c r="HK37" s="1" cm="1">
        <f t="array" ref="HK37">_xlfn.SWITCH($A$2,"average", AVERAGE(Instances!HK37:Instances!HK37),"median", MEDIAN(Instances!HK37:Instances!HK37),"min", MIN(Instances!HK37:Instances!HK37),"max", MAX(Instances!HK37:Instances!HK37),"diff", MAX(Instances!HK37:Instances!HK37)-MIN(Instances!HK37:Instances!HK37))</f>
        <v>0</v>
      </c>
      <c r="HL37" s="1" cm="1">
        <f t="array" ref="HL37">_xlfn.SWITCH($A$2,"average", AVERAGE(Instances!HL37:Instances!HL37),"median", MEDIAN(Instances!HL37:Instances!HL37),"min", MIN(Instances!HL37:Instances!HL37),"max", MAX(Instances!HL37:Instances!HL37),"diff", MAX(Instances!HL37:Instances!HL37)-MIN(Instances!HL37:Instances!HL37))</f>
        <v>0</v>
      </c>
      <c r="HM37" s="1" cm="1">
        <f t="array" ref="HM37">_xlfn.SWITCH($A$2,"average", AVERAGE(Instances!HM37:Instances!HM37),"median", MEDIAN(Instances!HM37:Instances!HM37),"min", MIN(Instances!HM37:Instances!HM37),"max", MAX(Instances!HM37:Instances!HM37),"diff", MAX(Instances!HM37:Instances!HM37)-MIN(Instances!HM37:Instances!HM37))</f>
        <v>0</v>
      </c>
      <c r="HN37" s="1" cm="1">
        <f t="array" ref="HN37">_xlfn.SWITCH($A$2,"average", AVERAGE(Instances!HN37:Instances!HN37),"median", MEDIAN(Instances!HN37:Instances!HN37),"min", MIN(Instances!HN37:Instances!HN37),"max", MAX(Instances!HN37:Instances!HN37),"diff", MAX(Instances!HN37:Instances!HN37)-MIN(Instances!HN37:Instances!HN37))</f>
        <v>0</v>
      </c>
      <c r="HO37" s="1" cm="1">
        <f t="array" ref="HO37">_xlfn.SWITCH($A$2,"average", AVERAGE(Instances!HO37:Instances!HO37),"median", MEDIAN(Instances!HO37:Instances!HO37),"min", MIN(Instances!HO37:Instances!HO37),"max", MAX(Instances!HO37:Instances!HO37),"diff", MAX(Instances!HO37:Instances!HO37)-MIN(Instances!HO37:Instances!HO37))</f>
        <v>0</v>
      </c>
      <c r="HP37" s="1" cm="1">
        <f t="array" ref="HP37">_xlfn.SWITCH($A$2,"average", AVERAGE(Instances!HP37:Instances!HP37),"median", MEDIAN(Instances!HP37:Instances!HP37),"min", MIN(Instances!HP37:Instances!HP37),"max", MAX(Instances!HP37:Instances!HP37),"diff", MAX(Instances!HP37:Instances!HP37)-MIN(Instances!HP37:Instances!HP37))</f>
        <v>0</v>
      </c>
      <c r="HQ37" s="1" cm="1">
        <f t="array" ref="HQ37">_xlfn.SWITCH($A$2,"average", AVERAGE(Instances!HQ37:Instances!HQ37),"median", MEDIAN(Instances!HQ37:Instances!HQ37),"min", MIN(Instances!HQ37:Instances!HQ37),"max", MAX(Instances!HQ37:Instances!HQ37),"diff", MAX(Instances!HQ37:Instances!HQ37)-MIN(Instances!HQ37:Instances!HQ37))</f>
        <v>0</v>
      </c>
      <c r="HR37" s="1" cm="1">
        <f t="array" ref="HR37">_xlfn.SWITCH($A$2,"average", AVERAGE(Instances!HR37:Instances!HR37),"median", MEDIAN(Instances!HR37:Instances!HR37),"min", MIN(Instances!HR37:Instances!HR37),"max", MAX(Instances!HR37:Instances!HR37),"diff", MAX(Instances!HR37:Instances!HR37)-MIN(Instances!HR37:Instances!HR37))</f>
        <v>0</v>
      </c>
      <c r="HS37" s="1" cm="1">
        <f t="array" ref="HS37">_xlfn.SWITCH($A$2,"average", AVERAGE(Instances!HS37:Instances!HS37),"median", MEDIAN(Instances!HS37:Instances!HS37),"min", MIN(Instances!HS37:Instances!HS37),"max", MAX(Instances!HS37:Instances!HS37),"diff", MAX(Instances!HS37:Instances!HS37)-MIN(Instances!HS37:Instances!HS37))</f>
        <v>0</v>
      </c>
      <c r="HT37" s="1" cm="1">
        <f t="array" ref="HT37">_xlfn.SWITCH($A$2,"average", AVERAGE(Instances!HT37:Instances!HT37),"median", MEDIAN(Instances!HT37:Instances!HT37),"min", MIN(Instances!HT37:Instances!HT37),"max", MAX(Instances!HT37:Instances!HT37),"diff", MAX(Instances!HT37:Instances!HT37)-MIN(Instances!HT37:Instances!HT37))</f>
        <v>0</v>
      </c>
      <c r="HU37" s="1" cm="1">
        <f t="array" ref="HU37">_xlfn.SWITCH($A$2,"average", AVERAGE(Instances!HU37:Instances!HU37),"median", MEDIAN(Instances!HU37:Instances!HU37),"min", MIN(Instances!HU37:Instances!HU37),"max", MAX(Instances!HU37:Instances!HU37),"diff", MAX(Instances!HU37:Instances!HU37)-MIN(Instances!HU37:Instances!HU37))</f>
        <v>0</v>
      </c>
      <c r="HV37" s="1" cm="1">
        <f t="array" ref="HV37">_xlfn.SWITCH($A$2,"average", AVERAGE(Instances!HV37:Instances!HV37),"median", MEDIAN(Instances!HV37:Instances!HV37),"min", MIN(Instances!HV37:Instances!HV37),"max", MAX(Instances!HV37:Instances!HV37),"diff", MAX(Instances!HV37:Instances!HV37)-MIN(Instances!HV37:Instances!HV37))</f>
        <v>0</v>
      </c>
      <c r="HW37" s="1" cm="1">
        <f t="array" ref="HW37">_xlfn.SWITCH($A$2,"average", AVERAGE(Instances!HW37:Instances!HW37),"median", MEDIAN(Instances!HW37:Instances!HW37),"min", MIN(Instances!HW37:Instances!HW37),"max", MAX(Instances!HW37:Instances!HW37),"diff", MAX(Instances!HW37:Instances!HW37)-MIN(Instances!HW37:Instances!HW37))</f>
        <v>0</v>
      </c>
      <c r="HX37" s="1"/>
      <c r="HY37" s="1" cm="1">
        <f t="array" ref="HY37">_xlfn.SWITCH($A$2,"average", AVERAGE(Instances!HY37:Instances!HY37),"median", MEDIAN(Instances!HY37:Instances!HY37),"min", MIN(Instances!HY37:Instances!HY37),"max", MAX(Instances!HY37:Instances!HY37),"diff", MAX(Instances!HY37:Instances!HY37)-MIN(Instances!HY37:Instances!HY37))</f>
        <v>0</v>
      </c>
      <c r="HZ37" s="1" cm="1">
        <f t="array" ref="HZ37">_xlfn.SWITCH($A$2,"average", AVERAGE(Instances!HZ37:Instances!HZ37),"median", MEDIAN(Instances!HZ37:Instances!HZ37),"min", MIN(Instances!HZ37:Instances!HZ37),"max", MAX(Instances!HZ37:Instances!HZ37),"diff", MAX(Instances!HZ37:Instances!HZ37)-MIN(Instances!HZ37:Instances!HZ37))</f>
        <v>0</v>
      </c>
      <c r="IA37" s="1" cm="1">
        <f t="array" ref="IA37">_xlfn.SWITCH($A$2,"average", AVERAGE(Instances!IA37:Instances!IA37),"median", MEDIAN(Instances!IA37:Instances!IA37),"min", MIN(Instances!IA37:Instances!IA37),"max", MAX(Instances!IA37:Instances!IA37),"diff", MAX(Instances!IA37:Instances!IA37)-MIN(Instances!IA37:Instances!IA37))</f>
        <v>0</v>
      </c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 cm="1">
        <f t="array" ref="JL37">_xlfn.SWITCH($A$2,"average", AVERAGE(Instances!JL37:Instances!JL37),"median", MEDIAN(Instances!JL37:Instances!JL37),"min", MIN(Instances!JL37:Instances!JL37),"max", MAX(Instances!JL37:Instances!JL37),"diff", MAX(Instances!JL37:Instances!JL37)-MIN(Instances!JL37:Instances!JL37))</f>
        <v>0</v>
      </c>
      <c r="JM37" s="1" cm="1">
        <f t="array" ref="JM37">_xlfn.SWITCH($A$2,"average", AVERAGE(Instances!JM37:Instances!JM37),"median", MEDIAN(Instances!JM37:Instances!JM37),"min", MIN(Instances!JM37:Instances!JM37),"max", MAX(Instances!JM37:Instances!JM37),"diff", MAX(Instances!JM37:Instances!JM37)-MIN(Instances!JM37:Instances!JM37))</f>
        <v>0</v>
      </c>
      <c r="JN37" s="1" cm="1">
        <f t="array" ref="JN37">_xlfn.SWITCH($A$2,"average", AVERAGE(Instances!JN37:Instances!JN37),"median", MEDIAN(Instances!JN37:Instances!JN37),"min", MIN(Instances!JN37:Instances!JN37),"max", MAX(Instances!JN37:Instances!JN37),"diff", MAX(Instances!JN37:Instances!JN37)-MIN(Instances!JN37:Instances!JN37))</f>
        <v>0</v>
      </c>
      <c r="JO37" s="1" cm="1">
        <f t="array" ref="JO37">_xlfn.SWITCH($A$2,"average", AVERAGE(Instances!JO37:Instances!JO37),"median", MEDIAN(Instances!JO37:Instances!JO37),"min", MIN(Instances!JO37:Instances!JO37),"max", MAX(Instances!JO37:Instances!JO37),"diff", MAX(Instances!JO37:Instances!JO37)-MIN(Instances!JO37:Instances!JO37))</f>
        <v>0</v>
      </c>
      <c r="JP37" s="1" cm="1">
        <f t="array" ref="JP37">_xlfn.SWITCH($A$2,"average", AVERAGE(Instances!JP37:Instances!JP37),"median", MEDIAN(Instances!JP37:Instances!JP37),"min", MIN(Instances!JP37:Instances!JP37),"max", MAX(Instances!JP37:Instances!JP37),"diff", MAX(Instances!JP37:Instances!JP37)-MIN(Instances!JP37:Instances!JP37))</f>
        <v>0</v>
      </c>
      <c r="JQ37" s="1" cm="1">
        <f t="array" ref="JQ37">_xlfn.SWITCH($A$2,"average", AVERAGE(Instances!JQ37:Instances!JQ37),"median", MEDIAN(Instances!JQ37:Instances!JQ37),"min", MIN(Instances!JQ37:Instances!JQ37),"max", MAX(Instances!JQ37:Instances!JQ37),"diff", MAX(Instances!JQ37:Instances!JQ37)-MIN(Instances!JQ37:Instances!JQ37))</f>
        <v>0</v>
      </c>
      <c r="JR37" s="1" cm="1">
        <f t="array" ref="JR37">_xlfn.SWITCH($A$2,"average", AVERAGE(Instances!JR37:Instances!JR37),"median", MEDIAN(Instances!JR37:Instances!JR37),"min", MIN(Instances!JR37:Instances!JR37),"max", MAX(Instances!JR37:Instances!JR37),"diff", MAX(Instances!JR37:Instances!JR37)-MIN(Instances!JR37:Instances!JR37))</f>
        <v>0</v>
      </c>
      <c r="JS37" s="1" cm="1">
        <f t="array" ref="JS37">_xlfn.SWITCH($A$2,"average", AVERAGE(Instances!JS37:Instances!JS37),"median", MEDIAN(Instances!JS37:Instances!JS37),"min", MIN(Instances!JS37:Instances!JS37),"max", MAX(Instances!JS37:Instances!JS37),"diff", MAX(Instances!JS37:Instances!JS37)-MIN(Instances!JS37:Instances!JS37))</f>
        <v>0</v>
      </c>
      <c r="JT37" s="1" cm="1">
        <f t="array" ref="JT37">_xlfn.SWITCH($A$2,"average", AVERAGE(Instances!JT37:Instances!JT37),"median", MEDIAN(Instances!JT37:Instances!JT37),"min", MIN(Instances!JT37:Instances!JT37),"max", MAX(Instances!JT37:Instances!JT37),"diff", MAX(Instances!JT37:Instances!JT37)-MIN(Instances!JT37:Instances!JT37))</f>
        <v>0</v>
      </c>
      <c r="JU37" s="1" cm="1">
        <f t="array" ref="JU37">_xlfn.SWITCH($A$2,"average", AVERAGE(Instances!JU37:Instances!JU37),"median", MEDIAN(Instances!JU37:Instances!JU37),"min", MIN(Instances!JU37:Instances!JU37),"max", MAX(Instances!JU37:Instances!JU37),"diff", MAX(Instances!JU37:Instances!JU37)-MIN(Instances!JU37:Instances!JU37))</f>
        <v>0</v>
      </c>
      <c r="JV37" s="1" cm="1">
        <f t="array" ref="JV37">_xlfn.SWITCH($A$2,"average", AVERAGE(Instances!JV37:Instances!JV37),"median", MEDIAN(Instances!JV37:Instances!JV37),"min", MIN(Instances!JV37:Instances!JV37),"max", MAX(Instances!JV37:Instances!JV37),"diff", MAX(Instances!JV37:Instances!JV37)-MIN(Instances!JV37:Instances!JV37))</f>
        <v>0</v>
      </c>
      <c r="JW37" s="1" cm="1">
        <f t="array" ref="JW37">_xlfn.SWITCH($A$2,"average", AVERAGE(Instances!JW37:Instances!JW37),"median", MEDIAN(Instances!JW37:Instances!JW37),"min", MIN(Instances!JW37:Instances!JW37),"max", MAX(Instances!JW37:Instances!JW37),"diff", MAX(Instances!JW37:Instances!JW37)-MIN(Instances!JW37:Instances!JW37))</f>
        <v>0</v>
      </c>
      <c r="JX37" s="1" cm="1">
        <f t="array" ref="JX37">_xlfn.SWITCH($A$2,"average", AVERAGE(Instances!JX37:Instances!JX37),"median", MEDIAN(Instances!JX37:Instances!JX37),"min", MIN(Instances!JX37:Instances!JX37),"max", MAX(Instances!JX37:Instances!JX37),"diff", MAX(Instances!JX37:Instances!JX37)-MIN(Instances!JX37:Instances!JX37))</f>
        <v>0</v>
      </c>
      <c r="JY37" s="1" cm="1">
        <f t="array" ref="JY37">_xlfn.SWITCH($A$2,"average", AVERAGE(Instances!JY37:Instances!JY37),"median", MEDIAN(Instances!JY37:Instances!JY37),"min", MIN(Instances!JY37:Instances!JY37),"max", MAX(Instances!JY37:Instances!JY37),"diff", MAX(Instances!JY37:Instances!JY37)-MIN(Instances!JY37:Instances!JY37))</f>
        <v>0</v>
      </c>
      <c r="JZ37" s="1"/>
      <c r="KA37" s="1" cm="1">
        <f t="array" ref="KA37">_xlfn.SWITCH($A$2,"average", AVERAGE(Instances!KA37:Instances!KA37),"median", MEDIAN(Instances!KA37:Instances!KA37),"min", MIN(Instances!KA37:Instances!KA37),"max", MAX(Instances!KA37:Instances!KA37),"diff", MAX(Instances!KA37:Instances!KA37)-MIN(Instances!KA37:Instances!KA37))</f>
        <v>0</v>
      </c>
      <c r="KB37" s="1" cm="1">
        <f t="array" ref="KB37">_xlfn.SWITCH($A$2,"average", AVERAGE(Instances!KB37:Instances!KB37),"median", MEDIAN(Instances!KB37:Instances!KB37),"min", MIN(Instances!KB37:Instances!KB37),"max", MAX(Instances!KB37:Instances!KB37),"diff", MAX(Instances!KB37:Instances!KB37)-MIN(Instances!KB37:Instances!KB37))</f>
        <v>0</v>
      </c>
      <c r="KC37" s="1" cm="1">
        <f t="array" ref="KC37">_xlfn.SWITCH($A$2,"average", AVERAGE(Instances!KC37:Instances!KC37),"median", MEDIAN(Instances!KC37:Instances!KC37),"min", MIN(Instances!KC37:Instances!KC37),"max", MAX(Instances!KC37:Instances!KC37),"diff", MAX(Instances!KC37:Instances!KC37)-MIN(Instances!KC37:Instances!KC37))</f>
        <v>0</v>
      </c>
      <c r="KD37" s="1">
        <f>MIN($B37,$T37,$AL37,$BD37,$BV37,$CN37,$DF37,$DX37,$EP37,$FH37,$FZ37,$GR37,$HJ37,$IB37,$IT37,$JL37)</f>
        <v>0</v>
      </c>
      <c r="KE37" s="1">
        <f>MIN($C37,$U37,$AM37,$BE37,$BW37,$CO37,$DG37,$DY37,$EQ37,$FI37,$GA37,$GS37,$HK37,$IC37,$IU37,$JM37)</f>
        <v>0</v>
      </c>
      <c r="KF37" s="1">
        <f>MIN($D37,$V37,$AN37,$BF37,$BX37,$CP37,$DH37,$DZ37,$ER37,$FJ37,$GB37,$GT37,$HL37,$ID37,$IV37,$JN37)</f>
        <v>0</v>
      </c>
      <c r="KG37" s="1">
        <f>MIN($E37,$W37,$AO37,$BG37,$BY37,$CQ37,$DI37,$EA37,$ES37,$FK37,$GC37,$GU37,$HM37,$IE37,$IW37,$JO37)</f>
        <v>0</v>
      </c>
      <c r="KH37" s="1">
        <f>MIN($F37,$X37,$AP37,$BH37,$BZ37,$CR37,$DJ37,$EB37,$ET37,$FL37,$GD37,$GV37,$HN37,$IF37,$IX37,$JP37)</f>
        <v>0</v>
      </c>
      <c r="KI37" s="1">
        <f>MIN($G37,$Y37,$AQ37,$BI37,$CA37,$CS37,$DK37,$EC37,$EU37,$FM37,$GE37,$GW37,$HO37,$IG37,$IY37,$JQ37)</f>
        <v>0</v>
      </c>
      <c r="KJ37" s="1">
        <f>MIN($H37,$Z37,$AR37,$BJ37,$CB37,$CT37,$DL37,$ED37,$EV37,$FN37,$GF37,$GX37,$HP37,$IH37,$IZ37,$JR37)</f>
        <v>0</v>
      </c>
      <c r="KK37" s="1">
        <f>MIN($I37,$AA37,$AS37,$BK37,$CC37,$CU37,$DM37,$EE37,$EW37,$FO37,$GG37,$GY37,$HQ37,$II37,$JA37,$JS37)</f>
        <v>0</v>
      </c>
      <c r="KL37" s="1">
        <f>MIN($J37,$AB37,$AT37,$BL37,$CD37,$CV37,$DN37,$EF37,$EX37,$FP37,$GH37,$GZ37,$HR37,$IJ37,$JB37,$JT37)</f>
        <v>0</v>
      </c>
      <c r="KM37" s="1">
        <f>MIN($K37,$AC37,$AU37,$BM37,$CE37,$CW37,$DO37,$EG37,$EY37,$FQ37,$GI37,$HA37,$HS37,$IK37,$JC37,$JU37)</f>
        <v>0</v>
      </c>
      <c r="KN37" s="1">
        <f>MIN($L37,$AD37,$AV37,$BN37,$CF37,$CX37,$DP37,$EH37,$EZ37,$FR37,$GJ37,$HB37,$HT37,$IL37,$JD37,$JV37)</f>
        <v>0</v>
      </c>
      <c r="KO37" s="1">
        <f>MIN($M37,$AE37,$AW37,$BO37,$CG37,$CY37,$DQ37,$EI37,$FA37,$FS37,$GK37,$HC37,$HU37,$IM37,$JE37,$JW37)</f>
        <v>0</v>
      </c>
      <c r="KP37" s="1">
        <f>MIN($N37,$AF37,$AX37,$BP37,$CH37,$CZ37,$DR37,$EJ37,$FB37,$FT37,$GL37,$HD37,$HV37,$IN37,$JF37,$JX37)</f>
        <v>0</v>
      </c>
      <c r="KQ37" s="1">
        <f>MIN($O37,$AG37,$AY37,$BQ37,$CI37,$DA37,$DS37,$EK37,$FC37,$FU37,$GM37,$HE37,$HW37,$IO37,$JG37,$JY37)</f>
        <v>0</v>
      </c>
      <c r="KR37" s="1">
        <f>MIN($Q37,$AI37,$BA37,$BS37,$CK37,$DC37,$DU37,$EM37,$FE37,$FW37,$GO37,$HG37,$HY37,$IQ37,$JI37,$KA37)</f>
        <v>0</v>
      </c>
      <c r="KS37" s="1">
        <f>MIN($R37,$AJ37,$BB37,$BT37,$CL37,$DD37,$DV37,$EN37,$FF37,$FX37,$GP37,$HH37,$HZ37,$IR37,$JJ37,$KB37)</f>
        <v>0</v>
      </c>
      <c r="KT37" s="1">
        <f>MIN($S37,$AK37,$BC37,$BU37,$CM37,$DE37,$DW37,$EO37,$FG37,$FY37,$GQ37,$HI37,$IA37,$IS37,$JK37,$KC37)</f>
        <v>0</v>
      </c>
      <c r="KU37" s="1">
        <f>MEDIAN($B37,$T37,$AL37,$BD37,$BV37,$CN37,$DF37,$DX37,$EP37,$FH37,$FZ37,$GR37,$HJ37,$IB37,$IT37,$JL37)</f>
        <v>0</v>
      </c>
      <c r="KV37" s="1">
        <f>MEDIAN($C37,$U37,$AM37,$BE37,$BW37,$CO37,$DG37,$DY37,$EQ37,$FI37,$GA37,$GS37,$HK37,$IC37,$IU37,$JM37)</f>
        <v>0</v>
      </c>
      <c r="KW37" s="1">
        <f>MEDIAN($D37,$V37,$AN37,$BF37,$BX37,$CP37,$DH37,$DZ37,$ER37,$FJ37,$GB37,$GT37,$HL37,$ID37,$IV37,$JN37)</f>
        <v>0</v>
      </c>
      <c r="KX37" s="1">
        <f>MEDIAN($E37,$W37,$AO37,$BG37,$BY37,$CQ37,$DI37,$EA37,$ES37,$FK37,$GC37,$GU37,$HM37,$IE37,$IW37,$JO37)</f>
        <v>0</v>
      </c>
      <c r="KY37" s="1">
        <f>MEDIAN($F37,$X37,$AP37,$BH37,$BZ37,$CR37,$DJ37,$EB37,$ET37,$FL37,$GD37,$GV37,$HN37,$IF37,$IX37,$JP37)</f>
        <v>0</v>
      </c>
      <c r="KZ37" s="1">
        <f>MEDIAN($G37,$Y37,$AQ37,$BI37,$CA37,$CS37,$DK37,$EC37,$EU37,$FM37,$GE37,$GW37,$HO37,$IG37,$IY37,$JQ37)</f>
        <v>0</v>
      </c>
      <c r="LA37" s="1">
        <f>MEDIAN($H37,$Z37,$AR37,$BJ37,$CB37,$CT37,$DL37,$ED37,$EV37,$FN37,$GF37,$GX37,$HP37,$IH37,$IZ37,$JR37)</f>
        <v>0</v>
      </c>
      <c r="LB37" s="1">
        <f>MEDIAN($I37,$AA37,$AS37,$BK37,$CC37,$CU37,$DM37,$EE37,$EW37,$FO37,$GG37,$GY37,$HQ37,$II37,$JA37,$JS37)</f>
        <v>0</v>
      </c>
      <c r="LC37" s="1">
        <f>MEDIAN($J37,$AB37,$AT37,$BL37,$CD37,$CV37,$DN37,$EF37,$EX37,$FP37,$GH37,$GZ37,$HR37,$IJ37,$JB37,$JT37)</f>
        <v>0</v>
      </c>
      <c r="LD37" s="1">
        <f>MEDIAN($K37,$AC37,$AU37,$BM37,$CE37,$CW37,$DO37,$EG37,$EY37,$FQ37,$GI37,$HA37,$HS37,$IK37,$JC37,$JU37)</f>
        <v>0</v>
      </c>
      <c r="LE37" s="1">
        <f>MEDIAN($L37,$AD37,$AV37,$BN37,$CF37,$CX37,$DP37,$EH37,$EZ37,$FR37,$GJ37,$HB37,$HT37,$IL37,$JD37,$JV37)</f>
        <v>0</v>
      </c>
      <c r="LF37" s="1">
        <f>MEDIAN($M37,$AE37,$AW37,$BO37,$CG37,$CY37,$DQ37,$EI37,$FA37,$FS37,$GK37,$HC37,$HU37,$IM37,$JE37,$JW37)</f>
        <v>0</v>
      </c>
      <c r="LG37" s="1">
        <f>MEDIAN($N37,$AF37,$AX37,$BP37,$CH37,$CZ37,$DR37,$EJ37,$FB37,$FT37,$GL37,$HD37,$HV37,$IN37,$JF37,$JX37)</f>
        <v>0</v>
      </c>
      <c r="LH37" s="1">
        <f>MEDIAN($O37,$AG37,$AY37,$BQ37,$CI37,$DA37,$DS37,$EK37,$FC37,$FU37,$GM37,$HE37,$HW37,$IO37,$JG37,$JY37)</f>
        <v>0</v>
      </c>
      <c r="LI37" s="1">
        <f>MEDIAN($Q37,$AI37,$BA37,$BS37,$CK37,$DC37,$DU37,$EM37,$FE37,$FW37,$GO37,$HG37,$HY37,$IQ37,$JI37,$KA37)</f>
        <v>0</v>
      </c>
      <c r="LJ37" s="1">
        <f>MEDIAN($R37,$AJ37,$BB37,$BT37,$CL37,$DD37,$DV37,$EN37,$FF37,$FX37,$GP37,$HH37,$HZ37,$IR37,$JJ37,$KB37)</f>
        <v>0</v>
      </c>
      <c r="LK37" s="1">
        <f>MEDIAN($S37,$AK37,$BC37,$BU37,$CM37,$DE37,$DW37,$EO37,$FG37,$FY37,$GQ37,$HI37,$IA37,$IS37,$JK37,$KC37)</f>
        <v>0</v>
      </c>
      <c r="LL37" s="1">
        <f>MAX($B37,$T37,$AL37,$BD37,$BV37,$CN37,$DF37,$DX37,$EP37,$FH37,$FZ37,$GR37,$HJ37,$IB37,$IT37,$JL37)</f>
        <v>0</v>
      </c>
      <c r="LM37" s="1">
        <f>MAX($C37,$U37,$AM37,$BE37,$BW37,$CO37,$DG37,$DY37,$EQ37,$FI37,$GA37,$GS37,$HK37,$IC37,$IU37,$JM37)</f>
        <v>0</v>
      </c>
      <c r="LN37" s="1">
        <f>MAX($D37,$V37,$AN37,$BF37,$BX37,$CP37,$DH37,$DZ37,$ER37,$FJ37,$GB37,$GT37,$HL37,$ID37,$IV37,$JN37)</f>
        <v>0</v>
      </c>
      <c r="LO37" s="1">
        <f>MAX($E37,$W37,$AO37,$BG37,$BY37,$CQ37,$DI37,$EA37,$ES37,$FK37,$GC37,$GU37,$HM37,$IE37,$IW37,$JO37)</f>
        <v>0</v>
      </c>
      <c r="LP37" s="1">
        <f>MAX($F37,$X37,$AP37,$BH37,$BZ37,$CR37,$DJ37,$EB37,$ET37,$FL37,$GD37,$GV37,$HN37,$IF37,$IX37,$JP37)</f>
        <v>0</v>
      </c>
      <c r="LQ37" s="1">
        <f>MAX($G37,$Y37,$AQ37,$BI37,$CA37,$CS37,$DK37,$EC37,$EU37,$FM37,$GE37,$GW37,$HO37,$IG37,$IY37,$JQ37)</f>
        <v>0</v>
      </c>
      <c r="LR37" s="1">
        <f>MAX($H37,$Z37,$AR37,$BJ37,$CB37,$CT37,$DL37,$ED37,$EV37,$FN37,$GF37,$GX37,$HP37,$IH37,$IZ37,$JR37)</f>
        <v>0</v>
      </c>
      <c r="LS37" s="1">
        <f>MAX($I37,$AA37,$AS37,$BK37,$CC37,$CU37,$DM37,$EE37,$EW37,$FO37,$GG37,$GY37,$HQ37,$II37,$JA37,$JS37)</f>
        <v>0</v>
      </c>
      <c r="LT37" s="1">
        <f>MAX($J37,$AB37,$AT37,$BL37,$CD37,$CV37,$DN37,$EF37,$EX37,$FP37,$GH37,$GZ37,$HR37,$IJ37,$JB37,$JT37)</f>
        <v>0</v>
      </c>
      <c r="LU37" s="1">
        <f>MAX($K37,$AC37,$AU37,$BM37,$CE37,$CW37,$DO37,$EG37,$EY37,$FQ37,$GI37,$HA37,$HS37,$IK37,$JC37,$JU37)</f>
        <v>0</v>
      </c>
      <c r="LV37" s="1">
        <f>MAX($L37,$AD37,$AV37,$BN37,$CF37,$CX37,$DP37,$EH37,$EZ37,$FR37,$GJ37,$HB37,$HT37,$IL37,$JD37,$JV37)</f>
        <v>0</v>
      </c>
      <c r="LW37" s="1">
        <f>MAX($M37,$AE37,$AW37,$BO37,$CG37,$CY37,$DQ37,$EI37,$FA37,$FS37,$GK37,$HC37,$HU37,$IM37,$JE37,$JW37)</f>
        <v>0</v>
      </c>
      <c r="LX37" s="1">
        <f>MAX($N37,$AF37,$AX37,$BP37,$CH37,$CZ37,$DR37,$EJ37,$FB37,$FT37,$GL37,$HD37,$HV37,$IN37,$JF37,$JX37)</f>
        <v>0</v>
      </c>
      <c r="LY37" s="1">
        <f>MAX($O37,$AG37,$AY37,$BQ37,$CI37,$DA37,$DS37,$EK37,$FC37,$FU37,$GM37,$HE37,$HW37,$IO37,$JG37,$JY37)</f>
        <v>0</v>
      </c>
      <c r="LZ37" s="1">
        <f>MAX($Q37,$AI37,$BA37,$BS37,$CK37,$DC37,$DU37,$EM37,$FE37,$FW37,$GO37,$HG37,$HY37,$IQ37,$JI37,$KA37)</f>
        <v>0</v>
      </c>
      <c r="MA37" s="1">
        <f>MAX($R37,$AJ37,$BB37,$BT37,$CL37,$DD37,$DV37,$EN37,$FF37,$FX37,$GP37,$HH37,$HZ37,$IR37,$JJ37,$KB37)</f>
        <v>0</v>
      </c>
      <c r="MB37" s="1">
        <f>MAX($S37,$AK37,$BC37,$BU37,$CM37,$DE37,$DW37,$EO37,$FG37,$FY37,$GQ37,$HI37,$IA37,$IS37,$JK37,$KC37)</f>
        <v>0</v>
      </c>
    </row>
    <row r="38" spans="1:340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 cm="1">
        <f t="array" ref="L38">_xlfn.SWITCH($A$2,"average", AVERAGE(Instances!L38:Instances!L38),"median", MEDIAN(Instances!L38:Instances!L38),"min", MIN(Instances!L38:Instances!L38),"max", MAX(Instances!L38:Instances!L38),"diff", MAX(Instances!L38:Instances!L38)-MIN(Instances!L38:Instances!L38))</f>
        <v>0</v>
      </c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 cm="1">
        <f t="array" ref="O38">_xlfn.SWITCH($A$2,"average", AVERAGE(Instances!O38:Instances!O38),"median", MEDIAN(Instances!O38:Instances!O38),"min", MIN(Instances!O38:Instances!O38),"max", MAX(Instances!O38:Instances!O38),"diff", MAX(Instances!O38:Instances!O38)-MIN(Instances!O38:Instances!O38))</f>
        <v>0</v>
      </c>
      <c r="P38" s="1"/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 cm="1">
        <f t="array" ref="S38">_xlfn.SWITCH($A$2,"average", AVERAGE(Instances!S38:Instances!S38),"median", MEDIAN(Instances!S38:Instances!S38),"min", MIN(Instances!S38:Instances!S38),"max", MAX(Instances!S38:Instances!S38),"diff", MAX(Instances!S38:Instances!S38)-MIN(Instances!S38:Instances!S38))</f>
        <v>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 cm="1">
        <f t="array" ref="AL38">_xlfn.SWITCH($A$2,"average", AVERAGE(Instances!AL38:Instances!AL38),"median", MEDIAN(Instances!AL38:Instances!AL38),"min", MIN(Instances!AL38:Instances!AL38),"max", MAX(Instances!AL38:Instances!AL38),"diff", MAX(Instances!AL38:Instances!AL38)-MIN(Instances!AL38:Instances!AL38))</f>
        <v>0</v>
      </c>
      <c r="AM38" s="1" cm="1">
        <f t="array" ref="AM38">_xlfn.SWITCH($A$2,"average", AVERAGE(Instances!AM38:Instances!AM38),"median", MEDIAN(Instances!AM38:Instances!AM38),"min", MIN(Instances!AM38:Instances!AM38),"max", MAX(Instances!AM38:Instances!AM38),"diff", MAX(Instances!AM38:Instances!AM38)-MIN(Instances!AM38:Instances!AM38))</f>
        <v>0</v>
      </c>
      <c r="AN38" s="1" cm="1">
        <f t="array" ref="AN38">_xlfn.SWITCH($A$2,"average", AVERAGE(Instances!AN38:Instances!AN38),"median", MEDIAN(Instances!AN38:Instances!AN38),"min", MIN(Instances!AN38:Instances!AN38),"max", MAX(Instances!AN38:Instances!AN38),"diff", MAX(Instances!AN38:Instances!AN38)-MIN(Instances!AN38:Instances!AN38))</f>
        <v>0</v>
      </c>
      <c r="AO38" s="1" cm="1">
        <f t="array" ref="AO38">_xlfn.SWITCH($A$2,"average", AVERAGE(Instances!AO38:Instances!AO38),"median", MEDIAN(Instances!AO38:Instances!AO38),"min", MIN(Instances!AO38:Instances!AO38),"max", MAX(Instances!AO38:Instances!AO38),"diff", MAX(Instances!AO38:Instances!AO38)-MIN(Instances!AO38:Instances!AO38))</f>
        <v>0</v>
      </c>
      <c r="AP38" s="1" cm="1">
        <f t="array" ref="AP38">_xlfn.SWITCH($A$2,"average", AVERAGE(Instances!AP38:Instances!AP38),"median", MEDIAN(Instances!AP38:Instances!AP38),"min", MIN(Instances!AP38:Instances!AP38),"max", MAX(Instances!AP38:Instances!AP38),"diff", MAX(Instances!AP38:Instances!AP38)-MIN(Instances!AP38:Instances!AP38))</f>
        <v>0</v>
      </c>
      <c r="AQ38" s="1" cm="1">
        <f t="array" ref="AQ38">_xlfn.SWITCH($A$2,"average", AVERAGE(Instances!AQ38:Instances!AQ38),"median", MEDIAN(Instances!AQ38:Instances!AQ38),"min", MIN(Instances!AQ38:Instances!AQ38),"max", MAX(Instances!AQ38:Instances!AQ38),"diff", MAX(Instances!AQ38:Instances!AQ38)-MIN(Instances!AQ38:Instances!AQ38))</f>
        <v>0</v>
      </c>
      <c r="AR38" s="1" cm="1">
        <f t="array" ref="AR38">_xlfn.SWITCH($A$2,"average", AVERAGE(Instances!AR38:Instances!AR38),"median", MEDIAN(Instances!AR38:Instances!AR38),"min", MIN(Instances!AR38:Instances!AR38),"max", MAX(Instances!AR38:Instances!AR38),"diff", MAX(Instances!AR38:Instances!AR38)-MIN(Instances!AR38:Instances!AR38))</f>
        <v>0</v>
      </c>
      <c r="AS38" s="1" cm="1">
        <f t="array" ref="AS38">_xlfn.SWITCH($A$2,"average", AVERAGE(Instances!AS38:Instances!AS38),"median", MEDIAN(Instances!AS38:Instances!AS38),"min", MIN(Instances!AS38:Instances!AS38),"max", MAX(Instances!AS38:Instances!AS38),"diff", MAX(Instances!AS38:Instances!AS38)-MIN(Instances!AS38:Instances!AS38))</f>
        <v>0</v>
      </c>
      <c r="AT38" s="1" cm="1">
        <f t="array" ref="AT38">_xlfn.SWITCH($A$2,"average", AVERAGE(Instances!AT38:Instances!AT38),"median", MEDIAN(Instances!AT38:Instances!AT38),"min", MIN(Instances!AT38:Instances!AT38),"max", MAX(Instances!AT38:Instances!AT38),"diff", MAX(Instances!AT38:Instances!AT38)-MIN(Instances!AT38:Instances!AT38))</f>
        <v>0</v>
      </c>
      <c r="AU38" s="1" cm="1">
        <f t="array" ref="AU38">_xlfn.SWITCH($A$2,"average", AVERAGE(Instances!AU38:Instances!AU38),"median", MEDIAN(Instances!AU38:Instances!AU38),"min", MIN(Instances!AU38:Instances!AU38),"max", MAX(Instances!AU38:Instances!AU38),"diff", MAX(Instances!AU38:Instances!AU38)-MIN(Instances!AU38:Instances!AU38))</f>
        <v>0</v>
      </c>
      <c r="AV38" s="1" cm="1">
        <f t="array" ref="AV38">_xlfn.SWITCH($A$2,"average", AVERAGE(Instances!AV38:Instances!AV38),"median", MEDIAN(Instances!AV38:Instances!AV38),"min", MIN(Instances!AV38:Instances!AV38),"max", MAX(Instances!AV38:Instances!AV38),"diff", MAX(Instances!AV38:Instances!AV38)-MIN(Instances!AV38:Instances!AV38))</f>
        <v>0</v>
      </c>
      <c r="AW38" s="1" cm="1">
        <f t="array" ref="AW38">_xlfn.SWITCH($A$2,"average", AVERAGE(Instances!AW38:Instances!AW38),"median", MEDIAN(Instances!AW38:Instances!AW38),"min", MIN(Instances!AW38:Instances!AW38),"max", MAX(Instances!AW38:Instances!AW38),"diff", MAX(Instances!AW38:Instances!AW38)-MIN(Instances!AW38:Instances!AW38))</f>
        <v>0</v>
      </c>
      <c r="AX38" s="1" cm="1">
        <f t="array" ref="AX38">_xlfn.SWITCH($A$2,"average", AVERAGE(Instances!AX38:Instances!AX38),"median", MEDIAN(Instances!AX38:Instances!AX38),"min", MIN(Instances!AX38:Instances!AX38),"max", MAX(Instances!AX38:Instances!AX38),"diff", MAX(Instances!AX38:Instances!AX38)-MIN(Instances!AX38:Instances!AX38))</f>
        <v>0</v>
      </c>
      <c r="AY38" s="1" cm="1">
        <f t="array" ref="AY38">_xlfn.SWITCH($A$2,"average", AVERAGE(Instances!AY38:Instances!AY38),"median", MEDIAN(Instances!AY38:Instances!AY38),"min", MIN(Instances!AY38:Instances!AY38),"max", MAX(Instances!AY38:Instances!AY38),"diff", MAX(Instances!AY38:Instances!AY38)-MIN(Instances!AY38:Instances!AY38))</f>
        <v>0</v>
      </c>
      <c r="AZ38" s="1"/>
      <c r="BA38" s="1" cm="1">
        <f t="array" ref="BA38">_xlfn.SWITCH($A$2,"average", AVERAGE(Instances!BA38:Instances!BA38),"median", MEDIAN(Instances!BA38:Instances!BA38),"min", MIN(Instances!BA38:Instances!BA38),"max", MAX(Instances!BA38:Instances!BA38),"diff", MAX(Instances!BA38:Instances!BA38)-MIN(Instances!BA38:Instances!BA38))</f>
        <v>0</v>
      </c>
      <c r="BB38" s="1" cm="1">
        <f t="array" ref="BB38">_xlfn.SWITCH($A$2,"average", AVERAGE(Instances!BB38:Instances!BB38),"median", MEDIAN(Instances!BB38:Instances!BB38),"min", MIN(Instances!BB38:Instances!BB38),"max", MAX(Instances!BB38:Instances!BB38),"diff", MAX(Instances!BB38:Instances!BB38)-MIN(Instances!BB38:Instances!BB38))</f>
        <v>0</v>
      </c>
      <c r="BC38" s="1" cm="1">
        <f t="array" ref="BC38">_xlfn.SWITCH($A$2,"average", AVERAGE(Instances!BC38:Instances!BC38),"median", MEDIAN(Instances!BC38:Instances!BC38),"min", MIN(Instances!BC38:Instances!BC38),"max", MAX(Instances!BC38:Instances!BC38),"diff", MAX(Instances!BC38:Instances!BC38)-MIN(Instances!BC38:Instances!BC38))</f>
        <v>0</v>
      </c>
      <c r="BD38" s="1" cm="1">
        <f t="array" ref="BD38">_xlfn.SWITCH($A$2,"average", AVERAGE(Instances!BD38:Instances!BD38),"median", MEDIAN(Instances!BD38:Instances!BD38),"min", MIN(Instances!BD38:Instances!BD38),"max", MAX(Instances!BD38:Instances!BD38),"diff", MAX(Instances!BD38:Instances!BD38)-MIN(Instances!BD38:Instances!BD38))</f>
        <v>0</v>
      </c>
      <c r="BE38" s="1" cm="1">
        <f t="array" ref="BE38">_xlfn.SWITCH($A$2,"average", AVERAGE(Instances!BE38:Instances!BE38),"median", MEDIAN(Instances!BE38:Instances!BE38),"min", MIN(Instances!BE38:Instances!BE38),"max", MAX(Instances!BE38:Instances!BE38),"diff", MAX(Instances!BE38:Instances!BE38)-MIN(Instances!BE38:Instances!BE38))</f>
        <v>0</v>
      </c>
      <c r="BF38" s="1" cm="1">
        <f t="array" ref="BF38">_xlfn.SWITCH($A$2,"average", AVERAGE(Instances!BF38:Instances!BF38),"median", MEDIAN(Instances!BF38:Instances!BF38),"min", MIN(Instances!BF38:Instances!BF38),"max", MAX(Instances!BF38:Instances!BF38),"diff", MAX(Instances!BF38:Instances!BF38)-MIN(Instances!BF38:Instances!BF38))</f>
        <v>0</v>
      </c>
      <c r="BG38" s="1" cm="1">
        <f t="array" ref="BG38">_xlfn.SWITCH($A$2,"average", AVERAGE(Instances!BG38:Instances!BG38),"median", MEDIAN(Instances!BG38:Instances!BG38),"min", MIN(Instances!BG38:Instances!BG38),"max", MAX(Instances!BG38:Instances!BG38),"diff", MAX(Instances!BG38:Instances!BG38)-MIN(Instances!BG38:Instances!BG38))</f>
        <v>0</v>
      </c>
      <c r="BH38" s="1" cm="1">
        <f t="array" ref="BH38">_xlfn.SWITCH($A$2,"average", AVERAGE(Instances!BH38:Instances!BH38),"median", MEDIAN(Instances!BH38:Instances!BH38),"min", MIN(Instances!BH38:Instances!BH38),"max", MAX(Instances!BH38:Instances!BH38),"diff", MAX(Instances!BH38:Instances!BH38)-MIN(Instances!BH38:Instances!BH38))</f>
        <v>0</v>
      </c>
      <c r="BI38" s="1" cm="1">
        <f t="array" ref="BI38">_xlfn.SWITCH($A$2,"average", AVERAGE(Instances!BI38:Instances!BI38),"median", MEDIAN(Instances!BI38:Instances!BI38),"min", MIN(Instances!BI38:Instances!BI38),"max", MAX(Instances!BI38:Instances!BI38),"diff", MAX(Instances!BI38:Instances!BI38)-MIN(Instances!BI38:Instances!BI38))</f>
        <v>0</v>
      </c>
      <c r="BJ38" s="1" cm="1">
        <f t="array" ref="BJ38">_xlfn.SWITCH($A$2,"average", AVERAGE(Instances!BJ38:Instances!BJ38),"median", MEDIAN(Instances!BJ38:Instances!BJ38),"min", MIN(Instances!BJ38:Instances!BJ38),"max", MAX(Instances!BJ38:Instances!BJ38),"diff", MAX(Instances!BJ38:Instances!BJ38)-MIN(Instances!BJ38:Instances!BJ38))</f>
        <v>0</v>
      </c>
      <c r="BK38" s="1" cm="1">
        <f t="array" ref="BK38">_xlfn.SWITCH($A$2,"average", AVERAGE(Instances!BK38:Instances!BK38),"median", MEDIAN(Instances!BK38:Instances!BK38),"min", MIN(Instances!BK38:Instances!BK38),"max", MAX(Instances!BK38:Instances!BK38),"diff", MAX(Instances!BK38:Instances!BK38)-MIN(Instances!BK38:Instances!BK38))</f>
        <v>0</v>
      </c>
      <c r="BL38" s="1" cm="1">
        <f t="array" ref="BL38">_xlfn.SWITCH($A$2,"average", AVERAGE(Instances!BL38:Instances!BL38),"median", MEDIAN(Instances!BL38:Instances!BL38),"min", MIN(Instances!BL38:Instances!BL38),"max", MAX(Instances!BL38:Instances!BL38),"diff", MAX(Instances!BL38:Instances!BL38)-MIN(Instances!BL38:Instances!BL38))</f>
        <v>0</v>
      </c>
      <c r="BM38" s="1" cm="1">
        <f t="array" ref="BM38">_xlfn.SWITCH($A$2,"average", AVERAGE(Instances!BM38:Instances!BM38),"median", MEDIAN(Instances!BM38:Instances!BM38),"min", MIN(Instances!BM38:Instances!BM38),"max", MAX(Instances!BM38:Instances!BM38),"diff", MAX(Instances!BM38:Instances!BM38)-MIN(Instances!BM38:Instances!BM38))</f>
        <v>0</v>
      </c>
      <c r="BN38" s="1" cm="1">
        <f t="array" ref="BN38">_xlfn.SWITCH($A$2,"average", AVERAGE(Instances!BN38:Instances!BN38),"median", MEDIAN(Instances!BN38:Instances!BN38),"min", MIN(Instances!BN38:Instances!BN38),"max", MAX(Instances!BN38:Instances!BN38),"diff", MAX(Instances!BN38:Instances!BN38)-MIN(Instances!BN38:Instances!BN38))</f>
        <v>0</v>
      </c>
      <c r="BO38" s="1" cm="1">
        <f t="array" ref="BO38">_xlfn.SWITCH($A$2,"average", AVERAGE(Instances!BO38:Instances!BO38),"median", MEDIAN(Instances!BO38:Instances!BO38),"min", MIN(Instances!BO38:Instances!BO38),"max", MAX(Instances!BO38:Instances!BO38),"diff", MAX(Instances!BO38:Instances!BO38)-MIN(Instances!BO38:Instances!BO38))</f>
        <v>0</v>
      </c>
      <c r="BP38" s="1" cm="1">
        <f t="array" ref="BP38">_xlfn.SWITCH($A$2,"average", AVERAGE(Instances!BP38:Instances!BP38),"median", MEDIAN(Instances!BP38:Instances!BP38),"min", MIN(Instances!BP38:Instances!BP38),"max", MAX(Instances!BP38:Instances!BP38),"diff", MAX(Instances!BP38:Instances!BP38)-MIN(Instances!BP38:Instances!BP38))</f>
        <v>0</v>
      </c>
      <c r="BQ38" s="1" cm="1">
        <f t="array" ref="BQ38">_xlfn.SWITCH($A$2,"average", AVERAGE(Instances!BQ38:Instances!BQ38),"median", MEDIAN(Instances!BQ38:Instances!BQ38),"min", MIN(Instances!BQ38:Instances!BQ38),"max", MAX(Instances!BQ38:Instances!BQ38),"diff", MAX(Instances!BQ38:Instances!BQ38)-MIN(Instances!BQ38:Instances!BQ38))</f>
        <v>0</v>
      </c>
      <c r="BR38" s="1"/>
      <c r="BS38" s="1" cm="1">
        <f t="array" ref="BS38">_xlfn.SWITCH($A$2,"average", AVERAGE(Instances!BS38:Instances!BS38),"median", MEDIAN(Instances!BS38:Instances!BS38),"min", MIN(Instances!BS38:Instances!BS38),"max", MAX(Instances!BS38:Instances!BS38),"diff", MAX(Instances!BS38:Instances!BS38)-MIN(Instances!BS38:Instances!BS38))</f>
        <v>0</v>
      </c>
      <c r="BT38" s="1" cm="1">
        <f t="array" ref="BT38">_xlfn.SWITCH($A$2,"average", AVERAGE(Instances!BT38:Instances!BT38),"median", MEDIAN(Instances!BT38:Instances!BT38),"min", MIN(Instances!BT38:Instances!BT38),"max", MAX(Instances!BT38:Instances!BT38),"diff", MAX(Instances!BT38:Instances!BT38)-MIN(Instances!BT38:Instances!BT38))</f>
        <v>0</v>
      </c>
      <c r="BU38" s="1" cm="1">
        <f t="array" ref="BU38">_xlfn.SWITCH($A$2,"average", AVERAGE(Instances!BU38:Instances!BU38),"median", MEDIAN(Instances!BU38:Instances!BU38),"min", MIN(Instances!BU38:Instances!BU38),"max", MAX(Instances!BU38:Instances!BU38),"diff", MAX(Instances!BU38:Instances!BU38)-MIN(Instances!BU38:Instances!BU38))</f>
        <v>0</v>
      </c>
      <c r="BV38" s="1" cm="1">
        <f t="array" ref="BV38">_xlfn.SWITCH($A$2,"average", AVERAGE(Instances!BV38:Instances!BV38),"median", MEDIAN(Instances!BV38:Instances!BV38),"min", MIN(Instances!BV38:Instances!BV38),"max", MAX(Instances!BV38:Instances!BV38),"diff", MAX(Instances!BV38:Instances!BV38)-MIN(Instances!BV38:Instances!BV38))</f>
        <v>0</v>
      </c>
      <c r="BW38" s="1" cm="1">
        <f t="array" ref="BW38">_xlfn.SWITCH($A$2,"average", AVERAGE(Instances!BW38:Instances!BW38),"median", MEDIAN(Instances!BW38:Instances!BW38),"min", MIN(Instances!BW38:Instances!BW38),"max", MAX(Instances!BW38:Instances!BW38),"diff", MAX(Instances!BW38:Instances!BW38)-MIN(Instances!BW38:Instances!BW38))</f>
        <v>0</v>
      </c>
      <c r="BX38" s="1" cm="1">
        <f t="array" ref="BX38">_xlfn.SWITCH($A$2,"average", AVERAGE(Instances!BX38:Instances!BX38),"median", MEDIAN(Instances!BX38:Instances!BX38),"min", MIN(Instances!BX38:Instances!BX38),"max", MAX(Instances!BX38:Instances!BX38),"diff", MAX(Instances!BX38:Instances!BX38)-MIN(Instances!BX38:Instances!BX38))</f>
        <v>0</v>
      </c>
      <c r="BY38" s="1" cm="1">
        <f t="array" ref="BY38">_xlfn.SWITCH($A$2,"average", AVERAGE(Instances!BY38:Instances!BY38),"median", MEDIAN(Instances!BY38:Instances!BY38),"min", MIN(Instances!BY38:Instances!BY38),"max", MAX(Instances!BY38:Instances!BY38),"diff", MAX(Instances!BY38:Instances!BY38)-MIN(Instances!BY38:Instances!BY38))</f>
        <v>0</v>
      </c>
      <c r="BZ38" s="1" cm="1">
        <f t="array" ref="BZ38">_xlfn.SWITCH($A$2,"average", AVERAGE(Instances!BZ38:Instances!BZ38),"median", MEDIAN(Instances!BZ38:Instances!BZ38),"min", MIN(Instances!BZ38:Instances!BZ38),"max", MAX(Instances!BZ38:Instances!BZ38),"diff", MAX(Instances!BZ38:Instances!BZ38)-MIN(Instances!BZ38:Instances!BZ38))</f>
        <v>0</v>
      </c>
      <c r="CA38" s="1" cm="1">
        <f t="array" ref="CA38">_xlfn.SWITCH($A$2,"average", AVERAGE(Instances!CA38:Instances!CA38),"median", MEDIAN(Instances!CA38:Instances!CA38),"min", MIN(Instances!CA38:Instances!CA38),"max", MAX(Instances!CA38:Instances!CA38),"diff", MAX(Instances!CA38:Instances!CA38)-MIN(Instances!CA38:Instances!CA38))</f>
        <v>0</v>
      </c>
      <c r="CB38" s="1" cm="1">
        <f t="array" ref="CB38">_xlfn.SWITCH($A$2,"average", AVERAGE(Instances!CB38:Instances!CB38),"median", MEDIAN(Instances!CB38:Instances!CB38),"min", MIN(Instances!CB38:Instances!CB38),"max", MAX(Instances!CB38:Instances!CB38),"diff", MAX(Instances!CB38:Instances!CB38)-MIN(Instances!CB38:Instances!CB38))</f>
        <v>0</v>
      </c>
      <c r="CC38" s="1" cm="1">
        <f t="array" ref="CC38">_xlfn.SWITCH($A$2,"average", AVERAGE(Instances!CC38:Instances!CC38),"median", MEDIAN(Instances!CC38:Instances!CC38),"min", MIN(Instances!CC38:Instances!CC38),"max", MAX(Instances!CC38:Instances!CC38),"diff", MAX(Instances!CC38:Instances!CC38)-MIN(Instances!CC38:Instances!CC38))</f>
        <v>0</v>
      </c>
      <c r="CD38" s="1" cm="1">
        <f t="array" ref="CD38">_xlfn.SWITCH($A$2,"average", AVERAGE(Instances!CD38:Instances!CD38),"median", MEDIAN(Instances!CD38:Instances!CD38),"min", MIN(Instances!CD38:Instances!CD38),"max", MAX(Instances!CD38:Instances!CD38),"diff", MAX(Instances!CD38:Instances!CD38)-MIN(Instances!CD38:Instances!CD38))</f>
        <v>0</v>
      </c>
      <c r="CE38" s="1" cm="1">
        <f t="array" ref="CE38">_xlfn.SWITCH($A$2,"average", AVERAGE(Instances!CE38:Instances!CE38),"median", MEDIAN(Instances!CE38:Instances!CE38),"min", MIN(Instances!CE38:Instances!CE38),"max", MAX(Instances!CE38:Instances!CE38),"diff", MAX(Instances!CE38:Instances!CE38)-MIN(Instances!CE38:Instances!CE38))</f>
        <v>0</v>
      </c>
      <c r="CF38" s="1" cm="1">
        <f t="array" ref="CF38">_xlfn.SWITCH($A$2,"average", AVERAGE(Instances!CF38:Instances!CF38),"median", MEDIAN(Instances!CF38:Instances!CF38),"min", MIN(Instances!CF38:Instances!CF38),"max", MAX(Instances!CF38:Instances!CF38),"diff", MAX(Instances!CF38:Instances!CF38)-MIN(Instances!CF38:Instances!CF38))</f>
        <v>0</v>
      </c>
      <c r="CG38" s="1" cm="1">
        <f t="array" ref="CG38">_xlfn.SWITCH($A$2,"average", AVERAGE(Instances!CG38:Instances!CG38),"median", MEDIAN(Instances!CG38:Instances!CG38),"min", MIN(Instances!CG38:Instances!CG38),"max", MAX(Instances!CG38:Instances!CG38),"diff", MAX(Instances!CG38:Instances!CG38)-MIN(Instances!CG38:Instances!CG38))</f>
        <v>0</v>
      </c>
      <c r="CH38" s="1" cm="1">
        <f t="array" ref="CH38">_xlfn.SWITCH($A$2,"average", AVERAGE(Instances!CH38:Instances!CH38),"median", MEDIAN(Instances!CH38:Instances!CH38),"min", MIN(Instances!CH38:Instances!CH38),"max", MAX(Instances!CH38:Instances!CH38),"diff", MAX(Instances!CH38:Instances!CH38)-MIN(Instances!CH38:Instances!CH38))</f>
        <v>0</v>
      </c>
      <c r="CI38" s="1" cm="1">
        <f t="array" ref="CI38">_xlfn.SWITCH($A$2,"average", AVERAGE(Instances!CI38:Instances!CI38),"median", MEDIAN(Instances!CI38:Instances!CI38),"min", MIN(Instances!CI38:Instances!CI38),"max", MAX(Instances!CI38:Instances!CI38),"diff", MAX(Instances!CI38:Instances!CI38)-MIN(Instances!CI38:Instances!CI38))</f>
        <v>0</v>
      </c>
      <c r="CJ38" s="1"/>
      <c r="CK38" s="1" cm="1">
        <f t="array" ref="CK38">_xlfn.SWITCH($A$2,"average", AVERAGE(Instances!CK38:Instances!CK38),"median", MEDIAN(Instances!CK38:Instances!CK38),"min", MIN(Instances!CK38:Instances!CK38),"max", MAX(Instances!CK38:Instances!CK38),"diff", MAX(Instances!CK38:Instances!CK38)-MIN(Instances!CK38:Instances!CK38))</f>
        <v>0</v>
      </c>
      <c r="CL38" s="1" cm="1">
        <f t="array" ref="CL38">_xlfn.SWITCH($A$2,"average", AVERAGE(Instances!CL38:Instances!CL38),"median", MEDIAN(Instances!CL38:Instances!CL38),"min", MIN(Instances!CL38:Instances!CL38),"max", MAX(Instances!CL38:Instances!CL38),"diff", MAX(Instances!CL38:Instances!CL38)-MIN(Instances!CL38:Instances!CL38))</f>
        <v>0</v>
      </c>
      <c r="CM38" s="1" cm="1">
        <f t="array" ref="CM38">_xlfn.SWITCH($A$2,"average", AVERAGE(Instances!CM38:Instances!CM38),"median", MEDIAN(Instances!CM38:Instances!CM38),"min", MIN(Instances!CM38:Instances!CM38),"max", MAX(Instances!CM38:Instances!CM38),"diff", MAX(Instances!CM38:Instances!CM38)-MIN(Instances!CM38:Instances!CM38))</f>
        <v>0</v>
      </c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 cm="1">
        <f t="array" ref="DX38">_xlfn.SWITCH($A$2,"average", AVERAGE(Instances!DX38:Instances!DX38),"median", MEDIAN(Instances!DX38:Instances!DX38),"min", MIN(Instances!DX38:Instances!DX38),"max", MAX(Instances!DX38:Instances!DX38),"diff", MAX(Instances!DX38:Instances!DX38)-MIN(Instances!DX38:Instances!DX38))</f>
        <v>0</v>
      </c>
      <c r="DY38" s="1" cm="1">
        <f t="array" ref="DY38">_xlfn.SWITCH($A$2,"average", AVERAGE(Instances!DY38:Instances!DY38),"median", MEDIAN(Instances!DY38:Instances!DY38),"min", MIN(Instances!DY38:Instances!DY38),"max", MAX(Instances!DY38:Instances!DY38),"diff", MAX(Instances!DY38:Instances!DY38)-MIN(Instances!DY38:Instances!DY38))</f>
        <v>0</v>
      </c>
      <c r="DZ38" s="1" cm="1">
        <f t="array" ref="DZ38">_xlfn.SWITCH($A$2,"average", AVERAGE(Instances!DZ38:Instances!DZ38),"median", MEDIAN(Instances!DZ38:Instances!DZ38),"min", MIN(Instances!DZ38:Instances!DZ38),"max", MAX(Instances!DZ38:Instances!DZ38),"diff", MAX(Instances!DZ38:Instances!DZ38)-MIN(Instances!DZ38:Instances!DZ38))</f>
        <v>0</v>
      </c>
      <c r="EA38" s="1" cm="1">
        <f t="array" ref="EA38">_xlfn.SWITCH($A$2,"average", AVERAGE(Instances!EA38:Instances!EA38),"median", MEDIAN(Instances!EA38:Instances!EA38),"min", MIN(Instances!EA38:Instances!EA38),"max", MAX(Instances!EA38:Instances!EA38),"diff", MAX(Instances!EA38:Instances!EA38)-MIN(Instances!EA38:Instances!EA38))</f>
        <v>0</v>
      </c>
      <c r="EB38" s="1" cm="1">
        <f t="array" ref="EB38">_xlfn.SWITCH($A$2,"average", AVERAGE(Instances!EB38:Instances!EB38),"median", MEDIAN(Instances!EB38:Instances!EB38),"min", MIN(Instances!EB38:Instances!EB38),"max", MAX(Instances!EB38:Instances!EB38),"diff", MAX(Instances!EB38:Instances!EB38)-MIN(Instances!EB38:Instances!EB38))</f>
        <v>0</v>
      </c>
      <c r="EC38" s="1" cm="1">
        <f t="array" ref="EC38">_xlfn.SWITCH($A$2,"average", AVERAGE(Instances!EC38:Instances!EC38),"median", MEDIAN(Instances!EC38:Instances!EC38),"min", MIN(Instances!EC38:Instances!EC38),"max", MAX(Instances!EC38:Instances!EC38),"diff", MAX(Instances!EC38:Instances!EC38)-MIN(Instances!EC38:Instances!EC38))</f>
        <v>0</v>
      </c>
      <c r="ED38" s="1" cm="1">
        <f t="array" ref="ED38">_xlfn.SWITCH($A$2,"average", AVERAGE(Instances!ED38:Instances!ED38),"median", MEDIAN(Instances!ED38:Instances!ED38),"min", MIN(Instances!ED38:Instances!ED38),"max", MAX(Instances!ED38:Instances!ED38),"diff", MAX(Instances!ED38:Instances!ED38)-MIN(Instances!ED38:Instances!ED38))</f>
        <v>0</v>
      </c>
      <c r="EE38" s="1" cm="1">
        <f t="array" ref="EE38">_xlfn.SWITCH($A$2,"average", AVERAGE(Instances!EE38:Instances!EE38),"median", MEDIAN(Instances!EE38:Instances!EE38),"min", MIN(Instances!EE38:Instances!EE38),"max", MAX(Instances!EE38:Instances!EE38),"diff", MAX(Instances!EE38:Instances!EE38)-MIN(Instances!EE38:Instances!EE38))</f>
        <v>0</v>
      </c>
      <c r="EF38" s="1" cm="1">
        <f t="array" ref="EF38">_xlfn.SWITCH($A$2,"average", AVERAGE(Instances!EF38:Instances!EF38),"median", MEDIAN(Instances!EF38:Instances!EF38),"min", MIN(Instances!EF38:Instances!EF38),"max", MAX(Instances!EF38:Instances!EF38),"diff", MAX(Instances!EF38:Instances!EF38)-MIN(Instances!EF38:Instances!EF38))</f>
        <v>0</v>
      </c>
      <c r="EG38" s="1" cm="1">
        <f t="array" ref="EG38">_xlfn.SWITCH($A$2,"average", AVERAGE(Instances!EG38:Instances!EG38),"median", MEDIAN(Instances!EG38:Instances!EG38),"min", MIN(Instances!EG38:Instances!EG38),"max", MAX(Instances!EG38:Instances!EG38),"diff", MAX(Instances!EG38:Instances!EG38)-MIN(Instances!EG38:Instances!EG38))</f>
        <v>0</v>
      </c>
      <c r="EH38" s="1" cm="1">
        <f t="array" ref="EH38">_xlfn.SWITCH($A$2,"average", AVERAGE(Instances!EH38:Instances!EH38),"median", MEDIAN(Instances!EH38:Instances!EH38),"min", MIN(Instances!EH38:Instances!EH38),"max", MAX(Instances!EH38:Instances!EH38),"diff", MAX(Instances!EH38:Instances!EH38)-MIN(Instances!EH38:Instances!EH38))</f>
        <v>0</v>
      </c>
      <c r="EI38" s="1" cm="1">
        <f t="array" ref="EI38">_xlfn.SWITCH($A$2,"average", AVERAGE(Instances!EI38:Instances!EI38),"median", MEDIAN(Instances!EI38:Instances!EI38),"min", MIN(Instances!EI38:Instances!EI38),"max", MAX(Instances!EI38:Instances!EI38),"diff", MAX(Instances!EI38:Instances!EI38)-MIN(Instances!EI38:Instances!EI38))</f>
        <v>0</v>
      </c>
      <c r="EJ38" s="1" cm="1">
        <f t="array" ref="EJ38">_xlfn.SWITCH($A$2,"average", AVERAGE(Instances!EJ38:Instances!EJ38),"median", MEDIAN(Instances!EJ38:Instances!EJ38),"min", MIN(Instances!EJ38:Instances!EJ38),"max", MAX(Instances!EJ38:Instances!EJ38),"diff", MAX(Instances!EJ38:Instances!EJ38)-MIN(Instances!EJ38:Instances!EJ38))</f>
        <v>0</v>
      </c>
      <c r="EK38" s="1" cm="1">
        <f t="array" ref="EK38">_xlfn.SWITCH($A$2,"average", AVERAGE(Instances!EK38:Instances!EK38),"median", MEDIAN(Instances!EK38:Instances!EK38),"min", MIN(Instances!EK38:Instances!EK38),"max", MAX(Instances!EK38:Instances!EK38),"diff", MAX(Instances!EK38:Instances!EK38)-MIN(Instances!EK38:Instances!EK38))</f>
        <v>0</v>
      </c>
      <c r="EL38" s="1"/>
      <c r="EM38" s="1" cm="1">
        <f t="array" ref="EM38">_xlfn.SWITCH($A$2,"average", AVERAGE(Instances!EM38:Instances!EM38),"median", MEDIAN(Instances!EM38:Instances!EM38),"min", MIN(Instances!EM38:Instances!EM38),"max", MAX(Instances!EM38:Instances!EM38),"diff", MAX(Instances!EM38:Instances!EM38)-MIN(Instances!EM38:Instances!EM38))</f>
        <v>0</v>
      </c>
      <c r="EN38" s="1" cm="1">
        <f t="array" ref="EN38">_xlfn.SWITCH($A$2,"average", AVERAGE(Instances!EN38:Instances!EN38),"median", MEDIAN(Instances!EN38:Instances!EN38),"min", MIN(Instances!EN38:Instances!EN38),"max", MAX(Instances!EN38:Instances!EN38),"diff", MAX(Instances!EN38:Instances!EN38)-MIN(Instances!EN38:Instances!EN38))</f>
        <v>0</v>
      </c>
      <c r="EO38" s="1" cm="1">
        <f t="array" ref="EO38">_xlfn.SWITCH($A$2,"average", AVERAGE(Instances!EO38:Instances!EO38),"median", MEDIAN(Instances!EO38:Instances!EO38),"min", MIN(Instances!EO38:Instances!EO38),"max", MAX(Instances!EO38:Instances!EO38),"diff", MAX(Instances!EO38:Instances!EO38)-MIN(Instances!EO38:Instances!EO38))</f>
        <v>0</v>
      </c>
      <c r="EP38" s="1" cm="1">
        <f t="array" ref="EP38">_xlfn.SWITCH($A$2,"average", AVERAGE(Instances!EP38:Instances!EP38),"median", MEDIAN(Instances!EP38:Instances!EP38),"min", MIN(Instances!EP38:Instances!EP38),"max", MAX(Instances!EP38:Instances!EP38),"diff", MAX(Instances!EP38:Instances!EP38)-MIN(Instances!EP38:Instances!EP38))</f>
        <v>0</v>
      </c>
      <c r="EQ38" s="1" cm="1">
        <f t="array" ref="EQ38">_xlfn.SWITCH($A$2,"average", AVERAGE(Instances!EQ38:Instances!EQ38),"median", MEDIAN(Instances!EQ38:Instances!EQ38),"min", MIN(Instances!EQ38:Instances!EQ38),"max", MAX(Instances!EQ38:Instances!EQ38),"diff", MAX(Instances!EQ38:Instances!EQ38)-MIN(Instances!EQ38:Instances!EQ38))</f>
        <v>0</v>
      </c>
      <c r="ER38" s="1" cm="1">
        <f t="array" ref="ER38">_xlfn.SWITCH($A$2,"average", AVERAGE(Instances!ER38:Instances!ER38),"median", MEDIAN(Instances!ER38:Instances!ER38),"min", MIN(Instances!ER38:Instances!ER38),"max", MAX(Instances!ER38:Instances!ER38),"diff", MAX(Instances!ER38:Instances!ER38)-MIN(Instances!ER38:Instances!ER38))</f>
        <v>0</v>
      </c>
      <c r="ES38" s="1" cm="1">
        <f t="array" ref="ES38">_xlfn.SWITCH($A$2,"average", AVERAGE(Instances!ES38:Instances!ES38),"median", MEDIAN(Instances!ES38:Instances!ES38),"min", MIN(Instances!ES38:Instances!ES38),"max", MAX(Instances!ES38:Instances!ES38),"diff", MAX(Instances!ES38:Instances!ES38)-MIN(Instances!ES38:Instances!ES38))</f>
        <v>0</v>
      </c>
      <c r="ET38" s="1" cm="1">
        <f t="array" ref="ET38">_xlfn.SWITCH($A$2,"average", AVERAGE(Instances!ET38:Instances!ET38),"median", MEDIAN(Instances!ET38:Instances!ET38),"min", MIN(Instances!ET38:Instances!ET38),"max", MAX(Instances!ET38:Instances!ET38),"diff", MAX(Instances!ET38:Instances!ET38)-MIN(Instances!ET38:Instances!ET38))</f>
        <v>0</v>
      </c>
      <c r="EU38" s="1" cm="1">
        <f t="array" ref="EU38">_xlfn.SWITCH($A$2,"average", AVERAGE(Instances!EU38:Instances!EU38),"median", MEDIAN(Instances!EU38:Instances!EU38),"min", MIN(Instances!EU38:Instances!EU38),"max", MAX(Instances!EU38:Instances!EU38),"diff", MAX(Instances!EU38:Instances!EU38)-MIN(Instances!EU38:Instances!EU38))</f>
        <v>0</v>
      </c>
      <c r="EV38" s="1" cm="1">
        <f t="array" ref="EV38">_xlfn.SWITCH($A$2,"average", AVERAGE(Instances!EV38:Instances!EV38),"median", MEDIAN(Instances!EV38:Instances!EV38),"min", MIN(Instances!EV38:Instances!EV38),"max", MAX(Instances!EV38:Instances!EV38),"diff", MAX(Instances!EV38:Instances!EV38)-MIN(Instances!EV38:Instances!EV38))</f>
        <v>0</v>
      </c>
      <c r="EW38" s="1" cm="1">
        <f t="array" ref="EW38">_xlfn.SWITCH($A$2,"average", AVERAGE(Instances!EW38:Instances!EW38),"median", MEDIAN(Instances!EW38:Instances!EW38),"min", MIN(Instances!EW38:Instances!EW38),"max", MAX(Instances!EW38:Instances!EW38),"diff", MAX(Instances!EW38:Instances!EW38)-MIN(Instances!EW38:Instances!EW38))</f>
        <v>0</v>
      </c>
      <c r="EX38" s="1" cm="1">
        <f t="array" ref="EX38">_xlfn.SWITCH($A$2,"average", AVERAGE(Instances!EX38:Instances!EX38),"median", MEDIAN(Instances!EX38:Instances!EX38),"min", MIN(Instances!EX38:Instances!EX38),"max", MAX(Instances!EX38:Instances!EX38),"diff", MAX(Instances!EX38:Instances!EX38)-MIN(Instances!EX38:Instances!EX38))</f>
        <v>0</v>
      </c>
      <c r="EY38" s="1" cm="1">
        <f t="array" ref="EY38">_xlfn.SWITCH($A$2,"average", AVERAGE(Instances!EY38:Instances!EY38),"median", MEDIAN(Instances!EY38:Instances!EY38),"min", MIN(Instances!EY38:Instances!EY38),"max", MAX(Instances!EY38:Instances!EY38),"diff", MAX(Instances!EY38:Instances!EY38)-MIN(Instances!EY38:Instances!EY38))</f>
        <v>0</v>
      </c>
      <c r="EZ38" s="1" cm="1">
        <f t="array" ref="EZ38">_xlfn.SWITCH($A$2,"average", AVERAGE(Instances!EZ38:Instances!EZ38),"median", MEDIAN(Instances!EZ38:Instances!EZ38),"min", MIN(Instances!EZ38:Instances!EZ38),"max", MAX(Instances!EZ38:Instances!EZ38),"diff", MAX(Instances!EZ38:Instances!EZ38)-MIN(Instances!EZ38:Instances!EZ38))</f>
        <v>0</v>
      </c>
      <c r="FA38" s="1" cm="1">
        <f t="array" ref="FA38">_xlfn.SWITCH($A$2,"average", AVERAGE(Instances!FA38:Instances!FA38),"median", MEDIAN(Instances!FA38:Instances!FA38),"min", MIN(Instances!FA38:Instances!FA38),"max", MAX(Instances!FA38:Instances!FA38),"diff", MAX(Instances!FA38:Instances!FA38)-MIN(Instances!FA38:Instances!FA38))</f>
        <v>0</v>
      </c>
      <c r="FB38" s="1" cm="1">
        <f t="array" ref="FB38">_xlfn.SWITCH($A$2,"average", AVERAGE(Instances!FB38:Instances!FB38),"median", MEDIAN(Instances!FB38:Instances!FB38),"min", MIN(Instances!FB38:Instances!FB38),"max", MAX(Instances!FB38:Instances!FB38),"diff", MAX(Instances!FB38:Instances!FB38)-MIN(Instances!FB38:Instances!FB38))</f>
        <v>0</v>
      </c>
      <c r="FC38" s="1" cm="1">
        <f t="array" ref="FC38">_xlfn.SWITCH($A$2,"average", AVERAGE(Instances!FC38:Instances!FC38),"median", MEDIAN(Instances!FC38:Instances!FC38),"min", MIN(Instances!FC38:Instances!FC38),"max", MAX(Instances!FC38:Instances!FC38),"diff", MAX(Instances!FC38:Instances!FC38)-MIN(Instances!FC38:Instances!FC38))</f>
        <v>0</v>
      </c>
      <c r="FD38" s="1"/>
      <c r="FE38" s="1" cm="1">
        <f t="array" ref="FE38">_xlfn.SWITCH($A$2,"average", AVERAGE(Instances!FE38:Instances!FE38),"median", MEDIAN(Instances!FE38:Instances!FE38),"min", MIN(Instances!FE38:Instances!FE38),"max", MAX(Instances!FE38:Instances!FE38),"diff", MAX(Instances!FE38:Instances!FE38)-MIN(Instances!FE38:Instances!FE38))</f>
        <v>0</v>
      </c>
      <c r="FF38" s="1" cm="1">
        <f t="array" ref="FF38">_xlfn.SWITCH($A$2,"average", AVERAGE(Instances!FF38:Instances!FF38),"median", MEDIAN(Instances!FF38:Instances!FF38),"min", MIN(Instances!FF38:Instances!FF38),"max", MAX(Instances!FF38:Instances!FF38),"diff", MAX(Instances!FF38:Instances!FF38)-MIN(Instances!FF38:Instances!FF38))</f>
        <v>0</v>
      </c>
      <c r="FG38" s="1" cm="1">
        <f t="array" ref="FG38">_xlfn.SWITCH($A$2,"average", AVERAGE(Instances!FG38:Instances!FG38),"median", MEDIAN(Instances!FG38:Instances!FG38),"min", MIN(Instances!FG38:Instances!FG38),"max", MAX(Instances!FG38:Instances!FG38),"diff", MAX(Instances!FG38:Instances!FG38)-MIN(Instances!FG38:Instances!FG38))</f>
        <v>0</v>
      </c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 cm="1">
        <f t="array" ref="FZ38">_xlfn.SWITCH($A$2,"average", AVERAGE(Instances!FZ38:Instances!FZ38),"median", MEDIAN(Instances!FZ38:Instances!FZ38),"min", MIN(Instances!FZ38:Instances!FZ38),"max", MAX(Instances!FZ38:Instances!FZ38),"diff", MAX(Instances!FZ38:Instances!FZ38)-MIN(Instances!FZ38:Instances!FZ38))</f>
        <v>0</v>
      </c>
      <c r="GA38" s="1" cm="1">
        <f t="array" ref="GA38">_xlfn.SWITCH($A$2,"average", AVERAGE(Instances!GA38:Instances!GA38),"median", MEDIAN(Instances!GA38:Instances!GA38),"min", MIN(Instances!GA38:Instances!GA38),"max", MAX(Instances!GA38:Instances!GA38),"diff", MAX(Instances!GA38:Instances!GA38)-MIN(Instances!GA38:Instances!GA38))</f>
        <v>0</v>
      </c>
      <c r="GB38" s="1" cm="1">
        <f t="array" ref="GB38">_xlfn.SWITCH($A$2,"average", AVERAGE(Instances!GB38:Instances!GB38),"median", MEDIAN(Instances!GB38:Instances!GB38),"min", MIN(Instances!GB38:Instances!GB38),"max", MAX(Instances!GB38:Instances!GB38),"diff", MAX(Instances!GB38:Instances!GB38)-MIN(Instances!GB38:Instances!GB38))</f>
        <v>0</v>
      </c>
      <c r="GC38" s="1" cm="1">
        <f t="array" ref="GC38">_xlfn.SWITCH($A$2,"average", AVERAGE(Instances!GC38:Instances!GC38),"median", MEDIAN(Instances!GC38:Instances!GC38),"min", MIN(Instances!GC38:Instances!GC38),"max", MAX(Instances!GC38:Instances!GC38),"diff", MAX(Instances!GC38:Instances!GC38)-MIN(Instances!GC38:Instances!GC38))</f>
        <v>0</v>
      </c>
      <c r="GD38" s="1" cm="1">
        <f t="array" ref="GD38">_xlfn.SWITCH($A$2,"average", AVERAGE(Instances!GD38:Instances!GD38),"median", MEDIAN(Instances!GD38:Instances!GD38),"min", MIN(Instances!GD38:Instances!GD38),"max", MAX(Instances!GD38:Instances!GD38),"diff", MAX(Instances!GD38:Instances!GD38)-MIN(Instances!GD38:Instances!GD38))</f>
        <v>0</v>
      </c>
      <c r="GE38" s="1" cm="1">
        <f t="array" ref="GE38">_xlfn.SWITCH($A$2,"average", AVERAGE(Instances!GE38:Instances!GE38),"median", MEDIAN(Instances!GE38:Instances!GE38),"min", MIN(Instances!GE38:Instances!GE38),"max", MAX(Instances!GE38:Instances!GE38),"diff", MAX(Instances!GE38:Instances!GE38)-MIN(Instances!GE38:Instances!GE38))</f>
        <v>0</v>
      </c>
      <c r="GF38" s="1" cm="1">
        <f t="array" ref="GF38">_xlfn.SWITCH($A$2,"average", AVERAGE(Instances!GF38:Instances!GF38),"median", MEDIAN(Instances!GF38:Instances!GF38),"min", MIN(Instances!GF38:Instances!GF38),"max", MAX(Instances!GF38:Instances!GF38),"diff", MAX(Instances!GF38:Instances!GF38)-MIN(Instances!GF38:Instances!GF38))</f>
        <v>0</v>
      </c>
      <c r="GG38" s="1" cm="1">
        <f t="array" ref="GG38">_xlfn.SWITCH($A$2,"average", AVERAGE(Instances!GG38:Instances!GG38),"median", MEDIAN(Instances!GG38:Instances!GG38),"min", MIN(Instances!GG38:Instances!GG38),"max", MAX(Instances!GG38:Instances!GG38),"diff", MAX(Instances!GG38:Instances!GG38)-MIN(Instances!GG38:Instances!GG38))</f>
        <v>0</v>
      </c>
      <c r="GH38" s="1" cm="1">
        <f t="array" ref="GH38">_xlfn.SWITCH($A$2,"average", AVERAGE(Instances!GH38:Instances!GH38),"median", MEDIAN(Instances!GH38:Instances!GH38),"min", MIN(Instances!GH38:Instances!GH38),"max", MAX(Instances!GH38:Instances!GH38),"diff", MAX(Instances!GH38:Instances!GH38)-MIN(Instances!GH38:Instances!GH38))</f>
        <v>0</v>
      </c>
      <c r="GI38" s="1" cm="1">
        <f t="array" ref="GI38">_xlfn.SWITCH($A$2,"average", AVERAGE(Instances!GI38:Instances!GI38),"median", MEDIAN(Instances!GI38:Instances!GI38),"min", MIN(Instances!GI38:Instances!GI38),"max", MAX(Instances!GI38:Instances!GI38),"diff", MAX(Instances!GI38:Instances!GI38)-MIN(Instances!GI38:Instances!GI38))</f>
        <v>0</v>
      </c>
      <c r="GJ38" s="1" cm="1">
        <f t="array" ref="GJ38">_xlfn.SWITCH($A$2,"average", AVERAGE(Instances!GJ38:Instances!GJ38),"median", MEDIAN(Instances!GJ38:Instances!GJ38),"min", MIN(Instances!GJ38:Instances!GJ38),"max", MAX(Instances!GJ38:Instances!GJ38),"diff", MAX(Instances!GJ38:Instances!GJ38)-MIN(Instances!GJ38:Instances!GJ38))</f>
        <v>0</v>
      </c>
      <c r="GK38" s="1" cm="1">
        <f t="array" ref="GK38">_xlfn.SWITCH($A$2,"average", AVERAGE(Instances!GK38:Instances!GK38),"median", MEDIAN(Instances!GK38:Instances!GK38),"min", MIN(Instances!GK38:Instances!GK38),"max", MAX(Instances!GK38:Instances!GK38),"diff", MAX(Instances!GK38:Instances!GK38)-MIN(Instances!GK38:Instances!GK38))</f>
        <v>0</v>
      </c>
      <c r="GL38" s="1" cm="1">
        <f t="array" ref="GL38">_xlfn.SWITCH($A$2,"average", AVERAGE(Instances!GL38:Instances!GL38),"median", MEDIAN(Instances!GL38:Instances!GL38),"min", MIN(Instances!GL38:Instances!GL38),"max", MAX(Instances!GL38:Instances!GL38),"diff", MAX(Instances!GL38:Instances!GL38)-MIN(Instances!GL38:Instances!GL38))</f>
        <v>0</v>
      </c>
      <c r="GM38" s="1" cm="1">
        <f t="array" ref="GM38">_xlfn.SWITCH($A$2,"average", AVERAGE(Instances!GM38:Instances!GM38),"median", MEDIAN(Instances!GM38:Instances!GM38),"min", MIN(Instances!GM38:Instances!GM38),"max", MAX(Instances!GM38:Instances!GM38),"diff", MAX(Instances!GM38:Instances!GM38)-MIN(Instances!GM38:Instances!GM38))</f>
        <v>0</v>
      </c>
      <c r="GN38" s="1"/>
      <c r="GO38" s="1" cm="1">
        <f t="array" ref="GO38">_xlfn.SWITCH($A$2,"average", AVERAGE(Instances!GO38:Instances!GO38),"median", MEDIAN(Instances!GO38:Instances!GO38),"min", MIN(Instances!GO38:Instances!GO38),"max", MAX(Instances!GO38:Instances!GO38),"diff", MAX(Instances!GO38:Instances!GO38)-MIN(Instances!GO38:Instances!GO38))</f>
        <v>0</v>
      </c>
      <c r="GP38" s="1" cm="1">
        <f t="array" ref="GP38">_xlfn.SWITCH($A$2,"average", AVERAGE(Instances!GP38:Instances!GP38),"median", MEDIAN(Instances!GP38:Instances!GP38),"min", MIN(Instances!GP38:Instances!GP38),"max", MAX(Instances!GP38:Instances!GP38),"diff", MAX(Instances!GP38:Instances!GP38)-MIN(Instances!GP38:Instances!GP38))</f>
        <v>0</v>
      </c>
      <c r="GQ38" s="1" cm="1">
        <f t="array" ref="GQ38">_xlfn.SWITCH($A$2,"average", AVERAGE(Instances!GQ38:Instances!GQ38),"median", MEDIAN(Instances!GQ38:Instances!GQ38),"min", MIN(Instances!GQ38:Instances!GQ38),"max", MAX(Instances!GQ38:Instances!GQ38),"diff", MAX(Instances!GQ38:Instances!GQ38)-MIN(Instances!GQ38:Instances!GQ38))</f>
        <v>0</v>
      </c>
      <c r="GR38" s="1" cm="1">
        <f t="array" ref="GR38">_xlfn.SWITCH($A$2,"average", AVERAGE(Instances!GR38:Instances!GR38),"median", MEDIAN(Instances!GR38:Instances!GR38),"min", MIN(Instances!GR38:Instances!GR38),"max", MAX(Instances!GR38:Instances!GR38),"diff", MAX(Instances!GR38:Instances!GR38)-MIN(Instances!GR38:Instances!GR38))</f>
        <v>0</v>
      </c>
      <c r="GS38" s="1" cm="1">
        <f t="array" ref="GS38">_xlfn.SWITCH($A$2,"average", AVERAGE(Instances!GS38:Instances!GS38),"median", MEDIAN(Instances!GS38:Instances!GS38),"min", MIN(Instances!GS38:Instances!GS38),"max", MAX(Instances!GS38:Instances!GS38),"diff", MAX(Instances!GS38:Instances!GS38)-MIN(Instances!GS38:Instances!GS38))</f>
        <v>0</v>
      </c>
      <c r="GT38" s="1" cm="1">
        <f t="array" ref="GT38">_xlfn.SWITCH($A$2,"average", AVERAGE(Instances!GT38:Instances!GT38),"median", MEDIAN(Instances!GT38:Instances!GT38),"min", MIN(Instances!GT38:Instances!GT38),"max", MAX(Instances!GT38:Instances!GT38),"diff", MAX(Instances!GT38:Instances!GT38)-MIN(Instances!GT38:Instances!GT38))</f>
        <v>0</v>
      </c>
      <c r="GU38" s="1" cm="1">
        <f t="array" ref="GU38">_xlfn.SWITCH($A$2,"average", AVERAGE(Instances!GU38:Instances!GU38),"median", MEDIAN(Instances!GU38:Instances!GU38),"min", MIN(Instances!GU38:Instances!GU38),"max", MAX(Instances!GU38:Instances!GU38),"diff", MAX(Instances!GU38:Instances!GU38)-MIN(Instances!GU38:Instances!GU38))</f>
        <v>0</v>
      </c>
      <c r="GV38" s="1" cm="1">
        <f t="array" ref="GV38">_xlfn.SWITCH($A$2,"average", AVERAGE(Instances!GV38:Instances!GV38),"median", MEDIAN(Instances!GV38:Instances!GV38),"min", MIN(Instances!GV38:Instances!GV38),"max", MAX(Instances!GV38:Instances!GV38),"diff", MAX(Instances!GV38:Instances!GV38)-MIN(Instances!GV38:Instances!GV38))</f>
        <v>0</v>
      </c>
      <c r="GW38" s="1" cm="1">
        <f t="array" ref="GW38">_xlfn.SWITCH($A$2,"average", AVERAGE(Instances!GW38:Instances!GW38),"median", MEDIAN(Instances!GW38:Instances!GW38),"min", MIN(Instances!GW38:Instances!GW38),"max", MAX(Instances!GW38:Instances!GW38),"diff", MAX(Instances!GW38:Instances!GW38)-MIN(Instances!GW38:Instances!GW38))</f>
        <v>0</v>
      </c>
      <c r="GX38" s="1" cm="1">
        <f t="array" ref="GX38">_xlfn.SWITCH($A$2,"average", AVERAGE(Instances!GX38:Instances!GX38),"median", MEDIAN(Instances!GX38:Instances!GX38),"min", MIN(Instances!GX38:Instances!GX38),"max", MAX(Instances!GX38:Instances!GX38),"diff", MAX(Instances!GX38:Instances!GX38)-MIN(Instances!GX38:Instances!GX38))</f>
        <v>0</v>
      </c>
      <c r="GY38" s="1" cm="1">
        <f t="array" ref="GY38">_xlfn.SWITCH($A$2,"average", AVERAGE(Instances!GY38:Instances!GY38),"median", MEDIAN(Instances!GY38:Instances!GY38),"min", MIN(Instances!GY38:Instances!GY38),"max", MAX(Instances!GY38:Instances!GY38),"diff", MAX(Instances!GY38:Instances!GY38)-MIN(Instances!GY38:Instances!GY38))</f>
        <v>0</v>
      </c>
      <c r="GZ38" s="1" cm="1">
        <f t="array" ref="GZ38">_xlfn.SWITCH($A$2,"average", AVERAGE(Instances!GZ38:Instances!GZ38),"median", MEDIAN(Instances!GZ38:Instances!GZ38),"min", MIN(Instances!GZ38:Instances!GZ38),"max", MAX(Instances!GZ38:Instances!GZ38),"diff", MAX(Instances!GZ38:Instances!GZ38)-MIN(Instances!GZ38:Instances!GZ38))</f>
        <v>0</v>
      </c>
      <c r="HA38" s="1" cm="1">
        <f t="array" ref="HA38">_xlfn.SWITCH($A$2,"average", AVERAGE(Instances!HA38:Instances!HA38),"median", MEDIAN(Instances!HA38:Instances!HA38),"min", MIN(Instances!HA38:Instances!HA38),"max", MAX(Instances!HA38:Instances!HA38),"diff", MAX(Instances!HA38:Instances!HA38)-MIN(Instances!HA38:Instances!HA38))</f>
        <v>0</v>
      </c>
      <c r="HB38" s="1" cm="1">
        <f t="array" ref="HB38">_xlfn.SWITCH($A$2,"average", AVERAGE(Instances!HB38:Instances!HB38),"median", MEDIAN(Instances!HB38:Instances!HB38),"min", MIN(Instances!HB38:Instances!HB38),"max", MAX(Instances!HB38:Instances!HB38),"diff", MAX(Instances!HB38:Instances!HB38)-MIN(Instances!HB38:Instances!HB38))</f>
        <v>0</v>
      </c>
      <c r="HC38" s="1" cm="1">
        <f t="array" ref="HC38">_xlfn.SWITCH($A$2,"average", AVERAGE(Instances!HC38:Instances!HC38),"median", MEDIAN(Instances!HC38:Instances!HC38),"min", MIN(Instances!HC38:Instances!HC38),"max", MAX(Instances!HC38:Instances!HC38),"diff", MAX(Instances!HC38:Instances!HC38)-MIN(Instances!HC38:Instances!HC38))</f>
        <v>0</v>
      </c>
      <c r="HD38" s="1" cm="1">
        <f t="array" ref="HD38">_xlfn.SWITCH($A$2,"average", AVERAGE(Instances!HD38:Instances!HD38),"median", MEDIAN(Instances!HD38:Instances!HD38),"min", MIN(Instances!HD38:Instances!HD38),"max", MAX(Instances!HD38:Instances!HD38),"diff", MAX(Instances!HD38:Instances!HD38)-MIN(Instances!HD38:Instances!HD38))</f>
        <v>0</v>
      </c>
      <c r="HE38" s="1" cm="1">
        <f t="array" ref="HE38">_xlfn.SWITCH($A$2,"average", AVERAGE(Instances!HE38:Instances!HE38),"median", MEDIAN(Instances!HE38:Instances!HE38),"min", MIN(Instances!HE38:Instances!HE38),"max", MAX(Instances!HE38:Instances!HE38),"diff", MAX(Instances!HE38:Instances!HE38)-MIN(Instances!HE38:Instances!HE38))</f>
        <v>0</v>
      </c>
      <c r="HF38" s="1"/>
      <c r="HG38" s="1" cm="1">
        <f t="array" ref="HG38">_xlfn.SWITCH($A$2,"average", AVERAGE(Instances!HG38:Instances!HG38),"median", MEDIAN(Instances!HG38:Instances!HG38),"min", MIN(Instances!HG38:Instances!HG38),"max", MAX(Instances!HG38:Instances!HG38),"diff", MAX(Instances!HG38:Instances!HG38)-MIN(Instances!HG38:Instances!HG38))</f>
        <v>0</v>
      </c>
      <c r="HH38" s="1" cm="1">
        <f t="array" ref="HH38">_xlfn.SWITCH($A$2,"average", AVERAGE(Instances!HH38:Instances!HH38),"median", MEDIAN(Instances!HH38:Instances!HH38),"min", MIN(Instances!HH38:Instances!HH38),"max", MAX(Instances!HH38:Instances!HH38),"diff", MAX(Instances!HH38:Instances!HH38)-MIN(Instances!HH38:Instances!HH38))</f>
        <v>0</v>
      </c>
      <c r="HI38" s="1" cm="1">
        <f t="array" ref="HI38">_xlfn.SWITCH($A$2,"average", AVERAGE(Instances!HI38:Instances!HI38),"median", MEDIAN(Instances!HI38:Instances!HI38),"min", MIN(Instances!HI38:Instances!HI38),"max", MAX(Instances!HI38:Instances!HI38),"diff", MAX(Instances!HI38:Instances!HI38)-MIN(Instances!HI38:Instances!HI38))</f>
        <v>0</v>
      </c>
      <c r="HJ38" s="1" cm="1">
        <f t="array" ref="HJ38">_xlfn.SWITCH($A$2,"average", AVERAGE(Instances!HJ38:Instances!HJ38),"median", MEDIAN(Instances!HJ38:Instances!HJ38),"min", MIN(Instances!HJ38:Instances!HJ38),"max", MAX(Instances!HJ38:Instances!HJ38),"diff", MAX(Instances!HJ38:Instances!HJ38)-MIN(Instances!HJ38:Instances!HJ38))</f>
        <v>0</v>
      </c>
      <c r="HK38" s="1" cm="1">
        <f t="array" ref="HK38">_xlfn.SWITCH($A$2,"average", AVERAGE(Instances!HK38:Instances!HK38),"median", MEDIAN(Instances!HK38:Instances!HK38),"min", MIN(Instances!HK38:Instances!HK38),"max", MAX(Instances!HK38:Instances!HK38),"diff", MAX(Instances!HK38:Instances!HK38)-MIN(Instances!HK38:Instances!HK38))</f>
        <v>0</v>
      </c>
      <c r="HL38" s="1" cm="1">
        <f t="array" ref="HL38">_xlfn.SWITCH($A$2,"average", AVERAGE(Instances!HL38:Instances!HL38),"median", MEDIAN(Instances!HL38:Instances!HL38),"min", MIN(Instances!HL38:Instances!HL38),"max", MAX(Instances!HL38:Instances!HL38),"diff", MAX(Instances!HL38:Instances!HL38)-MIN(Instances!HL38:Instances!HL38))</f>
        <v>0</v>
      </c>
      <c r="HM38" s="1" cm="1">
        <f t="array" ref="HM38">_xlfn.SWITCH($A$2,"average", AVERAGE(Instances!HM38:Instances!HM38),"median", MEDIAN(Instances!HM38:Instances!HM38),"min", MIN(Instances!HM38:Instances!HM38),"max", MAX(Instances!HM38:Instances!HM38),"diff", MAX(Instances!HM38:Instances!HM38)-MIN(Instances!HM38:Instances!HM38))</f>
        <v>0</v>
      </c>
      <c r="HN38" s="1" cm="1">
        <f t="array" ref="HN38">_xlfn.SWITCH($A$2,"average", AVERAGE(Instances!HN38:Instances!HN38),"median", MEDIAN(Instances!HN38:Instances!HN38),"min", MIN(Instances!HN38:Instances!HN38),"max", MAX(Instances!HN38:Instances!HN38),"diff", MAX(Instances!HN38:Instances!HN38)-MIN(Instances!HN38:Instances!HN38))</f>
        <v>0</v>
      </c>
      <c r="HO38" s="1" cm="1">
        <f t="array" ref="HO38">_xlfn.SWITCH($A$2,"average", AVERAGE(Instances!HO38:Instances!HO38),"median", MEDIAN(Instances!HO38:Instances!HO38),"min", MIN(Instances!HO38:Instances!HO38),"max", MAX(Instances!HO38:Instances!HO38),"diff", MAX(Instances!HO38:Instances!HO38)-MIN(Instances!HO38:Instances!HO38))</f>
        <v>0</v>
      </c>
      <c r="HP38" s="1" cm="1">
        <f t="array" ref="HP38">_xlfn.SWITCH($A$2,"average", AVERAGE(Instances!HP38:Instances!HP38),"median", MEDIAN(Instances!HP38:Instances!HP38),"min", MIN(Instances!HP38:Instances!HP38),"max", MAX(Instances!HP38:Instances!HP38),"diff", MAX(Instances!HP38:Instances!HP38)-MIN(Instances!HP38:Instances!HP38))</f>
        <v>0</v>
      </c>
      <c r="HQ38" s="1" cm="1">
        <f t="array" ref="HQ38">_xlfn.SWITCH($A$2,"average", AVERAGE(Instances!HQ38:Instances!HQ38),"median", MEDIAN(Instances!HQ38:Instances!HQ38),"min", MIN(Instances!HQ38:Instances!HQ38),"max", MAX(Instances!HQ38:Instances!HQ38),"diff", MAX(Instances!HQ38:Instances!HQ38)-MIN(Instances!HQ38:Instances!HQ38))</f>
        <v>0</v>
      </c>
      <c r="HR38" s="1" cm="1">
        <f t="array" ref="HR38">_xlfn.SWITCH($A$2,"average", AVERAGE(Instances!HR38:Instances!HR38),"median", MEDIAN(Instances!HR38:Instances!HR38),"min", MIN(Instances!HR38:Instances!HR38),"max", MAX(Instances!HR38:Instances!HR38),"diff", MAX(Instances!HR38:Instances!HR38)-MIN(Instances!HR38:Instances!HR38))</f>
        <v>0</v>
      </c>
      <c r="HS38" s="1" cm="1">
        <f t="array" ref="HS38">_xlfn.SWITCH($A$2,"average", AVERAGE(Instances!HS38:Instances!HS38),"median", MEDIAN(Instances!HS38:Instances!HS38),"min", MIN(Instances!HS38:Instances!HS38),"max", MAX(Instances!HS38:Instances!HS38),"diff", MAX(Instances!HS38:Instances!HS38)-MIN(Instances!HS38:Instances!HS38))</f>
        <v>0</v>
      </c>
      <c r="HT38" s="1" cm="1">
        <f t="array" ref="HT38">_xlfn.SWITCH($A$2,"average", AVERAGE(Instances!HT38:Instances!HT38),"median", MEDIAN(Instances!HT38:Instances!HT38),"min", MIN(Instances!HT38:Instances!HT38),"max", MAX(Instances!HT38:Instances!HT38),"diff", MAX(Instances!HT38:Instances!HT38)-MIN(Instances!HT38:Instances!HT38))</f>
        <v>0</v>
      </c>
      <c r="HU38" s="1" cm="1">
        <f t="array" ref="HU38">_xlfn.SWITCH($A$2,"average", AVERAGE(Instances!HU38:Instances!HU38),"median", MEDIAN(Instances!HU38:Instances!HU38),"min", MIN(Instances!HU38:Instances!HU38),"max", MAX(Instances!HU38:Instances!HU38),"diff", MAX(Instances!HU38:Instances!HU38)-MIN(Instances!HU38:Instances!HU38))</f>
        <v>0</v>
      </c>
      <c r="HV38" s="1" cm="1">
        <f t="array" ref="HV38">_xlfn.SWITCH($A$2,"average", AVERAGE(Instances!HV38:Instances!HV38),"median", MEDIAN(Instances!HV38:Instances!HV38),"min", MIN(Instances!HV38:Instances!HV38),"max", MAX(Instances!HV38:Instances!HV38),"diff", MAX(Instances!HV38:Instances!HV38)-MIN(Instances!HV38:Instances!HV38))</f>
        <v>0</v>
      </c>
      <c r="HW38" s="1" cm="1">
        <f t="array" ref="HW38">_xlfn.SWITCH($A$2,"average", AVERAGE(Instances!HW38:Instances!HW38),"median", MEDIAN(Instances!HW38:Instances!HW38),"min", MIN(Instances!HW38:Instances!HW38),"max", MAX(Instances!HW38:Instances!HW38),"diff", MAX(Instances!HW38:Instances!HW38)-MIN(Instances!HW38:Instances!HW38))</f>
        <v>0</v>
      </c>
      <c r="HX38" s="1"/>
      <c r="HY38" s="1" cm="1">
        <f t="array" ref="HY38">_xlfn.SWITCH($A$2,"average", AVERAGE(Instances!HY38:Instances!HY38),"median", MEDIAN(Instances!HY38:Instances!HY38),"min", MIN(Instances!HY38:Instances!HY38),"max", MAX(Instances!HY38:Instances!HY38),"diff", MAX(Instances!HY38:Instances!HY38)-MIN(Instances!HY38:Instances!HY38))</f>
        <v>0</v>
      </c>
      <c r="HZ38" s="1" cm="1">
        <f t="array" ref="HZ38">_xlfn.SWITCH($A$2,"average", AVERAGE(Instances!HZ38:Instances!HZ38),"median", MEDIAN(Instances!HZ38:Instances!HZ38),"min", MIN(Instances!HZ38:Instances!HZ38),"max", MAX(Instances!HZ38:Instances!HZ38),"diff", MAX(Instances!HZ38:Instances!HZ38)-MIN(Instances!HZ38:Instances!HZ38))</f>
        <v>0</v>
      </c>
      <c r="IA38" s="1" cm="1">
        <f t="array" ref="IA38">_xlfn.SWITCH($A$2,"average", AVERAGE(Instances!IA38:Instances!IA38),"median", MEDIAN(Instances!IA38:Instances!IA38),"min", MIN(Instances!IA38:Instances!IA38),"max", MAX(Instances!IA38:Instances!IA38),"diff", MAX(Instances!IA38:Instances!IA38)-MIN(Instances!IA38:Instances!IA38))</f>
        <v>0</v>
      </c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 cm="1">
        <f t="array" ref="JL38">_xlfn.SWITCH($A$2,"average", AVERAGE(Instances!JL38:Instances!JL38),"median", MEDIAN(Instances!JL38:Instances!JL38),"min", MIN(Instances!JL38:Instances!JL38),"max", MAX(Instances!JL38:Instances!JL38),"diff", MAX(Instances!JL38:Instances!JL38)-MIN(Instances!JL38:Instances!JL38))</f>
        <v>0</v>
      </c>
      <c r="JM38" s="1" cm="1">
        <f t="array" ref="JM38">_xlfn.SWITCH($A$2,"average", AVERAGE(Instances!JM38:Instances!JM38),"median", MEDIAN(Instances!JM38:Instances!JM38),"min", MIN(Instances!JM38:Instances!JM38),"max", MAX(Instances!JM38:Instances!JM38),"diff", MAX(Instances!JM38:Instances!JM38)-MIN(Instances!JM38:Instances!JM38))</f>
        <v>0</v>
      </c>
      <c r="JN38" s="1" cm="1">
        <f t="array" ref="JN38">_xlfn.SWITCH($A$2,"average", AVERAGE(Instances!JN38:Instances!JN38),"median", MEDIAN(Instances!JN38:Instances!JN38),"min", MIN(Instances!JN38:Instances!JN38),"max", MAX(Instances!JN38:Instances!JN38),"diff", MAX(Instances!JN38:Instances!JN38)-MIN(Instances!JN38:Instances!JN38))</f>
        <v>0</v>
      </c>
      <c r="JO38" s="1" cm="1">
        <f t="array" ref="JO38">_xlfn.SWITCH($A$2,"average", AVERAGE(Instances!JO38:Instances!JO38),"median", MEDIAN(Instances!JO38:Instances!JO38),"min", MIN(Instances!JO38:Instances!JO38),"max", MAX(Instances!JO38:Instances!JO38),"diff", MAX(Instances!JO38:Instances!JO38)-MIN(Instances!JO38:Instances!JO38))</f>
        <v>0</v>
      </c>
      <c r="JP38" s="1" cm="1">
        <f t="array" ref="JP38">_xlfn.SWITCH($A$2,"average", AVERAGE(Instances!JP38:Instances!JP38),"median", MEDIAN(Instances!JP38:Instances!JP38),"min", MIN(Instances!JP38:Instances!JP38),"max", MAX(Instances!JP38:Instances!JP38),"diff", MAX(Instances!JP38:Instances!JP38)-MIN(Instances!JP38:Instances!JP38))</f>
        <v>0</v>
      </c>
      <c r="JQ38" s="1" cm="1">
        <f t="array" ref="JQ38">_xlfn.SWITCH($A$2,"average", AVERAGE(Instances!JQ38:Instances!JQ38),"median", MEDIAN(Instances!JQ38:Instances!JQ38),"min", MIN(Instances!JQ38:Instances!JQ38),"max", MAX(Instances!JQ38:Instances!JQ38),"diff", MAX(Instances!JQ38:Instances!JQ38)-MIN(Instances!JQ38:Instances!JQ38))</f>
        <v>0</v>
      </c>
      <c r="JR38" s="1" cm="1">
        <f t="array" ref="JR38">_xlfn.SWITCH($A$2,"average", AVERAGE(Instances!JR38:Instances!JR38),"median", MEDIAN(Instances!JR38:Instances!JR38),"min", MIN(Instances!JR38:Instances!JR38),"max", MAX(Instances!JR38:Instances!JR38),"diff", MAX(Instances!JR38:Instances!JR38)-MIN(Instances!JR38:Instances!JR38))</f>
        <v>0</v>
      </c>
      <c r="JS38" s="1" cm="1">
        <f t="array" ref="JS38">_xlfn.SWITCH($A$2,"average", AVERAGE(Instances!JS38:Instances!JS38),"median", MEDIAN(Instances!JS38:Instances!JS38),"min", MIN(Instances!JS38:Instances!JS38),"max", MAX(Instances!JS38:Instances!JS38),"diff", MAX(Instances!JS38:Instances!JS38)-MIN(Instances!JS38:Instances!JS38))</f>
        <v>0</v>
      </c>
      <c r="JT38" s="1" cm="1">
        <f t="array" ref="JT38">_xlfn.SWITCH($A$2,"average", AVERAGE(Instances!JT38:Instances!JT38),"median", MEDIAN(Instances!JT38:Instances!JT38),"min", MIN(Instances!JT38:Instances!JT38),"max", MAX(Instances!JT38:Instances!JT38),"diff", MAX(Instances!JT38:Instances!JT38)-MIN(Instances!JT38:Instances!JT38))</f>
        <v>0</v>
      </c>
      <c r="JU38" s="1" cm="1">
        <f t="array" ref="JU38">_xlfn.SWITCH($A$2,"average", AVERAGE(Instances!JU38:Instances!JU38),"median", MEDIAN(Instances!JU38:Instances!JU38),"min", MIN(Instances!JU38:Instances!JU38),"max", MAX(Instances!JU38:Instances!JU38),"diff", MAX(Instances!JU38:Instances!JU38)-MIN(Instances!JU38:Instances!JU38))</f>
        <v>0</v>
      </c>
      <c r="JV38" s="1" cm="1">
        <f t="array" ref="JV38">_xlfn.SWITCH($A$2,"average", AVERAGE(Instances!JV38:Instances!JV38),"median", MEDIAN(Instances!JV38:Instances!JV38),"min", MIN(Instances!JV38:Instances!JV38),"max", MAX(Instances!JV38:Instances!JV38),"diff", MAX(Instances!JV38:Instances!JV38)-MIN(Instances!JV38:Instances!JV38))</f>
        <v>0</v>
      </c>
      <c r="JW38" s="1" cm="1">
        <f t="array" ref="JW38">_xlfn.SWITCH($A$2,"average", AVERAGE(Instances!JW38:Instances!JW38),"median", MEDIAN(Instances!JW38:Instances!JW38),"min", MIN(Instances!JW38:Instances!JW38),"max", MAX(Instances!JW38:Instances!JW38),"diff", MAX(Instances!JW38:Instances!JW38)-MIN(Instances!JW38:Instances!JW38))</f>
        <v>0</v>
      </c>
      <c r="JX38" s="1" cm="1">
        <f t="array" ref="JX38">_xlfn.SWITCH($A$2,"average", AVERAGE(Instances!JX38:Instances!JX38),"median", MEDIAN(Instances!JX38:Instances!JX38),"min", MIN(Instances!JX38:Instances!JX38),"max", MAX(Instances!JX38:Instances!JX38),"diff", MAX(Instances!JX38:Instances!JX38)-MIN(Instances!JX38:Instances!JX38))</f>
        <v>0</v>
      </c>
      <c r="JY38" s="1" cm="1">
        <f t="array" ref="JY38">_xlfn.SWITCH($A$2,"average", AVERAGE(Instances!JY38:Instances!JY38),"median", MEDIAN(Instances!JY38:Instances!JY38),"min", MIN(Instances!JY38:Instances!JY38),"max", MAX(Instances!JY38:Instances!JY38),"diff", MAX(Instances!JY38:Instances!JY38)-MIN(Instances!JY38:Instances!JY38))</f>
        <v>0</v>
      </c>
      <c r="JZ38" s="1"/>
      <c r="KA38" s="1" cm="1">
        <f t="array" ref="KA38">_xlfn.SWITCH($A$2,"average", AVERAGE(Instances!KA38:Instances!KA38),"median", MEDIAN(Instances!KA38:Instances!KA38),"min", MIN(Instances!KA38:Instances!KA38),"max", MAX(Instances!KA38:Instances!KA38),"diff", MAX(Instances!KA38:Instances!KA38)-MIN(Instances!KA38:Instances!KA38))</f>
        <v>0</v>
      </c>
      <c r="KB38" s="1" cm="1">
        <f t="array" ref="KB38">_xlfn.SWITCH($A$2,"average", AVERAGE(Instances!KB38:Instances!KB38),"median", MEDIAN(Instances!KB38:Instances!KB38),"min", MIN(Instances!KB38:Instances!KB38),"max", MAX(Instances!KB38:Instances!KB38),"diff", MAX(Instances!KB38:Instances!KB38)-MIN(Instances!KB38:Instances!KB38))</f>
        <v>0</v>
      </c>
      <c r="KC38" s="1" cm="1">
        <f t="array" ref="KC38">_xlfn.SWITCH($A$2,"average", AVERAGE(Instances!KC38:Instances!KC38),"median", MEDIAN(Instances!KC38:Instances!KC38),"min", MIN(Instances!KC38:Instances!KC38),"max", MAX(Instances!KC38:Instances!KC38),"diff", MAX(Instances!KC38:Instances!KC38)-MIN(Instances!KC38:Instances!KC38))</f>
        <v>0</v>
      </c>
      <c r="KD38" s="1">
        <f>MIN($B38,$T38,$AL38,$BD38,$BV38,$CN38,$DF38,$DX38,$EP38,$FH38,$FZ38,$GR38,$HJ38,$IB38,$IT38,$JL38)</f>
        <v>0</v>
      </c>
      <c r="KE38" s="1">
        <f>MIN($C38,$U38,$AM38,$BE38,$BW38,$CO38,$DG38,$DY38,$EQ38,$FI38,$GA38,$GS38,$HK38,$IC38,$IU38,$JM38)</f>
        <v>0</v>
      </c>
      <c r="KF38" s="1">
        <f>MIN($D38,$V38,$AN38,$BF38,$BX38,$CP38,$DH38,$DZ38,$ER38,$FJ38,$GB38,$GT38,$HL38,$ID38,$IV38,$JN38)</f>
        <v>0</v>
      </c>
      <c r="KG38" s="1">
        <f>MIN($E38,$W38,$AO38,$BG38,$BY38,$CQ38,$DI38,$EA38,$ES38,$FK38,$GC38,$GU38,$HM38,$IE38,$IW38,$JO38)</f>
        <v>0</v>
      </c>
      <c r="KH38" s="1">
        <f>MIN($F38,$X38,$AP38,$BH38,$BZ38,$CR38,$DJ38,$EB38,$ET38,$FL38,$GD38,$GV38,$HN38,$IF38,$IX38,$JP38)</f>
        <v>0</v>
      </c>
      <c r="KI38" s="1">
        <f>MIN($G38,$Y38,$AQ38,$BI38,$CA38,$CS38,$DK38,$EC38,$EU38,$FM38,$GE38,$GW38,$HO38,$IG38,$IY38,$JQ38)</f>
        <v>0</v>
      </c>
      <c r="KJ38" s="1">
        <f>MIN($H38,$Z38,$AR38,$BJ38,$CB38,$CT38,$DL38,$ED38,$EV38,$FN38,$GF38,$GX38,$HP38,$IH38,$IZ38,$JR38)</f>
        <v>0</v>
      </c>
      <c r="KK38" s="1">
        <f>MIN($I38,$AA38,$AS38,$BK38,$CC38,$CU38,$DM38,$EE38,$EW38,$FO38,$GG38,$GY38,$HQ38,$II38,$JA38,$JS38)</f>
        <v>0</v>
      </c>
      <c r="KL38" s="1">
        <f>MIN($J38,$AB38,$AT38,$BL38,$CD38,$CV38,$DN38,$EF38,$EX38,$FP38,$GH38,$GZ38,$HR38,$IJ38,$JB38,$JT38)</f>
        <v>0</v>
      </c>
      <c r="KM38" s="1">
        <f>MIN($K38,$AC38,$AU38,$BM38,$CE38,$CW38,$DO38,$EG38,$EY38,$FQ38,$GI38,$HA38,$HS38,$IK38,$JC38,$JU38)</f>
        <v>0</v>
      </c>
      <c r="KN38" s="1">
        <f>MIN($L38,$AD38,$AV38,$BN38,$CF38,$CX38,$DP38,$EH38,$EZ38,$FR38,$GJ38,$HB38,$HT38,$IL38,$JD38,$JV38)</f>
        <v>0</v>
      </c>
      <c r="KO38" s="1">
        <f>MIN($M38,$AE38,$AW38,$BO38,$CG38,$CY38,$DQ38,$EI38,$FA38,$FS38,$GK38,$HC38,$HU38,$IM38,$JE38,$JW38)</f>
        <v>0</v>
      </c>
      <c r="KP38" s="1">
        <f>MIN($N38,$AF38,$AX38,$BP38,$CH38,$CZ38,$DR38,$EJ38,$FB38,$FT38,$GL38,$HD38,$HV38,$IN38,$JF38,$JX38)</f>
        <v>0</v>
      </c>
      <c r="KQ38" s="1">
        <f>MIN($O38,$AG38,$AY38,$BQ38,$CI38,$DA38,$DS38,$EK38,$FC38,$FU38,$GM38,$HE38,$HW38,$IO38,$JG38,$JY38)</f>
        <v>0</v>
      </c>
      <c r="KR38" s="1">
        <f>MIN($Q38,$AI38,$BA38,$BS38,$CK38,$DC38,$DU38,$EM38,$FE38,$FW38,$GO38,$HG38,$HY38,$IQ38,$JI38,$KA38)</f>
        <v>0</v>
      </c>
      <c r="KS38" s="1">
        <f>MIN($R38,$AJ38,$BB38,$BT38,$CL38,$DD38,$DV38,$EN38,$FF38,$FX38,$GP38,$HH38,$HZ38,$IR38,$JJ38,$KB38)</f>
        <v>0</v>
      </c>
      <c r="KT38" s="1">
        <f>MIN($S38,$AK38,$BC38,$BU38,$CM38,$DE38,$DW38,$EO38,$FG38,$FY38,$GQ38,$HI38,$IA38,$IS38,$JK38,$KC38)</f>
        <v>0</v>
      </c>
      <c r="KU38" s="1">
        <f>MEDIAN($B38,$T38,$AL38,$BD38,$BV38,$CN38,$DF38,$DX38,$EP38,$FH38,$FZ38,$GR38,$HJ38,$IB38,$IT38,$JL38)</f>
        <v>0</v>
      </c>
      <c r="KV38" s="1">
        <f>MEDIAN($C38,$U38,$AM38,$BE38,$BW38,$CO38,$DG38,$DY38,$EQ38,$FI38,$GA38,$GS38,$HK38,$IC38,$IU38,$JM38)</f>
        <v>0</v>
      </c>
      <c r="KW38" s="1">
        <f>MEDIAN($D38,$V38,$AN38,$BF38,$BX38,$CP38,$DH38,$DZ38,$ER38,$FJ38,$GB38,$GT38,$HL38,$ID38,$IV38,$JN38)</f>
        <v>0</v>
      </c>
      <c r="KX38" s="1">
        <f>MEDIAN($E38,$W38,$AO38,$BG38,$BY38,$CQ38,$DI38,$EA38,$ES38,$FK38,$GC38,$GU38,$HM38,$IE38,$IW38,$JO38)</f>
        <v>0</v>
      </c>
      <c r="KY38" s="1">
        <f>MEDIAN($F38,$X38,$AP38,$BH38,$BZ38,$CR38,$DJ38,$EB38,$ET38,$FL38,$GD38,$GV38,$HN38,$IF38,$IX38,$JP38)</f>
        <v>0</v>
      </c>
      <c r="KZ38" s="1">
        <f>MEDIAN($G38,$Y38,$AQ38,$BI38,$CA38,$CS38,$DK38,$EC38,$EU38,$FM38,$GE38,$GW38,$HO38,$IG38,$IY38,$JQ38)</f>
        <v>0</v>
      </c>
      <c r="LA38" s="1">
        <f>MEDIAN($H38,$Z38,$AR38,$BJ38,$CB38,$CT38,$DL38,$ED38,$EV38,$FN38,$GF38,$GX38,$HP38,$IH38,$IZ38,$JR38)</f>
        <v>0</v>
      </c>
      <c r="LB38" s="1">
        <f>MEDIAN($I38,$AA38,$AS38,$BK38,$CC38,$CU38,$DM38,$EE38,$EW38,$FO38,$GG38,$GY38,$HQ38,$II38,$JA38,$JS38)</f>
        <v>0</v>
      </c>
      <c r="LC38" s="1">
        <f>MEDIAN($J38,$AB38,$AT38,$BL38,$CD38,$CV38,$DN38,$EF38,$EX38,$FP38,$GH38,$GZ38,$HR38,$IJ38,$JB38,$JT38)</f>
        <v>0</v>
      </c>
      <c r="LD38" s="1">
        <f>MEDIAN($K38,$AC38,$AU38,$BM38,$CE38,$CW38,$DO38,$EG38,$EY38,$FQ38,$GI38,$HA38,$HS38,$IK38,$JC38,$JU38)</f>
        <v>0</v>
      </c>
      <c r="LE38" s="1">
        <f>MEDIAN($L38,$AD38,$AV38,$BN38,$CF38,$CX38,$DP38,$EH38,$EZ38,$FR38,$GJ38,$HB38,$HT38,$IL38,$JD38,$JV38)</f>
        <v>0</v>
      </c>
      <c r="LF38" s="1">
        <f>MEDIAN($M38,$AE38,$AW38,$BO38,$CG38,$CY38,$DQ38,$EI38,$FA38,$FS38,$GK38,$HC38,$HU38,$IM38,$JE38,$JW38)</f>
        <v>0</v>
      </c>
      <c r="LG38" s="1">
        <f>MEDIAN($N38,$AF38,$AX38,$BP38,$CH38,$CZ38,$DR38,$EJ38,$FB38,$FT38,$GL38,$HD38,$HV38,$IN38,$JF38,$JX38)</f>
        <v>0</v>
      </c>
      <c r="LH38" s="1">
        <f>MEDIAN($O38,$AG38,$AY38,$BQ38,$CI38,$DA38,$DS38,$EK38,$FC38,$FU38,$GM38,$HE38,$HW38,$IO38,$JG38,$JY38)</f>
        <v>0</v>
      </c>
      <c r="LI38" s="1">
        <f>MEDIAN($Q38,$AI38,$BA38,$BS38,$CK38,$DC38,$DU38,$EM38,$FE38,$FW38,$GO38,$HG38,$HY38,$IQ38,$JI38,$KA38)</f>
        <v>0</v>
      </c>
      <c r="LJ38" s="1">
        <f>MEDIAN($R38,$AJ38,$BB38,$BT38,$CL38,$DD38,$DV38,$EN38,$FF38,$FX38,$GP38,$HH38,$HZ38,$IR38,$JJ38,$KB38)</f>
        <v>0</v>
      </c>
      <c r="LK38" s="1">
        <f>MEDIAN($S38,$AK38,$BC38,$BU38,$CM38,$DE38,$DW38,$EO38,$FG38,$FY38,$GQ38,$HI38,$IA38,$IS38,$JK38,$KC38)</f>
        <v>0</v>
      </c>
      <c r="LL38" s="1">
        <f>MAX($B38,$T38,$AL38,$BD38,$BV38,$CN38,$DF38,$DX38,$EP38,$FH38,$FZ38,$GR38,$HJ38,$IB38,$IT38,$JL38)</f>
        <v>0</v>
      </c>
      <c r="LM38" s="1">
        <f>MAX($C38,$U38,$AM38,$BE38,$BW38,$CO38,$DG38,$DY38,$EQ38,$FI38,$GA38,$GS38,$HK38,$IC38,$IU38,$JM38)</f>
        <v>0</v>
      </c>
      <c r="LN38" s="1">
        <f>MAX($D38,$V38,$AN38,$BF38,$BX38,$CP38,$DH38,$DZ38,$ER38,$FJ38,$GB38,$GT38,$HL38,$ID38,$IV38,$JN38)</f>
        <v>0</v>
      </c>
      <c r="LO38" s="1">
        <f>MAX($E38,$W38,$AO38,$BG38,$BY38,$CQ38,$DI38,$EA38,$ES38,$FK38,$GC38,$GU38,$HM38,$IE38,$IW38,$JO38)</f>
        <v>0</v>
      </c>
      <c r="LP38" s="1">
        <f>MAX($F38,$X38,$AP38,$BH38,$BZ38,$CR38,$DJ38,$EB38,$ET38,$FL38,$GD38,$GV38,$HN38,$IF38,$IX38,$JP38)</f>
        <v>0</v>
      </c>
      <c r="LQ38" s="1">
        <f>MAX($G38,$Y38,$AQ38,$BI38,$CA38,$CS38,$DK38,$EC38,$EU38,$FM38,$GE38,$GW38,$HO38,$IG38,$IY38,$JQ38)</f>
        <v>0</v>
      </c>
      <c r="LR38" s="1">
        <f>MAX($H38,$Z38,$AR38,$BJ38,$CB38,$CT38,$DL38,$ED38,$EV38,$FN38,$GF38,$GX38,$HP38,$IH38,$IZ38,$JR38)</f>
        <v>0</v>
      </c>
      <c r="LS38" s="1">
        <f>MAX($I38,$AA38,$AS38,$BK38,$CC38,$CU38,$DM38,$EE38,$EW38,$FO38,$GG38,$GY38,$HQ38,$II38,$JA38,$JS38)</f>
        <v>0</v>
      </c>
      <c r="LT38" s="1">
        <f>MAX($J38,$AB38,$AT38,$BL38,$CD38,$CV38,$DN38,$EF38,$EX38,$FP38,$GH38,$GZ38,$HR38,$IJ38,$JB38,$JT38)</f>
        <v>0</v>
      </c>
      <c r="LU38" s="1">
        <f>MAX($K38,$AC38,$AU38,$BM38,$CE38,$CW38,$DO38,$EG38,$EY38,$FQ38,$GI38,$HA38,$HS38,$IK38,$JC38,$JU38)</f>
        <v>0</v>
      </c>
      <c r="LV38" s="1">
        <f>MAX($L38,$AD38,$AV38,$BN38,$CF38,$CX38,$DP38,$EH38,$EZ38,$FR38,$GJ38,$HB38,$HT38,$IL38,$JD38,$JV38)</f>
        <v>0</v>
      </c>
      <c r="LW38" s="1">
        <f>MAX($M38,$AE38,$AW38,$BO38,$CG38,$CY38,$DQ38,$EI38,$FA38,$FS38,$GK38,$HC38,$HU38,$IM38,$JE38,$JW38)</f>
        <v>0</v>
      </c>
      <c r="LX38" s="1">
        <f>MAX($N38,$AF38,$AX38,$BP38,$CH38,$CZ38,$DR38,$EJ38,$FB38,$FT38,$GL38,$HD38,$HV38,$IN38,$JF38,$JX38)</f>
        <v>0</v>
      </c>
      <c r="LY38" s="1">
        <f>MAX($O38,$AG38,$AY38,$BQ38,$CI38,$DA38,$DS38,$EK38,$FC38,$FU38,$GM38,$HE38,$HW38,$IO38,$JG38,$JY38)</f>
        <v>0</v>
      </c>
      <c r="LZ38" s="1">
        <f>MAX($Q38,$AI38,$BA38,$BS38,$CK38,$DC38,$DU38,$EM38,$FE38,$FW38,$GO38,$HG38,$HY38,$IQ38,$JI38,$KA38)</f>
        <v>0</v>
      </c>
      <c r="MA38" s="1">
        <f>MAX($R38,$AJ38,$BB38,$BT38,$CL38,$DD38,$DV38,$EN38,$FF38,$FX38,$GP38,$HH38,$HZ38,$IR38,$JJ38,$KB38)</f>
        <v>0</v>
      </c>
      <c r="MB38" s="1">
        <f>MAX($S38,$AK38,$BC38,$BU38,$CM38,$DE38,$DW38,$EO38,$FG38,$FY38,$GQ38,$HI38,$IA38,$IS38,$JK38,$KC38)</f>
        <v>0</v>
      </c>
    </row>
    <row r="39" spans="1:340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 cm="1">
        <f t="array" ref="L39">_xlfn.SWITCH($A$2,"average", AVERAGE(Instances!L39:Instances!L39),"median", MEDIAN(Instances!L39:Instances!L39),"min", MIN(Instances!L39:Instances!L39),"max", MAX(Instances!L39:Instances!L39),"diff", MAX(Instances!L39:Instances!L39)-MIN(Instances!L39:Instances!L39))</f>
        <v>0</v>
      </c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 cm="1">
        <f t="array" ref="O39">_xlfn.SWITCH($A$2,"average", AVERAGE(Instances!O39:Instances!O39),"median", MEDIAN(Instances!O39:Instances!O39),"min", MIN(Instances!O39:Instances!O39),"max", MAX(Instances!O39:Instances!O39),"diff", MAX(Instances!O39:Instances!O39)-MIN(Instances!O39:Instances!O39))</f>
        <v>0</v>
      </c>
      <c r="P39" s="1"/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 cm="1">
        <f t="array" ref="S39">_xlfn.SWITCH($A$2,"average", AVERAGE(Instances!S39:Instances!S39),"median", MEDIAN(Instances!S39:Instances!S39),"min", MIN(Instances!S39:Instances!S39),"max", MAX(Instances!S39:Instances!S39),"diff", MAX(Instances!S39:Instances!S39)-MIN(Instances!S39:Instances!S39))</f>
        <v>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 cm="1">
        <f t="array" ref="AL39">_xlfn.SWITCH($A$2,"average", AVERAGE(Instances!AL39:Instances!AL39),"median", MEDIAN(Instances!AL39:Instances!AL39),"min", MIN(Instances!AL39:Instances!AL39),"max", MAX(Instances!AL39:Instances!AL39),"diff", MAX(Instances!AL39:Instances!AL39)-MIN(Instances!AL39:Instances!AL39))</f>
        <v>0</v>
      </c>
      <c r="AM39" s="1" cm="1">
        <f t="array" ref="AM39">_xlfn.SWITCH($A$2,"average", AVERAGE(Instances!AM39:Instances!AM39),"median", MEDIAN(Instances!AM39:Instances!AM39),"min", MIN(Instances!AM39:Instances!AM39),"max", MAX(Instances!AM39:Instances!AM39),"diff", MAX(Instances!AM39:Instances!AM39)-MIN(Instances!AM39:Instances!AM39))</f>
        <v>0</v>
      </c>
      <c r="AN39" s="1" cm="1">
        <f t="array" ref="AN39">_xlfn.SWITCH($A$2,"average", AVERAGE(Instances!AN39:Instances!AN39),"median", MEDIAN(Instances!AN39:Instances!AN39),"min", MIN(Instances!AN39:Instances!AN39),"max", MAX(Instances!AN39:Instances!AN39),"diff", MAX(Instances!AN39:Instances!AN39)-MIN(Instances!AN39:Instances!AN39))</f>
        <v>0</v>
      </c>
      <c r="AO39" s="1" cm="1">
        <f t="array" ref="AO39">_xlfn.SWITCH($A$2,"average", AVERAGE(Instances!AO39:Instances!AO39),"median", MEDIAN(Instances!AO39:Instances!AO39),"min", MIN(Instances!AO39:Instances!AO39),"max", MAX(Instances!AO39:Instances!AO39),"diff", MAX(Instances!AO39:Instances!AO39)-MIN(Instances!AO39:Instances!AO39))</f>
        <v>0</v>
      </c>
      <c r="AP39" s="1" cm="1">
        <f t="array" ref="AP39">_xlfn.SWITCH($A$2,"average", AVERAGE(Instances!AP39:Instances!AP39),"median", MEDIAN(Instances!AP39:Instances!AP39),"min", MIN(Instances!AP39:Instances!AP39),"max", MAX(Instances!AP39:Instances!AP39),"diff", MAX(Instances!AP39:Instances!AP39)-MIN(Instances!AP39:Instances!AP39))</f>
        <v>0</v>
      </c>
      <c r="AQ39" s="1" cm="1">
        <f t="array" ref="AQ39">_xlfn.SWITCH($A$2,"average", AVERAGE(Instances!AQ39:Instances!AQ39),"median", MEDIAN(Instances!AQ39:Instances!AQ39),"min", MIN(Instances!AQ39:Instances!AQ39),"max", MAX(Instances!AQ39:Instances!AQ39),"diff", MAX(Instances!AQ39:Instances!AQ39)-MIN(Instances!AQ39:Instances!AQ39))</f>
        <v>0</v>
      </c>
      <c r="AR39" s="1" cm="1">
        <f t="array" ref="AR39">_xlfn.SWITCH($A$2,"average", AVERAGE(Instances!AR39:Instances!AR39),"median", MEDIAN(Instances!AR39:Instances!AR39),"min", MIN(Instances!AR39:Instances!AR39),"max", MAX(Instances!AR39:Instances!AR39),"diff", MAX(Instances!AR39:Instances!AR39)-MIN(Instances!AR39:Instances!AR39))</f>
        <v>0</v>
      </c>
      <c r="AS39" s="1" cm="1">
        <f t="array" ref="AS39">_xlfn.SWITCH($A$2,"average", AVERAGE(Instances!AS39:Instances!AS39),"median", MEDIAN(Instances!AS39:Instances!AS39),"min", MIN(Instances!AS39:Instances!AS39),"max", MAX(Instances!AS39:Instances!AS39),"diff", MAX(Instances!AS39:Instances!AS39)-MIN(Instances!AS39:Instances!AS39))</f>
        <v>0</v>
      </c>
      <c r="AT39" s="1" cm="1">
        <f t="array" ref="AT39">_xlfn.SWITCH($A$2,"average", AVERAGE(Instances!AT39:Instances!AT39),"median", MEDIAN(Instances!AT39:Instances!AT39),"min", MIN(Instances!AT39:Instances!AT39),"max", MAX(Instances!AT39:Instances!AT39),"diff", MAX(Instances!AT39:Instances!AT39)-MIN(Instances!AT39:Instances!AT39))</f>
        <v>0</v>
      </c>
      <c r="AU39" s="1" cm="1">
        <f t="array" ref="AU39">_xlfn.SWITCH($A$2,"average", AVERAGE(Instances!AU39:Instances!AU39),"median", MEDIAN(Instances!AU39:Instances!AU39),"min", MIN(Instances!AU39:Instances!AU39),"max", MAX(Instances!AU39:Instances!AU39),"diff", MAX(Instances!AU39:Instances!AU39)-MIN(Instances!AU39:Instances!AU39))</f>
        <v>0</v>
      </c>
      <c r="AV39" s="1" cm="1">
        <f t="array" ref="AV39">_xlfn.SWITCH($A$2,"average", AVERAGE(Instances!AV39:Instances!AV39),"median", MEDIAN(Instances!AV39:Instances!AV39),"min", MIN(Instances!AV39:Instances!AV39),"max", MAX(Instances!AV39:Instances!AV39),"diff", MAX(Instances!AV39:Instances!AV39)-MIN(Instances!AV39:Instances!AV39))</f>
        <v>0</v>
      </c>
      <c r="AW39" s="1" cm="1">
        <f t="array" ref="AW39">_xlfn.SWITCH($A$2,"average", AVERAGE(Instances!AW39:Instances!AW39),"median", MEDIAN(Instances!AW39:Instances!AW39),"min", MIN(Instances!AW39:Instances!AW39),"max", MAX(Instances!AW39:Instances!AW39),"diff", MAX(Instances!AW39:Instances!AW39)-MIN(Instances!AW39:Instances!AW39))</f>
        <v>0</v>
      </c>
      <c r="AX39" s="1" cm="1">
        <f t="array" ref="AX39">_xlfn.SWITCH($A$2,"average", AVERAGE(Instances!AX39:Instances!AX39),"median", MEDIAN(Instances!AX39:Instances!AX39),"min", MIN(Instances!AX39:Instances!AX39),"max", MAX(Instances!AX39:Instances!AX39),"diff", MAX(Instances!AX39:Instances!AX39)-MIN(Instances!AX39:Instances!AX39))</f>
        <v>0</v>
      </c>
      <c r="AY39" s="1" cm="1">
        <f t="array" ref="AY39">_xlfn.SWITCH($A$2,"average", AVERAGE(Instances!AY39:Instances!AY39),"median", MEDIAN(Instances!AY39:Instances!AY39),"min", MIN(Instances!AY39:Instances!AY39),"max", MAX(Instances!AY39:Instances!AY39),"diff", MAX(Instances!AY39:Instances!AY39)-MIN(Instances!AY39:Instances!AY39))</f>
        <v>0</v>
      </c>
      <c r="AZ39" s="1"/>
      <c r="BA39" s="1" cm="1">
        <f t="array" ref="BA39">_xlfn.SWITCH($A$2,"average", AVERAGE(Instances!BA39:Instances!BA39),"median", MEDIAN(Instances!BA39:Instances!BA39),"min", MIN(Instances!BA39:Instances!BA39),"max", MAX(Instances!BA39:Instances!BA39),"diff", MAX(Instances!BA39:Instances!BA39)-MIN(Instances!BA39:Instances!BA39))</f>
        <v>0</v>
      </c>
      <c r="BB39" s="1" cm="1">
        <f t="array" ref="BB39">_xlfn.SWITCH($A$2,"average", AVERAGE(Instances!BB39:Instances!BB39),"median", MEDIAN(Instances!BB39:Instances!BB39),"min", MIN(Instances!BB39:Instances!BB39),"max", MAX(Instances!BB39:Instances!BB39),"diff", MAX(Instances!BB39:Instances!BB39)-MIN(Instances!BB39:Instances!BB39))</f>
        <v>0</v>
      </c>
      <c r="BC39" s="1" cm="1">
        <f t="array" ref="BC39">_xlfn.SWITCH($A$2,"average", AVERAGE(Instances!BC39:Instances!BC39),"median", MEDIAN(Instances!BC39:Instances!BC39),"min", MIN(Instances!BC39:Instances!BC39),"max", MAX(Instances!BC39:Instances!BC39),"diff", MAX(Instances!BC39:Instances!BC39)-MIN(Instances!BC39:Instances!BC39))</f>
        <v>0</v>
      </c>
      <c r="BD39" s="1" cm="1">
        <f t="array" ref="BD39">_xlfn.SWITCH($A$2,"average", AVERAGE(Instances!BD39:Instances!BD39),"median", MEDIAN(Instances!BD39:Instances!BD39),"min", MIN(Instances!BD39:Instances!BD39),"max", MAX(Instances!BD39:Instances!BD39),"diff", MAX(Instances!BD39:Instances!BD39)-MIN(Instances!BD39:Instances!BD39))</f>
        <v>0</v>
      </c>
      <c r="BE39" s="1" cm="1">
        <f t="array" ref="BE39">_xlfn.SWITCH($A$2,"average", AVERAGE(Instances!BE39:Instances!BE39),"median", MEDIAN(Instances!BE39:Instances!BE39),"min", MIN(Instances!BE39:Instances!BE39),"max", MAX(Instances!BE39:Instances!BE39),"diff", MAX(Instances!BE39:Instances!BE39)-MIN(Instances!BE39:Instances!BE39))</f>
        <v>0</v>
      </c>
      <c r="BF39" s="1" cm="1">
        <f t="array" ref="BF39">_xlfn.SWITCH($A$2,"average", AVERAGE(Instances!BF39:Instances!BF39),"median", MEDIAN(Instances!BF39:Instances!BF39),"min", MIN(Instances!BF39:Instances!BF39),"max", MAX(Instances!BF39:Instances!BF39),"diff", MAX(Instances!BF39:Instances!BF39)-MIN(Instances!BF39:Instances!BF39))</f>
        <v>0</v>
      </c>
      <c r="BG39" s="1" cm="1">
        <f t="array" ref="BG39">_xlfn.SWITCH($A$2,"average", AVERAGE(Instances!BG39:Instances!BG39),"median", MEDIAN(Instances!BG39:Instances!BG39),"min", MIN(Instances!BG39:Instances!BG39),"max", MAX(Instances!BG39:Instances!BG39),"diff", MAX(Instances!BG39:Instances!BG39)-MIN(Instances!BG39:Instances!BG39))</f>
        <v>0</v>
      </c>
      <c r="BH39" s="1" cm="1">
        <f t="array" ref="BH39">_xlfn.SWITCH($A$2,"average", AVERAGE(Instances!BH39:Instances!BH39),"median", MEDIAN(Instances!BH39:Instances!BH39),"min", MIN(Instances!BH39:Instances!BH39),"max", MAX(Instances!BH39:Instances!BH39),"diff", MAX(Instances!BH39:Instances!BH39)-MIN(Instances!BH39:Instances!BH39))</f>
        <v>0</v>
      </c>
      <c r="BI39" s="1" cm="1">
        <f t="array" ref="BI39">_xlfn.SWITCH($A$2,"average", AVERAGE(Instances!BI39:Instances!BI39),"median", MEDIAN(Instances!BI39:Instances!BI39),"min", MIN(Instances!BI39:Instances!BI39),"max", MAX(Instances!BI39:Instances!BI39),"diff", MAX(Instances!BI39:Instances!BI39)-MIN(Instances!BI39:Instances!BI39))</f>
        <v>0</v>
      </c>
      <c r="BJ39" s="1" cm="1">
        <f t="array" ref="BJ39">_xlfn.SWITCH($A$2,"average", AVERAGE(Instances!BJ39:Instances!BJ39),"median", MEDIAN(Instances!BJ39:Instances!BJ39),"min", MIN(Instances!BJ39:Instances!BJ39),"max", MAX(Instances!BJ39:Instances!BJ39),"diff", MAX(Instances!BJ39:Instances!BJ39)-MIN(Instances!BJ39:Instances!BJ39))</f>
        <v>0</v>
      </c>
      <c r="BK39" s="1" cm="1">
        <f t="array" ref="BK39">_xlfn.SWITCH($A$2,"average", AVERAGE(Instances!BK39:Instances!BK39),"median", MEDIAN(Instances!BK39:Instances!BK39),"min", MIN(Instances!BK39:Instances!BK39),"max", MAX(Instances!BK39:Instances!BK39),"diff", MAX(Instances!BK39:Instances!BK39)-MIN(Instances!BK39:Instances!BK39))</f>
        <v>0</v>
      </c>
      <c r="BL39" s="1" cm="1">
        <f t="array" ref="BL39">_xlfn.SWITCH($A$2,"average", AVERAGE(Instances!BL39:Instances!BL39),"median", MEDIAN(Instances!BL39:Instances!BL39),"min", MIN(Instances!BL39:Instances!BL39),"max", MAX(Instances!BL39:Instances!BL39),"diff", MAX(Instances!BL39:Instances!BL39)-MIN(Instances!BL39:Instances!BL39))</f>
        <v>0</v>
      </c>
      <c r="BM39" s="1" cm="1">
        <f t="array" ref="BM39">_xlfn.SWITCH($A$2,"average", AVERAGE(Instances!BM39:Instances!BM39),"median", MEDIAN(Instances!BM39:Instances!BM39),"min", MIN(Instances!BM39:Instances!BM39),"max", MAX(Instances!BM39:Instances!BM39),"diff", MAX(Instances!BM39:Instances!BM39)-MIN(Instances!BM39:Instances!BM39))</f>
        <v>0</v>
      </c>
      <c r="BN39" s="1" cm="1">
        <f t="array" ref="BN39">_xlfn.SWITCH($A$2,"average", AVERAGE(Instances!BN39:Instances!BN39),"median", MEDIAN(Instances!BN39:Instances!BN39),"min", MIN(Instances!BN39:Instances!BN39),"max", MAX(Instances!BN39:Instances!BN39),"diff", MAX(Instances!BN39:Instances!BN39)-MIN(Instances!BN39:Instances!BN39))</f>
        <v>0</v>
      </c>
      <c r="BO39" s="1" cm="1">
        <f t="array" ref="BO39">_xlfn.SWITCH($A$2,"average", AVERAGE(Instances!BO39:Instances!BO39),"median", MEDIAN(Instances!BO39:Instances!BO39),"min", MIN(Instances!BO39:Instances!BO39),"max", MAX(Instances!BO39:Instances!BO39),"diff", MAX(Instances!BO39:Instances!BO39)-MIN(Instances!BO39:Instances!BO39))</f>
        <v>0</v>
      </c>
      <c r="BP39" s="1" cm="1">
        <f t="array" ref="BP39">_xlfn.SWITCH($A$2,"average", AVERAGE(Instances!BP39:Instances!BP39),"median", MEDIAN(Instances!BP39:Instances!BP39),"min", MIN(Instances!BP39:Instances!BP39),"max", MAX(Instances!BP39:Instances!BP39),"diff", MAX(Instances!BP39:Instances!BP39)-MIN(Instances!BP39:Instances!BP39))</f>
        <v>0</v>
      </c>
      <c r="BQ39" s="1" cm="1">
        <f t="array" ref="BQ39">_xlfn.SWITCH($A$2,"average", AVERAGE(Instances!BQ39:Instances!BQ39),"median", MEDIAN(Instances!BQ39:Instances!BQ39),"min", MIN(Instances!BQ39:Instances!BQ39),"max", MAX(Instances!BQ39:Instances!BQ39),"diff", MAX(Instances!BQ39:Instances!BQ39)-MIN(Instances!BQ39:Instances!BQ39))</f>
        <v>0</v>
      </c>
      <c r="BR39" s="1"/>
      <c r="BS39" s="1" cm="1">
        <f t="array" ref="BS39">_xlfn.SWITCH($A$2,"average", AVERAGE(Instances!BS39:Instances!BS39),"median", MEDIAN(Instances!BS39:Instances!BS39),"min", MIN(Instances!BS39:Instances!BS39),"max", MAX(Instances!BS39:Instances!BS39),"diff", MAX(Instances!BS39:Instances!BS39)-MIN(Instances!BS39:Instances!BS39))</f>
        <v>0</v>
      </c>
      <c r="BT39" s="1" cm="1">
        <f t="array" ref="BT39">_xlfn.SWITCH($A$2,"average", AVERAGE(Instances!BT39:Instances!BT39),"median", MEDIAN(Instances!BT39:Instances!BT39),"min", MIN(Instances!BT39:Instances!BT39),"max", MAX(Instances!BT39:Instances!BT39),"diff", MAX(Instances!BT39:Instances!BT39)-MIN(Instances!BT39:Instances!BT39))</f>
        <v>0</v>
      </c>
      <c r="BU39" s="1" cm="1">
        <f t="array" ref="BU39">_xlfn.SWITCH($A$2,"average", AVERAGE(Instances!BU39:Instances!BU39),"median", MEDIAN(Instances!BU39:Instances!BU39),"min", MIN(Instances!BU39:Instances!BU39),"max", MAX(Instances!BU39:Instances!BU39),"diff", MAX(Instances!BU39:Instances!BU39)-MIN(Instances!BU39:Instances!BU39))</f>
        <v>0</v>
      </c>
      <c r="BV39" s="1" cm="1">
        <f t="array" ref="BV39">_xlfn.SWITCH($A$2,"average", AVERAGE(Instances!BV39:Instances!BV39),"median", MEDIAN(Instances!BV39:Instances!BV39),"min", MIN(Instances!BV39:Instances!BV39),"max", MAX(Instances!BV39:Instances!BV39),"diff", MAX(Instances!BV39:Instances!BV39)-MIN(Instances!BV39:Instances!BV39))</f>
        <v>0</v>
      </c>
      <c r="BW39" s="1" cm="1">
        <f t="array" ref="BW39">_xlfn.SWITCH($A$2,"average", AVERAGE(Instances!BW39:Instances!BW39),"median", MEDIAN(Instances!BW39:Instances!BW39),"min", MIN(Instances!BW39:Instances!BW39),"max", MAX(Instances!BW39:Instances!BW39),"diff", MAX(Instances!BW39:Instances!BW39)-MIN(Instances!BW39:Instances!BW39))</f>
        <v>0</v>
      </c>
      <c r="BX39" s="1" cm="1">
        <f t="array" ref="BX39">_xlfn.SWITCH($A$2,"average", AVERAGE(Instances!BX39:Instances!BX39),"median", MEDIAN(Instances!BX39:Instances!BX39),"min", MIN(Instances!BX39:Instances!BX39),"max", MAX(Instances!BX39:Instances!BX39),"diff", MAX(Instances!BX39:Instances!BX39)-MIN(Instances!BX39:Instances!BX39))</f>
        <v>0</v>
      </c>
      <c r="BY39" s="1" cm="1">
        <f t="array" ref="BY39">_xlfn.SWITCH($A$2,"average", AVERAGE(Instances!BY39:Instances!BY39),"median", MEDIAN(Instances!BY39:Instances!BY39),"min", MIN(Instances!BY39:Instances!BY39),"max", MAX(Instances!BY39:Instances!BY39),"diff", MAX(Instances!BY39:Instances!BY39)-MIN(Instances!BY39:Instances!BY39))</f>
        <v>0</v>
      </c>
      <c r="BZ39" s="1" cm="1">
        <f t="array" ref="BZ39">_xlfn.SWITCH($A$2,"average", AVERAGE(Instances!BZ39:Instances!BZ39),"median", MEDIAN(Instances!BZ39:Instances!BZ39),"min", MIN(Instances!BZ39:Instances!BZ39),"max", MAX(Instances!BZ39:Instances!BZ39),"diff", MAX(Instances!BZ39:Instances!BZ39)-MIN(Instances!BZ39:Instances!BZ39))</f>
        <v>0</v>
      </c>
      <c r="CA39" s="1" cm="1">
        <f t="array" ref="CA39">_xlfn.SWITCH($A$2,"average", AVERAGE(Instances!CA39:Instances!CA39),"median", MEDIAN(Instances!CA39:Instances!CA39),"min", MIN(Instances!CA39:Instances!CA39),"max", MAX(Instances!CA39:Instances!CA39),"diff", MAX(Instances!CA39:Instances!CA39)-MIN(Instances!CA39:Instances!CA39))</f>
        <v>0</v>
      </c>
      <c r="CB39" s="1" cm="1">
        <f t="array" ref="CB39">_xlfn.SWITCH($A$2,"average", AVERAGE(Instances!CB39:Instances!CB39),"median", MEDIAN(Instances!CB39:Instances!CB39),"min", MIN(Instances!CB39:Instances!CB39),"max", MAX(Instances!CB39:Instances!CB39),"diff", MAX(Instances!CB39:Instances!CB39)-MIN(Instances!CB39:Instances!CB39))</f>
        <v>0</v>
      </c>
      <c r="CC39" s="1" cm="1">
        <f t="array" ref="CC39">_xlfn.SWITCH($A$2,"average", AVERAGE(Instances!CC39:Instances!CC39),"median", MEDIAN(Instances!CC39:Instances!CC39),"min", MIN(Instances!CC39:Instances!CC39),"max", MAX(Instances!CC39:Instances!CC39),"diff", MAX(Instances!CC39:Instances!CC39)-MIN(Instances!CC39:Instances!CC39))</f>
        <v>0</v>
      </c>
      <c r="CD39" s="1" cm="1">
        <f t="array" ref="CD39">_xlfn.SWITCH($A$2,"average", AVERAGE(Instances!CD39:Instances!CD39),"median", MEDIAN(Instances!CD39:Instances!CD39),"min", MIN(Instances!CD39:Instances!CD39),"max", MAX(Instances!CD39:Instances!CD39),"diff", MAX(Instances!CD39:Instances!CD39)-MIN(Instances!CD39:Instances!CD39))</f>
        <v>0</v>
      </c>
      <c r="CE39" s="1" cm="1">
        <f t="array" ref="CE39">_xlfn.SWITCH($A$2,"average", AVERAGE(Instances!CE39:Instances!CE39),"median", MEDIAN(Instances!CE39:Instances!CE39),"min", MIN(Instances!CE39:Instances!CE39),"max", MAX(Instances!CE39:Instances!CE39),"diff", MAX(Instances!CE39:Instances!CE39)-MIN(Instances!CE39:Instances!CE39))</f>
        <v>0</v>
      </c>
      <c r="CF39" s="1" cm="1">
        <f t="array" ref="CF39">_xlfn.SWITCH($A$2,"average", AVERAGE(Instances!CF39:Instances!CF39),"median", MEDIAN(Instances!CF39:Instances!CF39),"min", MIN(Instances!CF39:Instances!CF39),"max", MAX(Instances!CF39:Instances!CF39),"diff", MAX(Instances!CF39:Instances!CF39)-MIN(Instances!CF39:Instances!CF39))</f>
        <v>0</v>
      </c>
      <c r="CG39" s="1" cm="1">
        <f t="array" ref="CG39">_xlfn.SWITCH($A$2,"average", AVERAGE(Instances!CG39:Instances!CG39),"median", MEDIAN(Instances!CG39:Instances!CG39),"min", MIN(Instances!CG39:Instances!CG39),"max", MAX(Instances!CG39:Instances!CG39),"diff", MAX(Instances!CG39:Instances!CG39)-MIN(Instances!CG39:Instances!CG39))</f>
        <v>0</v>
      </c>
      <c r="CH39" s="1" cm="1">
        <f t="array" ref="CH39">_xlfn.SWITCH($A$2,"average", AVERAGE(Instances!CH39:Instances!CH39),"median", MEDIAN(Instances!CH39:Instances!CH39),"min", MIN(Instances!CH39:Instances!CH39),"max", MAX(Instances!CH39:Instances!CH39),"diff", MAX(Instances!CH39:Instances!CH39)-MIN(Instances!CH39:Instances!CH39))</f>
        <v>0</v>
      </c>
      <c r="CI39" s="1" cm="1">
        <f t="array" ref="CI39">_xlfn.SWITCH($A$2,"average", AVERAGE(Instances!CI39:Instances!CI39),"median", MEDIAN(Instances!CI39:Instances!CI39),"min", MIN(Instances!CI39:Instances!CI39),"max", MAX(Instances!CI39:Instances!CI39),"diff", MAX(Instances!CI39:Instances!CI39)-MIN(Instances!CI39:Instances!CI39))</f>
        <v>0</v>
      </c>
      <c r="CJ39" s="1"/>
      <c r="CK39" s="1" cm="1">
        <f t="array" ref="CK39">_xlfn.SWITCH($A$2,"average", AVERAGE(Instances!CK39:Instances!CK39),"median", MEDIAN(Instances!CK39:Instances!CK39),"min", MIN(Instances!CK39:Instances!CK39),"max", MAX(Instances!CK39:Instances!CK39),"diff", MAX(Instances!CK39:Instances!CK39)-MIN(Instances!CK39:Instances!CK39))</f>
        <v>0</v>
      </c>
      <c r="CL39" s="1" cm="1">
        <f t="array" ref="CL39">_xlfn.SWITCH($A$2,"average", AVERAGE(Instances!CL39:Instances!CL39),"median", MEDIAN(Instances!CL39:Instances!CL39),"min", MIN(Instances!CL39:Instances!CL39),"max", MAX(Instances!CL39:Instances!CL39),"diff", MAX(Instances!CL39:Instances!CL39)-MIN(Instances!CL39:Instances!CL39))</f>
        <v>0</v>
      </c>
      <c r="CM39" s="1" cm="1">
        <f t="array" ref="CM39">_xlfn.SWITCH($A$2,"average", AVERAGE(Instances!CM39:Instances!CM39),"median", MEDIAN(Instances!CM39:Instances!CM39),"min", MIN(Instances!CM39:Instances!CM39),"max", MAX(Instances!CM39:Instances!CM39),"diff", MAX(Instances!CM39:Instances!CM39)-MIN(Instances!CM39:Instances!CM39))</f>
        <v>0</v>
      </c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 cm="1">
        <f t="array" ref="DX39">_xlfn.SWITCH($A$2,"average", AVERAGE(Instances!DX39:Instances!DX39),"median", MEDIAN(Instances!DX39:Instances!DX39),"min", MIN(Instances!DX39:Instances!DX39),"max", MAX(Instances!DX39:Instances!DX39),"diff", MAX(Instances!DX39:Instances!DX39)-MIN(Instances!DX39:Instances!DX39))</f>
        <v>0</v>
      </c>
      <c r="DY39" s="1" cm="1">
        <f t="array" ref="DY39">_xlfn.SWITCH($A$2,"average", AVERAGE(Instances!DY39:Instances!DY39),"median", MEDIAN(Instances!DY39:Instances!DY39),"min", MIN(Instances!DY39:Instances!DY39),"max", MAX(Instances!DY39:Instances!DY39),"diff", MAX(Instances!DY39:Instances!DY39)-MIN(Instances!DY39:Instances!DY39))</f>
        <v>0</v>
      </c>
      <c r="DZ39" s="1" cm="1">
        <f t="array" ref="DZ39">_xlfn.SWITCH($A$2,"average", AVERAGE(Instances!DZ39:Instances!DZ39),"median", MEDIAN(Instances!DZ39:Instances!DZ39),"min", MIN(Instances!DZ39:Instances!DZ39),"max", MAX(Instances!DZ39:Instances!DZ39),"diff", MAX(Instances!DZ39:Instances!DZ39)-MIN(Instances!DZ39:Instances!DZ39))</f>
        <v>0</v>
      </c>
      <c r="EA39" s="1" cm="1">
        <f t="array" ref="EA39">_xlfn.SWITCH($A$2,"average", AVERAGE(Instances!EA39:Instances!EA39),"median", MEDIAN(Instances!EA39:Instances!EA39),"min", MIN(Instances!EA39:Instances!EA39),"max", MAX(Instances!EA39:Instances!EA39),"diff", MAX(Instances!EA39:Instances!EA39)-MIN(Instances!EA39:Instances!EA39))</f>
        <v>0</v>
      </c>
      <c r="EB39" s="1" cm="1">
        <f t="array" ref="EB39">_xlfn.SWITCH($A$2,"average", AVERAGE(Instances!EB39:Instances!EB39),"median", MEDIAN(Instances!EB39:Instances!EB39),"min", MIN(Instances!EB39:Instances!EB39),"max", MAX(Instances!EB39:Instances!EB39),"diff", MAX(Instances!EB39:Instances!EB39)-MIN(Instances!EB39:Instances!EB39))</f>
        <v>0</v>
      </c>
      <c r="EC39" s="1" cm="1">
        <f t="array" ref="EC39">_xlfn.SWITCH($A$2,"average", AVERAGE(Instances!EC39:Instances!EC39),"median", MEDIAN(Instances!EC39:Instances!EC39),"min", MIN(Instances!EC39:Instances!EC39),"max", MAX(Instances!EC39:Instances!EC39),"diff", MAX(Instances!EC39:Instances!EC39)-MIN(Instances!EC39:Instances!EC39))</f>
        <v>0</v>
      </c>
      <c r="ED39" s="1" cm="1">
        <f t="array" ref="ED39">_xlfn.SWITCH($A$2,"average", AVERAGE(Instances!ED39:Instances!ED39),"median", MEDIAN(Instances!ED39:Instances!ED39),"min", MIN(Instances!ED39:Instances!ED39),"max", MAX(Instances!ED39:Instances!ED39),"diff", MAX(Instances!ED39:Instances!ED39)-MIN(Instances!ED39:Instances!ED39))</f>
        <v>0</v>
      </c>
      <c r="EE39" s="1" cm="1">
        <f t="array" ref="EE39">_xlfn.SWITCH($A$2,"average", AVERAGE(Instances!EE39:Instances!EE39),"median", MEDIAN(Instances!EE39:Instances!EE39),"min", MIN(Instances!EE39:Instances!EE39),"max", MAX(Instances!EE39:Instances!EE39),"diff", MAX(Instances!EE39:Instances!EE39)-MIN(Instances!EE39:Instances!EE39))</f>
        <v>0</v>
      </c>
      <c r="EF39" s="1" cm="1">
        <f t="array" ref="EF39">_xlfn.SWITCH($A$2,"average", AVERAGE(Instances!EF39:Instances!EF39),"median", MEDIAN(Instances!EF39:Instances!EF39),"min", MIN(Instances!EF39:Instances!EF39),"max", MAX(Instances!EF39:Instances!EF39),"diff", MAX(Instances!EF39:Instances!EF39)-MIN(Instances!EF39:Instances!EF39))</f>
        <v>0</v>
      </c>
      <c r="EG39" s="1" cm="1">
        <f t="array" ref="EG39">_xlfn.SWITCH($A$2,"average", AVERAGE(Instances!EG39:Instances!EG39),"median", MEDIAN(Instances!EG39:Instances!EG39),"min", MIN(Instances!EG39:Instances!EG39),"max", MAX(Instances!EG39:Instances!EG39),"diff", MAX(Instances!EG39:Instances!EG39)-MIN(Instances!EG39:Instances!EG39))</f>
        <v>0</v>
      </c>
      <c r="EH39" s="1" cm="1">
        <f t="array" ref="EH39">_xlfn.SWITCH($A$2,"average", AVERAGE(Instances!EH39:Instances!EH39),"median", MEDIAN(Instances!EH39:Instances!EH39),"min", MIN(Instances!EH39:Instances!EH39),"max", MAX(Instances!EH39:Instances!EH39),"diff", MAX(Instances!EH39:Instances!EH39)-MIN(Instances!EH39:Instances!EH39))</f>
        <v>0</v>
      </c>
      <c r="EI39" s="1" cm="1">
        <f t="array" ref="EI39">_xlfn.SWITCH($A$2,"average", AVERAGE(Instances!EI39:Instances!EI39),"median", MEDIAN(Instances!EI39:Instances!EI39),"min", MIN(Instances!EI39:Instances!EI39),"max", MAX(Instances!EI39:Instances!EI39),"diff", MAX(Instances!EI39:Instances!EI39)-MIN(Instances!EI39:Instances!EI39))</f>
        <v>0</v>
      </c>
      <c r="EJ39" s="1" cm="1">
        <f t="array" ref="EJ39">_xlfn.SWITCH($A$2,"average", AVERAGE(Instances!EJ39:Instances!EJ39),"median", MEDIAN(Instances!EJ39:Instances!EJ39),"min", MIN(Instances!EJ39:Instances!EJ39),"max", MAX(Instances!EJ39:Instances!EJ39),"diff", MAX(Instances!EJ39:Instances!EJ39)-MIN(Instances!EJ39:Instances!EJ39))</f>
        <v>0</v>
      </c>
      <c r="EK39" s="1" cm="1">
        <f t="array" ref="EK39">_xlfn.SWITCH($A$2,"average", AVERAGE(Instances!EK39:Instances!EK39),"median", MEDIAN(Instances!EK39:Instances!EK39),"min", MIN(Instances!EK39:Instances!EK39),"max", MAX(Instances!EK39:Instances!EK39),"diff", MAX(Instances!EK39:Instances!EK39)-MIN(Instances!EK39:Instances!EK39))</f>
        <v>0</v>
      </c>
      <c r="EL39" s="1"/>
      <c r="EM39" s="1" cm="1">
        <f t="array" ref="EM39">_xlfn.SWITCH($A$2,"average", AVERAGE(Instances!EM39:Instances!EM39),"median", MEDIAN(Instances!EM39:Instances!EM39),"min", MIN(Instances!EM39:Instances!EM39),"max", MAX(Instances!EM39:Instances!EM39),"diff", MAX(Instances!EM39:Instances!EM39)-MIN(Instances!EM39:Instances!EM39))</f>
        <v>0</v>
      </c>
      <c r="EN39" s="1" cm="1">
        <f t="array" ref="EN39">_xlfn.SWITCH($A$2,"average", AVERAGE(Instances!EN39:Instances!EN39),"median", MEDIAN(Instances!EN39:Instances!EN39),"min", MIN(Instances!EN39:Instances!EN39),"max", MAX(Instances!EN39:Instances!EN39),"diff", MAX(Instances!EN39:Instances!EN39)-MIN(Instances!EN39:Instances!EN39))</f>
        <v>0</v>
      </c>
      <c r="EO39" s="1" cm="1">
        <f t="array" ref="EO39">_xlfn.SWITCH($A$2,"average", AVERAGE(Instances!EO39:Instances!EO39),"median", MEDIAN(Instances!EO39:Instances!EO39),"min", MIN(Instances!EO39:Instances!EO39),"max", MAX(Instances!EO39:Instances!EO39),"diff", MAX(Instances!EO39:Instances!EO39)-MIN(Instances!EO39:Instances!EO39))</f>
        <v>0</v>
      </c>
      <c r="EP39" s="1" cm="1">
        <f t="array" ref="EP39">_xlfn.SWITCH($A$2,"average", AVERAGE(Instances!EP39:Instances!EP39),"median", MEDIAN(Instances!EP39:Instances!EP39),"min", MIN(Instances!EP39:Instances!EP39),"max", MAX(Instances!EP39:Instances!EP39),"diff", MAX(Instances!EP39:Instances!EP39)-MIN(Instances!EP39:Instances!EP39))</f>
        <v>0</v>
      </c>
      <c r="EQ39" s="1" cm="1">
        <f t="array" ref="EQ39">_xlfn.SWITCH($A$2,"average", AVERAGE(Instances!EQ39:Instances!EQ39),"median", MEDIAN(Instances!EQ39:Instances!EQ39),"min", MIN(Instances!EQ39:Instances!EQ39),"max", MAX(Instances!EQ39:Instances!EQ39),"diff", MAX(Instances!EQ39:Instances!EQ39)-MIN(Instances!EQ39:Instances!EQ39))</f>
        <v>0</v>
      </c>
      <c r="ER39" s="1" cm="1">
        <f t="array" ref="ER39">_xlfn.SWITCH($A$2,"average", AVERAGE(Instances!ER39:Instances!ER39),"median", MEDIAN(Instances!ER39:Instances!ER39),"min", MIN(Instances!ER39:Instances!ER39),"max", MAX(Instances!ER39:Instances!ER39),"diff", MAX(Instances!ER39:Instances!ER39)-MIN(Instances!ER39:Instances!ER39))</f>
        <v>0</v>
      </c>
      <c r="ES39" s="1" cm="1">
        <f t="array" ref="ES39">_xlfn.SWITCH($A$2,"average", AVERAGE(Instances!ES39:Instances!ES39),"median", MEDIAN(Instances!ES39:Instances!ES39),"min", MIN(Instances!ES39:Instances!ES39),"max", MAX(Instances!ES39:Instances!ES39),"diff", MAX(Instances!ES39:Instances!ES39)-MIN(Instances!ES39:Instances!ES39))</f>
        <v>0</v>
      </c>
      <c r="ET39" s="1" cm="1">
        <f t="array" ref="ET39">_xlfn.SWITCH($A$2,"average", AVERAGE(Instances!ET39:Instances!ET39),"median", MEDIAN(Instances!ET39:Instances!ET39),"min", MIN(Instances!ET39:Instances!ET39),"max", MAX(Instances!ET39:Instances!ET39),"diff", MAX(Instances!ET39:Instances!ET39)-MIN(Instances!ET39:Instances!ET39))</f>
        <v>0</v>
      </c>
      <c r="EU39" s="1" cm="1">
        <f t="array" ref="EU39">_xlfn.SWITCH($A$2,"average", AVERAGE(Instances!EU39:Instances!EU39),"median", MEDIAN(Instances!EU39:Instances!EU39),"min", MIN(Instances!EU39:Instances!EU39),"max", MAX(Instances!EU39:Instances!EU39),"diff", MAX(Instances!EU39:Instances!EU39)-MIN(Instances!EU39:Instances!EU39))</f>
        <v>0</v>
      </c>
      <c r="EV39" s="1" cm="1">
        <f t="array" ref="EV39">_xlfn.SWITCH($A$2,"average", AVERAGE(Instances!EV39:Instances!EV39),"median", MEDIAN(Instances!EV39:Instances!EV39),"min", MIN(Instances!EV39:Instances!EV39),"max", MAX(Instances!EV39:Instances!EV39),"diff", MAX(Instances!EV39:Instances!EV39)-MIN(Instances!EV39:Instances!EV39))</f>
        <v>0</v>
      </c>
      <c r="EW39" s="1" cm="1">
        <f t="array" ref="EW39">_xlfn.SWITCH($A$2,"average", AVERAGE(Instances!EW39:Instances!EW39),"median", MEDIAN(Instances!EW39:Instances!EW39),"min", MIN(Instances!EW39:Instances!EW39),"max", MAX(Instances!EW39:Instances!EW39),"diff", MAX(Instances!EW39:Instances!EW39)-MIN(Instances!EW39:Instances!EW39))</f>
        <v>0</v>
      </c>
      <c r="EX39" s="1" cm="1">
        <f t="array" ref="EX39">_xlfn.SWITCH($A$2,"average", AVERAGE(Instances!EX39:Instances!EX39),"median", MEDIAN(Instances!EX39:Instances!EX39),"min", MIN(Instances!EX39:Instances!EX39),"max", MAX(Instances!EX39:Instances!EX39),"diff", MAX(Instances!EX39:Instances!EX39)-MIN(Instances!EX39:Instances!EX39))</f>
        <v>0</v>
      </c>
      <c r="EY39" s="1" cm="1">
        <f t="array" ref="EY39">_xlfn.SWITCH($A$2,"average", AVERAGE(Instances!EY39:Instances!EY39),"median", MEDIAN(Instances!EY39:Instances!EY39),"min", MIN(Instances!EY39:Instances!EY39),"max", MAX(Instances!EY39:Instances!EY39),"diff", MAX(Instances!EY39:Instances!EY39)-MIN(Instances!EY39:Instances!EY39))</f>
        <v>0</v>
      </c>
      <c r="EZ39" s="1" cm="1">
        <f t="array" ref="EZ39">_xlfn.SWITCH($A$2,"average", AVERAGE(Instances!EZ39:Instances!EZ39),"median", MEDIAN(Instances!EZ39:Instances!EZ39),"min", MIN(Instances!EZ39:Instances!EZ39),"max", MAX(Instances!EZ39:Instances!EZ39),"diff", MAX(Instances!EZ39:Instances!EZ39)-MIN(Instances!EZ39:Instances!EZ39))</f>
        <v>0</v>
      </c>
      <c r="FA39" s="1" cm="1">
        <f t="array" ref="FA39">_xlfn.SWITCH($A$2,"average", AVERAGE(Instances!FA39:Instances!FA39),"median", MEDIAN(Instances!FA39:Instances!FA39),"min", MIN(Instances!FA39:Instances!FA39),"max", MAX(Instances!FA39:Instances!FA39),"diff", MAX(Instances!FA39:Instances!FA39)-MIN(Instances!FA39:Instances!FA39))</f>
        <v>0</v>
      </c>
      <c r="FB39" s="1" cm="1">
        <f t="array" ref="FB39">_xlfn.SWITCH($A$2,"average", AVERAGE(Instances!FB39:Instances!FB39),"median", MEDIAN(Instances!FB39:Instances!FB39),"min", MIN(Instances!FB39:Instances!FB39),"max", MAX(Instances!FB39:Instances!FB39),"diff", MAX(Instances!FB39:Instances!FB39)-MIN(Instances!FB39:Instances!FB39))</f>
        <v>0</v>
      </c>
      <c r="FC39" s="1" cm="1">
        <f t="array" ref="FC39">_xlfn.SWITCH($A$2,"average", AVERAGE(Instances!FC39:Instances!FC39),"median", MEDIAN(Instances!FC39:Instances!FC39),"min", MIN(Instances!FC39:Instances!FC39),"max", MAX(Instances!FC39:Instances!FC39),"diff", MAX(Instances!FC39:Instances!FC39)-MIN(Instances!FC39:Instances!FC39))</f>
        <v>0</v>
      </c>
      <c r="FD39" s="1"/>
      <c r="FE39" s="1" cm="1">
        <f t="array" ref="FE39">_xlfn.SWITCH($A$2,"average", AVERAGE(Instances!FE39:Instances!FE39),"median", MEDIAN(Instances!FE39:Instances!FE39),"min", MIN(Instances!FE39:Instances!FE39),"max", MAX(Instances!FE39:Instances!FE39),"diff", MAX(Instances!FE39:Instances!FE39)-MIN(Instances!FE39:Instances!FE39))</f>
        <v>0</v>
      </c>
      <c r="FF39" s="1" cm="1">
        <f t="array" ref="FF39">_xlfn.SWITCH($A$2,"average", AVERAGE(Instances!FF39:Instances!FF39),"median", MEDIAN(Instances!FF39:Instances!FF39),"min", MIN(Instances!FF39:Instances!FF39),"max", MAX(Instances!FF39:Instances!FF39),"diff", MAX(Instances!FF39:Instances!FF39)-MIN(Instances!FF39:Instances!FF39))</f>
        <v>0</v>
      </c>
      <c r="FG39" s="1" cm="1">
        <f t="array" ref="FG39">_xlfn.SWITCH($A$2,"average", AVERAGE(Instances!FG39:Instances!FG39),"median", MEDIAN(Instances!FG39:Instances!FG39),"min", MIN(Instances!FG39:Instances!FG39),"max", MAX(Instances!FG39:Instances!FG39),"diff", MAX(Instances!FG39:Instances!FG39)-MIN(Instances!FG39:Instances!FG39))</f>
        <v>0</v>
      </c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 cm="1">
        <f t="array" ref="FZ39">_xlfn.SWITCH($A$2,"average", AVERAGE(Instances!FZ39:Instances!FZ39),"median", MEDIAN(Instances!FZ39:Instances!FZ39),"min", MIN(Instances!FZ39:Instances!FZ39),"max", MAX(Instances!FZ39:Instances!FZ39),"diff", MAX(Instances!FZ39:Instances!FZ39)-MIN(Instances!FZ39:Instances!FZ39))</f>
        <v>0</v>
      </c>
      <c r="GA39" s="1" cm="1">
        <f t="array" ref="GA39">_xlfn.SWITCH($A$2,"average", AVERAGE(Instances!GA39:Instances!GA39),"median", MEDIAN(Instances!GA39:Instances!GA39),"min", MIN(Instances!GA39:Instances!GA39),"max", MAX(Instances!GA39:Instances!GA39),"diff", MAX(Instances!GA39:Instances!GA39)-MIN(Instances!GA39:Instances!GA39))</f>
        <v>0</v>
      </c>
      <c r="GB39" s="1" cm="1">
        <f t="array" ref="GB39">_xlfn.SWITCH($A$2,"average", AVERAGE(Instances!GB39:Instances!GB39),"median", MEDIAN(Instances!GB39:Instances!GB39),"min", MIN(Instances!GB39:Instances!GB39),"max", MAX(Instances!GB39:Instances!GB39),"diff", MAX(Instances!GB39:Instances!GB39)-MIN(Instances!GB39:Instances!GB39))</f>
        <v>0</v>
      </c>
      <c r="GC39" s="1" cm="1">
        <f t="array" ref="GC39">_xlfn.SWITCH($A$2,"average", AVERAGE(Instances!GC39:Instances!GC39),"median", MEDIAN(Instances!GC39:Instances!GC39),"min", MIN(Instances!GC39:Instances!GC39),"max", MAX(Instances!GC39:Instances!GC39),"diff", MAX(Instances!GC39:Instances!GC39)-MIN(Instances!GC39:Instances!GC39))</f>
        <v>0</v>
      </c>
      <c r="GD39" s="1" cm="1">
        <f t="array" ref="GD39">_xlfn.SWITCH($A$2,"average", AVERAGE(Instances!GD39:Instances!GD39),"median", MEDIAN(Instances!GD39:Instances!GD39),"min", MIN(Instances!GD39:Instances!GD39),"max", MAX(Instances!GD39:Instances!GD39),"diff", MAX(Instances!GD39:Instances!GD39)-MIN(Instances!GD39:Instances!GD39))</f>
        <v>0</v>
      </c>
      <c r="GE39" s="1" cm="1">
        <f t="array" ref="GE39">_xlfn.SWITCH($A$2,"average", AVERAGE(Instances!GE39:Instances!GE39),"median", MEDIAN(Instances!GE39:Instances!GE39),"min", MIN(Instances!GE39:Instances!GE39),"max", MAX(Instances!GE39:Instances!GE39),"diff", MAX(Instances!GE39:Instances!GE39)-MIN(Instances!GE39:Instances!GE39))</f>
        <v>0</v>
      </c>
      <c r="GF39" s="1" cm="1">
        <f t="array" ref="GF39">_xlfn.SWITCH($A$2,"average", AVERAGE(Instances!GF39:Instances!GF39),"median", MEDIAN(Instances!GF39:Instances!GF39),"min", MIN(Instances!GF39:Instances!GF39),"max", MAX(Instances!GF39:Instances!GF39),"diff", MAX(Instances!GF39:Instances!GF39)-MIN(Instances!GF39:Instances!GF39))</f>
        <v>0</v>
      </c>
      <c r="GG39" s="1" cm="1">
        <f t="array" ref="GG39">_xlfn.SWITCH($A$2,"average", AVERAGE(Instances!GG39:Instances!GG39),"median", MEDIAN(Instances!GG39:Instances!GG39),"min", MIN(Instances!GG39:Instances!GG39),"max", MAX(Instances!GG39:Instances!GG39),"diff", MAX(Instances!GG39:Instances!GG39)-MIN(Instances!GG39:Instances!GG39))</f>
        <v>0</v>
      </c>
      <c r="GH39" s="1" cm="1">
        <f t="array" ref="GH39">_xlfn.SWITCH($A$2,"average", AVERAGE(Instances!GH39:Instances!GH39),"median", MEDIAN(Instances!GH39:Instances!GH39),"min", MIN(Instances!GH39:Instances!GH39),"max", MAX(Instances!GH39:Instances!GH39),"diff", MAX(Instances!GH39:Instances!GH39)-MIN(Instances!GH39:Instances!GH39))</f>
        <v>0</v>
      </c>
      <c r="GI39" s="1" cm="1">
        <f t="array" ref="GI39">_xlfn.SWITCH($A$2,"average", AVERAGE(Instances!GI39:Instances!GI39),"median", MEDIAN(Instances!GI39:Instances!GI39),"min", MIN(Instances!GI39:Instances!GI39),"max", MAX(Instances!GI39:Instances!GI39),"diff", MAX(Instances!GI39:Instances!GI39)-MIN(Instances!GI39:Instances!GI39))</f>
        <v>0</v>
      </c>
      <c r="GJ39" s="1" cm="1">
        <f t="array" ref="GJ39">_xlfn.SWITCH($A$2,"average", AVERAGE(Instances!GJ39:Instances!GJ39),"median", MEDIAN(Instances!GJ39:Instances!GJ39),"min", MIN(Instances!GJ39:Instances!GJ39),"max", MAX(Instances!GJ39:Instances!GJ39),"diff", MAX(Instances!GJ39:Instances!GJ39)-MIN(Instances!GJ39:Instances!GJ39))</f>
        <v>0</v>
      </c>
      <c r="GK39" s="1" cm="1">
        <f t="array" ref="GK39">_xlfn.SWITCH($A$2,"average", AVERAGE(Instances!GK39:Instances!GK39),"median", MEDIAN(Instances!GK39:Instances!GK39),"min", MIN(Instances!GK39:Instances!GK39),"max", MAX(Instances!GK39:Instances!GK39),"diff", MAX(Instances!GK39:Instances!GK39)-MIN(Instances!GK39:Instances!GK39))</f>
        <v>0</v>
      </c>
      <c r="GL39" s="1" cm="1">
        <f t="array" ref="GL39">_xlfn.SWITCH($A$2,"average", AVERAGE(Instances!GL39:Instances!GL39),"median", MEDIAN(Instances!GL39:Instances!GL39),"min", MIN(Instances!GL39:Instances!GL39),"max", MAX(Instances!GL39:Instances!GL39),"diff", MAX(Instances!GL39:Instances!GL39)-MIN(Instances!GL39:Instances!GL39))</f>
        <v>0</v>
      </c>
      <c r="GM39" s="1" cm="1">
        <f t="array" ref="GM39">_xlfn.SWITCH($A$2,"average", AVERAGE(Instances!GM39:Instances!GM39),"median", MEDIAN(Instances!GM39:Instances!GM39),"min", MIN(Instances!GM39:Instances!GM39),"max", MAX(Instances!GM39:Instances!GM39),"diff", MAX(Instances!GM39:Instances!GM39)-MIN(Instances!GM39:Instances!GM39))</f>
        <v>0</v>
      </c>
      <c r="GN39" s="1"/>
      <c r="GO39" s="1" cm="1">
        <f t="array" ref="GO39">_xlfn.SWITCH($A$2,"average", AVERAGE(Instances!GO39:Instances!GO39),"median", MEDIAN(Instances!GO39:Instances!GO39),"min", MIN(Instances!GO39:Instances!GO39),"max", MAX(Instances!GO39:Instances!GO39),"diff", MAX(Instances!GO39:Instances!GO39)-MIN(Instances!GO39:Instances!GO39))</f>
        <v>0</v>
      </c>
      <c r="GP39" s="1" cm="1">
        <f t="array" ref="GP39">_xlfn.SWITCH($A$2,"average", AVERAGE(Instances!GP39:Instances!GP39),"median", MEDIAN(Instances!GP39:Instances!GP39),"min", MIN(Instances!GP39:Instances!GP39),"max", MAX(Instances!GP39:Instances!GP39),"diff", MAX(Instances!GP39:Instances!GP39)-MIN(Instances!GP39:Instances!GP39))</f>
        <v>0</v>
      </c>
      <c r="GQ39" s="1" cm="1">
        <f t="array" ref="GQ39">_xlfn.SWITCH($A$2,"average", AVERAGE(Instances!GQ39:Instances!GQ39),"median", MEDIAN(Instances!GQ39:Instances!GQ39),"min", MIN(Instances!GQ39:Instances!GQ39),"max", MAX(Instances!GQ39:Instances!GQ39),"diff", MAX(Instances!GQ39:Instances!GQ39)-MIN(Instances!GQ39:Instances!GQ39))</f>
        <v>0</v>
      </c>
      <c r="GR39" s="1" cm="1">
        <f t="array" ref="GR39">_xlfn.SWITCH($A$2,"average", AVERAGE(Instances!GR39:Instances!GR39),"median", MEDIAN(Instances!GR39:Instances!GR39),"min", MIN(Instances!GR39:Instances!GR39),"max", MAX(Instances!GR39:Instances!GR39),"diff", MAX(Instances!GR39:Instances!GR39)-MIN(Instances!GR39:Instances!GR39))</f>
        <v>0</v>
      </c>
      <c r="GS39" s="1" cm="1">
        <f t="array" ref="GS39">_xlfn.SWITCH($A$2,"average", AVERAGE(Instances!GS39:Instances!GS39),"median", MEDIAN(Instances!GS39:Instances!GS39),"min", MIN(Instances!GS39:Instances!GS39),"max", MAX(Instances!GS39:Instances!GS39),"diff", MAX(Instances!GS39:Instances!GS39)-MIN(Instances!GS39:Instances!GS39))</f>
        <v>0</v>
      </c>
      <c r="GT39" s="1" cm="1">
        <f t="array" ref="GT39">_xlfn.SWITCH($A$2,"average", AVERAGE(Instances!GT39:Instances!GT39),"median", MEDIAN(Instances!GT39:Instances!GT39),"min", MIN(Instances!GT39:Instances!GT39),"max", MAX(Instances!GT39:Instances!GT39),"diff", MAX(Instances!GT39:Instances!GT39)-MIN(Instances!GT39:Instances!GT39))</f>
        <v>0</v>
      </c>
      <c r="GU39" s="1" cm="1">
        <f t="array" ref="GU39">_xlfn.SWITCH($A$2,"average", AVERAGE(Instances!GU39:Instances!GU39),"median", MEDIAN(Instances!GU39:Instances!GU39),"min", MIN(Instances!GU39:Instances!GU39),"max", MAX(Instances!GU39:Instances!GU39),"diff", MAX(Instances!GU39:Instances!GU39)-MIN(Instances!GU39:Instances!GU39))</f>
        <v>0</v>
      </c>
      <c r="GV39" s="1" cm="1">
        <f t="array" ref="GV39">_xlfn.SWITCH($A$2,"average", AVERAGE(Instances!GV39:Instances!GV39),"median", MEDIAN(Instances!GV39:Instances!GV39),"min", MIN(Instances!GV39:Instances!GV39),"max", MAX(Instances!GV39:Instances!GV39),"diff", MAX(Instances!GV39:Instances!GV39)-MIN(Instances!GV39:Instances!GV39))</f>
        <v>0</v>
      </c>
      <c r="GW39" s="1" cm="1">
        <f t="array" ref="GW39">_xlfn.SWITCH($A$2,"average", AVERAGE(Instances!GW39:Instances!GW39),"median", MEDIAN(Instances!GW39:Instances!GW39),"min", MIN(Instances!GW39:Instances!GW39),"max", MAX(Instances!GW39:Instances!GW39),"diff", MAX(Instances!GW39:Instances!GW39)-MIN(Instances!GW39:Instances!GW39))</f>
        <v>0</v>
      </c>
      <c r="GX39" s="1" cm="1">
        <f t="array" ref="GX39">_xlfn.SWITCH($A$2,"average", AVERAGE(Instances!GX39:Instances!GX39),"median", MEDIAN(Instances!GX39:Instances!GX39),"min", MIN(Instances!GX39:Instances!GX39),"max", MAX(Instances!GX39:Instances!GX39),"diff", MAX(Instances!GX39:Instances!GX39)-MIN(Instances!GX39:Instances!GX39))</f>
        <v>0</v>
      </c>
      <c r="GY39" s="1" cm="1">
        <f t="array" ref="GY39">_xlfn.SWITCH($A$2,"average", AVERAGE(Instances!GY39:Instances!GY39),"median", MEDIAN(Instances!GY39:Instances!GY39),"min", MIN(Instances!GY39:Instances!GY39),"max", MAX(Instances!GY39:Instances!GY39),"diff", MAX(Instances!GY39:Instances!GY39)-MIN(Instances!GY39:Instances!GY39))</f>
        <v>0</v>
      </c>
      <c r="GZ39" s="1" cm="1">
        <f t="array" ref="GZ39">_xlfn.SWITCH($A$2,"average", AVERAGE(Instances!GZ39:Instances!GZ39),"median", MEDIAN(Instances!GZ39:Instances!GZ39),"min", MIN(Instances!GZ39:Instances!GZ39),"max", MAX(Instances!GZ39:Instances!GZ39),"diff", MAX(Instances!GZ39:Instances!GZ39)-MIN(Instances!GZ39:Instances!GZ39))</f>
        <v>0</v>
      </c>
      <c r="HA39" s="1" cm="1">
        <f t="array" ref="HA39">_xlfn.SWITCH($A$2,"average", AVERAGE(Instances!HA39:Instances!HA39),"median", MEDIAN(Instances!HA39:Instances!HA39),"min", MIN(Instances!HA39:Instances!HA39),"max", MAX(Instances!HA39:Instances!HA39),"diff", MAX(Instances!HA39:Instances!HA39)-MIN(Instances!HA39:Instances!HA39))</f>
        <v>0</v>
      </c>
      <c r="HB39" s="1" cm="1">
        <f t="array" ref="HB39">_xlfn.SWITCH($A$2,"average", AVERAGE(Instances!HB39:Instances!HB39),"median", MEDIAN(Instances!HB39:Instances!HB39),"min", MIN(Instances!HB39:Instances!HB39),"max", MAX(Instances!HB39:Instances!HB39),"diff", MAX(Instances!HB39:Instances!HB39)-MIN(Instances!HB39:Instances!HB39))</f>
        <v>0</v>
      </c>
      <c r="HC39" s="1" cm="1">
        <f t="array" ref="HC39">_xlfn.SWITCH($A$2,"average", AVERAGE(Instances!HC39:Instances!HC39),"median", MEDIAN(Instances!HC39:Instances!HC39),"min", MIN(Instances!HC39:Instances!HC39),"max", MAX(Instances!HC39:Instances!HC39),"diff", MAX(Instances!HC39:Instances!HC39)-MIN(Instances!HC39:Instances!HC39))</f>
        <v>0</v>
      </c>
      <c r="HD39" s="1" cm="1">
        <f t="array" ref="HD39">_xlfn.SWITCH($A$2,"average", AVERAGE(Instances!HD39:Instances!HD39),"median", MEDIAN(Instances!HD39:Instances!HD39),"min", MIN(Instances!HD39:Instances!HD39),"max", MAX(Instances!HD39:Instances!HD39),"diff", MAX(Instances!HD39:Instances!HD39)-MIN(Instances!HD39:Instances!HD39))</f>
        <v>0</v>
      </c>
      <c r="HE39" s="1" cm="1">
        <f t="array" ref="HE39">_xlfn.SWITCH($A$2,"average", AVERAGE(Instances!HE39:Instances!HE39),"median", MEDIAN(Instances!HE39:Instances!HE39),"min", MIN(Instances!HE39:Instances!HE39),"max", MAX(Instances!HE39:Instances!HE39),"diff", MAX(Instances!HE39:Instances!HE39)-MIN(Instances!HE39:Instances!HE39))</f>
        <v>0</v>
      </c>
      <c r="HF39" s="1"/>
      <c r="HG39" s="1" cm="1">
        <f t="array" ref="HG39">_xlfn.SWITCH($A$2,"average", AVERAGE(Instances!HG39:Instances!HG39),"median", MEDIAN(Instances!HG39:Instances!HG39),"min", MIN(Instances!HG39:Instances!HG39),"max", MAX(Instances!HG39:Instances!HG39),"diff", MAX(Instances!HG39:Instances!HG39)-MIN(Instances!HG39:Instances!HG39))</f>
        <v>0</v>
      </c>
      <c r="HH39" s="1" cm="1">
        <f t="array" ref="HH39">_xlfn.SWITCH($A$2,"average", AVERAGE(Instances!HH39:Instances!HH39),"median", MEDIAN(Instances!HH39:Instances!HH39),"min", MIN(Instances!HH39:Instances!HH39),"max", MAX(Instances!HH39:Instances!HH39),"diff", MAX(Instances!HH39:Instances!HH39)-MIN(Instances!HH39:Instances!HH39))</f>
        <v>0</v>
      </c>
      <c r="HI39" s="1" cm="1">
        <f t="array" ref="HI39">_xlfn.SWITCH($A$2,"average", AVERAGE(Instances!HI39:Instances!HI39),"median", MEDIAN(Instances!HI39:Instances!HI39),"min", MIN(Instances!HI39:Instances!HI39),"max", MAX(Instances!HI39:Instances!HI39),"diff", MAX(Instances!HI39:Instances!HI39)-MIN(Instances!HI39:Instances!HI39))</f>
        <v>0</v>
      </c>
      <c r="HJ39" s="1" cm="1">
        <f t="array" ref="HJ39">_xlfn.SWITCH($A$2,"average", AVERAGE(Instances!HJ39:Instances!HJ39),"median", MEDIAN(Instances!HJ39:Instances!HJ39),"min", MIN(Instances!HJ39:Instances!HJ39),"max", MAX(Instances!HJ39:Instances!HJ39),"diff", MAX(Instances!HJ39:Instances!HJ39)-MIN(Instances!HJ39:Instances!HJ39))</f>
        <v>0</v>
      </c>
      <c r="HK39" s="1" cm="1">
        <f t="array" ref="HK39">_xlfn.SWITCH($A$2,"average", AVERAGE(Instances!HK39:Instances!HK39),"median", MEDIAN(Instances!HK39:Instances!HK39),"min", MIN(Instances!HK39:Instances!HK39),"max", MAX(Instances!HK39:Instances!HK39),"diff", MAX(Instances!HK39:Instances!HK39)-MIN(Instances!HK39:Instances!HK39))</f>
        <v>0</v>
      </c>
      <c r="HL39" s="1" cm="1">
        <f t="array" ref="HL39">_xlfn.SWITCH($A$2,"average", AVERAGE(Instances!HL39:Instances!HL39),"median", MEDIAN(Instances!HL39:Instances!HL39),"min", MIN(Instances!HL39:Instances!HL39),"max", MAX(Instances!HL39:Instances!HL39),"diff", MAX(Instances!HL39:Instances!HL39)-MIN(Instances!HL39:Instances!HL39))</f>
        <v>0</v>
      </c>
      <c r="HM39" s="1" cm="1">
        <f t="array" ref="HM39">_xlfn.SWITCH($A$2,"average", AVERAGE(Instances!HM39:Instances!HM39),"median", MEDIAN(Instances!HM39:Instances!HM39),"min", MIN(Instances!HM39:Instances!HM39),"max", MAX(Instances!HM39:Instances!HM39),"diff", MAX(Instances!HM39:Instances!HM39)-MIN(Instances!HM39:Instances!HM39))</f>
        <v>0</v>
      </c>
      <c r="HN39" s="1" cm="1">
        <f t="array" ref="HN39">_xlfn.SWITCH($A$2,"average", AVERAGE(Instances!HN39:Instances!HN39),"median", MEDIAN(Instances!HN39:Instances!HN39),"min", MIN(Instances!HN39:Instances!HN39),"max", MAX(Instances!HN39:Instances!HN39),"diff", MAX(Instances!HN39:Instances!HN39)-MIN(Instances!HN39:Instances!HN39))</f>
        <v>0</v>
      </c>
      <c r="HO39" s="1" cm="1">
        <f t="array" ref="HO39">_xlfn.SWITCH($A$2,"average", AVERAGE(Instances!HO39:Instances!HO39),"median", MEDIAN(Instances!HO39:Instances!HO39),"min", MIN(Instances!HO39:Instances!HO39),"max", MAX(Instances!HO39:Instances!HO39),"diff", MAX(Instances!HO39:Instances!HO39)-MIN(Instances!HO39:Instances!HO39))</f>
        <v>0</v>
      </c>
      <c r="HP39" s="1" cm="1">
        <f t="array" ref="HP39">_xlfn.SWITCH($A$2,"average", AVERAGE(Instances!HP39:Instances!HP39),"median", MEDIAN(Instances!HP39:Instances!HP39),"min", MIN(Instances!HP39:Instances!HP39),"max", MAX(Instances!HP39:Instances!HP39),"diff", MAX(Instances!HP39:Instances!HP39)-MIN(Instances!HP39:Instances!HP39))</f>
        <v>0</v>
      </c>
      <c r="HQ39" s="1" cm="1">
        <f t="array" ref="HQ39">_xlfn.SWITCH($A$2,"average", AVERAGE(Instances!HQ39:Instances!HQ39),"median", MEDIAN(Instances!HQ39:Instances!HQ39),"min", MIN(Instances!HQ39:Instances!HQ39),"max", MAX(Instances!HQ39:Instances!HQ39),"diff", MAX(Instances!HQ39:Instances!HQ39)-MIN(Instances!HQ39:Instances!HQ39))</f>
        <v>0</v>
      </c>
      <c r="HR39" s="1" cm="1">
        <f t="array" ref="HR39">_xlfn.SWITCH($A$2,"average", AVERAGE(Instances!HR39:Instances!HR39),"median", MEDIAN(Instances!HR39:Instances!HR39),"min", MIN(Instances!HR39:Instances!HR39),"max", MAX(Instances!HR39:Instances!HR39),"diff", MAX(Instances!HR39:Instances!HR39)-MIN(Instances!HR39:Instances!HR39))</f>
        <v>0</v>
      </c>
      <c r="HS39" s="1" cm="1">
        <f t="array" ref="HS39">_xlfn.SWITCH($A$2,"average", AVERAGE(Instances!HS39:Instances!HS39),"median", MEDIAN(Instances!HS39:Instances!HS39),"min", MIN(Instances!HS39:Instances!HS39),"max", MAX(Instances!HS39:Instances!HS39),"diff", MAX(Instances!HS39:Instances!HS39)-MIN(Instances!HS39:Instances!HS39))</f>
        <v>0</v>
      </c>
      <c r="HT39" s="1" cm="1">
        <f t="array" ref="HT39">_xlfn.SWITCH($A$2,"average", AVERAGE(Instances!HT39:Instances!HT39),"median", MEDIAN(Instances!HT39:Instances!HT39),"min", MIN(Instances!HT39:Instances!HT39),"max", MAX(Instances!HT39:Instances!HT39),"diff", MAX(Instances!HT39:Instances!HT39)-MIN(Instances!HT39:Instances!HT39))</f>
        <v>0</v>
      </c>
      <c r="HU39" s="1" cm="1">
        <f t="array" ref="HU39">_xlfn.SWITCH($A$2,"average", AVERAGE(Instances!HU39:Instances!HU39),"median", MEDIAN(Instances!HU39:Instances!HU39),"min", MIN(Instances!HU39:Instances!HU39),"max", MAX(Instances!HU39:Instances!HU39),"diff", MAX(Instances!HU39:Instances!HU39)-MIN(Instances!HU39:Instances!HU39))</f>
        <v>0</v>
      </c>
      <c r="HV39" s="1" cm="1">
        <f t="array" ref="HV39">_xlfn.SWITCH($A$2,"average", AVERAGE(Instances!HV39:Instances!HV39),"median", MEDIAN(Instances!HV39:Instances!HV39),"min", MIN(Instances!HV39:Instances!HV39),"max", MAX(Instances!HV39:Instances!HV39),"diff", MAX(Instances!HV39:Instances!HV39)-MIN(Instances!HV39:Instances!HV39))</f>
        <v>0</v>
      </c>
      <c r="HW39" s="1" cm="1">
        <f t="array" ref="HW39">_xlfn.SWITCH($A$2,"average", AVERAGE(Instances!HW39:Instances!HW39),"median", MEDIAN(Instances!HW39:Instances!HW39),"min", MIN(Instances!HW39:Instances!HW39),"max", MAX(Instances!HW39:Instances!HW39),"diff", MAX(Instances!HW39:Instances!HW39)-MIN(Instances!HW39:Instances!HW39))</f>
        <v>0</v>
      </c>
      <c r="HX39" s="1"/>
      <c r="HY39" s="1" cm="1">
        <f t="array" ref="HY39">_xlfn.SWITCH($A$2,"average", AVERAGE(Instances!HY39:Instances!HY39),"median", MEDIAN(Instances!HY39:Instances!HY39),"min", MIN(Instances!HY39:Instances!HY39),"max", MAX(Instances!HY39:Instances!HY39),"diff", MAX(Instances!HY39:Instances!HY39)-MIN(Instances!HY39:Instances!HY39))</f>
        <v>0</v>
      </c>
      <c r="HZ39" s="1" cm="1">
        <f t="array" ref="HZ39">_xlfn.SWITCH($A$2,"average", AVERAGE(Instances!HZ39:Instances!HZ39),"median", MEDIAN(Instances!HZ39:Instances!HZ39),"min", MIN(Instances!HZ39:Instances!HZ39),"max", MAX(Instances!HZ39:Instances!HZ39),"diff", MAX(Instances!HZ39:Instances!HZ39)-MIN(Instances!HZ39:Instances!HZ39))</f>
        <v>0</v>
      </c>
      <c r="IA39" s="1" cm="1">
        <f t="array" ref="IA39">_xlfn.SWITCH($A$2,"average", AVERAGE(Instances!IA39:Instances!IA39),"median", MEDIAN(Instances!IA39:Instances!IA39),"min", MIN(Instances!IA39:Instances!IA39),"max", MAX(Instances!IA39:Instances!IA39),"diff", MAX(Instances!IA39:Instances!IA39)-MIN(Instances!IA39:Instances!IA39))</f>
        <v>0</v>
      </c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 cm="1">
        <f t="array" ref="JL39">_xlfn.SWITCH($A$2,"average", AVERAGE(Instances!JL39:Instances!JL39),"median", MEDIAN(Instances!JL39:Instances!JL39),"min", MIN(Instances!JL39:Instances!JL39),"max", MAX(Instances!JL39:Instances!JL39),"diff", MAX(Instances!JL39:Instances!JL39)-MIN(Instances!JL39:Instances!JL39))</f>
        <v>0</v>
      </c>
      <c r="JM39" s="1" cm="1">
        <f t="array" ref="JM39">_xlfn.SWITCH($A$2,"average", AVERAGE(Instances!JM39:Instances!JM39),"median", MEDIAN(Instances!JM39:Instances!JM39),"min", MIN(Instances!JM39:Instances!JM39),"max", MAX(Instances!JM39:Instances!JM39),"diff", MAX(Instances!JM39:Instances!JM39)-MIN(Instances!JM39:Instances!JM39))</f>
        <v>0</v>
      </c>
      <c r="JN39" s="1" cm="1">
        <f t="array" ref="JN39">_xlfn.SWITCH($A$2,"average", AVERAGE(Instances!JN39:Instances!JN39),"median", MEDIAN(Instances!JN39:Instances!JN39),"min", MIN(Instances!JN39:Instances!JN39),"max", MAX(Instances!JN39:Instances!JN39),"diff", MAX(Instances!JN39:Instances!JN39)-MIN(Instances!JN39:Instances!JN39))</f>
        <v>0</v>
      </c>
      <c r="JO39" s="1" cm="1">
        <f t="array" ref="JO39">_xlfn.SWITCH($A$2,"average", AVERAGE(Instances!JO39:Instances!JO39),"median", MEDIAN(Instances!JO39:Instances!JO39),"min", MIN(Instances!JO39:Instances!JO39),"max", MAX(Instances!JO39:Instances!JO39),"diff", MAX(Instances!JO39:Instances!JO39)-MIN(Instances!JO39:Instances!JO39))</f>
        <v>0</v>
      </c>
      <c r="JP39" s="1" cm="1">
        <f t="array" ref="JP39">_xlfn.SWITCH($A$2,"average", AVERAGE(Instances!JP39:Instances!JP39),"median", MEDIAN(Instances!JP39:Instances!JP39),"min", MIN(Instances!JP39:Instances!JP39),"max", MAX(Instances!JP39:Instances!JP39),"diff", MAX(Instances!JP39:Instances!JP39)-MIN(Instances!JP39:Instances!JP39))</f>
        <v>0</v>
      </c>
      <c r="JQ39" s="1" cm="1">
        <f t="array" ref="JQ39">_xlfn.SWITCH($A$2,"average", AVERAGE(Instances!JQ39:Instances!JQ39),"median", MEDIAN(Instances!JQ39:Instances!JQ39),"min", MIN(Instances!JQ39:Instances!JQ39),"max", MAX(Instances!JQ39:Instances!JQ39),"diff", MAX(Instances!JQ39:Instances!JQ39)-MIN(Instances!JQ39:Instances!JQ39))</f>
        <v>0</v>
      </c>
      <c r="JR39" s="1" cm="1">
        <f t="array" ref="JR39">_xlfn.SWITCH($A$2,"average", AVERAGE(Instances!JR39:Instances!JR39),"median", MEDIAN(Instances!JR39:Instances!JR39),"min", MIN(Instances!JR39:Instances!JR39),"max", MAX(Instances!JR39:Instances!JR39),"diff", MAX(Instances!JR39:Instances!JR39)-MIN(Instances!JR39:Instances!JR39))</f>
        <v>0</v>
      </c>
      <c r="JS39" s="1" cm="1">
        <f t="array" ref="JS39">_xlfn.SWITCH($A$2,"average", AVERAGE(Instances!JS39:Instances!JS39),"median", MEDIAN(Instances!JS39:Instances!JS39),"min", MIN(Instances!JS39:Instances!JS39),"max", MAX(Instances!JS39:Instances!JS39),"diff", MAX(Instances!JS39:Instances!JS39)-MIN(Instances!JS39:Instances!JS39))</f>
        <v>0</v>
      </c>
      <c r="JT39" s="1" cm="1">
        <f t="array" ref="JT39">_xlfn.SWITCH($A$2,"average", AVERAGE(Instances!JT39:Instances!JT39),"median", MEDIAN(Instances!JT39:Instances!JT39),"min", MIN(Instances!JT39:Instances!JT39),"max", MAX(Instances!JT39:Instances!JT39),"diff", MAX(Instances!JT39:Instances!JT39)-MIN(Instances!JT39:Instances!JT39))</f>
        <v>0</v>
      </c>
      <c r="JU39" s="1" cm="1">
        <f t="array" ref="JU39">_xlfn.SWITCH($A$2,"average", AVERAGE(Instances!JU39:Instances!JU39),"median", MEDIAN(Instances!JU39:Instances!JU39),"min", MIN(Instances!JU39:Instances!JU39),"max", MAX(Instances!JU39:Instances!JU39),"diff", MAX(Instances!JU39:Instances!JU39)-MIN(Instances!JU39:Instances!JU39))</f>
        <v>0</v>
      </c>
      <c r="JV39" s="1" cm="1">
        <f t="array" ref="JV39">_xlfn.SWITCH($A$2,"average", AVERAGE(Instances!JV39:Instances!JV39),"median", MEDIAN(Instances!JV39:Instances!JV39),"min", MIN(Instances!JV39:Instances!JV39),"max", MAX(Instances!JV39:Instances!JV39),"diff", MAX(Instances!JV39:Instances!JV39)-MIN(Instances!JV39:Instances!JV39))</f>
        <v>0</v>
      </c>
      <c r="JW39" s="1" cm="1">
        <f t="array" ref="JW39">_xlfn.SWITCH($A$2,"average", AVERAGE(Instances!JW39:Instances!JW39),"median", MEDIAN(Instances!JW39:Instances!JW39),"min", MIN(Instances!JW39:Instances!JW39),"max", MAX(Instances!JW39:Instances!JW39),"diff", MAX(Instances!JW39:Instances!JW39)-MIN(Instances!JW39:Instances!JW39))</f>
        <v>0</v>
      </c>
      <c r="JX39" s="1" cm="1">
        <f t="array" ref="JX39">_xlfn.SWITCH($A$2,"average", AVERAGE(Instances!JX39:Instances!JX39),"median", MEDIAN(Instances!JX39:Instances!JX39),"min", MIN(Instances!JX39:Instances!JX39),"max", MAX(Instances!JX39:Instances!JX39),"diff", MAX(Instances!JX39:Instances!JX39)-MIN(Instances!JX39:Instances!JX39))</f>
        <v>0</v>
      </c>
      <c r="JY39" s="1" cm="1">
        <f t="array" ref="JY39">_xlfn.SWITCH($A$2,"average", AVERAGE(Instances!JY39:Instances!JY39),"median", MEDIAN(Instances!JY39:Instances!JY39),"min", MIN(Instances!JY39:Instances!JY39),"max", MAX(Instances!JY39:Instances!JY39),"diff", MAX(Instances!JY39:Instances!JY39)-MIN(Instances!JY39:Instances!JY39))</f>
        <v>0</v>
      </c>
      <c r="JZ39" s="1"/>
      <c r="KA39" s="1" cm="1">
        <f t="array" ref="KA39">_xlfn.SWITCH($A$2,"average", AVERAGE(Instances!KA39:Instances!KA39),"median", MEDIAN(Instances!KA39:Instances!KA39),"min", MIN(Instances!KA39:Instances!KA39),"max", MAX(Instances!KA39:Instances!KA39),"diff", MAX(Instances!KA39:Instances!KA39)-MIN(Instances!KA39:Instances!KA39))</f>
        <v>0</v>
      </c>
      <c r="KB39" s="1" cm="1">
        <f t="array" ref="KB39">_xlfn.SWITCH($A$2,"average", AVERAGE(Instances!KB39:Instances!KB39),"median", MEDIAN(Instances!KB39:Instances!KB39),"min", MIN(Instances!KB39:Instances!KB39),"max", MAX(Instances!KB39:Instances!KB39),"diff", MAX(Instances!KB39:Instances!KB39)-MIN(Instances!KB39:Instances!KB39))</f>
        <v>0</v>
      </c>
      <c r="KC39" s="1" cm="1">
        <f t="array" ref="KC39">_xlfn.SWITCH($A$2,"average", AVERAGE(Instances!KC39:Instances!KC39),"median", MEDIAN(Instances!KC39:Instances!KC39),"min", MIN(Instances!KC39:Instances!KC39),"max", MAX(Instances!KC39:Instances!KC39),"diff", MAX(Instances!KC39:Instances!KC39)-MIN(Instances!KC39:Instances!KC39))</f>
        <v>0</v>
      </c>
      <c r="KD39" s="1">
        <f>MIN($B39,$T39,$AL39,$BD39,$BV39,$CN39,$DF39,$DX39,$EP39,$FH39,$FZ39,$GR39,$HJ39,$IB39,$IT39,$JL39)</f>
        <v>0</v>
      </c>
      <c r="KE39" s="1">
        <f>MIN($C39,$U39,$AM39,$BE39,$BW39,$CO39,$DG39,$DY39,$EQ39,$FI39,$GA39,$GS39,$HK39,$IC39,$IU39,$JM39)</f>
        <v>0</v>
      </c>
      <c r="KF39" s="1">
        <f>MIN($D39,$V39,$AN39,$BF39,$BX39,$CP39,$DH39,$DZ39,$ER39,$FJ39,$GB39,$GT39,$HL39,$ID39,$IV39,$JN39)</f>
        <v>0</v>
      </c>
      <c r="KG39" s="1">
        <f>MIN($E39,$W39,$AO39,$BG39,$BY39,$CQ39,$DI39,$EA39,$ES39,$FK39,$GC39,$GU39,$HM39,$IE39,$IW39,$JO39)</f>
        <v>0</v>
      </c>
      <c r="KH39" s="1">
        <f>MIN($F39,$X39,$AP39,$BH39,$BZ39,$CR39,$DJ39,$EB39,$ET39,$FL39,$GD39,$GV39,$HN39,$IF39,$IX39,$JP39)</f>
        <v>0</v>
      </c>
      <c r="KI39" s="1">
        <f>MIN($G39,$Y39,$AQ39,$BI39,$CA39,$CS39,$DK39,$EC39,$EU39,$FM39,$GE39,$GW39,$HO39,$IG39,$IY39,$JQ39)</f>
        <v>0</v>
      </c>
      <c r="KJ39" s="1">
        <f>MIN($H39,$Z39,$AR39,$BJ39,$CB39,$CT39,$DL39,$ED39,$EV39,$FN39,$GF39,$GX39,$HP39,$IH39,$IZ39,$JR39)</f>
        <v>0</v>
      </c>
      <c r="KK39" s="1">
        <f>MIN($I39,$AA39,$AS39,$BK39,$CC39,$CU39,$DM39,$EE39,$EW39,$FO39,$GG39,$GY39,$HQ39,$II39,$JA39,$JS39)</f>
        <v>0</v>
      </c>
      <c r="KL39" s="1">
        <f>MIN($J39,$AB39,$AT39,$BL39,$CD39,$CV39,$DN39,$EF39,$EX39,$FP39,$GH39,$GZ39,$HR39,$IJ39,$JB39,$JT39)</f>
        <v>0</v>
      </c>
      <c r="KM39" s="1">
        <f>MIN($K39,$AC39,$AU39,$BM39,$CE39,$CW39,$DO39,$EG39,$EY39,$FQ39,$GI39,$HA39,$HS39,$IK39,$JC39,$JU39)</f>
        <v>0</v>
      </c>
      <c r="KN39" s="1">
        <f>MIN($L39,$AD39,$AV39,$BN39,$CF39,$CX39,$DP39,$EH39,$EZ39,$FR39,$GJ39,$HB39,$HT39,$IL39,$JD39,$JV39)</f>
        <v>0</v>
      </c>
      <c r="KO39" s="1">
        <f>MIN($M39,$AE39,$AW39,$BO39,$CG39,$CY39,$DQ39,$EI39,$FA39,$FS39,$GK39,$HC39,$HU39,$IM39,$JE39,$JW39)</f>
        <v>0</v>
      </c>
      <c r="KP39" s="1">
        <f>MIN($N39,$AF39,$AX39,$BP39,$CH39,$CZ39,$DR39,$EJ39,$FB39,$FT39,$GL39,$HD39,$HV39,$IN39,$JF39,$JX39)</f>
        <v>0</v>
      </c>
      <c r="KQ39" s="1">
        <f>MIN($O39,$AG39,$AY39,$BQ39,$CI39,$DA39,$DS39,$EK39,$FC39,$FU39,$GM39,$HE39,$HW39,$IO39,$JG39,$JY39)</f>
        <v>0</v>
      </c>
      <c r="KR39" s="1">
        <f>MIN($Q39,$AI39,$BA39,$BS39,$CK39,$DC39,$DU39,$EM39,$FE39,$FW39,$GO39,$HG39,$HY39,$IQ39,$JI39,$KA39)</f>
        <v>0</v>
      </c>
      <c r="KS39" s="1">
        <f>MIN($R39,$AJ39,$BB39,$BT39,$CL39,$DD39,$DV39,$EN39,$FF39,$FX39,$GP39,$HH39,$HZ39,$IR39,$JJ39,$KB39)</f>
        <v>0</v>
      </c>
      <c r="KT39" s="1">
        <f>MIN($S39,$AK39,$BC39,$BU39,$CM39,$DE39,$DW39,$EO39,$FG39,$FY39,$GQ39,$HI39,$IA39,$IS39,$JK39,$KC39)</f>
        <v>0</v>
      </c>
      <c r="KU39" s="1">
        <f>MEDIAN($B39,$T39,$AL39,$BD39,$BV39,$CN39,$DF39,$DX39,$EP39,$FH39,$FZ39,$GR39,$HJ39,$IB39,$IT39,$JL39)</f>
        <v>0</v>
      </c>
      <c r="KV39" s="1">
        <f>MEDIAN($C39,$U39,$AM39,$BE39,$BW39,$CO39,$DG39,$DY39,$EQ39,$FI39,$GA39,$GS39,$HK39,$IC39,$IU39,$JM39)</f>
        <v>0</v>
      </c>
      <c r="KW39" s="1">
        <f>MEDIAN($D39,$V39,$AN39,$BF39,$BX39,$CP39,$DH39,$DZ39,$ER39,$FJ39,$GB39,$GT39,$HL39,$ID39,$IV39,$JN39)</f>
        <v>0</v>
      </c>
      <c r="KX39" s="1">
        <f>MEDIAN($E39,$W39,$AO39,$BG39,$BY39,$CQ39,$DI39,$EA39,$ES39,$FK39,$GC39,$GU39,$HM39,$IE39,$IW39,$JO39)</f>
        <v>0</v>
      </c>
      <c r="KY39" s="1">
        <f>MEDIAN($F39,$X39,$AP39,$BH39,$BZ39,$CR39,$DJ39,$EB39,$ET39,$FL39,$GD39,$GV39,$HN39,$IF39,$IX39,$JP39)</f>
        <v>0</v>
      </c>
      <c r="KZ39" s="1">
        <f>MEDIAN($G39,$Y39,$AQ39,$BI39,$CA39,$CS39,$DK39,$EC39,$EU39,$FM39,$GE39,$GW39,$HO39,$IG39,$IY39,$JQ39)</f>
        <v>0</v>
      </c>
      <c r="LA39" s="1">
        <f>MEDIAN($H39,$Z39,$AR39,$BJ39,$CB39,$CT39,$DL39,$ED39,$EV39,$FN39,$GF39,$GX39,$HP39,$IH39,$IZ39,$JR39)</f>
        <v>0</v>
      </c>
      <c r="LB39" s="1">
        <f>MEDIAN($I39,$AA39,$AS39,$BK39,$CC39,$CU39,$DM39,$EE39,$EW39,$FO39,$GG39,$GY39,$HQ39,$II39,$JA39,$JS39)</f>
        <v>0</v>
      </c>
      <c r="LC39" s="1">
        <f>MEDIAN($J39,$AB39,$AT39,$BL39,$CD39,$CV39,$DN39,$EF39,$EX39,$FP39,$GH39,$GZ39,$HR39,$IJ39,$JB39,$JT39)</f>
        <v>0</v>
      </c>
      <c r="LD39" s="1">
        <f>MEDIAN($K39,$AC39,$AU39,$BM39,$CE39,$CW39,$DO39,$EG39,$EY39,$FQ39,$GI39,$HA39,$HS39,$IK39,$JC39,$JU39)</f>
        <v>0</v>
      </c>
      <c r="LE39" s="1">
        <f>MEDIAN($L39,$AD39,$AV39,$BN39,$CF39,$CX39,$DP39,$EH39,$EZ39,$FR39,$GJ39,$HB39,$HT39,$IL39,$JD39,$JV39)</f>
        <v>0</v>
      </c>
      <c r="LF39" s="1">
        <f>MEDIAN($M39,$AE39,$AW39,$BO39,$CG39,$CY39,$DQ39,$EI39,$FA39,$FS39,$GK39,$HC39,$HU39,$IM39,$JE39,$JW39)</f>
        <v>0</v>
      </c>
      <c r="LG39" s="1">
        <f>MEDIAN($N39,$AF39,$AX39,$BP39,$CH39,$CZ39,$DR39,$EJ39,$FB39,$FT39,$GL39,$HD39,$HV39,$IN39,$JF39,$JX39)</f>
        <v>0</v>
      </c>
      <c r="LH39" s="1">
        <f>MEDIAN($O39,$AG39,$AY39,$BQ39,$CI39,$DA39,$DS39,$EK39,$FC39,$FU39,$GM39,$HE39,$HW39,$IO39,$JG39,$JY39)</f>
        <v>0</v>
      </c>
      <c r="LI39" s="1">
        <f>MEDIAN($Q39,$AI39,$BA39,$BS39,$CK39,$DC39,$DU39,$EM39,$FE39,$FW39,$GO39,$HG39,$HY39,$IQ39,$JI39,$KA39)</f>
        <v>0</v>
      </c>
      <c r="LJ39" s="1">
        <f>MEDIAN($R39,$AJ39,$BB39,$BT39,$CL39,$DD39,$DV39,$EN39,$FF39,$FX39,$GP39,$HH39,$HZ39,$IR39,$JJ39,$KB39)</f>
        <v>0</v>
      </c>
      <c r="LK39" s="1">
        <f>MEDIAN($S39,$AK39,$BC39,$BU39,$CM39,$DE39,$DW39,$EO39,$FG39,$FY39,$GQ39,$HI39,$IA39,$IS39,$JK39,$KC39)</f>
        <v>0</v>
      </c>
      <c r="LL39" s="1">
        <f>MAX($B39,$T39,$AL39,$BD39,$BV39,$CN39,$DF39,$DX39,$EP39,$FH39,$FZ39,$GR39,$HJ39,$IB39,$IT39,$JL39)</f>
        <v>0</v>
      </c>
      <c r="LM39" s="1">
        <f>MAX($C39,$U39,$AM39,$BE39,$BW39,$CO39,$DG39,$DY39,$EQ39,$FI39,$GA39,$GS39,$HK39,$IC39,$IU39,$JM39)</f>
        <v>0</v>
      </c>
      <c r="LN39" s="1">
        <f>MAX($D39,$V39,$AN39,$BF39,$BX39,$CP39,$DH39,$DZ39,$ER39,$FJ39,$GB39,$GT39,$HL39,$ID39,$IV39,$JN39)</f>
        <v>0</v>
      </c>
      <c r="LO39" s="1">
        <f>MAX($E39,$W39,$AO39,$BG39,$BY39,$CQ39,$DI39,$EA39,$ES39,$FK39,$GC39,$GU39,$HM39,$IE39,$IW39,$JO39)</f>
        <v>0</v>
      </c>
      <c r="LP39" s="1">
        <f>MAX($F39,$X39,$AP39,$BH39,$BZ39,$CR39,$DJ39,$EB39,$ET39,$FL39,$GD39,$GV39,$HN39,$IF39,$IX39,$JP39)</f>
        <v>0</v>
      </c>
      <c r="LQ39" s="1">
        <f>MAX($G39,$Y39,$AQ39,$BI39,$CA39,$CS39,$DK39,$EC39,$EU39,$FM39,$GE39,$GW39,$HO39,$IG39,$IY39,$JQ39)</f>
        <v>0</v>
      </c>
      <c r="LR39" s="1">
        <f>MAX($H39,$Z39,$AR39,$BJ39,$CB39,$CT39,$DL39,$ED39,$EV39,$FN39,$GF39,$GX39,$HP39,$IH39,$IZ39,$JR39)</f>
        <v>0</v>
      </c>
      <c r="LS39" s="1">
        <f>MAX($I39,$AA39,$AS39,$BK39,$CC39,$CU39,$DM39,$EE39,$EW39,$FO39,$GG39,$GY39,$HQ39,$II39,$JA39,$JS39)</f>
        <v>0</v>
      </c>
      <c r="LT39" s="1">
        <f>MAX($J39,$AB39,$AT39,$BL39,$CD39,$CV39,$DN39,$EF39,$EX39,$FP39,$GH39,$GZ39,$HR39,$IJ39,$JB39,$JT39)</f>
        <v>0</v>
      </c>
      <c r="LU39" s="1">
        <f>MAX($K39,$AC39,$AU39,$BM39,$CE39,$CW39,$DO39,$EG39,$EY39,$FQ39,$GI39,$HA39,$HS39,$IK39,$JC39,$JU39)</f>
        <v>0</v>
      </c>
      <c r="LV39" s="1">
        <f>MAX($L39,$AD39,$AV39,$BN39,$CF39,$CX39,$DP39,$EH39,$EZ39,$FR39,$GJ39,$HB39,$HT39,$IL39,$JD39,$JV39)</f>
        <v>0</v>
      </c>
      <c r="LW39" s="1">
        <f>MAX($M39,$AE39,$AW39,$BO39,$CG39,$CY39,$DQ39,$EI39,$FA39,$FS39,$GK39,$HC39,$HU39,$IM39,$JE39,$JW39)</f>
        <v>0</v>
      </c>
      <c r="LX39" s="1">
        <f>MAX($N39,$AF39,$AX39,$BP39,$CH39,$CZ39,$DR39,$EJ39,$FB39,$FT39,$GL39,$HD39,$HV39,$IN39,$JF39,$JX39)</f>
        <v>0</v>
      </c>
      <c r="LY39" s="1">
        <f>MAX($O39,$AG39,$AY39,$BQ39,$CI39,$DA39,$DS39,$EK39,$FC39,$FU39,$GM39,$HE39,$HW39,$IO39,$JG39,$JY39)</f>
        <v>0</v>
      </c>
      <c r="LZ39" s="1">
        <f>MAX($Q39,$AI39,$BA39,$BS39,$CK39,$DC39,$DU39,$EM39,$FE39,$FW39,$GO39,$HG39,$HY39,$IQ39,$JI39,$KA39)</f>
        <v>0</v>
      </c>
      <c r="MA39" s="1">
        <f>MAX($R39,$AJ39,$BB39,$BT39,$CL39,$DD39,$DV39,$EN39,$FF39,$FX39,$GP39,$HH39,$HZ39,$IR39,$JJ39,$KB39)</f>
        <v>0</v>
      </c>
      <c r="MB39" s="1">
        <f>MAX($S39,$AK39,$BC39,$BU39,$CM39,$DE39,$DW39,$EO39,$FG39,$FY39,$GQ39,$HI39,$IA39,$IS39,$JK39,$KC39)</f>
        <v>0</v>
      </c>
    </row>
    <row r="40" spans="1:340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 cm="1">
        <f t="array" ref="L40">_xlfn.SWITCH($A$2,"average", AVERAGE(Instances!L40:Instances!L40),"median", MEDIAN(Instances!L40:Instances!L40),"min", MIN(Instances!L40:Instances!L40),"max", MAX(Instances!L40:Instances!L40),"diff", MAX(Instances!L40:Instances!L40)-MIN(Instances!L40:Instances!L40))</f>
        <v>0</v>
      </c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 cm="1">
        <f t="array" ref="O40">_xlfn.SWITCH($A$2,"average", AVERAGE(Instances!O40:Instances!O40),"median", MEDIAN(Instances!O40:Instances!O40),"min", MIN(Instances!O40:Instances!O40),"max", MAX(Instances!O40:Instances!O40),"diff", MAX(Instances!O40:Instances!O40)-MIN(Instances!O40:Instances!O40))</f>
        <v>0</v>
      </c>
      <c r="P40" s="1"/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 cm="1">
        <f t="array" ref="S40">_xlfn.SWITCH($A$2,"average", AVERAGE(Instances!S40:Instances!S40),"median", MEDIAN(Instances!S40:Instances!S40),"min", MIN(Instances!S40:Instances!S40),"max", MAX(Instances!S40:Instances!S40),"diff", MAX(Instances!S40:Instances!S40)-MIN(Instances!S40:Instances!S40))</f>
        <v>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 cm="1">
        <f t="array" ref="AL40">_xlfn.SWITCH($A$2,"average", AVERAGE(Instances!AL40:Instances!AL40),"median", MEDIAN(Instances!AL40:Instances!AL40),"min", MIN(Instances!AL40:Instances!AL40),"max", MAX(Instances!AL40:Instances!AL40),"diff", MAX(Instances!AL40:Instances!AL40)-MIN(Instances!AL40:Instances!AL40))</f>
        <v>0</v>
      </c>
      <c r="AM40" s="1" cm="1">
        <f t="array" ref="AM40">_xlfn.SWITCH($A$2,"average", AVERAGE(Instances!AM40:Instances!AM40),"median", MEDIAN(Instances!AM40:Instances!AM40),"min", MIN(Instances!AM40:Instances!AM40),"max", MAX(Instances!AM40:Instances!AM40),"diff", MAX(Instances!AM40:Instances!AM40)-MIN(Instances!AM40:Instances!AM40))</f>
        <v>0</v>
      </c>
      <c r="AN40" s="1" cm="1">
        <f t="array" ref="AN40">_xlfn.SWITCH($A$2,"average", AVERAGE(Instances!AN40:Instances!AN40),"median", MEDIAN(Instances!AN40:Instances!AN40),"min", MIN(Instances!AN40:Instances!AN40),"max", MAX(Instances!AN40:Instances!AN40),"diff", MAX(Instances!AN40:Instances!AN40)-MIN(Instances!AN40:Instances!AN40))</f>
        <v>0</v>
      </c>
      <c r="AO40" s="1" cm="1">
        <f t="array" ref="AO40">_xlfn.SWITCH($A$2,"average", AVERAGE(Instances!AO40:Instances!AO40),"median", MEDIAN(Instances!AO40:Instances!AO40),"min", MIN(Instances!AO40:Instances!AO40),"max", MAX(Instances!AO40:Instances!AO40),"diff", MAX(Instances!AO40:Instances!AO40)-MIN(Instances!AO40:Instances!AO40))</f>
        <v>0</v>
      </c>
      <c r="AP40" s="1" cm="1">
        <f t="array" ref="AP40">_xlfn.SWITCH($A$2,"average", AVERAGE(Instances!AP40:Instances!AP40),"median", MEDIAN(Instances!AP40:Instances!AP40),"min", MIN(Instances!AP40:Instances!AP40),"max", MAX(Instances!AP40:Instances!AP40),"diff", MAX(Instances!AP40:Instances!AP40)-MIN(Instances!AP40:Instances!AP40))</f>
        <v>0</v>
      </c>
      <c r="AQ40" s="1" cm="1">
        <f t="array" ref="AQ40">_xlfn.SWITCH($A$2,"average", AVERAGE(Instances!AQ40:Instances!AQ40),"median", MEDIAN(Instances!AQ40:Instances!AQ40),"min", MIN(Instances!AQ40:Instances!AQ40),"max", MAX(Instances!AQ40:Instances!AQ40),"diff", MAX(Instances!AQ40:Instances!AQ40)-MIN(Instances!AQ40:Instances!AQ40))</f>
        <v>0</v>
      </c>
      <c r="AR40" s="1" cm="1">
        <f t="array" ref="AR40">_xlfn.SWITCH($A$2,"average", AVERAGE(Instances!AR40:Instances!AR40),"median", MEDIAN(Instances!AR40:Instances!AR40),"min", MIN(Instances!AR40:Instances!AR40),"max", MAX(Instances!AR40:Instances!AR40),"diff", MAX(Instances!AR40:Instances!AR40)-MIN(Instances!AR40:Instances!AR40))</f>
        <v>0</v>
      </c>
      <c r="AS40" s="1" cm="1">
        <f t="array" ref="AS40">_xlfn.SWITCH($A$2,"average", AVERAGE(Instances!AS40:Instances!AS40),"median", MEDIAN(Instances!AS40:Instances!AS40),"min", MIN(Instances!AS40:Instances!AS40),"max", MAX(Instances!AS40:Instances!AS40),"diff", MAX(Instances!AS40:Instances!AS40)-MIN(Instances!AS40:Instances!AS40))</f>
        <v>0</v>
      </c>
      <c r="AT40" s="1" cm="1">
        <f t="array" ref="AT40">_xlfn.SWITCH($A$2,"average", AVERAGE(Instances!AT40:Instances!AT40),"median", MEDIAN(Instances!AT40:Instances!AT40),"min", MIN(Instances!AT40:Instances!AT40),"max", MAX(Instances!AT40:Instances!AT40),"diff", MAX(Instances!AT40:Instances!AT40)-MIN(Instances!AT40:Instances!AT40))</f>
        <v>0</v>
      </c>
      <c r="AU40" s="1" cm="1">
        <f t="array" ref="AU40">_xlfn.SWITCH($A$2,"average", AVERAGE(Instances!AU40:Instances!AU40),"median", MEDIAN(Instances!AU40:Instances!AU40),"min", MIN(Instances!AU40:Instances!AU40),"max", MAX(Instances!AU40:Instances!AU40),"diff", MAX(Instances!AU40:Instances!AU40)-MIN(Instances!AU40:Instances!AU40))</f>
        <v>0</v>
      </c>
      <c r="AV40" s="1" cm="1">
        <f t="array" ref="AV40">_xlfn.SWITCH($A$2,"average", AVERAGE(Instances!AV40:Instances!AV40),"median", MEDIAN(Instances!AV40:Instances!AV40),"min", MIN(Instances!AV40:Instances!AV40),"max", MAX(Instances!AV40:Instances!AV40),"diff", MAX(Instances!AV40:Instances!AV40)-MIN(Instances!AV40:Instances!AV40))</f>
        <v>0</v>
      </c>
      <c r="AW40" s="1" cm="1">
        <f t="array" ref="AW40">_xlfn.SWITCH($A$2,"average", AVERAGE(Instances!AW40:Instances!AW40),"median", MEDIAN(Instances!AW40:Instances!AW40),"min", MIN(Instances!AW40:Instances!AW40),"max", MAX(Instances!AW40:Instances!AW40),"diff", MAX(Instances!AW40:Instances!AW40)-MIN(Instances!AW40:Instances!AW40))</f>
        <v>0</v>
      </c>
      <c r="AX40" s="1" cm="1">
        <f t="array" ref="AX40">_xlfn.SWITCH($A$2,"average", AVERAGE(Instances!AX40:Instances!AX40),"median", MEDIAN(Instances!AX40:Instances!AX40),"min", MIN(Instances!AX40:Instances!AX40),"max", MAX(Instances!AX40:Instances!AX40),"diff", MAX(Instances!AX40:Instances!AX40)-MIN(Instances!AX40:Instances!AX40))</f>
        <v>0</v>
      </c>
      <c r="AY40" s="1" cm="1">
        <f t="array" ref="AY40">_xlfn.SWITCH($A$2,"average", AVERAGE(Instances!AY40:Instances!AY40),"median", MEDIAN(Instances!AY40:Instances!AY40),"min", MIN(Instances!AY40:Instances!AY40),"max", MAX(Instances!AY40:Instances!AY40),"diff", MAX(Instances!AY40:Instances!AY40)-MIN(Instances!AY40:Instances!AY40))</f>
        <v>0</v>
      </c>
      <c r="AZ40" s="1"/>
      <c r="BA40" s="1" cm="1">
        <f t="array" ref="BA40">_xlfn.SWITCH($A$2,"average", AVERAGE(Instances!BA40:Instances!BA40),"median", MEDIAN(Instances!BA40:Instances!BA40),"min", MIN(Instances!BA40:Instances!BA40),"max", MAX(Instances!BA40:Instances!BA40),"diff", MAX(Instances!BA40:Instances!BA40)-MIN(Instances!BA40:Instances!BA40))</f>
        <v>0</v>
      </c>
      <c r="BB40" s="1" cm="1">
        <f t="array" ref="BB40">_xlfn.SWITCH($A$2,"average", AVERAGE(Instances!BB40:Instances!BB40),"median", MEDIAN(Instances!BB40:Instances!BB40),"min", MIN(Instances!BB40:Instances!BB40),"max", MAX(Instances!BB40:Instances!BB40),"diff", MAX(Instances!BB40:Instances!BB40)-MIN(Instances!BB40:Instances!BB40))</f>
        <v>0</v>
      </c>
      <c r="BC40" s="1" cm="1">
        <f t="array" ref="BC40">_xlfn.SWITCH($A$2,"average", AVERAGE(Instances!BC40:Instances!BC40),"median", MEDIAN(Instances!BC40:Instances!BC40),"min", MIN(Instances!BC40:Instances!BC40),"max", MAX(Instances!BC40:Instances!BC40),"diff", MAX(Instances!BC40:Instances!BC40)-MIN(Instances!BC40:Instances!BC40))</f>
        <v>0</v>
      </c>
      <c r="BD40" s="1" cm="1">
        <f t="array" ref="BD40">_xlfn.SWITCH($A$2,"average", AVERAGE(Instances!BD40:Instances!BD40),"median", MEDIAN(Instances!BD40:Instances!BD40),"min", MIN(Instances!BD40:Instances!BD40),"max", MAX(Instances!BD40:Instances!BD40),"diff", MAX(Instances!BD40:Instances!BD40)-MIN(Instances!BD40:Instances!BD40))</f>
        <v>0</v>
      </c>
      <c r="BE40" s="1" cm="1">
        <f t="array" ref="BE40">_xlfn.SWITCH($A$2,"average", AVERAGE(Instances!BE40:Instances!BE40),"median", MEDIAN(Instances!BE40:Instances!BE40),"min", MIN(Instances!BE40:Instances!BE40),"max", MAX(Instances!BE40:Instances!BE40),"diff", MAX(Instances!BE40:Instances!BE40)-MIN(Instances!BE40:Instances!BE40))</f>
        <v>0</v>
      </c>
      <c r="BF40" s="1" cm="1">
        <f t="array" ref="BF40">_xlfn.SWITCH($A$2,"average", AVERAGE(Instances!BF40:Instances!BF40),"median", MEDIAN(Instances!BF40:Instances!BF40),"min", MIN(Instances!BF40:Instances!BF40),"max", MAX(Instances!BF40:Instances!BF40),"diff", MAX(Instances!BF40:Instances!BF40)-MIN(Instances!BF40:Instances!BF40))</f>
        <v>0</v>
      </c>
      <c r="BG40" s="1" cm="1">
        <f t="array" ref="BG40">_xlfn.SWITCH($A$2,"average", AVERAGE(Instances!BG40:Instances!BG40),"median", MEDIAN(Instances!BG40:Instances!BG40),"min", MIN(Instances!BG40:Instances!BG40),"max", MAX(Instances!BG40:Instances!BG40),"diff", MAX(Instances!BG40:Instances!BG40)-MIN(Instances!BG40:Instances!BG40))</f>
        <v>0</v>
      </c>
      <c r="BH40" s="1" cm="1">
        <f t="array" ref="BH40">_xlfn.SWITCH($A$2,"average", AVERAGE(Instances!BH40:Instances!BH40),"median", MEDIAN(Instances!BH40:Instances!BH40),"min", MIN(Instances!BH40:Instances!BH40),"max", MAX(Instances!BH40:Instances!BH40),"diff", MAX(Instances!BH40:Instances!BH40)-MIN(Instances!BH40:Instances!BH40))</f>
        <v>0</v>
      </c>
      <c r="BI40" s="1" cm="1">
        <f t="array" ref="BI40">_xlfn.SWITCH($A$2,"average", AVERAGE(Instances!BI40:Instances!BI40),"median", MEDIAN(Instances!BI40:Instances!BI40),"min", MIN(Instances!BI40:Instances!BI40),"max", MAX(Instances!BI40:Instances!BI40),"diff", MAX(Instances!BI40:Instances!BI40)-MIN(Instances!BI40:Instances!BI40))</f>
        <v>0</v>
      </c>
      <c r="BJ40" s="1" cm="1">
        <f t="array" ref="BJ40">_xlfn.SWITCH($A$2,"average", AVERAGE(Instances!BJ40:Instances!BJ40),"median", MEDIAN(Instances!BJ40:Instances!BJ40),"min", MIN(Instances!BJ40:Instances!BJ40),"max", MAX(Instances!BJ40:Instances!BJ40),"diff", MAX(Instances!BJ40:Instances!BJ40)-MIN(Instances!BJ40:Instances!BJ40))</f>
        <v>0</v>
      </c>
      <c r="BK40" s="1" cm="1">
        <f t="array" ref="BK40">_xlfn.SWITCH($A$2,"average", AVERAGE(Instances!BK40:Instances!BK40),"median", MEDIAN(Instances!BK40:Instances!BK40),"min", MIN(Instances!BK40:Instances!BK40),"max", MAX(Instances!BK40:Instances!BK40),"diff", MAX(Instances!BK40:Instances!BK40)-MIN(Instances!BK40:Instances!BK40))</f>
        <v>0</v>
      </c>
      <c r="BL40" s="1" cm="1">
        <f t="array" ref="BL40">_xlfn.SWITCH($A$2,"average", AVERAGE(Instances!BL40:Instances!BL40),"median", MEDIAN(Instances!BL40:Instances!BL40),"min", MIN(Instances!BL40:Instances!BL40),"max", MAX(Instances!BL40:Instances!BL40),"diff", MAX(Instances!BL40:Instances!BL40)-MIN(Instances!BL40:Instances!BL40))</f>
        <v>0</v>
      </c>
      <c r="BM40" s="1" cm="1">
        <f t="array" ref="BM40">_xlfn.SWITCH($A$2,"average", AVERAGE(Instances!BM40:Instances!BM40),"median", MEDIAN(Instances!BM40:Instances!BM40),"min", MIN(Instances!BM40:Instances!BM40),"max", MAX(Instances!BM40:Instances!BM40),"diff", MAX(Instances!BM40:Instances!BM40)-MIN(Instances!BM40:Instances!BM40))</f>
        <v>0</v>
      </c>
      <c r="BN40" s="1" cm="1">
        <f t="array" ref="BN40">_xlfn.SWITCH($A$2,"average", AVERAGE(Instances!BN40:Instances!BN40),"median", MEDIAN(Instances!BN40:Instances!BN40),"min", MIN(Instances!BN40:Instances!BN40),"max", MAX(Instances!BN40:Instances!BN40),"diff", MAX(Instances!BN40:Instances!BN40)-MIN(Instances!BN40:Instances!BN40))</f>
        <v>0</v>
      </c>
      <c r="BO40" s="1" cm="1">
        <f t="array" ref="BO40">_xlfn.SWITCH($A$2,"average", AVERAGE(Instances!BO40:Instances!BO40),"median", MEDIAN(Instances!BO40:Instances!BO40),"min", MIN(Instances!BO40:Instances!BO40),"max", MAX(Instances!BO40:Instances!BO40),"diff", MAX(Instances!BO40:Instances!BO40)-MIN(Instances!BO40:Instances!BO40))</f>
        <v>0</v>
      </c>
      <c r="BP40" s="1" cm="1">
        <f t="array" ref="BP40">_xlfn.SWITCH($A$2,"average", AVERAGE(Instances!BP40:Instances!BP40),"median", MEDIAN(Instances!BP40:Instances!BP40),"min", MIN(Instances!BP40:Instances!BP40),"max", MAX(Instances!BP40:Instances!BP40),"diff", MAX(Instances!BP40:Instances!BP40)-MIN(Instances!BP40:Instances!BP40))</f>
        <v>0</v>
      </c>
      <c r="BQ40" s="1" cm="1">
        <f t="array" ref="BQ40">_xlfn.SWITCH($A$2,"average", AVERAGE(Instances!BQ40:Instances!BQ40),"median", MEDIAN(Instances!BQ40:Instances!BQ40),"min", MIN(Instances!BQ40:Instances!BQ40),"max", MAX(Instances!BQ40:Instances!BQ40),"diff", MAX(Instances!BQ40:Instances!BQ40)-MIN(Instances!BQ40:Instances!BQ40))</f>
        <v>0</v>
      </c>
      <c r="BR40" s="1"/>
      <c r="BS40" s="1" cm="1">
        <f t="array" ref="BS40">_xlfn.SWITCH($A$2,"average", AVERAGE(Instances!BS40:Instances!BS40),"median", MEDIAN(Instances!BS40:Instances!BS40),"min", MIN(Instances!BS40:Instances!BS40),"max", MAX(Instances!BS40:Instances!BS40),"diff", MAX(Instances!BS40:Instances!BS40)-MIN(Instances!BS40:Instances!BS40))</f>
        <v>0</v>
      </c>
      <c r="BT40" s="1" cm="1">
        <f t="array" ref="BT40">_xlfn.SWITCH($A$2,"average", AVERAGE(Instances!BT40:Instances!BT40),"median", MEDIAN(Instances!BT40:Instances!BT40),"min", MIN(Instances!BT40:Instances!BT40),"max", MAX(Instances!BT40:Instances!BT40),"diff", MAX(Instances!BT40:Instances!BT40)-MIN(Instances!BT40:Instances!BT40))</f>
        <v>0</v>
      </c>
      <c r="BU40" s="1" cm="1">
        <f t="array" ref="BU40">_xlfn.SWITCH($A$2,"average", AVERAGE(Instances!BU40:Instances!BU40),"median", MEDIAN(Instances!BU40:Instances!BU40),"min", MIN(Instances!BU40:Instances!BU40),"max", MAX(Instances!BU40:Instances!BU40),"diff", MAX(Instances!BU40:Instances!BU40)-MIN(Instances!BU40:Instances!BU40))</f>
        <v>0</v>
      </c>
      <c r="BV40" s="1" cm="1">
        <f t="array" ref="BV40">_xlfn.SWITCH($A$2,"average", AVERAGE(Instances!BV40:Instances!BV40),"median", MEDIAN(Instances!BV40:Instances!BV40),"min", MIN(Instances!BV40:Instances!BV40),"max", MAX(Instances!BV40:Instances!BV40),"diff", MAX(Instances!BV40:Instances!BV40)-MIN(Instances!BV40:Instances!BV40))</f>
        <v>0</v>
      </c>
      <c r="BW40" s="1" cm="1">
        <f t="array" ref="BW40">_xlfn.SWITCH($A$2,"average", AVERAGE(Instances!BW40:Instances!BW40),"median", MEDIAN(Instances!BW40:Instances!BW40),"min", MIN(Instances!BW40:Instances!BW40),"max", MAX(Instances!BW40:Instances!BW40),"diff", MAX(Instances!BW40:Instances!BW40)-MIN(Instances!BW40:Instances!BW40))</f>
        <v>0</v>
      </c>
      <c r="BX40" s="1" cm="1">
        <f t="array" ref="BX40">_xlfn.SWITCH($A$2,"average", AVERAGE(Instances!BX40:Instances!BX40),"median", MEDIAN(Instances!BX40:Instances!BX40),"min", MIN(Instances!BX40:Instances!BX40),"max", MAX(Instances!BX40:Instances!BX40),"diff", MAX(Instances!BX40:Instances!BX40)-MIN(Instances!BX40:Instances!BX40))</f>
        <v>0</v>
      </c>
      <c r="BY40" s="1" cm="1">
        <f t="array" ref="BY40">_xlfn.SWITCH($A$2,"average", AVERAGE(Instances!BY40:Instances!BY40),"median", MEDIAN(Instances!BY40:Instances!BY40),"min", MIN(Instances!BY40:Instances!BY40),"max", MAX(Instances!BY40:Instances!BY40),"diff", MAX(Instances!BY40:Instances!BY40)-MIN(Instances!BY40:Instances!BY40))</f>
        <v>0</v>
      </c>
      <c r="BZ40" s="1" cm="1">
        <f t="array" ref="BZ40">_xlfn.SWITCH($A$2,"average", AVERAGE(Instances!BZ40:Instances!BZ40),"median", MEDIAN(Instances!BZ40:Instances!BZ40),"min", MIN(Instances!BZ40:Instances!BZ40),"max", MAX(Instances!BZ40:Instances!BZ40),"diff", MAX(Instances!BZ40:Instances!BZ40)-MIN(Instances!BZ40:Instances!BZ40))</f>
        <v>0</v>
      </c>
      <c r="CA40" s="1" cm="1">
        <f t="array" ref="CA40">_xlfn.SWITCH($A$2,"average", AVERAGE(Instances!CA40:Instances!CA40),"median", MEDIAN(Instances!CA40:Instances!CA40),"min", MIN(Instances!CA40:Instances!CA40),"max", MAX(Instances!CA40:Instances!CA40),"diff", MAX(Instances!CA40:Instances!CA40)-MIN(Instances!CA40:Instances!CA40))</f>
        <v>0</v>
      </c>
      <c r="CB40" s="1" cm="1">
        <f t="array" ref="CB40">_xlfn.SWITCH($A$2,"average", AVERAGE(Instances!CB40:Instances!CB40),"median", MEDIAN(Instances!CB40:Instances!CB40),"min", MIN(Instances!CB40:Instances!CB40),"max", MAX(Instances!CB40:Instances!CB40),"diff", MAX(Instances!CB40:Instances!CB40)-MIN(Instances!CB40:Instances!CB40))</f>
        <v>0</v>
      </c>
      <c r="CC40" s="1" cm="1">
        <f t="array" ref="CC40">_xlfn.SWITCH($A$2,"average", AVERAGE(Instances!CC40:Instances!CC40),"median", MEDIAN(Instances!CC40:Instances!CC40),"min", MIN(Instances!CC40:Instances!CC40),"max", MAX(Instances!CC40:Instances!CC40),"diff", MAX(Instances!CC40:Instances!CC40)-MIN(Instances!CC40:Instances!CC40))</f>
        <v>0</v>
      </c>
      <c r="CD40" s="1" cm="1">
        <f t="array" ref="CD40">_xlfn.SWITCH($A$2,"average", AVERAGE(Instances!CD40:Instances!CD40),"median", MEDIAN(Instances!CD40:Instances!CD40),"min", MIN(Instances!CD40:Instances!CD40),"max", MAX(Instances!CD40:Instances!CD40),"diff", MAX(Instances!CD40:Instances!CD40)-MIN(Instances!CD40:Instances!CD40))</f>
        <v>0</v>
      </c>
      <c r="CE40" s="1" cm="1">
        <f t="array" ref="CE40">_xlfn.SWITCH($A$2,"average", AVERAGE(Instances!CE40:Instances!CE40),"median", MEDIAN(Instances!CE40:Instances!CE40),"min", MIN(Instances!CE40:Instances!CE40),"max", MAX(Instances!CE40:Instances!CE40),"diff", MAX(Instances!CE40:Instances!CE40)-MIN(Instances!CE40:Instances!CE40))</f>
        <v>0</v>
      </c>
      <c r="CF40" s="1" cm="1">
        <f t="array" ref="CF40">_xlfn.SWITCH($A$2,"average", AVERAGE(Instances!CF40:Instances!CF40),"median", MEDIAN(Instances!CF40:Instances!CF40),"min", MIN(Instances!CF40:Instances!CF40),"max", MAX(Instances!CF40:Instances!CF40),"diff", MAX(Instances!CF40:Instances!CF40)-MIN(Instances!CF40:Instances!CF40))</f>
        <v>0</v>
      </c>
      <c r="CG40" s="1" cm="1">
        <f t="array" ref="CG40">_xlfn.SWITCH($A$2,"average", AVERAGE(Instances!CG40:Instances!CG40),"median", MEDIAN(Instances!CG40:Instances!CG40),"min", MIN(Instances!CG40:Instances!CG40),"max", MAX(Instances!CG40:Instances!CG40),"diff", MAX(Instances!CG40:Instances!CG40)-MIN(Instances!CG40:Instances!CG40))</f>
        <v>0</v>
      </c>
      <c r="CH40" s="1" cm="1">
        <f t="array" ref="CH40">_xlfn.SWITCH($A$2,"average", AVERAGE(Instances!CH40:Instances!CH40),"median", MEDIAN(Instances!CH40:Instances!CH40),"min", MIN(Instances!CH40:Instances!CH40),"max", MAX(Instances!CH40:Instances!CH40),"diff", MAX(Instances!CH40:Instances!CH40)-MIN(Instances!CH40:Instances!CH40))</f>
        <v>0</v>
      </c>
      <c r="CI40" s="1" cm="1">
        <f t="array" ref="CI40">_xlfn.SWITCH($A$2,"average", AVERAGE(Instances!CI40:Instances!CI40),"median", MEDIAN(Instances!CI40:Instances!CI40),"min", MIN(Instances!CI40:Instances!CI40),"max", MAX(Instances!CI40:Instances!CI40),"diff", MAX(Instances!CI40:Instances!CI40)-MIN(Instances!CI40:Instances!CI40))</f>
        <v>0</v>
      </c>
      <c r="CJ40" s="1"/>
      <c r="CK40" s="1" cm="1">
        <f t="array" ref="CK40">_xlfn.SWITCH($A$2,"average", AVERAGE(Instances!CK40:Instances!CK40),"median", MEDIAN(Instances!CK40:Instances!CK40),"min", MIN(Instances!CK40:Instances!CK40),"max", MAX(Instances!CK40:Instances!CK40),"diff", MAX(Instances!CK40:Instances!CK40)-MIN(Instances!CK40:Instances!CK40))</f>
        <v>0</v>
      </c>
      <c r="CL40" s="1" cm="1">
        <f t="array" ref="CL40">_xlfn.SWITCH($A$2,"average", AVERAGE(Instances!CL40:Instances!CL40),"median", MEDIAN(Instances!CL40:Instances!CL40),"min", MIN(Instances!CL40:Instances!CL40),"max", MAX(Instances!CL40:Instances!CL40),"diff", MAX(Instances!CL40:Instances!CL40)-MIN(Instances!CL40:Instances!CL40))</f>
        <v>0</v>
      </c>
      <c r="CM40" s="1" cm="1">
        <f t="array" ref="CM40">_xlfn.SWITCH($A$2,"average", AVERAGE(Instances!CM40:Instances!CM40),"median", MEDIAN(Instances!CM40:Instances!CM40),"min", MIN(Instances!CM40:Instances!CM40),"max", MAX(Instances!CM40:Instances!CM40),"diff", MAX(Instances!CM40:Instances!CM40)-MIN(Instances!CM40:Instances!CM40))</f>
        <v>0</v>
      </c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 cm="1">
        <f t="array" ref="DX40">_xlfn.SWITCH($A$2,"average", AVERAGE(Instances!DX40:Instances!DX40),"median", MEDIAN(Instances!DX40:Instances!DX40),"min", MIN(Instances!DX40:Instances!DX40),"max", MAX(Instances!DX40:Instances!DX40),"diff", MAX(Instances!DX40:Instances!DX40)-MIN(Instances!DX40:Instances!DX40))</f>
        <v>0</v>
      </c>
      <c r="DY40" s="1" cm="1">
        <f t="array" ref="DY40">_xlfn.SWITCH($A$2,"average", AVERAGE(Instances!DY40:Instances!DY40),"median", MEDIAN(Instances!DY40:Instances!DY40),"min", MIN(Instances!DY40:Instances!DY40),"max", MAX(Instances!DY40:Instances!DY40),"diff", MAX(Instances!DY40:Instances!DY40)-MIN(Instances!DY40:Instances!DY40))</f>
        <v>0</v>
      </c>
      <c r="DZ40" s="1" cm="1">
        <f t="array" ref="DZ40">_xlfn.SWITCH($A$2,"average", AVERAGE(Instances!DZ40:Instances!DZ40),"median", MEDIAN(Instances!DZ40:Instances!DZ40),"min", MIN(Instances!DZ40:Instances!DZ40),"max", MAX(Instances!DZ40:Instances!DZ40),"diff", MAX(Instances!DZ40:Instances!DZ40)-MIN(Instances!DZ40:Instances!DZ40))</f>
        <v>0</v>
      </c>
      <c r="EA40" s="1" cm="1">
        <f t="array" ref="EA40">_xlfn.SWITCH($A$2,"average", AVERAGE(Instances!EA40:Instances!EA40),"median", MEDIAN(Instances!EA40:Instances!EA40),"min", MIN(Instances!EA40:Instances!EA40),"max", MAX(Instances!EA40:Instances!EA40),"diff", MAX(Instances!EA40:Instances!EA40)-MIN(Instances!EA40:Instances!EA40))</f>
        <v>0</v>
      </c>
      <c r="EB40" s="1" cm="1">
        <f t="array" ref="EB40">_xlfn.SWITCH($A$2,"average", AVERAGE(Instances!EB40:Instances!EB40),"median", MEDIAN(Instances!EB40:Instances!EB40),"min", MIN(Instances!EB40:Instances!EB40),"max", MAX(Instances!EB40:Instances!EB40),"diff", MAX(Instances!EB40:Instances!EB40)-MIN(Instances!EB40:Instances!EB40))</f>
        <v>0</v>
      </c>
      <c r="EC40" s="1" cm="1">
        <f t="array" ref="EC40">_xlfn.SWITCH($A$2,"average", AVERAGE(Instances!EC40:Instances!EC40),"median", MEDIAN(Instances!EC40:Instances!EC40),"min", MIN(Instances!EC40:Instances!EC40),"max", MAX(Instances!EC40:Instances!EC40),"diff", MAX(Instances!EC40:Instances!EC40)-MIN(Instances!EC40:Instances!EC40))</f>
        <v>0</v>
      </c>
      <c r="ED40" s="1" cm="1">
        <f t="array" ref="ED40">_xlfn.SWITCH($A$2,"average", AVERAGE(Instances!ED40:Instances!ED40),"median", MEDIAN(Instances!ED40:Instances!ED40),"min", MIN(Instances!ED40:Instances!ED40),"max", MAX(Instances!ED40:Instances!ED40),"diff", MAX(Instances!ED40:Instances!ED40)-MIN(Instances!ED40:Instances!ED40))</f>
        <v>0</v>
      </c>
      <c r="EE40" s="1" cm="1">
        <f t="array" ref="EE40">_xlfn.SWITCH($A$2,"average", AVERAGE(Instances!EE40:Instances!EE40),"median", MEDIAN(Instances!EE40:Instances!EE40),"min", MIN(Instances!EE40:Instances!EE40),"max", MAX(Instances!EE40:Instances!EE40),"diff", MAX(Instances!EE40:Instances!EE40)-MIN(Instances!EE40:Instances!EE40))</f>
        <v>0</v>
      </c>
      <c r="EF40" s="1" cm="1">
        <f t="array" ref="EF40">_xlfn.SWITCH($A$2,"average", AVERAGE(Instances!EF40:Instances!EF40),"median", MEDIAN(Instances!EF40:Instances!EF40),"min", MIN(Instances!EF40:Instances!EF40),"max", MAX(Instances!EF40:Instances!EF40),"diff", MAX(Instances!EF40:Instances!EF40)-MIN(Instances!EF40:Instances!EF40))</f>
        <v>0</v>
      </c>
      <c r="EG40" s="1" cm="1">
        <f t="array" ref="EG40">_xlfn.SWITCH($A$2,"average", AVERAGE(Instances!EG40:Instances!EG40),"median", MEDIAN(Instances!EG40:Instances!EG40),"min", MIN(Instances!EG40:Instances!EG40),"max", MAX(Instances!EG40:Instances!EG40),"diff", MAX(Instances!EG40:Instances!EG40)-MIN(Instances!EG40:Instances!EG40))</f>
        <v>0</v>
      </c>
      <c r="EH40" s="1" cm="1">
        <f t="array" ref="EH40">_xlfn.SWITCH($A$2,"average", AVERAGE(Instances!EH40:Instances!EH40),"median", MEDIAN(Instances!EH40:Instances!EH40),"min", MIN(Instances!EH40:Instances!EH40),"max", MAX(Instances!EH40:Instances!EH40),"diff", MAX(Instances!EH40:Instances!EH40)-MIN(Instances!EH40:Instances!EH40))</f>
        <v>0</v>
      </c>
      <c r="EI40" s="1" cm="1">
        <f t="array" ref="EI40">_xlfn.SWITCH($A$2,"average", AVERAGE(Instances!EI40:Instances!EI40),"median", MEDIAN(Instances!EI40:Instances!EI40),"min", MIN(Instances!EI40:Instances!EI40),"max", MAX(Instances!EI40:Instances!EI40),"diff", MAX(Instances!EI40:Instances!EI40)-MIN(Instances!EI40:Instances!EI40))</f>
        <v>0</v>
      </c>
      <c r="EJ40" s="1" cm="1">
        <f t="array" ref="EJ40">_xlfn.SWITCH($A$2,"average", AVERAGE(Instances!EJ40:Instances!EJ40),"median", MEDIAN(Instances!EJ40:Instances!EJ40),"min", MIN(Instances!EJ40:Instances!EJ40),"max", MAX(Instances!EJ40:Instances!EJ40),"diff", MAX(Instances!EJ40:Instances!EJ40)-MIN(Instances!EJ40:Instances!EJ40))</f>
        <v>0</v>
      </c>
      <c r="EK40" s="1" cm="1">
        <f t="array" ref="EK40">_xlfn.SWITCH($A$2,"average", AVERAGE(Instances!EK40:Instances!EK40),"median", MEDIAN(Instances!EK40:Instances!EK40),"min", MIN(Instances!EK40:Instances!EK40),"max", MAX(Instances!EK40:Instances!EK40),"diff", MAX(Instances!EK40:Instances!EK40)-MIN(Instances!EK40:Instances!EK40))</f>
        <v>0</v>
      </c>
      <c r="EL40" s="1"/>
      <c r="EM40" s="1" cm="1">
        <f t="array" ref="EM40">_xlfn.SWITCH($A$2,"average", AVERAGE(Instances!EM40:Instances!EM40),"median", MEDIAN(Instances!EM40:Instances!EM40),"min", MIN(Instances!EM40:Instances!EM40),"max", MAX(Instances!EM40:Instances!EM40),"diff", MAX(Instances!EM40:Instances!EM40)-MIN(Instances!EM40:Instances!EM40))</f>
        <v>0</v>
      </c>
      <c r="EN40" s="1" cm="1">
        <f t="array" ref="EN40">_xlfn.SWITCH($A$2,"average", AVERAGE(Instances!EN40:Instances!EN40),"median", MEDIAN(Instances!EN40:Instances!EN40),"min", MIN(Instances!EN40:Instances!EN40),"max", MAX(Instances!EN40:Instances!EN40),"diff", MAX(Instances!EN40:Instances!EN40)-MIN(Instances!EN40:Instances!EN40))</f>
        <v>0</v>
      </c>
      <c r="EO40" s="1" cm="1">
        <f t="array" ref="EO40">_xlfn.SWITCH($A$2,"average", AVERAGE(Instances!EO40:Instances!EO40),"median", MEDIAN(Instances!EO40:Instances!EO40),"min", MIN(Instances!EO40:Instances!EO40),"max", MAX(Instances!EO40:Instances!EO40),"diff", MAX(Instances!EO40:Instances!EO40)-MIN(Instances!EO40:Instances!EO40))</f>
        <v>0</v>
      </c>
      <c r="EP40" s="1" cm="1">
        <f t="array" ref="EP40">_xlfn.SWITCH($A$2,"average", AVERAGE(Instances!EP40:Instances!EP40),"median", MEDIAN(Instances!EP40:Instances!EP40),"min", MIN(Instances!EP40:Instances!EP40),"max", MAX(Instances!EP40:Instances!EP40),"diff", MAX(Instances!EP40:Instances!EP40)-MIN(Instances!EP40:Instances!EP40))</f>
        <v>0</v>
      </c>
      <c r="EQ40" s="1" cm="1">
        <f t="array" ref="EQ40">_xlfn.SWITCH($A$2,"average", AVERAGE(Instances!EQ40:Instances!EQ40),"median", MEDIAN(Instances!EQ40:Instances!EQ40),"min", MIN(Instances!EQ40:Instances!EQ40),"max", MAX(Instances!EQ40:Instances!EQ40),"diff", MAX(Instances!EQ40:Instances!EQ40)-MIN(Instances!EQ40:Instances!EQ40))</f>
        <v>0</v>
      </c>
      <c r="ER40" s="1" cm="1">
        <f t="array" ref="ER40">_xlfn.SWITCH($A$2,"average", AVERAGE(Instances!ER40:Instances!ER40),"median", MEDIAN(Instances!ER40:Instances!ER40),"min", MIN(Instances!ER40:Instances!ER40),"max", MAX(Instances!ER40:Instances!ER40),"diff", MAX(Instances!ER40:Instances!ER40)-MIN(Instances!ER40:Instances!ER40))</f>
        <v>0</v>
      </c>
      <c r="ES40" s="1" cm="1">
        <f t="array" ref="ES40">_xlfn.SWITCH($A$2,"average", AVERAGE(Instances!ES40:Instances!ES40),"median", MEDIAN(Instances!ES40:Instances!ES40),"min", MIN(Instances!ES40:Instances!ES40),"max", MAX(Instances!ES40:Instances!ES40),"diff", MAX(Instances!ES40:Instances!ES40)-MIN(Instances!ES40:Instances!ES40))</f>
        <v>0</v>
      </c>
      <c r="ET40" s="1" cm="1">
        <f t="array" ref="ET40">_xlfn.SWITCH($A$2,"average", AVERAGE(Instances!ET40:Instances!ET40),"median", MEDIAN(Instances!ET40:Instances!ET40),"min", MIN(Instances!ET40:Instances!ET40),"max", MAX(Instances!ET40:Instances!ET40),"diff", MAX(Instances!ET40:Instances!ET40)-MIN(Instances!ET40:Instances!ET40))</f>
        <v>0</v>
      </c>
      <c r="EU40" s="1" cm="1">
        <f t="array" ref="EU40">_xlfn.SWITCH($A$2,"average", AVERAGE(Instances!EU40:Instances!EU40),"median", MEDIAN(Instances!EU40:Instances!EU40),"min", MIN(Instances!EU40:Instances!EU40),"max", MAX(Instances!EU40:Instances!EU40),"diff", MAX(Instances!EU40:Instances!EU40)-MIN(Instances!EU40:Instances!EU40))</f>
        <v>0</v>
      </c>
      <c r="EV40" s="1" cm="1">
        <f t="array" ref="EV40">_xlfn.SWITCH($A$2,"average", AVERAGE(Instances!EV40:Instances!EV40),"median", MEDIAN(Instances!EV40:Instances!EV40),"min", MIN(Instances!EV40:Instances!EV40),"max", MAX(Instances!EV40:Instances!EV40),"diff", MAX(Instances!EV40:Instances!EV40)-MIN(Instances!EV40:Instances!EV40))</f>
        <v>0</v>
      </c>
      <c r="EW40" s="1" cm="1">
        <f t="array" ref="EW40">_xlfn.SWITCH($A$2,"average", AVERAGE(Instances!EW40:Instances!EW40),"median", MEDIAN(Instances!EW40:Instances!EW40),"min", MIN(Instances!EW40:Instances!EW40),"max", MAX(Instances!EW40:Instances!EW40),"diff", MAX(Instances!EW40:Instances!EW40)-MIN(Instances!EW40:Instances!EW40))</f>
        <v>0</v>
      </c>
      <c r="EX40" s="1" cm="1">
        <f t="array" ref="EX40">_xlfn.SWITCH($A$2,"average", AVERAGE(Instances!EX40:Instances!EX40),"median", MEDIAN(Instances!EX40:Instances!EX40),"min", MIN(Instances!EX40:Instances!EX40),"max", MAX(Instances!EX40:Instances!EX40),"diff", MAX(Instances!EX40:Instances!EX40)-MIN(Instances!EX40:Instances!EX40))</f>
        <v>0</v>
      </c>
      <c r="EY40" s="1" cm="1">
        <f t="array" ref="EY40">_xlfn.SWITCH($A$2,"average", AVERAGE(Instances!EY40:Instances!EY40),"median", MEDIAN(Instances!EY40:Instances!EY40),"min", MIN(Instances!EY40:Instances!EY40),"max", MAX(Instances!EY40:Instances!EY40),"diff", MAX(Instances!EY40:Instances!EY40)-MIN(Instances!EY40:Instances!EY40))</f>
        <v>0</v>
      </c>
      <c r="EZ40" s="1" cm="1">
        <f t="array" ref="EZ40">_xlfn.SWITCH($A$2,"average", AVERAGE(Instances!EZ40:Instances!EZ40),"median", MEDIAN(Instances!EZ40:Instances!EZ40),"min", MIN(Instances!EZ40:Instances!EZ40),"max", MAX(Instances!EZ40:Instances!EZ40),"diff", MAX(Instances!EZ40:Instances!EZ40)-MIN(Instances!EZ40:Instances!EZ40))</f>
        <v>0</v>
      </c>
      <c r="FA40" s="1" cm="1">
        <f t="array" ref="FA40">_xlfn.SWITCH($A$2,"average", AVERAGE(Instances!FA40:Instances!FA40),"median", MEDIAN(Instances!FA40:Instances!FA40),"min", MIN(Instances!FA40:Instances!FA40),"max", MAX(Instances!FA40:Instances!FA40),"diff", MAX(Instances!FA40:Instances!FA40)-MIN(Instances!FA40:Instances!FA40))</f>
        <v>0</v>
      </c>
      <c r="FB40" s="1" cm="1">
        <f t="array" ref="FB40">_xlfn.SWITCH($A$2,"average", AVERAGE(Instances!FB40:Instances!FB40),"median", MEDIAN(Instances!FB40:Instances!FB40),"min", MIN(Instances!FB40:Instances!FB40),"max", MAX(Instances!FB40:Instances!FB40),"diff", MAX(Instances!FB40:Instances!FB40)-MIN(Instances!FB40:Instances!FB40))</f>
        <v>0</v>
      </c>
      <c r="FC40" s="1" cm="1">
        <f t="array" ref="FC40">_xlfn.SWITCH($A$2,"average", AVERAGE(Instances!FC40:Instances!FC40),"median", MEDIAN(Instances!FC40:Instances!FC40),"min", MIN(Instances!FC40:Instances!FC40),"max", MAX(Instances!FC40:Instances!FC40),"diff", MAX(Instances!FC40:Instances!FC40)-MIN(Instances!FC40:Instances!FC40))</f>
        <v>0</v>
      </c>
      <c r="FD40" s="1"/>
      <c r="FE40" s="1" cm="1">
        <f t="array" ref="FE40">_xlfn.SWITCH($A$2,"average", AVERAGE(Instances!FE40:Instances!FE40),"median", MEDIAN(Instances!FE40:Instances!FE40),"min", MIN(Instances!FE40:Instances!FE40),"max", MAX(Instances!FE40:Instances!FE40),"diff", MAX(Instances!FE40:Instances!FE40)-MIN(Instances!FE40:Instances!FE40))</f>
        <v>0</v>
      </c>
      <c r="FF40" s="1" cm="1">
        <f t="array" ref="FF40">_xlfn.SWITCH($A$2,"average", AVERAGE(Instances!FF40:Instances!FF40),"median", MEDIAN(Instances!FF40:Instances!FF40),"min", MIN(Instances!FF40:Instances!FF40),"max", MAX(Instances!FF40:Instances!FF40),"diff", MAX(Instances!FF40:Instances!FF40)-MIN(Instances!FF40:Instances!FF40))</f>
        <v>0</v>
      </c>
      <c r="FG40" s="1" cm="1">
        <f t="array" ref="FG40">_xlfn.SWITCH($A$2,"average", AVERAGE(Instances!FG40:Instances!FG40),"median", MEDIAN(Instances!FG40:Instances!FG40),"min", MIN(Instances!FG40:Instances!FG40),"max", MAX(Instances!FG40:Instances!FG40),"diff", MAX(Instances!FG40:Instances!FG40)-MIN(Instances!FG40:Instances!FG40))</f>
        <v>0</v>
      </c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 cm="1">
        <f t="array" ref="FZ40">_xlfn.SWITCH($A$2,"average", AVERAGE(Instances!FZ40:Instances!FZ40),"median", MEDIAN(Instances!FZ40:Instances!FZ40),"min", MIN(Instances!FZ40:Instances!FZ40),"max", MAX(Instances!FZ40:Instances!FZ40),"diff", MAX(Instances!FZ40:Instances!FZ40)-MIN(Instances!FZ40:Instances!FZ40))</f>
        <v>0</v>
      </c>
      <c r="GA40" s="1" cm="1">
        <f t="array" ref="GA40">_xlfn.SWITCH($A$2,"average", AVERAGE(Instances!GA40:Instances!GA40),"median", MEDIAN(Instances!GA40:Instances!GA40),"min", MIN(Instances!GA40:Instances!GA40),"max", MAX(Instances!GA40:Instances!GA40),"diff", MAX(Instances!GA40:Instances!GA40)-MIN(Instances!GA40:Instances!GA40))</f>
        <v>0</v>
      </c>
      <c r="GB40" s="1" cm="1">
        <f t="array" ref="GB40">_xlfn.SWITCH($A$2,"average", AVERAGE(Instances!GB40:Instances!GB40),"median", MEDIAN(Instances!GB40:Instances!GB40),"min", MIN(Instances!GB40:Instances!GB40),"max", MAX(Instances!GB40:Instances!GB40),"diff", MAX(Instances!GB40:Instances!GB40)-MIN(Instances!GB40:Instances!GB40))</f>
        <v>0</v>
      </c>
      <c r="GC40" s="1" cm="1">
        <f t="array" ref="GC40">_xlfn.SWITCH($A$2,"average", AVERAGE(Instances!GC40:Instances!GC40),"median", MEDIAN(Instances!GC40:Instances!GC40),"min", MIN(Instances!GC40:Instances!GC40),"max", MAX(Instances!GC40:Instances!GC40),"diff", MAX(Instances!GC40:Instances!GC40)-MIN(Instances!GC40:Instances!GC40))</f>
        <v>0</v>
      </c>
      <c r="GD40" s="1" cm="1">
        <f t="array" ref="GD40">_xlfn.SWITCH($A$2,"average", AVERAGE(Instances!GD40:Instances!GD40),"median", MEDIAN(Instances!GD40:Instances!GD40),"min", MIN(Instances!GD40:Instances!GD40),"max", MAX(Instances!GD40:Instances!GD40),"diff", MAX(Instances!GD40:Instances!GD40)-MIN(Instances!GD40:Instances!GD40))</f>
        <v>0</v>
      </c>
      <c r="GE40" s="1" cm="1">
        <f t="array" ref="GE40">_xlfn.SWITCH($A$2,"average", AVERAGE(Instances!GE40:Instances!GE40),"median", MEDIAN(Instances!GE40:Instances!GE40),"min", MIN(Instances!GE40:Instances!GE40),"max", MAX(Instances!GE40:Instances!GE40),"diff", MAX(Instances!GE40:Instances!GE40)-MIN(Instances!GE40:Instances!GE40))</f>
        <v>0</v>
      </c>
      <c r="GF40" s="1" cm="1">
        <f t="array" ref="GF40">_xlfn.SWITCH($A$2,"average", AVERAGE(Instances!GF40:Instances!GF40),"median", MEDIAN(Instances!GF40:Instances!GF40),"min", MIN(Instances!GF40:Instances!GF40),"max", MAX(Instances!GF40:Instances!GF40),"diff", MAX(Instances!GF40:Instances!GF40)-MIN(Instances!GF40:Instances!GF40))</f>
        <v>0</v>
      </c>
      <c r="GG40" s="1" cm="1">
        <f t="array" ref="GG40">_xlfn.SWITCH($A$2,"average", AVERAGE(Instances!GG40:Instances!GG40),"median", MEDIAN(Instances!GG40:Instances!GG40),"min", MIN(Instances!GG40:Instances!GG40),"max", MAX(Instances!GG40:Instances!GG40),"diff", MAX(Instances!GG40:Instances!GG40)-MIN(Instances!GG40:Instances!GG40))</f>
        <v>0</v>
      </c>
      <c r="GH40" s="1" cm="1">
        <f t="array" ref="GH40">_xlfn.SWITCH($A$2,"average", AVERAGE(Instances!GH40:Instances!GH40),"median", MEDIAN(Instances!GH40:Instances!GH40),"min", MIN(Instances!GH40:Instances!GH40),"max", MAX(Instances!GH40:Instances!GH40),"diff", MAX(Instances!GH40:Instances!GH40)-MIN(Instances!GH40:Instances!GH40))</f>
        <v>0</v>
      </c>
      <c r="GI40" s="1" cm="1">
        <f t="array" ref="GI40">_xlfn.SWITCH($A$2,"average", AVERAGE(Instances!GI40:Instances!GI40),"median", MEDIAN(Instances!GI40:Instances!GI40),"min", MIN(Instances!GI40:Instances!GI40),"max", MAX(Instances!GI40:Instances!GI40),"diff", MAX(Instances!GI40:Instances!GI40)-MIN(Instances!GI40:Instances!GI40))</f>
        <v>0</v>
      </c>
      <c r="GJ40" s="1" cm="1">
        <f t="array" ref="GJ40">_xlfn.SWITCH($A$2,"average", AVERAGE(Instances!GJ40:Instances!GJ40),"median", MEDIAN(Instances!GJ40:Instances!GJ40),"min", MIN(Instances!GJ40:Instances!GJ40),"max", MAX(Instances!GJ40:Instances!GJ40),"diff", MAX(Instances!GJ40:Instances!GJ40)-MIN(Instances!GJ40:Instances!GJ40))</f>
        <v>0</v>
      </c>
      <c r="GK40" s="1" cm="1">
        <f t="array" ref="GK40">_xlfn.SWITCH($A$2,"average", AVERAGE(Instances!GK40:Instances!GK40),"median", MEDIAN(Instances!GK40:Instances!GK40),"min", MIN(Instances!GK40:Instances!GK40),"max", MAX(Instances!GK40:Instances!GK40),"diff", MAX(Instances!GK40:Instances!GK40)-MIN(Instances!GK40:Instances!GK40))</f>
        <v>0</v>
      </c>
      <c r="GL40" s="1" cm="1">
        <f t="array" ref="GL40">_xlfn.SWITCH($A$2,"average", AVERAGE(Instances!GL40:Instances!GL40),"median", MEDIAN(Instances!GL40:Instances!GL40),"min", MIN(Instances!GL40:Instances!GL40),"max", MAX(Instances!GL40:Instances!GL40),"diff", MAX(Instances!GL40:Instances!GL40)-MIN(Instances!GL40:Instances!GL40))</f>
        <v>0</v>
      </c>
      <c r="GM40" s="1" cm="1">
        <f t="array" ref="GM40">_xlfn.SWITCH($A$2,"average", AVERAGE(Instances!GM40:Instances!GM40),"median", MEDIAN(Instances!GM40:Instances!GM40),"min", MIN(Instances!GM40:Instances!GM40),"max", MAX(Instances!GM40:Instances!GM40),"diff", MAX(Instances!GM40:Instances!GM40)-MIN(Instances!GM40:Instances!GM40))</f>
        <v>0</v>
      </c>
      <c r="GN40" s="1"/>
      <c r="GO40" s="1" cm="1">
        <f t="array" ref="GO40">_xlfn.SWITCH($A$2,"average", AVERAGE(Instances!GO40:Instances!GO40),"median", MEDIAN(Instances!GO40:Instances!GO40),"min", MIN(Instances!GO40:Instances!GO40),"max", MAX(Instances!GO40:Instances!GO40),"diff", MAX(Instances!GO40:Instances!GO40)-MIN(Instances!GO40:Instances!GO40))</f>
        <v>0</v>
      </c>
      <c r="GP40" s="1" cm="1">
        <f t="array" ref="GP40">_xlfn.SWITCH($A$2,"average", AVERAGE(Instances!GP40:Instances!GP40),"median", MEDIAN(Instances!GP40:Instances!GP40),"min", MIN(Instances!GP40:Instances!GP40),"max", MAX(Instances!GP40:Instances!GP40),"diff", MAX(Instances!GP40:Instances!GP40)-MIN(Instances!GP40:Instances!GP40))</f>
        <v>0</v>
      </c>
      <c r="GQ40" s="1" cm="1">
        <f t="array" ref="GQ40">_xlfn.SWITCH($A$2,"average", AVERAGE(Instances!GQ40:Instances!GQ40),"median", MEDIAN(Instances!GQ40:Instances!GQ40),"min", MIN(Instances!GQ40:Instances!GQ40),"max", MAX(Instances!GQ40:Instances!GQ40),"diff", MAX(Instances!GQ40:Instances!GQ40)-MIN(Instances!GQ40:Instances!GQ40))</f>
        <v>0</v>
      </c>
      <c r="GR40" s="1" cm="1">
        <f t="array" ref="GR40">_xlfn.SWITCH($A$2,"average", AVERAGE(Instances!GR40:Instances!GR40),"median", MEDIAN(Instances!GR40:Instances!GR40),"min", MIN(Instances!GR40:Instances!GR40),"max", MAX(Instances!GR40:Instances!GR40),"diff", MAX(Instances!GR40:Instances!GR40)-MIN(Instances!GR40:Instances!GR40))</f>
        <v>0</v>
      </c>
      <c r="GS40" s="1" cm="1">
        <f t="array" ref="GS40">_xlfn.SWITCH($A$2,"average", AVERAGE(Instances!GS40:Instances!GS40),"median", MEDIAN(Instances!GS40:Instances!GS40),"min", MIN(Instances!GS40:Instances!GS40),"max", MAX(Instances!GS40:Instances!GS40),"diff", MAX(Instances!GS40:Instances!GS40)-MIN(Instances!GS40:Instances!GS40))</f>
        <v>0</v>
      </c>
      <c r="GT40" s="1" cm="1">
        <f t="array" ref="GT40">_xlfn.SWITCH($A$2,"average", AVERAGE(Instances!GT40:Instances!GT40),"median", MEDIAN(Instances!GT40:Instances!GT40),"min", MIN(Instances!GT40:Instances!GT40),"max", MAX(Instances!GT40:Instances!GT40),"diff", MAX(Instances!GT40:Instances!GT40)-MIN(Instances!GT40:Instances!GT40))</f>
        <v>0</v>
      </c>
      <c r="GU40" s="1" cm="1">
        <f t="array" ref="GU40">_xlfn.SWITCH($A$2,"average", AVERAGE(Instances!GU40:Instances!GU40),"median", MEDIAN(Instances!GU40:Instances!GU40),"min", MIN(Instances!GU40:Instances!GU40),"max", MAX(Instances!GU40:Instances!GU40),"diff", MAX(Instances!GU40:Instances!GU40)-MIN(Instances!GU40:Instances!GU40))</f>
        <v>0</v>
      </c>
      <c r="GV40" s="1" cm="1">
        <f t="array" ref="GV40">_xlfn.SWITCH($A$2,"average", AVERAGE(Instances!GV40:Instances!GV40),"median", MEDIAN(Instances!GV40:Instances!GV40),"min", MIN(Instances!GV40:Instances!GV40),"max", MAX(Instances!GV40:Instances!GV40),"diff", MAX(Instances!GV40:Instances!GV40)-MIN(Instances!GV40:Instances!GV40))</f>
        <v>0</v>
      </c>
      <c r="GW40" s="1" cm="1">
        <f t="array" ref="GW40">_xlfn.SWITCH($A$2,"average", AVERAGE(Instances!GW40:Instances!GW40),"median", MEDIAN(Instances!GW40:Instances!GW40),"min", MIN(Instances!GW40:Instances!GW40),"max", MAX(Instances!GW40:Instances!GW40),"diff", MAX(Instances!GW40:Instances!GW40)-MIN(Instances!GW40:Instances!GW40))</f>
        <v>0</v>
      </c>
      <c r="GX40" s="1" cm="1">
        <f t="array" ref="GX40">_xlfn.SWITCH($A$2,"average", AVERAGE(Instances!GX40:Instances!GX40),"median", MEDIAN(Instances!GX40:Instances!GX40),"min", MIN(Instances!GX40:Instances!GX40),"max", MAX(Instances!GX40:Instances!GX40),"diff", MAX(Instances!GX40:Instances!GX40)-MIN(Instances!GX40:Instances!GX40))</f>
        <v>0</v>
      </c>
      <c r="GY40" s="1" cm="1">
        <f t="array" ref="GY40">_xlfn.SWITCH($A$2,"average", AVERAGE(Instances!GY40:Instances!GY40),"median", MEDIAN(Instances!GY40:Instances!GY40),"min", MIN(Instances!GY40:Instances!GY40),"max", MAX(Instances!GY40:Instances!GY40),"diff", MAX(Instances!GY40:Instances!GY40)-MIN(Instances!GY40:Instances!GY40))</f>
        <v>0</v>
      </c>
      <c r="GZ40" s="1" cm="1">
        <f t="array" ref="GZ40">_xlfn.SWITCH($A$2,"average", AVERAGE(Instances!GZ40:Instances!GZ40),"median", MEDIAN(Instances!GZ40:Instances!GZ40),"min", MIN(Instances!GZ40:Instances!GZ40),"max", MAX(Instances!GZ40:Instances!GZ40),"diff", MAX(Instances!GZ40:Instances!GZ40)-MIN(Instances!GZ40:Instances!GZ40))</f>
        <v>0</v>
      </c>
      <c r="HA40" s="1" cm="1">
        <f t="array" ref="HA40">_xlfn.SWITCH($A$2,"average", AVERAGE(Instances!HA40:Instances!HA40),"median", MEDIAN(Instances!HA40:Instances!HA40),"min", MIN(Instances!HA40:Instances!HA40),"max", MAX(Instances!HA40:Instances!HA40),"diff", MAX(Instances!HA40:Instances!HA40)-MIN(Instances!HA40:Instances!HA40))</f>
        <v>0</v>
      </c>
      <c r="HB40" s="1" cm="1">
        <f t="array" ref="HB40">_xlfn.SWITCH($A$2,"average", AVERAGE(Instances!HB40:Instances!HB40),"median", MEDIAN(Instances!HB40:Instances!HB40),"min", MIN(Instances!HB40:Instances!HB40),"max", MAX(Instances!HB40:Instances!HB40),"diff", MAX(Instances!HB40:Instances!HB40)-MIN(Instances!HB40:Instances!HB40))</f>
        <v>0</v>
      </c>
      <c r="HC40" s="1" cm="1">
        <f t="array" ref="HC40">_xlfn.SWITCH($A$2,"average", AVERAGE(Instances!HC40:Instances!HC40),"median", MEDIAN(Instances!HC40:Instances!HC40),"min", MIN(Instances!HC40:Instances!HC40),"max", MAX(Instances!HC40:Instances!HC40),"diff", MAX(Instances!HC40:Instances!HC40)-MIN(Instances!HC40:Instances!HC40))</f>
        <v>0</v>
      </c>
      <c r="HD40" s="1" cm="1">
        <f t="array" ref="HD40">_xlfn.SWITCH($A$2,"average", AVERAGE(Instances!HD40:Instances!HD40),"median", MEDIAN(Instances!HD40:Instances!HD40),"min", MIN(Instances!HD40:Instances!HD40),"max", MAX(Instances!HD40:Instances!HD40),"diff", MAX(Instances!HD40:Instances!HD40)-MIN(Instances!HD40:Instances!HD40))</f>
        <v>0</v>
      </c>
      <c r="HE40" s="1" cm="1">
        <f t="array" ref="HE40">_xlfn.SWITCH($A$2,"average", AVERAGE(Instances!HE40:Instances!HE40),"median", MEDIAN(Instances!HE40:Instances!HE40),"min", MIN(Instances!HE40:Instances!HE40),"max", MAX(Instances!HE40:Instances!HE40),"diff", MAX(Instances!HE40:Instances!HE40)-MIN(Instances!HE40:Instances!HE40))</f>
        <v>0</v>
      </c>
      <c r="HF40" s="1"/>
      <c r="HG40" s="1" cm="1">
        <f t="array" ref="HG40">_xlfn.SWITCH($A$2,"average", AVERAGE(Instances!HG40:Instances!HG40),"median", MEDIAN(Instances!HG40:Instances!HG40),"min", MIN(Instances!HG40:Instances!HG40),"max", MAX(Instances!HG40:Instances!HG40),"diff", MAX(Instances!HG40:Instances!HG40)-MIN(Instances!HG40:Instances!HG40))</f>
        <v>0</v>
      </c>
      <c r="HH40" s="1" cm="1">
        <f t="array" ref="HH40">_xlfn.SWITCH($A$2,"average", AVERAGE(Instances!HH40:Instances!HH40),"median", MEDIAN(Instances!HH40:Instances!HH40),"min", MIN(Instances!HH40:Instances!HH40),"max", MAX(Instances!HH40:Instances!HH40),"diff", MAX(Instances!HH40:Instances!HH40)-MIN(Instances!HH40:Instances!HH40))</f>
        <v>0</v>
      </c>
      <c r="HI40" s="1" cm="1">
        <f t="array" ref="HI40">_xlfn.SWITCH($A$2,"average", AVERAGE(Instances!HI40:Instances!HI40),"median", MEDIAN(Instances!HI40:Instances!HI40),"min", MIN(Instances!HI40:Instances!HI40),"max", MAX(Instances!HI40:Instances!HI40),"diff", MAX(Instances!HI40:Instances!HI40)-MIN(Instances!HI40:Instances!HI40))</f>
        <v>0</v>
      </c>
      <c r="HJ40" s="1" cm="1">
        <f t="array" ref="HJ40">_xlfn.SWITCH($A$2,"average", AVERAGE(Instances!HJ40:Instances!HJ40),"median", MEDIAN(Instances!HJ40:Instances!HJ40),"min", MIN(Instances!HJ40:Instances!HJ40),"max", MAX(Instances!HJ40:Instances!HJ40),"diff", MAX(Instances!HJ40:Instances!HJ40)-MIN(Instances!HJ40:Instances!HJ40))</f>
        <v>0</v>
      </c>
      <c r="HK40" s="1" cm="1">
        <f t="array" ref="HK40">_xlfn.SWITCH($A$2,"average", AVERAGE(Instances!HK40:Instances!HK40),"median", MEDIAN(Instances!HK40:Instances!HK40),"min", MIN(Instances!HK40:Instances!HK40),"max", MAX(Instances!HK40:Instances!HK40),"diff", MAX(Instances!HK40:Instances!HK40)-MIN(Instances!HK40:Instances!HK40))</f>
        <v>0</v>
      </c>
      <c r="HL40" s="1" cm="1">
        <f t="array" ref="HL40">_xlfn.SWITCH($A$2,"average", AVERAGE(Instances!HL40:Instances!HL40),"median", MEDIAN(Instances!HL40:Instances!HL40),"min", MIN(Instances!HL40:Instances!HL40),"max", MAX(Instances!HL40:Instances!HL40),"diff", MAX(Instances!HL40:Instances!HL40)-MIN(Instances!HL40:Instances!HL40))</f>
        <v>0</v>
      </c>
      <c r="HM40" s="1" cm="1">
        <f t="array" ref="HM40">_xlfn.SWITCH($A$2,"average", AVERAGE(Instances!HM40:Instances!HM40),"median", MEDIAN(Instances!HM40:Instances!HM40),"min", MIN(Instances!HM40:Instances!HM40),"max", MAX(Instances!HM40:Instances!HM40),"diff", MAX(Instances!HM40:Instances!HM40)-MIN(Instances!HM40:Instances!HM40))</f>
        <v>0</v>
      </c>
      <c r="HN40" s="1" cm="1">
        <f t="array" ref="HN40">_xlfn.SWITCH($A$2,"average", AVERAGE(Instances!HN40:Instances!HN40),"median", MEDIAN(Instances!HN40:Instances!HN40),"min", MIN(Instances!HN40:Instances!HN40),"max", MAX(Instances!HN40:Instances!HN40),"diff", MAX(Instances!HN40:Instances!HN40)-MIN(Instances!HN40:Instances!HN40))</f>
        <v>0</v>
      </c>
      <c r="HO40" s="1" cm="1">
        <f t="array" ref="HO40">_xlfn.SWITCH($A$2,"average", AVERAGE(Instances!HO40:Instances!HO40),"median", MEDIAN(Instances!HO40:Instances!HO40),"min", MIN(Instances!HO40:Instances!HO40),"max", MAX(Instances!HO40:Instances!HO40),"diff", MAX(Instances!HO40:Instances!HO40)-MIN(Instances!HO40:Instances!HO40))</f>
        <v>0</v>
      </c>
      <c r="HP40" s="1" cm="1">
        <f t="array" ref="HP40">_xlfn.SWITCH($A$2,"average", AVERAGE(Instances!HP40:Instances!HP40),"median", MEDIAN(Instances!HP40:Instances!HP40),"min", MIN(Instances!HP40:Instances!HP40),"max", MAX(Instances!HP40:Instances!HP40),"diff", MAX(Instances!HP40:Instances!HP40)-MIN(Instances!HP40:Instances!HP40))</f>
        <v>0</v>
      </c>
      <c r="HQ40" s="1" cm="1">
        <f t="array" ref="HQ40">_xlfn.SWITCH($A$2,"average", AVERAGE(Instances!HQ40:Instances!HQ40),"median", MEDIAN(Instances!HQ40:Instances!HQ40),"min", MIN(Instances!HQ40:Instances!HQ40),"max", MAX(Instances!HQ40:Instances!HQ40),"diff", MAX(Instances!HQ40:Instances!HQ40)-MIN(Instances!HQ40:Instances!HQ40))</f>
        <v>0</v>
      </c>
      <c r="HR40" s="1" cm="1">
        <f t="array" ref="HR40">_xlfn.SWITCH($A$2,"average", AVERAGE(Instances!HR40:Instances!HR40),"median", MEDIAN(Instances!HR40:Instances!HR40),"min", MIN(Instances!HR40:Instances!HR40),"max", MAX(Instances!HR40:Instances!HR40),"diff", MAX(Instances!HR40:Instances!HR40)-MIN(Instances!HR40:Instances!HR40))</f>
        <v>0</v>
      </c>
      <c r="HS40" s="1" cm="1">
        <f t="array" ref="HS40">_xlfn.SWITCH($A$2,"average", AVERAGE(Instances!HS40:Instances!HS40),"median", MEDIAN(Instances!HS40:Instances!HS40),"min", MIN(Instances!HS40:Instances!HS40),"max", MAX(Instances!HS40:Instances!HS40),"diff", MAX(Instances!HS40:Instances!HS40)-MIN(Instances!HS40:Instances!HS40))</f>
        <v>0</v>
      </c>
      <c r="HT40" s="1" cm="1">
        <f t="array" ref="HT40">_xlfn.SWITCH($A$2,"average", AVERAGE(Instances!HT40:Instances!HT40),"median", MEDIAN(Instances!HT40:Instances!HT40),"min", MIN(Instances!HT40:Instances!HT40),"max", MAX(Instances!HT40:Instances!HT40),"diff", MAX(Instances!HT40:Instances!HT40)-MIN(Instances!HT40:Instances!HT40))</f>
        <v>0</v>
      </c>
      <c r="HU40" s="1" cm="1">
        <f t="array" ref="HU40">_xlfn.SWITCH($A$2,"average", AVERAGE(Instances!HU40:Instances!HU40),"median", MEDIAN(Instances!HU40:Instances!HU40),"min", MIN(Instances!HU40:Instances!HU40),"max", MAX(Instances!HU40:Instances!HU40),"diff", MAX(Instances!HU40:Instances!HU40)-MIN(Instances!HU40:Instances!HU40))</f>
        <v>0</v>
      </c>
      <c r="HV40" s="1" cm="1">
        <f t="array" ref="HV40">_xlfn.SWITCH($A$2,"average", AVERAGE(Instances!HV40:Instances!HV40),"median", MEDIAN(Instances!HV40:Instances!HV40),"min", MIN(Instances!HV40:Instances!HV40),"max", MAX(Instances!HV40:Instances!HV40),"diff", MAX(Instances!HV40:Instances!HV40)-MIN(Instances!HV40:Instances!HV40))</f>
        <v>0</v>
      </c>
      <c r="HW40" s="1" cm="1">
        <f t="array" ref="HW40">_xlfn.SWITCH($A$2,"average", AVERAGE(Instances!HW40:Instances!HW40),"median", MEDIAN(Instances!HW40:Instances!HW40),"min", MIN(Instances!HW40:Instances!HW40),"max", MAX(Instances!HW40:Instances!HW40),"diff", MAX(Instances!HW40:Instances!HW40)-MIN(Instances!HW40:Instances!HW40))</f>
        <v>0</v>
      </c>
      <c r="HX40" s="1"/>
      <c r="HY40" s="1" cm="1">
        <f t="array" ref="HY40">_xlfn.SWITCH($A$2,"average", AVERAGE(Instances!HY40:Instances!HY40),"median", MEDIAN(Instances!HY40:Instances!HY40),"min", MIN(Instances!HY40:Instances!HY40),"max", MAX(Instances!HY40:Instances!HY40),"diff", MAX(Instances!HY40:Instances!HY40)-MIN(Instances!HY40:Instances!HY40))</f>
        <v>0</v>
      </c>
      <c r="HZ40" s="1" cm="1">
        <f t="array" ref="HZ40">_xlfn.SWITCH($A$2,"average", AVERAGE(Instances!HZ40:Instances!HZ40),"median", MEDIAN(Instances!HZ40:Instances!HZ40),"min", MIN(Instances!HZ40:Instances!HZ40),"max", MAX(Instances!HZ40:Instances!HZ40),"diff", MAX(Instances!HZ40:Instances!HZ40)-MIN(Instances!HZ40:Instances!HZ40))</f>
        <v>0</v>
      </c>
      <c r="IA40" s="1" cm="1">
        <f t="array" ref="IA40">_xlfn.SWITCH($A$2,"average", AVERAGE(Instances!IA40:Instances!IA40),"median", MEDIAN(Instances!IA40:Instances!IA40),"min", MIN(Instances!IA40:Instances!IA40),"max", MAX(Instances!IA40:Instances!IA40),"diff", MAX(Instances!IA40:Instances!IA40)-MIN(Instances!IA40:Instances!IA40))</f>
        <v>0</v>
      </c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 cm="1">
        <f t="array" ref="JL40">_xlfn.SWITCH($A$2,"average", AVERAGE(Instances!JL40:Instances!JL40),"median", MEDIAN(Instances!JL40:Instances!JL40),"min", MIN(Instances!JL40:Instances!JL40),"max", MAX(Instances!JL40:Instances!JL40),"diff", MAX(Instances!JL40:Instances!JL40)-MIN(Instances!JL40:Instances!JL40))</f>
        <v>0</v>
      </c>
      <c r="JM40" s="1" cm="1">
        <f t="array" ref="JM40">_xlfn.SWITCH($A$2,"average", AVERAGE(Instances!JM40:Instances!JM40),"median", MEDIAN(Instances!JM40:Instances!JM40),"min", MIN(Instances!JM40:Instances!JM40),"max", MAX(Instances!JM40:Instances!JM40),"diff", MAX(Instances!JM40:Instances!JM40)-MIN(Instances!JM40:Instances!JM40))</f>
        <v>0</v>
      </c>
      <c r="JN40" s="1" cm="1">
        <f t="array" ref="JN40">_xlfn.SWITCH($A$2,"average", AVERAGE(Instances!JN40:Instances!JN40),"median", MEDIAN(Instances!JN40:Instances!JN40),"min", MIN(Instances!JN40:Instances!JN40),"max", MAX(Instances!JN40:Instances!JN40),"diff", MAX(Instances!JN40:Instances!JN40)-MIN(Instances!JN40:Instances!JN40))</f>
        <v>0</v>
      </c>
      <c r="JO40" s="1" cm="1">
        <f t="array" ref="JO40">_xlfn.SWITCH($A$2,"average", AVERAGE(Instances!JO40:Instances!JO40),"median", MEDIAN(Instances!JO40:Instances!JO40),"min", MIN(Instances!JO40:Instances!JO40),"max", MAX(Instances!JO40:Instances!JO40),"diff", MAX(Instances!JO40:Instances!JO40)-MIN(Instances!JO40:Instances!JO40))</f>
        <v>0</v>
      </c>
      <c r="JP40" s="1" cm="1">
        <f t="array" ref="JP40">_xlfn.SWITCH($A$2,"average", AVERAGE(Instances!JP40:Instances!JP40),"median", MEDIAN(Instances!JP40:Instances!JP40),"min", MIN(Instances!JP40:Instances!JP40),"max", MAX(Instances!JP40:Instances!JP40),"diff", MAX(Instances!JP40:Instances!JP40)-MIN(Instances!JP40:Instances!JP40))</f>
        <v>0</v>
      </c>
      <c r="JQ40" s="1" cm="1">
        <f t="array" ref="JQ40">_xlfn.SWITCH($A$2,"average", AVERAGE(Instances!JQ40:Instances!JQ40),"median", MEDIAN(Instances!JQ40:Instances!JQ40),"min", MIN(Instances!JQ40:Instances!JQ40),"max", MAX(Instances!JQ40:Instances!JQ40),"diff", MAX(Instances!JQ40:Instances!JQ40)-MIN(Instances!JQ40:Instances!JQ40))</f>
        <v>0</v>
      </c>
      <c r="JR40" s="1" cm="1">
        <f t="array" ref="JR40">_xlfn.SWITCH($A$2,"average", AVERAGE(Instances!JR40:Instances!JR40),"median", MEDIAN(Instances!JR40:Instances!JR40),"min", MIN(Instances!JR40:Instances!JR40),"max", MAX(Instances!JR40:Instances!JR40),"diff", MAX(Instances!JR40:Instances!JR40)-MIN(Instances!JR40:Instances!JR40))</f>
        <v>0</v>
      </c>
      <c r="JS40" s="1" cm="1">
        <f t="array" ref="JS40">_xlfn.SWITCH($A$2,"average", AVERAGE(Instances!JS40:Instances!JS40),"median", MEDIAN(Instances!JS40:Instances!JS40),"min", MIN(Instances!JS40:Instances!JS40),"max", MAX(Instances!JS40:Instances!JS40),"diff", MAX(Instances!JS40:Instances!JS40)-MIN(Instances!JS40:Instances!JS40))</f>
        <v>0</v>
      </c>
      <c r="JT40" s="1" cm="1">
        <f t="array" ref="JT40">_xlfn.SWITCH($A$2,"average", AVERAGE(Instances!JT40:Instances!JT40),"median", MEDIAN(Instances!JT40:Instances!JT40),"min", MIN(Instances!JT40:Instances!JT40),"max", MAX(Instances!JT40:Instances!JT40),"diff", MAX(Instances!JT40:Instances!JT40)-MIN(Instances!JT40:Instances!JT40))</f>
        <v>0</v>
      </c>
      <c r="JU40" s="1" cm="1">
        <f t="array" ref="JU40">_xlfn.SWITCH($A$2,"average", AVERAGE(Instances!JU40:Instances!JU40),"median", MEDIAN(Instances!JU40:Instances!JU40),"min", MIN(Instances!JU40:Instances!JU40),"max", MAX(Instances!JU40:Instances!JU40),"diff", MAX(Instances!JU40:Instances!JU40)-MIN(Instances!JU40:Instances!JU40))</f>
        <v>0</v>
      </c>
      <c r="JV40" s="1" cm="1">
        <f t="array" ref="JV40">_xlfn.SWITCH($A$2,"average", AVERAGE(Instances!JV40:Instances!JV40),"median", MEDIAN(Instances!JV40:Instances!JV40),"min", MIN(Instances!JV40:Instances!JV40),"max", MAX(Instances!JV40:Instances!JV40),"diff", MAX(Instances!JV40:Instances!JV40)-MIN(Instances!JV40:Instances!JV40))</f>
        <v>0</v>
      </c>
      <c r="JW40" s="1" cm="1">
        <f t="array" ref="JW40">_xlfn.SWITCH($A$2,"average", AVERAGE(Instances!JW40:Instances!JW40),"median", MEDIAN(Instances!JW40:Instances!JW40),"min", MIN(Instances!JW40:Instances!JW40),"max", MAX(Instances!JW40:Instances!JW40),"diff", MAX(Instances!JW40:Instances!JW40)-MIN(Instances!JW40:Instances!JW40))</f>
        <v>0</v>
      </c>
      <c r="JX40" s="1" cm="1">
        <f t="array" ref="JX40">_xlfn.SWITCH($A$2,"average", AVERAGE(Instances!JX40:Instances!JX40),"median", MEDIAN(Instances!JX40:Instances!JX40),"min", MIN(Instances!JX40:Instances!JX40),"max", MAX(Instances!JX40:Instances!JX40),"diff", MAX(Instances!JX40:Instances!JX40)-MIN(Instances!JX40:Instances!JX40))</f>
        <v>0</v>
      </c>
      <c r="JY40" s="1" cm="1">
        <f t="array" ref="JY40">_xlfn.SWITCH($A$2,"average", AVERAGE(Instances!JY40:Instances!JY40),"median", MEDIAN(Instances!JY40:Instances!JY40),"min", MIN(Instances!JY40:Instances!JY40),"max", MAX(Instances!JY40:Instances!JY40),"diff", MAX(Instances!JY40:Instances!JY40)-MIN(Instances!JY40:Instances!JY40))</f>
        <v>0</v>
      </c>
      <c r="JZ40" s="1"/>
      <c r="KA40" s="1" cm="1">
        <f t="array" ref="KA40">_xlfn.SWITCH($A$2,"average", AVERAGE(Instances!KA40:Instances!KA40),"median", MEDIAN(Instances!KA40:Instances!KA40),"min", MIN(Instances!KA40:Instances!KA40),"max", MAX(Instances!KA40:Instances!KA40),"diff", MAX(Instances!KA40:Instances!KA40)-MIN(Instances!KA40:Instances!KA40))</f>
        <v>0</v>
      </c>
      <c r="KB40" s="1" cm="1">
        <f t="array" ref="KB40">_xlfn.SWITCH($A$2,"average", AVERAGE(Instances!KB40:Instances!KB40),"median", MEDIAN(Instances!KB40:Instances!KB40),"min", MIN(Instances!KB40:Instances!KB40),"max", MAX(Instances!KB40:Instances!KB40),"diff", MAX(Instances!KB40:Instances!KB40)-MIN(Instances!KB40:Instances!KB40))</f>
        <v>0</v>
      </c>
      <c r="KC40" s="1" cm="1">
        <f t="array" ref="KC40">_xlfn.SWITCH($A$2,"average", AVERAGE(Instances!KC40:Instances!KC40),"median", MEDIAN(Instances!KC40:Instances!KC40),"min", MIN(Instances!KC40:Instances!KC40),"max", MAX(Instances!KC40:Instances!KC40),"diff", MAX(Instances!KC40:Instances!KC40)-MIN(Instances!KC40:Instances!KC40))</f>
        <v>0</v>
      </c>
      <c r="KD40" s="1">
        <f>MIN($B40,$T40,$AL40,$BD40,$BV40,$CN40,$DF40,$DX40,$EP40,$FH40,$FZ40,$GR40,$HJ40,$IB40,$IT40,$JL40)</f>
        <v>0</v>
      </c>
      <c r="KE40" s="1">
        <f>MIN($C40,$U40,$AM40,$BE40,$BW40,$CO40,$DG40,$DY40,$EQ40,$FI40,$GA40,$GS40,$HK40,$IC40,$IU40,$JM40)</f>
        <v>0</v>
      </c>
      <c r="KF40" s="1">
        <f>MIN($D40,$V40,$AN40,$BF40,$BX40,$CP40,$DH40,$DZ40,$ER40,$FJ40,$GB40,$GT40,$HL40,$ID40,$IV40,$JN40)</f>
        <v>0</v>
      </c>
      <c r="KG40" s="1">
        <f>MIN($E40,$W40,$AO40,$BG40,$BY40,$CQ40,$DI40,$EA40,$ES40,$FK40,$GC40,$GU40,$HM40,$IE40,$IW40,$JO40)</f>
        <v>0</v>
      </c>
      <c r="KH40" s="1">
        <f>MIN($F40,$X40,$AP40,$BH40,$BZ40,$CR40,$DJ40,$EB40,$ET40,$FL40,$GD40,$GV40,$HN40,$IF40,$IX40,$JP40)</f>
        <v>0</v>
      </c>
      <c r="KI40" s="1">
        <f>MIN($G40,$Y40,$AQ40,$BI40,$CA40,$CS40,$DK40,$EC40,$EU40,$FM40,$GE40,$GW40,$HO40,$IG40,$IY40,$JQ40)</f>
        <v>0</v>
      </c>
      <c r="KJ40" s="1">
        <f>MIN($H40,$Z40,$AR40,$BJ40,$CB40,$CT40,$DL40,$ED40,$EV40,$FN40,$GF40,$GX40,$HP40,$IH40,$IZ40,$JR40)</f>
        <v>0</v>
      </c>
      <c r="KK40" s="1">
        <f>MIN($I40,$AA40,$AS40,$BK40,$CC40,$CU40,$DM40,$EE40,$EW40,$FO40,$GG40,$GY40,$HQ40,$II40,$JA40,$JS40)</f>
        <v>0</v>
      </c>
      <c r="KL40" s="1">
        <f>MIN($J40,$AB40,$AT40,$BL40,$CD40,$CV40,$DN40,$EF40,$EX40,$FP40,$GH40,$GZ40,$HR40,$IJ40,$JB40,$JT40)</f>
        <v>0</v>
      </c>
      <c r="KM40" s="1">
        <f>MIN($K40,$AC40,$AU40,$BM40,$CE40,$CW40,$DO40,$EG40,$EY40,$FQ40,$GI40,$HA40,$HS40,$IK40,$JC40,$JU40)</f>
        <v>0</v>
      </c>
      <c r="KN40" s="1">
        <f>MIN($L40,$AD40,$AV40,$BN40,$CF40,$CX40,$DP40,$EH40,$EZ40,$FR40,$GJ40,$HB40,$HT40,$IL40,$JD40,$JV40)</f>
        <v>0</v>
      </c>
      <c r="KO40" s="1">
        <f>MIN($M40,$AE40,$AW40,$BO40,$CG40,$CY40,$DQ40,$EI40,$FA40,$FS40,$GK40,$HC40,$HU40,$IM40,$JE40,$JW40)</f>
        <v>0</v>
      </c>
      <c r="KP40" s="1">
        <f>MIN($N40,$AF40,$AX40,$BP40,$CH40,$CZ40,$DR40,$EJ40,$FB40,$FT40,$GL40,$HD40,$HV40,$IN40,$JF40,$JX40)</f>
        <v>0</v>
      </c>
      <c r="KQ40" s="1">
        <f>MIN($O40,$AG40,$AY40,$BQ40,$CI40,$DA40,$DS40,$EK40,$FC40,$FU40,$GM40,$HE40,$HW40,$IO40,$JG40,$JY40)</f>
        <v>0</v>
      </c>
      <c r="KR40" s="1">
        <f>MIN($Q40,$AI40,$BA40,$BS40,$CK40,$DC40,$DU40,$EM40,$FE40,$FW40,$GO40,$HG40,$HY40,$IQ40,$JI40,$KA40)</f>
        <v>0</v>
      </c>
      <c r="KS40" s="1">
        <f>MIN($R40,$AJ40,$BB40,$BT40,$CL40,$DD40,$DV40,$EN40,$FF40,$FX40,$GP40,$HH40,$HZ40,$IR40,$JJ40,$KB40)</f>
        <v>0</v>
      </c>
      <c r="KT40" s="1">
        <f>MIN($S40,$AK40,$BC40,$BU40,$CM40,$DE40,$DW40,$EO40,$FG40,$FY40,$GQ40,$HI40,$IA40,$IS40,$JK40,$KC40)</f>
        <v>0</v>
      </c>
      <c r="KU40" s="1">
        <f>MEDIAN($B40,$T40,$AL40,$BD40,$BV40,$CN40,$DF40,$DX40,$EP40,$FH40,$FZ40,$GR40,$HJ40,$IB40,$IT40,$JL40)</f>
        <v>0</v>
      </c>
      <c r="KV40" s="1">
        <f>MEDIAN($C40,$U40,$AM40,$BE40,$BW40,$CO40,$DG40,$DY40,$EQ40,$FI40,$GA40,$GS40,$HK40,$IC40,$IU40,$JM40)</f>
        <v>0</v>
      </c>
      <c r="KW40" s="1">
        <f>MEDIAN($D40,$V40,$AN40,$BF40,$BX40,$CP40,$DH40,$DZ40,$ER40,$FJ40,$GB40,$GT40,$HL40,$ID40,$IV40,$JN40)</f>
        <v>0</v>
      </c>
      <c r="KX40" s="1">
        <f>MEDIAN($E40,$W40,$AO40,$BG40,$BY40,$CQ40,$DI40,$EA40,$ES40,$FK40,$GC40,$GU40,$HM40,$IE40,$IW40,$JO40)</f>
        <v>0</v>
      </c>
      <c r="KY40" s="1">
        <f>MEDIAN($F40,$X40,$AP40,$BH40,$BZ40,$CR40,$DJ40,$EB40,$ET40,$FL40,$GD40,$GV40,$HN40,$IF40,$IX40,$JP40)</f>
        <v>0</v>
      </c>
      <c r="KZ40" s="1">
        <f>MEDIAN($G40,$Y40,$AQ40,$BI40,$CA40,$CS40,$DK40,$EC40,$EU40,$FM40,$GE40,$GW40,$HO40,$IG40,$IY40,$JQ40)</f>
        <v>0</v>
      </c>
      <c r="LA40" s="1">
        <f>MEDIAN($H40,$Z40,$AR40,$BJ40,$CB40,$CT40,$DL40,$ED40,$EV40,$FN40,$GF40,$GX40,$HP40,$IH40,$IZ40,$JR40)</f>
        <v>0</v>
      </c>
      <c r="LB40" s="1">
        <f>MEDIAN($I40,$AA40,$AS40,$BK40,$CC40,$CU40,$DM40,$EE40,$EW40,$FO40,$GG40,$GY40,$HQ40,$II40,$JA40,$JS40)</f>
        <v>0</v>
      </c>
      <c r="LC40" s="1">
        <f>MEDIAN($J40,$AB40,$AT40,$BL40,$CD40,$CV40,$DN40,$EF40,$EX40,$FP40,$GH40,$GZ40,$HR40,$IJ40,$JB40,$JT40)</f>
        <v>0</v>
      </c>
      <c r="LD40" s="1">
        <f>MEDIAN($K40,$AC40,$AU40,$BM40,$CE40,$CW40,$DO40,$EG40,$EY40,$FQ40,$GI40,$HA40,$HS40,$IK40,$JC40,$JU40)</f>
        <v>0</v>
      </c>
      <c r="LE40" s="1">
        <f>MEDIAN($L40,$AD40,$AV40,$BN40,$CF40,$CX40,$DP40,$EH40,$EZ40,$FR40,$GJ40,$HB40,$HT40,$IL40,$JD40,$JV40)</f>
        <v>0</v>
      </c>
      <c r="LF40" s="1">
        <f>MEDIAN($M40,$AE40,$AW40,$BO40,$CG40,$CY40,$DQ40,$EI40,$FA40,$FS40,$GK40,$HC40,$HU40,$IM40,$JE40,$JW40)</f>
        <v>0</v>
      </c>
      <c r="LG40" s="1">
        <f>MEDIAN($N40,$AF40,$AX40,$BP40,$CH40,$CZ40,$DR40,$EJ40,$FB40,$FT40,$GL40,$HD40,$HV40,$IN40,$JF40,$JX40)</f>
        <v>0</v>
      </c>
      <c r="LH40" s="1">
        <f>MEDIAN($O40,$AG40,$AY40,$BQ40,$CI40,$DA40,$DS40,$EK40,$FC40,$FU40,$GM40,$HE40,$HW40,$IO40,$JG40,$JY40)</f>
        <v>0</v>
      </c>
      <c r="LI40" s="1">
        <f>MEDIAN($Q40,$AI40,$BA40,$BS40,$CK40,$DC40,$DU40,$EM40,$FE40,$FW40,$GO40,$HG40,$HY40,$IQ40,$JI40,$KA40)</f>
        <v>0</v>
      </c>
      <c r="LJ40" s="1">
        <f>MEDIAN($R40,$AJ40,$BB40,$BT40,$CL40,$DD40,$DV40,$EN40,$FF40,$FX40,$GP40,$HH40,$HZ40,$IR40,$JJ40,$KB40)</f>
        <v>0</v>
      </c>
      <c r="LK40" s="1">
        <f>MEDIAN($S40,$AK40,$BC40,$BU40,$CM40,$DE40,$DW40,$EO40,$FG40,$FY40,$GQ40,$HI40,$IA40,$IS40,$JK40,$KC40)</f>
        <v>0</v>
      </c>
      <c r="LL40" s="1">
        <f>MAX($B40,$T40,$AL40,$BD40,$BV40,$CN40,$DF40,$DX40,$EP40,$FH40,$FZ40,$GR40,$HJ40,$IB40,$IT40,$JL40)</f>
        <v>0</v>
      </c>
      <c r="LM40" s="1">
        <f>MAX($C40,$U40,$AM40,$BE40,$BW40,$CO40,$DG40,$DY40,$EQ40,$FI40,$GA40,$GS40,$HK40,$IC40,$IU40,$JM40)</f>
        <v>0</v>
      </c>
      <c r="LN40" s="1">
        <f>MAX($D40,$V40,$AN40,$BF40,$BX40,$CP40,$DH40,$DZ40,$ER40,$FJ40,$GB40,$GT40,$HL40,$ID40,$IV40,$JN40)</f>
        <v>0</v>
      </c>
      <c r="LO40" s="1">
        <f>MAX($E40,$W40,$AO40,$BG40,$BY40,$CQ40,$DI40,$EA40,$ES40,$FK40,$GC40,$GU40,$HM40,$IE40,$IW40,$JO40)</f>
        <v>0</v>
      </c>
      <c r="LP40" s="1">
        <f>MAX($F40,$X40,$AP40,$BH40,$BZ40,$CR40,$DJ40,$EB40,$ET40,$FL40,$GD40,$GV40,$HN40,$IF40,$IX40,$JP40)</f>
        <v>0</v>
      </c>
      <c r="LQ40" s="1">
        <f>MAX($G40,$Y40,$AQ40,$BI40,$CA40,$CS40,$DK40,$EC40,$EU40,$FM40,$GE40,$GW40,$HO40,$IG40,$IY40,$JQ40)</f>
        <v>0</v>
      </c>
      <c r="LR40" s="1">
        <f>MAX($H40,$Z40,$AR40,$BJ40,$CB40,$CT40,$DL40,$ED40,$EV40,$FN40,$GF40,$GX40,$HP40,$IH40,$IZ40,$JR40)</f>
        <v>0</v>
      </c>
      <c r="LS40" s="1">
        <f>MAX($I40,$AA40,$AS40,$BK40,$CC40,$CU40,$DM40,$EE40,$EW40,$FO40,$GG40,$GY40,$HQ40,$II40,$JA40,$JS40)</f>
        <v>0</v>
      </c>
      <c r="LT40" s="1">
        <f>MAX($J40,$AB40,$AT40,$BL40,$CD40,$CV40,$DN40,$EF40,$EX40,$FP40,$GH40,$GZ40,$HR40,$IJ40,$JB40,$JT40)</f>
        <v>0</v>
      </c>
      <c r="LU40" s="1">
        <f>MAX($K40,$AC40,$AU40,$BM40,$CE40,$CW40,$DO40,$EG40,$EY40,$FQ40,$GI40,$HA40,$HS40,$IK40,$JC40,$JU40)</f>
        <v>0</v>
      </c>
      <c r="LV40" s="1">
        <f>MAX($L40,$AD40,$AV40,$BN40,$CF40,$CX40,$DP40,$EH40,$EZ40,$FR40,$GJ40,$HB40,$HT40,$IL40,$JD40,$JV40)</f>
        <v>0</v>
      </c>
      <c r="LW40" s="1">
        <f>MAX($M40,$AE40,$AW40,$BO40,$CG40,$CY40,$DQ40,$EI40,$FA40,$FS40,$GK40,$HC40,$HU40,$IM40,$JE40,$JW40)</f>
        <v>0</v>
      </c>
      <c r="LX40" s="1">
        <f>MAX($N40,$AF40,$AX40,$BP40,$CH40,$CZ40,$DR40,$EJ40,$FB40,$FT40,$GL40,$HD40,$HV40,$IN40,$JF40,$JX40)</f>
        <v>0</v>
      </c>
      <c r="LY40" s="1">
        <f>MAX($O40,$AG40,$AY40,$BQ40,$CI40,$DA40,$DS40,$EK40,$FC40,$FU40,$GM40,$HE40,$HW40,$IO40,$JG40,$JY40)</f>
        <v>0</v>
      </c>
      <c r="LZ40" s="1">
        <f>MAX($Q40,$AI40,$BA40,$BS40,$CK40,$DC40,$DU40,$EM40,$FE40,$FW40,$GO40,$HG40,$HY40,$IQ40,$JI40,$KA40)</f>
        <v>0</v>
      </c>
      <c r="MA40" s="1">
        <f>MAX($R40,$AJ40,$BB40,$BT40,$CL40,$DD40,$DV40,$EN40,$FF40,$FX40,$GP40,$HH40,$HZ40,$IR40,$JJ40,$KB40)</f>
        <v>0</v>
      </c>
      <c r="MB40" s="1">
        <f>MAX($S40,$AK40,$BC40,$BU40,$CM40,$DE40,$DW40,$EO40,$FG40,$FY40,$GQ40,$HI40,$IA40,$IS40,$JK40,$KC40)</f>
        <v>0</v>
      </c>
    </row>
    <row r="41" spans="1:340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 cm="1">
        <f t="array" ref="L41">_xlfn.SWITCH($A$2,"average", AVERAGE(Instances!L41:Instances!L41),"median", MEDIAN(Instances!L41:Instances!L41),"min", MIN(Instances!L41:Instances!L41),"max", MAX(Instances!L41:Instances!L41),"diff", MAX(Instances!L41:Instances!L41)-MIN(Instances!L41:Instances!L41))</f>
        <v>0</v>
      </c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 cm="1">
        <f t="array" ref="O41">_xlfn.SWITCH($A$2,"average", AVERAGE(Instances!O41:Instances!O41),"median", MEDIAN(Instances!O41:Instances!O41),"min", MIN(Instances!O41:Instances!O41),"max", MAX(Instances!O41:Instances!O41),"diff", MAX(Instances!O41:Instances!O41)-MIN(Instances!O41:Instances!O41))</f>
        <v>0</v>
      </c>
      <c r="P41" s="1"/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 cm="1">
        <f t="array" ref="S41">_xlfn.SWITCH($A$2,"average", AVERAGE(Instances!S41:Instances!S41),"median", MEDIAN(Instances!S41:Instances!S41),"min", MIN(Instances!S41:Instances!S41),"max", MAX(Instances!S41:Instances!S41),"diff", MAX(Instances!S41:Instances!S41)-MIN(Instances!S41:Instances!S41))</f>
        <v>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 cm="1">
        <f t="array" ref="AL41">_xlfn.SWITCH($A$2,"average", AVERAGE(Instances!AL41:Instances!AL41),"median", MEDIAN(Instances!AL41:Instances!AL41),"min", MIN(Instances!AL41:Instances!AL41),"max", MAX(Instances!AL41:Instances!AL41),"diff", MAX(Instances!AL41:Instances!AL41)-MIN(Instances!AL41:Instances!AL41))</f>
        <v>0</v>
      </c>
      <c r="AM41" s="1" cm="1">
        <f t="array" ref="AM41">_xlfn.SWITCH($A$2,"average", AVERAGE(Instances!AM41:Instances!AM41),"median", MEDIAN(Instances!AM41:Instances!AM41),"min", MIN(Instances!AM41:Instances!AM41),"max", MAX(Instances!AM41:Instances!AM41),"diff", MAX(Instances!AM41:Instances!AM41)-MIN(Instances!AM41:Instances!AM41))</f>
        <v>0</v>
      </c>
      <c r="AN41" s="1" cm="1">
        <f t="array" ref="AN41">_xlfn.SWITCH($A$2,"average", AVERAGE(Instances!AN41:Instances!AN41),"median", MEDIAN(Instances!AN41:Instances!AN41),"min", MIN(Instances!AN41:Instances!AN41),"max", MAX(Instances!AN41:Instances!AN41),"diff", MAX(Instances!AN41:Instances!AN41)-MIN(Instances!AN41:Instances!AN41))</f>
        <v>0</v>
      </c>
      <c r="AO41" s="1" cm="1">
        <f t="array" ref="AO41">_xlfn.SWITCH($A$2,"average", AVERAGE(Instances!AO41:Instances!AO41),"median", MEDIAN(Instances!AO41:Instances!AO41),"min", MIN(Instances!AO41:Instances!AO41),"max", MAX(Instances!AO41:Instances!AO41),"diff", MAX(Instances!AO41:Instances!AO41)-MIN(Instances!AO41:Instances!AO41))</f>
        <v>0</v>
      </c>
      <c r="AP41" s="1" cm="1">
        <f t="array" ref="AP41">_xlfn.SWITCH($A$2,"average", AVERAGE(Instances!AP41:Instances!AP41),"median", MEDIAN(Instances!AP41:Instances!AP41),"min", MIN(Instances!AP41:Instances!AP41),"max", MAX(Instances!AP41:Instances!AP41),"diff", MAX(Instances!AP41:Instances!AP41)-MIN(Instances!AP41:Instances!AP41))</f>
        <v>0</v>
      </c>
      <c r="AQ41" s="1" cm="1">
        <f t="array" ref="AQ41">_xlfn.SWITCH($A$2,"average", AVERAGE(Instances!AQ41:Instances!AQ41),"median", MEDIAN(Instances!AQ41:Instances!AQ41),"min", MIN(Instances!AQ41:Instances!AQ41),"max", MAX(Instances!AQ41:Instances!AQ41),"diff", MAX(Instances!AQ41:Instances!AQ41)-MIN(Instances!AQ41:Instances!AQ41))</f>
        <v>0</v>
      </c>
      <c r="AR41" s="1" cm="1">
        <f t="array" ref="AR41">_xlfn.SWITCH($A$2,"average", AVERAGE(Instances!AR41:Instances!AR41),"median", MEDIAN(Instances!AR41:Instances!AR41),"min", MIN(Instances!AR41:Instances!AR41),"max", MAX(Instances!AR41:Instances!AR41),"diff", MAX(Instances!AR41:Instances!AR41)-MIN(Instances!AR41:Instances!AR41))</f>
        <v>0</v>
      </c>
      <c r="AS41" s="1" cm="1">
        <f t="array" ref="AS41">_xlfn.SWITCH($A$2,"average", AVERAGE(Instances!AS41:Instances!AS41),"median", MEDIAN(Instances!AS41:Instances!AS41),"min", MIN(Instances!AS41:Instances!AS41),"max", MAX(Instances!AS41:Instances!AS41),"diff", MAX(Instances!AS41:Instances!AS41)-MIN(Instances!AS41:Instances!AS41))</f>
        <v>0</v>
      </c>
      <c r="AT41" s="1" cm="1">
        <f t="array" ref="AT41">_xlfn.SWITCH($A$2,"average", AVERAGE(Instances!AT41:Instances!AT41),"median", MEDIAN(Instances!AT41:Instances!AT41),"min", MIN(Instances!AT41:Instances!AT41),"max", MAX(Instances!AT41:Instances!AT41),"diff", MAX(Instances!AT41:Instances!AT41)-MIN(Instances!AT41:Instances!AT41))</f>
        <v>0</v>
      </c>
      <c r="AU41" s="1" cm="1">
        <f t="array" ref="AU41">_xlfn.SWITCH($A$2,"average", AVERAGE(Instances!AU41:Instances!AU41),"median", MEDIAN(Instances!AU41:Instances!AU41),"min", MIN(Instances!AU41:Instances!AU41),"max", MAX(Instances!AU41:Instances!AU41),"diff", MAX(Instances!AU41:Instances!AU41)-MIN(Instances!AU41:Instances!AU41))</f>
        <v>0</v>
      </c>
      <c r="AV41" s="1" cm="1">
        <f t="array" ref="AV41">_xlfn.SWITCH($A$2,"average", AVERAGE(Instances!AV41:Instances!AV41),"median", MEDIAN(Instances!AV41:Instances!AV41),"min", MIN(Instances!AV41:Instances!AV41),"max", MAX(Instances!AV41:Instances!AV41),"diff", MAX(Instances!AV41:Instances!AV41)-MIN(Instances!AV41:Instances!AV41))</f>
        <v>0</v>
      </c>
      <c r="AW41" s="1" cm="1">
        <f t="array" ref="AW41">_xlfn.SWITCH($A$2,"average", AVERAGE(Instances!AW41:Instances!AW41),"median", MEDIAN(Instances!AW41:Instances!AW41),"min", MIN(Instances!AW41:Instances!AW41),"max", MAX(Instances!AW41:Instances!AW41),"diff", MAX(Instances!AW41:Instances!AW41)-MIN(Instances!AW41:Instances!AW41))</f>
        <v>0</v>
      </c>
      <c r="AX41" s="1" cm="1">
        <f t="array" ref="AX41">_xlfn.SWITCH($A$2,"average", AVERAGE(Instances!AX41:Instances!AX41),"median", MEDIAN(Instances!AX41:Instances!AX41),"min", MIN(Instances!AX41:Instances!AX41),"max", MAX(Instances!AX41:Instances!AX41),"diff", MAX(Instances!AX41:Instances!AX41)-MIN(Instances!AX41:Instances!AX41))</f>
        <v>0</v>
      </c>
      <c r="AY41" s="1" cm="1">
        <f t="array" ref="AY41">_xlfn.SWITCH($A$2,"average", AVERAGE(Instances!AY41:Instances!AY41),"median", MEDIAN(Instances!AY41:Instances!AY41),"min", MIN(Instances!AY41:Instances!AY41),"max", MAX(Instances!AY41:Instances!AY41),"diff", MAX(Instances!AY41:Instances!AY41)-MIN(Instances!AY41:Instances!AY41))</f>
        <v>0</v>
      </c>
      <c r="AZ41" s="1"/>
      <c r="BA41" s="1" cm="1">
        <f t="array" ref="BA41">_xlfn.SWITCH($A$2,"average", AVERAGE(Instances!BA41:Instances!BA41),"median", MEDIAN(Instances!BA41:Instances!BA41),"min", MIN(Instances!BA41:Instances!BA41),"max", MAX(Instances!BA41:Instances!BA41),"diff", MAX(Instances!BA41:Instances!BA41)-MIN(Instances!BA41:Instances!BA41))</f>
        <v>0</v>
      </c>
      <c r="BB41" s="1" cm="1">
        <f t="array" ref="BB41">_xlfn.SWITCH($A$2,"average", AVERAGE(Instances!BB41:Instances!BB41),"median", MEDIAN(Instances!BB41:Instances!BB41),"min", MIN(Instances!BB41:Instances!BB41),"max", MAX(Instances!BB41:Instances!BB41),"diff", MAX(Instances!BB41:Instances!BB41)-MIN(Instances!BB41:Instances!BB41))</f>
        <v>0</v>
      </c>
      <c r="BC41" s="1" cm="1">
        <f t="array" ref="BC41">_xlfn.SWITCH($A$2,"average", AVERAGE(Instances!BC41:Instances!BC41),"median", MEDIAN(Instances!BC41:Instances!BC41),"min", MIN(Instances!BC41:Instances!BC41),"max", MAX(Instances!BC41:Instances!BC41),"diff", MAX(Instances!BC41:Instances!BC41)-MIN(Instances!BC41:Instances!BC41))</f>
        <v>0</v>
      </c>
      <c r="BD41" s="1" cm="1">
        <f t="array" ref="BD41">_xlfn.SWITCH($A$2,"average", AVERAGE(Instances!BD41:Instances!BD41),"median", MEDIAN(Instances!BD41:Instances!BD41),"min", MIN(Instances!BD41:Instances!BD41),"max", MAX(Instances!BD41:Instances!BD41),"diff", MAX(Instances!BD41:Instances!BD41)-MIN(Instances!BD41:Instances!BD41))</f>
        <v>0</v>
      </c>
      <c r="BE41" s="1" cm="1">
        <f t="array" ref="BE41">_xlfn.SWITCH($A$2,"average", AVERAGE(Instances!BE41:Instances!BE41),"median", MEDIAN(Instances!BE41:Instances!BE41),"min", MIN(Instances!BE41:Instances!BE41),"max", MAX(Instances!BE41:Instances!BE41),"diff", MAX(Instances!BE41:Instances!BE41)-MIN(Instances!BE41:Instances!BE41))</f>
        <v>0</v>
      </c>
      <c r="BF41" s="1" cm="1">
        <f t="array" ref="BF41">_xlfn.SWITCH($A$2,"average", AVERAGE(Instances!BF41:Instances!BF41),"median", MEDIAN(Instances!BF41:Instances!BF41),"min", MIN(Instances!BF41:Instances!BF41),"max", MAX(Instances!BF41:Instances!BF41),"diff", MAX(Instances!BF41:Instances!BF41)-MIN(Instances!BF41:Instances!BF41))</f>
        <v>0</v>
      </c>
      <c r="BG41" s="1" cm="1">
        <f t="array" ref="BG41">_xlfn.SWITCH($A$2,"average", AVERAGE(Instances!BG41:Instances!BG41),"median", MEDIAN(Instances!BG41:Instances!BG41),"min", MIN(Instances!BG41:Instances!BG41),"max", MAX(Instances!BG41:Instances!BG41),"diff", MAX(Instances!BG41:Instances!BG41)-MIN(Instances!BG41:Instances!BG41))</f>
        <v>0</v>
      </c>
      <c r="BH41" s="1" cm="1">
        <f t="array" ref="BH41">_xlfn.SWITCH($A$2,"average", AVERAGE(Instances!BH41:Instances!BH41),"median", MEDIAN(Instances!BH41:Instances!BH41),"min", MIN(Instances!BH41:Instances!BH41),"max", MAX(Instances!BH41:Instances!BH41),"diff", MAX(Instances!BH41:Instances!BH41)-MIN(Instances!BH41:Instances!BH41))</f>
        <v>0</v>
      </c>
      <c r="BI41" s="1" cm="1">
        <f t="array" ref="BI41">_xlfn.SWITCH($A$2,"average", AVERAGE(Instances!BI41:Instances!BI41),"median", MEDIAN(Instances!BI41:Instances!BI41),"min", MIN(Instances!BI41:Instances!BI41),"max", MAX(Instances!BI41:Instances!BI41),"diff", MAX(Instances!BI41:Instances!BI41)-MIN(Instances!BI41:Instances!BI41))</f>
        <v>0</v>
      </c>
      <c r="BJ41" s="1" cm="1">
        <f t="array" ref="BJ41">_xlfn.SWITCH($A$2,"average", AVERAGE(Instances!BJ41:Instances!BJ41),"median", MEDIAN(Instances!BJ41:Instances!BJ41),"min", MIN(Instances!BJ41:Instances!BJ41),"max", MAX(Instances!BJ41:Instances!BJ41),"diff", MAX(Instances!BJ41:Instances!BJ41)-MIN(Instances!BJ41:Instances!BJ41))</f>
        <v>0</v>
      </c>
      <c r="BK41" s="1" cm="1">
        <f t="array" ref="BK41">_xlfn.SWITCH($A$2,"average", AVERAGE(Instances!BK41:Instances!BK41),"median", MEDIAN(Instances!BK41:Instances!BK41),"min", MIN(Instances!BK41:Instances!BK41),"max", MAX(Instances!BK41:Instances!BK41),"diff", MAX(Instances!BK41:Instances!BK41)-MIN(Instances!BK41:Instances!BK41))</f>
        <v>0</v>
      </c>
      <c r="BL41" s="1" cm="1">
        <f t="array" ref="BL41">_xlfn.SWITCH($A$2,"average", AVERAGE(Instances!BL41:Instances!BL41),"median", MEDIAN(Instances!BL41:Instances!BL41),"min", MIN(Instances!BL41:Instances!BL41),"max", MAX(Instances!BL41:Instances!BL41),"diff", MAX(Instances!BL41:Instances!BL41)-MIN(Instances!BL41:Instances!BL41))</f>
        <v>0</v>
      </c>
      <c r="BM41" s="1" cm="1">
        <f t="array" ref="BM41">_xlfn.SWITCH($A$2,"average", AVERAGE(Instances!BM41:Instances!BM41),"median", MEDIAN(Instances!BM41:Instances!BM41),"min", MIN(Instances!BM41:Instances!BM41),"max", MAX(Instances!BM41:Instances!BM41),"diff", MAX(Instances!BM41:Instances!BM41)-MIN(Instances!BM41:Instances!BM41))</f>
        <v>0</v>
      </c>
      <c r="BN41" s="1" cm="1">
        <f t="array" ref="BN41">_xlfn.SWITCH($A$2,"average", AVERAGE(Instances!BN41:Instances!BN41),"median", MEDIAN(Instances!BN41:Instances!BN41),"min", MIN(Instances!BN41:Instances!BN41),"max", MAX(Instances!BN41:Instances!BN41),"diff", MAX(Instances!BN41:Instances!BN41)-MIN(Instances!BN41:Instances!BN41))</f>
        <v>0</v>
      </c>
      <c r="BO41" s="1" cm="1">
        <f t="array" ref="BO41">_xlfn.SWITCH($A$2,"average", AVERAGE(Instances!BO41:Instances!BO41),"median", MEDIAN(Instances!BO41:Instances!BO41),"min", MIN(Instances!BO41:Instances!BO41),"max", MAX(Instances!BO41:Instances!BO41),"diff", MAX(Instances!BO41:Instances!BO41)-MIN(Instances!BO41:Instances!BO41))</f>
        <v>0</v>
      </c>
      <c r="BP41" s="1" cm="1">
        <f t="array" ref="BP41">_xlfn.SWITCH($A$2,"average", AVERAGE(Instances!BP41:Instances!BP41),"median", MEDIAN(Instances!BP41:Instances!BP41),"min", MIN(Instances!BP41:Instances!BP41),"max", MAX(Instances!BP41:Instances!BP41),"diff", MAX(Instances!BP41:Instances!BP41)-MIN(Instances!BP41:Instances!BP41))</f>
        <v>0</v>
      </c>
      <c r="BQ41" s="1" cm="1">
        <f t="array" ref="BQ41">_xlfn.SWITCH($A$2,"average", AVERAGE(Instances!BQ41:Instances!BQ41),"median", MEDIAN(Instances!BQ41:Instances!BQ41),"min", MIN(Instances!BQ41:Instances!BQ41),"max", MAX(Instances!BQ41:Instances!BQ41),"diff", MAX(Instances!BQ41:Instances!BQ41)-MIN(Instances!BQ41:Instances!BQ41))</f>
        <v>0</v>
      </c>
      <c r="BR41" s="1"/>
      <c r="BS41" s="1" cm="1">
        <f t="array" ref="BS41">_xlfn.SWITCH($A$2,"average", AVERAGE(Instances!BS41:Instances!BS41),"median", MEDIAN(Instances!BS41:Instances!BS41),"min", MIN(Instances!BS41:Instances!BS41),"max", MAX(Instances!BS41:Instances!BS41),"diff", MAX(Instances!BS41:Instances!BS41)-MIN(Instances!BS41:Instances!BS41))</f>
        <v>0</v>
      </c>
      <c r="BT41" s="1" cm="1">
        <f t="array" ref="BT41">_xlfn.SWITCH($A$2,"average", AVERAGE(Instances!BT41:Instances!BT41),"median", MEDIAN(Instances!BT41:Instances!BT41),"min", MIN(Instances!BT41:Instances!BT41),"max", MAX(Instances!BT41:Instances!BT41),"diff", MAX(Instances!BT41:Instances!BT41)-MIN(Instances!BT41:Instances!BT41))</f>
        <v>0</v>
      </c>
      <c r="BU41" s="1" cm="1">
        <f t="array" ref="BU41">_xlfn.SWITCH($A$2,"average", AVERAGE(Instances!BU41:Instances!BU41),"median", MEDIAN(Instances!BU41:Instances!BU41),"min", MIN(Instances!BU41:Instances!BU41),"max", MAX(Instances!BU41:Instances!BU41),"diff", MAX(Instances!BU41:Instances!BU41)-MIN(Instances!BU41:Instances!BU41))</f>
        <v>0</v>
      </c>
      <c r="BV41" s="1" cm="1">
        <f t="array" ref="BV41">_xlfn.SWITCH($A$2,"average", AVERAGE(Instances!BV41:Instances!BV41),"median", MEDIAN(Instances!BV41:Instances!BV41),"min", MIN(Instances!BV41:Instances!BV41),"max", MAX(Instances!BV41:Instances!BV41),"diff", MAX(Instances!BV41:Instances!BV41)-MIN(Instances!BV41:Instances!BV41))</f>
        <v>0</v>
      </c>
      <c r="BW41" s="1" cm="1">
        <f t="array" ref="BW41">_xlfn.SWITCH($A$2,"average", AVERAGE(Instances!BW41:Instances!BW41),"median", MEDIAN(Instances!BW41:Instances!BW41),"min", MIN(Instances!BW41:Instances!BW41),"max", MAX(Instances!BW41:Instances!BW41),"diff", MAX(Instances!BW41:Instances!BW41)-MIN(Instances!BW41:Instances!BW41))</f>
        <v>0</v>
      </c>
      <c r="BX41" s="1" cm="1">
        <f t="array" ref="BX41">_xlfn.SWITCH($A$2,"average", AVERAGE(Instances!BX41:Instances!BX41),"median", MEDIAN(Instances!BX41:Instances!BX41),"min", MIN(Instances!BX41:Instances!BX41),"max", MAX(Instances!BX41:Instances!BX41),"diff", MAX(Instances!BX41:Instances!BX41)-MIN(Instances!BX41:Instances!BX41))</f>
        <v>0</v>
      </c>
      <c r="BY41" s="1" cm="1">
        <f t="array" ref="BY41">_xlfn.SWITCH($A$2,"average", AVERAGE(Instances!BY41:Instances!BY41),"median", MEDIAN(Instances!BY41:Instances!BY41),"min", MIN(Instances!BY41:Instances!BY41),"max", MAX(Instances!BY41:Instances!BY41),"diff", MAX(Instances!BY41:Instances!BY41)-MIN(Instances!BY41:Instances!BY41))</f>
        <v>0</v>
      </c>
      <c r="BZ41" s="1" cm="1">
        <f t="array" ref="BZ41">_xlfn.SWITCH($A$2,"average", AVERAGE(Instances!BZ41:Instances!BZ41),"median", MEDIAN(Instances!BZ41:Instances!BZ41),"min", MIN(Instances!BZ41:Instances!BZ41),"max", MAX(Instances!BZ41:Instances!BZ41),"diff", MAX(Instances!BZ41:Instances!BZ41)-MIN(Instances!BZ41:Instances!BZ41))</f>
        <v>0</v>
      </c>
      <c r="CA41" s="1" cm="1">
        <f t="array" ref="CA41">_xlfn.SWITCH($A$2,"average", AVERAGE(Instances!CA41:Instances!CA41),"median", MEDIAN(Instances!CA41:Instances!CA41),"min", MIN(Instances!CA41:Instances!CA41),"max", MAX(Instances!CA41:Instances!CA41),"diff", MAX(Instances!CA41:Instances!CA41)-MIN(Instances!CA41:Instances!CA41))</f>
        <v>0</v>
      </c>
      <c r="CB41" s="1" cm="1">
        <f t="array" ref="CB41">_xlfn.SWITCH($A$2,"average", AVERAGE(Instances!CB41:Instances!CB41),"median", MEDIAN(Instances!CB41:Instances!CB41),"min", MIN(Instances!CB41:Instances!CB41),"max", MAX(Instances!CB41:Instances!CB41),"diff", MAX(Instances!CB41:Instances!CB41)-MIN(Instances!CB41:Instances!CB41))</f>
        <v>0</v>
      </c>
      <c r="CC41" s="1" cm="1">
        <f t="array" ref="CC41">_xlfn.SWITCH($A$2,"average", AVERAGE(Instances!CC41:Instances!CC41),"median", MEDIAN(Instances!CC41:Instances!CC41),"min", MIN(Instances!CC41:Instances!CC41),"max", MAX(Instances!CC41:Instances!CC41),"diff", MAX(Instances!CC41:Instances!CC41)-MIN(Instances!CC41:Instances!CC41))</f>
        <v>0</v>
      </c>
      <c r="CD41" s="1" cm="1">
        <f t="array" ref="CD41">_xlfn.SWITCH($A$2,"average", AVERAGE(Instances!CD41:Instances!CD41),"median", MEDIAN(Instances!CD41:Instances!CD41),"min", MIN(Instances!CD41:Instances!CD41),"max", MAX(Instances!CD41:Instances!CD41),"diff", MAX(Instances!CD41:Instances!CD41)-MIN(Instances!CD41:Instances!CD41))</f>
        <v>0</v>
      </c>
      <c r="CE41" s="1" cm="1">
        <f t="array" ref="CE41">_xlfn.SWITCH($A$2,"average", AVERAGE(Instances!CE41:Instances!CE41),"median", MEDIAN(Instances!CE41:Instances!CE41),"min", MIN(Instances!CE41:Instances!CE41),"max", MAX(Instances!CE41:Instances!CE41),"diff", MAX(Instances!CE41:Instances!CE41)-MIN(Instances!CE41:Instances!CE41))</f>
        <v>0</v>
      </c>
      <c r="CF41" s="1" cm="1">
        <f t="array" ref="CF41">_xlfn.SWITCH($A$2,"average", AVERAGE(Instances!CF41:Instances!CF41),"median", MEDIAN(Instances!CF41:Instances!CF41),"min", MIN(Instances!CF41:Instances!CF41),"max", MAX(Instances!CF41:Instances!CF41),"diff", MAX(Instances!CF41:Instances!CF41)-MIN(Instances!CF41:Instances!CF41))</f>
        <v>0</v>
      </c>
      <c r="CG41" s="1" cm="1">
        <f t="array" ref="CG41">_xlfn.SWITCH($A$2,"average", AVERAGE(Instances!CG41:Instances!CG41),"median", MEDIAN(Instances!CG41:Instances!CG41),"min", MIN(Instances!CG41:Instances!CG41),"max", MAX(Instances!CG41:Instances!CG41),"diff", MAX(Instances!CG41:Instances!CG41)-MIN(Instances!CG41:Instances!CG41))</f>
        <v>0</v>
      </c>
      <c r="CH41" s="1" cm="1">
        <f t="array" ref="CH41">_xlfn.SWITCH($A$2,"average", AVERAGE(Instances!CH41:Instances!CH41),"median", MEDIAN(Instances!CH41:Instances!CH41),"min", MIN(Instances!CH41:Instances!CH41),"max", MAX(Instances!CH41:Instances!CH41),"diff", MAX(Instances!CH41:Instances!CH41)-MIN(Instances!CH41:Instances!CH41))</f>
        <v>0</v>
      </c>
      <c r="CI41" s="1" cm="1">
        <f t="array" ref="CI41">_xlfn.SWITCH($A$2,"average", AVERAGE(Instances!CI41:Instances!CI41),"median", MEDIAN(Instances!CI41:Instances!CI41),"min", MIN(Instances!CI41:Instances!CI41),"max", MAX(Instances!CI41:Instances!CI41),"diff", MAX(Instances!CI41:Instances!CI41)-MIN(Instances!CI41:Instances!CI41))</f>
        <v>0</v>
      </c>
      <c r="CJ41" s="1"/>
      <c r="CK41" s="1" cm="1">
        <f t="array" ref="CK41">_xlfn.SWITCH($A$2,"average", AVERAGE(Instances!CK41:Instances!CK41),"median", MEDIAN(Instances!CK41:Instances!CK41),"min", MIN(Instances!CK41:Instances!CK41),"max", MAX(Instances!CK41:Instances!CK41),"diff", MAX(Instances!CK41:Instances!CK41)-MIN(Instances!CK41:Instances!CK41))</f>
        <v>0</v>
      </c>
      <c r="CL41" s="1" cm="1">
        <f t="array" ref="CL41">_xlfn.SWITCH($A$2,"average", AVERAGE(Instances!CL41:Instances!CL41),"median", MEDIAN(Instances!CL41:Instances!CL41),"min", MIN(Instances!CL41:Instances!CL41),"max", MAX(Instances!CL41:Instances!CL41),"diff", MAX(Instances!CL41:Instances!CL41)-MIN(Instances!CL41:Instances!CL41))</f>
        <v>0</v>
      </c>
      <c r="CM41" s="1" cm="1">
        <f t="array" ref="CM41">_xlfn.SWITCH($A$2,"average", AVERAGE(Instances!CM41:Instances!CM41),"median", MEDIAN(Instances!CM41:Instances!CM41),"min", MIN(Instances!CM41:Instances!CM41),"max", MAX(Instances!CM41:Instances!CM41),"diff", MAX(Instances!CM41:Instances!CM41)-MIN(Instances!CM41:Instances!CM41))</f>
        <v>0</v>
      </c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 cm="1">
        <f t="array" ref="DX41">_xlfn.SWITCH($A$2,"average", AVERAGE(Instances!DX41:Instances!DX41),"median", MEDIAN(Instances!DX41:Instances!DX41),"min", MIN(Instances!DX41:Instances!DX41),"max", MAX(Instances!DX41:Instances!DX41),"diff", MAX(Instances!DX41:Instances!DX41)-MIN(Instances!DX41:Instances!DX41))</f>
        <v>0</v>
      </c>
      <c r="DY41" s="1" cm="1">
        <f t="array" ref="DY41">_xlfn.SWITCH($A$2,"average", AVERAGE(Instances!DY41:Instances!DY41),"median", MEDIAN(Instances!DY41:Instances!DY41),"min", MIN(Instances!DY41:Instances!DY41),"max", MAX(Instances!DY41:Instances!DY41),"diff", MAX(Instances!DY41:Instances!DY41)-MIN(Instances!DY41:Instances!DY41))</f>
        <v>0</v>
      </c>
      <c r="DZ41" s="1" cm="1">
        <f t="array" ref="DZ41">_xlfn.SWITCH($A$2,"average", AVERAGE(Instances!DZ41:Instances!DZ41),"median", MEDIAN(Instances!DZ41:Instances!DZ41),"min", MIN(Instances!DZ41:Instances!DZ41),"max", MAX(Instances!DZ41:Instances!DZ41),"diff", MAX(Instances!DZ41:Instances!DZ41)-MIN(Instances!DZ41:Instances!DZ41))</f>
        <v>0</v>
      </c>
      <c r="EA41" s="1" cm="1">
        <f t="array" ref="EA41">_xlfn.SWITCH($A$2,"average", AVERAGE(Instances!EA41:Instances!EA41),"median", MEDIAN(Instances!EA41:Instances!EA41),"min", MIN(Instances!EA41:Instances!EA41),"max", MAX(Instances!EA41:Instances!EA41),"diff", MAX(Instances!EA41:Instances!EA41)-MIN(Instances!EA41:Instances!EA41))</f>
        <v>0</v>
      </c>
      <c r="EB41" s="1" cm="1">
        <f t="array" ref="EB41">_xlfn.SWITCH($A$2,"average", AVERAGE(Instances!EB41:Instances!EB41),"median", MEDIAN(Instances!EB41:Instances!EB41),"min", MIN(Instances!EB41:Instances!EB41),"max", MAX(Instances!EB41:Instances!EB41),"diff", MAX(Instances!EB41:Instances!EB41)-MIN(Instances!EB41:Instances!EB41))</f>
        <v>0</v>
      </c>
      <c r="EC41" s="1" cm="1">
        <f t="array" ref="EC41">_xlfn.SWITCH($A$2,"average", AVERAGE(Instances!EC41:Instances!EC41),"median", MEDIAN(Instances!EC41:Instances!EC41),"min", MIN(Instances!EC41:Instances!EC41),"max", MAX(Instances!EC41:Instances!EC41),"diff", MAX(Instances!EC41:Instances!EC41)-MIN(Instances!EC41:Instances!EC41))</f>
        <v>0</v>
      </c>
      <c r="ED41" s="1" cm="1">
        <f t="array" ref="ED41">_xlfn.SWITCH($A$2,"average", AVERAGE(Instances!ED41:Instances!ED41),"median", MEDIAN(Instances!ED41:Instances!ED41),"min", MIN(Instances!ED41:Instances!ED41),"max", MAX(Instances!ED41:Instances!ED41),"diff", MAX(Instances!ED41:Instances!ED41)-MIN(Instances!ED41:Instances!ED41))</f>
        <v>0</v>
      </c>
      <c r="EE41" s="1" cm="1">
        <f t="array" ref="EE41">_xlfn.SWITCH($A$2,"average", AVERAGE(Instances!EE41:Instances!EE41),"median", MEDIAN(Instances!EE41:Instances!EE41),"min", MIN(Instances!EE41:Instances!EE41),"max", MAX(Instances!EE41:Instances!EE41),"diff", MAX(Instances!EE41:Instances!EE41)-MIN(Instances!EE41:Instances!EE41))</f>
        <v>0</v>
      </c>
      <c r="EF41" s="1" cm="1">
        <f t="array" ref="EF41">_xlfn.SWITCH($A$2,"average", AVERAGE(Instances!EF41:Instances!EF41),"median", MEDIAN(Instances!EF41:Instances!EF41),"min", MIN(Instances!EF41:Instances!EF41),"max", MAX(Instances!EF41:Instances!EF41),"diff", MAX(Instances!EF41:Instances!EF41)-MIN(Instances!EF41:Instances!EF41))</f>
        <v>0</v>
      </c>
      <c r="EG41" s="1" cm="1">
        <f t="array" ref="EG41">_xlfn.SWITCH($A$2,"average", AVERAGE(Instances!EG41:Instances!EG41),"median", MEDIAN(Instances!EG41:Instances!EG41),"min", MIN(Instances!EG41:Instances!EG41),"max", MAX(Instances!EG41:Instances!EG41),"diff", MAX(Instances!EG41:Instances!EG41)-MIN(Instances!EG41:Instances!EG41))</f>
        <v>0</v>
      </c>
      <c r="EH41" s="1" cm="1">
        <f t="array" ref="EH41">_xlfn.SWITCH($A$2,"average", AVERAGE(Instances!EH41:Instances!EH41),"median", MEDIAN(Instances!EH41:Instances!EH41),"min", MIN(Instances!EH41:Instances!EH41),"max", MAX(Instances!EH41:Instances!EH41),"diff", MAX(Instances!EH41:Instances!EH41)-MIN(Instances!EH41:Instances!EH41))</f>
        <v>0</v>
      </c>
      <c r="EI41" s="1" cm="1">
        <f t="array" ref="EI41">_xlfn.SWITCH($A$2,"average", AVERAGE(Instances!EI41:Instances!EI41),"median", MEDIAN(Instances!EI41:Instances!EI41),"min", MIN(Instances!EI41:Instances!EI41),"max", MAX(Instances!EI41:Instances!EI41),"diff", MAX(Instances!EI41:Instances!EI41)-MIN(Instances!EI41:Instances!EI41))</f>
        <v>0</v>
      </c>
      <c r="EJ41" s="1" cm="1">
        <f t="array" ref="EJ41">_xlfn.SWITCH($A$2,"average", AVERAGE(Instances!EJ41:Instances!EJ41),"median", MEDIAN(Instances!EJ41:Instances!EJ41),"min", MIN(Instances!EJ41:Instances!EJ41),"max", MAX(Instances!EJ41:Instances!EJ41),"diff", MAX(Instances!EJ41:Instances!EJ41)-MIN(Instances!EJ41:Instances!EJ41))</f>
        <v>0</v>
      </c>
      <c r="EK41" s="1" cm="1">
        <f t="array" ref="EK41">_xlfn.SWITCH($A$2,"average", AVERAGE(Instances!EK41:Instances!EK41),"median", MEDIAN(Instances!EK41:Instances!EK41),"min", MIN(Instances!EK41:Instances!EK41),"max", MAX(Instances!EK41:Instances!EK41),"diff", MAX(Instances!EK41:Instances!EK41)-MIN(Instances!EK41:Instances!EK41))</f>
        <v>0</v>
      </c>
      <c r="EL41" s="1"/>
      <c r="EM41" s="1" cm="1">
        <f t="array" ref="EM41">_xlfn.SWITCH($A$2,"average", AVERAGE(Instances!EM41:Instances!EM41),"median", MEDIAN(Instances!EM41:Instances!EM41),"min", MIN(Instances!EM41:Instances!EM41),"max", MAX(Instances!EM41:Instances!EM41),"diff", MAX(Instances!EM41:Instances!EM41)-MIN(Instances!EM41:Instances!EM41))</f>
        <v>0</v>
      </c>
      <c r="EN41" s="1" cm="1">
        <f t="array" ref="EN41">_xlfn.SWITCH($A$2,"average", AVERAGE(Instances!EN41:Instances!EN41),"median", MEDIAN(Instances!EN41:Instances!EN41),"min", MIN(Instances!EN41:Instances!EN41),"max", MAX(Instances!EN41:Instances!EN41),"diff", MAX(Instances!EN41:Instances!EN41)-MIN(Instances!EN41:Instances!EN41))</f>
        <v>0</v>
      </c>
      <c r="EO41" s="1" cm="1">
        <f t="array" ref="EO41">_xlfn.SWITCH($A$2,"average", AVERAGE(Instances!EO41:Instances!EO41),"median", MEDIAN(Instances!EO41:Instances!EO41),"min", MIN(Instances!EO41:Instances!EO41),"max", MAX(Instances!EO41:Instances!EO41),"diff", MAX(Instances!EO41:Instances!EO41)-MIN(Instances!EO41:Instances!EO41))</f>
        <v>0</v>
      </c>
      <c r="EP41" s="1" cm="1">
        <f t="array" ref="EP41">_xlfn.SWITCH($A$2,"average", AVERAGE(Instances!EP41:Instances!EP41),"median", MEDIAN(Instances!EP41:Instances!EP41),"min", MIN(Instances!EP41:Instances!EP41),"max", MAX(Instances!EP41:Instances!EP41),"diff", MAX(Instances!EP41:Instances!EP41)-MIN(Instances!EP41:Instances!EP41))</f>
        <v>0</v>
      </c>
      <c r="EQ41" s="1" cm="1">
        <f t="array" ref="EQ41">_xlfn.SWITCH($A$2,"average", AVERAGE(Instances!EQ41:Instances!EQ41),"median", MEDIAN(Instances!EQ41:Instances!EQ41),"min", MIN(Instances!EQ41:Instances!EQ41),"max", MAX(Instances!EQ41:Instances!EQ41),"diff", MAX(Instances!EQ41:Instances!EQ41)-MIN(Instances!EQ41:Instances!EQ41))</f>
        <v>0</v>
      </c>
      <c r="ER41" s="1" cm="1">
        <f t="array" ref="ER41">_xlfn.SWITCH($A$2,"average", AVERAGE(Instances!ER41:Instances!ER41),"median", MEDIAN(Instances!ER41:Instances!ER41),"min", MIN(Instances!ER41:Instances!ER41),"max", MAX(Instances!ER41:Instances!ER41),"diff", MAX(Instances!ER41:Instances!ER41)-MIN(Instances!ER41:Instances!ER41))</f>
        <v>0</v>
      </c>
      <c r="ES41" s="1" cm="1">
        <f t="array" ref="ES41">_xlfn.SWITCH($A$2,"average", AVERAGE(Instances!ES41:Instances!ES41),"median", MEDIAN(Instances!ES41:Instances!ES41),"min", MIN(Instances!ES41:Instances!ES41),"max", MAX(Instances!ES41:Instances!ES41),"diff", MAX(Instances!ES41:Instances!ES41)-MIN(Instances!ES41:Instances!ES41))</f>
        <v>0</v>
      </c>
      <c r="ET41" s="1" cm="1">
        <f t="array" ref="ET41">_xlfn.SWITCH($A$2,"average", AVERAGE(Instances!ET41:Instances!ET41),"median", MEDIAN(Instances!ET41:Instances!ET41),"min", MIN(Instances!ET41:Instances!ET41),"max", MAX(Instances!ET41:Instances!ET41),"diff", MAX(Instances!ET41:Instances!ET41)-MIN(Instances!ET41:Instances!ET41))</f>
        <v>0</v>
      </c>
      <c r="EU41" s="1" cm="1">
        <f t="array" ref="EU41">_xlfn.SWITCH($A$2,"average", AVERAGE(Instances!EU41:Instances!EU41),"median", MEDIAN(Instances!EU41:Instances!EU41),"min", MIN(Instances!EU41:Instances!EU41),"max", MAX(Instances!EU41:Instances!EU41),"diff", MAX(Instances!EU41:Instances!EU41)-MIN(Instances!EU41:Instances!EU41))</f>
        <v>0</v>
      </c>
      <c r="EV41" s="1" cm="1">
        <f t="array" ref="EV41">_xlfn.SWITCH($A$2,"average", AVERAGE(Instances!EV41:Instances!EV41),"median", MEDIAN(Instances!EV41:Instances!EV41),"min", MIN(Instances!EV41:Instances!EV41),"max", MAX(Instances!EV41:Instances!EV41),"diff", MAX(Instances!EV41:Instances!EV41)-MIN(Instances!EV41:Instances!EV41))</f>
        <v>0</v>
      </c>
      <c r="EW41" s="1" cm="1">
        <f t="array" ref="EW41">_xlfn.SWITCH($A$2,"average", AVERAGE(Instances!EW41:Instances!EW41),"median", MEDIAN(Instances!EW41:Instances!EW41),"min", MIN(Instances!EW41:Instances!EW41),"max", MAX(Instances!EW41:Instances!EW41),"diff", MAX(Instances!EW41:Instances!EW41)-MIN(Instances!EW41:Instances!EW41))</f>
        <v>0</v>
      </c>
      <c r="EX41" s="1" cm="1">
        <f t="array" ref="EX41">_xlfn.SWITCH($A$2,"average", AVERAGE(Instances!EX41:Instances!EX41),"median", MEDIAN(Instances!EX41:Instances!EX41),"min", MIN(Instances!EX41:Instances!EX41),"max", MAX(Instances!EX41:Instances!EX41),"diff", MAX(Instances!EX41:Instances!EX41)-MIN(Instances!EX41:Instances!EX41))</f>
        <v>0</v>
      </c>
      <c r="EY41" s="1" cm="1">
        <f t="array" ref="EY41">_xlfn.SWITCH($A$2,"average", AVERAGE(Instances!EY41:Instances!EY41),"median", MEDIAN(Instances!EY41:Instances!EY41),"min", MIN(Instances!EY41:Instances!EY41),"max", MAX(Instances!EY41:Instances!EY41),"diff", MAX(Instances!EY41:Instances!EY41)-MIN(Instances!EY41:Instances!EY41))</f>
        <v>0</v>
      </c>
      <c r="EZ41" s="1" cm="1">
        <f t="array" ref="EZ41">_xlfn.SWITCH($A$2,"average", AVERAGE(Instances!EZ41:Instances!EZ41),"median", MEDIAN(Instances!EZ41:Instances!EZ41),"min", MIN(Instances!EZ41:Instances!EZ41),"max", MAX(Instances!EZ41:Instances!EZ41),"diff", MAX(Instances!EZ41:Instances!EZ41)-MIN(Instances!EZ41:Instances!EZ41))</f>
        <v>0</v>
      </c>
      <c r="FA41" s="1" cm="1">
        <f t="array" ref="FA41">_xlfn.SWITCH($A$2,"average", AVERAGE(Instances!FA41:Instances!FA41),"median", MEDIAN(Instances!FA41:Instances!FA41),"min", MIN(Instances!FA41:Instances!FA41),"max", MAX(Instances!FA41:Instances!FA41),"diff", MAX(Instances!FA41:Instances!FA41)-MIN(Instances!FA41:Instances!FA41))</f>
        <v>0</v>
      </c>
      <c r="FB41" s="1" cm="1">
        <f t="array" ref="FB41">_xlfn.SWITCH($A$2,"average", AVERAGE(Instances!FB41:Instances!FB41),"median", MEDIAN(Instances!FB41:Instances!FB41),"min", MIN(Instances!FB41:Instances!FB41),"max", MAX(Instances!FB41:Instances!FB41),"diff", MAX(Instances!FB41:Instances!FB41)-MIN(Instances!FB41:Instances!FB41))</f>
        <v>0</v>
      </c>
      <c r="FC41" s="1" cm="1">
        <f t="array" ref="FC41">_xlfn.SWITCH($A$2,"average", AVERAGE(Instances!FC41:Instances!FC41),"median", MEDIAN(Instances!FC41:Instances!FC41),"min", MIN(Instances!FC41:Instances!FC41),"max", MAX(Instances!FC41:Instances!FC41),"diff", MAX(Instances!FC41:Instances!FC41)-MIN(Instances!FC41:Instances!FC41))</f>
        <v>0</v>
      </c>
      <c r="FD41" s="1"/>
      <c r="FE41" s="1" cm="1">
        <f t="array" ref="FE41">_xlfn.SWITCH($A$2,"average", AVERAGE(Instances!FE41:Instances!FE41),"median", MEDIAN(Instances!FE41:Instances!FE41),"min", MIN(Instances!FE41:Instances!FE41),"max", MAX(Instances!FE41:Instances!FE41),"diff", MAX(Instances!FE41:Instances!FE41)-MIN(Instances!FE41:Instances!FE41))</f>
        <v>0</v>
      </c>
      <c r="FF41" s="1" cm="1">
        <f t="array" ref="FF41">_xlfn.SWITCH($A$2,"average", AVERAGE(Instances!FF41:Instances!FF41),"median", MEDIAN(Instances!FF41:Instances!FF41),"min", MIN(Instances!FF41:Instances!FF41),"max", MAX(Instances!FF41:Instances!FF41),"diff", MAX(Instances!FF41:Instances!FF41)-MIN(Instances!FF41:Instances!FF41))</f>
        <v>0</v>
      </c>
      <c r="FG41" s="1" cm="1">
        <f t="array" ref="FG41">_xlfn.SWITCH($A$2,"average", AVERAGE(Instances!FG41:Instances!FG41),"median", MEDIAN(Instances!FG41:Instances!FG41),"min", MIN(Instances!FG41:Instances!FG41),"max", MAX(Instances!FG41:Instances!FG41),"diff", MAX(Instances!FG41:Instances!FG41)-MIN(Instances!FG41:Instances!FG41))</f>
        <v>0</v>
      </c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 cm="1">
        <f t="array" ref="FZ41">_xlfn.SWITCH($A$2,"average", AVERAGE(Instances!FZ41:Instances!FZ41),"median", MEDIAN(Instances!FZ41:Instances!FZ41),"min", MIN(Instances!FZ41:Instances!FZ41),"max", MAX(Instances!FZ41:Instances!FZ41),"diff", MAX(Instances!FZ41:Instances!FZ41)-MIN(Instances!FZ41:Instances!FZ41))</f>
        <v>0</v>
      </c>
      <c r="GA41" s="1" cm="1">
        <f t="array" ref="GA41">_xlfn.SWITCH($A$2,"average", AVERAGE(Instances!GA41:Instances!GA41),"median", MEDIAN(Instances!GA41:Instances!GA41),"min", MIN(Instances!GA41:Instances!GA41),"max", MAX(Instances!GA41:Instances!GA41),"diff", MAX(Instances!GA41:Instances!GA41)-MIN(Instances!GA41:Instances!GA41))</f>
        <v>0</v>
      </c>
      <c r="GB41" s="1" cm="1">
        <f t="array" ref="GB41">_xlfn.SWITCH($A$2,"average", AVERAGE(Instances!GB41:Instances!GB41),"median", MEDIAN(Instances!GB41:Instances!GB41),"min", MIN(Instances!GB41:Instances!GB41),"max", MAX(Instances!GB41:Instances!GB41),"diff", MAX(Instances!GB41:Instances!GB41)-MIN(Instances!GB41:Instances!GB41))</f>
        <v>0</v>
      </c>
      <c r="GC41" s="1" cm="1">
        <f t="array" ref="GC41">_xlfn.SWITCH($A$2,"average", AVERAGE(Instances!GC41:Instances!GC41),"median", MEDIAN(Instances!GC41:Instances!GC41),"min", MIN(Instances!GC41:Instances!GC41),"max", MAX(Instances!GC41:Instances!GC41),"diff", MAX(Instances!GC41:Instances!GC41)-MIN(Instances!GC41:Instances!GC41))</f>
        <v>0</v>
      </c>
      <c r="GD41" s="1" cm="1">
        <f t="array" ref="GD41">_xlfn.SWITCH($A$2,"average", AVERAGE(Instances!GD41:Instances!GD41),"median", MEDIAN(Instances!GD41:Instances!GD41),"min", MIN(Instances!GD41:Instances!GD41),"max", MAX(Instances!GD41:Instances!GD41),"diff", MAX(Instances!GD41:Instances!GD41)-MIN(Instances!GD41:Instances!GD41))</f>
        <v>0</v>
      </c>
      <c r="GE41" s="1" cm="1">
        <f t="array" ref="GE41">_xlfn.SWITCH($A$2,"average", AVERAGE(Instances!GE41:Instances!GE41),"median", MEDIAN(Instances!GE41:Instances!GE41),"min", MIN(Instances!GE41:Instances!GE41),"max", MAX(Instances!GE41:Instances!GE41),"diff", MAX(Instances!GE41:Instances!GE41)-MIN(Instances!GE41:Instances!GE41))</f>
        <v>0</v>
      </c>
      <c r="GF41" s="1" cm="1">
        <f t="array" ref="GF41">_xlfn.SWITCH($A$2,"average", AVERAGE(Instances!GF41:Instances!GF41),"median", MEDIAN(Instances!GF41:Instances!GF41),"min", MIN(Instances!GF41:Instances!GF41),"max", MAX(Instances!GF41:Instances!GF41),"diff", MAX(Instances!GF41:Instances!GF41)-MIN(Instances!GF41:Instances!GF41))</f>
        <v>0</v>
      </c>
      <c r="GG41" s="1" cm="1">
        <f t="array" ref="GG41">_xlfn.SWITCH($A$2,"average", AVERAGE(Instances!GG41:Instances!GG41),"median", MEDIAN(Instances!GG41:Instances!GG41),"min", MIN(Instances!GG41:Instances!GG41),"max", MAX(Instances!GG41:Instances!GG41),"diff", MAX(Instances!GG41:Instances!GG41)-MIN(Instances!GG41:Instances!GG41))</f>
        <v>0</v>
      </c>
      <c r="GH41" s="1" cm="1">
        <f t="array" ref="GH41">_xlfn.SWITCH($A$2,"average", AVERAGE(Instances!GH41:Instances!GH41),"median", MEDIAN(Instances!GH41:Instances!GH41),"min", MIN(Instances!GH41:Instances!GH41),"max", MAX(Instances!GH41:Instances!GH41),"diff", MAX(Instances!GH41:Instances!GH41)-MIN(Instances!GH41:Instances!GH41))</f>
        <v>0</v>
      </c>
      <c r="GI41" s="1" cm="1">
        <f t="array" ref="GI41">_xlfn.SWITCH($A$2,"average", AVERAGE(Instances!GI41:Instances!GI41),"median", MEDIAN(Instances!GI41:Instances!GI41),"min", MIN(Instances!GI41:Instances!GI41),"max", MAX(Instances!GI41:Instances!GI41),"diff", MAX(Instances!GI41:Instances!GI41)-MIN(Instances!GI41:Instances!GI41))</f>
        <v>0</v>
      </c>
      <c r="GJ41" s="1" cm="1">
        <f t="array" ref="GJ41">_xlfn.SWITCH($A$2,"average", AVERAGE(Instances!GJ41:Instances!GJ41),"median", MEDIAN(Instances!GJ41:Instances!GJ41),"min", MIN(Instances!GJ41:Instances!GJ41),"max", MAX(Instances!GJ41:Instances!GJ41),"diff", MAX(Instances!GJ41:Instances!GJ41)-MIN(Instances!GJ41:Instances!GJ41))</f>
        <v>0</v>
      </c>
      <c r="GK41" s="1" cm="1">
        <f t="array" ref="GK41">_xlfn.SWITCH($A$2,"average", AVERAGE(Instances!GK41:Instances!GK41),"median", MEDIAN(Instances!GK41:Instances!GK41),"min", MIN(Instances!GK41:Instances!GK41),"max", MAX(Instances!GK41:Instances!GK41),"diff", MAX(Instances!GK41:Instances!GK41)-MIN(Instances!GK41:Instances!GK41))</f>
        <v>0</v>
      </c>
      <c r="GL41" s="1" cm="1">
        <f t="array" ref="GL41">_xlfn.SWITCH($A$2,"average", AVERAGE(Instances!GL41:Instances!GL41),"median", MEDIAN(Instances!GL41:Instances!GL41),"min", MIN(Instances!GL41:Instances!GL41),"max", MAX(Instances!GL41:Instances!GL41),"diff", MAX(Instances!GL41:Instances!GL41)-MIN(Instances!GL41:Instances!GL41))</f>
        <v>0</v>
      </c>
      <c r="GM41" s="1" cm="1">
        <f t="array" ref="GM41">_xlfn.SWITCH($A$2,"average", AVERAGE(Instances!GM41:Instances!GM41),"median", MEDIAN(Instances!GM41:Instances!GM41),"min", MIN(Instances!GM41:Instances!GM41),"max", MAX(Instances!GM41:Instances!GM41),"diff", MAX(Instances!GM41:Instances!GM41)-MIN(Instances!GM41:Instances!GM41))</f>
        <v>0</v>
      </c>
      <c r="GN41" s="1"/>
      <c r="GO41" s="1" cm="1">
        <f t="array" ref="GO41">_xlfn.SWITCH($A$2,"average", AVERAGE(Instances!GO41:Instances!GO41),"median", MEDIAN(Instances!GO41:Instances!GO41),"min", MIN(Instances!GO41:Instances!GO41),"max", MAX(Instances!GO41:Instances!GO41),"diff", MAX(Instances!GO41:Instances!GO41)-MIN(Instances!GO41:Instances!GO41))</f>
        <v>0</v>
      </c>
      <c r="GP41" s="1" cm="1">
        <f t="array" ref="GP41">_xlfn.SWITCH($A$2,"average", AVERAGE(Instances!GP41:Instances!GP41),"median", MEDIAN(Instances!GP41:Instances!GP41),"min", MIN(Instances!GP41:Instances!GP41),"max", MAX(Instances!GP41:Instances!GP41),"diff", MAX(Instances!GP41:Instances!GP41)-MIN(Instances!GP41:Instances!GP41))</f>
        <v>0</v>
      </c>
      <c r="GQ41" s="1" cm="1">
        <f t="array" ref="GQ41">_xlfn.SWITCH($A$2,"average", AVERAGE(Instances!GQ41:Instances!GQ41),"median", MEDIAN(Instances!GQ41:Instances!GQ41),"min", MIN(Instances!GQ41:Instances!GQ41),"max", MAX(Instances!GQ41:Instances!GQ41),"diff", MAX(Instances!GQ41:Instances!GQ41)-MIN(Instances!GQ41:Instances!GQ41))</f>
        <v>0</v>
      </c>
      <c r="GR41" s="1" cm="1">
        <f t="array" ref="GR41">_xlfn.SWITCH($A$2,"average", AVERAGE(Instances!GR41:Instances!GR41),"median", MEDIAN(Instances!GR41:Instances!GR41),"min", MIN(Instances!GR41:Instances!GR41),"max", MAX(Instances!GR41:Instances!GR41),"diff", MAX(Instances!GR41:Instances!GR41)-MIN(Instances!GR41:Instances!GR41))</f>
        <v>0</v>
      </c>
      <c r="GS41" s="1" cm="1">
        <f t="array" ref="GS41">_xlfn.SWITCH($A$2,"average", AVERAGE(Instances!GS41:Instances!GS41),"median", MEDIAN(Instances!GS41:Instances!GS41),"min", MIN(Instances!GS41:Instances!GS41),"max", MAX(Instances!GS41:Instances!GS41),"diff", MAX(Instances!GS41:Instances!GS41)-MIN(Instances!GS41:Instances!GS41))</f>
        <v>0</v>
      </c>
      <c r="GT41" s="1" cm="1">
        <f t="array" ref="GT41">_xlfn.SWITCH($A$2,"average", AVERAGE(Instances!GT41:Instances!GT41),"median", MEDIAN(Instances!GT41:Instances!GT41),"min", MIN(Instances!GT41:Instances!GT41),"max", MAX(Instances!GT41:Instances!GT41),"diff", MAX(Instances!GT41:Instances!GT41)-MIN(Instances!GT41:Instances!GT41))</f>
        <v>0</v>
      </c>
      <c r="GU41" s="1" cm="1">
        <f t="array" ref="GU41">_xlfn.SWITCH($A$2,"average", AVERAGE(Instances!GU41:Instances!GU41),"median", MEDIAN(Instances!GU41:Instances!GU41),"min", MIN(Instances!GU41:Instances!GU41),"max", MAX(Instances!GU41:Instances!GU41),"diff", MAX(Instances!GU41:Instances!GU41)-MIN(Instances!GU41:Instances!GU41))</f>
        <v>0</v>
      </c>
      <c r="GV41" s="1" cm="1">
        <f t="array" ref="GV41">_xlfn.SWITCH($A$2,"average", AVERAGE(Instances!GV41:Instances!GV41),"median", MEDIAN(Instances!GV41:Instances!GV41),"min", MIN(Instances!GV41:Instances!GV41),"max", MAX(Instances!GV41:Instances!GV41),"diff", MAX(Instances!GV41:Instances!GV41)-MIN(Instances!GV41:Instances!GV41))</f>
        <v>0</v>
      </c>
      <c r="GW41" s="1" cm="1">
        <f t="array" ref="GW41">_xlfn.SWITCH($A$2,"average", AVERAGE(Instances!GW41:Instances!GW41),"median", MEDIAN(Instances!GW41:Instances!GW41),"min", MIN(Instances!GW41:Instances!GW41),"max", MAX(Instances!GW41:Instances!GW41),"diff", MAX(Instances!GW41:Instances!GW41)-MIN(Instances!GW41:Instances!GW41))</f>
        <v>0</v>
      </c>
      <c r="GX41" s="1" cm="1">
        <f t="array" ref="GX41">_xlfn.SWITCH($A$2,"average", AVERAGE(Instances!GX41:Instances!GX41),"median", MEDIAN(Instances!GX41:Instances!GX41),"min", MIN(Instances!GX41:Instances!GX41),"max", MAX(Instances!GX41:Instances!GX41),"diff", MAX(Instances!GX41:Instances!GX41)-MIN(Instances!GX41:Instances!GX41))</f>
        <v>0</v>
      </c>
      <c r="GY41" s="1" cm="1">
        <f t="array" ref="GY41">_xlfn.SWITCH($A$2,"average", AVERAGE(Instances!GY41:Instances!GY41),"median", MEDIAN(Instances!GY41:Instances!GY41),"min", MIN(Instances!GY41:Instances!GY41),"max", MAX(Instances!GY41:Instances!GY41),"diff", MAX(Instances!GY41:Instances!GY41)-MIN(Instances!GY41:Instances!GY41))</f>
        <v>0</v>
      </c>
      <c r="GZ41" s="1" cm="1">
        <f t="array" ref="GZ41">_xlfn.SWITCH($A$2,"average", AVERAGE(Instances!GZ41:Instances!GZ41),"median", MEDIAN(Instances!GZ41:Instances!GZ41),"min", MIN(Instances!GZ41:Instances!GZ41),"max", MAX(Instances!GZ41:Instances!GZ41),"diff", MAX(Instances!GZ41:Instances!GZ41)-MIN(Instances!GZ41:Instances!GZ41))</f>
        <v>0</v>
      </c>
      <c r="HA41" s="1" cm="1">
        <f t="array" ref="HA41">_xlfn.SWITCH($A$2,"average", AVERAGE(Instances!HA41:Instances!HA41),"median", MEDIAN(Instances!HA41:Instances!HA41),"min", MIN(Instances!HA41:Instances!HA41),"max", MAX(Instances!HA41:Instances!HA41),"diff", MAX(Instances!HA41:Instances!HA41)-MIN(Instances!HA41:Instances!HA41))</f>
        <v>0</v>
      </c>
      <c r="HB41" s="1" cm="1">
        <f t="array" ref="HB41">_xlfn.SWITCH($A$2,"average", AVERAGE(Instances!HB41:Instances!HB41),"median", MEDIAN(Instances!HB41:Instances!HB41),"min", MIN(Instances!HB41:Instances!HB41),"max", MAX(Instances!HB41:Instances!HB41),"diff", MAX(Instances!HB41:Instances!HB41)-MIN(Instances!HB41:Instances!HB41))</f>
        <v>0</v>
      </c>
      <c r="HC41" s="1" cm="1">
        <f t="array" ref="HC41">_xlfn.SWITCH($A$2,"average", AVERAGE(Instances!HC41:Instances!HC41),"median", MEDIAN(Instances!HC41:Instances!HC41),"min", MIN(Instances!HC41:Instances!HC41),"max", MAX(Instances!HC41:Instances!HC41),"diff", MAX(Instances!HC41:Instances!HC41)-MIN(Instances!HC41:Instances!HC41))</f>
        <v>0</v>
      </c>
      <c r="HD41" s="1" cm="1">
        <f t="array" ref="HD41">_xlfn.SWITCH($A$2,"average", AVERAGE(Instances!HD41:Instances!HD41),"median", MEDIAN(Instances!HD41:Instances!HD41),"min", MIN(Instances!HD41:Instances!HD41),"max", MAX(Instances!HD41:Instances!HD41),"diff", MAX(Instances!HD41:Instances!HD41)-MIN(Instances!HD41:Instances!HD41))</f>
        <v>0</v>
      </c>
      <c r="HE41" s="1" cm="1">
        <f t="array" ref="HE41">_xlfn.SWITCH($A$2,"average", AVERAGE(Instances!HE41:Instances!HE41),"median", MEDIAN(Instances!HE41:Instances!HE41),"min", MIN(Instances!HE41:Instances!HE41),"max", MAX(Instances!HE41:Instances!HE41),"diff", MAX(Instances!HE41:Instances!HE41)-MIN(Instances!HE41:Instances!HE41))</f>
        <v>0</v>
      </c>
      <c r="HF41" s="1"/>
      <c r="HG41" s="1" cm="1">
        <f t="array" ref="HG41">_xlfn.SWITCH($A$2,"average", AVERAGE(Instances!HG41:Instances!HG41),"median", MEDIAN(Instances!HG41:Instances!HG41),"min", MIN(Instances!HG41:Instances!HG41),"max", MAX(Instances!HG41:Instances!HG41),"diff", MAX(Instances!HG41:Instances!HG41)-MIN(Instances!HG41:Instances!HG41))</f>
        <v>0</v>
      </c>
      <c r="HH41" s="1" cm="1">
        <f t="array" ref="HH41">_xlfn.SWITCH($A$2,"average", AVERAGE(Instances!HH41:Instances!HH41),"median", MEDIAN(Instances!HH41:Instances!HH41),"min", MIN(Instances!HH41:Instances!HH41),"max", MAX(Instances!HH41:Instances!HH41),"diff", MAX(Instances!HH41:Instances!HH41)-MIN(Instances!HH41:Instances!HH41))</f>
        <v>0</v>
      </c>
      <c r="HI41" s="1" cm="1">
        <f t="array" ref="HI41">_xlfn.SWITCH($A$2,"average", AVERAGE(Instances!HI41:Instances!HI41),"median", MEDIAN(Instances!HI41:Instances!HI41),"min", MIN(Instances!HI41:Instances!HI41),"max", MAX(Instances!HI41:Instances!HI41),"diff", MAX(Instances!HI41:Instances!HI41)-MIN(Instances!HI41:Instances!HI41))</f>
        <v>0</v>
      </c>
      <c r="HJ41" s="1" cm="1">
        <f t="array" ref="HJ41">_xlfn.SWITCH($A$2,"average", AVERAGE(Instances!HJ41:Instances!HJ41),"median", MEDIAN(Instances!HJ41:Instances!HJ41),"min", MIN(Instances!HJ41:Instances!HJ41),"max", MAX(Instances!HJ41:Instances!HJ41),"diff", MAX(Instances!HJ41:Instances!HJ41)-MIN(Instances!HJ41:Instances!HJ41))</f>
        <v>0</v>
      </c>
      <c r="HK41" s="1" cm="1">
        <f t="array" ref="HK41">_xlfn.SWITCH($A$2,"average", AVERAGE(Instances!HK41:Instances!HK41),"median", MEDIAN(Instances!HK41:Instances!HK41),"min", MIN(Instances!HK41:Instances!HK41),"max", MAX(Instances!HK41:Instances!HK41),"diff", MAX(Instances!HK41:Instances!HK41)-MIN(Instances!HK41:Instances!HK41))</f>
        <v>0</v>
      </c>
      <c r="HL41" s="1" cm="1">
        <f t="array" ref="HL41">_xlfn.SWITCH($A$2,"average", AVERAGE(Instances!HL41:Instances!HL41),"median", MEDIAN(Instances!HL41:Instances!HL41),"min", MIN(Instances!HL41:Instances!HL41),"max", MAX(Instances!HL41:Instances!HL41),"diff", MAX(Instances!HL41:Instances!HL41)-MIN(Instances!HL41:Instances!HL41))</f>
        <v>0</v>
      </c>
      <c r="HM41" s="1" cm="1">
        <f t="array" ref="HM41">_xlfn.SWITCH($A$2,"average", AVERAGE(Instances!HM41:Instances!HM41),"median", MEDIAN(Instances!HM41:Instances!HM41),"min", MIN(Instances!HM41:Instances!HM41),"max", MAX(Instances!HM41:Instances!HM41),"diff", MAX(Instances!HM41:Instances!HM41)-MIN(Instances!HM41:Instances!HM41))</f>
        <v>0</v>
      </c>
      <c r="HN41" s="1" cm="1">
        <f t="array" ref="HN41">_xlfn.SWITCH($A$2,"average", AVERAGE(Instances!HN41:Instances!HN41),"median", MEDIAN(Instances!HN41:Instances!HN41),"min", MIN(Instances!HN41:Instances!HN41),"max", MAX(Instances!HN41:Instances!HN41),"diff", MAX(Instances!HN41:Instances!HN41)-MIN(Instances!HN41:Instances!HN41))</f>
        <v>0</v>
      </c>
      <c r="HO41" s="1" cm="1">
        <f t="array" ref="HO41">_xlfn.SWITCH($A$2,"average", AVERAGE(Instances!HO41:Instances!HO41),"median", MEDIAN(Instances!HO41:Instances!HO41),"min", MIN(Instances!HO41:Instances!HO41),"max", MAX(Instances!HO41:Instances!HO41),"diff", MAX(Instances!HO41:Instances!HO41)-MIN(Instances!HO41:Instances!HO41))</f>
        <v>0</v>
      </c>
      <c r="HP41" s="1" cm="1">
        <f t="array" ref="HP41">_xlfn.SWITCH($A$2,"average", AVERAGE(Instances!HP41:Instances!HP41),"median", MEDIAN(Instances!HP41:Instances!HP41),"min", MIN(Instances!HP41:Instances!HP41),"max", MAX(Instances!HP41:Instances!HP41),"diff", MAX(Instances!HP41:Instances!HP41)-MIN(Instances!HP41:Instances!HP41))</f>
        <v>0</v>
      </c>
      <c r="HQ41" s="1" cm="1">
        <f t="array" ref="HQ41">_xlfn.SWITCH($A$2,"average", AVERAGE(Instances!HQ41:Instances!HQ41),"median", MEDIAN(Instances!HQ41:Instances!HQ41),"min", MIN(Instances!HQ41:Instances!HQ41),"max", MAX(Instances!HQ41:Instances!HQ41),"diff", MAX(Instances!HQ41:Instances!HQ41)-MIN(Instances!HQ41:Instances!HQ41))</f>
        <v>0</v>
      </c>
      <c r="HR41" s="1" cm="1">
        <f t="array" ref="HR41">_xlfn.SWITCH($A$2,"average", AVERAGE(Instances!HR41:Instances!HR41),"median", MEDIAN(Instances!HR41:Instances!HR41),"min", MIN(Instances!HR41:Instances!HR41),"max", MAX(Instances!HR41:Instances!HR41),"diff", MAX(Instances!HR41:Instances!HR41)-MIN(Instances!HR41:Instances!HR41))</f>
        <v>0</v>
      </c>
      <c r="HS41" s="1" cm="1">
        <f t="array" ref="HS41">_xlfn.SWITCH($A$2,"average", AVERAGE(Instances!HS41:Instances!HS41),"median", MEDIAN(Instances!HS41:Instances!HS41),"min", MIN(Instances!HS41:Instances!HS41),"max", MAX(Instances!HS41:Instances!HS41),"diff", MAX(Instances!HS41:Instances!HS41)-MIN(Instances!HS41:Instances!HS41))</f>
        <v>0</v>
      </c>
      <c r="HT41" s="1" cm="1">
        <f t="array" ref="HT41">_xlfn.SWITCH($A$2,"average", AVERAGE(Instances!HT41:Instances!HT41),"median", MEDIAN(Instances!HT41:Instances!HT41),"min", MIN(Instances!HT41:Instances!HT41),"max", MAX(Instances!HT41:Instances!HT41),"diff", MAX(Instances!HT41:Instances!HT41)-MIN(Instances!HT41:Instances!HT41))</f>
        <v>0</v>
      </c>
      <c r="HU41" s="1" cm="1">
        <f t="array" ref="HU41">_xlfn.SWITCH($A$2,"average", AVERAGE(Instances!HU41:Instances!HU41),"median", MEDIAN(Instances!HU41:Instances!HU41),"min", MIN(Instances!HU41:Instances!HU41),"max", MAX(Instances!HU41:Instances!HU41),"diff", MAX(Instances!HU41:Instances!HU41)-MIN(Instances!HU41:Instances!HU41))</f>
        <v>0</v>
      </c>
      <c r="HV41" s="1" cm="1">
        <f t="array" ref="HV41">_xlfn.SWITCH($A$2,"average", AVERAGE(Instances!HV41:Instances!HV41),"median", MEDIAN(Instances!HV41:Instances!HV41),"min", MIN(Instances!HV41:Instances!HV41),"max", MAX(Instances!HV41:Instances!HV41),"diff", MAX(Instances!HV41:Instances!HV41)-MIN(Instances!HV41:Instances!HV41))</f>
        <v>0</v>
      </c>
      <c r="HW41" s="1" cm="1">
        <f t="array" ref="HW41">_xlfn.SWITCH($A$2,"average", AVERAGE(Instances!HW41:Instances!HW41),"median", MEDIAN(Instances!HW41:Instances!HW41),"min", MIN(Instances!HW41:Instances!HW41),"max", MAX(Instances!HW41:Instances!HW41),"diff", MAX(Instances!HW41:Instances!HW41)-MIN(Instances!HW41:Instances!HW41))</f>
        <v>0</v>
      </c>
      <c r="HX41" s="1"/>
      <c r="HY41" s="1" cm="1">
        <f t="array" ref="HY41">_xlfn.SWITCH($A$2,"average", AVERAGE(Instances!HY41:Instances!HY41),"median", MEDIAN(Instances!HY41:Instances!HY41),"min", MIN(Instances!HY41:Instances!HY41),"max", MAX(Instances!HY41:Instances!HY41),"diff", MAX(Instances!HY41:Instances!HY41)-MIN(Instances!HY41:Instances!HY41))</f>
        <v>0</v>
      </c>
      <c r="HZ41" s="1" cm="1">
        <f t="array" ref="HZ41">_xlfn.SWITCH($A$2,"average", AVERAGE(Instances!HZ41:Instances!HZ41),"median", MEDIAN(Instances!HZ41:Instances!HZ41),"min", MIN(Instances!HZ41:Instances!HZ41),"max", MAX(Instances!HZ41:Instances!HZ41),"diff", MAX(Instances!HZ41:Instances!HZ41)-MIN(Instances!HZ41:Instances!HZ41))</f>
        <v>0</v>
      </c>
      <c r="IA41" s="1" cm="1">
        <f t="array" ref="IA41">_xlfn.SWITCH($A$2,"average", AVERAGE(Instances!IA41:Instances!IA41),"median", MEDIAN(Instances!IA41:Instances!IA41),"min", MIN(Instances!IA41:Instances!IA41),"max", MAX(Instances!IA41:Instances!IA41),"diff", MAX(Instances!IA41:Instances!IA41)-MIN(Instances!IA41:Instances!IA41))</f>
        <v>0</v>
      </c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 cm="1">
        <f t="array" ref="JL41">_xlfn.SWITCH($A$2,"average", AVERAGE(Instances!JL41:Instances!JL41),"median", MEDIAN(Instances!JL41:Instances!JL41),"min", MIN(Instances!JL41:Instances!JL41),"max", MAX(Instances!JL41:Instances!JL41),"diff", MAX(Instances!JL41:Instances!JL41)-MIN(Instances!JL41:Instances!JL41))</f>
        <v>0</v>
      </c>
      <c r="JM41" s="1" cm="1">
        <f t="array" ref="JM41">_xlfn.SWITCH($A$2,"average", AVERAGE(Instances!JM41:Instances!JM41),"median", MEDIAN(Instances!JM41:Instances!JM41),"min", MIN(Instances!JM41:Instances!JM41),"max", MAX(Instances!JM41:Instances!JM41),"diff", MAX(Instances!JM41:Instances!JM41)-MIN(Instances!JM41:Instances!JM41))</f>
        <v>0</v>
      </c>
      <c r="JN41" s="1" cm="1">
        <f t="array" ref="JN41">_xlfn.SWITCH($A$2,"average", AVERAGE(Instances!JN41:Instances!JN41),"median", MEDIAN(Instances!JN41:Instances!JN41),"min", MIN(Instances!JN41:Instances!JN41),"max", MAX(Instances!JN41:Instances!JN41),"diff", MAX(Instances!JN41:Instances!JN41)-MIN(Instances!JN41:Instances!JN41))</f>
        <v>0</v>
      </c>
      <c r="JO41" s="1" cm="1">
        <f t="array" ref="JO41">_xlfn.SWITCH($A$2,"average", AVERAGE(Instances!JO41:Instances!JO41),"median", MEDIAN(Instances!JO41:Instances!JO41),"min", MIN(Instances!JO41:Instances!JO41),"max", MAX(Instances!JO41:Instances!JO41),"diff", MAX(Instances!JO41:Instances!JO41)-MIN(Instances!JO41:Instances!JO41))</f>
        <v>0</v>
      </c>
      <c r="JP41" s="1" cm="1">
        <f t="array" ref="JP41">_xlfn.SWITCH($A$2,"average", AVERAGE(Instances!JP41:Instances!JP41),"median", MEDIAN(Instances!JP41:Instances!JP41),"min", MIN(Instances!JP41:Instances!JP41),"max", MAX(Instances!JP41:Instances!JP41),"diff", MAX(Instances!JP41:Instances!JP41)-MIN(Instances!JP41:Instances!JP41))</f>
        <v>0</v>
      </c>
      <c r="JQ41" s="1" cm="1">
        <f t="array" ref="JQ41">_xlfn.SWITCH($A$2,"average", AVERAGE(Instances!JQ41:Instances!JQ41),"median", MEDIAN(Instances!JQ41:Instances!JQ41),"min", MIN(Instances!JQ41:Instances!JQ41),"max", MAX(Instances!JQ41:Instances!JQ41),"diff", MAX(Instances!JQ41:Instances!JQ41)-MIN(Instances!JQ41:Instances!JQ41))</f>
        <v>0</v>
      </c>
      <c r="JR41" s="1" cm="1">
        <f t="array" ref="JR41">_xlfn.SWITCH($A$2,"average", AVERAGE(Instances!JR41:Instances!JR41),"median", MEDIAN(Instances!JR41:Instances!JR41),"min", MIN(Instances!JR41:Instances!JR41),"max", MAX(Instances!JR41:Instances!JR41),"diff", MAX(Instances!JR41:Instances!JR41)-MIN(Instances!JR41:Instances!JR41))</f>
        <v>0</v>
      </c>
      <c r="JS41" s="1" cm="1">
        <f t="array" ref="JS41">_xlfn.SWITCH($A$2,"average", AVERAGE(Instances!JS41:Instances!JS41),"median", MEDIAN(Instances!JS41:Instances!JS41),"min", MIN(Instances!JS41:Instances!JS41),"max", MAX(Instances!JS41:Instances!JS41),"diff", MAX(Instances!JS41:Instances!JS41)-MIN(Instances!JS41:Instances!JS41))</f>
        <v>0</v>
      </c>
      <c r="JT41" s="1" cm="1">
        <f t="array" ref="JT41">_xlfn.SWITCH($A$2,"average", AVERAGE(Instances!JT41:Instances!JT41),"median", MEDIAN(Instances!JT41:Instances!JT41),"min", MIN(Instances!JT41:Instances!JT41),"max", MAX(Instances!JT41:Instances!JT41),"diff", MAX(Instances!JT41:Instances!JT41)-MIN(Instances!JT41:Instances!JT41))</f>
        <v>0</v>
      </c>
      <c r="JU41" s="1" cm="1">
        <f t="array" ref="JU41">_xlfn.SWITCH($A$2,"average", AVERAGE(Instances!JU41:Instances!JU41),"median", MEDIAN(Instances!JU41:Instances!JU41),"min", MIN(Instances!JU41:Instances!JU41),"max", MAX(Instances!JU41:Instances!JU41),"diff", MAX(Instances!JU41:Instances!JU41)-MIN(Instances!JU41:Instances!JU41))</f>
        <v>0</v>
      </c>
      <c r="JV41" s="1" cm="1">
        <f t="array" ref="JV41">_xlfn.SWITCH($A$2,"average", AVERAGE(Instances!JV41:Instances!JV41),"median", MEDIAN(Instances!JV41:Instances!JV41),"min", MIN(Instances!JV41:Instances!JV41),"max", MAX(Instances!JV41:Instances!JV41),"diff", MAX(Instances!JV41:Instances!JV41)-MIN(Instances!JV41:Instances!JV41))</f>
        <v>0</v>
      </c>
      <c r="JW41" s="1" cm="1">
        <f t="array" ref="JW41">_xlfn.SWITCH($A$2,"average", AVERAGE(Instances!JW41:Instances!JW41),"median", MEDIAN(Instances!JW41:Instances!JW41),"min", MIN(Instances!JW41:Instances!JW41),"max", MAX(Instances!JW41:Instances!JW41),"diff", MAX(Instances!JW41:Instances!JW41)-MIN(Instances!JW41:Instances!JW41))</f>
        <v>0</v>
      </c>
      <c r="JX41" s="1" cm="1">
        <f t="array" ref="JX41">_xlfn.SWITCH($A$2,"average", AVERAGE(Instances!JX41:Instances!JX41),"median", MEDIAN(Instances!JX41:Instances!JX41),"min", MIN(Instances!JX41:Instances!JX41),"max", MAX(Instances!JX41:Instances!JX41),"diff", MAX(Instances!JX41:Instances!JX41)-MIN(Instances!JX41:Instances!JX41))</f>
        <v>0</v>
      </c>
      <c r="JY41" s="1" cm="1">
        <f t="array" ref="JY41">_xlfn.SWITCH($A$2,"average", AVERAGE(Instances!JY41:Instances!JY41),"median", MEDIAN(Instances!JY41:Instances!JY41),"min", MIN(Instances!JY41:Instances!JY41),"max", MAX(Instances!JY41:Instances!JY41),"diff", MAX(Instances!JY41:Instances!JY41)-MIN(Instances!JY41:Instances!JY41))</f>
        <v>0</v>
      </c>
      <c r="JZ41" s="1"/>
      <c r="KA41" s="1" cm="1">
        <f t="array" ref="KA41">_xlfn.SWITCH($A$2,"average", AVERAGE(Instances!KA41:Instances!KA41),"median", MEDIAN(Instances!KA41:Instances!KA41),"min", MIN(Instances!KA41:Instances!KA41),"max", MAX(Instances!KA41:Instances!KA41),"diff", MAX(Instances!KA41:Instances!KA41)-MIN(Instances!KA41:Instances!KA41))</f>
        <v>0</v>
      </c>
      <c r="KB41" s="1" cm="1">
        <f t="array" ref="KB41">_xlfn.SWITCH($A$2,"average", AVERAGE(Instances!KB41:Instances!KB41),"median", MEDIAN(Instances!KB41:Instances!KB41),"min", MIN(Instances!KB41:Instances!KB41),"max", MAX(Instances!KB41:Instances!KB41),"diff", MAX(Instances!KB41:Instances!KB41)-MIN(Instances!KB41:Instances!KB41))</f>
        <v>0</v>
      </c>
      <c r="KC41" s="1" cm="1">
        <f t="array" ref="KC41">_xlfn.SWITCH($A$2,"average", AVERAGE(Instances!KC41:Instances!KC41),"median", MEDIAN(Instances!KC41:Instances!KC41),"min", MIN(Instances!KC41:Instances!KC41),"max", MAX(Instances!KC41:Instances!KC41),"diff", MAX(Instances!KC41:Instances!KC41)-MIN(Instances!KC41:Instances!KC41))</f>
        <v>0</v>
      </c>
      <c r="KD41" s="1">
        <f>MIN($B41,$T41,$AL41,$BD41,$BV41,$CN41,$DF41,$DX41,$EP41,$FH41,$FZ41,$GR41,$HJ41,$IB41,$IT41,$JL41)</f>
        <v>0</v>
      </c>
      <c r="KE41" s="1">
        <f>MIN($C41,$U41,$AM41,$BE41,$BW41,$CO41,$DG41,$DY41,$EQ41,$FI41,$GA41,$GS41,$HK41,$IC41,$IU41,$JM41)</f>
        <v>0</v>
      </c>
      <c r="KF41" s="1">
        <f>MIN($D41,$V41,$AN41,$BF41,$BX41,$CP41,$DH41,$DZ41,$ER41,$FJ41,$GB41,$GT41,$HL41,$ID41,$IV41,$JN41)</f>
        <v>0</v>
      </c>
      <c r="KG41" s="1">
        <f>MIN($E41,$W41,$AO41,$BG41,$BY41,$CQ41,$DI41,$EA41,$ES41,$FK41,$GC41,$GU41,$HM41,$IE41,$IW41,$JO41)</f>
        <v>0</v>
      </c>
      <c r="KH41" s="1">
        <f>MIN($F41,$X41,$AP41,$BH41,$BZ41,$CR41,$DJ41,$EB41,$ET41,$FL41,$GD41,$GV41,$HN41,$IF41,$IX41,$JP41)</f>
        <v>0</v>
      </c>
      <c r="KI41" s="1">
        <f>MIN($G41,$Y41,$AQ41,$BI41,$CA41,$CS41,$DK41,$EC41,$EU41,$FM41,$GE41,$GW41,$HO41,$IG41,$IY41,$JQ41)</f>
        <v>0</v>
      </c>
      <c r="KJ41" s="1">
        <f>MIN($H41,$Z41,$AR41,$BJ41,$CB41,$CT41,$DL41,$ED41,$EV41,$FN41,$GF41,$GX41,$HP41,$IH41,$IZ41,$JR41)</f>
        <v>0</v>
      </c>
      <c r="KK41" s="1">
        <f>MIN($I41,$AA41,$AS41,$BK41,$CC41,$CU41,$DM41,$EE41,$EW41,$FO41,$GG41,$GY41,$HQ41,$II41,$JA41,$JS41)</f>
        <v>0</v>
      </c>
      <c r="KL41" s="1">
        <f>MIN($J41,$AB41,$AT41,$BL41,$CD41,$CV41,$DN41,$EF41,$EX41,$FP41,$GH41,$GZ41,$HR41,$IJ41,$JB41,$JT41)</f>
        <v>0</v>
      </c>
      <c r="KM41" s="1">
        <f>MIN($K41,$AC41,$AU41,$BM41,$CE41,$CW41,$DO41,$EG41,$EY41,$FQ41,$GI41,$HA41,$HS41,$IK41,$JC41,$JU41)</f>
        <v>0</v>
      </c>
      <c r="KN41" s="1">
        <f>MIN($L41,$AD41,$AV41,$BN41,$CF41,$CX41,$DP41,$EH41,$EZ41,$FR41,$GJ41,$HB41,$HT41,$IL41,$JD41,$JV41)</f>
        <v>0</v>
      </c>
      <c r="KO41" s="1">
        <f>MIN($M41,$AE41,$AW41,$BO41,$CG41,$CY41,$DQ41,$EI41,$FA41,$FS41,$GK41,$HC41,$HU41,$IM41,$JE41,$JW41)</f>
        <v>0</v>
      </c>
      <c r="KP41" s="1">
        <f>MIN($N41,$AF41,$AX41,$BP41,$CH41,$CZ41,$DR41,$EJ41,$FB41,$FT41,$GL41,$HD41,$HV41,$IN41,$JF41,$JX41)</f>
        <v>0</v>
      </c>
      <c r="KQ41" s="1">
        <f>MIN($O41,$AG41,$AY41,$BQ41,$CI41,$DA41,$DS41,$EK41,$FC41,$FU41,$GM41,$HE41,$HW41,$IO41,$JG41,$JY41)</f>
        <v>0</v>
      </c>
      <c r="KR41" s="1">
        <f>MIN($Q41,$AI41,$BA41,$BS41,$CK41,$DC41,$DU41,$EM41,$FE41,$FW41,$GO41,$HG41,$HY41,$IQ41,$JI41,$KA41)</f>
        <v>0</v>
      </c>
      <c r="KS41" s="1">
        <f>MIN($R41,$AJ41,$BB41,$BT41,$CL41,$DD41,$DV41,$EN41,$FF41,$FX41,$GP41,$HH41,$HZ41,$IR41,$JJ41,$KB41)</f>
        <v>0</v>
      </c>
      <c r="KT41" s="1">
        <f>MIN($S41,$AK41,$BC41,$BU41,$CM41,$DE41,$DW41,$EO41,$FG41,$FY41,$GQ41,$HI41,$IA41,$IS41,$JK41,$KC41)</f>
        <v>0</v>
      </c>
      <c r="KU41" s="1">
        <f>MEDIAN($B41,$T41,$AL41,$BD41,$BV41,$CN41,$DF41,$DX41,$EP41,$FH41,$FZ41,$GR41,$HJ41,$IB41,$IT41,$JL41)</f>
        <v>0</v>
      </c>
      <c r="KV41" s="1">
        <f>MEDIAN($C41,$U41,$AM41,$BE41,$BW41,$CO41,$DG41,$DY41,$EQ41,$FI41,$GA41,$GS41,$HK41,$IC41,$IU41,$JM41)</f>
        <v>0</v>
      </c>
      <c r="KW41" s="1">
        <f>MEDIAN($D41,$V41,$AN41,$BF41,$BX41,$CP41,$DH41,$DZ41,$ER41,$FJ41,$GB41,$GT41,$HL41,$ID41,$IV41,$JN41)</f>
        <v>0</v>
      </c>
      <c r="KX41" s="1">
        <f>MEDIAN($E41,$W41,$AO41,$BG41,$BY41,$CQ41,$DI41,$EA41,$ES41,$FK41,$GC41,$GU41,$HM41,$IE41,$IW41,$JO41)</f>
        <v>0</v>
      </c>
      <c r="KY41" s="1">
        <f>MEDIAN($F41,$X41,$AP41,$BH41,$BZ41,$CR41,$DJ41,$EB41,$ET41,$FL41,$GD41,$GV41,$HN41,$IF41,$IX41,$JP41)</f>
        <v>0</v>
      </c>
      <c r="KZ41" s="1">
        <f>MEDIAN($G41,$Y41,$AQ41,$BI41,$CA41,$CS41,$DK41,$EC41,$EU41,$FM41,$GE41,$GW41,$HO41,$IG41,$IY41,$JQ41)</f>
        <v>0</v>
      </c>
      <c r="LA41" s="1">
        <f>MEDIAN($H41,$Z41,$AR41,$BJ41,$CB41,$CT41,$DL41,$ED41,$EV41,$FN41,$GF41,$GX41,$HP41,$IH41,$IZ41,$JR41)</f>
        <v>0</v>
      </c>
      <c r="LB41" s="1">
        <f>MEDIAN($I41,$AA41,$AS41,$BK41,$CC41,$CU41,$DM41,$EE41,$EW41,$FO41,$GG41,$GY41,$HQ41,$II41,$JA41,$JS41)</f>
        <v>0</v>
      </c>
      <c r="LC41" s="1">
        <f>MEDIAN($J41,$AB41,$AT41,$BL41,$CD41,$CV41,$DN41,$EF41,$EX41,$FP41,$GH41,$GZ41,$HR41,$IJ41,$JB41,$JT41)</f>
        <v>0</v>
      </c>
      <c r="LD41" s="1">
        <f>MEDIAN($K41,$AC41,$AU41,$BM41,$CE41,$CW41,$DO41,$EG41,$EY41,$FQ41,$GI41,$HA41,$HS41,$IK41,$JC41,$JU41)</f>
        <v>0</v>
      </c>
      <c r="LE41" s="1">
        <f>MEDIAN($L41,$AD41,$AV41,$BN41,$CF41,$CX41,$DP41,$EH41,$EZ41,$FR41,$GJ41,$HB41,$HT41,$IL41,$JD41,$JV41)</f>
        <v>0</v>
      </c>
      <c r="LF41" s="1">
        <f>MEDIAN($M41,$AE41,$AW41,$BO41,$CG41,$CY41,$DQ41,$EI41,$FA41,$FS41,$GK41,$HC41,$HU41,$IM41,$JE41,$JW41)</f>
        <v>0</v>
      </c>
      <c r="LG41" s="1">
        <f>MEDIAN($N41,$AF41,$AX41,$BP41,$CH41,$CZ41,$DR41,$EJ41,$FB41,$FT41,$GL41,$HD41,$HV41,$IN41,$JF41,$JX41)</f>
        <v>0</v>
      </c>
      <c r="LH41" s="1">
        <f>MEDIAN($O41,$AG41,$AY41,$BQ41,$CI41,$DA41,$DS41,$EK41,$FC41,$FU41,$GM41,$HE41,$HW41,$IO41,$JG41,$JY41)</f>
        <v>0</v>
      </c>
      <c r="LI41" s="1">
        <f>MEDIAN($Q41,$AI41,$BA41,$BS41,$CK41,$DC41,$DU41,$EM41,$FE41,$FW41,$GO41,$HG41,$HY41,$IQ41,$JI41,$KA41)</f>
        <v>0</v>
      </c>
      <c r="LJ41" s="1">
        <f>MEDIAN($R41,$AJ41,$BB41,$BT41,$CL41,$DD41,$DV41,$EN41,$FF41,$FX41,$GP41,$HH41,$HZ41,$IR41,$JJ41,$KB41)</f>
        <v>0</v>
      </c>
      <c r="LK41" s="1">
        <f>MEDIAN($S41,$AK41,$BC41,$BU41,$CM41,$DE41,$DW41,$EO41,$FG41,$FY41,$GQ41,$HI41,$IA41,$IS41,$JK41,$KC41)</f>
        <v>0</v>
      </c>
      <c r="LL41" s="1">
        <f>MAX($B41,$T41,$AL41,$BD41,$BV41,$CN41,$DF41,$DX41,$EP41,$FH41,$FZ41,$GR41,$HJ41,$IB41,$IT41,$JL41)</f>
        <v>0</v>
      </c>
      <c r="LM41" s="1">
        <f>MAX($C41,$U41,$AM41,$BE41,$BW41,$CO41,$DG41,$DY41,$EQ41,$FI41,$GA41,$GS41,$HK41,$IC41,$IU41,$JM41)</f>
        <v>0</v>
      </c>
      <c r="LN41" s="1">
        <f>MAX($D41,$V41,$AN41,$BF41,$BX41,$CP41,$DH41,$DZ41,$ER41,$FJ41,$GB41,$GT41,$HL41,$ID41,$IV41,$JN41)</f>
        <v>0</v>
      </c>
      <c r="LO41" s="1">
        <f>MAX($E41,$W41,$AO41,$BG41,$BY41,$CQ41,$DI41,$EA41,$ES41,$FK41,$GC41,$GU41,$HM41,$IE41,$IW41,$JO41)</f>
        <v>0</v>
      </c>
      <c r="LP41" s="1">
        <f>MAX($F41,$X41,$AP41,$BH41,$BZ41,$CR41,$DJ41,$EB41,$ET41,$FL41,$GD41,$GV41,$HN41,$IF41,$IX41,$JP41)</f>
        <v>0</v>
      </c>
      <c r="LQ41" s="1">
        <f>MAX($G41,$Y41,$AQ41,$BI41,$CA41,$CS41,$DK41,$EC41,$EU41,$FM41,$GE41,$GW41,$HO41,$IG41,$IY41,$JQ41)</f>
        <v>0</v>
      </c>
      <c r="LR41" s="1">
        <f>MAX($H41,$Z41,$AR41,$BJ41,$CB41,$CT41,$DL41,$ED41,$EV41,$FN41,$GF41,$GX41,$HP41,$IH41,$IZ41,$JR41)</f>
        <v>0</v>
      </c>
      <c r="LS41" s="1">
        <f>MAX($I41,$AA41,$AS41,$BK41,$CC41,$CU41,$DM41,$EE41,$EW41,$FO41,$GG41,$GY41,$HQ41,$II41,$JA41,$JS41)</f>
        <v>0</v>
      </c>
      <c r="LT41" s="1">
        <f>MAX($J41,$AB41,$AT41,$BL41,$CD41,$CV41,$DN41,$EF41,$EX41,$FP41,$GH41,$GZ41,$HR41,$IJ41,$JB41,$JT41)</f>
        <v>0</v>
      </c>
      <c r="LU41" s="1">
        <f>MAX($K41,$AC41,$AU41,$BM41,$CE41,$CW41,$DO41,$EG41,$EY41,$FQ41,$GI41,$HA41,$HS41,$IK41,$JC41,$JU41)</f>
        <v>0</v>
      </c>
      <c r="LV41" s="1">
        <f>MAX($L41,$AD41,$AV41,$BN41,$CF41,$CX41,$DP41,$EH41,$EZ41,$FR41,$GJ41,$HB41,$HT41,$IL41,$JD41,$JV41)</f>
        <v>0</v>
      </c>
      <c r="LW41" s="1">
        <f>MAX($M41,$AE41,$AW41,$BO41,$CG41,$CY41,$DQ41,$EI41,$FA41,$FS41,$GK41,$HC41,$HU41,$IM41,$JE41,$JW41)</f>
        <v>0</v>
      </c>
      <c r="LX41" s="1">
        <f>MAX($N41,$AF41,$AX41,$BP41,$CH41,$CZ41,$DR41,$EJ41,$FB41,$FT41,$GL41,$HD41,$HV41,$IN41,$JF41,$JX41)</f>
        <v>0</v>
      </c>
      <c r="LY41" s="1">
        <f>MAX($O41,$AG41,$AY41,$BQ41,$CI41,$DA41,$DS41,$EK41,$FC41,$FU41,$GM41,$HE41,$HW41,$IO41,$JG41,$JY41)</f>
        <v>0</v>
      </c>
      <c r="LZ41" s="1">
        <f>MAX($Q41,$AI41,$BA41,$BS41,$CK41,$DC41,$DU41,$EM41,$FE41,$FW41,$GO41,$HG41,$HY41,$IQ41,$JI41,$KA41)</f>
        <v>0</v>
      </c>
      <c r="MA41" s="1">
        <f>MAX($R41,$AJ41,$BB41,$BT41,$CL41,$DD41,$DV41,$EN41,$FF41,$FX41,$GP41,$HH41,$HZ41,$IR41,$JJ41,$KB41)</f>
        <v>0</v>
      </c>
      <c r="MB41" s="1">
        <f>MAX($S41,$AK41,$BC41,$BU41,$CM41,$DE41,$DW41,$EO41,$FG41,$FY41,$GQ41,$HI41,$IA41,$IS41,$JK41,$KC41)</f>
        <v>0</v>
      </c>
    </row>
    <row r="42" spans="1:340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 cm="1">
        <f t="array" ref="L42">_xlfn.SWITCH($A$2,"average", AVERAGE(Instances!L42:Instances!L42),"median", MEDIAN(Instances!L42:Instances!L42),"min", MIN(Instances!L42:Instances!L42),"max", MAX(Instances!L42:Instances!L42),"diff", MAX(Instances!L42:Instances!L42)-MIN(Instances!L42:Instances!L42))</f>
        <v>0</v>
      </c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 cm="1">
        <f t="array" ref="O42">_xlfn.SWITCH($A$2,"average", AVERAGE(Instances!O42:Instances!O42),"median", MEDIAN(Instances!O42:Instances!O42),"min", MIN(Instances!O42:Instances!O42),"max", MAX(Instances!O42:Instances!O42),"diff", MAX(Instances!O42:Instances!O42)-MIN(Instances!O42:Instances!O42))</f>
        <v>0</v>
      </c>
      <c r="P42" s="1"/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 cm="1">
        <f t="array" ref="S42">_xlfn.SWITCH($A$2,"average", AVERAGE(Instances!S42:Instances!S42),"median", MEDIAN(Instances!S42:Instances!S42),"min", MIN(Instances!S42:Instances!S42),"max", MAX(Instances!S42:Instances!S42),"diff", MAX(Instances!S42:Instances!S42)-MIN(Instances!S42:Instances!S42))</f>
        <v>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 cm="1">
        <f t="array" ref="AL42">_xlfn.SWITCH($A$2,"average", AVERAGE(Instances!AL42:Instances!AL42),"median", MEDIAN(Instances!AL42:Instances!AL42),"min", MIN(Instances!AL42:Instances!AL42),"max", MAX(Instances!AL42:Instances!AL42),"diff", MAX(Instances!AL42:Instances!AL42)-MIN(Instances!AL42:Instances!AL42))</f>
        <v>0</v>
      </c>
      <c r="AM42" s="1" cm="1">
        <f t="array" ref="AM42">_xlfn.SWITCH($A$2,"average", AVERAGE(Instances!AM42:Instances!AM42),"median", MEDIAN(Instances!AM42:Instances!AM42),"min", MIN(Instances!AM42:Instances!AM42),"max", MAX(Instances!AM42:Instances!AM42),"diff", MAX(Instances!AM42:Instances!AM42)-MIN(Instances!AM42:Instances!AM42))</f>
        <v>0</v>
      </c>
      <c r="AN42" s="1" cm="1">
        <f t="array" ref="AN42">_xlfn.SWITCH($A$2,"average", AVERAGE(Instances!AN42:Instances!AN42),"median", MEDIAN(Instances!AN42:Instances!AN42),"min", MIN(Instances!AN42:Instances!AN42),"max", MAX(Instances!AN42:Instances!AN42),"diff", MAX(Instances!AN42:Instances!AN42)-MIN(Instances!AN42:Instances!AN42))</f>
        <v>0</v>
      </c>
      <c r="AO42" s="1" cm="1">
        <f t="array" ref="AO42">_xlfn.SWITCH($A$2,"average", AVERAGE(Instances!AO42:Instances!AO42),"median", MEDIAN(Instances!AO42:Instances!AO42),"min", MIN(Instances!AO42:Instances!AO42),"max", MAX(Instances!AO42:Instances!AO42),"diff", MAX(Instances!AO42:Instances!AO42)-MIN(Instances!AO42:Instances!AO42))</f>
        <v>0</v>
      </c>
      <c r="AP42" s="1" cm="1">
        <f t="array" ref="AP42">_xlfn.SWITCH($A$2,"average", AVERAGE(Instances!AP42:Instances!AP42),"median", MEDIAN(Instances!AP42:Instances!AP42),"min", MIN(Instances!AP42:Instances!AP42),"max", MAX(Instances!AP42:Instances!AP42),"diff", MAX(Instances!AP42:Instances!AP42)-MIN(Instances!AP42:Instances!AP42))</f>
        <v>0</v>
      </c>
      <c r="AQ42" s="1" cm="1">
        <f t="array" ref="AQ42">_xlfn.SWITCH($A$2,"average", AVERAGE(Instances!AQ42:Instances!AQ42),"median", MEDIAN(Instances!AQ42:Instances!AQ42),"min", MIN(Instances!AQ42:Instances!AQ42),"max", MAX(Instances!AQ42:Instances!AQ42),"diff", MAX(Instances!AQ42:Instances!AQ42)-MIN(Instances!AQ42:Instances!AQ42))</f>
        <v>0</v>
      </c>
      <c r="AR42" s="1" cm="1">
        <f t="array" ref="AR42">_xlfn.SWITCH($A$2,"average", AVERAGE(Instances!AR42:Instances!AR42),"median", MEDIAN(Instances!AR42:Instances!AR42),"min", MIN(Instances!AR42:Instances!AR42),"max", MAX(Instances!AR42:Instances!AR42),"diff", MAX(Instances!AR42:Instances!AR42)-MIN(Instances!AR42:Instances!AR42))</f>
        <v>0</v>
      </c>
      <c r="AS42" s="1" cm="1">
        <f t="array" ref="AS42">_xlfn.SWITCH($A$2,"average", AVERAGE(Instances!AS42:Instances!AS42),"median", MEDIAN(Instances!AS42:Instances!AS42),"min", MIN(Instances!AS42:Instances!AS42),"max", MAX(Instances!AS42:Instances!AS42),"diff", MAX(Instances!AS42:Instances!AS42)-MIN(Instances!AS42:Instances!AS42))</f>
        <v>0</v>
      </c>
      <c r="AT42" s="1" cm="1">
        <f t="array" ref="AT42">_xlfn.SWITCH($A$2,"average", AVERAGE(Instances!AT42:Instances!AT42),"median", MEDIAN(Instances!AT42:Instances!AT42),"min", MIN(Instances!AT42:Instances!AT42),"max", MAX(Instances!AT42:Instances!AT42),"diff", MAX(Instances!AT42:Instances!AT42)-MIN(Instances!AT42:Instances!AT42))</f>
        <v>0</v>
      </c>
      <c r="AU42" s="1" cm="1">
        <f t="array" ref="AU42">_xlfn.SWITCH($A$2,"average", AVERAGE(Instances!AU42:Instances!AU42),"median", MEDIAN(Instances!AU42:Instances!AU42),"min", MIN(Instances!AU42:Instances!AU42),"max", MAX(Instances!AU42:Instances!AU42),"diff", MAX(Instances!AU42:Instances!AU42)-MIN(Instances!AU42:Instances!AU42))</f>
        <v>0</v>
      </c>
      <c r="AV42" s="1" cm="1">
        <f t="array" ref="AV42">_xlfn.SWITCH($A$2,"average", AVERAGE(Instances!AV42:Instances!AV42),"median", MEDIAN(Instances!AV42:Instances!AV42),"min", MIN(Instances!AV42:Instances!AV42),"max", MAX(Instances!AV42:Instances!AV42),"diff", MAX(Instances!AV42:Instances!AV42)-MIN(Instances!AV42:Instances!AV42))</f>
        <v>0</v>
      </c>
      <c r="AW42" s="1" cm="1">
        <f t="array" ref="AW42">_xlfn.SWITCH($A$2,"average", AVERAGE(Instances!AW42:Instances!AW42),"median", MEDIAN(Instances!AW42:Instances!AW42),"min", MIN(Instances!AW42:Instances!AW42),"max", MAX(Instances!AW42:Instances!AW42),"diff", MAX(Instances!AW42:Instances!AW42)-MIN(Instances!AW42:Instances!AW42))</f>
        <v>0</v>
      </c>
      <c r="AX42" s="1" cm="1">
        <f t="array" ref="AX42">_xlfn.SWITCH($A$2,"average", AVERAGE(Instances!AX42:Instances!AX42),"median", MEDIAN(Instances!AX42:Instances!AX42),"min", MIN(Instances!AX42:Instances!AX42),"max", MAX(Instances!AX42:Instances!AX42),"diff", MAX(Instances!AX42:Instances!AX42)-MIN(Instances!AX42:Instances!AX42))</f>
        <v>0</v>
      </c>
      <c r="AY42" s="1" cm="1">
        <f t="array" ref="AY42">_xlfn.SWITCH($A$2,"average", AVERAGE(Instances!AY42:Instances!AY42),"median", MEDIAN(Instances!AY42:Instances!AY42),"min", MIN(Instances!AY42:Instances!AY42),"max", MAX(Instances!AY42:Instances!AY42),"diff", MAX(Instances!AY42:Instances!AY42)-MIN(Instances!AY42:Instances!AY42))</f>
        <v>0</v>
      </c>
      <c r="AZ42" s="1"/>
      <c r="BA42" s="1" cm="1">
        <f t="array" ref="BA42">_xlfn.SWITCH($A$2,"average", AVERAGE(Instances!BA42:Instances!BA42),"median", MEDIAN(Instances!BA42:Instances!BA42),"min", MIN(Instances!BA42:Instances!BA42),"max", MAX(Instances!BA42:Instances!BA42),"diff", MAX(Instances!BA42:Instances!BA42)-MIN(Instances!BA42:Instances!BA42))</f>
        <v>0</v>
      </c>
      <c r="BB42" s="1" cm="1">
        <f t="array" ref="BB42">_xlfn.SWITCH($A$2,"average", AVERAGE(Instances!BB42:Instances!BB42),"median", MEDIAN(Instances!BB42:Instances!BB42),"min", MIN(Instances!BB42:Instances!BB42),"max", MAX(Instances!BB42:Instances!BB42),"diff", MAX(Instances!BB42:Instances!BB42)-MIN(Instances!BB42:Instances!BB42))</f>
        <v>0</v>
      </c>
      <c r="BC42" s="1" cm="1">
        <f t="array" ref="BC42">_xlfn.SWITCH($A$2,"average", AVERAGE(Instances!BC42:Instances!BC42),"median", MEDIAN(Instances!BC42:Instances!BC42),"min", MIN(Instances!BC42:Instances!BC42),"max", MAX(Instances!BC42:Instances!BC42),"diff", MAX(Instances!BC42:Instances!BC42)-MIN(Instances!BC42:Instances!BC42))</f>
        <v>0</v>
      </c>
      <c r="BD42" s="1" cm="1">
        <f t="array" ref="BD42">_xlfn.SWITCH($A$2,"average", AVERAGE(Instances!BD42:Instances!BD42),"median", MEDIAN(Instances!BD42:Instances!BD42),"min", MIN(Instances!BD42:Instances!BD42),"max", MAX(Instances!BD42:Instances!BD42),"diff", MAX(Instances!BD42:Instances!BD42)-MIN(Instances!BD42:Instances!BD42))</f>
        <v>0</v>
      </c>
      <c r="BE42" s="1" cm="1">
        <f t="array" ref="BE42">_xlfn.SWITCH($A$2,"average", AVERAGE(Instances!BE42:Instances!BE42),"median", MEDIAN(Instances!BE42:Instances!BE42),"min", MIN(Instances!BE42:Instances!BE42),"max", MAX(Instances!BE42:Instances!BE42),"diff", MAX(Instances!BE42:Instances!BE42)-MIN(Instances!BE42:Instances!BE42))</f>
        <v>0</v>
      </c>
      <c r="BF42" s="1" cm="1">
        <f t="array" ref="BF42">_xlfn.SWITCH($A$2,"average", AVERAGE(Instances!BF42:Instances!BF42),"median", MEDIAN(Instances!BF42:Instances!BF42),"min", MIN(Instances!BF42:Instances!BF42),"max", MAX(Instances!BF42:Instances!BF42),"diff", MAX(Instances!BF42:Instances!BF42)-MIN(Instances!BF42:Instances!BF42))</f>
        <v>0</v>
      </c>
      <c r="BG42" s="1" cm="1">
        <f t="array" ref="BG42">_xlfn.SWITCH($A$2,"average", AVERAGE(Instances!BG42:Instances!BG42),"median", MEDIAN(Instances!BG42:Instances!BG42),"min", MIN(Instances!BG42:Instances!BG42),"max", MAX(Instances!BG42:Instances!BG42),"diff", MAX(Instances!BG42:Instances!BG42)-MIN(Instances!BG42:Instances!BG42))</f>
        <v>0</v>
      </c>
      <c r="BH42" s="1" cm="1">
        <f t="array" ref="BH42">_xlfn.SWITCH($A$2,"average", AVERAGE(Instances!BH42:Instances!BH42),"median", MEDIAN(Instances!BH42:Instances!BH42),"min", MIN(Instances!BH42:Instances!BH42),"max", MAX(Instances!BH42:Instances!BH42),"diff", MAX(Instances!BH42:Instances!BH42)-MIN(Instances!BH42:Instances!BH42))</f>
        <v>0</v>
      </c>
      <c r="BI42" s="1" cm="1">
        <f t="array" ref="BI42">_xlfn.SWITCH($A$2,"average", AVERAGE(Instances!BI42:Instances!BI42),"median", MEDIAN(Instances!BI42:Instances!BI42),"min", MIN(Instances!BI42:Instances!BI42),"max", MAX(Instances!BI42:Instances!BI42),"diff", MAX(Instances!BI42:Instances!BI42)-MIN(Instances!BI42:Instances!BI42))</f>
        <v>0</v>
      </c>
      <c r="BJ42" s="1" cm="1">
        <f t="array" ref="BJ42">_xlfn.SWITCH($A$2,"average", AVERAGE(Instances!BJ42:Instances!BJ42),"median", MEDIAN(Instances!BJ42:Instances!BJ42),"min", MIN(Instances!BJ42:Instances!BJ42),"max", MAX(Instances!BJ42:Instances!BJ42),"diff", MAX(Instances!BJ42:Instances!BJ42)-MIN(Instances!BJ42:Instances!BJ42))</f>
        <v>0</v>
      </c>
      <c r="BK42" s="1" cm="1">
        <f t="array" ref="BK42">_xlfn.SWITCH($A$2,"average", AVERAGE(Instances!BK42:Instances!BK42),"median", MEDIAN(Instances!BK42:Instances!BK42),"min", MIN(Instances!BK42:Instances!BK42),"max", MAX(Instances!BK42:Instances!BK42),"diff", MAX(Instances!BK42:Instances!BK42)-MIN(Instances!BK42:Instances!BK42))</f>
        <v>0</v>
      </c>
      <c r="BL42" s="1" cm="1">
        <f t="array" ref="BL42">_xlfn.SWITCH($A$2,"average", AVERAGE(Instances!BL42:Instances!BL42),"median", MEDIAN(Instances!BL42:Instances!BL42),"min", MIN(Instances!BL42:Instances!BL42),"max", MAX(Instances!BL42:Instances!BL42),"diff", MAX(Instances!BL42:Instances!BL42)-MIN(Instances!BL42:Instances!BL42))</f>
        <v>0</v>
      </c>
      <c r="BM42" s="1" cm="1">
        <f t="array" ref="BM42">_xlfn.SWITCH($A$2,"average", AVERAGE(Instances!BM42:Instances!BM42),"median", MEDIAN(Instances!BM42:Instances!BM42),"min", MIN(Instances!BM42:Instances!BM42),"max", MAX(Instances!BM42:Instances!BM42),"diff", MAX(Instances!BM42:Instances!BM42)-MIN(Instances!BM42:Instances!BM42))</f>
        <v>0</v>
      </c>
      <c r="BN42" s="1" cm="1">
        <f t="array" ref="BN42">_xlfn.SWITCH($A$2,"average", AVERAGE(Instances!BN42:Instances!BN42),"median", MEDIAN(Instances!BN42:Instances!BN42),"min", MIN(Instances!BN42:Instances!BN42),"max", MAX(Instances!BN42:Instances!BN42),"diff", MAX(Instances!BN42:Instances!BN42)-MIN(Instances!BN42:Instances!BN42))</f>
        <v>0</v>
      </c>
      <c r="BO42" s="1" cm="1">
        <f t="array" ref="BO42">_xlfn.SWITCH($A$2,"average", AVERAGE(Instances!BO42:Instances!BO42),"median", MEDIAN(Instances!BO42:Instances!BO42),"min", MIN(Instances!BO42:Instances!BO42),"max", MAX(Instances!BO42:Instances!BO42),"diff", MAX(Instances!BO42:Instances!BO42)-MIN(Instances!BO42:Instances!BO42))</f>
        <v>0</v>
      </c>
      <c r="BP42" s="1" cm="1">
        <f t="array" ref="BP42">_xlfn.SWITCH($A$2,"average", AVERAGE(Instances!BP42:Instances!BP42),"median", MEDIAN(Instances!BP42:Instances!BP42),"min", MIN(Instances!BP42:Instances!BP42),"max", MAX(Instances!BP42:Instances!BP42),"diff", MAX(Instances!BP42:Instances!BP42)-MIN(Instances!BP42:Instances!BP42))</f>
        <v>0</v>
      </c>
      <c r="BQ42" s="1" cm="1">
        <f t="array" ref="BQ42">_xlfn.SWITCH($A$2,"average", AVERAGE(Instances!BQ42:Instances!BQ42),"median", MEDIAN(Instances!BQ42:Instances!BQ42),"min", MIN(Instances!BQ42:Instances!BQ42),"max", MAX(Instances!BQ42:Instances!BQ42),"diff", MAX(Instances!BQ42:Instances!BQ42)-MIN(Instances!BQ42:Instances!BQ42))</f>
        <v>0</v>
      </c>
      <c r="BR42" s="1"/>
      <c r="BS42" s="1" cm="1">
        <f t="array" ref="BS42">_xlfn.SWITCH($A$2,"average", AVERAGE(Instances!BS42:Instances!BS42),"median", MEDIAN(Instances!BS42:Instances!BS42),"min", MIN(Instances!BS42:Instances!BS42),"max", MAX(Instances!BS42:Instances!BS42),"diff", MAX(Instances!BS42:Instances!BS42)-MIN(Instances!BS42:Instances!BS42))</f>
        <v>0</v>
      </c>
      <c r="BT42" s="1" cm="1">
        <f t="array" ref="BT42">_xlfn.SWITCH($A$2,"average", AVERAGE(Instances!BT42:Instances!BT42),"median", MEDIAN(Instances!BT42:Instances!BT42),"min", MIN(Instances!BT42:Instances!BT42),"max", MAX(Instances!BT42:Instances!BT42),"diff", MAX(Instances!BT42:Instances!BT42)-MIN(Instances!BT42:Instances!BT42))</f>
        <v>0</v>
      </c>
      <c r="BU42" s="1" cm="1">
        <f t="array" ref="BU42">_xlfn.SWITCH($A$2,"average", AVERAGE(Instances!BU42:Instances!BU42),"median", MEDIAN(Instances!BU42:Instances!BU42),"min", MIN(Instances!BU42:Instances!BU42),"max", MAX(Instances!BU42:Instances!BU42),"diff", MAX(Instances!BU42:Instances!BU42)-MIN(Instances!BU42:Instances!BU42))</f>
        <v>0</v>
      </c>
      <c r="BV42" s="1" cm="1">
        <f t="array" ref="BV42">_xlfn.SWITCH($A$2,"average", AVERAGE(Instances!BV42:Instances!BV42),"median", MEDIAN(Instances!BV42:Instances!BV42),"min", MIN(Instances!BV42:Instances!BV42),"max", MAX(Instances!BV42:Instances!BV42),"diff", MAX(Instances!BV42:Instances!BV42)-MIN(Instances!BV42:Instances!BV42))</f>
        <v>0</v>
      </c>
      <c r="BW42" s="1" cm="1">
        <f t="array" ref="BW42">_xlfn.SWITCH($A$2,"average", AVERAGE(Instances!BW42:Instances!BW42),"median", MEDIAN(Instances!BW42:Instances!BW42),"min", MIN(Instances!BW42:Instances!BW42),"max", MAX(Instances!BW42:Instances!BW42),"diff", MAX(Instances!BW42:Instances!BW42)-MIN(Instances!BW42:Instances!BW42))</f>
        <v>0</v>
      </c>
      <c r="BX42" s="1" cm="1">
        <f t="array" ref="BX42">_xlfn.SWITCH($A$2,"average", AVERAGE(Instances!BX42:Instances!BX42),"median", MEDIAN(Instances!BX42:Instances!BX42),"min", MIN(Instances!BX42:Instances!BX42),"max", MAX(Instances!BX42:Instances!BX42),"diff", MAX(Instances!BX42:Instances!BX42)-MIN(Instances!BX42:Instances!BX42))</f>
        <v>0</v>
      </c>
      <c r="BY42" s="1" cm="1">
        <f t="array" ref="BY42">_xlfn.SWITCH($A$2,"average", AVERAGE(Instances!BY42:Instances!BY42),"median", MEDIAN(Instances!BY42:Instances!BY42),"min", MIN(Instances!BY42:Instances!BY42),"max", MAX(Instances!BY42:Instances!BY42),"diff", MAX(Instances!BY42:Instances!BY42)-MIN(Instances!BY42:Instances!BY42))</f>
        <v>0</v>
      </c>
      <c r="BZ42" s="1" cm="1">
        <f t="array" ref="BZ42">_xlfn.SWITCH($A$2,"average", AVERAGE(Instances!BZ42:Instances!BZ42),"median", MEDIAN(Instances!BZ42:Instances!BZ42),"min", MIN(Instances!BZ42:Instances!BZ42),"max", MAX(Instances!BZ42:Instances!BZ42),"diff", MAX(Instances!BZ42:Instances!BZ42)-MIN(Instances!BZ42:Instances!BZ42))</f>
        <v>0</v>
      </c>
      <c r="CA42" s="1" cm="1">
        <f t="array" ref="CA42">_xlfn.SWITCH($A$2,"average", AVERAGE(Instances!CA42:Instances!CA42),"median", MEDIAN(Instances!CA42:Instances!CA42),"min", MIN(Instances!CA42:Instances!CA42),"max", MAX(Instances!CA42:Instances!CA42),"diff", MAX(Instances!CA42:Instances!CA42)-MIN(Instances!CA42:Instances!CA42))</f>
        <v>0</v>
      </c>
      <c r="CB42" s="1" cm="1">
        <f t="array" ref="CB42">_xlfn.SWITCH($A$2,"average", AVERAGE(Instances!CB42:Instances!CB42),"median", MEDIAN(Instances!CB42:Instances!CB42),"min", MIN(Instances!CB42:Instances!CB42),"max", MAX(Instances!CB42:Instances!CB42),"diff", MAX(Instances!CB42:Instances!CB42)-MIN(Instances!CB42:Instances!CB42))</f>
        <v>0</v>
      </c>
      <c r="CC42" s="1" cm="1">
        <f t="array" ref="CC42">_xlfn.SWITCH($A$2,"average", AVERAGE(Instances!CC42:Instances!CC42),"median", MEDIAN(Instances!CC42:Instances!CC42),"min", MIN(Instances!CC42:Instances!CC42),"max", MAX(Instances!CC42:Instances!CC42),"diff", MAX(Instances!CC42:Instances!CC42)-MIN(Instances!CC42:Instances!CC42))</f>
        <v>0</v>
      </c>
      <c r="CD42" s="1" cm="1">
        <f t="array" ref="CD42">_xlfn.SWITCH($A$2,"average", AVERAGE(Instances!CD42:Instances!CD42),"median", MEDIAN(Instances!CD42:Instances!CD42),"min", MIN(Instances!CD42:Instances!CD42),"max", MAX(Instances!CD42:Instances!CD42),"diff", MAX(Instances!CD42:Instances!CD42)-MIN(Instances!CD42:Instances!CD42))</f>
        <v>0</v>
      </c>
      <c r="CE42" s="1" cm="1">
        <f t="array" ref="CE42">_xlfn.SWITCH($A$2,"average", AVERAGE(Instances!CE42:Instances!CE42),"median", MEDIAN(Instances!CE42:Instances!CE42),"min", MIN(Instances!CE42:Instances!CE42),"max", MAX(Instances!CE42:Instances!CE42),"diff", MAX(Instances!CE42:Instances!CE42)-MIN(Instances!CE42:Instances!CE42))</f>
        <v>0</v>
      </c>
      <c r="CF42" s="1" cm="1">
        <f t="array" ref="CF42">_xlfn.SWITCH($A$2,"average", AVERAGE(Instances!CF42:Instances!CF42),"median", MEDIAN(Instances!CF42:Instances!CF42),"min", MIN(Instances!CF42:Instances!CF42),"max", MAX(Instances!CF42:Instances!CF42),"diff", MAX(Instances!CF42:Instances!CF42)-MIN(Instances!CF42:Instances!CF42))</f>
        <v>0</v>
      </c>
      <c r="CG42" s="1" cm="1">
        <f t="array" ref="CG42">_xlfn.SWITCH($A$2,"average", AVERAGE(Instances!CG42:Instances!CG42),"median", MEDIAN(Instances!CG42:Instances!CG42),"min", MIN(Instances!CG42:Instances!CG42),"max", MAX(Instances!CG42:Instances!CG42),"diff", MAX(Instances!CG42:Instances!CG42)-MIN(Instances!CG42:Instances!CG42))</f>
        <v>0</v>
      </c>
      <c r="CH42" s="1" cm="1">
        <f t="array" ref="CH42">_xlfn.SWITCH($A$2,"average", AVERAGE(Instances!CH42:Instances!CH42),"median", MEDIAN(Instances!CH42:Instances!CH42),"min", MIN(Instances!CH42:Instances!CH42),"max", MAX(Instances!CH42:Instances!CH42),"diff", MAX(Instances!CH42:Instances!CH42)-MIN(Instances!CH42:Instances!CH42))</f>
        <v>0</v>
      </c>
      <c r="CI42" s="1" cm="1">
        <f t="array" ref="CI42">_xlfn.SWITCH($A$2,"average", AVERAGE(Instances!CI42:Instances!CI42),"median", MEDIAN(Instances!CI42:Instances!CI42),"min", MIN(Instances!CI42:Instances!CI42),"max", MAX(Instances!CI42:Instances!CI42),"diff", MAX(Instances!CI42:Instances!CI42)-MIN(Instances!CI42:Instances!CI42))</f>
        <v>0</v>
      </c>
      <c r="CJ42" s="1"/>
      <c r="CK42" s="1" cm="1">
        <f t="array" ref="CK42">_xlfn.SWITCH($A$2,"average", AVERAGE(Instances!CK42:Instances!CK42),"median", MEDIAN(Instances!CK42:Instances!CK42),"min", MIN(Instances!CK42:Instances!CK42),"max", MAX(Instances!CK42:Instances!CK42),"diff", MAX(Instances!CK42:Instances!CK42)-MIN(Instances!CK42:Instances!CK42))</f>
        <v>0</v>
      </c>
      <c r="CL42" s="1" cm="1">
        <f t="array" ref="CL42">_xlfn.SWITCH($A$2,"average", AVERAGE(Instances!CL42:Instances!CL42),"median", MEDIAN(Instances!CL42:Instances!CL42),"min", MIN(Instances!CL42:Instances!CL42),"max", MAX(Instances!CL42:Instances!CL42),"diff", MAX(Instances!CL42:Instances!CL42)-MIN(Instances!CL42:Instances!CL42))</f>
        <v>0</v>
      </c>
      <c r="CM42" s="1" cm="1">
        <f t="array" ref="CM42">_xlfn.SWITCH($A$2,"average", AVERAGE(Instances!CM42:Instances!CM42),"median", MEDIAN(Instances!CM42:Instances!CM42),"min", MIN(Instances!CM42:Instances!CM42),"max", MAX(Instances!CM42:Instances!CM42),"diff", MAX(Instances!CM42:Instances!CM42)-MIN(Instances!CM42:Instances!CM42))</f>
        <v>0</v>
      </c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 cm="1">
        <f t="array" ref="DX42">_xlfn.SWITCH($A$2,"average", AVERAGE(Instances!DX42:Instances!DX42),"median", MEDIAN(Instances!DX42:Instances!DX42),"min", MIN(Instances!DX42:Instances!DX42),"max", MAX(Instances!DX42:Instances!DX42),"diff", MAX(Instances!DX42:Instances!DX42)-MIN(Instances!DX42:Instances!DX42))</f>
        <v>0</v>
      </c>
      <c r="DY42" s="1" cm="1">
        <f t="array" ref="DY42">_xlfn.SWITCH($A$2,"average", AVERAGE(Instances!DY42:Instances!DY42),"median", MEDIAN(Instances!DY42:Instances!DY42),"min", MIN(Instances!DY42:Instances!DY42),"max", MAX(Instances!DY42:Instances!DY42),"diff", MAX(Instances!DY42:Instances!DY42)-MIN(Instances!DY42:Instances!DY42))</f>
        <v>0</v>
      </c>
      <c r="DZ42" s="1" cm="1">
        <f t="array" ref="DZ42">_xlfn.SWITCH($A$2,"average", AVERAGE(Instances!DZ42:Instances!DZ42),"median", MEDIAN(Instances!DZ42:Instances!DZ42),"min", MIN(Instances!DZ42:Instances!DZ42),"max", MAX(Instances!DZ42:Instances!DZ42),"diff", MAX(Instances!DZ42:Instances!DZ42)-MIN(Instances!DZ42:Instances!DZ42))</f>
        <v>0</v>
      </c>
      <c r="EA42" s="1" cm="1">
        <f t="array" ref="EA42">_xlfn.SWITCH($A$2,"average", AVERAGE(Instances!EA42:Instances!EA42),"median", MEDIAN(Instances!EA42:Instances!EA42),"min", MIN(Instances!EA42:Instances!EA42),"max", MAX(Instances!EA42:Instances!EA42),"diff", MAX(Instances!EA42:Instances!EA42)-MIN(Instances!EA42:Instances!EA42))</f>
        <v>0</v>
      </c>
      <c r="EB42" s="1" cm="1">
        <f t="array" ref="EB42">_xlfn.SWITCH($A$2,"average", AVERAGE(Instances!EB42:Instances!EB42),"median", MEDIAN(Instances!EB42:Instances!EB42),"min", MIN(Instances!EB42:Instances!EB42),"max", MAX(Instances!EB42:Instances!EB42),"diff", MAX(Instances!EB42:Instances!EB42)-MIN(Instances!EB42:Instances!EB42))</f>
        <v>0</v>
      </c>
      <c r="EC42" s="1" cm="1">
        <f t="array" ref="EC42">_xlfn.SWITCH($A$2,"average", AVERAGE(Instances!EC42:Instances!EC42),"median", MEDIAN(Instances!EC42:Instances!EC42),"min", MIN(Instances!EC42:Instances!EC42),"max", MAX(Instances!EC42:Instances!EC42),"diff", MAX(Instances!EC42:Instances!EC42)-MIN(Instances!EC42:Instances!EC42))</f>
        <v>0</v>
      </c>
      <c r="ED42" s="1" cm="1">
        <f t="array" ref="ED42">_xlfn.SWITCH($A$2,"average", AVERAGE(Instances!ED42:Instances!ED42),"median", MEDIAN(Instances!ED42:Instances!ED42),"min", MIN(Instances!ED42:Instances!ED42),"max", MAX(Instances!ED42:Instances!ED42),"diff", MAX(Instances!ED42:Instances!ED42)-MIN(Instances!ED42:Instances!ED42))</f>
        <v>0</v>
      </c>
      <c r="EE42" s="1" cm="1">
        <f t="array" ref="EE42">_xlfn.SWITCH($A$2,"average", AVERAGE(Instances!EE42:Instances!EE42),"median", MEDIAN(Instances!EE42:Instances!EE42),"min", MIN(Instances!EE42:Instances!EE42),"max", MAX(Instances!EE42:Instances!EE42),"diff", MAX(Instances!EE42:Instances!EE42)-MIN(Instances!EE42:Instances!EE42))</f>
        <v>0</v>
      </c>
      <c r="EF42" s="1" cm="1">
        <f t="array" ref="EF42">_xlfn.SWITCH($A$2,"average", AVERAGE(Instances!EF42:Instances!EF42),"median", MEDIAN(Instances!EF42:Instances!EF42),"min", MIN(Instances!EF42:Instances!EF42),"max", MAX(Instances!EF42:Instances!EF42),"diff", MAX(Instances!EF42:Instances!EF42)-MIN(Instances!EF42:Instances!EF42))</f>
        <v>0</v>
      </c>
      <c r="EG42" s="1" cm="1">
        <f t="array" ref="EG42">_xlfn.SWITCH($A$2,"average", AVERAGE(Instances!EG42:Instances!EG42),"median", MEDIAN(Instances!EG42:Instances!EG42),"min", MIN(Instances!EG42:Instances!EG42),"max", MAX(Instances!EG42:Instances!EG42),"diff", MAX(Instances!EG42:Instances!EG42)-MIN(Instances!EG42:Instances!EG42))</f>
        <v>0</v>
      </c>
      <c r="EH42" s="1" cm="1">
        <f t="array" ref="EH42">_xlfn.SWITCH($A$2,"average", AVERAGE(Instances!EH42:Instances!EH42),"median", MEDIAN(Instances!EH42:Instances!EH42),"min", MIN(Instances!EH42:Instances!EH42),"max", MAX(Instances!EH42:Instances!EH42),"diff", MAX(Instances!EH42:Instances!EH42)-MIN(Instances!EH42:Instances!EH42))</f>
        <v>0</v>
      </c>
      <c r="EI42" s="1" cm="1">
        <f t="array" ref="EI42">_xlfn.SWITCH($A$2,"average", AVERAGE(Instances!EI42:Instances!EI42),"median", MEDIAN(Instances!EI42:Instances!EI42),"min", MIN(Instances!EI42:Instances!EI42),"max", MAX(Instances!EI42:Instances!EI42),"diff", MAX(Instances!EI42:Instances!EI42)-MIN(Instances!EI42:Instances!EI42))</f>
        <v>0</v>
      </c>
      <c r="EJ42" s="1" cm="1">
        <f t="array" ref="EJ42">_xlfn.SWITCH($A$2,"average", AVERAGE(Instances!EJ42:Instances!EJ42),"median", MEDIAN(Instances!EJ42:Instances!EJ42),"min", MIN(Instances!EJ42:Instances!EJ42),"max", MAX(Instances!EJ42:Instances!EJ42),"diff", MAX(Instances!EJ42:Instances!EJ42)-MIN(Instances!EJ42:Instances!EJ42))</f>
        <v>0</v>
      </c>
      <c r="EK42" s="1" cm="1">
        <f t="array" ref="EK42">_xlfn.SWITCH($A$2,"average", AVERAGE(Instances!EK42:Instances!EK42),"median", MEDIAN(Instances!EK42:Instances!EK42),"min", MIN(Instances!EK42:Instances!EK42),"max", MAX(Instances!EK42:Instances!EK42),"diff", MAX(Instances!EK42:Instances!EK42)-MIN(Instances!EK42:Instances!EK42))</f>
        <v>0</v>
      </c>
      <c r="EL42" s="1"/>
      <c r="EM42" s="1" cm="1">
        <f t="array" ref="EM42">_xlfn.SWITCH($A$2,"average", AVERAGE(Instances!EM42:Instances!EM42),"median", MEDIAN(Instances!EM42:Instances!EM42),"min", MIN(Instances!EM42:Instances!EM42),"max", MAX(Instances!EM42:Instances!EM42),"diff", MAX(Instances!EM42:Instances!EM42)-MIN(Instances!EM42:Instances!EM42))</f>
        <v>0</v>
      </c>
      <c r="EN42" s="1" cm="1">
        <f t="array" ref="EN42">_xlfn.SWITCH($A$2,"average", AVERAGE(Instances!EN42:Instances!EN42),"median", MEDIAN(Instances!EN42:Instances!EN42),"min", MIN(Instances!EN42:Instances!EN42),"max", MAX(Instances!EN42:Instances!EN42),"diff", MAX(Instances!EN42:Instances!EN42)-MIN(Instances!EN42:Instances!EN42))</f>
        <v>0</v>
      </c>
      <c r="EO42" s="1" cm="1">
        <f t="array" ref="EO42">_xlfn.SWITCH($A$2,"average", AVERAGE(Instances!EO42:Instances!EO42),"median", MEDIAN(Instances!EO42:Instances!EO42),"min", MIN(Instances!EO42:Instances!EO42),"max", MAX(Instances!EO42:Instances!EO42),"diff", MAX(Instances!EO42:Instances!EO42)-MIN(Instances!EO42:Instances!EO42))</f>
        <v>0</v>
      </c>
      <c r="EP42" s="1" cm="1">
        <f t="array" ref="EP42">_xlfn.SWITCH($A$2,"average", AVERAGE(Instances!EP42:Instances!EP42),"median", MEDIAN(Instances!EP42:Instances!EP42),"min", MIN(Instances!EP42:Instances!EP42),"max", MAX(Instances!EP42:Instances!EP42),"diff", MAX(Instances!EP42:Instances!EP42)-MIN(Instances!EP42:Instances!EP42))</f>
        <v>0</v>
      </c>
      <c r="EQ42" s="1" cm="1">
        <f t="array" ref="EQ42">_xlfn.SWITCH($A$2,"average", AVERAGE(Instances!EQ42:Instances!EQ42),"median", MEDIAN(Instances!EQ42:Instances!EQ42),"min", MIN(Instances!EQ42:Instances!EQ42),"max", MAX(Instances!EQ42:Instances!EQ42),"diff", MAX(Instances!EQ42:Instances!EQ42)-MIN(Instances!EQ42:Instances!EQ42))</f>
        <v>0</v>
      </c>
      <c r="ER42" s="1" cm="1">
        <f t="array" ref="ER42">_xlfn.SWITCH($A$2,"average", AVERAGE(Instances!ER42:Instances!ER42),"median", MEDIAN(Instances!ER42:Instances!ER42),"min", MIN(Instances!ER42:Instances!ER42),"max", MAX(Instances!ER42:Instances!ER42),"diff", MAX(Instances!ER42:Instances!ER42)-MIN(Instances!ER42:Instances!ER42))</f>
        <v>0</v>
      </c>
      <c r="ES42" s="1" cm="1">
        <f t="array" ref="ES42">_xlfn.SWITCH($A$2,"average", AVERAGE(Instances!ES42:Instances!ES42),"median", MEDIAN(Instances!ES42:Instances!ES42),"min", MIN(Instances!ES42:Instances!ES42),"max", MAX(Instances!ES42:Instances!ES42),"diff", MAX(Instances!ES42:Instances!ES42)-MIN(Instances!ES42:Instances!ES42))</f>
        <v>0</v>
      </c>
      <c r="ET42" s="1" cm="1">
        <f t="array" ref="ET42">_xlfn.SWITCH($A$2,"average", AVERAGE(Instances!ET42:Instances!ET42),"median", MEDIAN(Instances!ET42:Instances!ET42),"min", MIN(Instances!ET42:Instances!ET42),"max", MAX(Instances!ET42:Instances!ET42),"diff", MAX(Instances!ET42:Instances!ET42)-MIN(Instances!ET42:Instances!ET42))</f>
        <v>0</v>
      </c>
      <c r="EU42" s="1" cm="1">
        <f t="array" ref="EU42">_xlfn.SWITCH($A$2,"average", AVERAGE(Instances!EU42:Instances!EU42),"median", MEDIAN(Instances!EU42:Instances!EU42),"min", MIN(Instances!EU42:Instances!EU42),"max", MAX(Instances!EU42:Instances!EU42),"diff", MAX(Instances!EU42:Instances!EU42)-MIN(Instances!EU42:Instances!EU42))</f>
        <v>0</v>
      </c>
      <c r="EV42" s="1" cm="1">
        <f t="array" ref="EV42">_xlfn.SWITCH($A$2,"average", AVERAGE(Instances!EV42:Instances!EV42),"median", MEDIAN(Instances!EV42:Instances!EV42),"min", MIN(Instances!EV42:Instances!EV42),"max", MAX(Instances!EV42:Instances!EV42),"diff", MAX(Instances!EV42:Instances!EV42)-MIN(Instances!EV42:Instances!EV42))</f>
        <v>0</v>
      </c>
      <c r="EW42" s="1" cm="1">
        <f t="array" ref="EW42">_xlfn.SWITCH($A$2,"average", AVERAGE(Instances!EW42:Instances!EW42),"median", MEDIAN(Instances!EW42:Instances!EW42),"min", MIN(Instances!EW42:Instances!EW42),"max", MAX(Instances!EW42:Instances!EW42),"diff", MAX(Instances!EW42:Instances!EW42)-MIN(Instances!EW42:Instances!EW42))</f>
        <v>0</v>
      </c>
      <c r="EX42" s="1" cm="1">
        <f t="array" ref="EX42">_xlfn.SWITCH($A$2,"average", AVERAGE(Instances!EX42:Instances!EX42),"median", MEDIAN(Instances!EX42:Instances!EX42),"min", MIN(Instances!EX42:Instances!EX42),"max", MAX(Instances!EX42:Instances!EX42),"diff", MAX(Instances!EX42:Instances!EX42)-MIN(Instances!EX42:Instances!EX42))</f>
        <v>0</v>
      </c>
      <c r="EY42" s="1" cm="1">
        <f t="array" ref="EY42">_xlfn.SWITCH($A$2,"average", AVERAGE(Instances!EY42:Instances!EY42),"median", MEDIAN(Instances!EY42:Instances!EY42),"min", MIN(Instances!EY42:Instances!EY42),"max", MAX(Instances!EY42:Instances!EY42),"diff", MAX(Instances!EY42:Instances!EY42)-MIN(Instances!EY42:Instances!EY42))</f>
        <v>0</v>
      </c>
      <c r="EZ42" s="1" cm="1">
        <f t="array" ref="EZ42">_xlfn.SWITCH($A$2,"average", AVERAGE(Instances!EZ42:Instances!EZ42),"median", MEDIAN(Instances!EZ42:Instances!EZ42),"min", MIN(Instances!EZ42:Instances!EZ42),"max", MAX(Instances!EZ42:Instances!EZ42),"diff", MAX(Instances!EZ42:Instances!EZ42)-MIN(Instances!EZ42:Instances!EZ42))</f>
        <v>0</v>
      </c>
      <c r="FA42" s="1" cm="1">
        <f t="array" ref="FA42">_xlfn.SWITCH($A$2,"average", AVERAGE(Instances!FA42:Instances!FA42),"median", MEDIAN(Instances!FA42:Instances!FA42),"min", MIN(Instances!FA42:Instances!FA42),"max", MAX(Instances!FA42:Instances!FA42),"diff", MAX(Instances!FA42:Instances!FA42)-MIN(Instances!FA42:Instances!FA42))</f>
        <v>0</v>
      </c>
      <c r="FB42" s="1" cm="1">
        <f t="array" ref="FB42">_xlfn.SWITCH($A$2,"average", AVERAGE(Instances!FB42:Instances!FB42),"median", MEDIAN(Instances!FB42:Instances!FB42),"min", MIN(Instances!FB42:Instances!FB42),"max", MAX(Instances!FB42:Instances!FB42),"diff", MAX(Instances!FB42:Instances!FB42)-MIN(Instances!FB42:Instances!FB42))</f>
        <v>0</v>
      </c>
      <c r="FC42" s="1" cm="1">
        <f t="array" ref="FC42">_xlfn.SWITCH($A$2,"average", AVERAGE(Instances!FC42:Instances!FC42),"median", MEDIAN(Instances!FC42:Instances!FC42),"min", MIN(Instances!FC42:Instances!FC42),"max", MAX(Instances!FC42:Instances!FC42),"diff", MAX(Instances!FC42:Instances!FC42)-MIN(Instances!FC42:Instances!FC42))</f>
        <v>0</v>
      </c>
      <c r="FD42" s="1"/>
      <c r="FE42" s="1" cm="1">
        <f t="array" ref="FE42">_xlfn.SWITCH($A$2,"average", AVERAGE(Instances!FE42:Instances!FE42),"median", MEDIAN(Instances!FE42:Instances!FE42),"min", MIN(Instances!FE42:Instances!FE42),"max", MAX(Instances!FE42:Instances!FE42),"diff", MAX(Instances!FE42:Instances!FE42)-MIN(Instances!FE42:Instances!FE42))</f>
        <v>0</v>
      </c>
      <c r="FF42" s="1" cm="1">
        <f t="array" ref="FF42">_xlfn.SWITCH($A$2,"average", AVERAGE(Instances!FF42:Instances!FF42),"median", MEDIAN(Instances!FF42:Instances!FF42),"min", MIN(Instances!FF42:Instances!FF42),"max", MAX(Instances!FF42:Instances!FF42),"diff", MAX(Instances!FF42:Instances!FF42)-MIN(Instances!FF42:Instances!FF42))</f>
        <v>0</v>
      </c>
      <c r="FG42" s="1" cm="1">
        <f t="array" ref="FG42">_xlfn.SWITCH($A$2,"average", AVERAGE(Instances!FG42:Instances!FG42),"median", MEDIAN(Instances!FG42:Instances!FG42),"min", MIN(Instances!FG42:Instances!FG42),"max", MAX(Instances!FG42:Instances!FG42),"diff", MAX(Instances!FG42:Instances!FG42)-MIN(Instances!FG42:Instances!FG42))</f>
        <v>0</v>
      </c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 cm="1">
        <f t="array" ref="FZ42">_xlfn.SWITCH($A$2,"average", AVERAGE(Instances!FZ42:Instances!FZ42),"median", MEDIAN(Instances!FZ42:Instances!FZ42),"min", MIN(Instances!FZ42:Instances!FZ42),"max", MAX(Instances!FZ42:Instances!FZ42),"diff", MAX(Instances!FZ42:Instances!FZ42)-MIN(Instances!FZ42:Instances!FZ42))</f>
        <v>0</v>
      </c>
      <c r="GA42" s="1" cm="1">
        <f t="array" ref="GA42">_xlfn.SWITCH($A$2,"average", AVERAGE(Instances!GA42:Instances!GA42),"median", MEDIAN(Instances!GA42:Instances!GA42),"min", MIN(Instances!GA42:Instances!GA42),"max", MAX(Instances!GA42:Instances!GA42),"diff", MAX(Instances!GA42:Instances!GA42)-MIN(Instances!GA42:Instances!GA42))</f>
        <v>0</v>
      </c>
      <c r="GB42" s="1" cm="1">
        <f t="array" ref="GB42">_xlfn.SWITCH($A$2,"average", AVERAGE(Instances!GB42:Instances!GB42),"median", MEDIAN(Instances!GB42:Instances!GB42),"min", MIN(Instances!GB42:Instances!GB42),"max", MAX(Instances!GB42:Instances!GB42),"diff", MAX(Instances!GB42:Instances!GB42)-MIN(Instances!GB42:Instances!GB42))</f>
        <v>0</v>
      </c>
      <c r="GC42" s="1" cm="1">
        <f t="array" ref="GC42">_xlfn.SWITCH($A$2,"average", AVERAGE(Instances!GC42:Instances!GC42),"median", MEDIAN(Instances!GC42:Instances!GC42),"min", MIN(Instances!GC42:Instances!GC42),"max", MAX(Instances!GC42:Instances!GC42),"diff", MAX(Instances!GC42:Instances!GC42)-MIN(Instances!GC42:Instances!GC42))</f>
        <v>0</v>
      </c>
      <c r="GD42" s="1" cm="1">
        <f t="array" ref="GD42">_xlfn.SWITCH($A$2,"average", AVERAGE(Instances!GD42:Instances!GD42),"median", MEDIAN(Instances!GD42:Instances!GD42),"min", MIN(Instances!GD42:Instances!GD42),"max", MAX(Instances!GD42:Instances!GD42),"diff", MAX(Instances!GD42:Instances!GD42)-MIN(Instances!GD42:Instances!GD42))</f>
        <v>0</v>
      </c>
      <c r="GE42" s="1" cm="1">
        <f t="array" ref="GE42">_xlfn.SWITCH($A$2,"average", AVERAGE(Instances!GE42:Instances!GE42),"median", MEDIAN(Instances!GE42:Instances!GE42),"min", MIN(Instances!GE42:Instances!GE42),"max", MAX(Instances!GE42:Instances!GE42),"diff", MAX(Instances!GE42:Instances!GE42)-MIN(Instances!GE42:Instances!GE42))</f>
        <v>0</v>
      </c>
      <c r="GF42" s="1" cm="1">
        <f t="array" ref="GF42">_xlfn.SWITCH($A$2,"average", AVERAGE(Instances!GF42:Instances!GF42),"median", MEDIAN(Instances!GF42:Instances!GF42),"min", MIN(Instances!GF42:Instances!GF42),"max", MAX(Instances!GF42:Instances!GF42),"diff", MAX(Instances!GF42:Instances!GF42)-MIN(Instances!GF42:Instances!GF42))</f>
        <v>0</v>
      </c>
      <c r="GG42" s="1" cm="1">
        <f t="array" ref="GG42">_xlfn.SWITCH($A$2,"average", AVERAGE(Instances!GG42:Instances!GG42),"median", MEDIAN(Instances!GG42:Instances!GG42),"min", MIN(Instances!GG42:Instances!GG42),"max", MAX(Instances!GG42:Instances!GG42),"diff", MAX(Instances!GG42:Instances!GG42)-MIN(Instances!GG42:Instances!GG42))</f>
        <v>0</v>
      </c>
      <c r="GH42" s="1" cm="1">
        <f t="array" ref="GH42">_xlfn.SWITCH($A$2,"average", AVERAGE(Instances!GH42:Instances!GH42),"median", MEDIAN(Instances!GH42:Instances!GH42),"min", MIN(Instances!GH42:Instances!GH42),"max", MAX(Instances!GH42:Instances!GH42),"diff", MAX(Instances!GH42:Instances!GH42)-MIN(Instances!GH42:Instances!GH42))</f>
        <v>0</v>
      </c>
      <c r="GI42" s="1" cm="1">
        <f t="array" ref="GI42">_xlfn.SWITCH($A$2,"average", AVERAGE(Instances!GI42:Instances!GI42),"median", MEDIAN(Instances!GI42:Instances!GI42),"min", MIN(Instances!GI42:Instances!GI42),"max", MAX(Instances!GI42:Instances!GI42),"diff", MAX(Instances!GI42:Instances!GI42)-MIN(Instances!GI42:Instances!GI42))</f>
        <v>0</v>
      </c>
      <c r="GJ42" s="1" cm="1">
        <f t="array" ref="GJ42">_xlfn.SWITCH($A$2,"average", AVERAGE(Instances!GJ42:Instances!GJ42),"median", MEDIAN(Instances!GJ42:Instances!GJ42),"min", MIN(Instances!GJ42:Instances!GJ42),"max", MAX(Instances!GJ42:Instances!GJ42),"diff", MAX(Instances!GJ42:Instances!GJ42)-MIN(Instances!GJ42:Instances!GJ42))</f>
        <v>0</v>
      </c>
      <c r="GK42" s="1" cm="1">
        <f t="array" ref="GK42">_xlfn.SWITCH($A$2,"average", AVERAGE(Instances!GK42:Instances!GK42),"median", MEDIAN(Instances!GK42:Instances!GK42),"min", MIN(Instances!GK42:Instances!GK42),"max", MAX(Instances!GK42:Instances!GK42),"diff", MAX(Instances!GK42:Instances!GK42)-MIN(Instances!GK42:Instances!GK42))</f>
        <v>0</v>
      </c>
      <c r="GL42" s="1" cm="1">
        <f t="array" ref="GL42">_xlfn.SWITCH($A$2,"average", AVERAGE(Instances!GL42:Instances!GL42),"median", MEDIAN(Instances!GL42:Instances!GL42),"min", MIN(Instances!GL42:Instances!GL42),"max", MAX(Instances!GL42:Instances!GL42),"diff", MAX(Instances!GL42:Instances!GL42)-MIN(Instances!GL42:Instances!GL42))</f>
        <v>0</v>
      </c>
      <c r="GM42" s="1" cm="1">
        <f t="array" ref="GM42">_xlfn.SWITCH($A$2,"average", AVERAGE(Instances!GM42:Instances!GM42),"median", MEDIAN(Instances!GM42:Instances!GM42),"min", MIN(Instances!GM42:Instances!GM42),"max", MAX(Instances!GM42:Instances!GM42),"diff", MAX(Instances!GM42:Instances!GM42)-MIN(Instances!GM42:Instances!GM42))</f>
        <v>0</v>
      </c>
      <c r="GN42" s="1"/>
      <c r="GO42" s="1" cm="1">
        <f t="array" ref="GO42">_xlfn.SWITCH($A$2,"average", AVERAGE(Instances!GO42:Instances!GO42),"median", MEDIAN(Instances!GO42:Instances!GO42),"min", MIN(Instances!GO42:Instances!GO42),"max", MAX(Instances!GO42:Instances!GO42),"diff", MAX(Instances!GO42:Instances!GO42)-MIN(Instances!GO42:Instances!GO42))</f>
        <v>0</v>
      </c>
      <c r="GP42" s="1" cm="1">
        <f t="array" ref="GP42">_xlfn.SWITCH($A$2,"average", AVERAGE(Instances!GP42:Instances!GP42),"median", MEDIAN(Instances!GP42:Instances!GP42),"min", MIN(Instances!GP42:Instances!GP42),"max", MAX(Instances!GP42:Instances!GP42),"diff", MAX(Instances!GP42:Instances!GP42)-MIN(Instances!GP42:Instances!GP42))</f>
        <v>0</v>
      </c>
      <c r="GQ42" s="1" cm="1">
        <f t="array" ref="GQ42">_xlfn.SWITCH($A$2,"average", AVERAGE(Instances!GQ42:Instances!GQ42),"median", MEDIAN(Instances!GQ42:Instances!GQ42),"min", MIN(Instances!GQ42:Instances!GQ42),"max", MAX(Instances!GQ42:Instances!GQ42),"diff", MAX(Instances!GQ42:Instances!GQ42)-MIN(Instances!GQ42:Instances!GQ42))</f>
        <v>0</v>
      </c>
      <c r="GR42" s="1" cm="1">
        <f t="array" ref="GR42">_xlfn.SWITCH($A$2,"average", AVERAGE(Instances!GR42:Instances!GR42),"median", MEDIAN(Instances!GR42:Instances!GR42),"min", MIN(Instances!GR42:Instances!GR42),"max", MAX(Instances!GR42:Instances!GR42),"diff", MAX(Instances!GR42:Instances!GR42)-MIN(Instances!GR42:Instances!GR42))</f>
        <v>0</v>
      </c>
      <c r="GS42" s="1" cm="1">
        <f t="array" ref="GS42">_xlfn.SWITCH($A$2,"average", AVERAGE(Instances!GS42:Instances!GS42),"median", MEDIAN(Instances!GS42:Instances!GS42),"min", MIN(Instances!GS42:Instances!GS42),"max", MAX(Instances!GS42:Instances!GS42),"diff", MAX(Instances!GS42:Instances!GS42)-MIN(Instances!GS42:Instances!GS42))</f>
        <v>0</v>
      </c>
      <c r="GT42" s="1" cm="1">
        <f t="array" ref="GT42">_xlfn.SWITCH($A$2,"average", AVERAGE(Instances!GT42:Instances!GT42),"median", MEDIAN(Instances!GT42:Instances!GT42),"min", MIN(Instances!GT42:Instances!GT42),"max", MAX(Instances!GT42:Instances!GT42),"diff", MAX(Instances!GT42:Instances!GT42)-MIN(Instances!GT42:Instances!GT42))</f>
        <v>0</v>
      </c>
      <c r="GU42" s="1" cm="1">
        <f t="array" ref="GU42">_xlfn.SWITCH($A$2,"average", AVERAGE(Instances!GU42:Instances!GU42),"median", MEDIAN(Instances!GU42:Instances!GU42),"min", MIN(Instances!GU42:Instances!GU42),"max", MAX(Instances!GU42:Instances!GU42),"diff", MAX(Instances!GU42:Instances!GU42)-MIN(Instances!GU42:Instances!GU42))</f>
        <v>0</v>
      </c>
      <c r="GV42" s="1" cm="1">
        <f t="array" ref="GV42">_xlfn.SWITCH($A$2,"average", AVERAGE(Instances!GV42:Instances!GV42),"median", MEDIAN(Instances!GV42:Instances!GV42),"min", MIN(Instances!GV42:Instances!GV42),"max", MAX(Instances!GV42:Instances!GV42),"diff", MAX(Instances!GV42:Instances!GV42)-MIN(Instances!GV42:Instances!GV42))</f>
        <v>0</v>
      </c>
      <c r="GW42" s="1" cm="1">
        <f t="array" ref="GW42">_xlfn.SWITCH($A$2,"average", AVERAGE(Instances!GW42:Instances!GW42),"median", MEDIAN(Instances!GW42:Instances!GW42),"min", MIN(Instances!GW42:Instances!GW42),"max", MAX(Instances!GW42:Instances!GW42),"diff", MAX(Instances!GW42:Instances!GW42)-MIN(Instances!GW42:Instances!GW42))</f>
        <v>0</v>
      </c>
      <c r="GX42" s="1" cm="1">
        <f t="array" ref="GX42">_xlfn.SWITCH($A$2,"average", AVERAGE(Instances!GX42:Instances!GX42),"median", MEDIAN(Instances!GX42:Instances!GX42),"min", MIN(Instances!GX42:Instances!GX42),"max", MAX(Instances!GX42:Instances!GX42),"diff", MAX(Instances!GX42:Instances!GX42)-MIN(Instances!GX42:Instances!GX42))</f>
        <v>0</v>
      </c>
      <c r="GY42" s="1" cm="1">
        <f t="array" ref="GY42">_xlfn.SWITCH($A$2,"average", AVERAGE(Instances!GY42:Instances!GY42),"median", MEDIAN(Instances!GY42:Instances!GY42),"min", MIN(Instances!GY42:Instances!GY42),"max", MAX(Instances!GY42:Instances!GY42),"diff", MAX(Instances!GY42:Instances!GY42)-MIN(Instances!GY42:Instances!GY42))</f>
        <v>0</v>
      </c>
      <c r="GZ42" s="1" cm="1">
        <f t="array" ref="GZ42">_xlfn.SWITCH($A$2,"average", AVERAGE(Instances!GZ42:Instances!GZ42),"median", MEDIAN(Instances!GZ42:Instances!GZ42),"min", MIN(Instances!GZ42:Instances!GZ42),"max", MAX(Instances!GZ42:Instances!GZ42),"diff", MAX(Instances!GZ42:Instances!GZ42)-MIN(Instances!GZ42:Instances!GZ42))</f>
        <v>0</v>
      </c>
      <c r="HA42" s="1" cm="1">
        <f t="array" ref="HA42">_xlfn.SWITCH($A$2,"average", AVERAGE(Instances!HA42:Instances!HA42),"median", MEDIAN(Instances!HA42:Instances!HA42),"min", MIN(Instances!HA42:Instances!HA42),"max", MAX(Instances!HA42:Instances!HA42),"diff", MAX(Instances!HA42:Instances!HA42)-MIN(Instances!HA42:Instances!HA42))</f>
        <v>0</v>
      </c>
      <c r="HB42" s="1" cm="1">
        <f t="array" ref="HB42">_xlfn.SWITCH($A$2,"average", AVERAGE(Instances!HB42:Instances!HB42),"median", MEDIAN(Instances!HB42:Instances!HB42),"min", MIN(Instances!HB42:Instances!HB42),"max", MAX(Instances!HB42:Instances!HB42),"diff", MAX(Instances!HB42:Instances!HB42)-MIN(Instances!HB42:Instances!HB42))</f>
        <v>0</v>
      </c>
      <c r="HC42" s="1" cm="1">
        <f t="array" ref="HC42">_xlfn.SWITCH($A$2,"average", AVERAGE(Instances!HC42:Instances!HC42),"median", MEDIAN(Instances!HC42:Instances!HC42),"min", MIN(Instances!HC42:Instances!HC42),"max", MAX(Instances!HC42:Instances!HC42),"diff", MAX(Instances!HC42:Instances!HC42)-MIN(Instances!HC42:Instances!HC42))</f>
        <v>0</v>
      </c>
      <c r="HD42" s="1" cm="1">
        <f t="array" ref="HD42">_xlfn.SWITCH($A$2,"average", AVERAGE(Instances!HD42:Instances!HD42),"median", MEDIAN(Instances!HD42:Instances!HD42),"min", MIN(Instances!HD42:Instances!HD42),"max", MAX(Instances!HD42:Instances!HD42),"diff", MAX(Instances!HD42:Instances!HD42)-MIN(Instances!HD42:Instances!HD42))</f>
        <v>0</v>
      </c>
      <c r="HE42" s="1" cm="1">
        <f t="array" ref="HE42">_xlfn.SWITCH($A$2,"average", AVERAGE(Instances!HE42:Instances!HE42),"median", MEDIAN(Instances!HE42:Instances!HE42),"min", MIN(Instances!HE42:Instances!HE42),"max", MAX(Instances!HE42:Instances!HE42),"diff", MAX(Instances!HE42:Instances!HE42)-MIN(Instances!HE42:Instances!HE42))</f>
        <v>0</v>
      </c>
      <c r="HF42" s="1"/>
      <c r="HG42" s="1" cm="1">
        <f t="array" ref="HG42">_xlfn.SWITCH($A$2,"average", AVERAGE(Instances!HG42:Instances!HG42),"median", MEDIAN(Instances!HG42:Instances!HG42),"min", MIN(Instances!HG42:Instances!HG42),"max", MAX(Instances!HG42:Instances!HG42),"diff", MAX(Instances!HG42:Instances!HG42)-MIN(Instances!HG42:Instances!HG42))</f>
        <v>0</v>
      </c>
      <c r="HH42" s="1" cm="1">
        <f t="array" ref="HH42">_xlfn.SWITCH($A$2,"average", AVERAGE(Instances!HH42:Instances!HH42),"median", MEDIAN(Instances!HH42:Instances!HH42),"min", MIN(Instances!HH42:Instances!HH42),"max", MAX(Instances!HH42:Instances!HH42),"diff", MAX(Instances!HH42:Instances!HH42)-MIN(Instances!HH42:Instances!HH42))</f>
        <v>0</v>
      </c>
      <c r="HI42" s="1" cm="1">
        <f t="array" ref="HI42">_xlfn.SWITCH($A$2,"average", AVERAGE(Instances!HI42:Instances!HI42),"median", MEDIAN(Instances!HI42:Instances!HI42),"min", MIN(Instances!HI42:Instances!HI42),"max", MAX(Instances!HI42:Instances!HI42),"diff", MAX(Instances!HI42:Instances!HI42)-MIN(Instances!HI42:Instances!HI42))</f>
        <v>0</v>
      </c>
      <c r="HJ42" s="1" cm="1">
        <f t="array" ref="HJ42">_xlfn.SWITCH($A$2,"average", AVERAGE(Instances!HJ42:Instances!HJ42),"median", MEDIAN(Instances!HJ42:Instances!HJ42),"min", MIN(Instances!HJ42:Instances!HJ42),"max", MAX(Instances!HJ42:Instances!HJ42),"diff", MAX(Instances!HJ42:Instances!HJ42)-MIN(Instances!HJ42:Instances!HJ42))</f>
        <v>0</v>
      </c>
      <c r="HK42" s="1" cm="1">
        <f t="array" ref="HK42">_xlfn.SWITCH($A$2,"average", AVERAGE(Instances!HK42:Instances!HK42),"median", MEDIAN(Instances!HK42:Instances!HK42),"min", MIN(Instances!HK42:Instances!HK42),"max", MAX(Instances!HK42:Instances!HK42),"diff", MAX(Instances!HK42:Instances!HK42)-MIN(Instances!HK42:Instances!HK42))</f>
        <v>0</v>
      </c>
      <c r="HL42" s="1" cm="1">
        <f t="array" ref="HL42">_xlfn.SWITCH($A$2,"average", AVERAGE(Instances!HL42:Instances!HL42),"median", MEDIAN(Instances!HL42:Instances!HL42),"min", MIN(Instances!HL42:Instances!HL42),"max", MAX(Instances!HL42:Instances!HL42),"diff", MAX(Instances!HL42:Instances!HL42)-MIN(Instances!HL42:Instances!HL42))</f>
        <v>0</v>
      </c>
      <c r="HM42" s="1" cm="1">
        <f t="array" ref="HM42">_xlfn.SWITCH($A$2,"average", AVERAGE(Instances!HM42:Instances!HM42),"median", MEDIAN(Instances!HM42:Instances!HM42),"min", MIN(Instances!HM42:Instances!HM42),"max", MAX(Instances!HM42:Instances!HM42),"diff", MAX(Instances!HM42:Instances!HM42)-MIN(Instances!HM42:Instances!HM42))</f>
        <v>0</v>
      </c>
      <c r="HN42" s="1" cm="1">
        <f t="array" ref="HN42">_xlfn.SWITCH($A$2,"average", AVERAGE(Instances!HN42:Instances!HN42),"median", MEDIAN(Instances!HN42:Instances!HN42),"min", MIN(Instances!HN42:Instances!HN42),"max", MAX(Instances!HN42:Instances!HN42),"diff", MAX(Instances!HN42:Instances!HN42)-MIN(Instances!HN42:Instances!HN42))</f>
        <v>0</v>
      </c>
      <c r="HO42" s="1" cm="1">
        <f t="array" ref="HO42">_xlfn.SWITCH($A$2,"average", AVERAGE(Instances!HO42:Instances!HO42),"median", MEDIAN(Instances!HO42:Instances!HO42),"min", MIN(Instances!HO42:Instances!HO42),"max", MAX(Instances!HO42:Instances!HO42),"diff", MAX(Instances!HO42:Instances!HO42)-MIN(Instances!HO42:Instances!HO42))</f>
        <v>0</v>
      </c>
      <c r="HP42" s="1" cm="1">
        <f t="array" ref="HP42">_xlfn.SWITCH($A$2,"average", AVERAGE(Instances!HP42:Instances!HP42),"median", MEDIAN(Instances!HP42:Instances!HP42),"min", MIN(Instances!HP42:Instances!HP42),"max", MAX(Instances!HP42:Instances!HP42),"diff", MAX(Instances!HP42:Instances!HP42)-MIN(Instances!HP42:Instances!HP42))</f>
        <v>0</v>
      </c>
      <c r="HQ42" s="1" cm="1">
        <f t="array" ref="HQ42">_xlfn.SWITCH($A$2,"average", AVERAGE(Instances!HQ42:Instances!HQ42),"median", MEDIAN(Instances!HQ42:Instances!HQ42),"min", MIN(Instances!HQ42:Instances!HQ42),"max", MAX(Instances!HQ42:Instances!HQ42),"diff", MAX(Instances!HQ42:Instances!HQ42)-MIN(Instances!HQ42:Instances!HQ42))</f>
        <v>0</v>
      </c>
      <c r="HR42" s="1" cm="1">
        <f t="array" ref="HR42">_xlfn.SWITCH($A$2,"average", AVERAGE(Instances!HR42:Instances!HR42),"median", MEDIAN(Instances!HR42:Instances!HR42),"min", MIN(Instances!HR42:Instances!HR42),"max", MAX(Instances!HR42:Instances!HR42),"diff", MAX(Instances!HR42:Instances!HR42)-MIN(Instances!HR42:Instances!HR42))</f>
        <v>0</v>
      </c>
      <c r="HS42" s="1" cm="1">
        <f t="array" ref="HS42">_xlfn.SWITCH($A$2,"average", AVERAGE(Instances!HS42:Instances!HS42),"median", MEDIAN(Instances!HS42:Instances!HS42),"min", MIN(Instances!HS42:Instances!HS42),"max", MAX(Instances!HS42:Instances!HS42),"diff", MAX(Instances!HS42:Instances!HS42)-MIN(Instances!HS42:Instances!HS42))</f>
        <v>0</v>
      </c>
      <c r="HT42" s="1" cm="1">
        <f t="array" ref="HT42">_xlfn.SWITCH($A$2,"average", AVERAGE(Instances!HT42:Instances!HT42),"median", MEDIAN(Instances!HT42:Instances!HT42),"min", MIN(Instances!HT42:Instances!HT42),"max", MAX(Instances!HT42:Instances!HT42),"diff", MAX(Instances!HT42:Instances!HT42)-MIN(Instances!HT42:Instances!HT42))</f>
        <v>0</v>
      </c>
      <c r="HU42" s="1" cm="1">
        <f t="array" ref="HU42">_xlfn.SWITCH($A$2,"average", AVERAGE(Instances!HU42:Instances!HU42),"median", MEDIAN(Instances!HU42:Instances!HU42),"min", MIN(Instances!HU42:Instances!HU42),"max", MAX(Instances!HU42:Instances!HU42),"diff", MAX(Instances!HU42:Instances!HU42)-MIN(Instances!HU42:Instances!HU42))</f>
        <v>0</v>
      </c>
      <c r="HV42" s="1" cm="1">
        <f t="array" ref="HV42">_xlfn.SWITCH($A$2,"average", AVERAGE(Instances!HV42:Instances!HV42),"median", MEDIAN(Instances!HV42:Instances!HV42),"min", MIN(Instances!HV42:Instances!HV42),"max", MAX(Instances!HV42:Instances!HV42),"diff", MAX(Instances!HV42:Instances!HV42)-MIN(Instances!HV42:Instances!HV42))</f>
        <v>0</v>
      </c>
      <c r="HW42" s="1" cm="1">
        <f t="array" ref="HW42">_xlfn.SWITCH($A$2,"average", AVERAGE(Instances!HW42:Instances!HW42),"median", MEDIAN(Instances!HW42:Instances!HW42),"min", MIN(Instances!HW42:Instances!HW42),"max", MAX(Instances!HW42:Instances!HW42),"diff", MAX(Instances!HW42:Instances!HW42)-MIN(Instances!HW42:Instances!HW42))</f>
        <v>0</v>
      </c>
      <c r="HX42" s="1"/>
      <c r="HY42" s="1" cm="1">
        <f t="array" ref="HY42">_xlfn.SWITCH($A$2,"average", AVERAGE(Instances!HY42:Instances!HY42),"median", MEDIAN(Instances!HY42:Instances!HY42),"min", MIN(Instances!HY42:Instances!HY42),"max", MAX(Instances!HY42:Instances!HY42),"diff", MAX(Instances!HY42:Instances!HY42)-MIN(Instances!HY42:Instances!HY42))</f>
        <v>0</v>
      </c>
      <c r="HZ42" s="1" cm="1">
        <f t="array" ref="HZ42">_xlfn.SWITCH($A$2,"average", AVERAGE(Instances!HZ42:Instances!HZ42),"median", MEDIAN(Instances!HZ42:Instances!HZ42),"min", MIN(Instances!HZ42:Instances!HZ42),"max", MAX(Instances!HZ42:Instances!HZ42),"diff", MAX(Instances!HZ42:Instances!HZ42)-MIN(Instances!HZ42:Instances!HZ42))</f>
        <v>0</v>
      </c>
      <c r="IA42" s="1" cm="1">
        <f t="array" ref="IA42">_xlfn.SWITCH($A$2,"average", AVERAGE(Instances!IA42:Instances!IA42),"median", MEDIAN(Instances!IA42:Instances!IA42),"min", MIN(Instances!IA42:Instances!IA42),"max", MAX(Instances!IA42:Instances!IA42),"diff", MAX(Instances!IA42:Instances!IA42)-MIN(Instances!IA42:Instances!IA42))</f>
        <v>0</v>
      </c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 cm="1">
        <f t="array" ref="JL42">_xlfn.SWITCH($A$2,"average", AVERAGE(Instances!JL42:Instances!JL42),"median", MEDIAN(Instances!JL42:Instances!JL42),"min", MIN(Instances!JL42:Instances!JL42),"max", MAX(Instances!JL42:Instances!JL42),"diff", MAX(Instances!JL42:Instances!JL42)-MIN(Instances!JL42:Instances!JL42))</f>
        <v>0</v>
      </c>
      <c r="JM42" s="1" cm="1">
        <f t="array" ref="JM42">_xlfn.SWITCH($A$2,"average", AVERAGE(Instances!JM42:Instances!JM42),"median", MEDIAN(Instances!JM42:Instances!JM42),"min", MIN(Instances!JM42:Instances!JM42),"max", MAX(Instances!JM42:Instances!JM42),"diff", MAX(Instances!JM42:Instances!JM42)-MIN(Instances!JM42:Instances!JM42))</f>
        <v>0</v>
      </c>
      <c r="JN42" s="1" cm="1">
        <f t="array" ref="JN42">_xlfn.SWITCH($A$2,"average", AVERAGE(Instances!JN42:Instances!JN42),"median", MEDIAN(Instances!JN42:Instances!JN42),"min", MIN(Instances!JN42:Instances!JN42),"max", MAX(Instances!JN42:Instances!JN42),"diff", MAX(Instances!JN42:Instances!JN42)-MIN(Instances!JN42:Instances!JN42))</f>
        <v>0</v>
      </c>
      <c r="JO42" s="1" cm="1">
        <f t="array" ref="JO42">_xlfn.SWITCH($A$2,"average", AVERAGE(Instances!JO42:Instances!JO42),"median", MEDIAN(Instances!JO42:Instances!JO42),"min", MIN(Instances!JO42:Instances!JO42),"max", MAX(Instances!JO42:Instances!JO42),"diff", MAX(Instances!JO42:Instances!JO42)-MIN(Instances!JO42:Instances!JO42))</f>
        <v>0</v>
      </c>
      <c r="JP42" s="1" cm="1">
        <f t="array" ref="JP42">_xlfn.SWITCH($A$2,"average", AVERAGE(Instances!JP42:Instances!JP42),"median", MEDIAN(Instances!JP42:Instances!JP42),"min", MIN(Instances!JP42:Instances!JP42),"max", MAX(Instances!JP42:Instances!JP42),"diff", MAX(Instances!JP42:Instances!JP42)-MIN(Instances!JP42:Instances!JP42))</f>
        <v>0</v>
      </c>
      <c r="JQ42" s="1" cm="1">
        <f t="array" ref="JQ42">_xlfn.SWITCH($A$2,"average", AVERAGE(Instances!JQ42:Instances!JQ42),"median", MEDIAN(Instances!JQ42:Instances!JQ42),"min", MIN(Instances!JQ42:Instances!JQ42),"max", MAX(Instances!JQ42:Instances!JQ42),"diff", MAX(Instances!JQ42:Instances!JQ42)-MIN(Instances!JQ42:Instances!JQ42))</f>
        <v>0</v>
      </c>
      <c r="JR42" s="1" cm="1">
        <f t="array" ref="JR42">_xlfn.SWITCH($A$2,"average", AVERAGE(Instances!JR42:Instances!JR42),"median", MEDIAN(Instances!JR42:Instances!JR42),"min", MIN(Instances!JR42:Instances!JR42),"max", MAX(Instances!JR42:Instances!JR42),"diff", MAX(Instances!JR42:Instances!JR42)-MIN(Instances!JR42:Instances!JR42))</f>
        <v>0</v>
      </c>
      <c r="JS42" s="1" cm="1">
        <f t="array" ref="JS42">_xlfn.SWITCH($A$2,"average", AVERAGE(Instances!JS42:Instances!JS42),"median", MEDIAN(Instances!JS42:Instances!JS42),"min", MIN(Instances!JS42:Instances!JS42),"max", MAX(Instances!JS42:Instances!JS42),"diff", MAX(Instances!JS42:Instances!JS42)-MIN(Instances!JS42:Instances!JS42))</f>
        <v>0</v>
      </c>
      <c r="JT42" s="1" cm="1">
        <f t="array" ref="JT42">_xlfn.SWITCH($A$2,"average", AVERAGE(Instances!JT42:Instances!JT42),"median", MEDIAN(Instances!JT42:Instances!JT42),"min", MIN(Instances!JT42:Instances!JT42),"max", MAX(Instances!JT42:Instances!JT42),"diff", MAX(Instances!JT42:Instances!JT42)-MIN(Instances!JT42:Instances!JT42))</f>
        <v>0</v>
      </c>
      <c r="JU42" s="1" cm="1">
        <f t="array" ref="JU42">_xlfn.SWITCH($A$2,"average", AVERAGE(Instances!JU42:Instances!JU42),"median", MEDIAN(Instances!JU42:Instances!JU42),"min", MIN(Instances!JU42:Instances!JU42),"max", MAX(Instances!JU42:Instances!JU42),"diff", MAX(Instances!JU42:Instances!JU42)-MIN(Instances!JU42:Instances!JU42))</f>
        <v>0</v>
      </c>
      <c r="JV42" s="1" cm="1">
        <f t="array" ref="JV42">_xlfn.SWITCH($A$2,"average", AVERAGE(Instances!JV42:Instances!JV42),"median", MEDIAN(Instances!JV42:Instances!JV42),"min", MIN(Instances!JV42:Instances!JV42),"max", MAX(Instances!JV42:Instances!JV42),"diff", MAX(Instances!JV42:Instances!JV42)-MIN(Instances!JV42:Instances!JV42))</f>
        <v>0</v>
      </c>
      <c r="JW42" s="1" cm="1">
        <f t="array" ref="JW42">_xlfn.SWITCH($A$2,"average", AVERAGE(Instances!JW42:Instances!JW42),"median", MEDIAN(Instances!JW42:Instances!JW42),"min", MIN(Instances!JW42:Instances!JW42),"max", MAX(Instances!JW42:Instances!JW42),"diff", MAX(Instances!JW42:Instances!JW42)-MIN(Instances!JW42:Instances!JW42))</f>
        <v>0</v>
      </c>
      <c r="JX42" s="1" cm="1">
        <f t="array" ref="JX42">_xlfn.SWITCH($A$2,"average", AVERAGE(Instances!JX42:Instances!JX42),"median", MEDIAN(Instances!JX42:Instances!JX42),"min", MIN(Instances!JX42:Instances!JX42),"max", MAX(Instances!JX42:Instances!JX42),"diff", MAX(Instances!JX42:Instances!JX42)-MIN(Instances!JX42:Instances!JX42))</f>
        <v>0</v>
      </c>
      <c r="JY42" s="1" cm="1">
        <f t="array" ref="JY42">_xlfn.SWITCH($A$2,"average", AVERAGE(Instances!JY42:Instances!JY42),"median", MEDIAN(Instances!JY42:Instances!JY42),"min", MIN(Instances!JY42:Instances!JY42),"max", MAX(Instances!JY42:Instances!JY42),"diff", MAX(Instances!JY42:Instances!JY42)-MIN(Instances!JY42:Instances!JY42))</f>
        <v>0</v>
      </c>
      <c r="JZ42" s="1"/>
      <c r="KA42" s="1" cm="1">
        <f t="array" ref="KA42">_xlfn.SWITCH($A$2,"average", AVERAGE(Instances!KA42:Instances!KA42),"median", MEDIAN(Instances!KA42:Instances!KA42),"min", MIN(Instances!KA42:Instances!KA42),"max", MAX(Instances!KA42:Instances!KA42),"diff", MAX(Instances!KA42:Instances!KA42)-MIN(Instances!KA42:Instances!KA42))</f>
        <v>0</v>
      </c>
      <c r="KB42" s="1" cm="1">
        <f t="array" ref="KB42">_xlfn.SWITCH($A$2,"average", AVERAGE(Instances!KB42:Instances!KB42),"median", MEDIAN(Instances!KB42:Instances!KB42),"min", MIN(Instances!KB42:Instances!KB42),"max", MAX(Instances!KB42:Instances!KB42),"diff", MAX(Instances!KB42:Instances!KB42)-MIN(Instances!KB42:Instances!KB42))</f>
        <v>0</v>
      </c>
      <c r="KC42" s="1" cm="1">
        <f t="array" ref="KC42">_xlfn.SWITCH($A$2,"average", AVERAGE(Instances!KC42:Instances!KC42),"median", MEDIAN(Instances!KC42:Instances!KC42),"min", MIN(Instances!KC42:Instances!KC42),"max", MAX(Instances!KC42:Instances!KC42),"diff", MAX(Instances!KC42:Instances!KC42)-MIN(Instances!KC42:Instances!KC42))</f>
        <v>0</v>
      </c>
      <c r="KD42" s="1">
        <f>MIN($B42,$T42,$AL42,$BD42,$BV42,$CN42,$DF42,$DX42,$EP42,$FH42,$FZ42,$GR42,$HJ42,$IB42,$IT42,$JL42)</f>
        <v>0</v>
      </c>
      <c r="KE42" s="1">
        <f>MIN($C42,$U42,$AM42,$BE42,$BW42,$CO42,$DG42,$DY42,$EQ42,$FI42,$GA42,$GS42,$HK42,$IC42,$IU42,$JM42)</f>
        <v>0</v>
      </c>
      <c r="KF42" s="1">
        <f>MIN($D42,$V42,$AN42,$BF42,$BX42,$CP42,$DH42,$DZ42,$ER42,$FJ42,$GB42,$GT42,$HL42,$ID42,$IV42,$JN42)</f>
        <v>0</v>
      </c>
      <c r="KG42" s="1">
        <f>MIN($E42,$W42,$AO42,$BG42,$BY42,$CQ42,$DI42,$EA42,$ES42,$FK42,$GC42,$GU42,$HM42,$IE42,$IW42,$JO42)</f>
        <v>0</v>
      </c>
      <c r="KH42" s="1">
        <f>MIN($F42,$X42,$AP42,$BH42,$BZ42,$CR42,$DJ42,$EB42,$ET42,$FL42,$GD42,$GV42,$HN42,$IF42,$IX42,$JP42)</f>
        <v>0</v>
      </c>
      <c r="KI42" s="1">
        <f>MIN($G42,$Y42,$AQ42,$BI42,$CA42,$CS42,$DK42,$EC42,$EU42,$FM42,$GE42,$GW42,$HO42,$IG42,$IY42,$JQ42)</f>
        <v>0</v>
      </c>
      <c r="KJ42" s="1">
        <f>MIN($H42,$Z42,$AR42,$BJ42,$CB42,$CT42,$DL42,$ED42,$EV42,$FN42,$GF42,$GX42,$HP42,$IH42,$IZ42,$JR42)</f>
        <v>0</v>
      </c>
      <c r="KK42" s="1">
        <f>MIN($I42,$AA42,$AS42,$BK42,$CC42,$CU42,$DM42,$EE42,$EW42,$FO42,$GG42,$GY42,$HQ42,$II42,$JA42,$JS42)</f>
        <v>0</v>
      </c>
      <c r="KL42" s="1">
        <f>MIN($J42,$AB42,$AT42,$BL42,$CD42,$CV42,$DN42,$EF42,$EX42,$FP42,$GH42,$GZ42,$HR42,$IJ42,$JB42,$JT42)</f>
        <v>0</v>
      </c>
      <c r="KM42" s="1">
        <f>MIN($K42,$AC42,$AU42,$BM42,$CE42,$CW42,$DO42,$EG42,$EY42,$FQ42,$GI42,$HA42,$HS42,$IK42,$JC42,$JU42)</f>
        <v>0</v>
      </c>
      <c r="KN42" s="1">
        <f>MIN($L42,$AD42,$AV42,$BN42,$CF42,$CX42,$DP42,$EH42,$EZ42,$FR42,$GJ42,$HB42,$HT42,$IL42,$JD42,$JV42)</f>
        <v>0</v>
      </c>
      <c r="KO42" s="1">
        <f>MIN($M42,$AE42,$AW42,$BO42,$CG42,$CY42,$DQ42,$EI42,$FA42,$FS42,$GK42,$HC42,$HU42,$IM42,$JE42,$JW42)</f>
        <v>0</v>
      </c>
      <c r="KP42" s="1">
        <f>MIN($N42,$AF42,$AX42,$BP42,$CH42,$CZ42,$DR42,$EJ42,$FB42,$FT42,$GL42,$HD42,$HV42,$IN42,$JF42,$JX42)</f>
        <v>0</v>
      </c>
      <c r="KQ42" s="1">
        <f>MIN($O42,$AG42,$AY42,$BQ42,$CI42,$DA42,$DS42,$EK42,$FC42,$FU42,$GM42,$HE42,$HW42,$IO42,$JG42,$JY42)</f>
        <v>0</v>
      </c>
      <c r="KR42" s="1">
        <f>MIN($Q42,$AI42,$BA42,$BS42,$CK42,$DC42,$DU42,$EM42,$FE42,$FW42,$GO42,$HG42,$HY42,$IQ42,$JI42,$KA42)</f>
        <v>0</v>
      </c>
      <c r="KS42" s="1">
        <f>MIN($R42,$AJ42,$BB42,$BT42,$CL42,$DD42,$DV42,$EN42,$FF42,$FX42,$GP42,$HH42,$HZ42,$IR42,$JJ42,$KB42)</f>
        <v>0</v>
      </c>
      <c r="KT42" s="1">
        <f>MIN($S42,$AK42,$BC42,$BU42,$CM42,$DE42,$DW42,$EO42,$FG42,$FY42,$GQ42,$HI42,$IA42,$IS42,$JK42,$KC42)</f>
        <v>0</v>
      </c>
      <c r="KU42" s="1">
        <f>MEDIAN($B42,$T42,$AL42,$BD42,$BV42,$CN42,$DF42,$DX42,$EP42,$FH42,$FZ42,$GR42,$HJ42,$IB42,$IT42,$JL42)</f>
        <v>0</v>
      </c>
      <c r="KV42" s="1">
        <f>MEDIAN($C42,$U42,$AM42,$BE42,$BW42,$CO42,$DG42,$DY42,$EQ42,$FI42,$GA42,$GS42,$HK42,$IC42,$IU42,$JM42)</f>
        <v>0</v>
      </c>
      <c r="KW42" s="1">
        <f>MEDIAN($D42,$V42,$AN42,$BF42,$BX42,$CP42,$DH42,$DZ42,$ER42,$FJ42,$GB42,$GT42,$HL42,$ID42,$IV42,$JN42)</f>
        <v>0</v>
      </c>
      <c r="KX42" s="1">
        <f>MEDIAN($E42,$W42,$AO42,$BG42,$BY42,$CQ42,$DI42,$EA42,$ES42,$FK42,$GC42,$GU42,$HM42,$IE42,$IW42,$JO42)</f>
        <v>0</v>
      </c>
      <c r="KY42" s="1">
        <f>MEDIAN($F42,$X42,$AP42,$BH42,$BZ42,$CR42,$DJ42,$EB42,$ET42,$FL42,$GD42,$GV42,$HN42,$IF42,$IX42,$JP42)</f>
        <v>0</v>
      </c>
      <c r="KZ42" s="1">
        <f>MEDIAN($G42,$Y42,$AQ42,$BI42,$CA42,$CS42,$DK42,$EC42,$EU42,$FM42,$GE42,$GW42,$HO42,$IG42,$IY42,$JQ42)</f>
        <v>0</v>
      </c>
      <c r="LA42" s="1">
        <f>MEDIAN($H42,$Z42,$AR42,$BJ42,$CB42,$CT42,$DL42,$ED42,$EV42,$FN42,$GF42,$GX42,$HP42,$IH42,$IZ42,$JR42)</f>
        <v>0</v>
      </c>
      <c r="LB42" s="1">
        <f>MEDIAN($I42,$AA42,$AS42,$BK42,$CC42,$CU42,$DM42,$EE42,$EW42,$FO42,$GG42,$GY42,$HQ42,$II42,$JA42,$JS42)</f>
        <v>0</v>
      </c>
      <c r="LC42" s="1">
        <f>MEDIAN($J42,$AB42,$AT42,$BL42,$CD42,$CV42,$DN42,$EF42,$EX42,$FP42,$GH42,$GZ42,$HR42,$IJ42,$JB42,$JT42)</f>
        <v>0</v>
      </c>
      <c r="LD42" s="1">
        <f>MEDIAN($K42,$AC42,$AU42,$BM42,$CE42,$CW42,$DO42,$EG42,$EY42,$FQ42,$GI42,$HA42,$HS42,$IK42,$JC42,$JU42)</f>
        <v>0</v>
      </c>
      <c r="LE42" s="1">
        <f>MEDIAN($L42,$AD42,$AV42,$BN42,$CF42,$CX42,$DP42,$EH42,$EZ42,$FR42,$GJ42,$HB42,$HT42,$IL42,$JD42,$JV42)</f>
        <v>0</v>
      </c>
      <c r="LF42" s="1">
        <f>MEDIAN($M42,$AE42,$AW42,$BO42,$CG42,$CY42,$DQ42,$EI42,$FA42,$FS42,$GK42,$HC42,$HU42,$IM42,$JE42,$JW42)</f>
        <v>0</v>
      </c>
      <c r="LG42" s="1">
        <f>MEDIAN($N42,$AF42,$AX42,$BP42,$CH42,$CZ42,$DR42,$EJ42,$FB42,$FT42,$GL42,$HD42,$HV42,$IN42,$JF42,$JX42)</f>
        <v>0</v>
      </c>
      <c r="LH42" s="1">
        <f>MEDIAN($O42,$AG42,$AY42,$BQ42,$CI42,$DA42,$DS42,$EK42,$FC42,$FU42,$GM42,$HE42,$HW42,$IO42,$JG42,$JY42)</f>
        <v>0</v>
      </c>
      <c r="LI42" s="1">
        <f>MEDIAN($Q42,$AI42,$BA42,$BS42,$CK42,$DC42,$DU42,$EM42,$FE42,$FW42,$GO42,$HG42,$HY42,$IQ42,$JI42,$KA42)</f>
        <v>0</v>
      </c>
      <c r="LJ42" s="1">
        <f>MEDIAN($R42,$AJ42,$BB42,$BT42,$CL42,$DD42,$DV42,$EN42,$FF42,$FX42,$GP42,$HH42,$HZ42,$IR42,$JJ42,$KB42)</f>
        <v>0</v>
      </c>
      <c r="LK42" s="1">
        <f>MEDIAN($S42,$AK42,$BC42,$BU42,$CM42,$DE42,$DW42,$EO42,$FG42,$FY42,$GQ42,$HI42,$IA42,$IS42,$JK42,$KC42)</f>
        <v>0</v>
      </c>
      <c r="LL42" s="1">
        <f>MAX($B42,$T42,$AL42,$BD42,$BV42,$CN42,$DF42,$DX42,$EP42,$FH42,$FZ42,$GR42,$HJ42,$IB42,$IT42,$JL42)</f>
        <v>0</v>
      </c>
      <c r="LM42" s="1">
        <f>MAX($C42,$U42,$AM42,$BE42,$BW42,$CO42,$DG42,$DY42,$EQ42,$FI42,$GA42,$GS42,$HK42,$IC42,$IU42,$JM42)</f>
        <v>0</v>
      </c>
      <c r="LN42" s="1">
        <f>MAX($D42,$V42,$AN42,$BF42,$BX42,$CP42,$DH42,$DZ42,$ER42,$FJ42,$GB42,$GT42,$HL42,$ID42,$IV42,$JN42)</f>
        <v>0</v>
      </c>
      <c r="LO42" s="1">
        <f>MAX($E42,$W42,$AO42,$BG42,$BY42,$CQ42,$DI42,$EA42,$ES42,$FK42,$GC42,$GU42,$HM42,$IE42,$IW42,$JO42)</f>
        <v>0</v>
      </c>
      <c r="LP42" s="1">
        <f>MAX($F42,$X42,$AP42,$BH42,$BZ42,$CR42,$DJ42,$EB42,$ET42,$FL42,$GD42,$GV42,$HN42,$IF42,$IX42,$JP42)</f>
        <v>0</v>
      </c>
      <c r="LQ42" s="1">
        <f>MAX($G42,$Y42,$AQ42,$BI42,$CA42,$CS42,$DK42,$EC42,$EU42,$FM42,$GE42,$GW42,$HO42,$IG42,$IY42,$JQ42)</f>
        <v>0</v>
      </c>
      <c r="LR42" s="1">
        <f>MAX($H42,$Z42,$AR42,$BJ42,$CB42,$CT42,$DL42,$ED42,$EV42,$FN42,$GF42,$GX42,$HP42,$IH42,$IZ42,$JR42)</f>
        <v>0</v>
      </c>
      <c r="LS42" s="1">
        <f>MAX($I42,$AA42,$AS42,$BK42,$CC42,$CU42,$DM42,$EE42,$EW42,$FO42,$GG42,$GY42,$HQ42,$II42,$JA42,$JS42)</f>
        <v>0</v>
      </c>
      <c r="LT42" s="1">
        <f>MAX($J42,$AB42,$AT42,$BL42,$CD42,$CV42,$DN42,$EF42,$EX42,$FP42,$GH42,$GZ42,$HR42,$IJ42,$JB42,$JT42)</f>
        <v>0</v>
      </c>
      <c r="LU42" s="1">
        <f>MAX($K42,$AC42,$AU42,$BM42,$CE42,$CW42,$DO42,$EG42,$EY42,$FQ42,$GI42,$HA42,$HS42,$IK42,$JC42,$JU42)</f>
        <v>0</v>
      </c>
      <c r="LV42" s="1">
        <f>MAX($L42,$AD42,$AV42,$BN42,$CF42,$CX42,$DP42,$EH42,$EZ42,$FR42,$GJ42,$HB42,$HT42,$IL42,$JD42,$JV42)</f>
        <v>0</v>
      </c>
      <c r="LW42" s="1">
        <f>MAX($M42,$AE42,$AW42,$BO42,$CG42,$CY42,$DQ42,$EI42,$FA42,$FS42,$GK42,$HC42,$HU42,$IM42,$JE42,$JW42)</f>
        <v>0</v>
      </c>
      <c r="LX42" s="1">
        <f>MAX($N42,$AF42,$AX42,$BP42,$CH42,$CZ42,$DR42,$EJ42,$FB42,$FT42,$GL42,$HD42,$HV42,$IN42,$JF42,$JX42)</f>
        <v>0</v>
      </c>
      <c r="LY42" s="1">
        <f>MAX($O42,$AG42,$AY42,$BQ42,$CI42,$DA42,$DS42,$EK42,$FC42,$FU42,$GM42,$HE42,$HW42,$IO42,$JG42,$JY42)</f>
        <v>0</v>
      </c>
      <c r="LZ42" s="1">
        <f>MAX($Q42,$AI42,$BA42,$BS42,$CK42,$DC42,$DU42,$EM42,$FE42,$FW42,$GO42,$HG42,$HY42,$IQ42,$JI42,$KA42)</f>
        <v>0</v>
      </c>
      <c r="MA42" s="1">
        <f>MAX($R42,$AJ42,$BB42,$BT42,$CL42,$DD42,$DV42,$EN42,$FF42,$FX42,$GP42,$HH42,$HZ42,$IR42,$JJ42,$KB42)</f>
        <v>0</v>
      </c>
      <c r="MB42" s="1">
        <f>MAX($S42,$AK42,$BC42,$BU42,$CM42,$DE42,$DW42,$EO42,$FG42,$FY42,$GQ42,$HI42,$IA42,$IS42,$JK42,$KC42)</f>
        <v>0</v>
      </c>
    </row>
    <row r="43" spans="1:34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  <row r="44" spans="1:340">
      <c r="A44" s="1" t="s">
        <v>40</v>
      </c>
      <c r="B44" s="1">
        <f>SUM(B$3:B$42)</f>
        <v>0</v>
      </c>
      <c r="C44" s="1">
        <f>SUM(C$3:C$42)</f>
        <v>0</v>
      </c>
      <c r="D44" s="1">
        <f>SUM(D$3:D$42)</f>
        <v>0</v>
      </c>
      <c r="E44" s="1">
        <f>SUM(E$3:E$42)</f>
        <v>0</v>
      </c>
      <c r="F44" s="1">
        <f>SUM(F$3:F$42)</f>
        <v>0</v>
      </c>
      <c r="G44" s="1">
        <f>SUM(G$3:G$42)</f>
        <v>0</v>
      </c>
      <c r="H44" s="1">
        <f>SUM(H$3:H$42)</f>
        <v>0</v>
      </c>
      <c r="I44" s="1">
        <f>SUM(I$3:I$42)</f>
        <v>0</v>
      </c>
      <c r="J44" s="1">
        <f>SUM(J$3:J$42)</f>
        <v>0</v>
      </c>
      <c r="K44" s="1">
        <f>SUM(K$3:K$42)</f>
        <v>0</v>
      </c>
      <c r="L44" s="1">
        <f>SUM(L$3:L$42)</f>
        <v>0</v>
      </c>
      <c r="M44" s="1">
        <f>SUM(M$3:M$42)</f>
        <v>0</v>
      </c>
      <c r="N44" s="1">
        <f>SUM(N$3:N$42)</f>
        <v>0</v>
      </c>
      <c r="O44" s="1">
        <f>SUM(O$3:O$42)</f>
        <v>0</v>
      </c>
      <c r="P44" s="1"/>
      <c r="Q44" s="1">
        <f>SUM(Q$3:Q$42)</f>
        <v>0</v>
      </c>
      <c r="R44" s="1">
        <f>SUM(R$3:R$42)</f>
        <v>0</v>
      </c>
      <c r="S44" s="1">
        <f>SUM(S$3:S$42)</f>
        <v>0</v>
      </c>
      <c r="T44" s="1">
        <f>SUM(T$3:T$42)</f>
        <v>0</v>
      </c>
      <c r="U44" s="1">
        <f>SUM(U$3:U$42)</f>
        <v>0</v>
      </c>
      <c r="V44" s="1">
        <f>SUM(V$3:V$42)</f>
        <v>0</v>
      </c>
      <c r="W44" s="1">
        <f>SUM(W$3:W$42)</f>
        <v>0</v>
      </c>
      <c r="X44" s="1">
        <f>SUM(X$3:X$42)</f>
        <v>0</v>
      </c>
      <c r="Y44" s="1">
        <f>SUM(Y$3:Y$42)</f>
        <v>0</v>
      </c>
      <c r="Z44" s="1">
        <f>SUM(Z$3:Z$42)</f>
        <v>0</v>
      </c>
      <c r="AA44" s="1">
        <f>SUM(AA$3:AA$42)</f>
        <v>0</v>
      </c>
      <c r="AB44" s="1">
        <f>SUM(AB$3:AB$42)</f>
        <v>0</v>
      </c>
      <c r="AC44" s="1">
        <f>SUM(AC$3:AC$42)</f>
        <v>0</v>
      </c>
      <c r="AD44" s="1">
        <f>SUM(AD$3:AD$42)</f>
        <v>0</v>
      </c>
      <c r="AE44" s="1">
        <f>SUM(AE$3:AE$42)</f>
        <v>0</v>
      </c>
      <c r="AF44" s="1">
        <f>SUM(AF$3:AF$42)</f>
        <v>0</v>
      </c>
      <c r="AG44" s="1">
        <f>SUM(AG$3:AG$42)</f>
        <v>0</v>
      </c>
      <c r="AH44" s="1"/>
      <c r="AI44" s="1">
        <f>SUM(AI$3:AI$42)</f>
        <v>0</v>
      </c>
      <c r="AJ44" s="1">
        <f>SUM(AJ$3:AJ$42)</f>
        <v>0</v>
      </c>
      <c r="AK44" s="1">
        <f>SUM(AK$3:AK$42)</f>
        <v>0</v>
      </c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>
        <f>SUM(KR$3:KR$42)</f>
        <v>0</v>
      </c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>
        <f>SUM(LJ$3:LJ$42)</f>
        <v>0</v>
      </c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</row>
    <row r="45" spans="1:340">
      <c r="A45" s="1" t="s">
        <v>41</v>
      </c>
      <c r="B45" s="1">
        <f>AVERAGE(B$3:B$42)</f>
        <v>0</v>
      </c>
      <c r="C45" s="1">
        <f>AVERAGE(C$3:C$42)</f>
        <v>0</v>
      </c>
      <c r="D45" s="1">
        <f>AVERAGE(D$3:D$42)</f>
        <v>0</v>
      </c>
      <c r="E45" s="1">
        <f>AVERAGE(E$3:E$42)</f>
        <v>0</v>
      </c>
      <c r="F45" s="1">
        <f>AVERAGE(F$3:F$42)</f>
        <v>0</v>
      </c>
      <c r="G45" s="1">
        <f>AVERAGE(G$3:G$42)</f>
        <v>0</v>
      </c>
      <c r="H45" s="1">
        <f>AVERAGE(H$3:H$42)</f>
        <v>0</v>
      </c>
      <c r="I45" s="1">
        <f>AVERAGE(I$3:I$42)</f>
        <v>0</v>
      </c>
      <c r="J45" s="1">
        <f>AVERAGE(J$3:J$42)</f>
        <v>0</v>
      </c>
      <c r="K45" s="1">
        <f>AVERAGE(K$3:K$42)</f>
        <v>0</v>
      </c>
      <c r="L45" s="1">
        <f>AVERAGE(L$3:L$42)</f>
        <v>0</v>
      </c>
      <c r="M45" s="1">
        <f>AVERAGE(M$3:M$42)</f>
        <v>0</v>
      </c>
      <c r="N45" s="1">
        <f>AVERAGE(N$3:N$42)</f>
        <v>0</v>
      </c>
      <c r="O45" s="1">
        <f>AVERAGE(O$3:O$42)</f>
        <v>0</v>
      </c>
      <c r="P45" s="1"/>
      <c r="Q45" s="1">
        <f>AVERAGE(Q$3:Q$42)</f>
        <v>0</v>
      </c>
      <c r="R45" s="1">
        <f>AVERAGE(R$3:R$42)</f>
        <v>0</v>
      </c>
      <c r="S45" s="1">
        <f>AVERAGE(S$3:S$42)</f>
        <v>0</v>
      </c>
      <c r="T45" s="1">
        <f>AVERAGE(T$3:T$42)</f>
        <v>0</v>
      </c>
      <c r="U45" s="1">
        <f>AVERAGE(U$3:U$42)</f>
        <v>0</v>
      </c>
      <c r="V45" s="1">
        <f>AVERAGE(V$3:V$42)</f>
        <v>0</v>
      </c>
      <c r="W45" s="1">
        <f>AVERAGE(W$3:W$42)</f>
        <v>0</v>
      </c>
      <c r="X45" s="1">
        <f>AVERAGE(X$3:X$42)</f>
        <v>0</v>
      </c>
      <c r="Y45" s="1">
        <f>AVERAGE(Y$3:Y$42)</f>
        <v>0</v>
      </c>
      <c r="Z45" s="1">
        <f>AVERAGE(Z$3:Z$42)</f>
        <v>0</v>
      </c>
      <c r="AA45" s="1">
        <f>AVERAGE(AA$3:AA$42)</f>
        <v>0</v>
      </c>
      <c r="AB45" s="1">
        <f>AVERAGE(AB$3:AB$42)</f>
        <v>0</v>
      </c>
      <c r="AC45" s="1">
        <f>AVERAGE(AC$3:AC$42)</f>
        <v>0</v>
      </c>
      <c r="AD45" s="1">
        <f>AVERAGE(AD$3:AD$42)</f>
        <v>0</v>
      </c>
      <c r="AE45" s="1">
        <f>AVERAGE(AE$3:AE$42)</f>
        <v>0</v>
      </c>
      <c r="AF45" s="1">
        <f>AVERAGE(AF$3:AF$42)</f>
        <v>0</v>
      </c>
      <c r="AG45" s="1">
        <f>AVERAGE(AG$3:AG$42)</f>
        <v>0</v>
      </c>
      <c r="AH45" s="1"/>
      <c r="AI45" s="1">
        <f>AVERAGE(AI$3:AI$42)</f>
        <v>0</v>
      </c>
      <c r="AJ45" s="1">
        <f>AVERAGE(AJ$3:AJ$42)</f>
        <v>0</v>
      </c>
      <c r="AK45" s="1">
        <f>AVERAGE(AK$3:AK$42)</f>
        <v>0</v>
      </c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>
        <f>AVERAGE(KR$3:KR$42)</f>
        <v>0</v>
      </c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>
        <f>AVERAGE(LJ$3:LJ$42)</f>
        <v>0</v>
      </c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</row>
    <row r="46" spans="1:340">
      <c r="A46" s="1" t="s">
        <v>42</v>
      </c>
      <c r="B46" s="1">
        <f>STDEV(B$3:B$42)</f>
        <v>0</v>
      </c>
      <c r="C46" s="1">
        <f>STDEV(C$3:C$42)</f>
        <v>0</v>
      </c>
      <c r="D46" s="1">
        <f>STDEV(D$3:D$42)</f>
        <v>0</v>
      </c>
      <c r="E46" s="1">
        <f>STDEV(E$3:E$42)</f>
        <v>0</v>
      </c>
      <c r="F46" s="1">
        <f>STDEV(F$3:F$42)</f>
        <v>0</v>
      </c>
      <c r="G46" s="1">
        <f>STDEV(G$3:G$42)</f>
        <v>0</v>
      </c>
      <c r="H46" s="1">
        <f>STDEV(H$3:H$42)</f>
        <v>0</v>
      </c>
      <c r="I46" s="1">
        <f>STDEV(I$3:I$42)</f>
        <v>0</v>
      </c>
      <c r="J46" s="1">
        <f>STDEV(J$3:J$42)</f>
        <v>0</v>
      </c>
      <c r="K46" s="1">
        <f>STDEV(K$3:K$42)</f>
        <v>0</v>
      </c>
      <c r="L46" s="1">
        <f>STDEV(L$3:L$42)</f>
        <v>0</v>
      </c>
      <c r="M46" s="1">
        <f>STDEV(M$3:M$42)</f>
        <v>0</v>
      </c>
      <c r="N46" s="1">
        <f>STDEV(N$3:N$42)</f>
        <v>0</v>
      </c>
      <c r="O46" s="1">
        <f>STDEV(O$3:O$42)</f>
        <v>0</v>
      </c>
      <c r="P46" s="1"/>
      <c r="Q46" s="1">
        <f>STDEV(Q$3:Q$42)</f>
        <v>0</v>
      </c>
      <c r="R46" s="1">
        <f>STDEV(R$3:R$42)</f>
        <v>0</v>
      </c>
      <c r="S46" s="1">
        <f>STDEV(S$3:S$42)</f>
        <v>0</v>
      </c>
      <c r="T46" s="1">
        <f>STDEV(T$3:T$42)</f>
        <v>0</v>
      </c>
      <c r="U46" s="1">
        <f>STDEV(U$3:U$42)</f>
        <v>0</v>
      </c>
      <c r="V46" s="1">
        <f>STDEV(V$3:V$42)</f>
        <v>0</v>
      </c>
      <c r="W46" s="1">
        <f>STDEV(W$3:W$42)</f>
        <v>0</v>
      </c>
      <c r="X46" s="1">
        <f>STDEV(X$3:X$42)</f>
        <v>0</v>
      </c>
      <c r="Y46" s="1">
        <f>STDEV(Y$3:Y$42)</f>
        <v>0</v>
      </c>
      <c r="Z46" s="1">
        <f>STDEV(Z$3:Z$42)</f>
        <v>0</v>
      </c>
      <c r="AA46" s="1">
        <f>STDEV(AA$3:AA$42)</f>
        <v>0</v>
      </c>
      <c r="AB46" s="1">
        <f>STDEV(AB$3:AB$42)</f>
        <v>0</v>
      </c>
      <c r="AC46" s="1">
        <f>STDEV(AC$3:AC$42)</f>
        <v>0</v>
      </c>
      <c r="AD46" s="1">
        <f>STDEV(AD$3:AD$42)</f>
        <v>0</v>
      </c>
      <c r="AE46" s="1">
        <f>STDEV(AE$3:AE$42)</f>
        <v>0</v>
      </c>
      <c r="AF46" s="1">
        <f>STDEV(AF$3:AF$42)</f>
        <v>0</v>
      </c>
      <c r="AG46" s="1">
        <f>STDEV(AG$3:AG$42)</f>
        <v>0</v>
      </c>
      <c r="AH46" s="1"/>
      <c r="AI46" s="1">
        <f>STDEV(AI$3:AI$42)</f>
        <v>0</v>
      </c>
      <c r="AJ46" s="1">
        <f>STDEV(AJ$3:AJ$42)</f>
        <v>0</v>
      </c>
      <c r="AK46" s="1">
        <f>STDEV(AK$3:AK$42)</f>
        <v>0</v>
      </c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>
        <f>STDEV(KR$3:KR$42)</f>
        <v>0</v>
      </c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>
        <f>STDEV(LJ$3:LJ$42)</f>
        <v>0</v>
      </c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</row>
    <row r="47" spans="1:340">
      <c r="A47" s="1" t="s">
        <v>43</v>
      </c>
      <c r="B47" s="1">
        <f>SUMPRODUCT(--(B$3:B$42-$KD$3:$KD$42)^2)^0.5</f>
        <v>0</v>
      </c>
      <c r="C47" s="1">
        <f>SUMPRODUCT(--(C$3:C$42-$KE$3:$KE$42)^2)^0.5</f>
        <v>0</v>
      </c>
      <c r="D47" s="1">
        <f>SUMPRODUCT(--(D$3:D$42-$KF$3:$KF$42)^2)^0.5</f>
        <v>0</v>
      </c>
      <c r="E47" s="1">
        <f>SUMPRODUCT(--(E$3:E$42-$KG$3:$KG$42)^2)^0.5</f>
        <v>0</v>
      </c>
      <c r="F47" s="1">
        <f>SUMPRODUCT(--(F$3:F$42-$KH$3:$KH$42)^2)^0.5</f>
        <v>0</v>
      </c>
      <c r="G47" s="1">
        <f>SUMPRODUCT(--(G$3:G$42-$KI$3:$KI$42)^2)^0.5</f>
        <v>0</v>
      </c>
      <c r="H47" s="1">
        <f>SUMPRODUCT(--(H$3:H$42-$KJ$3:$KJ$42)^2)^0.5</f>
        <v>0</v>
      </c>
      <c r="I47" s="1">
        <f>SUMPRODUCT(--(I$3:I$42-$KK$3:$KK$42)^2)^0.5</f>
        <v>0</v>
      </c>
      <c r="J47" s="1">
        <f>SUMPRODUCT(--(J$3:J$42-$KL$3:$KL$42)^2)^0.5</f>
        <v>0</v>
      </c>
      <c r="K47" s="1">
        <f>SUMPRODUCT(--(K$3:K$42-$KM$3:$KM$42)^2)^0.5</f>
        <v>0</v>
      </c>
      <c r="L47" s="1">
        <f>SUMPRODUCT(--(L$3:L$42-$KN$3:$KN$42)^2)^0.5</f>
        <v>0</v>
      </c>
      <c r="M47" s="1">
        <f>SUMPRODUCT(--(M$3:M$42-$KO$3:$KO$42)^2)^0.5</f>
        <v>0</v>
      </c>
      <c r="N47" s="1">
        <f>SUMPRODUCT(--(N$3:N$42-$KP$3:$KP$42)^2)^0.5</f>
        <v>0</v>
      </c>
      <c r="O47" s="1">
        <f>SUMPRODUCT(--(O$3:O$42-$KQ$3:$KQ$42)^2)^0.5</f>
        <v>0</v>
      </c>
      <c r="P47" s="1"/>
      <c r="Q47" s="1">
        <f>SUMPRODUCT(--(Q$3:Q$42-$KR$3:$KR$42)^2)^0.5</f>
        <v>0</v>
      </c>
      <c r="R47" s="1">
        <f>SUMPRODUCT(--(R$3:R$42-$KS$3:$KS$42)^2)^0.5</f>
        <v>0</v>
      </c>
      <c r="S47" s="1">
        <f>SUMPRODUCT(--(S$3:S$42-$KT$3:$KT$42)^2)^0.5</f>
        <v>0</v>
      </c>
      <c r="T47" s="1">
        <f>SUMPRODUCT(--(T$3:T$42-$KD$3:$KD$42)^2)^0.5</f>
        <v>0</v>
      </c>
      <c r="U47" s="1">
        <f>SUMPRODUCT(--(U$3:U$42-$KE$3:$KE$42)^2)^0.5</f>
        <v>0</v>
      </c>
      <c r="V47" s="1">
        <f>SUMPRODUCT(--(V$3:V$42-$KF$3:$KF$42)^2)^0.5</f>
        <v>0</v>
      </c>
      <c r="W47" s="1">
        <f>SUMPRODUCT(--(W$3:W$42-$KG$3:$KG$42)^2)^0.5</f>
        <v>0</v>
      </c>
      <c r="X47" s="1">
        <f>SUMPRODUCT(--(X$3:X$42-$KH$3:$KH$42)^2)^0.5</f>
        <v>0</v>
      </c>
      <c r="Y47" s="1">
        <f>SUMPRODUCT(--(Y$3:Y$42-$KI$3:$KI$42)^2)^0.5</f>
        <v>0</v>
      </c>
      <c r="Z47" s="1">
        <f>SUMPRODUCT(--(Z$3:Z$42-$KJ$3:$KJ$42)^2)^0.5</f>
        <v>0</v>
      </c>
      <c r="AA47" s="1">
        <f>SUMPRODUCT(--(AA$3:AA$42-$KK$3:$KK$42)^2)^0.5</f>
        <v>0</v>
      </c>
      <c r="AB47" s="1">
        <f>SUMPRODUCT(--(AB$3:AB$42-$KL$3:$KL$42)^2)^0.5</f>
        <v>0</v>
      </c>
      <c r="AC47" s="1">
        <f>SUMPRODUCT(--(AC$3:AC$42-$KM$3:$KM$42)^2)^0.5</f>
        <v>0</v>
      </c>
      <c r="AD47" s="1">
        <f>SUMPRODUCT(--(AD$3:AD$42-$KN$3:$KN$42)^2)^0.5</f>
        <v>0</v>
      </c>
      <c r="AE47" s="1">
        <f>SUMPRODUCT(--(AE$3:AE$42-$KO$3:$KO$42)^2)^0.5</f>
        <v>0</v>
      </c>
      <c r="AF47" s="1">
        <f>SUMPRODUCT(--(AF$3:AF$42-$KP$3:$KP$42)^2)^0.5</f>
        <v>0</v>
      </c>
      <c r="AG47" s="1">
        <f>SUMPRODUCT(--(AG$3:AG$42-$KQ$3:$KQ$42)^2)^0.5</f>
        <v>0</v>
      </c>
      <c r="AH47" s="1"/>
      <c r="AI47" s="1">
        <f>SUMPRODUCT(--(AI$3:AI$42-$KR$3:$KR$42)^2)^0.5</f>
        <v>0</v>
      </c>
      <c r="AJ47" s="1">
        <f>SUMPRODUCT(--(AJ$3:AJ$42-$KS$3:$KS$42)^2)^0.5</f>
        <v>0</v>
      </c>
      <c r="AK47" s="1">
        <f>SUMPRODUCT(--(AK$3:AK$42-$KT$3:$KT$42)^2)^0.5</f>
        <v>0</v>
      </c>
      <c r="AL47" s="1">
        <f>SUMPRODUCT(--(AL$3:AL$42-$KD$3:$KD$42)^2)^0.5</f>
        <v>0</v>
      </c>
      <c r="AM47" s="1">
        <f>SUMPRODUCT(--(AM$3:AM$42-$KE$3:$KE$42)^2)^0.5</f>
        <v>0</v>
      </c>
      <c r="AN47" s="1">
        <f>SUMPRODUCT(--(AN$3:AN$42-$KF$3:$KF$42)^2)^0.5</f>
        <v>0</v>
      </c>
      <c r="AO47" s="1">
        <f>SUMPRODUCT(--(AO$3:AO$42-$KG$3:$KG$42)^2)^0.5</f>
        <v>0</v>
      </c>
      <c r="AP47" s="1">
        <f>SUMPRODUCT(--(AP$3:AP$42-$KH$3:$KH$42)^2)^0.5</f>
        <v>0</v>
      </c>
      <c r="AQ47" s="1">
        <f>SUMPRODUCT(--(AQ$3:AQ$42-$KI$3:$KI$42)^2)^0.5</f>
        <v>0</v>
      </c>
      <c r="AR47" s="1">
        <f>SUMPRODUCT(--(AR$3:AR$42-$KJ$3:$KJ$42)^2)^0.5</f>
        <v>0</v>
      </c>
      <c r="AS47" s="1">
        <f>SUMPRODUCT(--(AS$3:AS$42-$KK$3:$KK$42)^2)^0.5</f>
        <v>0</v>
      </c>
      <c r="AT47" s="1">
        <f>SUMPRODUCT(--(AT$3:AT$42-$KL$3:$KL$42)^2)^0.5</f>
        <v>0</v>
      </c>
      <c r="AU47" s="1">
        <f>SUMPRODUCT(--(AU$3:AU$42-$KM$3:$KM$42)^2)^0.5</f>
        <v>0</v>
      </c>
      <c r="AV47" s="1">
        <f>SUMPRODUCT(--(AV$3:AV$42-$KN$3:$KN$42)^2)^0.5</f>
        <v>0</v>
      </c>
      <c r="AW47" s="1">
        <f>SUMPRODUCT(--(AW$3:AW$42-$KO$3:$KO$42)^2)^0.5</f>
        <v>0</v>
      </c>
      <c r="AX47" s="1">
        <f>SUMPRODUCT(--(AX$3:AX$42-$KP$3:$KP$42)^2)^0.5</f>
        <v>0</v>
      </c>
      <c r="AY47" s="1">
        <f>SUMPRODUCT(--(AY$3:AY$42-$KQ$3:$KQ$42)^2)^0.5</f>
        <v>0</v>
      </c>
      <c r="AZ47" s="1"/>
      <c r="BA47" s="1">
        <f>SUMPRODUCT(--(BA$3:BA$42-$KR$3:$KR$42)^2)^0.5</f>
        <v>0</v>
      </c>
      <c r="BB47" s="1">
        <f>SUMPRODUCT(--(BB$3:BB$42-$KS$3:$KS$42)^2)^0.5</f>
        <v>0</v>
      </c>
      <c r="BC47" s="1">
        <f>SUMPRODUCT(--(BC$3:BC$42-$KT$3:$KT$42)^2)^0.5</f>
        <v>0</v>
      </c>
      <c r="BD47" s="1">
        <f>SUMPRODUCT(--(BD$3:BD$42-$KD$3:$KD$42)^2)^0.5</f>
        <v>0</v>
      </c>
      <c r="BE47" s="1">
        <f>SUMPRODUCT(--(BE$3:BE$42-$KE$3:$KE$42)^2)^0.5</f>
        <v>0</v>
      </c>
      <c r="BF47" s="1">
        <f>SUMPRODUCT(--(BF$3:BF$42-$KF$3:$KF$42)^2)^0.5</f>
        <v>0</v>
      </c>
      <c r="BG47" s="1">
        <f>SUMPRODUCT(--(BG$3:BG$42-$KG$3:$KG$42)^2)^0.5</f>
        <v>0</v>
      </c>
      <c r="BH47" s="1">
        <f>SUMPRODUCT(--(BH$3:BH$42-$KH$3:$KH$42)^2)^0.5</f>
        <v>0</v>
      </c>
      <c r="BI47" s="1">
        <f>SUMPRODUCT(--(BI$3:BI$42-$KI$3:$KI$42)^2)^0.5</f>
        <v>0</v>
      </c>
      <c r="BJ47" s="1">
        <f>SUMPRODUCT(--(BJ$3:BJ$42-$KJ$3:$KJ$42)^2)^0.5</f>
        <v>0</v>
      </c>
      <c r="BK47" s="1">
        <f>SUMPRODUCT(--(BK$3:BK$42-$KK$3:$KK$42)^2)^0.5</f>
        <v>0</v>
      </c>
      <c r="BL47" s="1">
        <f>SUMPRODUCT(--(BL$3:BL$42-$KL$3:$KL$42)^2)^0.5</f>
        <v>0</v>
      </c>
      <c r="BM47" s="1">
        <f>SUMPRODUCT(--(BM$3:BM$42-$KM$3:$KM$42)^2)^0.5</f>
        <v>0</v>
      </c>
      <c r="BN47" s="1">
        <f>SUMPRODUCT(--(BN$3:BN$42-$KN$3:$KN$42)^2)^0.5</f>
        <v>0</v>
      </c>
      <c r="BO47" s="1">
        <f>SUMPRODUCT(--(BO$3:BO$42-$KO$3:$KO$42)^2)^0.5</f>
        <v>0</v>
      </c>
      <c r="BP47" s="1">
        <f>SUMPRODUCT(--(BP$3:BP$42-$KP$3:$KP$42)^2)^0.5</f>
        <v>0</v>
      </c>
      <c r="BQ47" s="1">
        <f>SUMPRODUCT(--(BQ$3:BQ$42-$KQ$3:$KQ$42)^2)^0.5</f>
        <v>0</v>
      </c>
      <c r="BR47" s="1"/>
      <c r="BS47" s="1">
        <f>SUMPRODUCT(--(BS$3:BS$42-$KR$3:$KR$42)^2)^0.5</f>
        <v>0</v>
      </c>
      <c r="BT47" s="1">
        <f>SUMPRODUCT(--(BT$3:BT$42-$KS$3:$KS$42)^2)^0.5</f>
        <v>0</v>
      </c>
      <c r="BU47" s="1">
        <f>SUMPRODUCT(--(BU$3:BU$42-$KT$3:$KT$42)^2)^0.5</f>
        <v>0</v>
      </c>
      <c r="BV47" s="1">
        <f>SUMPRODUCT(--(BV$3:BV$42-$KD$3:$KD$42)^2)^0.5</f>
        <v>0</v>
      </c>
      <c r="BW47" s="1">
        <f>SUMPRODUCT(--(BW$3:BW$42-$KE$3:$KE$42)^2)^0.5</f>
        <v>0</v>
      </c>
      <c r="BX47" s="1">
        <f>SUMPRODUCT(--(BX$3:BX$42-$KF$3:$KF$42)^2)^0.5</f>
        <v>0</v>
      </c>
      <c r="BY47" s="1">
        <f>SUMPRODUCT(--(BY$3:BY$42-$KG$3:$KG$42)^2)^0.5</f>
        <v>0</v>
      </c>
      <c r="BZ47" s="1">
        <f>SUMPRODUCT(--(BZ$3:BZ$42-$KH$3:$KH$42)^2)^0.5</f>
        <v>0</v>
      </c>
      <c r="CA47" s="1">
        <f>SUMPRODUCT(--(CA$3:CA$42-$KI$3:$KI$42)^2)^0.5</f>
        <v>0</v>
      </c>
      <c r="CB47" s="1">
        <f>SUMPRODUCT(--(CB$3:CB$42-$KJ$3:$KJ$42)^2)^0.5</f>
        <v>0</v>
      </c>
      <c r="CC47" s="1">
        <f>SUMPRODUCT(--(CC$3:CC$42-$KK$3:$KK$42)^2)^0.5</f>
        <v>0</v>
      </c>
      <c r="CD47" s="1">
        <f>SUMPRODUCT(--(CD$3:CD$42-$KL$3:$KL$42)^2)^0.5</f>
        <v>0</v>
      </c>
      <c r="CE47" s="1">
        <f>SUMPRODUCT(--(CE$3:CE$42-$KM$3:$KM$42)^2)^0.5</f>
        <v>0</v>
      </c>
      <c r="CF47" s="1">
        <f>SUMPRODUCT(--(CF$3:CF$42-$KN$3:$KN$42)^2)^0.5</f>
        <v>0</v>
      </c>
      <c r="CG47" s="1">
        <f>SUMPRODUCT(--(CG$3:CG$42-$KO$3:$KO$42)^2)^0.5</f>
        <v>0</v>
      </c>
      <c r="CH47" s="1">
        <f>SUMPRODUCT(--(CH$3:CH$42-$KP$3:$KP$42)^2)^0.5</f>
        <v>0</v>
      </c>
      <c r="CI47" s="1">
        <f>SUMPRODUCT(--(CI$3:CI$42-$KQ$3:$KQ$42)^2)^0.5</f>
        <v>0</v>
      </c>
      <c r="CJ47" s="1"/>
      <c r="CK47" s="1">
        <f>SUMPRODUCT(--(CK$3:CK$42-$KR$3:$KR$42)^2)^0.5</f>
        <v>0</v>
      </c>
      <c r="CL47" s="1">
        <f>SUMPRODUCT(--(CL$3:CL$42-$KS$3:$KS$42)^2)^0.5</f>
        <v>0</v>
      </c>
      <c r="CM47" s="1">
        <f>SUMPRODUCT(--(CM$3:CM$42-$KT$3:$KT$42)^2)^0.5</f>
        <v>0</v>
      </c>
      <c r="CN47" s="1">
        <f>SUMPRODUCT(--(CN$3:CN$42-$KD$3:$KD$42)^2)^0.5</f>
        <v>0</v>
      </c>
      <c r="CO47" s="1">
        <f>SUMPRODUCT(--(CO$3:CO$42-$KE$3:$KE$42)^2)^0.5</f>
        <v>0</v>
      </c>
      <c r="CP47" s="1">
        <f>SUMPRODUCT(--(CP$3:CP$42-$KF$3:$KF$42)^2)^0.5</f>
        <v>0</v>
      </c>
      <c r="CQ47" s="1">
        <f>SUMPRODUCT(--(CQ$3:CQ$42-$KG$3:$KG$42)^2)^0.5</f>
        <v>0</v>
      </c>
      <c r="CR47" s="1">
        <f>SUMPRODUCT(--(CR$3:CR$42-$KH$3:$KH$42)^2)^0.5</f>
        <v>0</v>
      </c>
      <c r="CS47" s="1">
        <f>SUMPRODUCT(--(CS$3:CS$42-$KI$3:$KI$42)^2)^0.5</f>
        <v>0</v>
      </c>
      <c r="CT47" s="1">
        <f>SUMPRODUCT(--(CT$3:CT$42-$KJ$3:$KJ$42)^2)^0.5</f>
        <v>0</v>
      </c>
      <c r="CU47" s="1">
        <f>SUMPRODUCT(--(CU$3:CU$42-$KK$3:$KK$42)^2)^0.5</f>
        <v>0</v>
      </c>
      <c r="CV47" s="1">
        <f>SUMPRODUCT(--(CV$3:CV$42-$KL$3:$KL$42)^2)^0.5</f>
        <v>0</v>
      </c>
      <c r="CW47" s="1">
        <f>SUMPRODUCT(--(CW$3:CW$42-$KM$3:$KM$42)^2)^0.5</f>
        <v>0</v>
      </c>
      <c r="CX47" s="1">
        <f>SUMPRODUCT(--(CX$3:CX$42-$KN$3:$KN$42)^2)^0.5</f>
        <v>0</v>
      </c>
      <c r="CY47" s="1">
        <f>SUMPRODUCT(--(CY$3:CY$42-$KO$3:$KO$42)^2)^0.5</f>
        <v>0</v>
      </c>
      <c r="CZ47" s="1">
        <f>SUMPRODUCT(--(CZ$3:CZ$42-$KP$3:$KP$42)^2)^0.5</f>
        <v>0</v>
      </c>
      <c r="DA47" s="1">
        <f>SUMPRODUCT(--(DA$3:DA$42-$KQ$3:$KQ$42)^2)^0.5</f>
        <v>0</v>
      </c>
      <c r="DB47" s="1"/>
      <c r="DC47" s="1">
        <f>SUMPRODUCT(--(DC$3:DC$42-$KR$3:$KR$42)^2)^0.5</f>
        <v>0</v>
      </c>
      <c r="DD47" s="1">
        <f>SUMPRODUCT(--(DD$3:DD$42-$KS$3:$KS$42)^2)^0.5</f>
        <v>0</v>
      </c>
      <c r="DE47" s="1">
        <f>SUMPRODUCT(--(DE$3:DE$42-$KT$3:$KT$42)^2)^0.5</f>
        <v>0</v>
      </c>
      <c r="DF47" s="1">
        <f>SUMPRODUCT(--(DF$3:DF$42-$KD$3:$KD$42)^2)^0.5</f>
        <v>0</v>
      </c>
      <c r="DG47" s="1">
        <f>SUMPRODUCT(--(DG$3:DG$42-$KE$3:$KE$42)^2)^0.5</f>
        <v>0</v>
      </c>
      <c r="DH47" s="1">
        <f>SUMPRODUCT(--(DH$3:DH$42-$KF$3:$KF$42)^2)^0.5</f>
        <v>0</v>
      </c>
      <c r="DI47" s="1">
        <f>SUMPRODUCT(--(DI$3:DI$42-$KG$3:$KG$42)^2)^0.5</f>
        <v>0</v>
      </c>
      <c r="DJ47" s="1">
        <f>SUMPRODUCT(--(DJ$3:DJ$42-$KH$3:$KH$42)^2)^0.5</f>
        <v>0</v>
      </c>
      <c r="DK47" s="1">
        <f>SUMPRODUCT(--(DK$3:DK$42-$KI$3:$KI$42)^2)^0.5</f>
        <v>0</v>
      </c>
      <c r="DL47" s="1">
        <f>SUMPRODUCT(--(DL$3:DL$42-$KJ$3:$KJ$42)^2)^0.5</f>
        <v>0</v>
      </c>
      <c r="DM47" s="1">
        <f>SUMPRODUCT(--(DM$3:DM$42-$KK$3:$KK$42)^2)^0.5</f>
        <v>0</v>
      </c>
      <c r="DN47" s="1">
        <f>SUMPRODUCT(--(DN$3:DN$42-$KL$3:$KL$42)^2)^0.5</f>
        <v>0</v>
      </c>
      <c r="DO47" s="1">
        <f>SUMPRODUCT(--(DO$3:DO$42-$KM$3:$KM$42)^2)^0.5</f>
        <v>0</v>
      </c>
      <c r="DP47" s="1">
        <f>SUMPRODUCT(--(DP$3:DP$42-$KN$3:$KN$42)^2)^0.5</f>
        <v>0</v>
      </c>
      <c r="DQ47" s="1">
        <f>SUMPRODUCT(--(DQ$3:DQ$42-$KO$3:$KO$42)^2)^0.5</f>
        <v>0</v>
      </c>
      <c r="DR47" s="1">
        <f>SUMPRODUCT(--(DR$3:DR$42-$KP$3:$KP$42)^2)^0.5</f>
        <v>0</v>
      </c>
      <c r="DS47" s="1">
        <f>SUMPRODUCT(--(DS$3:DS$42-$KQ$3:$KQ$42)^2)^0.5</f>
        <v>0</v>
      </c>
      <c r="DT47" s="1"/>
      <c r="DU47" s="1">
        <f>SUMPRODUCT(--(DU$3:DU$42-$KR$3:$KR$42)^2)^0.5</f>
        <v>0</v>
      </c>
      <c r="DV47" s="1">
        <f>SUMPRODUCT(--(DV$3:DV$42-$KS$3:$KS$42)^2)^0.5</f>
        <v>0</v>
      </c>
      <c r="DW47" s="1">
        <f>SUMPRODUCT(--(DW$3:DW$42-$KT$3:$KT$42)^2)^0.5</f>
        <v>0</v>
      </c>
      <c r="DX47" s="1">
        <f>SUMPRODUCT(--(DX$3:DX$42-$KD$3:$KD$42)^2)^0.5</f>
        <v>0</v>
      </c>
      <c r="DY47" s="1">
        <f>SUMPRODUCT(--(DY$3:DY$42-$KE$3:$KE$42)^2)^0.5</f>
        <v>0</v>
      </c>
      <c r="DZ47" s="1">
        <f>SUMPRODUCT(--(DZ$3:DZ$42-$KF$3:$KF$42)^2)^0.5</f>
        <v>0</v>
      </c>
      <c r="EA47" s="1">
        <f>SUMPRODUCT(--(EA$3:EA$42-$KG$3:$KG$42)^2)^0.5</f>
        <v>0</v>
      </c>
      <c r="EB47" s="1">
        <f>SUMPRODUCT(--(EB$3:EB$42-$KH$3:$KH$42)^2)^0.5</f>
        <v>0</v>
      </c>
      <c r="EC47" s="1">
        <f>SUMPRODUCT(--(EC$3:EC$42-$KI$3:$KI$42)^2)^0.5</f>
        <v>0</v>
      </c>
      <c r="ED47" s="1">
        <f>SUMPRODUCT(--(ED$3:ED$42-$KJ$3:$KJ$42)^2)^0.5</f>
        <v>0</v>
      </c>
      <c r="EE47" s="1">
        <f>SUMPRODUCT(--(EE$3:EE$42-$KK$3:$KK$42)^2)^0.5</f>
        <v>0</v>
      </c>
      <c r="EF47" s="1">
        <f>SUMPRODUCT(--(EF$3:EF$42-$KL$3:$KL$42)^2)^0.5</f>
        <v>0</v>
      </c>
      <c r="EG47" s="1">
        <f>SUMPRODUCT(--(EG$3:EG$42-$KM$3:$KM$42)^2)^0.5</f>
        <v>0</v>
      </c>
      <c r="EH47" s="1">
        <f>SUMPRODUCT(--(EH$3:EH$42-$KN$3:$KN$42)^2)^0.5</f>
        <v>0</v>
      </c>
      <c r="EI47" s="1">
        <f>SUMPRODUCT(--(EI$3:EI$42-$KO$3:$KO$42)^2)^0.5</f>
        <v>0</v>
      </c>
      <c r="EJ47" s="1">
        <f>SUMPRODUCT(--(EJ$3:EJ$42-$KP$3:$KP$42)^2)^0.5</f>
        <v>0</v>
      </c>
      <c r="EK47" s="1">
        <f>SUMPRODUCT(--(EK$3:EK$42-$KQ$3:$KQ$42)^2)^0.5</f>
        <v>0</v>
      </c>
      <c r="EL47" s="1"/>
      <c r="EM47" s="1">
        <f>SUMPRODUCT(--(EM$3:EM$42-$KR$3:$KR$42)^2)^0.5</f>
        <v>0</v>
      </c>
      <c r="EN47" s="1">
        <f>SUMPRODUCT(--(EN$3:EN$42-$KS$3:$KS$42)^2)^0.5</f>
        <v>0</v>
      </c>
      <c r="EO47" s="1">
        <f>SUMPRODUCT(--(EO$3:EO$42-$KT$3:$KT$42)^2)^0.5</f>
        <v>0</v>
      </c>
      <c r="EP47" s="1">
        <f>SUMPRODUCT(--(EP$3:EP$42-$KD$3:$KD$42)^2)^0.5</f>
        <v>0</v>
      </c>
      <c r="EQ47" s="1">
        <f>SUMPRODUCT(--(EQ$3:EQ$42-$KE$3:$KE$42)^2)^0.5</f>
        <v>0</v>
      </c>
      <c r="ER47" s="1">
        <f>SUMPRODUCT(--(ER$3:ER$42-$KF$3:$KF$42)^2)^0.5</f>
        <v>0</v>
      </c>
      <c r="ES47" s="1">
        <f>SUMPRODUCT(--(ES$3:ES$42-$KG$3:$KG$42)^2)^0.5</f>
        <v>0</v>
      </c>
      <c r="ET47" s="1">
        <f>SUMPRODUCT(--(ET$3:ET$42-$KH$3:$KH$42)^2)^0.5</f>
        <v>0</v>
      </c>
      <c r="EU47" s="1">
        <f>SUMPRODUCT(--(EU$3:EU$42-$KI$3:$KI$42)^2)^0.5</f>
        <v>0</v>
      </c>
      <c r="EV47" s="1">
        <f>SUMPRODUCT(--(EV$3:EV$42-$KJ$3:$KJ$42)^2)^0.5</f>
        <v>0</v>
      </c>
      <c r="EW47" s="1">
        <f>SUMPRODUCT(--(EW$3:EW$42-$KK$3:$KK$42)^2)^0.5</f>
        <v>0</v>
      </c>
      <c r="EX47" s="1">
        <f>SUMPRODUCT(--(EX$3:EX$42-$KL$3:$KL$42)^2)^0.5</f>
        <v>0</v>
      </c>
      <c r="EY47" s="1">
        <f>SUMPRODUCT(--(EY$3:EY$42-$KM$3:$KM$42)^2)^0.5</f>
        <v>0</v>
      </c>
      <c r="EZ47" s="1">
        <f>SUMPRODUCT(--(EZ$3:EZ$42-$KN$3:$KN$42)^2)^0.5</f>
        <v>0</v>
      </c>
      <c r="FA47" s="1">
        <f>SUMPRODUCT(--(FA$3:FA$42-$KO$3:$KO$42)^2)^0.5</f>
        <v>0</v>
      </c>
      <c r="FB47" s="1">
        <f>SUMPRODUCT(--(FB$3:FB$42-$KP$3:$KP$42)^2)^0.5</f>
        <v>0</v>
      </c>
      <c r="FC47" s="1">
        <f>SUMPRODUCT(--(FC$3:FC$42-$KQ$3:$KQ$42)^2)^0.5</f>
        <v>0</v>
      </c>
      <c r="FD47" s="1"/>
      <c r="FE47" s="1">
        <f>SUMPRODUCT(--(FE$3:FE$42-$KR$3:$KR$42)^2)^0.5</f>
        <v>0</v>
      </c>
      <c r="FF47" s="1">
        <f>SUMPRODUCT(--(FF$3:FF$42-$KS$3:$KS$42)^2)^0.5</f>
        <v>0</v>
      </c>
      <c r="FG47" s="1">
        <f>SUMPRODUCT(--(FG$3:FG$42-$KT$3:$KT$42)^2)^0.5</f>
        <v>0</v>
      </c>
      <c r="FH47" s="1">
        <f>SUMPRODUCT(--(FH$3:FH$42-$KD$3:$KD$42)^2)^0.5</f>
        <v>0</v>
      </c>
      <c r="FI47" s="1">
        <f>SUMPRODUCT(--(FI$3:FI$42-$KE$3:$KE$42)^2)^0.5</f>
        <v>0</v>
      </c>
      <c r="FJ47" s="1">
        <f>SUMPRODUCT(--(FJ$3:FJ$42-$KF$3:$KF$42)^2)^0.5</f>
        <v>0</v>
      </c>
      <c r="FK47" s="1">
        <f>SUMPRODUCT(--(FK$3:FK$42-$KG$3:$KG$42)^2)^0.5</f>
        <v>0</v>
      </c>
      <c r="FL47" s="1">
        <f>SUMPRODUCT(--(FL$3:FL$42-$KH$3:$KH$42)^2)^0.5</f>
        <v>0</v>
      </c>
      <c r="FM47" s="1">
        <f>SUMPRODUCT(--(FM$3:FM$42-$KI$3:$KI$42)^2)^0.5</f>
        <v>0</v>
      </c>
      <c r="FN47" s="1">
        <f>SUMPRODUCT(--(FN$3:FN$42-$KJ$3:$KJ$42)^2)^0.5</f>
        <v>0</v>
      </c>
      <c r="FO47" s="1">
        <f>SUMPRODUCT(--(FO$3:FO$42-$KK$3:$KK$42)^2)^0.5</f>
        <v>0</v>
      </c>
      <c r="FP47" s="1">
        <f>SUMPRODUCT(--(FP$3:FP$42-$KL$3:$KL$42)^2)^0.5</f>
        <v>0</v>
      </c>
      <c r="FQ47" s="1">
        <f>SUMPRODUCT(--(FQ$3:FQ$42-$KM$3:$KM$42)^2)^0.5</f>
        <v>0</v>
      </c>
      <c r="FR47" s="1">
        <f>SUMPRODUCT(--(FR$3:FR$42-$KN$3:$KN$42)^2)^0.5</f>
        <v>0</v>
      </c>
      <c r="FS47" s="1">
        <f>SUMPRODUCT(--(FS$3:FS$42-$KO$3:$KO$42)^2)^0.5</f>
        <v>0</v>
      </c>
      <c r="FT47" s="1">
        <f>SUMPRODUCT(--(FT$3:FT$42-$KP$3:$KP$42)^2)^0.5</f>
        <v>0</v>
      </c>
      <c r="FU47" s="1">
        <f>SUMPRODUCT(--(FU$3:FU$42-$KQ$3:$KQ$42)^2)^0.5</f>
        <v>0</v>
      </c>
      <c r="FV47" s="1"/>
      <c r="FW47" s="1">
        <f>SUMPRODUCT(--(FW$3:FW$42-$KR$3:$KR$42)^2)^0.5</f>
        <v>0</v>
      </c>
      <c r="FX47" s="1">
        <f>SUMPRODUCT(--(FX$3:FX$42-$KS$3:$KS$42)^2)^0.5</f>
        <v>0</v>
      </c>
      <c r="FY47" s="1">
        <f>SUMPRODUCT(--(FY$3:FY$42-$KT$3:$KT$42)^2)^0.5</f>
        <v>0</v>
      </c>
      <c r="FZ47" s="1">
        <f>SUMPRODUCT(--(FZ$3:FZ$42-$KD$3:$KD$42)^2)^0.5</f>
        <v>0</v>
      </c>
      <c r="GA47" s="1">
        <f>SUMPRODUCT(--(GA$3:GA$42-$KE$3:$KE$42)^2)^0.5</f>
        <v>0</v>
      </c>
      <c r="GB47" s="1">
        <f>SUMPRODUCT(--(GB$3:GB$42-$KF$3:$KF$42)^2)^0.5</f>
        <v>0</v>
      </c>
      <c r="GC47" s="1">
        <f>SUMPRODUCT(--(GC$3:GC$42-$KG$3:$KG$42)^2)^0.5</f>
        <v>0</v>
      </c>
      <c r="GD47" s="1">
        <f>SUMPRODUCT(--(GD$3:GD$42-$KH$3:$KH$42)^2)^0.5</f>
        <v>0</v>
      </c>
      <c r="GE47" s="1">
        <f>SUMPRODUCT(--(GE$3:GE$42-$KI$3:$KI$42)^2)^0.5</f>
        <v>0</v>
      </c>
      <c r="GF47" s="1">
        <f>SUMPRODUCT(--(GF$3:GF$42-$KJ$3:$KJ$42)^2)^0.5</f>
        <v>0</v>
      </c>
      <c r="GG47" s="1">
        <f>SUMPRODUCT(--(GG$3:GG$42-$KK$3:$KK$42)^2)^0.5</f>
        <v>0</v>
      </c>
      <c r="GH47" s="1">
        <f>SUMPRODUCT(--(GH$3:GH$42-$KL$3:$KL$42)^2)^0.5</f>
        <v>0</v>
      </c>
      <c r="GI47" s="1">
        <f>SUMPRODUCT(--(GI$3:GI$42-$KM$3:$KM$42)^2)^0.5</f>
        <v>0</v>
      </c>
      <c r="GJ47" s="1">
        <f>SUMPRODUCT(--(GJ$3:GJ$42-$KN$3:$KN$42)^2)^0.5</f>
        <v>0</v>
      </c>
      <c r="GK47" s="1">
        <f>SUMPRODUCT(--(GK$3:GK$42-$KO$3:$KO$42)^2)^0.5</f>
        <v>0</v>
      </c>
      <c r="GL47" s="1">
        <f>SUMPRODUCT(--(GL$3:GL$42-$KP$3:$KP$42)^2)^0.5</f>
        <v>0</v>
      </c>
      <c r="GM47" s="1">
        <f>SUMPRODUCT(--(GM$3:GM$42-$KQ$3:$KQ$42)^2)^0.5</f>
        <v>0</v>
      </c>
      <c r="GN47" s="1"/>
      <c r="GO47" s="1">
        <f>SUMPRODUCT(--(GO$3:GO$42-$KR$3:$KR$42)^2)^0.5</f>
        <v>0</v>
      </c>
      <c r="GP47" s="1">
        <f>SUMPRODUCT(--(GP$3:GP$42-$KS$3:$KS$42)^2)^0.5</f>
        <v>0</v>
      </c>
      <c r="GQ47" s="1">
        <f>SUMPRODUCT(--(GQ$3:GQ$42-$KT$3:$KT$42)^2)^0.5</f>
        <v>0</v>
      </c>
      <c r="GR47" s="1">
        <f>SUMPRODUCT(--(GR$3:GR$42-$KD$3:$KD$42)^2)^0.5</f>
        <v>0</v>
      </c>
      <c r="GS47" s="1">
        <f>SUMPRODUCT(--(GS$3:GS$42-$KE$3:$KE$42)^2)^0.5</f>
        <v>0</v>
      </c>
      <c r="GT47" s="1">
        <f>SUMPRODUCT(--(GT$3:GT$42-$KF$3:$KF$42)^2)^0.5</f>
        <v>0</v>
      </c>
      <c r="GU47" s="1">
        <f>SUMPRODUCT(--(GU$3:GU$42-$KG$3:$KG$42)^2)^0.5</f>
        <v>0</v>
      </c>
      <c r="GV47" s="1">
        <f>SUMPRODUCT(--(GV$3:GV$42-$KH$3:$KH$42)^2)^0.5</f>
        <v>0</v>
      </c>
      <c r="GW47" s="1">
        <f>SUMPRODUCT(--(GW$3:GW$42-$KI$3:$KI$42)^2)^0.5</f>
        <v>0</v>
      </c>
      <c r="GX47" s="1">
        <f>SUMPRODUCT(--(GX$3:GX$42-$KJ$3:$KJ$42)^2)^0.5</f>
        <v>0</v>
      </c>
      <c r="GY47" s="1">
        <f>SUMPRODUCT(--(GY$3:GY$42-$KK$3:$KK$42)^2)^0.5</f>
        <v>0</v>
      </c>
      <c r="GZ47" s="1">
        <f>SUMPRODUCT(--(GZ$3:GZ$42-$KL$3:$KL$42)^2)^0.5</f>
        <v>0</v>
      </c>
      <c r="HA47" s="1">
        <f>SUMPRODUCT(--(HA$3:HA$42-$KM$3:$KM$42)^2)^0.5</f>
        <v>0</v>
      </c>
      <c r="HB47" s="1">
        <f>SUMPRODUCT(--(HB$3:HB$42-$KN$3:$KN$42)^2)^0.5</f>
        <v>0</v>
      </c>
      <c r="HC47" s="1">
        <f>SUMPRODUCT(--(HC$3:HC$42-$KO$3:$KO$42)^2)^0.5</f>
        <v>0</v>
      </c>
      <c r="HD47" s="1">
        <f>SUMPRODUCT(--(HD$3:HD$42-$KP$3:$KP$42)^2)^0.5</f>
        <v>0</v>
      </c>
      <c r="HE47" s="1">
        <f>SUMPRODUCT(--(HE$3:HE$42-$KQ$3:$KQ$42)^2)^0.5</f>
        <v>0</v>
      </c>
      <c r="HF47" s="1"/>
      <c r="HG47" s="1">
        <f>SUMPRODUCT(--(HG$3:HG$42-$KR$3:$KR$42)^2)^0.5</f>
        <v>0</v>
      </c>
      <c r="HH47" s="1">
        <f>SUMPRODUCT(--(HH$3:HH$42-$KS$3:$KS$42)^2)^0.5</f>
        <v>0</v>
      </c>
      <c r="HI47" s="1">
        <f>SUMPRODUCT(--(HI$3:HI$42-$KT$3:$KT$42)^2)^0.5</f>
        <v>0</v>
      </c>
      <c r="HJ47" s="1">
        <f>SUMPRODUCT(--(HJ$3:HJ$42-$KD$3:$KD$42)^2)^0.5</f>
        <v>0</v>
      </c>
      <c r="HK47" s="1">
        <f>SUMPRODUCT(--(HK$3:HK$42-$KE$3:$KE$42)^2)^0.5</f>
        <v>0</v>
      </c>
      <c r="HL47" s="1">
        <f>SUMPRODUCT(--(HL$3:HL$42-$KF$3:$KF$42)^2)^0.5</f>
        <v>0</v>
      </c>
      <c r="HM47" s="1">
        <f>SUMPRODUCT(--(HM$3:HM$42-$KG$3:$KG$42)^2)^0.5</f>
        <v>0</v>
      </c>
      <c r="HN47" s="1">
        <f>SUMPRODUCT(--(HN$3:HN$42-$KH$3:$KH$42)^2)^0.5</f>
        <v>0</v>
      </c>
      <c r="HO47" s="1">
        <f>SUMPRODUCT(--(HO$3:HO$42-$KI$3:$KI$42)^2)^0.5</f>
        <v>0</v>
      </c>
      <c r="HP47" s="1">
        <f>SUMPRODUCT(--(HP$3:HP$42-$KJ$3:$KJ$42)^2)^0.5</f>
        <v>0</v>
      </c>
      <c r="HQ47" s="1">
        <f>SUMPRODUCT(--(HQ$3:HQ$42-$KK$3:$KK$42)^2)^0.5</f>
        <v>0</v>
      </c>
      <c r="HR47" s="1">
        <f>SUMPRODUCT(--(HR$3:HR$42-$KL$3:$KL$42)^2)^0.5</f>
        <v>0</v>
      </c>
      <c r="HS47" s="1">
        <f>SUMPRODUCT(--(HS$3:HS$42-$KM$3:$KM$42)^2)^0.5</f>
        <v>0</v>
      </c>
      <c r="HT47" s="1">
        <f>SUMPRODUCT(--(HT$3:HT$42-$KN$3:$KN$42)^2)^0.5</f>
        <v>0</v>
      </c>
      <c r="HU47" s="1">
        <f>SUMPRODUCT(--(HU$3:HU$42-$KO$3:$KO$42)^2)^0.5</f>
        <v>0</v>
      </c>
      <c r="HV47" s="1">
        <f>SUMPRODUCT(--(HV$3:HV$42-$KP$3:$KP$42)^2)^0.5</f>
        <v>0</v>
      </c>
      <c r="HW47" s="1">
        <f>SUMPRODUCT(--(HW$3:HW$42-$KQ$3:$KQ$42)^2)^0.5</f>
        <v>0</v>
      </c>
      <c r="HX47" s="1"/>
      <c r="HY47" s="1">
        <f>SUMPRODUCT(--(HY$3:HY$42-$KR$3:$KR$42)^2)^0.5</f>
        <v>0</v>
      </c>
      <c r="HZ47" s="1">
        <f>SUMPRODUCT(--(HZ$3:HZ$42-$KS$3:$KS$42)^2)^0.5</f>
        <v>0</v>
      </c>
      <c r="IA47" s="1">
        <f>SUMPRODUCT(--(IA$3:IA$42-$KT$3:$KT$42)^2)^0.5</f>
        <v>0</v>
      </c>
      <c r="IB47" s="1">
        <f>SUMPRODUCT(--(IB$3:IB$42-$KD$3:$KD$42)^2)^0.5</f>
        <v>0</v>
      </c>
      <c r="IC47" s="1">
        <f>SUMPRODUCT(--(IC$3:IC$42-$KE$3:$KE$42)^2)^0.5</f>
        <v>0</v>
      </c>
      <c r="ID47" s="1">
        <f>SUMPRODUCT(--(ID$3:ID$42-$KF$3:$KF$42)^2)^0.5</f>
        <v>0</v>
      </c>
      <c r="IE47" s="1">
        <f>SUMPRODUCT(--(IE$3:IE$42-$KG$3:$KG$42)^2)^0.5</f>
        <v>0</v>
      </c>
      <c r="IF47" s="1">
        <f>SUMPRODUCT(--(IF$3:IF$42-$KH$3:$KH$42)^2)^0.5</f>
        <v>0</v>
      </c>
      <c r="IG47" s="1">
        <f>SUMPRODUCT(--(IG$3:IG$42-$KI$3:$KI$42)^2)^0.5</f>
        <v>0</v>
      </c>
      <c r="IH47" s="1">
        <f>SUMPRODUCT(--(IH$3:IH$42-$KJ$3:$KJ$42)^2)^0.5</f>
        <v>0</v>
      </c>
      <c r="II47" s="1">
        <f>SUMPRODUCT(--(II$3:II$42-$KK$3:$KK$42)^2)^0.5</f>
        <v>0</v>
      </c>
      <c r="IJ47" s="1">
        <f>SUMPRODUCT(--(IJ$3:IJ$42-$KL$3:$KL$42)^2)^0.5</f>
        <v>0</v>
      </c>
      <c r="IK47" s="1">
        <f>SUMPRODUCT(--(IK$3:IK$42-$KM$3:$KM$42)^2)^0.5</f>
        <v>0</v>
      </c>
      <c r="IL47" s="1">
        <f>SUMPRODUCT(--(IL$3:IL$42-$KN$3:$KN$42)^2)^0.5</f>
        <v>0</v>
      </c>
      <c r="IM47" s="1">
        <f>SUMPRODUCT(--(IM$3:IM$42-$KO$3:$KO$42)^2)^0.5</f>
        <v>0</v>
      </c>
      <c r="IN47" s="1">
        <f>SUMPRODUCT(--(IN$3:IN$42-$KP$3:$KP$42)^2)^0.5</f>
        <v>0</v>
      </c>
      <c r="IO47" s="1">
        <f>SUMPRODUCT(--(IO$3:IO$42-$KQ$3:$KQ$42)^2)^0.5</f>
        <v>0</v>
      </c>
      <c r="IP47" s="1"/>
      <c r="IQ47" s="1">
        <f>SUMPRODUCT(--(IQ$3:IQ$42-$KR$3:$KR$42)^2)^0.5</f>
        <v>0</v>
      </c>
      <c r="IR47" s="1">
        <f>SUMPRODUCT(--(IR$3:IR$42-$KS$3:$KS$42)^2)^0.5</f>
        <v>0</v>
      </c>
      <c r="IS47" s="1">
        <f>SUMPRODUCT(--(IS$3:IS$42-$KT$3:$KT$42)^2)^0.5</f>
        <v>0</v>
      </c>
      <c r="IT47" s="1">
        <f>SUMPRODUCT(--(IT$3:IT$42-$KD$3:$KD$42)^2)^0.5</f>
        <v>0</v>
      </c>
      <c r="IU47" s="1">
        <f>SUMPRODUCT(--(IU$3:IU$42-$KE$3:$KE$42)^2)^0.5</f>
        <v>0</v>
      </c>
      <c r="IV47" s="1">
        <f>SUMPRODUCT(--(IV$3:IV$42-$KF$3:$KF$42)^2)^0.5</f>
        <v>0</v>
      </c>
      <c r="IW47" s="1">
        <f>SUMPRODUCT(--(IW$3:IW$42-$KG$3:$KG$42)^2)^0.5</f>
        <v>0</v>
      </c>
      <c r="IX47" s="1">
        <f>SUMPRODUCT(--(IX$3:IX$42-$KH$3:$KH$42)^2)^0.5</f>
        <v>0</v>
      </c>
      <c r="IY47" s="1">
        <f>SUMPRODUCT(--(IY$3:IY$42-$KI$3:$KI$42)^2)^0.5</f>
        <v>0</v>
      </c>
      <c r="IZ47" s="1">
        <f>SUMPRODUCT(--(IZ$3:IZ$42-$KJ$3:$KJ$42)^2)^0.5</f>
        <v>0</v>
      </c>
      <c r="JA47" s="1">
        <f>SUMPRODUCT(--(JA$3:JA$42-$KK$3:$KK$42)^2)^0.5</f>
        <v>0</v>
      </c>
      <c r="JB47" s="1">
        <f>SUMPRODUCT(--(JB$3:JB$42-$KL$3:$KL$42)^2)^0.5</f>
        <v>0</v>
      </c>
      <c r="JC47" s="1">
        <f>SUMPRODUCT(--(JC$3:JC$42-$KM$3:$KM$42)^2)^0.5</f>
        <v>0</v>
      </c>
      <c r="JD47" s="1">
        <f>SUMPRODUCT(--(JD$3:JD$42-$KN$3:$KN$42)^2)^0.5</f>
        <v>0</v>
      </c>
      <c r="JE47" s="1">
        <f>SUMPRODUCT(--(JE$3:JE$42-$KO$3:$KO$42)^2)^0.5</f>
        <v>0</v>
      </c>
      <c r="JF47" s="1">
        <f>SUMPRODUCT(--(JF$3:JF$42-$KP$3:$KP$42)^2)^0.5</f>
        <v>0</v>
      </c>
      <c r="JG47" s="1">
        <f>SUMPRODUCT(--(JG$3:JG$42-$KQ$3:$KQ$42)^2)^0.5</f>
        <v>0</v>
      </c>
      <c r="JH47" s="1"/>
      <c r="JI47" s="1">
        <f>SUMPRODUCT(--(JI$3:JI$42-$KR$3:$KR$42)^2)^0.5</f>
        <v>0</v>
      </c>
      <c r="JJ47" s="1">
        <f>SUMPRODUCT(--(JJ$3:JJ$42-$KS$3:$KS$42)^2)^0.5</f>
        <v>0</v>
      </c>
      <c r="JK47" s="1">
        <f>SUMPRODUCT(--(JK$3:JK$42-$KT$3:$KT$42)^2)^0.5</f>
        <v>0</v>
      </c>
      <c r="JL47" s="1">
        <f>SUMPRODUCT(--(JL$3:JL$42-$KD$3:$KD$42)^2)^0.5</f>
        <v>0</v>
      </c>
      <c r="JM47" s="1">
        <f>SUMPRODUCT(--(JM$3:JM$42-$KE$3:$KE$42)^2)^0.5</f>
        <v>0</v>
      </c>
      <c r="JN47" s="1">
        <f>SUMPRODUCT(--(JN$3:JN$42-$KF$3:$KF$42)^2)^0.5</f>
        <v>0</v>
      </c>
      <c r="JO47" s="1">
        <f>SUMPRODUCT(--(JO$3:JO$42-$KG$3:$KG$42)^2)^0.5</f>
        <v>0</v>
      </c>
      <c r="JP47" s="1">
        <f>SUMPRODUCT(--(JP$3:JP$42-$KH$3:$KH$42)^2)^0.5</f>
        <v>0</v>
      </c>
      <c r="JQ47" s="1">
        <f>SUMPRODUCT(--(JQ$3:JQ$42-$KI$3:$KI$42)^2)^0.5</f>
        <v>0</v>
      </c>
      <c r="JR47" s="1">
        <f>SUMPRODUCT(--(JR$3:JR$42-$KJ$3:$KJ$42)^2)^0.5</f>
        <v>0</v>
      </c>
      <c r="JS47" s="1">
        <f>SUMPRODUCT(--(JS$3:JS$42-$KK$3:$KK$42)^2)^0.5</f>
        <v>0</v>
      </c>
      <c r="JT47" s="1">
        <f>SUMPRODUCT(--(JT$3:JT$42-$KL$3:$KL$42)^2)^0.5</f>
        <v>0</v>
      </c>
      <c r="JU47" s="1">
        <f>SUMPRODUCT(--(JU$3:JU$42-$KM$3:$KM$42)^2)^0.5</f>
        <v>0</v>
      </c>
      <c r="JV47" s="1">
        <f>SUMPRODUCT(--(JV$3:JV$42-$KN$3:$KN$42)^2)^0.5</f>
        <v>0</v>
      </c>
      <c r="JW47" s="1">
        <f>SUMPRODUCT(--(JW$3:JW$42-$KO$3:$KO$42)^2)^0.5</f>
        <v>0</v>
      </c>
      <c r="JX47" s="1">
        <f>SUMPRODUCT(--(JX$3:JX$42-$KP$3:$KP$42)^2)^0.5</f>
        <v>0</v>
      </c>
      <c r="JY47" s="1">
        <f>SUMPRODUCT(--(JY$3:JY$42-$KQ$3:$KQ$42)^2)^0.5</f>
        <v>0</v>
      </c>
      <c r="JZ47" s="1"/>
      <c r="KA47" s="1">
        <f>SUMPRODUCT(--(KA$3:KA$42-$KR$3:$KR$42)^2)^0.5</f>
        <v>0</v>
      </c>
      <c r="KB47" s="1">
        <f>SUMPRODUCT(--(KB$3:KB$42-$KS$3:$KS$42)^2)^0.5</f>
        <v>0</v>
      </c>
      <c r="KC47" s="1">
        <f>SUMPRODUCT(--(KC$3:KC$42-$KT$3:$KT$42)^2)^0.5</f>
        <v>0</v>
      </c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</row>
    <row r="48" spans="1:340">
      <c r="A48" s="1" t="s">
        <v>44</v>
      </c>
      <c r="B48" s="1">
        <f>SUMPRODUCT(NOT(ISBLANK(B$3:B$42))*(B$3:B$42=$KD$3:$KD$42))</f>
        <v>0</v>
      </c>
      <c r="C48" s="1">
        <f>SUMPRODUCT(NOT(ISBLANK(C$3:C$42))*(C$3:C$42=$KE$3:$KE$42))</f>
        <v>0</v>
      </c>
      <c r="D48" s="1">
        <f>SUMPRODUCT(NOT(ISBLANK(D$3:D$42))*(D$3:D$42=$KF$3:$KF$42))</f>
        <v>0</v>
      </c>
      <c r="E48" s="1">
        <f>SUMPRODUCT(NOT(ISBLANK(E$3:E$42))*(E$3:E$42=$KG$3:$KG$42))</f>
        <v>0</v>
      </c>
      <c r="F48" s="1">
        <f>SUMPRODUCT(NOT(ISBLANK(F$3:F$42))*(F$3:F$42=$KH$3:$KH$42))</f>
        <v>0</v>
      </c>
      <c r="G48" s="1">
        <f>SUMPRODUCT(NOT(ISBLANK(G$3:G$42))*(G$3:G$42=$KI$3:$KI$42))</f>
        <v>0</v>
      </c>
      <c r="H48" s="1">
        <f>SUMPRODUCT(NOT(ISBLANK(H$3:H$42))*(H$3:H$42=$KJ$3:$KJ$42))</f>
        <v>0</v>
      </c>
      <c r="I48" s="1">
        <f>SUMPRODUCT(NOT(ISBLANK(I$3:I$42))*(I$3:I$42=$KK$3:$KK$42))</f>
        <v>0</v>
      </c>
      <c r="J48" s="1">
        <f>SUMPRODUCT(NOT(ISBLANK(J$3:J$42))*(J$3:J$42=$KL$3:$KL$42))</f>
        <v>0</v>
      </c>
      <c r="K48" s="1">
        <f>SUMPRODUCT(NOT(ISBLANK(K$3:K$42))*(K$3:K$42=$KM$3:$KM$42))</f>
        <v>0</v>
      </c>
      <c r="L48" s="1">
        <f>SUMPRODUCT(NOT(ISBLANK(L$3:L$42))*(L$3:L$42=$KN$3:$KN$42))</f>
        <v>0</v>
      </c>
      <c r="M48" s="1">
        <f>SUMPRODUCT(NOT(ISBLANK(M$3:M$42))*(M$3:M$42=$KO$3:$KO$42))</f>
        <v>0</v>
      </c>
      <c r="N48" s="1">
        <f>SUMPRODUCT(NOT(ISBLANK(N$3:N$42))*(N$3:N$42=$KP$3:$KP$42))</f>
        <v>0</v>
      </c>
      <c r="O48" s="1">
        <f>SUMPRODUCT(NOT(ISBLANK(O$3:O$42))*(O$3:O$42=$KQ$3:$KQ$42))</f>
        <v>0</v>
      </c>
      <c r="P48" s="1"/>
      <c r="Q48" s="1">
        <f>SUMPRODUCT(NOT(ISBLANK(Q$3:Q$42))*(Q$3:Q$42=$KR$3:$KR$42))</f>
        <v>0</v>
      </c>
      <c r="R48" s="1">
        <f>SUMPRODUCT(NOT(ISBLANK(R$3:R$42))*(R$3:R$42=$KS$3:$KS$42))</f>
        <v>0</v>
      </c>
      <c r="S48" s="1">
        <f>SUMPRODUCT(NOT(ISBLANK(S$3:S$42))*(S$3:S$42=$KT$3:$KT$42))</f>
        <v>0</v>
      </c>
      <c r="T48" s="1">
        <f>SUMPRODUCT(NOT(ISBLANK(T$3:T$42))*(T$3:T$42=$KD$3:$KD$42))</f>
        <v>0</v>
      </c>
      <c r="U48" s="1">
        <f>SUMPRODUCT(NOT(ISBLANK(U$3:U$42))*(U$3:U$42=$KE$3:$KE$42))</f>
        <v>0</v>
      </c>
      <c r="V48" s="1">
        <f>SUMPRODUCT(NOT(ISBLANK(V$3:V$42))*(V$3:V$42=$KF$3:$KF$42))</f>
        <v>0</v>
      </c>
      <c r="W48" s="1">
        <f>SUMPRODUCT(NOT(ISBLANK(W$3:W$42))*(W$3:W$42=$KG$3:$KG$42))</f>
        <v>0</v>
      </c>
      <c r="X48" s="1">
        <f>SUMPRODUCT(NOT(ISBLANK(X$3:X$42))*(X$3:X$42=$KH$3:$KH$42))</f>
        <v>0</v>
      </c>
      <c r="Y48" s="1">
        <f>SUMPRODUCT(NOT(ISBLANK(Y$3:Y$42))*(Y$3:Y$42=$KI$3:$KI$42))</f>
        <v>0</v>
      </c>
      <c r="Z48" s="1">
        <f>SUMPRODUCT(NOT(ISBLANK(Z$3:Z$42))*(Z$3:Z$42=$KJ$3:$KJ$42))</f>
        <v>0</v>
      </c>
      <c r="AA48" s="1">
        <f>SUMPRODUCT(NOT(ISBLANK(AA$3:AA$42))*(AA$3:AA$42=$KK$3:$KK$42))</f>
        <v>0</v>
      </c>
      <c r="AB48" s="1">
        <f>SUMPRODUCT(NOT(ISBLANK(AB$3:AB$42))*(AB$3:AB$42=$KL$3:$KL$42))</f>
        <v>0</v>
      </c>
      <c r="AC48" s="1">
        <f>SUMPRODUCT(NOT(ISBLANK(AC$3:AC$42))*(AC$3:AC$42=$KM$3:$KM$42))</f>
        <v>0</v>
      </c>
      <c r="AD48" s="1">
        <f>SUMPRODUCT(NOT(ISBLANK(AD$3:AD$42))*(AD$3:AD$42=$KN$3:$KN$42))</f>
        <v>0</v>
      </c>
      <c r="AE48" s="1">
        <f>SUMPRODUCT(NOT(ISBLANK(AE$3:AE$42))*(AE$3:AE$42=$KO$3:$KO$42))</f>
        <v>0</v>
      </c>
      <c r="AF48" s="1">
        <f>SUMPRODUCT(NOT(ISBLANK(AF$3:AF$42))*(AF$3:AF$42=$KP$3:$KP$42))</f>
        <v>0</v>
      </c>
      <c r="AG48" s="1">
        <f>SUMPRODUCT(NOT(ISBLANK(AG$3:AG$42))*(AG$3:AG$42=$KQ$3:$KQ$42))</f>
        <v>0</v>
      </c>
      <c r="AH48" s="1"/>
      <c r="AI48" s="1">
        <f>SUMPRODUCT(NOT(ISBLANK(AI$3:AI$42))*(AI$3:AI$42=$KR$3:$KR$42))</f>
        <v>0</v>
      </c>
      <c r="AJ48" s="1">
        <f>SUMPRODUCT(NOT(ISBLANK(AJ$3:AJ$42))*(AJ$3:AJ$42=$KS$3:$KS$42))</f>
        <v>0</v>
      </c>
      <c r="AK48" s="1">
        <f>SUMPRODUCT(NOT(ISBLANK(AK$3:AK$42))*(AK$3:AK$42=$KT$3:$KT$42))</f>
        <v>0</v>
      </c>
      <c r="AL48" s="1">
        <f>SUMPRODUCT(NOT(ISBLANK(AL$3:AL$42))*(AL$3:AL$42=$KD$3:$KD$42))</f>
        <v>0</v>
      </c>
      <c r="AM48" s="1">
        <f>SUMPRODUCT(NOT(ISBLANK(AM$3:AM$42))*(AM$3:AM$42=$KE$3:$KE$42))</f>
        <v>0</v>
      </c>
      <c r="AN48" s="1">
        <f>SUMPRODUCT(NOT(ISBLANK(AN$3:AN$42))*(AN$3:AN$42=$KF$3:$KF$42))</f>
        <v>0</v>
      </c>
      <c r="AO48" s="1">
        <f>SUMPRODUCT(NOT(ISBLANK(AO$3:AO$42))*(AO$3:AO$42=$KG$3:$KG$42))</f>
        <v>0</v>
      </c>
      <c r="AP48" s="1">
        <f>SUMPRODUCT(NOT(ISBLANK(AP$3:AP$42))*(AP$3:AP$42=$KH$3:$KH$42))</f>
        <v>0</v>
      </c>
      <c r="AQ48" s="1">
        <f>SUMPRODUCT(NOT(ISBLANK(AQ$3:AQ$42))*(AQ$3:AQ$42=$KI$3:$KI$42))</f>
        <v>0</v>
      </c>
      <c r="AR48" s="1">
        <f>SUMPRODUCT(NOT(ISBLANK(AR$3:AR$42))*(AR$3:AR$42=$KJ$3:$KJ$42))</f>
        <v>0</v>
      </c>
      <c r="AS48" s="1">
        <f>SUMPRODUCT(NOT(ISBLANK(AS$3:AS$42))*(AS$3:AS$42=$KK$3:$KK$42))</f>
        <v>0</v>
      </c>
      <c r="AT48" s="1">
        <f>SUMPRODUCT(NOT(ISBLANK(AT$3:AT$42))*(AT$3:AT$42=$KL$3:$KL$42))</f>
        <v>0</v>
      </c>
      <c r="AU48" s="1">
        <f>SUMPRODUCT(NOT(ISBLANK(AU$3:AU$42))*(AU$3:AU$42=$KM$3:$KM$42))</f>
        <v>0</v>
      </c>
      <c r="AV48" s="1">
        <f>SUMPRODUCT(NOT(ISBLANK(AV$3:AV$42))*(AV$3:AV$42=$KN$3:$KN$42))</f>
        <v>0</v>
      </c>
      <c r="AW48" s="1">
        <f>SUMPRODUCT(NOT(ISBLANK(AW$3:AW$42))*(AW$3:AW$42=$KO$3:$KO$42))</f>
        <v>0</v>
      </c>
      <c r="AX48" s="1">
        <f>SUMPRODUCT(NOT(ISBLANK(AX$3:AX$42))*(AX$3:AX$42=$KP$3:$KP$42))</f>
        <v>0</v>
      </c>
      <c r="AY48" s="1">
        <f>SUMPRODUCT(NOT(ISBLANK(AY$3:AY$42))*(AY$3:AY$42=$KQ$3:$KQ$42))</f>
        <v>0</v>
      </c>
      <c r="AZ48" s="1"/>
      <c r="BA48" s="1">
        <f>SUMPRODUCT(NOT(ISBLANK(BA$3:BA$42))*(BA$3:BA$42=$KR$3:$KR$42))</f>
        <v>0</v>
      </c>
      <c r="BB48" s="1">
        <f>SUMPRODUCT(NOT(ISBLANK(BB$3:BB$42))*(BB$3:BB$42=$KS$3:$KS$42))</f>
        <v>0</v>
      </c>
      <c r="BC48" s="1">
        <f>SUMPRODUCT(NOT(ISBLANK(BC$3:BC$42))*(BC$3:BC$42=$KT$3:$KT$42))</f>
        <v>0</v>
      </c>
      <c r="BD48" s="1">
        <f>SUMPRODUCT(NOT(ISBLANK(BD$3:BD$42))*(BD$3:BD$42=$KD$3:$KD$42))</f>
        <v>0</v>
      </c>
      <c r="BE48" s="1">
        <f>SUMPRODUCT(NOT(ISBLANK(BE$3:BE$42))*(BE$3:BE$42=$KE$3:$KE$42))</f>
        <v>0</v>
      </c>
      <c r="BF48" s="1">
        <f>SUMPRODUCT(NOT(ISBLANK(BF$3:BF$42))*(BF$3:BF$42=$KF$3:$KF$42))</f>
        <v>0</v>
      </c>
      <c r="BG48" s="1">
        <f>SUMPRODUCT(NOT(ISBLANK(BG$3:BG$42))*(BG$3:BG$42=$KG$3:$KG$42))</f>
        <v>0</v>
      </c>
      <c r="BH48" s="1">
        <f>SUMPRODUCT(NOT(ISBLANK(BH$3:BH$42))*(BH$3:BH$42=$KH$3:$KH$42))</f>
        <v>0</v>
      </c>
      <c r="BI48" s="1">
        <f>SUMPRODUCT(NOT(ISBLANK(BI$3:BI$42))*(BI$3:BI$42=$KI$3:$KI$42))</f>
        <v>0</v>
      </c>
      <c r="BJ48" s="1">
        <f>SUMPRODUCT(NOT(ISBLANK(BJ$3:BJ$42))*(BJ$3:BJ$42=$KJ$3:$KJ$42))</f>
        <v>0</v>
      </c>
      <c r="BK48" s="1">
        <f>SUMPRODUCT(NOT(ISBLANK(BK$3:BK$42))*(BK$3:BK$42=$KK$3:$KK$42))</f>
        <v>0</v>
      </c>
      <c r="BL48" s="1">
        <f>SUMPRODUCT(NOT(ISBLANK(BL$3:BL$42))*(BL$3:BL$42=$KL$3:$KL$42))</f>
        <v>0</v>
      </c>
      <c r="BM48" s="1">
        <f>SUMPRODUCT(NOT(ISBLANK(BM$3:BM$42))*(BM$3:BM$42=$KM$3:$KM$42))</f>
        <v>0</v>
      </c>
      <c r="BN48" s="1">
        <f>SUMPRODUCT(NOT(ISBLANK(BN$3:BN$42))*(BN$3:BN$42=$KN$3:$KN$42))</f>
        <v>0</v>
      </c>
      <c r="BO48" s="1">
        <f>SUMPRODUCT(NOT(ISBLANK(BO$3:BO$42))*(BO$3:BO$42=$KO$3:$KO$42))</f>
        <v>0</v>
      </c>
      <c r="BP48" s="1">
        <f>SUMPRODUCT(NOT(ISBLANK(BP$3:BP$42))*(BP$3:BP$42=$KP$3:$KP$42))</f>
        <v>0</v>
      </c>
      <c r="BQ48" s="1">
        <f>SUMPRODUCT(NOT(ISBLANK(BQ$3:BQ$42))*(BQ$3:BQ$42=$KQ$3:$KQ$42))</f>
        <v>0</v>
      </c>
      <c r="BR48" s="1"/>
      <c r="BS48" s="1">
        <f>SUMPRODUCT(NOT(ISBLANK(BS$3:BS$42))*(BS$3:BS$42=$KR$3:$KR$42))</f>
        <v>0</v>
      </c>
      <c r="BT48" s="1">
        <f>SUMPRODUCT(NOT(ISBLANK(BT$3:BT$42))*(BT$3:BT$42=$KS$3:$KS$42))</f>
        <v>0</v>
      </c>
      <c r="BU48" s="1">
        <f>SUMPRODUCT(NOT(ISBLANK(BU$3:BU$42))*(BU$3:BU$42=$KT$3:$KT$42))</f>
        <v>0</v>
      </c>
      <c r="BV48" s="1">
        <f>SUMPRODUCT(NOT(ISBLANK(BV$3:BV$42))*(BV$3:BV$42=$KD$3:$KD$42))</f>
        <v>0</v>
      </c>
      <c r="BW48" s="1">
        <f>SUMPRODUCT(NOT(ISBLANK(BW$3:BW$42))*(BW$3:BW$42=$KE$3:$KE$42))</f>
        <v>0</v>
      </c>
      <c r="BX48" s="1">
        <f>SUMPRODUCT(NOT(ISBLANK(BX$3:BX$42))*(BX$3:BX$42=$KF$3:$KF$42))</f>
        <v>0</v>
      </c>
      <c r="BY48" s="1">
        <f>SUMPRODUCT(NOT(ISBLANK(BY$3:BY$42))*(BY$3:BY$42=$KG$3:$KG$42))</f>
        <v>0</v>
      </c>
      <c r="BZ48" s="1">
        <f>SUMPRODUCT(NOT(ISBLANK(BZ$3:BZ$42))*(BZ$3:BZ$42=$KH$3:$KH$42))</f>
        <v>0</v>
      </c>
      <c r="CA48" s="1">
        <f>SUMPRODUCT(NOT(ISBLANK(CA$3:CA$42))*(CA$3:CA$42=$KI$3:$KI$42))</f>
        <v>0</v>
      </c>
      <c r="CB48" s="1">
        <f>SUMPRODUCT(NOT(ISBLANK(CB$3:CB$42))*(CB$3:CB$42=$KJ$3:$KJ$42))</f>
        <v>0</v>
      </c>
      <c r="CC48" s="1">
        <f>SUMPRODUCT(NOT(ISBLANK(CC$3:CC$42))*(CC$3:CC$42=$KK$3:$KK$42))</f>
        <v>0</v>
      </c>
      <c r="CD48" s="1">
        <f>SUMPRODUCT(NOT(ISBLANK(CD$3:CD$42))*(CD$3:CD$42=$KL$3:$KL$42))</f>
        <v>0</v>
      </c>
      <c r="CE48" s="1">
        <f>SUMPRODUCT(NOT(ISBLANK(CE$3:CE$42))*(CE$3:CE$42=$KM$3:$KM$42))</f>
        <v>0</v>
      </c>
      <c r="CF48" s="1">
        <f>SUMPRODUCT(NOT(ISBLANK(CF$3:CF$42))*(CF$3:CF$42=$KN$3:$KN$42))</f>
        <v>0</v>
      </c>
      <c r="CG48" s="1">
        <f>SUMPRODUCT(NOT(ISBLANK(CG$3:CG$42))*(CG$3:CG$42=$KO$3:$KO$42))</f>
        <v>0</v>
      </c>
      <c r="CH48" s="1">
        <f>SUMPRODUCT(NOT(ISBLANK(CH$3:CH$42))*(CH$3:CH$42=$KP$3:$KP$42))</f>
        <v>0</v>
      </c>
      <c r="CI48" s="1">
        <f>SUMPRODUCT(NOT(ISBLANK(CI$3:CI$42))*(CI$3:CI$42=$KQ$3:$KQ$42))</f>
        <v>0</v>
      </c>
      <c r="CJ48" s="1"/>
      <c r="CK48" s="1">
        <f>SUMPRODUCT(NOT(ISBLANK(CK$3:CK$42))*(CK$3:CK$42=$KR$3:$KR$42))</f>
        <v>0</v>
      </c>
      <c r="CL48" s="1">
        <f>SUMPRODUCT(NOT(ISBLANK(CL$3:CL$42))*(CL$3:CL$42=$KS$3:$KS$42))</f>
        <v>0</v>
      </c>
      <c r="CM48" s="1">
        <f>SUMPRODUCT(NOT(ISBLANK(CM$3:CM$42))*(CM$3:CM$42=$KT$3:$KT$42))</f>
        <v>0</v>
      </c>
      <c r="CN48" s="1">
        <f>SUMPRODUCT(NOT(ISBLANK(CN$3:CN$42))*(CN$3:CN$42=$KD$3:$KD$42))</f>
        <v>0</v>
      </c>
      <c r="CO48" s="1">
        <f>SUMPRODUCT(NOT(ISBLANK(CO$3:CO$42))*(CO$3:CO$42=$KE$3:$KE$42))</f>
        <v>0</v>
      </c>
      <c r="CP48" s="1">
        <f>SUMPRODUCT(NOT(ISBLANK(CP$3:CP$42))*(CP$3:CP$42=$KF$3:$KF$42))</f>
        <v>0</v>
      </c>
      <c r="CQ48" s="1">
        <f>SUMPRODUCT(NOT(ISBLANK(CQ$3:CQ$42))*(CQ$3:CQ$42=$KG$3:$KG$42))</f>
        <v>0</v>
      </c>
      <c r="CR48" s="1">
        <f>SUMPRODUCT(NOT(ISBLANK(CR$3:CR$42))*(CR$3:CR$42=$KH$3:$KH$42))</f>
        <v>0</v>
      </c>
      <c r="CS48" s="1">
        <f>SUMPRODUCT(NOT(ISBLANK(CS$3:CS$42))*(CS$3:CS$42=$KI$3:$KI$42))</f>
        <v>0</v>
      </c>
      <c r="CT48" s="1">
        <f>SUMPRODUCT(NOT(ISBLANK(CT$3:CT$42))*(CT$3:CT$42=$KJ$3:$KJ$42))</f>
        <v>0</v>
      </c>
      <c r="CU48" s="1">
        <f>SUMPRODUCT(NOT(ISBLANK(CU$3:CU$42))*(CU$3:CU$42=$KK$3:$KK$42))</f>
        <v>0</v>
      </c>
      <c r="CV48" s="1">
        <f>SUMPRODUCT(NOT(ISBLANK(CV$3:CV$42))*(CV$3:CV$42=$KL$3:$KL$42))</f>
        <v>0</v>
      </c>
      <c r="CW48" s="1">
        <f>SUMPRODUCT(NOT(ISBLANK(CW$3:CW$42))*(CW$3:CW$42=$KM$3:$KM$42))</f>
        <v>0</v>
      </c>
      <c r="CX48" s="1">
        <f>SUMPRODUCT(NOT(ISBLANK(CX$3:CX$42))*(CX$3:CX$42=$KN$3:$KN$42))</f>
        <v>0</v>
      </c>
      <c r="CY48" s="1">
        <f>SUMPRODUCT(NOT(ISBLANK(CY$3:CY$42))*(CY$3:CY$42=$KO$3:$KO$42))</f>
        <v>0</v>
      </c>
      <c r="CZ48" s="1">
        <f>SUMPRODUCT(NOT(ISBLANK(CZ$3:CZ$42))*(CZ$3:CZ$42=$KP$3:$KP$42))</f>
        <v>0</v>
      </c>
      <c r="DA48" s="1">
        <f>SUMPRODUCT(NOT(ISBLANK(DA$3:DA$42))*(DA$3:DA$42=$KQ$3:$KQ$42))</f>
        <v>0</v>
      </c>
      <c r="DB48" s="1"/>
      <c r="DC48" s="1">
        <f>SUMPRODUCT(NOT(ISBLANK(DC$3:DC$42))*(DC$3:DC$42=$KR$3:$KR$42))</f>
        <v>0</v>
      </c>
      <c r="DD48" s="1">
        <f>SUMPRODUCT(NOT(ISBLANK(DD$3:DD$42))*(DD$3:DD$42=$KS$3:$KS$42))</f>
        <v>0</v>
      </c>
      <c r="DE48" s="1">
        <f>SUMPRODUCT(NOT(ISBLANK(DE$3:DE$42))*(DE$3:DE$42=$KT$3:$KT$42))</f>
        <v>0</v>
      </c>
      <c r="DF48" s="1">
        <f>SUMPRODUCT(NOT(ISBLANK(DF$3:DF$42))*(DF$3:DF$42=$KD$3:$KD$42))</f>
        <v>0</v>
      </c>
      <c r="DG48" s="1">
        <f>SUMPRODUCT(NOT(ISBLANK(DG$3:DG$42))*(DG$3:DG$42=$KE$3:$KE$42))</f>
        <v>0</v>
      </c>
      <c r="DH48" s="1">
        <f>SUMPRODUCT(NOT(ISBLANK(DH$3:DH$42))*(DH$3:DH$42=$KF$3:$KF$42))</f>
        <v>0</v>
      </c>
      <c r="DI48" s="1">
        <f>SUMPRODUCT(NOT(ISBLANK(DI$3:DI$42))*(DI$3:DI$42=$KG$3:$KG$42))</f>
        <v>0</v>
      </c>
      <c r="DJ48" s="1">
        <f>SUMPRODUCT(NOT(ISBLANK(DJ$3:DJ$42))*(DJ$3:DJ$42=$KH$3:$KH$42))</f>
        <v>0</v>
      </c>
      <c r="DK48" s="1">
        <f>SUMPRODUCT(NOT(ISBLANK(DK$3:DK$42))*(DK$3:DK$42=$KI$3:$KI$42))</f>
        <v>0</v>
      </c>
      <c r="DL48" s="1">
        <f>SUMPRODUCT(NOT(ISBLANK(DL$3:DL$42))*(DL$3:DL$42=$KJ$3:$KJ$42))</f>
        <v>0</v>
      </c>
      <c r="DM48" s="1">
        <f>SUMPRODUCT(NOT(ISBLANK(DM$3:DM$42))*(DM$3:DM$42=$KK$3:$KK$42))</f>
        <v>0</v>
      </c>
      <c r="DN48" s="1">
        <f>SUMPRODUCT(NOT(ISBLANK(DN$3:DN$42))*(DN$3:DN$42=$KL$3:$KL$42))</f>
        <v>0</v>
      </c>
      <c r="DO48" s="1">
        <f>SUMPRODUCT(NOT(ISBLANK(DO$3:DO$42))*(DO$3:DO$42=$KM$3:$KM$42))</f>
        <v>0</v>
      </c>
      <c r="DP48" s="1">
        <f>SUMPRODUCT(NOT(ISBLANK(DP$3:DP$42))*(DP$3:DP$42=$KN$3:$KN$42))</f>
        <v>0</v>
      </c>
      <c r="DQ48" s="1">
        <f>SUMPRODUCT(NOT(ISBLANK(DQ$3:DQ$42))*(DQ$3:DQ$42=$KO$3:$KO$42))</f>
        <v>0</v>
      </c>
      <c r="DR48" s="1">
        <f>SUMPRODUCT(NOT(ISBLANK(DR$3:DR$42))*(DR$3:DR$42=$KP$3:$KP$42))</f>
        <v>0</v>
      </c>
      <c r="DS48" s="1">
        <f>SUMPRODUCT(NOT(ISBLANK(DS$3:DS$42))*(DS$3:DS$42=$KQ$3:$KQ$42))</f>
        <v>0</v>
      </c>
      <c r="DT48" s="1"/>
      <c r="DU48" s="1">
        <f>SUMPRODUCT(NOT(ISBLANK(DU$3:DU$42))*(DU$3:DU$42=$KR$3:$KR$42))</f>
        <v>0</v>
      </c>
      <c r="DV48" s="1">
        <f>SUMPRODUCT(NOT(ISBLANK(DV$3:DV$42))*(DV$3:DV$42=$KS$3:$KS$42))</f>
        <v>0</v>
      </c>
      <c r="DW48" s="1">
        <f>SUMPRODUCT(NOT(ISBLANK(DW$3:DW$42))*(DW$3:DW$42=$KT$3:$KT$42))</f>
        <v>0</v>
      </c>
      <c r="DX48" s="1">
        <f>SUMPRODUCT(NOT(ISBLANK(DX$3:DX$42))*(DX$3:DX$42=$KD$3:$KD$42))</f>
        <v>0</v>
      </c>
      <c r="DY48" s="1">
        <f>SUMPRODUCT(NOT(ISBLANK(DY$3:DY$42))*(DY$3:DY$42=$KE$3:$KE$42))</f>
        <v>0</v>
      </c>
      <c r="DZ48" s="1">
        <f>SUMPRODUCT(NOT(ISBLANK(DZ$3:DZ$42))*(DZ$3:DZ$42=$KF$3:$KF$42))</f>
        <v>0</v>
      </c>
      <c r="EA48" s="1">
        <f>SUMPRODUCT(NOT(ISBLANK(EA$3:EA$42))*(EA$3:EA$42=$KG$3:$KG$42))</f>
        <v>0</v>
      </c>
      <c r="EB48" s="1">
        <f>SUMPRODUCT(NOT(ISBLANK(EB$3:EB$42))*(EB$3:EB$42=$KH$3:$KH$42))</f>
        <v>0</v>
      </c>
      <c r="EC48" s="1">
        <f>SUMPRODUCT(NOT(ISBLANK(EC$3:EC$42))*(EC$3:EC$42=$KI$3:$KI$42))</f>
        <v>0</v>
      </c>
      <c r="ED48" s="1">
        <f>SUMPRODUCT(NOT(ISBLANK(ED$3:ED$42))*(ED$3:ED$42=$KJ$3:$KJ$42))</f>
        <v>0</v>
      </c>
      <c r="EE48" s="1">
        <f>SUMPRODUCT(NOT(ISBLANK(EE$3:EE$42))*(EE$3:EE$42=$KK$3:$KK$42))</f>
        <v>0</v>
      </c>
      <c r="EF48" s="1">
        <f>SUMPRODUCT(NOT(ISBLANK(EF$3:EF$42))*(EF$3:EF$42=$KL$3:$KL$42))</f>
        <v>0</v>
      </c>
      <c r="EG48" s="1">
        <f>SUMPRODUCT(NOT(ISBLANK(EG$3:EG$42))*(EG$3:EG$42=$KM$3:$KM$42))</f>
        <v>0</v>
      </c>
      <c r="EH48" s="1">
        <f>SUMPRODUCT(NOT(ISBLANK(EH$3:EH$42))*(EH$3:EH$42=$KN$3:$KN$42))</f>
        <v>0</v>
      </c>
      <c r="EI48" s="1">
        <f>SUMPRODUCT(NOT(ISBLANK(EI$3:EI$42))*(EI$3:EI$42=$KO$3:$KO$42))</f>
        <v>0</v>
      </c>
      <c r="EJ48" s="1">
        <f>SUMPRODUCT(NOT(ISBLANK(EJ$3:EJ$42))*(EJ$3:EJ$42=$KP$3:$KP$42))</f>
        <v>0</v>
      </c>
      <c r="EK48" s="1">
        <f>SUMPRODUCT(NOT(ISBLANK(EK$3:EK$42))*(EK$3:EK$42=$KQ$3:$KQ$42))</f>
        <v>0</v>
      </c>
      <c r="EL48" s="1"/>
      <c r="EM48" s="1">
        <f>SUMPRODUCT(NOT(ISBLANK(EM$3:EM$42))*(EM$3:EM$42=$KR$3:$KR$42))</f>
        <v>0</v>
      </c>
      <c r="EN48" s="1">
        <f>SUMPRODUCT(NOT(ISBLANK(EN$3:EN$42))*(EN$3:EN$42=$KS$3:$KS$42))</f>
        <v>0</v>
      </c>
      <c r="EO48" s="1">
        <f>SUMPRODUCT(NOT(ISBLANK(EO$3:EO$42))*(EO$3:EO$42=$KT$3:$KT$42))</f>
        <v>0</v>
      </c>
      <c r="EP48" s="1">
        <f>SUMPRODUCT(NOT(ISBLANK(EP$3:EP$42))*(EP$3:EP$42=$KD$3:$KD$42))</f>
        <v>0</v>
      </c>
      <c r="EQ48" s="1">
        <f>SUMPRODUCT(NOT(ISBLANK(EQ$3:EQ$42))*(EQ$3:EQ$42=$KE$3:$KE$42))</f>
        <v>0</v>
      </c>
      <c r="ER48" s="1">
        <f>SUMPRODUCT(NOT(ISBLANK(ER$3:ER$42))*(ER$3:ER$42=$KF$3:$KF$42))</f>
        <v>0</v>
      </c>
      <c r="ES48" s="1">
        <f>SUMPRODUCT(NOT(ISBLANK(ES$3:ES$42))*(ES$3:ES$42=$KG$3:$KG$42))</f>
        <v>0</v>
      </c>
      <c r="ET48" s="1">
        <f>SUMPRODUCT(NOT(ISBLANK(ET$3:ET$42))*(ET$3:ET$42=$KH$3:$KH$42))</f>
        <v>0</v>
      </c>
      <c r="EU48" s="1">
        <f>SUMPRODUCT(NOT(ISBLANK(EU$3:EU$42))*(EU$3:EU$42=$KI$3:$KI$42))</f>
        <v>0</v>
      </c>
      <c r="EV48" s="1">
        <f>SUMPRODUCT(NOT(ISBLANK(EV$3:EV$42))*(EV$3:EV$42=$KJ$3:$KJ$42))</f>
        <v>0</v>
      </c>
      <c r="EW48" s="1">
        <f>SUMPRODUCT(NOT(ISBLANK(EW$3:EW$42))*(EW$3:EW$42=$KK$3:$KK$42))</f>
        <v>0</v>
      </c>
      <c r="EX48" s="1">
        <f>SUMPRODUCT(NOT(ISBLANK(EX$3:EX$42))*(EX$3:EX$42=$KL$3:$KL$42))</f>
        <v>0</v>
      </c>
      <c r="EY48" s="1">
        <f>SUMPRODUCT(NOT(ISBLANK(EY$3:EY$42))*(EY$3:EY$42=$KM$3:$KM$42))</f>
        <v>0</v>
      </c>
      <c r="EZ48" s="1">
        <f>SUMPRODUCT(NOT(ISBLANK(EZ$3:EZ$42))*(EZ$3:EZ$42=$KN$3:$KN$42))</f>
        <v>0</v>
      </c>
      <c r="FA48" s="1">
        <f>SUMPRODUCT(NOT(ISBLANK(FA$3:FA$42))*(FA$3:FA$42=$KO$3:$KO$42))</f>
        <v>0</v>
      </c>
      <c r="FB48" s="1">
        <f>SUMPRODUCT(NOT(ISBLANK(FB$3:FB$42))*(FB$3:FB$42=$KP$3:$KP$42))</f>
        <v>0</v>
      </c>
      <c r="FC48" s="1">
        <f>SUMPRODUCT(NOT(ISBLANK(FC$3:FC$42))*(FC$3:FC$42=$KQ$3:$KQ$42))</f>
        <v>0</v>
      </c>
      <c r="FD48" s="1"/>
      <c r="FE48" s="1">
        <f>SUMPRODUCT(NOT(ISBLANK(FE$3:FE$42))*(FE$3:FE$42=$KR$3:$KR$42))</f>
        <v>0</v>
      </c>
      <c r="FF48" s="1">
        <f>SUMPRODUCT(NOT(ISBLANK(FF$3:FF$42))*(FF$3:FF$42=$KS$3:$KS$42))</f>
        <v>0</v>
      </c>
      <c r="FG48" s="1">
        <f>SUMPRODUCT(NOT(ISBLANK(FG$3:FG$42))*(FG$3:FG$42=$KT$3:$KT$42))</f>
        <v>0</v>
      </c>
      <c r="FH48" s="1">
        <f>SUMPRODUCT(NOT(ISBLANK(FH$3:FH$42))*(FH$3:FH$42=$KD$3:$KD$42))</f>
        <v>0</v>
      </c>
      <c r="FI48" s="1">
        <f>SUMPRODUCT(NOT(ISBLANK(FI$3:FI$42))*(FI$3:FI$42=$KE$3:$KE$42))</f>
        <v>0</v>
      </c>
      <c r="FJ48" s="1">
        <f>SUMPRODUCT(NOT(ISBLANK(FJ$3:FJ$42))*(FJ$3:FJ$42=$KF$3:$KF$42))</f>
        <v>0</v>
      </c>
      <c r="FK48" s="1">
        <f>SUMPRODUCT(NOT(ISBLANK(FK$3:FK$42))*(FK$3:FK$42=$KG$3:$KG$42))</f>
        <v>0</v>
      </c>
      <c r="FL48" s="1">
        <f>SUMPRODUCT(NOT(ISBLANK(FL$3:FL$42))*(FL$3:FL$42=$KH$3:$KH$42))</f>
        <v>0</v>
      </c>
      <c r="FM48" s="1">
        <f>SUMPRODUCT(NOT(ISBLANK(FM$3:FM$42))*(FM$3:FM$42=$KI$3:$KI$42))</f>
        <v>0</v>
      </c>
      <c r="FN48" s="1">
        <f>SUMPRODUCT(NOT(ISBLANK(FN$3:FN$42))*(FN$3:FN$42=$KJ$3:$KJ$42))</f>
        <v>0</v>
      </c>
      <c r="FO48" s="1">
        <f>SUMPRODUCT(NOT(ISBLANK(FO$3:FO$42))*(FO$3:FO$42=$KK$3:$KK$42))</f>
        <v>0</v>
      </c>
      <c r="FP48" s="1">
        <f>SUMPRODUCT(NOT(ISBLANK(FP$3:FP$42))*(FP$3:FP$42=$KL$3:$KL$42))</f>
        <v>0</v>
      </c>
      <c r="FQ48" s="1">
        <f>SUMPRODUCT(NOT(ISBLANK(FQ$3:FQ$42))*(FQ$3:FQ$42=$KM$3:$KM$42))</f>
        <v>0</v>
      </c>
      <c r="FR48" s="1">
        <f>SUMPRODUCT(NOT(ISBLANK(FR$3:FR$42))*(FR$3:FR$42=$KN$3:$KN$42))</f>
        <v>0</v>
      </c>
      <c r="FS48" s="1">
        <f>SUMPRODUCT(NOT(ISBLANK(FS$3:FS$42))*(FS$3:FS$42=$KO$3:$KO$42))</f>
        <v>0</v>
      </c>
      <c r="FT48" s="1">
        <f>SUMPRODUCT(NOT(ISBLANK(FT$3:FT$42))*(FT$3:FT$42=$KP$3:$KP$42))</f>
        <v>0</v>
      </c>
      <c r="FU48" s="1">
        <f>SUMPRODUCT(NOT(ISBLANK(FU$3:FU$42))*(FU$3:FU$42=$KQ$3:$KQ$42))</f>
        <v>0</v>
      </c>
      <c r="FV48" s="1"/>
      <c r="FW48" s="1">
        <f>SUMPRODUCT(NOT(ISBLANK(FW$3:FW$42))*(FW$3:FW$42=$KR$3:$KR$42))</f>
        <v>0</v>
      </c>
      <c r="FX48" s="1">
        <f>SUMPRODUCT(NOT(ISBLANK(FX$3:FX$42))*(FX$3:FX$42=$KS$3:$KS$42))</f>
        <v>0</v>
      </c>
      <c r="FY48" s="1">
        <f>SUMPRODUCT(NOT(ISBLANK(FY$3:FY$42))*(FY$3:FY$42=$KT$3:$KT$42))</f>
        <v>0</v>
      </c>
      <c r="FZ48" s="1">
        <f>SUMPRODUCT(NOT(ISBLANK(FZ$3:FZ$42))*(FZ$3:FZ$42=$KD$3:$KD$42))</f>
        <v>0</v>
      </c>
      <c r="GA48" s="1">
        <f>SUMPRODUCT(NOT(ISBLANK(GA$3:GA$42))*(GA$3:GA$42=$KE$3:$KE$42))</f>
        <v>0</v>
      </c>
      <c r="GB48" s="1">
        <f>SUMPRODUCT(NOT(ISBLANK(GB$3:GB$42))*(GB$3:GB$42=$KF$3:$KF$42))</f>
        <v>0</v>
      </c>
      <c r="GC48" s="1">
        <f>SUMPRODUCT(NOT(ISBLANK(GC$3:GC$42))*(GC$3:GC$42=$KG$3:$KG$42))</f>
        <v>0</v>
      </c>
      <c r="GD48" s="1">
        <f>SUMPRODUCT(NOT(ISBLANK(GD$3:GD$42))*(GD$3:GD$42=$KH$3:$KH$42))</f>
        <v>0</v>
      </c>
      <c r="GE48" s="1">
        <f>SUMPRODUCT(NOT(ISBLANK(GE$3:GE$42))*(GE$3:GE$42=$KI$3:$KI$42))</f>
        <v>0</v>
      </c>
      <c r="GF48" s="1">
        <f>SUMPRODUCT(NOT(ISBLANK(GF$3:GF$42))*(GF$3:GF$42=$KJ$3:$KJ$42))</f>
        <v>0</v>
      </c>
      <c r="GG48" s="1">
        <f>SUMPRODUCT(NOT(ISBLANK(GG$3:GG$42))*(GG$3:GG$42=$KK$3:$KK$42))</f>
        <v>0</v>
      </c>
      <c r="GH48" s="1">
        <f>SUMPRODUCT(NOT(ISBLANK(GH$3:GH$42))*(GH$3:GH$42=$KL$3:$KL$42))</f>
        <v>0</v>
      </c>
      <c r="GI48" s="1">
        <f>SUMPRODUCT(NOT(ISBLANK(GI$3:GI$42))*(GI$3:GI$42=$KM$3:$KM$42))</f>
        <v>0</v>
      </c>
      <c r="GJ48" s="1">
        <f>SUMPRODUCT(NOT(ISBLANK(GJ$3:GJ$42))*(GJ$3:GJ$42=$KN$3:$KN$42))</f>
        <v>0</v>
      </c>
      <c r="GK48" s="1">
        <f>SUMPRODUCT(NOT(ISBLANK(GK$3:GK$42))*(GK$3:GK$42=$KO$3:$KO$42))</f>
        <v>0</v>
      </c>
      <c r="GL48" s="1">
        <f>SUMPRODUCT(NOT(ISBLANK(GL$3:GL$42))*(GL$3:GL$42=$KP$3:$KP$42))</f>
        <v>0</v>
      </c>
      <c r="GM48" s="1">
        <f>SUMPRODUCT(NOT(ISBLANK(GM$3:GM$42))*(GM$3:GM$42=$KQ$3:$KQ$42))</f>
        <v>0</v>
      </c>
      <c r="GN48" s="1"/>
      <c r="GO48" s="1">
        <f>SUMPRODUCT(NOT(ISBLANK(GO$3:GO$42))*(GO$3:GO$42=$KR$3:$KR$42))</f>
        <v>0</v>
      </c>
      <c r="GP48" s="1">
        <f>SUMPRODUCT(NOT(ISBLANK(GP$3:GP$42))*(GP$3:GP$42=$KS$3:$KS$42))</f>
        <v>0</v>
      </c>
      <c r="GQ48" s="1">
        <f>SUMPRODUCT(NOT(ISBLANK(GQ$3:GQ$42))*(GQ$3:GQ$42=$KT$3:$KT$42))</f>
        <v>0</v>
      </c>
      <c r="GR48" s="1">
        <f>SUMPRODUCT(NOT(ISBLANK(GR$3:GR$42))*(GR$3:GR$42=$KD$3:$KD$42))</f>
        <v>0</v>
      </c>
      <c r="GS48" s="1">
        <f>SUMPRODUCT(NOT(ISBLANK(GS$3:GS$42))*(GS$3:GS$42=$KE$3:$KE$42))</f>
        <v>0</v>
      </c>
      <c r="GT48" s="1">
        <f>SUMPRODUCT(NOT(ISBLANK(GT$3:GT$42))*(GT$3:GT$42=$KF$3:$KF$42))</f>
        <v>0</v>
      </c>
      <c r="GU48" s="1">
        <f>SUMPRODUCT(NOT(ISBLANK(GU$3:GU$42))*(GU$3:GU$42=$KG$3:$KG$42))</f>
        <v>0</v>
      </c>
      <c r="GV48" s="1">
        <f>SUMPRODUCT(NOT(ISBLANK(GV$3:GV$42))*(GV$3:GV$42=$KH$3:$KH$42))</f>
        <v>0</v>
      </c>
      <c r="GW48" s="1">
        <f>SUMPRODUCT(NOT(ISBLANK(GW$3:GW$42))*(GW$3:GW$42=$KI$3:$KI$42))</f>
        <v>0</v>
      </c>
      <c r="GX48" s="1">
        <f>SUMPRODUCT(NOT(ISBLANK(GX$3:GX$42))*(GX$3:GX$42=$KJ$3:$KJ$42))</f>
        <v>0</v>
      </c>
      <c r="GY48" s="1">
        <f>SUMPRODUCT(NOT(ISBLANK(GY$3:GY$42))*(GY$3:GY$42=$KK$3:$KK$42))</f>
        <v>0</v>
      </c>
      <c r="GZ48" s="1">
        <f>SUMPRODUCT(NOT(ISBLANK(GZ$3:GZ$42))*(GZ$3:GZ$42=$KL$3:$KL$42))</f>
        <v>0</v>
      </c>
      <c r="HA48" s="1">
        <f>SUMPRODUCT(NOT(ISBLANK(HA$3:HA$42))*(HA$3:HA$42=$KM$3:$KM$42))</f>
        <v>0</v>
      </c>
      <c r="HB48" s="1">
        <f>SUMPRODUCT(NOT(ISBLANK(HB$3:HB$42))*(HB$3:HB$42=$KN$3:$KN$42))</f>
        <v>0</v>
      </c>
      <c r="HC48" s="1">
        <f>SUMPRODUCT(NOT(ISBLANK(HC$3:HC$42))*(HC$3:HC$42=$KO$3:$KO$42))</f>
        <v>0</v>
      </c>
      <c r="HD48" s="1">
        <f>SUMPRODUCT(NOT(ISBLANK(HD$3:HD$42))*(HD$3:HD$42=$KP$3:$KP$42))</f>
        <v>0</v>
      </c>
      <c r="HE48" s="1">
        <f>SUMPRODUCT(NOT(ISBLANK(HE$3:HE$42))*(HE$3:HE$42=$KQ$3:$KQ$42))</f>
        <v>0</v>
      </c>
      <c r="HF48" s="1"/>
      <c r="HG48" s="1">
        <f>SUMPRODUCT(NOT(ISBLANK(HG$3:HG$42))*(HG$3:HG$42=$KR$3:$KR$42))</f>
        <v>0</v>
      </c>
      <c r="HH48" s="1">
        <f>SUMPRODUCT(NOT(ISBLANK(HH$3:HH$42))*(HH$3:HH$42=$KS$3:$KS$42))</f>
        <v>0</v>
      </c>
      <c r="HI48" s="1">
        <f>SUMPRODUCT(NOT(ISBLANK(HI$3:HI$42))*(HI$3:HI$42=$KT$3:$KT$42))</f>
        <v>0</v>
      </c>
      <c r="HJ48" s="1">
        <f>SUMPRODUCT(NOT(ISBLANK(HJ$3:HJ$42))*(HJ$3:HJ$42=$KD$3:$KD$42))</f>
        <v>0</v>
      </c>
      <c r="HK48" s="1">
        <f>SUMPRODUCT(NOT(ISBLANK(HK$3:HK$42))*(HK$3:HK$42=$KE$3:$KE$42))</f>
        <v>0</v>
      </c>
      <c r="HL48" s="1">
        <f>SUMPRODUCT(NOT(ISBLANK(HL$3:HL$42))*(HL$3:HL$42=$KF$3:$KF$42))</f>
        <v>0</v>
      </c>
      <c r="HM48" s="1">
        <f>SUMPRODUCT(NOT(ISBLANK(HM$3:HM$42))*(HM$3:HM$42=$KG$3:$KG$42))</f>
        <v>0</v>
      </c>
      <c r="HN48" s="1">
        <f>SUMPRODUCT(NOT(ISBLANK(HN$3:HN$42))*(HN$3:HN$42=$KH$3:$KH$42))</f>
        <v>0</v>
      </c>
      <c r="HO48" s="1">
        <f>SUMPRODUCT(NOT(ISBLANK(HO$3:HO$42))*(HO$3:HO$42=$KI$3:$KI$42))</f>
        <v>0</v>
      </c>
      <c r="HP48" s="1">
        <f>SUMPRODUCT(NOT(ISBLANK(HP$3:HP$42))*(HP$3:HP$42=$KJ$3:$KJ$42))</f>
        <v>0</v>
      </c>
      <c r="HQ48" s="1">
        <f>SUMPRODUCT(NOT(ISBLANK(HQ$3:HQ$42))*(HQ$3:HQ$42=$KK$3:$KK$42))</f>
        <v>0</v>
      </c>
      <c r="HR48" s="1">
        <f>SUMPRODUCT(NOT(ISBLANK(HR$3:HR$42))*(HR$3:HR$42=$KL$3:$KL$42))</f>
        <v>0</v>
      </c>
      <c r="HS48" s="1">
        <f>SUMPRODUCT(NOT(ISBLANK(HS$3:HS$42))*(HS$3:HS$42=$KM$3:$KM$42))</f>
        <v>0</v>
      </c>
      <c r="HT48" s="1">
        <f>SUMPRODUCT(NOT(ISBLANK(HT$3:HT$42))*(HT$3:HT$42=$KN$3:$KN$42))</f>
        <v>0</v>
      </c>
      <c r="HU48" s="1">
        <f>SUMPRODUCT(NOT(ISBLANK(HU$3:HU$42))*(HU$3:HU$42=$KO$3:$KO$42))</f>
        <v>0</v>
      </c>
      <c r="HV48" s="1">
        <f>SUMPRODUCT(NOT(ISBLANK(HV$3:HV$42))*(HV$3:HV$42=$KP$3:$KP$42))</f>
        <v>0</v>
      </c>
      <c r="HW48" s="1">
        <f>SUMPRODUCT(NOT(ISBLANK(HW$3:HW$42))*(HW$3:HW$42=$KQ$3:$KQ$42))</f>
        <v>0</v>
      </c>
      <c r="HX48" s="1"/>
      <c r="HY48" s="1">
        <f>SUMPRODUCT(NOT(ISBLANK(HY$3:HY$42))*(HY$3:HY$42=$KR$3:$KR$42))</f>
        <v>0</v>
      </c>
      <c r="HZ48" s="1">
        <f>SUMPRODUCT(NOT(ISBLANK(HZ$3:HZ$42))*(HZ$3:HZ$42=$KS$3:$KS$42))</f>
        <v>0</v>
      </c>
      <c r="IA48" s="1">
        <f>SUMPRODUCT(NOT(ISBLANK(IA$3:IA$42))*(IA$3:IA$42=$KT$3:$KT$42))</f>
        <v>0</v>
      </c>
      <c r="IB48" s="1">
        <f>SUMPRODUCT(NOT(ISBLANK(IB$3:IB$42))*(IB$3:IB$42=$KD$3:$KD$42))</f>
        <v>0</v>
      </c>
      <c r="IC48" s="1">
        <f>SUMPRODUCT(NOT(ISBLANK(IC$3:IC$42))*(IC$3:IC$42=$KE$3:$KE$42))</f>
        <v>0</v>
      </c>
      <c r="ID48" s="1">
        <f>SUMPRODUCT(NOT(ISBLANK(ID$3:ID$42))*(ID$3:ID$42=$KF$3:$KF$42))</f>
        <v>0</v>
      </c>
      <c r="IE48" s="1">
        <f>SUMPRODUCT(NOT(ISBLANK(IE$3:IE$42))*(IE$3:IE$42=$KG$3:$KG$42))</f>
        <v>0</v>
      </c>
      <c r="IF48" s="1">
        <f>SUMPRODUCT(NOT(ISBLANK(IF$3:IF$42))*(IF$3:IF$42=$KH$3:$KH$42))</f>
        <v>0</v>
      </c>
      <c r="IG48" s="1">
        <f>SUMPRODUCT(NOT(ISBLANK(IG$3:IG$42))*(IG$3:IG$42=$KI$3:$KI$42))</f>
        <v>0</v>
      </c>
      <c r="IH48" s="1">
        <f>SUMPRODUCT(NOT(ISBLANK(IH$3:IH$42))*(IH$3:IH$42=$KJ$3:$KJ$42))</f>
        <v>0</v>
      </c>
      <c r="II48" s="1">
        <f>SUMPRODUCT(NOT(ISBLANK(II$3:II$42))*(II$3:II$42=$KK$3:$KK$42))</f>
        <v>0</v>
      </c>
      <c r="IJ48" s="1">
        <f>SUMPRODUCT(NOT(ISBLANK(IJ$3:IJ$42))*(IJ$3:IJ$42=$KL$3:$KL$42))</f>
        <v>0</v>
      </c>
      <c r="IK48" s="1">
        <f>SUMPRODUCT(NOT(ISBLANK(IK$3:IK$42))*(IK$3:IK$42=$KM$3:$KM$42))</f>
        <v>0</v>
      </c>
      <c r="IL48" s="1">
        <f>SUMPRODUCT(NOT(ISBLANK(IL$3:IL$42))*(IL$3:IL$42=$KN$3:$KN$42))</f>
        <v>0</v>
      </c>
      <c r="IM48" s="1">
        <f>SUMPRODUCT(NOT(ISBLANK(IM$3:IM$42))*(IM$3:IM$42=$KO$3:$KO$42))</f>
        <v>0</v>
      </c>
      <c r="IN48" s="1">
        <f>SUMPRODUCT(NOT(ISBLANK(IN$3:IN$42))*(IN$3:IN$42=$KP$3:$KP$42))</f>
        <v>0</v>
      </c>
      <c r="IO48" s="1">
        <f>SUMPRODUCT(NOT(ISBLANK(IO$3:IO$42))*(IO$3:IO$42=$KQ$3:$KQ$42))</f>
        <v>0</v>
      </c>
      <c r="IP48" s="1"/>
      <c r="IQ48" s="1">
        <f>SUMPRODUCT(NOT(ISBLANK(IQ$3:IQ$42))*(IQ$3:IQ$42=$KR$3:$KR$42))</f>
        <v>0</v>
      </c>
      <c r="IR48" s="1">
        <f>SUMPRODUCT(NOT(ISBLANK(IR$3:IR$42))*(IR$3:IR$42=$KS$3:$KS$42))</f>
        <v>0</v>
      </c>
      <c r="IS48" s="1">
        <f>SUMPRODUCT(NOT(ISBLANK(IS$3:IS$42))*(IS$3:IS$42=$KT$3:$KT$42))</f>
        <v>0</v>
      </c>
      <c r="IT48" s="1">
        <f>SUMPRODUCT(NOT(ISBLANK(IT$3:IT$42))*(IT$3:IT$42=$KD$3:$KD$42))</f>
        <v>0</v>
      </c>
      <c r="IU48" s="1">
        <f>SUMPRODUCT(NOT(ISBLANK(IU$3:IU$42))*(IU$3:IU$42=$KE$3:$KE$42))</f>
        <v>0</v>
      </c>
      <c r="IV48" s="1">
        <f>SUMPRODUCT(NOT(ISBLANK(IV$3:IV$42))*(IV$3:IV$42=$KF$3:$KF$42))</f>
        <v>0</v>
      </c>
      <c r="IW48" s="1">
        <f>SUMPRODUCT(NOT(ISBLANK(IW$3:IW$42))*(IW$3:IW$42=$KG$3:$KG$42))</f>
        <v>0</v>
      </c>
      <c r="IX48" s="1">
        <f>SUMPRODUCT(NOT(ISBLANK(IX$3:IX$42))*(IX$3:IX$42=$KH$3:$KH$42))</f>
        <v>0</v>
      </c>
      <c r="IY48" s="1">
        <f>SUMPRODUCT(NOT(ISBLANK(IY$3:IY$42))*(IY$3:IY$42=$KI$3:$KI$42))</f>
        <v>0</v>
      </c>
      <c r="IZ48" s="1">
        <f>SUMPRODUCT(NOT(ISBLANK(IZ$3:IZ$42))*(IZ$3:IZ$42=$KJ$3:$KJ$42))</f>
        <v>0</v>
      </c>
      <c r="JA48" s="1">
        <f>SUMPRODUCT(NOT(ISBLANK(JA$3:JA$42))*(JA$3:JA$42=$KK$3:$KK$42))</f>
        <v>0</v>
      </c>
      <c r="JB48" s="1">
        <f>SUMPRODUCT(NOT(ISBLANK(JB$3:JB$42))*(JB$3:JB$42=$KL$3:$KL$42))</f>
        <v>0</v>
      </c>
      <c r="JC48" s="1">
        <f>SUMPRODUCT(NOT(ISBLANK(JC$3:JC$42))*(JC$3:JC$42=$KM$3:$KM$42))</f>
        <v>0</v>
      </c>
      <c r="JD48" s="1">
        <f>SUMPRODUCT(NOT(ISBLANK(JD$3:JD$42))*(JD$3:JD$42=$KN$3:$KN$42))</f>
        <v>0</v>
      </c>
      <c r="JE48" s="1">
        <f>SUMPRODUCT(NOT(ISBLANK(JE$3:JE$42))*(JE$3:JE$42=$KO$3:$KO$42))</f>
        <v>0</v>
      </c>
      <c r="JF48" s="1">
        <f>SUMPRODUCT(NOT(ISBLANK(JF$3:JF$42))*(JF$3:JF$42=$KP$3:$KP$42))</f>
        <v>0</v>
      </c>
      <c r="JG48" s="1">
        <f>SUMPRODUCT(NOT(ISBLANK(JG$3:JG$42))*(JG$3:JG$42=$KQ$3:$KQ$42))</f>
        <v>0</v>
      </c>
      <c r="JH48" s="1"/>
      <c r="JI48" s="1">
        <f>SUMPRODUCT(NOT(ISBLANK(JI$3:JI$42))*(JI$3:JI$42=$KR$3:$KR$42))</f>
        <v>0</v>
      </c>
      <c r="JJ48" s="1">
        <f>SUMPRODUCT(NOT(ISBLANK(JJ$3:JJ$42))*(JJ$3:JJ$42=$KS$3:$KS$42))</f>
        <v>0</v>
      </c>
      <c r="JK48" s="1">
        <f>SUMPRODUCT(NOT(ISBLANK(JK$3:JK$42))*(JK$3:JK$42=$KT$3:$KT$42))</f>
        <v>0</v>
      </c>
      <c r="JL48" s="1">
        <f>SUMPRODUCT(NOT(ISBLANK(JL$3:JL$42))*(JL$3:JL$42=$KD$3:$KD$42))</f>
        <v>0</v>
      </c>
      <c r="JM48" s="1">
        <f>SUMPRODUCT(NOT(ISBLANK(JM$3:JM$42))*(JM$3:JM$42=$KE$3:$KE$42))</f>
        <v>0</v>
      </c>
      <c r="JN48" s="1">
        <f>SUMPRODUCT(NOT(ISBLANK(JN$3:JN$42))*(JN$3:JN$42=$KF$3:$KF$42))</f>
        <v>0</v>
      </c>
      <c r="JO48" s="1">
        <f>SUMPRODUCT(NOT(ISBLANK(JO$3:JO$42))*(JO$3:JO$42=$KG$3:$KG$42))</f>
        <v>0</v>
      </c>
      <c r="JP48" s="1">
        <f>SUMPRODUCT(NOT(ISBLANK(JP$3:JP$42))*(JP$3:JP$42=$KH$3:$KH$42))</f>
        <v>0</v>
      </c>
      <c r="JQ48" s="1">
        <f>SUMPRODUCT(NOT(ISBLANK(JQ$3:JQ$42))*(JQ$3:JQ$42=$KI$3:$KI$42))</f>
        <v>0</v>
      </c>
      <c r="JR48" s="1">
        <f>SUMPRODUCT(NOT(ISBLANK(JR$3:JR$42))*(JR$3:JR$42=$KJ$3:$KJ$42))</f>
        <v>0</v>
      </c>
      <c r="JS48" s="1">
        <f>SUMPRODUCT(NOT(ISBLANK(JS$3:JS$42))*(JS$3:JS$42=$KK$3:$KK$42))</f>
        <v>0</v>
      </c>
      <c r="JT48" s="1">
        <f>SUMPRODUCT(NOT(ISBLANK(JT$3:JT$42))*(JT$3:JT$42=$KL$3:$KL$42))</f>
        <v>0</v>
      </c>
      <c r="JU48" s="1">
        <f>SUMPRODUCT(NOT(ISBLANK(JU$3:JU$42))*(JU$3:JU$42=$KM$3:$KM$42))</f>
        <v>0</v>
      </c>
      <c r="JV48" s="1">
        <f>SUMPRODUCT(NOT(ISBLANK(JV$3:JV$42))*(JV$3:JV$42=$KN$3:$KN$42))</f>
        <v>0</v>
      </c>
      <c r="JW48" s="1">
        <f>SUMPRODUCT(NOT(ISBLANK(JW$3:JW$42))*(JW$3:JW$42=$KO$3:$KO$42))</f>
        <v>0</v>
      </c>
      <c r="JX48" s="1">
        <f>SUMPRODUCT(NOT(ISBLANK(JX$3:JX$42))*(JX$3:JX$42=$KP$3:$KP$42))</f>
        <v>0</v>
      </c>
      <c r="JY48" s="1">
        <f>SUMPRODUCT(NOT(ISBLANK(JY$3:JY$42))*(JY$3:JY$42=$KQ$3:$KQ$42))</f>
        <v>0</v>
      </c>
      <c r="JZ48" s="1"/>
      <c r="KA48" s="1">
        <f>SUMPRODUCT(NOT(ISBLANK(KA$3:KA$42))*(KA$3:KA$42=$KR$3:$KR$42))</f>
        <v>0</v>
      </c>
      <c r="KB48" s="1">
        <f>SUMPRODUCT(NOT(ISBLANK(KB$3:KB$42))*(KB$3:KB$42=$KS$3:$KS$42))</f>
        <v>0</v>
      </c>
      <c r="KC48" s="1">
        <f>SUMPRODUCT(NOT(ISBLANK(KC$3:KC$42))*(KC$3:KC$42=$KT$3:$KT$42))</f>
        <v>0</v>
      </c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</row>
    <row r="49" spans="1:340">
      <c r="A49" s="1" t="s">
        <v>45</v>
      </c>
      <c r="B49" s="1">
        <f>SUMPRODUCT(NOT(ISBLANK(B$3:B$42))*(B$3:B$42&lt;$KU$3:$KU$42))</f>
        <v>0</v>
      </c>
      <c r="C49" s="1">
        <f>SUMPRODUCT(NOT(ISBLANK(C$3:C$42))*(C$3:C$42&lt;$KV$3:$KV$42))</f>
        <v>0</v>
      </c>
      <c r="D49" s="1">
        <f>SUMPRODUCT(NOT(ISBLANK(D$3:D$42))*(D$3:D$42&lt;$KW$3:$KW$42))</f>
        <v>0</v>
      </c>
      <c r="E49" s="1">
        <f>SUMPRODUCT(NOT(ISBLANK(E$3:E$42))*(E$3:E$42&lt;$KX$3:$KX$42))</f>
        <v>0</v>
      </c>
      <c r="F49" s="1">
        <f>SUMPRODUCT(NOT(ISBLANK(F$3:F$42))*(F$3:F$42&lt;$KY$3:$KY$42))</f>
        <v>0</v>
      </c>
      <c r="G49" s="1">
        <f>SUMPRODUCT(NOT(ISBLANK(G$3:G$42))*(G$3:G$42&lt;$KZ$3:$KZ$42))</f>
        <v>0</v>
      </c>
      <c r="H49" s="1">
        <f>SUMPRODUCT(NOT(ISBLANK(H$3:H$42))*(H$3:H$42&lt;$LA$3:$LA$42))</f>
        <v>0</v>
      </c>
      <c r="I49" s="1">
        <f>SUMPRODUCT(NOT(ISBLANK(I$3:I$42))*(I$3:I$42&lt;$LB$3:$LB$42))</f>
        <v>0</v>
      </c>
      <c r="J49" s="1">
        <f>SUMPRODUCT(NOT(ISBLANK(J$3:J$42))*(J$3:J$42&lt;$LC$3:$LC$42))</f>
        <v>0</v>
      </c>
      <c r="K49" s="1">
        <f>SUMPRODUCT(NOT(ISBLANK(K$3:K$42))*(K$3:K$42&lt;$LD$3:$LD$42))</f>
        <v>0</v>
      </c>
      <c r="L49" s="1">
        <f>SUMPRODUCT(NOT(ISBLANK(L$3:L$42))*(L$3:L$42&lt;$LE$3:$LE$42))</f>
        <v>0</v>
      </c>
      <c r="M49" s="1">
        <f>SUMPRODUCT(NOT(ISBLANK(M$3:M$42))*(M$3:M$42&lt;$LF$3:$LF$42))</f>
        <v>0</v>
      </c>
      <c r="N49" s="1">
        <f>SUMPRODUCT(NOT(ISBLANK(N$3:N$42))*(N$3:N$42&lt;$LG$3:$LG$42))</f>
        <v>0</v>
      </c>
      <c r="O49" s="1">
        <f>SUMPRODUCT(NOT(ISBLANK(O$3:O$42))*(O$3:O$42&lt;$LH$3:$LH$42))</f>
        <v>0</v>
      </c>
      <c r="P49" s="1"/>
      <c r="Q49" s="1">
        <f>SUMPRODUCT(NOT(ISBLANK(Q$3:Q$42))*(Q$3:Q$42&lt;$LI$3:$LI$42))</f>
        <v>0</v>
      </c>
      <c r="R49" s="1">
        <f>SUMPRODUCT(NOT(ISBLANK(R$3:R$42))*(R$3:R$42&lt;$LJ$3:$LJ$42))</f>
        <v>0</v>
      </c>
      <c r="S49" s="1">
        <f>SUMPRODUCT(NOT(ISBLANK(S$3:S$42))*(S$3:S$42&lt;$LK$3:$LK$42))</f>
        <v>0</v>
      </c>
      <c r="T49" s="1">
        <f>SUMPRODUCT(NOT(ISBLANK(T$3:T$42))*(T$3:T$42&lt;$KU$3:$KU$42))</f>
        <v>0</v>
      </c>
      <c r="U49" s="1">
        <f>SUMPRODUCT(NOT(ISBLANK(U$3:U$42))*(U$3:U$42&lt;$KV$3:$KV$42))</f>
        <v>0</v>
      </c>
      <c r="V49" s="1">
        <f>SUMPRODUCT(NOT(ISBLANK(V$3:V$42))*(V$3:V$42&lt;$KW$3:$KW$42))</f>
        <v>0</v>
      </c>
      <c r="W49" s="1">
        <f>SUMPRODUCT(NOT(ISBLANK(W$3:W$42))*(W$3:W$42&lt;$KX$3:$KX$42))</f>
        <v>0</v>
      </c>
      <c r="X49" s="1">
        <f>SUMPRODUCT(NOT(ISBLANK(X$3:X$42))*(X$3:X$42&lt;$KY$3:$KY$42))</f>
        <v>0</v>
      </c>
      <c r="Y49" s="1">
        <f>SUMPRODUCT(NOT(ISBLANK(Y$3:Y$42))*(Y$3:Y$42&lt;$KZ$3:$KZ$42))</f>
        <v>0</v>
      </c>
      <c r="Z49" s="1">
        <f>SUMPRODUCT(NOT(ISBLANK(Z$3:Z$42))*(Z$3:Z$42&lt;$LA$3:$LA$42))</f>
        <v>0</v>
      </c>
      <c r="AA49" s="1">
        <f>SUMPRODUCT(NOT(ISBLANK(AA$3:AA$42))*(AA$3:AA$42&lt;$LB$3:$LB$42))</f>
        <v>0</v>
      </c>
      <c r="AB49" s="1">
        <f>SUMPRODUCT(NOT(ISBLANK(AB$3:AB$42))*(AB$3:AB$42&lt;$LC$3:$LC$42))</f>
        <v>0</v>
      </c>
      <c r="AC49" s="1">
        <f>SUMPRODUCT(NOT(ISBLANK(AC$3:AC$42))*(AC$3:AC$42&lt;$LD$3:$LD$42))</f>
        <v>0</v>
      </c>
      <c r="AD49" s="1">
        <f>SUMPRODUCT(NOT(ISBLANK(AD$3:AD$42))*(AD$3:AD$42&lt;$LE$3:$LE$42))</f>
        <v>0</v>
      </c>
      <c r="AE49" s="1">
        <f>SUMPRODUCT(NOT(ISBLANK(AE$3:AE$42))*(AE$3:AE$42&lt;$LF$3:$LF$42))</f>
        <v>0</v>
      </c>
      <c r="AF49" s="1">
        <f>SUMPRODUCT(NOT(ISBLANK(AF$3:AF$42))*(AF$3:AF$42&lt;$LG$3:$LG$42))</f>
        <v>0</v>
      </c>
      <c r="AG49" s="1">
        <f>SUMPRODUCT(NOT(ISBLANK(AG$3:AG$42))*(AG$3:AG$42&lt;$LH$3:$LH$42))</f>
        <v>0</v>
      </c>
      <c r="AH49" s="1"/>
      <c r="AI49" s="1">
        <f>SUMPRODUCT(NOT(ISBLANK(AI$3:AI$42))*(AI$3:AI$42&lt;$LI$3:$LI$42))</f>
        <v>0</v>
      </c>
      <c r="AJ49" s="1">
        <f>SUMPRODUCT(NOT(ISBLANK(AJ$3:AJ$42))*(AJ$3:AJ$42&lt;$LJ$3:$LJ$42))</f>
        <v>0</v>
      </c>
      <c r="AK49" s="1">
        <f>SUMPRODUCT(NOT(ISBLANK(AK$3:AK$42))*(AK$3:AK$42&lt;$LK$3:$LK$42))</f>
        <v>0</v>
      </c>
      <c r="AL49" s="1">
        <f>SUMPRODUCT(NOT(ISBLANK(AL$3:AL$42))*(AL$3:AL$42&lt;$KU$3:$KU$42))</f>
        <v>0</v>
      </c>
      <c r="AM49" s="1">
        <f>SUMPRODUCT(NOT(ISBLANK(AM$3:AM$42))*(AM$3:AM$42&lt;$KV$3:$KV$42))</f>
        <v>0</v>
      </c>
      <c r="AN49" s="1">
        <f>SUMPRODUCT(NOT(ISBLANK(AN$3:AN$42))*(AN$3:AN$42&lt;$KW$3:$KW$42))</f>
        <v>0</v>
      </c>
      <c r="AO49" s="1">
        <f>SUMPRODUCT(NOT(ISBLANK(AO$3:AO$42))*(AO$3:AO$42&lt;$KX$3:$KX$42))</f>
        <v>0</v>
      </c>
      <c r="AP49" s="1">
        <f>SUMPRODUCT(NOT(ISBLANK(AP$3:AP$42))*(AP$3:AP$42&lt;$KY$3:$KY$42))</f>
        <v>0</v>
      </c>
      <c r="AQ49" s="1">
        <f>SUMPRODUCT(NOT(ISBLANK(AQ$3:AQ$42))*(AQ$3:AQ$42&lt;$KZ$3:$KZ$42))</f>
        <v>0</v>
      </c>
      <c r="AR49" s="1">
        <f>SUMPRODUCT(NOT(ISBLANK(AR$3:AR$42))*(AR$3:AR$42&lt;$LA$3:$LA$42))</f>
        <v>0</v>
      </c>
      <c r="AS49" s="1">
        <f>SUMPRODUCT(NOT(ISBLANK(AS$3:AS$42))*(AS$3:AS$42&lt;$LB$3:$LB$42))</f>
        <v>0</v>
      </c>
      <c r="AT49" s="1">
        <f>SUMPRODUCT(NOT(ISBLANK(AT$3:AT$42))*(AT$3:AT$42&lt;$LC$3:$LC$42))</f>
        <v>0</v>
      </c>
      <c r="AU49" s="1">
        <f>SUMPRODUCT(NOT(ISBLANK(AU$3:AU$42))*(AU$3:AU$42&lt;$LD$3:$LD$42))</f>
        <v>0</v>
      </c>
      <c r="AV49" s="1">
        <f>SUMPRODUCT(NOT(ISBLANK(AV$3:AV$42))*(AV$3:AV$42&lt;$LE$3:$LE$42))</f>
        <v>0</v>
      </c>
      <c r="AW49" s="1">
        <f>SUMPRODUCT(NOT(ISBLANK(AW$3:AW$42))*(AW$3:AW$42&lt;$LF$3:$LF$42))</f>
        <v>0</v>
      </c>
      <c r="AX49" s="1">
        <f>SUMPRODUCT(NOT(ISBLANK(AX$3:AX$42))*(AX$3:AX$42&lt;$LG$3:$LG$42))</f>
        <v>0</v>
      </c>
      <c r="AY49" s="1">
        <f>SUMPRODUCT(NOT(ISBLANK(AY$3:AY$42))*(AY$3:AY$42&lt;$LH$3:$LH$42))</f>
        <v>0</v>
      </c>
      <c r="AZ49" s="1"/>
      <c r="BA49" s="1">
        <f>SUMPRODUCT(NOT(ISBLANK(BA$3:BA$42))*(BA$3:BA$42&lt;$LI$3:$LI$42))</f>
        <v>0</v>
      </c>
      <c r="BB49" s="1">
        <f>SUMPRODUCT(NOT(ISBLANK(BB$3:BB$42))*(BB$3:BB$42&lt;$LJ$3:$LJ$42))</f>
        <v>0</v>
      </c>
      <c r="BC49" s="1">
        <f>SUMPRODUCT(NOT(ISBLANK(BC$3:BC$42))*(BC$3:BC$42&lt;$LK$3:$LK$42))</f>
        <v>0</v>
      </c>
      <c r="BD49" s="1">
        <f>SUMPRODUCT(NOT(ISBLANK(BD$3:BD$42))*(BD$3:BD$42&lt;$KU$3:$KU$42))</f>
        <v>0</v>
      </c>
      <c r="BE49" s="1">
        <f>SUMPRODUCT(NOT(ISBLANK(BE$3:BE$42))*(BE$3:BE$42&lt;$KV$3:$KV$42))</f>
        <v>0</v>
      </c>
      <c r="BF49" s="1">
        <f>SUMPRODUCT(NOT(ISBLANK(BF$3:BF$42))*(BF$3:BF$42&lt;$KW$3:$KW$42))</f>
        <v>0</v>
      </c>
      <c r="BG49" s="1">
        <f>SUMPRODUCT(NOT(ISBLANK(BG$3:BG$42))*(BG$3:BG$42&lt;$KX$3:$KX$42))</f>
        <v>0</v>
      </c>
      <c r="BH49" s="1">
        <f>SUMPRODUCT(NOT(ISBLANK(BH$3:BH$42))*(BH$3:BH$42&lt;$KY$3:$KY$42))</f>
        <v>0</v>
      </c>
      <c r="BI49" s="1">
        <f>SUMPRODUCT(NOT(ISBLANK(BI$3:BI$42))*(BI$3:BI$42&lt;$KZ$3:$KZ$42))</f>
        <v>0</v>
      </c>
      <c r="BJ49" s="1">
        <f>SUMPRODUCT(NOT(ISBLANK(BJ$3:BJ$42))*(BJ$3:BJ$42&lt;$LA$3:$LA$42))</f>
        <v>0</v>
      </c>
      <c r="BK49" s="1">
        <f>SUMPRODUCT(NOT(ISBLANK(BK$3:BK$42))*(BK$3:BK$42&lt;$LB$3:$LB$42))</f>
        <v>0</v>
      </c>
      <c r="BL49" s="1">
        <f>SUMPRODUCT(NOT(ISBLANK(BL$3:BL$42))*(BL$3:BL$42&lt;$LC$3:$LC$42))</f>
        <v>0</v>
      </c>
      <c r="BM49" s="1">
        <f>SUMPRODUCT(NOT(ISBLANK(BM$3:BM$42))*(BM$3:BM$42&lt;$LD$3:$LD$42))</f>
        <v>0</v>
      </c>
      <c r="BN49" s="1">
        <f>SUMPRODUCT(NOT(ISBLANK(BN$3:BN$42))*(BN$3:BN$42&lt;$LE$3:$LE$42))</f>
        <v>0</v>
      </c>
      <c r="BO49" s="1">
        <f>SUMPRODUCT(NOT(ISBLANK(BO$3:BO$42))*(BO$3:BO$42&lt;$LF$3:$LF$42))</f>
        <v>0</v>
      </c>
      <c r="BP49" s="1">
        <f>SUMPRODUCT(NOT(ISBLANK(BP$3:BP$42))*(BP$3:BP$42&lt;$LG$3:$LG$42))</f>
        <v>0</v>
      </c>
      <c r="BQ49" s="1">
        <f>SUMPRODUCT(NOT(ISBLANK(BQ$3:BQ$42))*(BQ$3:BQ$42&lt;$LH$3:$LH$42))</f>
        <v>0</v>
      </c>
      <c r="BR49" s="1"/>
      <c r="BS49" s="1">
        <f>SUMPRODUCT(NOT(ISBLANK(BS$3:BS$42))*(BS$3:BS$42&lt;$LI$3:$LI$42))</f>
        <v>0</v>
      </c>
      <c r="BT49" s="1">
        <f>SUMPRODUCT(NOT(ISBLANK(BT$3:BT$42))*(BT$3:BT$42&lt;$LJ$3:$LJ$42))</f>
        <v>0</v>
      </c>
      <c r="BU49" s="1">
        <f>SUMPRODUCT(NOT(ISBLANK(BU$3:BU$42))*(BU$3:BU$42&lt;$LK$3:$LK$42))</f>
        <v>0</v>
      </c>
      <c r="BV49" s="1">
        <f>SUMPRODUCT(NOT(ISBLANK(BV$3:BV$42))*(BV$3:BV$42&lt;$KU$3:$KU$42))</f>
        <v>0</v>
      </c>
      <c r="BW49" s="1">
        <f>SUMPRODUCT(NOT(ISBLANK(BW$3:BW$42))*(BW$3:BW$42&lt;$KV$3:$KV$42))</f>
        <v>0</v>
      </c>
      <c r="BX49" s="1">
        <f>SUMPRODUCT(NOT(ISBLANK(BX$3:BX$42))*(BX$3:BX$42&lt;$KW$3:$KW$42))</f>
        <v>0</v>
      </c>
      <c r="BY49" s="1">
        <f>SUMPRODUCT(NOT(ISBLANK(BY$3:BY$42))*(BY$3:BY$42&lt;$KX$3:$KX$42))</f>
        <v>0</v>
      </c>
      <c r="BZ49" s="1">
        <f>SUMPRODUCT(NOT(ISBLANK(BZ$3:BZ$42))*(BZ$3:BZ$42&lt;$KY$3:$KY$42))</f>
        <v>0</v>
      </c>
      <c r="CA49" s="1">
        <f>SUMPRODUCT(NOT(ISBLANK(CA$3:CA$42))*(CA$3:CA$42&lt;$KZ$3:$KZ$42))</f>
        <v>0</v>
      </c>
      <c r="CB49" s="1">
        <f>SUMPRODUCT(NOT(ISBLANK(CB$3:CB$42))*(CB$3:CB$42&lt;$LA$3:$LA$42))</f>
        <v>0</v>
      </c>
      <c r="CC49" s="1">
        <f>SUMPRODUCT(NOT(ISBLANK(CC$3:CC$42))*(CC$3:CC$42&lt;$LB$3:$LB$42))</f>
        <v>0</v>
      </c>
      <c r="CD49" s="1">
        <f>SUMPRODUCT(NOT(ISBLANK(CD$3:CD$42))*(CD$3:CD$42&lt;$LC$3:$LC$42))</f>
        <v>0</v>
      </c>
      <c r="CE49" s="1">
        <f>SUMPRODUCT(NOT(ISBLANK(CE$3:CE$42))*(CE$3:CE$42&lt;$LD$3:$LD$42))</f>
        <v>0</v>
      </c>
      <c r="CF49" s="1">
        <f>SUMPRODUCT(NOT(ISBLANK(CF$3:CF$42))*(CF$3:CF$42&lt;$LE$3:$LE$42))</f>
        <v>0</v>
      </c>
      <c r="CG49" s="1">
        <f>SUMPRODUCT(NOT(ISBLANK(CG$3:CG$42))*(CG$3:CG$42&lt;$LF$3:$LF$42))</f>
        <v>0</v>
      </c>
      <c r="CH49" s="1">
        <f>SUMPRODUCT(NOT(ISBLANK(CH$3:CH$42))*(CH$3:CH$42&lt;$LG$3:$LG$42))</f>
        <v>0</v>
      </c>
      <c r="CI49" s="1">
        <f>SUMPRODUCT(NOT(ISBLANK(CI$3:CI$42))*(CI$3:CI$42&lt;$LH$3:$LH$42))</f>
        <v>0</v>
      </c>
      <c r="CJ49" s="1"/>
      <c r="CK49" s="1">
        <f>SUMPRODUCT(NOT(ISBLANK(CK$3:CK$42))*(CK$3:CK$42&lt;$LI$3:$LI$42))</f>
        <v>0</v>
      </c>
      <c r="CL49" s="1">
        <f>SUMPRODUCT(NOT(ISBLANK(CL$3:CL$42))*(CL$3:CL$42&lt;$LJ$3:$LJ$42))</f>
        <v>0</v>
      </c>
      <c r="CM49" s="1">
        <f>SUMPRODUCT(NOT(ISBLANK(CM$3:CM$42))*(CM$3:CM$42&lt;$LK$3:$LK$42))</f>
        <v>0</v>
      </c>
      <c r="CN49" s="1">
        <f>SUMPRODUCT(NOT(ISBLANK(CN$3:CN$42))*(CN$3:CN$42&lt;$KU$3:$KU$42))</f>
        <v>0</v>
      </c>
      <c r="CO49" s="1">
        <f>SUMPRODUCT(NOT(ISBLANK(CO$3:CO$42))*(CO$3:CO$42&lt;$KV$3:$KV$42))</f>
        <v>0</v>
      </c>
      <c r="CP49" s="1">
        <f>SUMPRODUCT(NOT(ISBLANK(CP$3:CP$42))*(CP$3:CP$42&lt;$KW$3:$KW$42))</f>
        <v>0</v>
      </c>
      <c r="CQ49" s="1">
        <f>SUMPRODUCT(NOT(ISBLANK(CQ$3:CQ$42))*(CQ$3:CQ$42&lt;$KX$3:$KX$42))</f>
        <v>0</v>
      </c>
      <c r="CR49" s="1">
        <f>SUMPRODUCT(NOT(ISBLANK(CR$3:CR$42))*(CR$3:CR$42&lt;$KY$3:$KY$42))</f>
        <v>0</v>
      </c>
      <c r="CS49" s="1">
        <f>SUMPRODUCT(NOT(ISBLANK(CS$3:CS$42))*(CS$3:CS$42&lt;$KZ$3:$KZ$42))</f>
        <v>0</v>
      </c>
      <c r="CT49" s="1">
        <f>SUMPRODUCT(NOT(ISBLANK(CT$3:CT$42))*(CT$3:CT$42&lt;$LA$3:$LA$42))</f>
        <v>0</v>
      </c>
      <c r="CU49" s="1">
        <f>SUMPRODUCT(NOT(ISBLANK(CU$3:CU$42))*(CU$3:CU$42&lt;$LB$3:$LB$42))</f>
        <v>0</v>
      </c>
      <c r="CV49" s="1">
        <f>SUMPRODUCT(NOT(ISBLANK(CV$3:CV$42))*(CV$3:CV$42&lt;$LC$3:$LC$42))</f>
        <v>0</v>
      </c>
      <c r="CW49" s="1">
        <f>SUMPRODUCT(NOT(ISBLANK(CW$3:CW$42))*(CW$3:CW$42&lt;$LD$3:$LD$42))</f>
        <v>0</v>
      </c>
      <c r="CX49" s="1">
        <f>SUMPRODUCT(NOT(ISBLANK(CX$3:CX$42))*(CX$3:CX$42&lt;$LE$3:$LE$42))</f>
        <v>0</v>
      </c>
      <c r="CY49" s="1">
        <f>SUMPRODUCT(NOT(ISBLANK(CY$3:CY$42))*(CY$3:CY$42&lt;$LF$3:$LF$42))</f>
        <v>0</v>
      </c>
      <c r="CZ49" s="1">
        <f>SUMPRODUCT(NOT(ISBLANK(CZ$3:CZ$42))*(CZ$3:CZ$42&lt;$LG$3:$LG$42))</f>
        <v>0</v>
      </c>
      <c r="DA49" s="1">
        <f>SUMPRODUCT(NOT(ISBLANK(DA$3:DA$42))*(DA$3:DA$42&lt;$LH$3:$LH$42))</f>
        <v>0</v>
      </c>
      <c r="DB49" s="1"/>
      <c r="DC49" s="1">
        <f>SUMPRODUCT(NOT(ISBLANK(DC$3:DC$42))*(DC$3:DC$42&lt;$LI$3:$LI$42))</f>
        <v>0</v>
      </c>
      <c r="DD49" s="1">
        <f>SUMPRODUCT(NOT(ISBLANK(DD$3:DD$42))*(DD$3:DD$42&lt;$LJ$3:$LJ$42))</f>
        <v>0</v>
      </c>
      <c r="DE49" s="1">
        <f>SUMPRODUCT(NOT(ISBLANK(DE$3:DE$42))*(DE$3:DE$42&lt;$LK$3:$LK$42))</f>
        <v>0</v>
      </c>
      <c r="DF49" s="1">
        <f>SUMPRODUCT(NOT(ISBLANK(DF$3:DF$42))*(DF$3:DF$42&lt;$KU$3:$KU$42))</f>
        <v>0</v>
      </c>
      <c r="DG49" s="1">
        <f>SUMPRODUCT(NOT(ISBLANK(DG$3:DG$42))*(DG$3:DG$42&lt;$KV$3:$KV$42))</f>
        <v>0</v>
      </c>
      <c r="DH49" s="1">
        <f>SUMPRODUCT(NOT(ISBLANK(DH$3:DH$42))*(DH$3:DH$42&lt;$KW$3:$KW$42))</f>
        <v>0</v>
      </c>
      <c r="DI49" s="1">
        <f>SUMPRODUCT(NOT(ISBLANK(DI$3:DI$42))*(DI$3:DI$42&lt;$KX$3:$KX$42))</f>
        <v>0</v>
      </c>
      <c r="DJ49" s="1">
        <f>SUMPRODUCT(NOT(ISBLANK(DJ$3:DJ$42))*(DJ$3:DJ$42&lt;$KY$3:$KY$42))</f>
        <v>0</v>
      </c>
      <c r="DK49" s="1">
        <f>SUMPRODUCT(NOT(ISBLANK(DK$3:DK$42))*(DK$3:DK$42&lt;$KZ$3:$KZ$42))</f>
        <v>0</v>
      </c>
      <c r="DL49" s="1">
        <f>SUMPRODUCT(NOT(ISBLANK(DL$3:DL$42))*(DL$3:DL$42&lt;$LA$3:$LA$42))</f>
        <v>0</v>
      </c>
      <c r="DM49" s="1">
        <f>SUMPRODUCT(NOT(ISBLANK(DM$3:DM$42))*(DM$3:DM$42&lt;$LB$3:$LB$42))</f>
        <v>0</v>
      </c>
      <c r="DN49" s="1">
        <f>SUMPRODUCT(NOT(ISBLANK(DN$3:DN$42))*(DN$3:DN$42&lt;$LC$3:$LC$42))</f>
        <v>0</v>
      </c>
      <c r="DO49" s="1">
        <f>SUMPRODUCT(NOT(ISBLANK(DO$3:DO$42))*(DO$3:DO$42&lt;$LD$3:$LD$42))</f>
        <v>0</v>
      </c>
      <c r="DP49" s="1">
        <f>SUMPRODUCT(NOT(ISBLANK(DP$3:DP$42))*(DP$3:DP$42&lt;$LE$3:$LE$42))</f>
        <v>0</v>
      </c>
      <c r="DQ49" s="1">
        <f>SUMPRODUCT(NOT(ISBLANK(DQ$3:DQ$42))*(DQ$3:DQ$42&lt;$LF$3:$LF$42))</f>
        <v>0</v>
      </c>
      <c r="DR49" s="1">
        <f>SUMPRODUCT(NOT(ISBLANK(DR$3:DR$42))*(DR$3:DR$42&lt;$LG$3:$LG$42))</f>
        <v>0</v>
      </c>
      <c r="DS49" s="1">
        <f>SUMPRODUCT(NOT(ISBLANK(DS$3:DS$42))*(DS$3:DS$42&lt;$LH$3:$LH$42))</f>
        <v>0</v>
      </c>
      <c r="DT49" s="1"/>
      <c r="DU49" s="1">
        <f>SUMPRODUCT(NOT(ISBLANK(DU$3:DU$42))*(DU$3:DU$42&lt;$LI$3:$LI$42))</f>
        <v>0</v>
      </c>
      <c r="DV49" s="1">
        <f>SUMPRODUCT(NOT(ISBLANK(DV$3:DV$42))*(DV$3:DV$42&lt;$LJ$3:$LJ$42))</f>
        <v>0</v>
      </c>
      <c r="DW49" s="1">
        <f>SUMPRODUCT(NOT(ISBLANK(DW$3:DW$42))*(DW$3:DW$42&lt;$LK$3:$LK$42))</f>
        <v>0</v>
      </c>
      <c r="DX49" s="1">
        <f>SUMPRODUCT(NOT(ISBLANK(DX$3:DX$42))*(DX$3:DX$42&lt;$KU$3:$KU$42))</f>
        <v>0</v>
      </c>
      <c r="DY49" s="1">
        <f>SUMPRODUCT(NOT(ISBLANK(DY$3:DY$42))*(DY$3:DY$42&lt;$KV$3:$KV$42))</f>
        <v>0</v>
      </c>
      <c r="DZ49" s="1">
        <f>SUMPRODUCT(NOT(ISBLANK(DZ$3:DZ$42))*(DZ$3:DZ$42&lt;$KW$3:$KW$42))</f>
        <v>0</v>
      </c>
      <c r="EA49" s="1">
        <f>SUMPRODUCT(NOT(ISBLANK(EA$3:EA$42))*(EA$3:EA$42&lt;$KX$3:$KX$42))</f>
        <v>0</v>
      </c>
      <c r="EB49" s="1">
        <f>SUMPRODUCT(NOT(ISBLANK(EB$3:EB$42))*(EB$3:EB$42&lt;$KY$3:$KY$42))</f>
        <v>0</v>
      </c>
      <c r="EC49" s="1">
        <f>SUMPRODUCT(NOT(ISBLANK(EC$3:EC$42))*(EC$3:EC$42&lt;$KZ$3:$KZ$42))</f>
        <v>0</v>
      </c>
      <c r="ED49" s="1">
        <f>SUMPRODUCT(NOT(ISBLANK(ED$3:ED$42))*(ED$3:ED$42&lt;$LA$3:$LA$42))</f>
        <v>0</v>
      </c>
      <c r="EE49" s="1">
        <f>SUMPRODUCT(NOT(ISBLANK(EE$3:EE$42))*(EE$3:EE$42&lt;$LB$3:$LB$42))</f>
        <v>0</v>
      </c>
      <c r="EF49" s="1">
        <f>SUMPRODUCT(NOT(ISBLANK(EF$3:EF$42))*(EF$3:EF$42&lt;$LC$3:$LC$42))</f>
        <v>0</v>
      </c>
      <c r="EG49" s="1">
        <f>SUMPRODUCT(NOT(ISBLANK(EG$3:EG$42))*(EG$3:EG$42&lt;$LD$3:$LD$42))</f>
        <v>0</v>
      </c>
      <c r="EH49" s="1">
        <f>SUMPRODUCT(NOT(ISBLANK(EH$3:EH$42))*(EH$3:EH$42&lt;$LE$3:$LE$42))</f>
        <v>0</v>
      </c>
      <c r="EI49" s="1">
        <f>SUMPRODUCT(NOT(ISBLANK(EI$3:EI$42))*(EI$3:EI$42&lt;$LF$3:$LF$42))</f>
        <v>0</v>
      </c>
      <c r="EJ49" s="1">
        <f>SUMPRODUCT(NOT(ISBLANK(EJ$3:EJ$42))*(EJ$3:EJ$42&lt;$LG$3:$LG$42))</f>
        <v>0</v>
      </c>
      <c r="EK49" s="1">
        <f>SUMPRODUCT(NOT(ISBLANK(EK$3:EK$42))*(EK$3:EK$42&lt;$LH$3:$LH$42))</f>
        <v>0</v>
      </c>
      <c r="EL49" s="1"/>
      <c r="EM49" s="1">
        <f>SUMPRODUCT(NOT(ISBLANK(EM$3:EM$42))*(EM$3:EM$42&lt;$LI$3:$LI$42))</f>
        <v>0</v>
      </c>
      <c r="EN49" s="1">
        <f>SUMPRODUCT(NOT(ISBLANK(EN$3:EN$42))*(EN$3:EN$42&lt;$LJ$3:$LJ$42))</f>
        <v>0</v>
      </c>
      <c r="EO49" s="1">
        <f>SUMPRODUCT(NOT(ISBLANK(EO$3:EO$42))*(EO$3:EO$42&lt;$LK$3:$LK$42))</f>
        <v>0</v>
      </c>
      <c r="EP49" s="1">
        <f>SUMPRODUCT(NOT(ISBLANK(EP$3:EP$42))*(EP$3:EP$42&lt;$KU$3:$KU$42))</f>
        <v>0</v>
      </c>
      <c r="EQ49" s="1">
        <f>SUMPRODUCT(NOT(ISBLANK(EQ$3:EQ$42))*(EQ$3:EQ$42&lt;$KV$3:$KV$42))</f>
        <v>0</v>
      </c>
      <c r="ER49" s="1">
        <f>SUMPRODUCT(NOT(ISBLANK(ER$3:ER$42))*(ER$3:ER$42&lt;$KW$3:$KW$42))</f>
        <v>0</v>
      </c>
      <c r="ES49" s="1">
        <f>SUMPRODUCT(NOT(ISBLANK(ES$3:ES$42))*(ES$3:ES$42&lt;$KX$3:$KX$42))</f>
        <v>0</v>
      </c>
      <c r="ET49" s="1">
        <f>SUMPRODUCT(NOT(ISBLANK(ET$3:ET$42))*(ET$3:ET$42&lt;$KY$3:$KY$42))</f>
        <v>0</v>
      </c>
      <c r="EU49" s="1">
        <f>SUMPRODUCT(NOT(ISBLANK(EU$3:EU$42))*(EU$3:EU$42&lt;$KZ$3:$KZ$42))</f>
        <v>0</v>
      </c>
      <c r="EV49" s="1">
        <f>SUMPRODUCT(NOT(ISBLANK(EV$3:EV$42))*(EV$3:EV$42&lt;$LA$3:$LA$42))</f>
        <v>0</v>
      </c>
      <c r="EW49" s="1">
        <f>SUMPRODUCT(NOT(ISBLANK(EW$3:EW$42))*(EW$3:EW$42&lt;$LB$3:$LB$42))</f>
        <v>0</v>
      </c>
      <c r="EX49" s="1">
        <f>SUMPRODUCT(NOT(ISBLANK(EX$3:EX$42))*(EX$3:EX$42&lt;$LC$3:$LC$42))</f>
        <v>0</v>
      </c>
      <c r="EY49" s="1">
        <f>SUMPRODUCT(NOT(ISBLANK(EY$3:EY$42))*(EY$3:EY$42&lt;$LD$3:$LD$42))</f>
        <v>0</v>
      </c>
      <c r="EZ49" s="1">
        <f>SUMPRODUCT(NOT(ISBLANK(EZ$3:EZ$42))*(EZ$3:EZ$42&lt;$LE$3:$LE$42))</f>
        <v>0</v>
      </c>
      <c r="FA49" s="1">
        <f>SUMPRODUCT(NOT(ISBLANK(FA$3:FA$42))*(FA$3:FA$42&lt;$LF$3:$LF$42))</f>
        <v>0</v>
      </c>
      <c r="FB49" s="1">
        <f>SUMPRODUCT(NOT(ISBLANK(FB$3:FB$42))*(FB$3:FB$42&lt;$LG$3:$LG$42))</f>
        <v>0</v>
      </c>
      <c r="FC49" s="1">
        <f>SUMPRODUCT(NOT(ISBLANK(FC$3:FC$42))*(FC$3:FC$42&lt;$LH$3:$LH$42))</f>
        <v>0</v>
      </c>
      <c r="FD49" s="1"/>
      <c r="FE49" s="1">
        <f>SUMPRODUCT(NOT(ISBLANK(FE$3:FE$42))*(FE$3:FE$42&lt;$LI$3:$LI$42))</f>
        <v>0</v>
      </c>
      <c r="FF49" s="1">
        <f>SUMPRODUCT(NOT(ISBLANK(FF$3:FF$42))*(FF$3:FF$42&lt;$LJ$3:$LJ$42))</f>
        <v>0</v>
      </c>
      <c r="FG49" s="1">
        <f>SUMPRODUCT(NOT(ISBLANK(FG$3:FG$42))*(FG$3:FG$42&lt;$LK$3:$LK$42))</f>
        <v>0</v>
      </c>
      <c r="FH49" s="1">
        <f>SUMPRODUCT(NOT(ISBLANK(FH$3:FH$42))*(FH$3:FH$42&lt;$KU$3:$KU$42))</f>
        <v>0</v>
      </c>
      <c r="FI49" s="1">
        <f>SUMPRODUCT(NOT(ISBLANK(FI$3:FI$42))*(FI$3:FI$42&lt;$KV$3:$KV$42))</f>
        <v>0</v>
      </c>
      <c r="FJ49" s="1">
        <f>SUMPRODUCT(NOT(ISBLANK(FJ$3:FJ$42))*(FJ$3:FJ$42&lt;$KW$3:$KW$42))</f>
        <v>0</v>
      </c>
      <c r="FK49" s="1">
        <f>SUMPRODUCT(NOT(ISBLANK(FK$3:FK$42))*(FK$3:FK$42&lt;$KX$3:$KX$42))</f>
        <v>0</v>
      </c>
      <c r="FL49" s="1">
        <f>SUMPRODUCT(NOT(ISBLANK(FL$3:FL$42))*(FL$3:FL$42&lt;$KY$3:$KY$42))</f>
        <v>0</v>
      </c>
      <c r="FM49" s="1">
        <f>SUMPRODUCT(NOT(ISBLANK(FM$3:FM$42))*(FM$3:FM$42&lt;$KZ$3:$KZ$42))</f>
        <v>0</v>
      </c>
      <c r="FN49" s="1">
        <f>SUMPRODUCT(NOT(ISBLANK(FN$3:FN$42))*(FN$3:FN$42&lt;$LA$3:$LA$42))</f>
        <v>0</v>
      </c>
      <c r="FO49" s="1">
        <f>SUMPRODUCT(NOT(ISBLANK(FO$3:FO$42))*(FO$3:FO$42&lt;$LB$3:$LB$42))</f>
        <v>0</v>
      </c>
      <c r="FP49" s="1">
        <f>SUMPRODUCT(NOT(ISBLANK(FP$3:FP$42))*(FP$3:FP$42&lt;$LC$3:$LC$42))</f>
        <v>0</v>
      </c>
      <c r="FQ49" s="1">
        <f>SUMPRODUCT(NOT(ISBLANK(FQ$3:FQ$42))*(FQ$3:FQ$42&lt;$LD$3:$LD$42))</f>
        <v>0</v>
      </c>
      <c r="FR49" s="1">
        <f>SUMPRODUCT(NOT(ISBLANK(FR$3:FR$42))*(FR$3:FR$42&lt;$LE$3:$LE$42))</f>
        <v>0</v>
      </c>
      <c r="FS49" s="1">
        <f>SUMPRODUCT(NOT(ISBLANK(FS$3:FS$42))*(FS$3:FS$42&lt;$LF$3:$LF$42))</f>
        <v>0</v>
      </c>
      <c r="FT49" s="1">
        <f>SUMPRODUCT(NOT(ISBLANK(FT$3:FT$42))*(FT$3:FT$42&lt;$LG$3:$LG$42))</f>
        <v>0</v>
      </c>
      <c r="FU49" s="1">
        <f>SUMPRODUCT(NOT(ISBLANK(FU$3:FU$42))*(FU$3:FU$42&lt;$LH$3:$LH$42))</f>
        <v>0</v>
      </c>
      <c r="FV49" s="1"/>
      <c r="FW49" s="1">
        <f>SUMPRODUCT(NOT(ISBLANK(FW$3:FW$42))*(FW$3:FW$42&lt;$LI$3:$LI$42))</f>
        <v>0</v>
      </c>
      <c r="FX49" s="1">
        <f>SUMPRODUCT(NOT(ISBLANK(FX$3:FX$42))*(FX$3:FX$42&lt;$LJ$3:$LJ$42))</f>
        <v>0</v>
      </c>
      <c r="FY49" s="1">
        <f>SUMPRODUCT(NOT(ISBLANK(FY$3:FY$42))*(FY$3:FY$42&lt;$LK$3:$LK$42))</f>
        <v>0</v>
      </c>
      <c r="FZ49" s="1">
        <f>SUMPRODUCT(NOT(ISBLANK(FZ$3:FZ$42))*(FZ$3:FZ$42&lt;$KU$3:$KU$42))</f>
        <v>0</v>
      </c>
      <c r="GA49" s="1">
        <f>SUMPRODUCT(NOT(ISBLANK(GA$3:GA$42))*(GA$3:GA$42&lt;$KV$3:$KV$42))</f>
        <v>0</v>
      </c>
      <c r="GB49" s="1">
        <f>SUMPRODUCT(NOT(ISBLANK(GB$3:GB$42))*(GB$3:GB$42&lt;$KW$3:$KW$42))</f>
        <v>0</v>
      </c>
      <c r="GC49" s="1">
        <f>SUMPRODUCT(NOT(ISBLANK(GC$3:GC$42))*(GC$3:GC$42&lt;$KX$3:$KX$42))</f>
        <v>0</v>
      </c>
      <c r="GD49" s="1">
        <f>SUMPRODUCT(NOT(ISBLANK(GD$3:GD$42))*(GD$3:GD$42&lt;$KY$3:$KY$42))</f>
        <v>0</v>
      </c>
      <c r="GE49" s="1">
        <f>SUMPRODUCT(NOT(ISBLANK(GE$3:GE$42))*(GE$3:GE$42&lt;$KZ$3:$KZ$42))</f>
        <v>0</v>
      </c>
      <c r="GF49" s="1">
        <f>SUMPRODUCT(NOT(ISBLANK(GF$3:GF$42))*(GF$3:GF$42&lt;$LA$3:$LA$42))</f>
        <v>0</v>
      </c>
      <c r="GG49" s="1">
        <f>SUMPRODUCT(NOT(ISBLANK(GG$3:GG$42))*(GG$3:GG$42&lt;$LB$3:$LB$42))</f>
        <v>0</v>
      </c>
      <c r="GH49" s="1">
        <f>SUMPRODUCT(NOT(ISBLANK(GH$3:GH$42))*(GH$3:GH$42&lt;$LC$3:$LC$42))</f>
        <v>0</v>
      </c>
      <c r="GI49" s="1">
        <f>SUMPRODUCT(NOT(ISBLANK(GI$3:GI$42))*(GI$3:GI$42&lt;$LD$3:$LD$42))</f>
        <v>0</v>
      </c>
      <c r="GJ49" s="1">
        <f>SUMPRODUCT(NOT(ISBLANK(GJ$3:GJ$42))*(GJ$3:GJ$42&lt;$LE$3:$LE$42))</f>
        <v>0</v>
      </c>
      <c r="GK49" s="1">
        <f>SUMPRODUCT(NOT(ISBLANK(GK$3:GK$42))*(GK$3:GK$42&lt;$LF$3:$LF$42))</f>
        <v>0</v>
      </c>
      <c r="GL49" s="1">
        <f>SUMPRODUCT(NOT(ISBLANK(GL$3:GL$42))*(GL$3:GL$42&lt;$LG$3:$LG$42))</f>
        <v>0</v>
      </c>
      <c r="GM49" s="1">
        <f>SUMPRODUCT(NOT(ISBLANK(GM$3:GM$42))*(GM$3:GM$42&lt;$LH$3:$LH$42))</f>
        <v>0</v>
      </c>
      <c r="GN49" s="1"/>
      <c r="GO49" s="1">
        <f>SUMPRODUCT(NOT(ISBLANK(GO$3:GO$42))*(GO$3:GO$42&lt;$LI$3:$LI$42))</f>
        <v>0</v>
      </c>
      <c r="GP49" s="1">
        <f>SUMPRODUCT(NOT(ISBLANK(GP$3:GP$42))*(GP$3:GP$42&lt;$LJ$3:$LJ$42))</f>
        <v>0</v>
      </c>
      <c r="GQ49" s="1">
        <f>SUMPRODUCT(NOT(ISBLANK(GQ$3:GQ$42))*(GQ$3:GQ$42&lt;$LK$3:$LK$42))</f>
        <v>0</v>
      </c>
      <c r="GR49" s="1">
        <f>SUMPRODUCT(NOT(ISBLANK(GR$3:GR$42))*(GR$3:GR$42&lt;$KU$3:$KU$42))</f>
        <v>0</v>
      </c>
      <c r="GS49" s="1">
        <f>SUMPRODUCT(NOT(ISBLANK(GS$3:GS$42))*(GS$3:GS$42&lt;$KV$3:$KV$42))</f>
        <v>0</v>
      </c>
      <c r="GT49" s="1">
        <f>SUMPRODUCT(NOT(ISBLANK(GT$3:GT$42))*(GT$3:GT$42&lt;$KW$3:$KW$42))</f>
        <v>0</v>
      </c>
      <c r="GU49" s="1">
        <f>SUMPRODUCT(NOT(ISBLANK(GU$3:GU$42))*(GU$3:GU$42&lt;$KX$3:$KX$42))</f>
        <v>0</v>
      </c>
      <c r="GV49" s="1">
        <f>SUMPRODUCT(NOT(ISBLANK(GV$3:GV$42))*(GV$3:GV$42&lt;$KY$3:$KY$42))</f>
        <v>0</v>
      </c>
      <c r="GW49" s="1">
        <f>SUMPRODUCT(NOT(ISBLANK(GW$3:GW$42))*(GW$3:GW$42&lt;$KZ$3:$KZ$42))</f>
        <v>0</v>
      </c>
      <c r="GX49" s="1">
        <f>SUMPRODUCT(NOT(ISBLANK(GX$3:GX$42))*(GX$3:GX$42&lt;$LA$3:$LA$42))</f>
        <v>0</v>
      </c>
      <c r="GY49" s="1">
        <f>SUMPRODUCT(NOT(ISBLANK(GY$3:GY$42))*(GY$3:GY$42&lt;$LB$3:$LB$42))</f>
        <v>0</v>
      </c>
      <c r="GZ49" s="1">
        <f>SUMPRODUCT(NOT(ISBLANK(GZ$3:GZ$42))*(GZ$3:GZ$42&lt;$LC$3:$LC$42))</f>
        <v>0</v>
      </c>
      <c r="HA49" s="1">
        <f>SUMPRODUCT(NOT(ISBLANK(HA$3:HA$42))*(HA$3:HA$42&lt;$LD$3:$LD$42))</f>
        <v>0</v>
      </c>
      <c r="HB49" s="1">
        <f>SUMPRODUCT(NOT(ISBLANK(HB$3:HB$42))*(HB$3:HB$42&lt;$LE$3:$LE$42))</f>
        <v>0</v>
      </c>
      <c r="HC49" s="1">
        <f>SUMPRODUCT(NOT(ISBLANK(HC$3:HC$42))*(HC$3:HC$42&lt;$LF$3:$LF$42))</f>
        <v>0</v>
      </c>
      <c r="HD49" s="1">
        <f>SUMPRODUCT(NOT(ISBLANK(HD$3:HD$42))*(HD$3:HD$42&lt;$LG$3:$LG$42))</f>
        <v>0</v>
      </c>
      <c r="HE49" s="1">
        <f>SUMPRODUCT(NOT(ISBLANK(HE$3:HE$42))*(HE$3:HE$42&lt;$LH$3:$LH$42))</f>
        <v>0</v>
      </c>
      <c r="HF49" s="1"/>
      <c r="HG49" s="1">
        <f>SUMPRODUCT(NOT(ISBLANK(HG$3:HG$42))*(HG$3:HG$42&lt;$LI$3:$LI$42))</f>
        <v>0</v>
      </c>
      <c r="HH49" s="1">
        <f>SUMPRODUCT(NOT(ISBLANK(HH$3:HH$42))*(HH$3:HH$42&lt;$LJ$3:$LJ$42))</f>
        <v>0</v>
      </c>
      <c r="HI49" s="1">
        <f>SUMPRODUCT(NOT(ISBLANK(HI$3:HI$42))*(HI$3:HI$42&lt;$LK$3:$LK$42))</f>
        <v>0</v>
      </c>
      <c r="HJ49" s="1">
        <f>SUMPRODUCT(NOT(ISBLANK(HJ$3:HJ$42))*(HJ$3:HJ$42&lt;$KU$3:$KU$42))</f>
        <v>0</v>
      </c>
      <c r="HK49" s="1">
        <f>SUMPRODUCT(NOT(ISBLANK(HK$3:HK$42))*(HK$3:HK$42&lt;$KV$3:$KV$42))</f>
        <v>0</v>
      </c>
      <c r="HL49" s="1">
        <f>SUMPRODUCT(NOT(ISBLANK(HL$3:HL$42))*(HL$3:HL$42&lt;$KW$3:$KW$42))</f>
        <v>0</v>
      </c>
      <c r="HM49" s="1">
        <f>SUMPRODUCT(NOT(ISBLANK(HM$3:HM$42))*(HM$3:HM$42&lt;$KX$3:$KX$42))</f>
        <v>0</v>
      </c>
      <c r="HN49" s="1">
        <f>SUMPRODUCT(NOT(ISBLANK(HN$3:HN$42))*(HN$3:HN$42&lt;$KY$3:$KY$42))</f>
        <v>0</v>
      </c>
      <c r="HO49" s="1">
        <f>SUMPRODUCT(NOT(ISBLANK(HO$3:HO$42))*(HO$3:HO$42&lt;$KZ$3:$KZ$42))</f>
        <v>0</v>
      </c>
      <c r="HP49" s="1">
        <f>SUMPRODUCT(NOT(ISBLANK(HP$3:HP$42))*(HP$3:HP$42&lt;$LA$3:$LA$42))</f>
        <v>0</v>
      </c>
      <c r="HQ49" s="1">
        <f>SUMPRODUCT(NOT(ISBLANK(HQ$3:HQ$42))*(HQ$3:HQ$42&lt;$LB$3:$LB$42))</f>
        <v>0</v>
      </c>
      <c r="HR49" s="1">
        <f>SUMPRODUCT(NOT(ISBLANK(HR$3:HR$42))*(HR$3:HR$42&lt;$LC$3:$LC$42))</f>
        <v>0</v>
      </c>
      <c r="HS49" s="1">
        <f>SUMPRODUCT(NOT(ISBLANK(HS$3:HS$42))*(HS$3:HS$42&lt;$LD$3:$LD$42))</f>
        <v>0</v>
      </c>
      <c r="HT49" s="1">
        <f>SUMPRODUCT(NOT(ISBLANK(HT$3:HT$42))*(HT$3:HT$42&lt;$LE$3:$LE$42))</f>
        <v>0</v>
      </c>
      <c r="HU49" s="1">
        <f>SUMPRODUCT(NOT(ISBLANK(HU$3:HU$42))*(HU$3:HU$42&lt;$LF$3:$LF$42))</f>
        <v>0</v>
      </c>
      <c r="HV49" s="1">
        <f>SUMPRODUCT(NOT(ISBLANK(HV$3:HV$42))*(HV$3:HV$42&lt;$LG$3:$LG$42))</f>
        <v>0</v>
      </c>
      <c r="HW49" s="1">
        <f>SUMPRODUCT(NOT(ISBLANK(HW$3:HW$42))*(HW$3:HW$42&lt;$LH$3:$LH$42))</f>
        <v>0</v>
      </c>
      <c r="HX49" s="1"/>
      <c r="HY49" s="1">
        <f>SUMPRODUCT(NOT(ISBLANK(HY$3:HY$42))*(HY$3:HY$42&lt;$LI$3:$LI$42))</f>
        <v>0</v>
      </c>
      <c r="HZ49" s="1">
        <f>SUMPRODUCT(NOT(ISBLANK(HZ$3:HZ$42))*(HZ$3:HZ$42&lt;$LJ$3:$LJ$42))</f>
        <v>0</v>
      </c>
      <c r="IA49" s="1">
        <f>SUMPRODUCT(NOT(ISBLANK(IA$3:IA$42))*(IA$3:IA$42&lt;$LK$3:$LK$42))</f>
        <v>0</v>
      </c>
      <c r="IB49" s="1">
        <f>SUMPRODUCT(NOT(ISBLANK(IB$3:IB$42))*(IB$3:IB$42&lt;$KU$3:$KU$42))</f>
        <v>0</v>
      </c>
      <c r="IC49" s="1">
        <f>SUMPRODUCT(NOT(ISBLANK(IC$3:IC$42))*(IC$3:IC$42&lt;$KV$3:$KV$42))</f>
        <v>0</v>
      </c>
      <c r="ID49" s="1">
        <f>SUMPRODUCT(NOT(ISBLANK(ID$3:ID$42))*(ID$3:ID$42&lt;$KW$3:$KW$42))</f>
        <v>0</v>
      </c>
      <c r="IE49" s="1">
        <f>SUMPRODUCT(NOT(ISBLANK(IE$3:IE$42))*(IE$3:IE$42&lt;$KX$3:$KX$42))</f>
        <v>0</v>
      </c>
      <c r="IF49" s="1">
        <f>SUMPRODUCT(NOT(ISBLANK(IF$3:IF$42))*(IF$3:IF$42&lt;$KY$3:$KY$42))</f>
        <v>0</v>
      </c>
      <c r="IG49" s="1">
        <f>SUMPRODUCT(NOT(ISBLANK(IG$3:IG$42))*(IG$3:IG$42&lt;$KZ$3:$KZ$42))</f>
        <v>0</v>
      </c>
      <c r="IH49" s="1">
        <f>SUMPRODUCT(NOT(ISBLANK(IH$3:IH$42))*(IH$3:IH$42&lt;$LA$3:$LA$42))</f>
        <v>0</v>
      </c>
      <c r="II49" s="1">
        <f>SUMPRODUCT(NOT(ISBLANK(II$3:II$42))*(II$3:II$42&lt;$LB$3:$LB$42))</f>
        <v>0</v>
      </c>
      <c r="IJ49" s="1">
        <f>SUMPRODUCT(NOT(ISBLANK(IJ$3:IJ$42))*(IJ$3:IJ$42&lt;$LC$3:$LC$42))</f>
        <v>0</v>
      </c>
      <c r="IK49" s="1">
        <f>SUMPRODUCT(NOT(ISBLANK(IK$3:IK$42))*(IK$3:IK$42&lt;$LD$3:$LD$42))</f>
        <v>0</v>
      </c>
      <c r="IL49" s="1">
        <f>SUMPRODUCT(NOT(ISBLANK(IL$3:IL$42))*(IL$3:IL$42&lt;$LE$3:$LE$42))</f>
        <v>0</v>
      </c>
      <c r="IM49" s="1">
        <f>SUMPRODUCT(NOT(ISBLANK(IM$3:IM$42))*(IM$3:IM$42&lt;$LF$3:$LF$42))</f>
        <v>0</v>
      </c>
      <c r="IN49" s="1">
        <f>SUMPRODUCT(NOT(ISBLANK(IN$3:IN$42))*(IN$3:IN$42&lt;$LG$3:$LG$42))</f>
        <v>0</v>
      </c>
      <c r="IO49" s="1">
        <f>SUMPRODUCT(NOT(ISBLANK(IO$3:IO$42))*(IO$3:IO$42&lt;$LH$3:$LH$42))</f>
        <v>0</v>
      </c>
      <c r="IP49" s="1"/>
      <c r="IQ49" s="1">
        <f>SUMPRODUCT(NOT(ISBLANK(IQ$3:IQ$42))*(IQ$3:IQ$42&lt;$LI$3:$LI$42))</f>
        <v>0</v>
      </c>
      <c r="IR49" s="1">
        <f>SUMPRODUCT(NOT(ISBLANK(IR$3:IR$42))*(IR$3:IR$42&lt;$LJ$3:$LJ$42))</f>
        <v>0</v>
      </c>
      <c r="IS49" s="1">
        <f>SUMPRODUCT(NOT(ISBLANK(IS$3:IS$42))*(IS$3:IS$42&lt;$LK$3:$LK$42))</f>
        <v>0</v>
      </c>
      <c r="IT49" s="1">
        <f>SUMPRODUCT(NOT(ISBLANK(IT$3:IT$42))*(IT$3:IT$42&lt;$KU$3:$KU$42))</f>
        <v>0</v>
      </c>
      <c r="IU49" s="1">
        <f>SUMPRODUCT(NOT(ISBLANK(IU$3:IU$42))*(IU$3:IU$42&lt;$KV$3:$KV$42))</f>
        <v>0</v>
      </c>
      <c r="IV49" s="1">
        <f>SUMPRODUCT(NOT(ISBLANK(IV$3:IV$42))*(IV$3:IV$42&lt;$KW$3:$KW$42))</f>
        <v>0</v>
      </c>
      <c r="IW49" s="1">
        <f>SUMPRODUCT(NOT(ISBLANK(IW$3:IW$42))*(IW$3:IW$42&lt;$KX$3:$KX$42))</f>
        <v>0</v>
      </c>
      <c r="IX49" s="1">
        <f>SUMPRODUCT(NOT(ISBLANK(IX$3:IX$42))*(IX$3:IX$42&lt;$KY$3:$KY$42))</f>
        <v>0</v>
      </c>
      <c r="IY49" s="1">
        <f>SUMPRODUCT(NOT(ISBLANK(IY$3:IY$42))*(IY$3:IY$42&lt;$KZ$3:$KZ$42))</f>
        <v>0</v>
      </c>
      <c r="IZ49" s="1">
        <f>SUMPRODUCT(NOT(ISBLANK(IZ$3:IZ$42))*(IZ$3:IZ$42&lt;$LA$3:$LA$42))</f>
        <v>0</v>
      </c>
      <c r="JA49" s="1">
        <f>SUMPRODUCT(NOT(ISBLANK(JA$3:JA$42))*(JA$3:JA$42&lt;$LB$3:$LB$42))</f>
        <v>0</v>
      </c>
      <c r="JB49" s="1">
        <f>SUMPRODUCT(NOT(ISBLANK(JB$3:JB$42))*(JB$3:JB$42&lt;$LC$3:$LC$42))</f>
        <v>0</v>
      </c>
      <c r="JC49" s="1">
        <f>SUMPRODUCT(NOT(ISBLANK(JC$3:JC$42))*(JC$3:JC$42&lt;$LD$3:$LD$42))</f>
        <v>0</v>
      </c>
      <c r="JD49" s="1">
        <f>SUMPRODUCT(NOT(ISBLANK(JD$3:JD$42))*(JD$3:JD$42&lt;$LE$3:$LE$42))</f>
        <v>0</v>
      </c>
      <c r="JE49" s="1">
        <f>SUMPRODUCT(NOT(ISBLANK(JE$3:JE$42))*(JE$3:JE$42&lt;$LF$3:$LF$42))</f>
        <v>0</v>
      </c>
      <c r="JF49" s="1">
        <f>SUMPRODUCT(NOT(ISBLANK(JF$3:JF$42))*(JF$3:JF$42&lt;$LG$3:$LG$42))</f>
        <v>0</v>
      </c>
      <c r="JG49" s="1">
        <f>SUMPRODUCT(NOT(ISBLANK(JG$3:JG$42))*(JG$3:JG$42&lt;$LH$3:$LH$42))</f>
        <v>0</v>
      </c>
      <c r="JH49" s="1"/>
      <c r="JI49" s="1">
        <f>SUMPRODUCT(NOT(ISBLANK(JI$3:JI$42))*(JI$3:JI$42&lt;$LI$3:$LI$42))</f>
        <v>0</v>
      </c>
      <c r="JJ49" s="1">
        <f>SUMPRODUCT(NOT(ISBLANK(JJ$3:JJ$42))*(JJ$3:JJ$42&lt;$LJ$3:$LJ$42))</f>
        <v>0</v>
      </c>
      <c r="JK49" s="1">
        <f>SUMPRODUCT(NOT(ISBLANK(JK$3:JK$42))*(JK$3:JK$42&lt;$LK$3:$LK$42))</f>
        <v>0</v>
      </c>
      <c r="JL49" s="1">
        <f>SUMPRODUCT(NOT(ISBLANK(JL$3:JL$42))*(JL$3:JL$42&lt;$KU$3:$KU$42))</f>
        <v>0</v>
      </c>
      <c r="JM49" s="1">
        <f>SUMPRODUCT(NOT(ISBLANK(JM$3:JM$42))*(JM$3:JM$42&lt;$KV$3:$KV$42))</f>
        <v>0</v>
      </c>
      <c r="JN49" s="1">
        <f>SUMPRODUCT(NOT(ISBLANK(JN$3:JN$42))*(JN$3:JN$42&lt;$KW$3:$KW$42))</f>
        <v>0</v>
      </c>
      <c r="JO49" s="1">
        <f>SUMPRODUCT(NOT(ISBLANK(JO$3:JO$42))*(JO$3:JO$42&lt;$KX$3:$KX$42))</f>
        <v>0</v>
      </c>
      <c r="JP49" s="1">
        <f>SUMPRODUCT(NOT(ISBLANK(JP$3:JP$42))*(JP$3:JP$42&lt;$KY$3:$KY$42))</f>
        <v>0</v>
      </c>
      <c r="JQ49" s="1">
        <f>SUMPRODUCT(NOT(ISBLANK(JQ$3:JQ$42))*(JQ$3:JQ$42&lt;$KZ$3:$KZ$42))</f>
        <v>0</v>
      </c>
      <c r="JR49" s="1">
        <f>SUMPRODUCT(NOT(ISBLANK(JR$3:JR$42))*(JR$3:JR$42&lt;$LA$3:$LA$42))</f>
        <v>0</v>
      </c>
      <c r="JS49" s="1">
        <f>SUMPRODUCT(NOT(ISBLANK(JS$3:JS$42))*(JS$3:JS$42&lt;$LB$3:$LB$42))</f>
        <v>0</v>
      </c>
      <c r="JT49" s="1">
        <f>SUMPRODUCT(NOT(ISBLANK(JT$3:JT$42))*(JT$3:JT$42&lt;$LC$3:$LC$42))</f>
        <v>0</v>
      </c>
      <c r="JU49" s="1">
        <f>SUMPRODUCT(NOT(ISBLANK(JU$3:JU$42))*(JU$3:JU$42&lt;$LD$3:$LD$42))</f>
        <v>0</v>
      </c>
      <c r="JV49" s="1">
        <f>SUMPRODUCT(NOT(ISBLANK(JV$3:JV$42))*(JV$3:JV$42&lt;$LE$3:$LE$42))</f>
        <v>0</v>
      </c>
      <c r="JW49" s="1">
        <f>SUMPRODUCT(NOT(ISBLANK(JW$3:JW$42))*(JW$3:JW$42&lt;$LF$3:$LF$42))</f>
        <v>0</v>
      </c>
      <c r="JX49" s="1">
        <f>SUMPRODUCT(NOT(ISBLANK(JX$3:JX$42))*(JX$3:JX$42&lt;$LG$3:$LG$42))</f>
        <v>0</v>
      </c>
      <c r="JY49" s="1">
        <f>SUMPRODUCT(NOT(ISBLANK(JY$3:JY$42))*(JY$3:JY$42&lt;$LH$3:$LH$42))</f>
        <v>0</v>
      </c>
      <c r="JZ49" s="1"/>
      <c r="KA49" s="1">
        <f>SUMPRODUCT(NOT(ISBLANK(KA$3:KA$42))*(KA$3:KA$42&lt;$LI$3:$LI$42))</f>
        <v>0</v>
      </c>
      <c r="KB49" s="1">
        <f>SUMPRODUCT(NOT(ISBLANK(KB$3:KB$42))*(KB$3:KB$42&lt;$LJ$3:$LJ$42))</f>
        <v>0</v>
      </c>
      <c r="KC49" s="1">
        <f>SUMPRODUCT(NOT(ISBLANK(KC$3:KC$42))*(KC$3:KC$42&lt;$LK$3:$LK$42))</f>
        <v>0</v>
      </c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</row>
    <row r="50" spans="1:340">
      <c r="A50" s="1" t="s">
        <v>46</v>
      </c>
      <c r="B50" s="1">
        <f>SUMPRODUCT((NOT(ISBLANK(B$3:B$42))*(B$3:B$42&gt;$KU$3:$KU$42))+ISBLANK(B$3:B$42))</f>
        <v>0</v>
      </c>
      <c r="C50" s="1">
        <f>SUMPRODUCT((NOT(ISBLANK(C$3:C$42))*(C$3:C$42&gt;$KV$3:$KV$42))+ISBLANK(C$3:C$42))</f>
        <v>0</v>
      </c>
      <c r="D50" s="1">
        <f>SUMPRODUCT((NOT(ISBLANK(D$3:D$42))*(D$3:D$42&gt;$KW$3:$KW$42))+ISBLANK(D$3:D$42))</f>
        <v>0</v>
      </c>
      <c r="E50" s="1">
        <f>SUMPRODUCT((NOT(ISBLANK(E$3:E$42))*(E$3:E$42&gt;$KX$3:$KX$42))+ISBLANK(E$3:E$42))</f>
        <v>0</v>
      </c>
      <c r="F50" s="1">
        <f>SUMPRODUCT((NOT(ISBLANK(F$3:F$42))*(F$3:F$42&gt;$KY$3:$KY$42))+ISBLANK(F$3:F$42))</f>
        <v>0</v>
      </c>
      <c r="G50" s="1">
        <f>SUMPRODUCT((NOT(ISBLANK(G$3:G$42))*(G$3:G$42&gt;$KZ$3:$KZ$42))+ISBLANK(G$3:G$42))</f>
        <v>0</v>
      </c>
      <c r="H50" s="1">
        <f>SUMPRODUCT((NOT(ISBLANK(H$3:H$42))*(H$3:H$42&gt;$LA$3:$LA$42))+ISBLANK(H$3:H$42))</f>
        <v>0</v>
      </c>
      <c r="I50" s="1">
        <f>SUMPRODUCT((NOT(ISBLANK(I$3:I$42))*(I$3:I$42&gt;$LB$3:$LB$42))+ISBLANK(I$3:I$42))</f>
        <v>0</v>
      </c>
      <c r="J50" s="1">
        <f>SUMPRODUCT((NOT(ISBLANK(J$3:J$42))*(J$3:J$42&gt;$LC$3:$LC$42))+ISBLANK(J$3:J$42))</f>
        <v>0</v>
      </c>
      <c r="K50" s="1">
        <f>SUMPRODUCT((NOT(ISBLANK(K$3:K$42))*(K$3:K$42&gt;$LD$3:$LD$42))+ISBLANK(K$3:K$42))</f>
        <v>0</v>
      </c>
      <c r="L50" s="1">
        <f>SUMPRODUCT((NOT(ISBLANK(L$3:L$42))*(L$3:L$42&gt;$LE$3:$LE$42))+ISBLANK(L$3:L$42))</f>
        <v>0</v>
      </c>
      <c r="M50" s="1">
        <f>SUMPRODUCT((NOT(ISBLANK(M$3:M$42))*(M$3:M$42&gt;$LF$3:$LF$42))+ISBLANK(M$3:M$42))</f>
        <v>0</v>
      </c>
      <c r="N50" s="1">
        <f>SUMPRODUCT((NOT(ISBLANK(N$3:N$42))*(N$3:N$42&gt;$LG$3:$LG$42))+ISBLANK(N$3:N$42))</f>
        <v>0</v>
      </c>
      <c r="O50" s="1">
        <f>SUMPRODUCT((NOT(ISBLANK(O$3:O$42))*(O$3:O$42&gt;$LH$3:$LH$42))+ISBLANK(O$3:O$42))</f>
        <v>0</v>
      </c>
      <c r="P50" s="1"/>
      <c r="Q50" s="1">
        <f>SUMPRODUCT((NOT(ISBLANK(Q$3:Q$42))*(Q$3:Q$42&gt;$LI$3:$LI$42))+ISBLANK(Q$3:Q$42))</f>
        <v>0</v>
      </c>
      <c r="R50" s="1">
        <f>SUMPRODUCT((NOT(ISBLANK(R$3:R$42))*(R$3:R$42&gt;$LJ$3:$LJ$42))+ISBLANK(R$3:R$42))</f>
        <v>0</v>
      </c>
      <c r="S50" s="1">
        <f>SUMPRODUCT((NOT(ISBLANK(S$3:S$42))*(S$3:S$42&gt;$LK$3:$LK$42))+ISBLANK(S$3:S$42))</f>
        <v>0</v>
      </c>
      <c r="T50" s="1">
        <f>SUMPRODUCT((NOT(ISBLANK(T$3:T$42))*(T$3:T$42&gt;$KU$3:$KU$42))+ISBLANK(T$3:T$42))</f>
        <v>0</v>
      </c>
      <c r="U50" s="1">
        <f>SUMPRODUCT((NOT(ISBLANK(U$3:U$42))*(U$3:U$42&gt;$KV$3:$KV$42))+ISBLANK(U$3:U$42))</f>
        <v>0</v>
      </c>
      <c r="V50" s="1">
        <f>SUMPRODUCT((NOT(ISBLANK(V$3:V$42))*(V$3:V$42&gt;$KW$3:$KW$42))+ISBLANK(V$3:V$42))</f>
        <v>0</v>
      </c>
      <c r="W50" s="1">
        <f>SUMPRODUCT((NOT(ISBLANK(W$3:W$42))*(W$3:W$42&gt;$KX$3:$KX$42))+ISBLANK(W$3:W$42))</f>
        <v>0</v>
      </c>
      <c r="X50" s="1">
        <f>SUMPRODUCT((NOT(ISBLANK(X$3:X$42))*(X$3:X$42&gt;$KY$3:$KY$42))+ISBLANK(X$3:X$42))</f>
        <v>0</v>
      </c>
      <c r="Y50" s="1">
        <f>SUMPRODUCT((NOT(ISBLANK(Y$3:Y$42))*(Y$3:Y$42&gt;$KZ$3:$KZ$42))+ISBLANK(Y$3:Y$42))</f>
        <v>0</v>
      </c>
      <c r="Z50" s="1">
        <f>SUMPRODUCT((NOT(ISBLANK(Z$3:Z$42))*(Z$3:Z$42&gt;$LA$3:$LA$42))+ISBLANK(Z$3:Z$42))</f>
        <v>0</v>
      </c>
      <c r="AA50" s="1">
        <f>SUMPRODUCT((NOT(ISBLANK(AA$3:AA$42))*(AA$3:AA$42&gt;$LB$3:$LB$42))+ISBLANK(AA$3:AA$42))</f>
        <v>0</v>
      </c>
      <c r="AB50" s="1">
        <f>SUMPRODUCT((NOT(ISBLANK(AB$3:AB$42))*(AB$3:AB$42&gt;$LC$3:$LC$42))+ISBLANK(AB$3:AB$42))</f>
        <v>0</v>
      </c>
      <c r="AC50" s="1">
        <f>SUMPRODUCT((NOT(ISBLANK(AC$3:AC$42))*(AC$3:AC$42&gt;$LD$3:$LD$42))+ISBLANK(AC$3:AC$42))</f>
        <v>0</v>
      </c>
      <c r="AD50" s="1">
        <f>SUMPRODUCT((NOT(ISBLANK(AD$3:AD$42))*(AD$3:AD$42&gt;$LE$3:$LE$42))+ISBLANK(AD$3:AD$42))</f>
        <v>0</v>
      </c>
      <c r="AE50" s="1">
        <f>SUMPRODUCT((NOT(ISBLANK(AE$3:AE$42))*(AE$3:AE$42&gt;$LF$3:$LF$42))+ISBLANK(AE$3:AE$42))</f>
        <v>0</v>
      </c>
      <c r="AF50" s="1">
        <f>SUMPRODUCT((NOT(ISBLANK(AF$3:AF$42))*(AF$3:AF$42&gt;$LG$3:$LG$42))+ISBLANK(AF$3:AF$42))</f>
        <v>0</v>
      </c>
      <c r="AG50" s="1">
        <f>SUMPRODUCT((NOT(ISBLANK(AG$3:AG$42))*(AG$3:AG$42&gt;$LH$3:$LH$42))+ISBLANK(AG$3:AG$42))</f>
        <v>0</v>
      </c>
      <c r="AH50" s="1"/>
      <c r="AI50" s="1">
        <f>SUMPRODUCT((NOT(ISBLANK(AI$3:AI$42))*(AI$3:AI$42&gt;$LI$3:$LI$42))+ISBLANK(AI$3:AI$42))</f>
        <v>0</v>
      </c>
      <c r="AJ50" s="1">
        <f>SUMPRODUCT((NOT(ISBLANK(AJ$3:AJ$42))*(AJ$3:AJ$42&gt;$LJ$3:$LJ$42))+ISBLANK(AJ$3:AJ$42))</f>
        <v>0</v>
      </c>
      <c r="AK50" s="1">
        <f>SUMPRODUCT((NOT(ISBLANK(AK$3:AK$42))*(AK$3:AK$42&gt;$LK$3:$LK$42))+ISBLANK(AK$3:AK$42))</f>
        <v>0</v>
      </c>
      <c r="AL50" s="1">
        <f>SUMPRODUCT((NOT(ISBLANK(AL$3:AL$42))*(AL$3:AL$42&gt;$KU$3:$KU$42))+ISBLANK(AL$3:AL$42))</f>
        <v>0</v>
      </c>
      <c r="AM50" s="1">
        <f>SUMPRODUCT((NOT(ISBLANK(AM$3:AM$42))*(AM$3:AM$42&gt;$KV$3:$KV$42))+ISBLANK(AM$3:AM$42))</f>
        <v>0</v>
      </c>
      <c r="AN50" s="1">
        <f>SUMPRODUCT((NOT(ISBLANK(AN$3:AN$42))*(AN$3:AN$42&gt;$KW$3:$KW$42))+ISBLANK(AN$3:AN$42))</f>
        <v>0</v>
      </c>
      <c r="AO50" s="1">
        <f>SUMPRODUCT((NOT(ISBLANK(AO$3:AO$42))*(AO$3:AO$42&gt;$KX$3:$KX$42))+ISBLANK(AO$3:AO$42))</f>
        <v>0</v>
      </c>
      <c r="AP50" s="1">
        <f>SUMPRODUCT((NOT(ISBLANK(AP$3:AP$42))*(AP$3:AP$42&gt;$KY$3:$KY$42))+ISBLANK(AP$3:AP$42))</f>
        <v>0</v>
      </c>
      <c r="AQ50" s="1">
        <f>SUMPRODUCT((NOT(ISBLANK(AQ$3:AQ$42))*(AQ$3:AQ$42&gt;$KZ$3:$KZ$42))+ISBLANK(AQ$3:AQ$42))</f>
        <v>0</v>
      </c>
      <c r="AR50" s="1">
        <f>SUMPRODUCT((NOT(ISBLANK(AR$3:AR$42))*(AR$3:AR$42&gt;$LA$3:$LA$42))+ISBLANK(AR$3:AR$42))</f>
        <v>0</v>
      </c>
      <c r="AS50" s="1">
        <f>SUMPRODUCT((NOT(ISBLANK(AS$3:AS$42))*(AS$3:AS$42&gt;$LB$3:$LB$42))+ISBLANK(AS$3:AS$42))</f>
        <v>0</v>
      </c>
      <c r="AT50" s="1">
        <f>SUMPRODUCT((NOT(ISBLANK(AT$3:AT$42))*(AT$3:AT$42&gt;$LC$3:$LC$42))+ISBLANK(AT$3:AT$42))</f>
        <v>0</v>
      </c>
      <c r="AU50" s="1">
        <f>SUMPRODUCT((NOT(ISBLANK(AU$3:AU$42))*(AU$3:AU$42&gt;$LD$3:$LD$42))+ISBLANK(AU$3:AU$42))</f>
        <v>0</v>
      </c>
      <c r="AV50" s="1">
        <f>SUMPRODUCT((NOT(ISBLANK(AV$3:AV$42))*(AV$3:AV$42&gt;$LE$3:$LE$42))+ISBLANK(AV$3:AV$42))</f>
        <v>0</v>
      </c>
      <c r="AW50" s="1">
        <f>SUMPRODUCT((NOT(ISBLANK(AW$3:AW$42))*(AW$3:AW$42&gt;$LF$3:$LF$42))+ISBLANK(AW$3:AW$42))</f>
        <v>0</v>
      </c>
      <c r="AX50" s="1">
        <f>SUMPRODUCT((NOT(ISBLANK(AX$3:AX$42))*(AX$3:AX$42&gt;$LG$3:$LG$42))+ISBLANK(AX$3:AX$42))</f>
        <v>0</v>
      </c>
      <c r="AY50" s="1">
        <f>SUMPRODUCT((NOT(ISBLANK(AY$3:AY$42))*(AY$3:AY$42&gt;$LH$3:$LH$42))+ISBLANK(AY$3:AY$42))</f>
        <v>0</v>
      </c>
      <c r="AZ50" s="1"/>
      <c r="BA50" s="1">
        <f>SUMPRODUCT((NOT(ISBLANK(BA$3:BA$42))*(BA$3:BA$42&gt;$LI$3:$LI$42))+ISBLANK(BA$3:BA$42))</f>
        <v>0</v>
      </c>
      <c r="BB50" s="1">
        <f>SUMPRODUCT((NOT(ISBLANK(BB$3:BB$42))*(BB$3:BB$42&gt;$LJ$3:$LJ$42))+ISBLANK(BB$3:BB$42))</f>
        <v>0</v>
      </c>
      <c r="BC50" s="1">
        <f>SUMPRODUCT((NOT(ISBLANK(BC$3:BC$42))*(BC$3:BC$42&gt;$LK$3:$LK$42))+ISBLANK(BC$3:BC$42))</f>
        <v>0</v>
      </c>
      <c r="BD50" s="1">
        <f>SUMPRODUCT((NOT(ISBLANK(BD$3:BD$42))*(BD$3:BD$42&gt;$KU$3:$KU$42))+ISBLANK(BD$3:BD$42))</f>
        <v>0</v>
      </c>
      <c r="BE50" s="1">
        <f>SUMPRODUCT((NOT(ISBLANK(BE$3:BE$42))*(BE$3:BE$42&gt;$KV$3:$KV$42))+ISBLANK(BE$3:BE$42))</f>
        <v>0</v>
      </c>
      <c r="BF50" s="1">
        <f>SUMPRODUCT((NOT(ISBLANK(BF$3:BF$42))*(BF$3:BF$42&gt;$KW$3:$KW$42))+ISBLANK(BF$3:BF$42))</f>
        <v>0</v>
      </c>
      <c r="BG50" s="1">
        <f>SUMPRODUCT((NOT(ISBLANK(BG$3:BG$42))*(BG$3:BG$42&gt;$KX$3:$KX$42))+ISBLANK(BG$3:BG$42))</f>
        <v>0</v>
      </c>
      <c r="BH50" s="1">
        <f>SUMPRODUCT((NOT(ISBLANK(BH$3:BH$42))*(BH$3:BH$42&gt;$KY$3:$KY$42))+ISBLANK(BH$3:BH$42))</f>
        <v>0</v>
      </c>
      <c r="BI50" s="1">
        <f>SUMPRODUCT((NOT(ISBLANK(BI$3:BI$42))*(BI$3:BI$42&gt;$KZ$3:$KZ$42))+ISBLANK(BI$3:BI$42))</f>
        <v>0</v>
      </c>
      <c r="BJ50" s="1">
        <f>SUMPRODUCT((NOT(ISBLANK(BJ$3:BJ$42))*(BJ$3:BJ$42&gt;$LA$3:$LA$42))+ISBLANK(BJ$3:BJ$42))</f>
        <v>0</v>
      </c>
      <c r="BK50" s="1">
        <f>SUMPRODUCT((NOT(ISBLANK(BK$3:BK$42))*(BK$3:BK$42&gt;$LB$3:$LB$42))+ISBLANK(BK$3:BK$42))</f>
        <v>0</v>
      </c>
      <c r="BL50" s="1">
        <f>SUMPRODUCT((NOT(ISBLANK(BL$3:BL$42))*(BL$3:BL$42&gt;$LC$3:$LC$42))+ISBLANK(BL$3:BL$42))</f>
        <v>0</v>
      </c>
      <c r="BM50" s="1">
        <f>SUMPRODUCT((NOT(ISBLANK(BM$3:BM$42))*(BM$3:BM$42&gt;$LD$3:$LD$42))+ISBLANK(BM$3:BM$42))</f>
        <v>0</v>
      </c>
      <c r="BN50" s="1">
        <f>SUMPRODUCT((NOT(ISBLANK(BN$3:BN$42))*(BN$3:BN$42&gt;$LE$3:$LE$42))+ISBLANK(BN$3:BN$42))</f>
        <v>0</v>
      </c>
      <c r="BO50" s="1">
        <f>SUMPRODUCT((NOT(ISBLANK(BO$3:BO$42))*(BO$3:BO$42&gt;$LF$3:$LF$42))+ISBLANK(BO$3:BO$42))</f>
        <v>0</v>
      </c>
      <c r="BP50" s="1">
        <f>SUMPRODUCT((NOT(ISBLANK(BP$3:BP$42))*(BP$3:BP$42&gt;$LG$3:$LG$42))+ISBLANK(BP$3:BP$42))</f>
        <v>0</v>
      </c>
      <c r="BQ50" s="1">
        <f>SUMPRODUCT((NOT(ISBLANK(BQ$3:BQ$42))*(BQ$3:BQ$42&gt;$LH$3:$LH$42))+ISBLANK(BQ$3:BQ$42))</f>
        <v>0</v>
      </c>
      <c r="BR50" s="1"/>
      <c r="BS50" s="1">
        <f>SUMPRODUCT((NOT(ISBLANK(BS$3:BS$42))*(BS$3:BS$42&gt;$LI$3:$LI$42))+ISBLANK(BS$3:BS$42))</f>
        <v>0</v>
      </c>
      <c r="BT50" s="1">
        <f>SUMPRODUCT((NOT(ISBLANK(BT$3:BT$42))*(BT$3:BT$42&gt;$LJ$3:$LJ$42))+ISBLANK(BT$3:BT$42))</f>
        <v>0</v>
      </c>
      <c r="BU50" s="1">
        <f>SUMPRODUCT((NOT(ISBLANK(BU$3:BU$42))*(BU$3:BU$42&gt;$LK$3:$LK$42))+ISBLANK(BU$3:BU$42))</f>
        <v>0</v>
      </c>
      <c r="BV50" s="1">
        <f>SUMPRODUCT((NOT(ISBLANK(BV$3:BV$42))*(BV$3:BV$42&gt;$KU$3:$KU$42))+ISBLANK(BV$3:BV$42))</f>
        <v>0</v>
      </c>
      <c r="BW50" s="1">
        <f>SUMPRODUCT((NOT(ISBLANK(BW$3:BW$42))*(BW$3:BW$42&gt;$KV$3:$KV$42))+ISBLANK(BW$3:BW$42))</f>
        <v>0</v>
      </c>
      <c r="BX50" s="1">
        <f>SUMPRODUCT((NOT(ISBLANK(BX$3:BX$42))*(BX$3:BX$42&gt;$KW$3:$KW$42))+ISBLANK(BX$3:BX$42))</f>
        <v>0</v>
      </c>
      <c r="BY50" s="1">
        <f>SUMPRODUCT((NOT(ISBLANK(BY$3:BY$42))*(BY$3:BY$42&gt;$KX$3:$KX$42))+ISBLANK(BY$3:BY$42))</f>
        <v>0</v>
      </c>
      <c r="BZ50" s="1">
        <f>SUMPRODUCT((NOT(ISBLANK(BZ$3:BZ$42))*(BZ$3:BZ$42&gt;$KY$3:$KY$42))+ISBLANK(BZ$3:BZ$42))</f>
        <v>0</v>
      </c>
      <c r="CA50" s="1">
        <f>SUMPRODUCT((NOT(ISBLANK(CA$3:CA$42))*(CA$3:CA$42&gt;$KZ$3:$KZ$42))+ISBLANK(CA$3:CA$42))</f>
        <v>0</v>
      </c>
      <c r="CB50" s="1">
        <f>SUMPRODUCT((NOT(ISBLANK(CB$3:CB$42))*(CB$3:CB$42&gt;$LA$3:$LA$42))+ISBLANK(CB$3:CB$42))</f>
        <v>0</v>
      </c>
      <c r="CC50" s="1">
        <f>SUMPRODUCT((NOT(ISBLANK(CC$3:CC$42))*(CC$3:CC$42&gt;$LB$3:$LB$42))+ISBLANK(CC$3:CC$42))</f>
        <v>0</v>
      </c>
      <c r="CD50" s="1">
        <f>SUMPRODUCT((NOT(ISBLANK(CD$3:CD$42))*(CD$3:CD$42&gt;$LC$3:$LC$42))+ISBLANK(CD$3:CD$42))</f>
        <v>0</v>
      </c>
      <c r="CE50" s="1">
        <f>SUMPRODUCT((NOT(ISBLANK(CE$3:CE$42))*(CE$3:CE$42&gt;$LD$3:$LD$42))+ISBLANK(CE$3:CE$42))</f>
        <v>0</v>
      </c>
      <c r="CF50" s="1">
        <f>SUMPRODUCT((NOT(ISBLANK(CF$3:CF$42))*(CF$3:CF$42&gt;$LE$3:$LE$42))+ISBLANK(CF$3:CF$42))</f>
        <v>0</v>
      </c>
      <c r="CG50" s="1">
        <f>SUMPRODUCT((NOT(ISBLANK(CG$3:CG$42))*(CG$3:CG$42&gt;$LF$3:$LF$42))+ISBLANK(CG$3:CG$42))</f>
        <v>0</v>
      </c>
      <c r="CH50" s="1">
        <f>SUMPRODUCT((NOT(ISBLANK(CH$3:CH$42))*(CH$3:CH$42&gt;$LG$3:$LG$42))+ISBLANK(CH$3:CH$42))</f>
        <v>0</v>
      </c>
      <c r="CI50" s="1">
        <f>SUMPRODUCT((NOT(ISBLANK(CI$3:CI$42))*(CI$3:CI$42&gt;$LH$3:$LH$42))+ISBLANK(CI$3:CI$42))</f>
        <v>0</v>
      </c>
      <c r="CJ50" s="1"/>
      <c r="CK50" s="1">
        <f>SUMPRODUCT((NOT(ISBLANK(CK$3:CK$42))*(CK$3:CK$42&gt;$LI$3:$LI$42))+ISBLANK(CK$3:CK$42))</f>
        <v>0</v>
      </c>
      <c r="CL50" s="1">
        <f>SUMPRODUCT((NOT(ISBLANK(CL$3:CL$42))*(CL$3:CL$42&gt;$LJ$3:$LJ$42))+ISBLANK(CL$3:CL$42))</f>
        <v>0</v>
      </c>
      <c r="CM50" s="1">
        <f>SUMPRODUCT((NOT(ISBLANK(CM$3:CM$42))*(CM$3:CM$42&gt;$LK$3:$LK$42))+ISBLANK(CM$3:CM$42))</f>
        <v>0</v>
      </c>
      <c r="CN50" s="1">
        <f>SUMPRODUCT((NOT(ISBLANK(CN$3:CN$42))*(CN$3:CN$42&gt;$KU$3:$KU$42))+ISBLANK(CN$3:CN$42))</f>
        <v>0</v>
      </c>
      <c r="CO50" s="1">
        <f>SUMPRODUCT((NOT(ISBLANK(CO$3:CO$42))*(CO$3:CO$42&gt;$KV$3:$KV$42))+ISBLANK(CO$3:CO$42))</f>
        <v>0</v>
      </c>
      <c r="CP50" s="1">
        <f>SUMPRODUCT((NOT(ISBLANK(CP$3:CP$42))*(CP$3:CP$42&gt;$KW$3:$KW$42))+ISBLANK(CP$3:CP$42))</f>
        <v>0</v>
      </c>
      <c r="CQ50" s="1">
        <f>SUMPRODUCT((NOT(ISBLANK(CQ$3:CQ$42))*(CQ$3:CQ$42&gt;$KX$3:$KX$42))+ISBLANK(CQ$3:CQ$42))</f>
        <v>0</v>
      </c>
      <c r="CR50" s="1">
        <f>SUMPRODUCT((NOT(ISBLANK(CR$3:CR$42))*(CR$3:CR$42&gt;$KY$3:$KY$42))+ISBLANK(CR$3:CR$42))</f>
        <v>0</v>
      </c>
      <c r="CS50" s="1">
        <f>SUMPRODUCT((NOT(ISBLANK(CS$3:CS$42))*(CS$3:CS$42&gt;$KZ$3:$KZ$42))+ISBLANK(CS$3:CS$42))</f>
        <v>0</v>
      </c>
      <c r="CT50" s="1">
        <f>SUMPRODUCT((NOT(ISBLANK(CT$3:CT$42))*(CT$3:CT$42&gt;$LA$3:$LA$42))+ISBLANK(CT$3:CT$42))</f>
        <v>0</v>
      </c>
      <c r="CU50" s="1">
        <f>SUMPRODUCT((NOT(ISBLANK(CU$3:CU$42))*(CU$3:CU$42&gt;$LB$3:$LB$42))+ISBLANK(CU$3:CU$42))</f>
        <v>0</v>
      </c>
      <c r="CV50" s="1">
        <f>SUMPRODUCT((NOT(ISBLANK(CV$3:CV$42))*(CV$3:CV$42&gt;$LC$3:$LC$42))+ISBLANK(CV$3:CV$42))</f>
        <v>0</v>
      </c>
      <c r="CW50" s="1">
        <f>SUMPRODUCT((NOT(ISBLANK(CW$3:CW$42))*(CW$3:CW$42&gt;$LD$3:$LD$42))+ISBLANK(CW$3:CW$42))</f>
        <v>0</v>
      </c>
      <c r="CX50" s="1">
        <f>SUMPRODUCT((NOT(ISBLANK(CX$3:CX$42))*(CX$3:CX$42&gt;$LE$3:$LE$42))+ISBLANK(CX$3:CX$42))</f>
        <v>0</v>
      </c>
      <c r="CY50" s="1">
        <f>SUMPRODUCT((NOT(ISBLANK(CY$3:CY$42))*(CY$3:CY$42&gt;$LF$3:$LF$42))+ISBLANK(CY$3:CY$42))</f>
        <v>0</v>
      </c>
      <c r="CZ50" s="1">
        <f>SUMPRODUCT((NOT(ISBLANK(CZ$3:CZ$42))*(CZ$3:CZ$42&gt;$LG$3:$LG$42))+ISBLANK(CZ$3:CZ$42))</f>
        <v>0</v>
      </c>
      <c r="DA50" s="1">
        <f>SUMPRODUCT((NOT(ISBLANK(DA$3:DA$42))*(DA$3:DA$42&gt;$LH$3:$LH$42))+ISBLANK(DA$3:DA$42))</f>
        <v>0</v>
      </c>
      <c r="DB50" s="1"/>
      <c r="DC50" s="1">
        <f>SUMPRODUCT((NOT(ISBLANK(DC$3:DC$42))*(DC$3:DC$42&gt;$LI$3:$LI$42))+ISBLANK(DC$3:DC$42))</f>
        <v>0</v>
      </c>
      <c r="DD50" s="1">
        <f>SUMPRODUCT((NOT(ISBLANK(DD$3:DD$42))*(DD$3:DD$42&gt;$LJ$3:$LJ$42))+ISBLANK(DD$3:DD$42))</f>
        <v>0</v>
      </c>
      <c r="DE50" s="1">
        <f>SUMPRODUCT((NOT(ISBLANK(DE$3:DE$42))*(DE$3:DE$42&gt;$LK$3:$LK$42))+ISBLANK(DE$3:DE$42))</f>
        <v>0</v>
      </c>
      <c r="DF50" s="1">
        <f>SUMPRODUCT((NOT(ISBLANK(DF$3:DF$42))*(DF$3:DF$42&gt;$KU$3:$KU$42))+ISBLANK(DF$3:DF$42))</f>
        <v>0</v>
      </c>
      <c r="DG50" s="1">
        <f>SUMPRODUCT((NOT(ISBLANK(DG$3:DG$42))*(DG$3:DG$42&gt;$KV$3:$KV$42))+ISBLANK(DG$3:DG$42))</f>
        <v>0</v>
      </c>
      <c r="DH50" s="1">
        <f>SUMPRODUCT((NOT(ISBLANK(DH$3:DH$42))*(DH$3:DH$42&gt;$KW$3:$KW$42))+ISBLANK(DH$3:DH$42))</f>
        <v>0</v>
      </c>
      <c r="DI50" s="1">
        <f>SUMPRODUCT((NOT(ISBLANK(DI$3:DI$42))*(DI$3:DI$42&gt;$KX$3:$KX$42))+ISBLANK(DI$3:DI$42))</f>
        <v>0</v>
      </c>
      <c r="DJ50" s="1">
        <f>SUMPRODUCT((NOT(ISBLANK(DJ$3:DJ$42))*(DJ$3:DJ$42&gt;$KY$3:$KY$42))+ISBLANK(DJ$3:DJ$42))</f>
        <v>0</v>
      </c>
      <c r="DK50" s="1">
        <f>SUMPRODUCT((NOT(ISBLANK(DK$3:DK$42))*(DK$3:DK$42&gt;$KZ$3:$KZ$42))+ISBLANK(DK$3:DK$42))</f>
        <v>0</v>
      </c>
      <c r="DL50" s="1">
        <f>SUMPRODUCT((NOT(ISBLANK(DL$3:DL$42))*(DL$3:DL$42&gt;$LA$3:$LA$42))+ISBLANK(DL$3:DL$42))</f>
        <v>0</v>
      </c>
      <c r="DM50" s="1">
        <f>SUMPRODUCT((NOT(ISBLANK(DM$3:DM$42))*(DM$3:DM$42&gt;$LB$3:$LB$42))+ISBLANK(DM$3:DM$42))</f>
        <v>0</v>
      </c>
      <c r="DN50" s="1">
        <f>SUMPRODUCT((NOT(ISBLANK(DN$3:DN$42))*(DN$3:DN$42&gt;$LC$3:$LC$42))+ISBLANK(DN$3:DN$42))</f>
        <v>0</v>
      </c>
      <c r="DO50" s="1">
        <f>SUMPRODUCT((NOT(ISBLANK(DO$3:DO$42))*(DO$3:DO$42&gt;$LD$3:$LD$42))+ISBLANK(DO$3:DO$42))</f>
        <v>0</v>
      </c>
      <c r="DP50" s="1">
        <f>SUMPRODUCT((NOT(ISBLANK(DP$3:DP$42))*(DP$3:DP$42&gt;$LE$3:$LE$42))+ISBLANK(DP$3:DP$42))</f>
        <v>0</v>
      </c>
      <c r="DQ50" s="1">
        <f>SUMPRODUCT((NOT(ISBLANK(DQ$3:DQ$42))*(DQ$3:DQ$42&gt;$LF$3:$LF$42))+ISBLANK(DQ$3:DQ$42))</f>
        <v>0</v>
      </c>
      <c r="DR50" s="1">
        <f>SUMPRODUCT((NOT(ISBLANK(DR$3:DR$42))*(DR$3:DR$42&gt;$LG$3:$LG$42))+ISBLANK(DR$3:DR$42))</f>
        <v>0</v>
      </c>
      <c r="DS50" s="1">
        <f>SUMPRODUCT((NOT(ISBLANK(DS$3:DS$42))*(DS$3:DS$42&gt;$LH$3:$LH$42))+ISBLANK(DS$3:DS$42))</f>
        <v>0</v>
      </c>
      <c r="DT50" s="1"/>
      <c r="DU50" s="1">
        <f>SUMPRODUCT((NOT(ISBLANK(DU$3:DU$42))*(DU$3:DU$42&gt;$LI$3:$LI$42))+ISBLANK(DU$3:DU$42))</f>
        <v>0</v>
      </c>
      <c r="DV50" s="1">
        <f>SUMPRODUCT((NOT(ISBLANK(DV$3:DV$42))*(DV$3:DV$42&gt;$LJ$3:$LJ$42))+ISBLANK(DV$3:DV$42))</f>
        <v>0</v>
      </c>
      <c r="DW50" s="1">
        <f>SUMPRODUCT((NOT(ISBLANK(DW$3:DW$42))*(DW$3:DW$42&gt;$LK$3:$LK$42))+ISBLANK(DW$3:DW$42))</f>
        <v>0</v>
      </c>
      <c r="DX50" s="1">
        <f>SUMPRODUCT((NOT(ISBLANK(DX$3:DX$42))*(DX$3:DX$42&gt;$KU$3:$KU$42))+ISBLANK(DX$3:DX$42))</f>
        <v>0</v>
      </c>
      <c r="DY50" s="1">
        <f>SUMPRODUCT((NOT(ISBLANK(DY$3:DY$42))*(DY$3:DY$42&gt;$KV$3:$KV$42))+ISBLANK(DY$3:DY$42))</f>
        <v>0</v>
      </c>
      <c r="DZ50" s="1">
        <f>SUMPRODUCT((NOT(ISBLANK(DZ$3:DZ$42))*(DZ$3:DZ$42&gt;$KW$3:$KW$42))+ISBLANK(DZ$3:DZ$42))</f>
        <v>0</v>
      </c>
      <c r="EA50" s="1">
        <f>SUMPRODUCT((NOT(ISBLANK(EA$3:EA$42))*(EA$3:EA$42&gt;$KX$3:$KX$42))+ISBLANK(EA$3:EA$42))</f>
        <v>0</v>
      </c>
      <c r="EB50" s="1">
        <f>SUMPRODUCT((NOT(ISBLANK(EB$3:EB$42))*(EB$3:EB$42&gt;$KY$3:$KY$42))+ISBLANK(EB$3:EB$42))</f>
        <v>0</v>
      </c>
      <c r="EC50" s="1">
        <f>SUMPRODUCT((NOT(ISBLANK(EC$3:EC$42))*(EC$3:EC$42&gt;$KZ$3:$KZ$42))+ISBLANK(EC$3:EC$42))</f>
        <v>0</v>
      </c>
      <c r="ED50" s="1">
        <f>SUMPRODUCT((NOT(ISBLANK(ED$3:ED$42))*(ED$3:ED$42&gt;$LA$3:$LA$42))+ISBLANK(ED$3:ED$42))</f>
        <v>0</v>
      </c>
      <c r="EE50" s="1">
        <f>SUMPRODUCT((NOT(ISBLANK(EE$3:EE$42))*(EE$3:EE$42&gt;$LB$3:$LB$42))+ISBLANK(EE$3:EE$42))</f>
        <v>0</v>
      </c>
      <c r="EF50" s="1">
        <f>SUMPRODUCT((NOT(ISBLANK(EF$3:EF$42))*(EF$3:EF$42&gt;$LC$3:$LC$42))+ISBLANK(EF$3:EF$42))</f>
        <v>0</v>
      </c>
      <c r="EG50" s="1">
        <f>SUMPRODUCT((NOT(ISBLANK(EG$3:EG$42))*(EG$3:EG$42&gt;$LD$3:$LD$42))+ISBLANK(EG$3:EG$42))</f>
        <v>0</v>
      </c>
      <c r="EH50" s="1">
        <f>SUMPRODUCT((NOT(ISBLANK(EH$3:EH$42))*(EH$3:EH$42&gt;$LE$3:$LE$42))+ISBLANK(EH$3:EH$42))</f>
        <v>0</v>
      </c>
      <c r="EI50" s="1">
        <f>SUMPRODUCT((NOT(ISBLANK(EI$3:EI$42))*(EI$3:EI$42&gt;$LF$3:$LF$42))+ISBLANK(EI$3:EI$42))</f>
        <v>0</v>
      </c>
      <c r="EJ50" s="1">
        <f>SUMPRODUCT((NOT(ISBLANK(EJ$3:EJ$42))*(EJ$3:EJ$42&gt;$LG$3:$LG$42))+ISBLANK(EJ$3:EJ$42))</f>
        <v>0</v>
      </c>
      <c r="EK50" s="1">
        <f>SUMPRODUCT((NOT(ISBLANK(EK$3:EK$42))*(EK$3:EK$42&gt;$LH$3:$LH$42))+ISBLANK(EK$3:EK$42))</f>
        <v>0</v>
      </c>
      <c r="EL50" s="1"/>
      <c r="EM50" s="1">
        <f>SUMPRODUCT((NOT(ISBLANK(EM$3:EM$42))*(EM$3:EM$42&gt;$LI$3:$LI$42))+ISBLANK(EM$3:EM$42))</f>
        <v>0</v>
      </c>
      <c r="EN50" s="1">
        <f>SUMPRODUCT((NOT(ISBLANK(EN$3:EN$42))*(EN$3:EN$42&gt;$LJ$3:$LJ$42))+ISBLANK(EN$3:EN$42))</f>
        <v>0</v>
      </c>
      <c r="EO50" s="1">
        <f>SUMPRODUCT((NOT(ISBLANK(EO$3:EO$42))*(EO$3:EO$42&gt;$LK$3:$LK$42))+ISBLANK(EO$3:EO$42))</f>
        <v>0</v>
      </c>
      <c r="EP50" s="1">
        <f>SUMPRODUCT((NOT(ISBLANK(EP$3:EP$42))*(EP$3:EP$42&gt;$KU$3:$KU$42))+ISBLANK(EP$3:EP$42))</f>
        <v>0</v>
      </c>
      <c r="EQ50" s="1">
        <f>SUMPRODUCT((NOT(ISBLANK(EQ$3:EQ$42))*(EQ$3:EQ$42&gt;$KV$3:$KV$42))+ISBLANK(EQ$3:EQ$42))</f>
        <v>0</v>
      </c>
      <c r="ER50" s="1">
        <f>SUMPRODUCT((NOT(ISBLANK(ER$3:ER$42))*(ER$3:ER$42&gt;$KW$3:$KW$42))+ISBLANK(ER$3:ER$42))</f>
        <v>0</v>
      </c>
      <c r="ES50" s="1">
        <f>SUMPRODUCT((NOT(ISBLANK(ES$3:ES$42))*(ES$3:ES$42&gt;$KX$3:$KX$42))+ISBLANK(ES$3:ES$42))</f>
        <v>0</v>
      </c>
      <c r="ET50" s="1">
        <f>SUMPRODUCT((NOT(ISBLANK(ET$3:ET$42))*(ET$3:ET$42&gt;$KY$3:$KY$42))+ISBLANK(ET$3:ET$42))</f>
        <v>0</v>
      </c>
      <c r="EU50" s="1">
        <f>SUMPRODUCT((NOT(ISBLANK(EU$3:EU$42))*(EU$3:EU$42&gt;$KZ$3:$KZ$42))+ISBLANK(EU$3:EU$42))</f>
        <v>0</v>
      </c>
      <c r="EV50" s="1">
        <f>SUMPRODUCT((NOT(ISBLANK(EV$3:EV$42))*(EV$3:EV$42&gt;$LA$3:$LA$42))+ISBLANK(EV$3:EV$42))</f>
        <v>0</v>
      </c>
      <c r="EW50" s="1">
        <f>SUMPRODUCT((NOT(ISBLANK(EW$3:EW$42))*(EW$3:EW$42&gt;$LB$3:$LB$42))+ISBLANK(EW$3:EW$42))</f>
        <v>0</v>
      </c>
      <c r="EX50" s="1">
        <f>SUMPRODUCT((NOT(ISBLANK(EX$3:EX$42))*(EX$3:EX$42&gt;$LC$3:$LC$42))+ISBLANK(EX$3:EX$42))</f>
        <v>0</v>
      </c>
      <c r="EY50" s="1">
        <f>SUMPRODUCT((NOT(ISBLANK(EY$3:EY$42))*(EY$3:EY$42&gt;$LD$3:$LD$42))+ISBLANK(EY$3:EY$42))</f>
        <v>0</v>
      </c>
      <c r="EZ50" s="1">
        <f>SUMPRODUCT((NOT(ISBLANK(EZ$3:EZ$42))*(EZ$3:EZ$42&gt;$LE$3:$LE$42))+ISBLANK(EZ$3:EZ$42))</f>
        <v>0</v>
      </c>
      <c r="FA50" s="1">
        <f>SUMPRODUCT((NOT(ISBLANK(FA$3:FA$42))*(FA$3:FA$42&gt;$LF$3:$LF$42))+ISBLANK(FA$3:FA$42))</f>
        <v>0</v>
      </c>
      <c r="FB50" s="1">
        <f>SUMPRODUCT((NOT(ISBLANK(FB$3:FB$42))*(FB$3:FB$42&gt;$LG$3:$LG$42))+ISBLANK(FB$3:FB$42))</f>
        <v>0</v>
      </c>
      <c r="FC50" s="1">
        <f>SUMPRODUCT((NOT(ISBLANK(FC$3:FC$42))*(FC$3:FC$42&gt;$LH$3:$LH$42))+ISBLANK(FC$3:FC$42))</f>
        <v>0</v>
      </c>
      <c r="FD50" s="1"/>
      <c r="FE50" s="1">
        <f>SUMPRODUCT((NOT(ISBLANK(FE$3:FE$42))*(FE$3:FE$42&gt;$LI$3:$LI$42))+ISBLANK(FE$3:FE$42))</f>
        <v>0</v>
      </c>
      <c r="FF50" s="1">
        <f>SUMPRODUCT((NOT(ISBLANK(FF$3:FF$42))*(FF$3:FF$42&gt;$LJ$3:$LJ$42))+ISBLANK(FF$3:FF$42))</f>
        <v>0</v>
      </c>
      <c r="FG50" s="1">
        <f>SUMPRODUCT((NOT(ISBLANK(FG$3:FG$42))*(FG$3:FG$42&gt;$LK$3:$LK$42))+ISBLANK(FG$3:FG$42))</f>
        <v>0</v>
      </c>
      <c r="FH50" s="1">
        <f>SUMPRODUCT((NOT(ISBLANK(FH$3:FH$42))*(FH$3:FH$42&gt;$KU$3:$KU$42))+ISBLANK(FH$3:FH$42))</f>
        <v>0</v>
      </c>
      <c r="FI50" s="1">
        <f>SUMPRODUCT((NOT(ISBLANK(FI$3:FI$42))*(FI$3:FI$42&gt;$KV$3:$KV$42))+ISBLANK(FI$3:FI$42))</f>
        <v>0</v>
      </c>
      <c r="FJ50" s="1">
        <f>SUMPRODUCT((NOT(ISBLANK(FJ$3:FJ$42))*(FJ$3:FJ$42&gt;$KW$3:$KW$42))+ISBLANK(FJ$3:FJ$42))</f>
        <v>0</v>
      </c>
      <c r="FK50" s="1">
        <f>SUMPRODUCT((NOT(ISBLANK(FK$3:FK$42))*(FK$3:FK$42&gt;$KX$3:$KX$42))+ISBLANK(FK$3:FK$42))</f>
        <v>0</v>
      </c>
      <c r="FL50" s="1">
        <f>SUMPRODUCT((NOT(ISBLANK(FL$3:FL$42))*(FL$3:FL$42&gt;$KY$3:$KY$42))+ISBLANK(FL$3:FL$42))</f>
        <v>0</v>
      </c>
      <c r="FM50" s="1">
        <f>SUMPRODUCT((NOT(ISBLANK(FM$3:FM$42))*(FM$3:FM$42&gt;$KZ$3:$KZ$42))+ISBLANK(FM$3:FM$42))</f>
        <v>0</v>
      </c>
      <c r="FN50" s="1">
        <f>SUMPRODUCT((NOT(ISBLANK(FN$3:FN$42))*(FN$3:FN$42&gt;$LA$3:$LA$42))+ISBLANK(FN$3:FN$42))</f>
        <v>0</v>
      </c>
      <c r="FO50" s="1">
        <f>SUMPRODUCT((NOT(ISBLANK(FO$3:FO$42))*(FO$3:FO$42&gt;$LB$3:$LB$42))+ISBLANK(FO$3:FO$42))</f>
        <v>0</v>
      </c>
      <c r="FP50" s="1">
        <f>SUMPRODUCT((NOT(ISBLANK(FP$3:FP$42))*(FP$3:FP$42&gt;$LC$3:$LC$42))+ISBLANK(FP$3:FP$42))</f>
        <v>0</v>
      </c>
      <c r="FQ50" s="1">
        <f>SUMPRODUCT((NOT(ISBLANK(FQ$3:FQ$42))*(FQ$3:FQ$42&gt;$LD$3:$LD$42))+ISBLANK(FQ$3:FQ$42))</f>
        <v>0</v>
      </c>
      <c r="FR50" s="1">
        <f>SUMPRODUCT((NOT(ISBLANK(FR$3:FR$42))*(FR$3:FR$42&gt;$LE$3:$LE$42))+ISBLANK(FR$3:FR$42))</f>
        <v>0</v>
      </c>
      <c r="FS50" s="1">
        <f>SUMPRODUCT((NOT(ISBLANK(FS$3:FS$42))*(FS$3:FS$42&gt;$LF$3:$LF$42))+ISBLANK(FS$3:FS$42))</f>
        <v>0</v>
      </c>
      <c r="FT50" s="1">
        <f>SUMPRODUCT((NOT(ISBLANK(FT$3:FT$42))*(FT$3:FT$42&gt;$LG$3:$LG$42))+ISBLANK(FT$3:FT$42))</f>
        <v>0</v>
      </c>
      <c r="FU50" s="1">
        <f>SUMPRODUCT((NOT(ISBLANK(FU$3:FU$42))*(FU$3:FU$42&gt;$LH$3:$LH$42))+ISBLANK(FU$3:FU$42))</f>
        <v>0</v>
      </c>
      <c r="FV50" s="1"/>
      <c r="FW50" s="1">
        <f>SUMPRODUCT((NOT(ISBLANK(FW$3:FW$42))*(FW$3:FW$42&gt;$LI$3:$LI$42))+ISBLANK(FW$3:FW$42))</f>
        <v>0</v>
      </c>
      <c r="FX50" s="1">
        <f>SUMPRODUCT((NOT(ISBLANK(FX$3:FX$42))*(FX$3:FX$42&gt;$LJ$3:$LJ$42))+ISBLANK(FX$3:FX$42))</f>
        <v>0</v>
      </c>
      <c r="FY50" s="1">
        <f>SUMPRODUCT((NOT(ISBLANK(FY$3:FY$42))*(FY$3:FY$42&gt;$LK$3:$LK$42))+ISBLANK(FY$3:FY$42))</f>
        <v>0</v>
      </c>
      <c r="FZ50" s="1">
        <f>SUMPRODUCT((NOT(ISBLANK(FZ$3:FZ$42))*(FZ$3:FZ$42&gt;$KU$3:$KU$42))+ISBLANK(FZ$3:FZ$42))</f>
        <v>0</v>
      </c>
      <c r="GA50" s="1">
        <f>SUMPRODUCT((NOT(ISBLANK(GA$3:GA$42))*(GA$3:GA$42&gt;$KV$3:$KV$42))+ISBLANK(GA$3:GA$42))</f>
        <v>0</v>
      </c>
      <c r="GB50" s="1">
        <f>SUMPRODUCT((NOT(ISBLANK(GB$3:GB$42))*(GB$3:GB$42&gt;$KW$3:$KW$42))+ISBLANK(GB$3:GB$42))</f>
        <v>0</v>
      </c>
      <c r="GC50" s="1">
        <f>SUMPRODUCT((NOT(ISBLANK(GC$3:GC$42))*(GC$3:GC$42&gt;$KX$3:$KX$42))+ISBLANK(GC$3:GC$42))</f>
        <v>0</v>
      </c>
      <c r="GD50" s="1">
        <f>SUMPRODUCT((NOT(ISBLANK(GD$3:GD$42))*(GD$3:GD$42&gt;$KY$3:$KY$42))+ISBLANK(GD$3:GD$42))</f>
        <v>0</v>
      </c>
      <c r="GE50" s="1">
        <f>SUMPRODUCT((NOT(ISBLANK(GE$3:GE$42))*(GE$3:GE$42&gt;$KZ$3:$KZ$42))+ISBLANK(GE$3:GE$42))</f>
        <v>0</v>
      </c>
      <c r="GF50" s="1">
        <f>SUMPRODUCT((NOT(ISBLANK(GF$3:GF$42))*(GF$3:GF$42&gt;$LA$3:$LA$42))+ISBLANK(GF$3:GF$42))</f>
        <v>0</v>
      </c>
      <c r="GG50" s="1">
        <f>SUMPRODUCT((NOT(ISBLANK(GG$3:GG$42))*(GG$3:GG$42&gt;$LB$3:$LB$42))+ISBLANK(GG$3:GG$42))</f>
        <v>0</v>
      </c>
      <c r="GH50" s="1">
        <f>SUMPRODUCT((NOT(ISBLANK(GH$3:GH$42))*(GH$3:GH$42&gt;$LC$3:$LC$42))+ISBLANK(GH$3:GH$42))</f>
        <v>0</v>
      </c>
      <c r="GI50" s="1">
        <f>SUMPRODUCT((NOT(ISBLANK(GI$3:GI$42))*(GI$3:GI$42&gt;$LD$3:$LD$42))+ISBLANK(GI$3:GI$42))</f>
        <v>0</v>
      </c>
      <c r="GJ50" s="1">
        <f>SUMPRODUCT((NOT(ISBLANK(GJ$3:GJ$42))*(GJ$3:GJ$42&gt;$LE$3:$LE$42))+ISBLANK(GJ$3:GJ$42))</f>
        <v>0</v>
      </c>
      <c r="GK50" s="1">
        <f>SUMPRODUCT((NOT(ISBLANK(GK$3:GK$42))*(GK$3:GK$42&gt;$LF$3:$LF$42))+ISBLANK(GK$3:GK$42))</f>
        <v>0</v>
      </c>
      <c r="GL50" s="1">
        <f>SUMPRODUCT((NOT(ISBLANK(GL$3:GL$42))*(GL$3:GL$42&gt;$LG$3:$LG$42))+ISBLANK(GL$3:GL$42))</f>
        <v>0</v>
      </c>
      <c r="GM50" s="1">
        <f>SUMPRODUCT((NOT(ISBLANK(GM$3:GM$42))*(GM$3:GM$42&gt;$LH$3:$LH$42))+ISBLANK(GM$3:GM$42))</f>
        <v>0</v>
      </c>
      <c r="GN50" s="1"/>
      <c r="GO50" s="1">
        <f>SUMPRODUCT((NOT(ISBLANK(GO$3:GO$42))*(GO$3:GO$42&gt;$LI$3:$LI$42))+ISBLANK(GO$3:GO$42))</f>
        <v>0</v>
      </c>
      <c r="GP50" s="1">
        <f>SUMPRODUCT((NOT(ISBLANK(GP$3:GP$42))*(GP$3:GP$42&gt;$LJ$3:$LJ$42))+ISBLANK(GP$3:GP$42))</f>
        <v>0</v>
      </c>
      <c r="GQ50" s="1">
        <f>SUMPRODUCT((NOT(ISBLANK(GQ$3:GQ$42))*(GQ$3:GQ$42&gt;$LK$3:$LK$42))+ISBLANK(GQ$3:GQ$42))</f>
        <v>0</v>
      </c>
      <c r="GR50" s="1">
        <f>SUMPRODUCT((NOT(ISBLANK(GR$3:GR$42))*(GR$3:GR$42&gt;$KU$3:$KU$42))+ISBLANK(GR$3:GR$42))</f>
        <v>0</v>
      </c>
      <c r="GS50" s="1">
        <f>SUMPRODUCT((NOT(ISBLANK(GS$3:GS$42))*(GS$3:GS$42&gt;$KV$3:$KV$42))+ISBLANK(GS$3:GS$42))</f>
        <v>0</v>
      </c>
      <c r="GT50" s="1">
        <f>SUMPRODUCT((NOT(ISBLANK(GT$3:GT$42))*(GT$3:GT$42&gt;$KW$3:$KW$42))+ISBLANK(GT$3:GT$42))</f>
        <v>0</v>
      </c>
      <c r="GU50" s="1">
        <f>SUMPRODUCT((NOT(ISBLANK(GU$3:GU$42))*(GU$3:GU$42&gt;$KX$3:$KX$42))+ISBLANK(GU$3:GU$42))</f>
        <v>0</v>
      </c>
      <c r="GV50" s="1">
        <f>SUMPRODUCT((NOT(ISBLANK(GV$3:GV$42))*(GV$3:GV$42&gt;$KY$3:$KY$42))+ISBLANK(GV$3:GV$42))</f>
        <v>0</v>
      </c>
      <c r="GW50" s="1">
        <f>SUMPRODUCT((NOT(ISBLANK(GW$3:GW$42))*(GW$3:GW$42&gt;$KZ$3:$KZ$42))+ISBLANK(GW$3:GW$42))</f>
        <v>0</v>
      </c>
      <c r="GX50" s="1">
        <f>SUMPRODUCT((NOT(ISBLANK(GX$3:GX$42))*(GX$3:GX$42&gt;$LA$3:$LA$42))+ISBLANK(GX$3:GX$42))</f>
        <v>0</v>
      </c>
      <c r="GY50" s="1">
        <f>SUMPRODUCT((NOT(ISBLANK(GY$3:GY$42))*(GY$3:GY$42&gt;$LB$3:$LB$42))+ISBLANK(GY$3:GY$42))</f>
        <v>0</v>
      </c>
      <c r="GZ50" s="1">
        <f>SUMPRODUCT((NOT(ISBLANK(GZ$3:GZ$42))*(GZ$3:GZ$42&gt;$LC$3:$LC$42))+ISBLANK(GZ$3:GZ$42))</f>
        <v>0</v>
      </c>
      <c r="HA50" s="1">
        <f>SUMPRODUCT((NOT(ISBLANK(HA$3:HA$42))*(HA$3:HA$42&gt;$LD$3:$LD$42))+ISBLANK(HA$3:HA$42))</f>
        <v>0</v>
      </c>
      <c r="HB50" s="1">
        <f>SUMPRODUCT((NOT(ISBLANK(HB$3:HB$42))*(HB$3:HB$42&gt;$LE$3:$LE$42))+ISBLANK(HB$3:HB$42))</f>
        <v>0</v>
      </c>
      <c r="HC50" s="1">
        <f>SUMPRODUCT((NOT(ISBLANK(HC$3:HC$42))*(HC$3:HC$42&gt;$LF$3:$LF$42))+ISBLANK(HC$3:HC$42))</f>
        <v>0</v>
      </c>
      <c r="HD50" s="1">
        <f>SUMPRODUCT((NOT(ISBLANK(HD$3:HD$42))*(HD$3:HD$42&gt;$LG$3:$LG$42))+ISBLANK(HD$3:HD$42))</f>
        <v>0</v>
      </c>
      <c r="HE50" s="1">
        <f>SUMPRODUCT((NOT(ISBLANK(HE$3:HE$42))*(HE$3:HE$42&gt;$LH$3:$LH$42))+ISBLANK(HE$3:HE$42))</f>
        <v>0</v>
      </c>
      <c r="HF50" s="1"/>
      <c r="HG50" s="1">
        <f>SUMPRODUCT((NOT(ISBLANK(HG$3:HG$42))*(HG$3:HG$42&gt;$LI$3:$LI$42))+ISBLANK(HG$3:HG$42))</f>
        <v>0</v>
      </c>
      <c r="HH50" s="1">
        <f>SUMPRODUCT((NOT(ISBLANK(HH$3:HH$42))*(HH$3:HH$42&gt;$LJ$3:$LJ$42))+ISBLANK(HH$3:HH$42))</f>
        <v>0</v>
      </c>
      <c r="HI50" s="1">
        <f>SUMPRODUCT((NOT(ISBLANK(HI$3:HI$42))*(HI$3:HI$42&gt;$LK$3:$LK$42))+ISBLANK(HI$3:HI$42))</f>
        <v>0</v>
      </c>
      <c r="HJ50" s="1">
        <f>SUMPRODUCT((NOT(ISBLANK(HJ$3:HJ$42))*(HJ$3:HJ$42&gt;$KU$3:$KU$42))+ISBLANK(HJ$3:HJ$42))</f>
        <v>0</v>
      </c>
      <c r="HK50" s="1">
        <f>SUMPRODUCT((NOT(ISBLANK(HK$3:HK$42))*(HK$3:HK$42&gt;$KV$3:$KV$42))+ISBLANK(HK$3:HK$42))</f>
        <v>0</v>
      </c>
      <c r="HL50" s="1">
        <f>SUMPRODUCT((NOT(ISBLANK(HL$3:HL$42))*(HL$3:HL$42&gt;$KW$3:$KW$42))+ISBLANK(HL$3:HL$42))</f>
        <v>0</v>
      </c>
      <c r="HM50" s="1">
        <f>SUMPRODUCT((NOT(ISBLANK(HM$3:HM$42))*(HM$3:HM$42&gt;$KX$3:$KX$42))+ISBLANK(HM$3:HM$42))</f>
        <v>0</v>
      </c>
      <c r="HN50" s="1">
        <f>SUMPRODUCT((NOT(ISBLANK(HN$3:HN$42))*(HN$3:HN$42&gt;$KY$3:$KY$42))+ISBLANK(HN$3:HN$42))</f>
        <v>0</v>
      </c>
      <c r="HO50" s="1">
        <f>SUMPRODUCT((NOT(ISBLANK(HO$3:HO$42))*(HO$3:HO$42&gt;$KZ$3:$KZ$42))+ISBLANK(HO$3:HO$42))</f>
        <v>0</v>
      </c>
      <c r="HP50" s="1">
        <f>SUMPRODUCT((NOT(ISBLANK(HP$3:HP$42))*(HP$3:HP$42&gt;$LA$3:$LA$42))+ISBLANK(HP$3:HP$42))</f>
        <v>0</v>
      </c>
      <c r="HQ50" s="1">
        <f>SUMPRODUCT((NOT(ISBLANK(HQ$3:HQ$42))*(HQ$3:HQ$42&gt;$LB$3:$LB$42))+ISBLANK(HQ$3:HQ$42))</f>
        <v>0</v>
      </c>
      <c r="HR50" s="1">
        <f>SUMPRODUCT((NOT(ISBLANK(HR$3:HR$42))*(HR$3:HR$42&gt;$LC$3:$LC$42))+ISBLANK(HR$3:HR$42))</f>
        <v>0</v>
      </c>
      <c r="HS50" s="1">
        <f>SUMPRODUCT((NOT(ISBLANK(HS$3:HS$42))*(HS$3:HS$42&gt;$LD$3:$LD$42))+ISBLANK(HS$3:HS$42))</f>
        <v>0</v>
      </c>
      <c r="HT50" s="1">
        <f>SUMPRODUCT((NOT(ISBLANK(HT$3:HT$42))*(HT$3:HT$42&gt;$LE$3:$LE$42))+ISBLANK(HT$3:HT$42))</f>
        <v>0</v>
      </c>
      <c r="HU50" s="1">
        <f>SUMPRODUCT((NOT(ISBLANK(HU$3:HU$42))*(HU$3:HU$42&gt;$LF$3:$LF$42))+ISBLANK(HU$3:HU$42))</f>
        <v>0</v>
      </c>
      <c r="HV50" s="1">
        <f>SUMPRODUCT((NOT(ISBLANK(HV$3:HV$42))*(HV$3:HV$42&gt;$LG$3:$LG$42))+ISBLANK(HV$3:HV$42))</f>
        <v>0</v>
      </c>
      <c r="HW50" s="1">
        <f>SUMPRODUCT((NOT(ISBLANK(HW$3:HW$42))*(HW$3:HW$42&gt;$LH$3:$LH$42))+ISBLANK(HW$3:HW$42))</f>
        <v>0</v>
      </c>
      <c r="HX50" s="1"/>
      <c r="HY50" s="1">
        <f>SUMPRODUCT((NOT(ISBLANK(HY$3:HY$42))*(HY$3:HY$42&gt;$LI$3:$LI$42))+ISBLANK(HY$3:HY$42))</f>
        <v>0</v>
      </c>
      <c r="HZ50" s="1">
        <f>SUMPRODUCT((NOT(ISBLANK(HZ$3:HZ$42))*(HZ$3:HZ$42&gt;$LJ$3:$LJ$42))+ISBLANK(HZ$3:HZ$42))</f>
        <v>0</v>
      </c>
      <c r="IA50" s="1">
        <f>SUMPRODUCT((NOT(ISBLANK(IA$3:IA$42))*(IA$3:IA$42&gt;$LK$3:$LK$42))+ISBLANK(IA$3:IA$42))</f>
        <v>0</v>
      </c>
      <c r="IB50" s="1">
        <f>SUMPRODUCT((NOT(ISBLANK(IB$3:IB$42))*(IB$3:IB$42&gt;$KU$3:$KU$42))+ISBLANK(IB$3:IB$42))</f>
        <v>0</v>
      </c>
      <c r="IC50" s="1">
        <f>SUMPRODUCT((NOT(ISBLANK(IC$3:IC$42))*(IC$3:IC$42&gt;$KV$3:$KV$42))+ISBLANK(IC$3:IC$42))</f>
        <v>0</v>
      </c>
      <c r="ID50" s="1">
        <f>SUMPRODUCT((NOT(ISBLANK(ID$3:ID$42))*(ID$3:ID$42&gt;$KW$3:$KW$42))+ISBLANK(ID$3:ID$42))</f>
        <v>0</v>
      </c>
      <c r="IE50" s="1">
        <f>SUMPRODUCT((NOT(ISBLANK(IE$3:IE$42))*(IE$3:IE$42&gt;$KX$3:$KX$42))+ISBLANK(IE$3:IE$42))</f>
        <v>0</v>
      </c>
      <c r="IF50" s="1">
        <f>SUMPRODUCT((NOT(ISBLANK(IF$3:IF$42))*(IF$3:IF$42&gt;$KY$3:$KY$42))+ISBLANK(IF$3:IF$42))</f>
        <v>0</v>
      </c>
      <c r="IG50" s="1">
        <f>SUMPRODUCT((NOT(ISBLANK(IG$3:IG$42))*(IG$3:IG$42&gt;$KZ$3:$KZ$42))+ISBLANK(IG$3:IG$42))</f>
        <v>0</v>
      </c>
      <c r="IH50" s="1">
        <f>SUMPRODUCT((NOT(ISBLANK(IH$3:IH$42))*(IH$3:IH$42&gt;$LA$3:$LA$42))+ISBLANK(IH$3:IH$42))</f>
        <v>0</v>
      </c>
      <c r="II50" s="1">
        <f>SUMPRODUCT((NOT(ISBLANK(II$3:II$42))*(II$3:II$42&gt;$LB$3:$LB$42))+ISBLANK(II$3:II$42))</f>
        <v>0</v>
      </c>
      <c r="IJ50" s="1">
        <f>SUMPRODUCT((NOT(ISBLANK(IJ$3:IJ$42))*(IJ$3:IJ$42&gt;$LC$3:$LC$42))+ISBLANK(IJ$3:IJ$42))</f>
        <v>0</v>
      </c>
      <c r="IK50" s="1">
        <f>SUMPRODUCT((NOT(ISBLANK(IK$3:IK$42))*(IK$3:IK$42&gt;$LD$3:$LD$42))+ISBLANK(IK$3:IK$42))</f>
        <v>0</v>
      </c>
      <c r="IL50" s="1">
        <f>SUMPRODUCT((NOT(ISBLANK(IL$3:IL$42))*(IL$3:IL$42&gt;$LE$3:$LE$42))+ISBLANK(IL$3:IL$42))</f>
        <v>0</v>
      </c>
      <c r="IM50" s="1">
        <f>SUMPRODUCT((NOT(ISBLANK(IM$3:IM$42))*(IM$3:IM$42&gt;$LF$3:$LF$42))+ISBLANK(IM$3:IM$42))</f>
        <v>0</v>
      </c>
      <c r="IN50" s="1">
        <f>SUMPRODUCT((NOT(ISBLANK(IN$3:IN$42))*(IN$3:IN$42&gt;$LG$3:$LG$42))+ISBLANK(IN$3:IN$42))</f>
        <v>0</v>
      </c>
      <c r="IO50" s="1">
        <f>SUMPRODUCT((NOT(ISBLANK(IO$3:IO$42))*(IO$3:IO$42&gt;$LH$3:$LH$42))+ISBLANK(IO$3:IO$42))</f>
        <v>0</v>
      </c>
      <c r="IP50" s="1"/>
      <c r="IQ50" s="1">
        <f>SUMPRODUCT((NOT(ISBLANK(IQ$3:IQ$42))*(IQ$3:IQ$42&gt;$LI$3:$LI$42))+ISBLANK(IQ$3:IQ$42))</f>
        <v>0</v>
      </c>
      <c r="IR50" s="1">
        <f>SUMPRODUCT((NOT(ISBLANK(IR$3:IR$42))*(IR$3:IR$42&gt;$LJ$3:$LJ$42))+ISBLANK(IR$3:IR$42))</f>
        <v>0</v>
      </c>
      <c r="IS50" s="1">
        <f>SUMPRODUCT((NOT(ISBLANK(IS$3:IS$42))*(IS$3:IS$42&gt;$LK$3:$LK$42))+ISBLANK(IS$3:IS$42))</f>
        <v>0</v>
      </c>
      <c r="IT50" s="1">
        <f>SUMPRODUCT((NOT(ISBLANK(IT$3:IT$42))*(IT$3:IT$42&gt;$KU$3:$KU$42))+ISBLANK(IT$3:IT$42))</f>
        <v>0</v>
      </c>
      <c r="IU50" s="1">
        <f>SUMPRODUCT((NOT(ISBLANK(IU$3:IU$42))*(IU$3:IU$42&gt;$KV$3:$KV$42))+ISBLANK(IU$3:IU$42))</f>
        <v>0</v>
      </c>
      <c r="IV50" s="1">
        <f>SUMPRODUCT((NOT(ISBLANK(IV$3:IV$42))*(IV$3:IV$42&gt;$KW$3:$KW$42))+ISBLANK(IV$3:IV$42))</f>
        <v>0</v>
      </c>
      <c r="IW50" s="1">
        <f>SUMPRODUCT((NOT(ISBLANK(IW$3:IW$42))*(IW$3:IW$42&gt;$KX$3:$KX$42))+ISBLANK(IW$3:IW$42))</f>
        <v>0</v>
      </c>
      <c r="IX50" s="1">
        <f>SUMPRODUCT((NOT(ISBLANK(IX$3:IX$42))*(IX$3:IX$42&gt;$KY$3:$KY$42))+ISBLANK(IX$3:IX$42))</f>
        <v>0</v>
      </c>
      <c r="IY50" s="1">
        <f>SUMPRODUCT((NOT(ISBLANK(IY$3:IY$42))*(IY$3:IY$42&gt;$KZ$3:$KZ$42))+ISBLANK(IY$3:IY$42))</f>
        <v>0</v>
      </c>
      <c r="IZ50" s="1">
        <f>SUMPRODUCT((NOT(ISBLANK(IZ$3:IZ$42))*(IZ$3:IZ$42&gt;$LA$3:$LA$42))+ISBLANK(IZ$3:IZ$42))</f>
        <v>0</v>
      </c>
      <c r="JA50" s="1">
        <f>SUMPRODUCT((NOT(ISBLANK(JA$3:JA$42))*(JA$3:JA$42&gt;$LB$3:$LB$42))+ISBLANK(JA$3:JA$42))</f>
        <v>0</v>
      </c>
      <c r="JB50" s="1">
        <f>SUMPRODUCT((NOT(ISBLANK(JB$3:JB$42))*(JB$3:JB$42&gt;$LC$3:$LC$42))+ISBLANK(JB$3:JB$42))</f>
        <v>0</v>
      </c>
      <c r="JC50" s="1">
        <f>SUMPRODUCT((NOT(ISBLANK(JC$3:JC$42))*(JC$3:JC$42&gt;$LD$3:$LD$42))+ISBLANK(JC$3:JC$42))</f>
        <v>0</v>
      </c>
      <c r="JD50" s="1">
        <f>SUMPRODUCT((NOT(ISBLANK(JD$3:JD$42))*(JD$3:JD$42&gt;$LE$3:$LE$42))+ISBLANK(JD$3:JD$42))</f>
        <v>0</v>
      </c>
      <c r="JE50" s="1">
        <f>SUMPRODUCT((NOT(ISBLANK(JE$3:JE$42))*(JE$3:JE$42&gt;$LF$3:$LF$42))+ISBLANK(JE$3:JE$42))</f>
        <v>0</v>
      </c>
      <c r="JF50" s="1">
        <f>SUMPRODUCT((NOT(ISBLANK(JF$3:JF$42))*(JF$3:JF$42&gt;$LG$3:$LG$42))+ISBLANK(JF$3:JF$42))</f>
        <v>0</v>
      </c>
      <c r="JG50" s="1">
        <f>SUMPRODUCT((NOT(ISBLANK(JG$3:JG$42))*(JG$3:JG$42&gt;$LH$3:$LH$42))+ISBLANK(JG$3:JG$42))</f>
        <v>0</v>
      </c>
      <c r="JH50" s="1"/>
      <c r="JI50" s="1">
        <f>SUMPRODUCT((NOT(ISBLANK(JI$3:JI$42))*(JI$3:JI$42&gt;$LI$3:$LI$42))+ISBLANK(JI$3:JI$42))</f>
        <v>0</v>
      </c>
      <c r="JJ50" s="1">
        <f>SUMPRODUCT((NOT(ISBLANK(JJ$3:JJ$42))*(JJ$3:JJ$42&gt;$LJ$3:$LJ$42))+ISBLANK(JJ$3:JJ$42))</f>
        <v>0</v>
      </c>
      <c r="JK50" s="1">
        <f>SUMPRODUCT((NOT(ISBLANK(JK$3:JK$42))*(JK$3:JK$42&gt;$LK$3:$LK$42))+ISBLANK(JK$3:JK$42))</f>
        <v>0</v>
      </c>
      <c r="JL50" s="1">
        <f>SUMPRODUCT((NOT(ISBLANK(JL$3:JL$42))*(JL$3:JL$42&gt;$KU$3:$KU$42))+ISBLANK(JL$3:JL$42))</f>
        <v>0</v>
      </c>
      <c r="JM50" s="1">
        <f>SUMPRODUCT((NOT(ISBLANK(JM$3:JM$42))*(JM$3:JM$42&gt;$KV$3:$KV$42))+ISBLANK(JM$3:JM$42))</f>
        <v>0</v>
      </c>
      <c r="JN50" s="1">
        <f>SUMPRODUCT((NOT(ISBLANK(JN$3:JN$42))*(JN$3:JN$42&gt;$KW$3:$KW$42))+ISBLANK(JN$3:JN$42))</f>
        <v>0</v>
      </c>
      <c r="JO50" s="1">
        <f>SUMPRODUCT((NOT(ISBLANK(JO$3:JO$42))*(JO$3:JO$42&gt;$KX$3:$KX$42))+ISBLANK(JO$3:JO$42))</f>
        <v>0</v>
      </c>
      <c r="JP50" s="1">
        <f>SUMPRODUCT((NOT(ISBLANK(JP$3:JP$42))*(JP$3:JP$42&gt;$KY$3:$KY$42))+ISBLANK(JP$3:JP$42))</f>
        <v>0</v>
      </c>
      <c r="JQ50" s="1">
        <f>SUMPRODUCT((NOT(ISBLANK(JQ$3:JQ$42))*(JQ$3:JQ$42&gt;$KZ$3:$KZ$42))+ISBLANK(JQ$3:JQ$42))</f>
        <v>0</v>
      </c>
      <c r="JR50" s="1">
        <f>SUMPRODUCT((NOT(ISBLANK(JR$3:JR$42))*(JR$3:JR$42&gt;$LA$3:$LA$42))+ISBLANK(JR$3:JR$42))</f>
        <v>0</v>
      </c>
      <c r="JS50" s="1">
        <f>SUMPRODUCT((NOT(ISBLANK(JS$3:JS$42))*(JS$3:JS$42&gt;$LB$3:$LB$42))+ISBLANK(JS$3:JS$42))</f>
        <v>0</v>
      </c>
      <c r="JT50" s="1">
        <f>SUMPRODUCT((NOT(ISBLANK(JT$3:JT$42))*(JT$3:JT$42&gt;$LC$3:$LC$42))+ISBLANK(JT$3:JT$42))</f>
        <v>0</v>
      </c>
      <c r="JU50" s="1">
        <f>SUMPRODUCT((NOT(ISBLANK(JU$3:JU$42))*(JU$3:JU$42&gt;$LD$3:$LD$42))+ISBLANK(JU$3:JU$42))</f>
        <v>0</v>
      </c>
      <c r="JV50" s="1">
        <f>SUMPRODUCT((NOT(ISBLANK(JV$3:JV$42))*(JV$3:JV$42&gt;$LE$3:$LE$42))+ISBLANK(JV$3:JV$42))</f>
        <v>0</v>
      </c>
      <c r="JW50" s="1">
        <f>SUMPRODUCT((NOT(ISBLANK(JW$3:JW$42))*(JW$3:JW$42&gt;$LF$3:$LF$42))+ISBLANK(JW$3:JW$42))</f>
        <v>0</v>
      </c>
      <c r="JX50" s="1">
        <f>SUMPRODUCT((NOT(ISBLANK(JX$3:JX$42))*(JX$3:JX$42&gt;$LG$3:$LG$42))+ISBLANK(JX$3:JX$42))</f>
        <v>0</v>
      </c>
      <c r="JY50" s="1">
        <f>SUMPRODUCT((NOT(ISBLANK(JY$3:JY$42))*(JY$3:JY$42&gt;$LH$3:$LH$42))+ISBLANK(JY$3:JY$42))</f>
        <v>0</v>
      </c>
      <c r="JZ50" s="1"/>
      <c r="KA50" s="1">
        <f>SUMPRODUCT((NOT(ISBLANK(KA$3:KA$42))*(KA$3:KA$42&gt;$LI$3:$LI$42))+ISBLANK(KA$3:KA$42))</f>
        <v>0</v>
      </c>
      <c r="KB50" s="1">
        <f>SUMPRODUCT((NOT(ISBLANK(KB$3:KB$42))*(KB$3:KB$42&gt;$LJ$3:$LJ$42))+ISBLANK(KB$3:KB$42))</f>
        <v>0</v>
      </c>
      <c r="KC50" s="1">
        <f>SUMPRODUCT((NOT(ISBLANK(KC$3:KC$42))*(KC$3:KC$42&gt;$LK$3:$LK$42))+ISBLANK(KC$3:KC$42))</f>
        <v>0</v>
      </c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</row>
    <row r="51" spans="1:340">
      <c r="A51" s="1" t="s">
        <v>47</v>
      </c>
      <c r="B51" s="1">
        <f>SUMPRODUCT((NOT(ISBLANK(B$3:B$42))*(B$3:B$42=$LL$3:$LL$42))+ISBLANK(B$3:B$42))</f>
        <v>0</v>
      </c>
      <c r="C51" s="1">
        <f>SUMPRODUCT((NOT(ISBLANK(C$3:C$42))*(C$3:C$42=$LM$3:$LM$42))+ISBLANK(C$3:C$42))</f>
        <v>0</v>
      </c>
      <c r="D51" s="1">
        <f>SUMPRODUCT((NOT(ISBLANK(D$3:D$42))*(D$3:D$42=$LN$3:$LN$42))+ISBLANK(D$3:D$42))</f>
        <v>0</v>
      </c>
      <c r="E51" s="1">
        <f>SUMPRODUCT((NOT(ISBLANK(E$3:E$42))*(E$3:E$42=$LO$3:$LO$42))+ISBLANK(E$3:E$42))</f>
        <v>0</v>
      </c>
      <c r="F51" s="1">
        <f>SUMPRODUCT((NOT(ISBLANK(F$3:F$42))*(F$3:F$42=$LP$3:$LP$42))+ISBLANK(F$3:F$42))</f>
        <v>0</v>
      </c>
      <c r="G51" s="1">
        <f>SUMPRODUCT((NOT(ISBLANK(G$3:G$42))*(G$3:G$42=$LQ$3:$LQ$42))+ISBLANK(G$3:G$42))</f>
        <v>0</v>
      </c>
      <c r="H51" s="1">
        <f>SUMPRODUCT((NOT(ISBLANK(H$3:H$42))*(H$3:H$42=$LR$3:$LR$42))+ISBLANK(H$3:H$42))</f>
        <v>0</v>
      </c>
      <c r="I51" s="1">
        <f>SUMPRODUCT((NOT(ISBLANK(I$3:I$42))*(I$3:I$42=$LS$3:$LS$42))+ISBLANK(I$3:I$42))</f>
        <v>0</v>
      </c>
      <c r="J51" s="1">
        <f>SUMPRODUCT((NOT(ISBLANK(J$3:J$42))*(J$3:J$42=$LT$3:$LT$42))+ISBLANK(J$3:J$42))</f>
        <v>0</v>
      </c>
      <c r="K51" s="1">
        <f>SUMPRODUCT((NOT(ISBLANK(K$3:K$42))*(K$3:K$42=$LU$3:$LU$42))+ISBLANK(K$3:K$42))</f>
        <v>0</v>
      </c>
      <c r="L51" s="1">
        <f>SUMPRODUCT((NOT(ISBLANK(L$3:L$42))*(L$3:L$42=$LV$3:$LV$42))+ISBLANK(L$3:L$42))</f>
        <v>0</v>
      </c>
      <c r="M51" s="1">
        <f>SUMPRODUCT((NOT(ISBLANK(M$3:M$42))*(M$3:M$42=$LW$3:$LW$42))+ISBLANK(M$3:M$42))</f>
        <v>0</v>
      </c>
      <c r="N51" s="1">
        <f>SUMPRODUCT((NOT(ISBLANK(N$3:N$42))*(N$3:N$42=$LX$3:$LX$42))+ISBLANK(N$3:N$42))</f>
        <v>0</v>
      </c>
      <c r="O51" s="1">
        <f>SUMPRODUCT((NOT(ISBLANK(O$3:O$42))*(O$3:O$42=$LY$3:$LY$42))+ISBLANK(O$3:O$42))</f>
        <v>0</v>
      </c>
      <c r="P51" s="1"/>
      <c r="Q51" s="1">
        <f>SUMPRODUCT((NOT(ISBLANK(Q$3:Q$42))*(Q$3:Q$42=$LZ$3:$LZ$42))+ISBLANK(Q$3:Q$42))</f>
        <v>0</v>
      </c>
      <c r="R51" s="1">
        <f>SUMPRODUCT((NOT(ISBLANK(R$3:R$42))*(R$3:R$42=$MA$3:$MA$42))+ISBLANK(R$3:R$42))</f>
        <v>0</v>
      </c>
      <c r="S51" s="1">
        <f>SUMPRODUCT((NOT(ISBLANK(S$3:S$42))*(S$3:S$42=$MB$3:$MB$42))+ISBLANK(S$3:S$42))</f>
        <v>0</v>
      </c>
      <c r="T51" s="1">
        <f>SUMPRODUCT((NOT(ISBLANK(T$3:T$42))*(T$3:T$42=$LL$3:$LL$42))+ISBLANK(T$3:T$42))</f>
        <v>0</v>
      </c>
      <c r="U51" s="1">
        <f>SUMPRODUCT((NOT(ISBLANK(U$3:U$42))*(U$3:U$42=$LM$3:$LM$42))+ISBLANK(U$3:U$42))</f>
        <v>0</v>
      </c>
      <c r="V51" s="1">
        <f>SUMPRODUCT((NOT(ISBLANK(V$3:V$42))*(V$3:V$42=$LN$3:$LN$42))+ISBLANK(V$3:V$42))</f>
        <v>0</v>
      </c>
      <c r="W51" s="1">
        <f>SUMPRODUCT((NOT(ISBLANK(W$3:W$42))*(W$3:W$42=$LO$3:$LO$42))+ISBLANK(W$3:W$42))</f>
        <v>0</v>
      </c>
      <c r="X51" s="1">
        <f>SUMPRODUCT((NOT(ISBLANK(X$3:X$42))*(X$3:X$42=$LP$3:$LP$42))+ISBLANK(X$3:X$42))</f>
        <v>0</v>
      </c>
      <c r="Y51" s="1">
        <f>SUMPRODUCT((NOT(ISBLANK(Y$3:Y$42))*(Y$3:Y$42=$LQ$3:$LQ$42))+ISBLANK(Y$3:Y$42))</f>
        <v>0</v>
      </c>
      <c r="Z51" s="1">
        <f>SUMPRODUCT((NOT(ISBLANK(Z$3:Z$42))*(Z$3:Z$42=$LR$3:$LR$42))+ISBLANK(Z$3:Z$42))</f>
        <v>0</v>
      </c>
      <c r="AA51" s="1">
        <f>SUMPRODUCT((NOT(ISBLANK(AA$3:AA$42))*(AA$3:AA$42=$LS$3:$LS$42))+ISBLANK(AA$3:AA$42))</f>
        <v>0</v>
      </c>
      <c r="AB51" s="1">
        <f>SUMPRODUCT((NOT(ISBLANK(AB$3:AB$42))*(AB$3:AB$42=$LT$3:$LT$42))+ISBLANK(AB$3:AB$42))</f>
        <v>0</v>
      </c>
      <c r="AC51" s="1">
        <f>SUMPRODUCT((NOT(ISBLANK(AC$3:AC$42))*(AC$3:AC$42=$LU$3:$LU$42))+ISBLANK(AC$3:AC$42))</f>
        <v>0</v>
      </c>
      <c r="AD51" s="1">
        <f>SUMPRODUCT((NOT(ISBLANK(AD$3:AD$42))*(AD$3:AD$42=$LV$3:$LV$42))+ISBLANK(AD$3:AD$42))</f>
        <v>0</v>
      </c>
      <c r="AE51" s="1">
        <f>SUMPRODUCT((NOT(ISBLANK(AE$3:AE$42))*(AE$3:AE$42=$LW$3:$LW$42))+ISBLANK(AE$3:AE$42))</f>
        <v>0</v>
      </c>
      <c r="AF51" s="1">
        <f>SUMPRODUCT((NOT(ISBLANK(AF$3:AF$42))*(AF$3:AF$42=$LX$3:$LX$42))+ISBLANK(AF$3:AF$42))</f>
        <v>0</v>
      </c>
      <c r="AG51" s="1">
        <f>SUMPRODUCT((NOT(ISBLANK(AG$3:AG$42))*(AG$3:AG$42=$LY$3:$LY$42))+ISBLANK(AG$3:AG$42))</f>
        <v>0</v>
      </c>
      <c r="AH51" s="1"/>
      <c r="AI51" s="1">
        <f>SUMPRODUCT((NOT(ISBLANK(AI$3:AI$42))*(AI$3:AI$42=$LZ$3:$LZ$42))+ISBLANK(AI$3:AI$42))</f>
        <v>0</v>
      </c>
      <c r="AJ51" s="1">
        <f>SUMPRODUCT((NOT(ISBLANK(AJ$3:AJ$42))*(AJ$3:AJ$42=$MA$3:$MA$42))+ISBLANK(AJ$3:AJ$42))</f>
        <v>0</v>
      </c>
      <c r="AK51" s="1">
        <f>SUMPRODUCT((NOT(ISBLANK(AK$3:AK$42))*(AK$3:AK$42=$MB$3:$MB$42))+ISBLANK(AK$3:AK$42))</f>
        <v>0</v>
      </c>
      <c r="AL51" s="1">
        <f>SUMPRODUCT((NOT(ISBLANK(AL$3:AL$42))*(AL$3:AL$42=$LL$3:$LL$42))+ISBLANK(AL$3:AL$42))</f>
        <v>0</v>
      </c>
      <c r="AM51" s="1">
        <f>SUMPRODUCT((NOT(ISBLANK(AM$3:AM$42))*(AM$3:AM$42=$LM$3:$LM$42))+ISBLANK(AM$3:AM$42))</f>
        <v>0</v>
      </c>
      <c r="AN51" s="1">
        <f>SUMPRODUCT((NOT(ISBLANK(AN$3:AN$42))*(AN$3:AN$42=$LN$3:$LN$42))+ISBLANK(AN$3:AN$42))</f>
        <v>0</v>
      </c>
      <c r="AO51" s="1">
        <f>SUMPRODUCT((NOT(ISBLANK(AO$3:AO$42))*(AO$3:AO$42=$LO$3:$LO$42))+ISBLANK(AO$3:AO$42))</f>
        <v>0</v>
      </c>
      <c r="AP51" s="1">
        <f>SUMPRODUCT((NOT(ISBLANK(AP$3:AP$42))*(AP$3:AP$42=$LP$3:$LP$42))+ISBLANK(AP$3:AP$42))</f>
        <v>0</v>
      </c>
      <c r="AQ51" s="1">
        <f>SUMPRODUCT((NOT(ISBLANK(AQ$3:AQ$42))*(AQ$3:AQ$42=$LQ$3:$LQ$42))+ISBLANK(AQ$3:AQ$42))</f>
        <v>0</v>
      </c>
      <c r="AR51" s="1">
        <f>SUMPRODUCT((NOT(ISBLANK(AR$3:AR$42))*(AR$3:AR$42=$LR$3:$LR$42))+ISBLANK(AR$3:AR$42))</f>
        <v>0</v>
      </c>
      <c r="AS51" s="1">
        <f>SUMPRODUCT((NOT(ISBLANK(AS$3:AS$42))*(AS$3:AS$42=$LS$3:$LS$42))+ISBLANK(AS$3:AS$42))</f>
        <v>0</v>
      </c>
      <c r="AT51" s="1">
        <f>SUMPRODUCT((NOT(ISBLANK(AT$3:AT$42))*(AT$3:AT$42=$LT$3:$LT$42))+ISBLANK(AT$3:AT$42))</f>
        <v>0</v>
      </c>
      <c r="AU51" s="1">
        <f>SUMPRODUCT((NOT(ISBLANK(AU$3:AU$42))*(AU$3:AU$42=$LU$3:$LU$42))+ISBLANK(AU$3:AU$42))</f>
        <v>0</v>
      </c>
      <c r="AV51" s="1">
        <f>SUMPRODUCT((NOT(ISBLANK(AV$3:AV$42))*(AV$3:AV$42=$LV$3:$LV$42))+ISBLANK(AV$3:AV$42))</f>
        <v>0</v>
      </c>
      <c r="AW51" s="1">
        <f>SUMPRODUCT((NOT(ISBLANK(AW$3:AW$42))*(AW$3:AW$42=$LW$3:$LW$42))+ISBLANK(AW$3:AW$42))</f>
        <v>0</v>
      </c>
      <c r="AX51" s="1">
        <f>SUMPRODUCT((NOT(ISBLANK(AX$3:AX$42))*(AX$3:AX$42=$LX$3:$LX$42))+ISBLANK(AX$3:AX$42))</f>
        <v>0</v>
      </c>
      <c r="AY51" s="1">
        <f>SUMPRODUCT((NOT(ISBLANK(AY$3:AY$42))*(AY$3:AY$42=$LY$3:$LY$42))+ISBLANK(AY$3:AY$42))</f>
        <v>0</v>
      </c>
      <c r="AZ51" s="1"/>
      <c r="BA51" s="1">
        <f>SUMPRODUCT((NOT(ISBLANK(BA$3:BA$42))*(BA$3:BA$42=$LZ$3:$LZ$42))+ISBLANK(BA$3:BA$42))</f>
        <v>0</v>
      </c>
      <c r="BB51" s="1">
        <f>SUMPRODUCT((NOT(ISBLANK(BB$3:BB$42))*(BB$3:BB$42=$MA$3:$MA$42))+ISBLANK(BB$3:BB$42))</f>
        <v>0</v>
      </c>
      <c r="BC51" s="1">
        <f>SUMPRODUCT((NOT(ISBLANK(BC$3:BC$42))*(BC$3:BC$42=$MB$3:$MB$42))+ISBLANK(BC$3:BC$42))</f>
        <v>0</v>
      </c>
      <c r="BD51" s="1">
        <f>SUMPRODUCT((NOT(ISBLANK(BD$3:BD$42))*(BD$3:BD$42=$LL$3:$LL$42))+ISBLANK(BD$3:BD$42))</f>
        <v>0</v>
      </c>
      <c r="BE51" s="1">
        <f>SUMPRODUCT((NOT(ISBLANK(BE$3:BE$42))*(BE$3:BE$42=$LM$3:$LM$42))+ISBLANK(BE$3:BE$42))</f>
        <v>0</v>
      </c>
      <c r="BF51" s="1">
        <f>SUMPRODUCT((NOT(ISBLANK(BF$3:BF$42))*(BF$3:BF$42=$LN$3:$LN$42))+ISBLANK(BF$3:BF$42))</f>
        <v>0</v>
      </c>
      <c r="BG51" s="1">
        <f>SUMPRODUCT((NOT(ISBLANK(BG$3:BG$42))*(BG$3:BG$42=$LO$3:$LO$42))+ISBLANK(BG$3:BG$42))</f>
        <v>0</v>
      </c>
      <c r="BH51" s="1">
        <f>SUMPRODUCT((NOT(ISBLANK(BH$3:BH$42))*(BH$3:BH$42=$LP$3:$LP$42))+ISBLANK(BH$3:BH$42))</f>
        <v>0</v>
      </c>
      <c r="BI51" s="1">
        <f>SUMPRODUCT((NOT(ISBLANK(BI$3:BI$42))*(BI$3:BI$42=$LQ$3:$LQ$42))+ISBLANK(BI$3:BI$42))</f>
        <v>0</v>
      </c>
      <c r="BJ51" s="1">
        <f>SUMPRODUCT((NOT(ISBLANK(BJ$3:BJ$42))*(BJ$3:BJ$42=$LR$3:$LR$42))+ISBLANK(BJ$3:BJ$42))</f>
        <v>0</v>
      </c>
      <c r="BK51" s="1">
        <f>SUMPRODUCT((NOT(ISBLANK(BK$3:BK$42))*(BK$3:BK$42=$LS$3:$LS$42))+ISBLANK(BK$3:BK$42))</f>
        <v>0</v>
      </c>
      <c r="BL51" s="1">
        <f>SUMPRODUCT((NOT(ISBLANK(BL$3:BL$42))*(BL$3:BL$42=$LT$3:$LT$42))+ISBLANK(BL$3:BL$42))</f>
        <v>0</v>
      </c>
      <c r="BM51" s="1">
        <f>SUMPRODUCT((NOT(ISBLANK(BM$3:BM$42))*(BM$3:BM$42=$LU$3:$LU$42))+ISBLANK(BM$3:BM$42))</f>
        <v>0</v>
      </c>
      <c r="BN51" s="1">
        <f>SUMPRODUCT((NOT(ISBLANK(BN$3:BN$42))*(BN$3:BN$42=$LV$3:$LV$42))+ISBLANK(BN$3:BN$42))</f>
        <v>0</v>
      </c>
      <c r="BO51" s="1">
        <f>SUMPRODUCT((NOT(ISBLANK(BO$3:BO$42))*(BO$3:BO$42=$LW$3:$LW$42))+ISBLANK(BO$3:BO$42))</f>
        <v>0</v>
      </c>
      <c r="BP51" s="1">
        <f>SUMPRODUCT((NOT(ISBLANK(BP$3:BP$42))*(BP$3:BP$42=$LX$3:$LX$42))+ISBLANK(BP$3:BP$42))</f>
        <v>0</v>
      </c>
      <c r="BQ51" s="1">
        <f>SUMPRODUCT((NOT(ISBLANK(BQ$3:BQ$42))*(BQ$3:BQ$42=$LY$3:$LY$42))+ISBLANK(BQ$3:BQ$42))</f>
        <v>0</v>
      </c>
      <c r="BR51" s="1"/>
      <c r="BS51" s="1">
        <f>SUMPRODUCT((NOT(ISBLANK(BS$3:BS$42))*(BS$3:BS$42=$LZ$3:$LZ$42))+ISBLANK(BS$3:BS$42))</f>
        <v>0</v>
      </c>
      <c r="BT51" s="1">
        <f>SUMPRODUCT((NOT(ISBLANK(BT$3:BT$42))*(BT$3:BT$42=$MA$3:$MA$42))+ISBLANK(BT$3:BT$42))</f>
        <v>0</v>
      </c>
      <c r="BU51" s="1">
        <f>SUMPRODUCT((NOT(ISBLANK(BU$3:BU$42))*(BU$3:BU$42=$MB$3:$MB$42))+ISBLANK(BU$3:BU$42))</f>
        <v>0</v>
      </c>
      <c r="BV51" s="1">
        <f>SUMPRODUCT((NOT(ISBLANK(BV$3:BV$42))*(BV$3:BV$42=$LL$3:$LL$42))+ISBLANK(BV$3:BV$42))</f>
        <v>0</v>
      </c>
      <c r="BW51" s="1">
        <f>SUMPRODUCT((NOT(ISBLANK(BW$3:BW$42))*(BW$3:BW$42=$LM$3:$LM$42))+ISBLANK(BW$3:BW$42))</f>
        <v>0</v>
      </c>
      <c r="BX51" s="1">
        <f>SUMPRODUCT((NOT(ISBLANK(BX$3:BX$42))*(BX$3:BX$42=$LN$3:$LN$42))+ISBLANK(BX$3:BX$42))</f>
        <v>0</v>
      </c>
      <c r="BY51" s="1">
        <f>SUMPRODUCT((NOT(ISBLANK(BY$3:BY$42))*(BY$3:BY$42=$LO$3:$LO$42))+ISBLANK(BY$3:BY$42))</f>
        <v>0</v>
      </c>
      <c r="BZ51" s="1">
        <f>SUMPRODUCT((NOT(ISBLANK(BZ$3:BZ$42))*(BZ$3:BZ$42=$LP$3:$LP$42))+ISBLANK(BZ$3:BZ$42))</f>
        <v>0</v>
      </c>
      <c r="CA51" s="1">
        <f>SUMPRODUCT((NOT(ISBLANK(CA$3:CA$42))*(CA$3:CA$42=$LQ$3:$LQ$42))+ISBLANK(CA$3:CA$42))</f>
        <v>0</v>
      </c>
      <c r="CB51" s="1">
        <f>SUMPRODUCT((NOT(ISBLANK(CB$3:CB$42))*(CB$3:CB$42=$LR$3:$LR$42))+ISBLANK(CB$3:CB$42))</f>
        <v>0</v>
      </c>
      <c r="CC51" s="1">
        <f>SUMPRODUCT((NOT(ISBLANK(CC$3:CC$42))*(CC$3:CC$42=$LS$3:$LS$42))+ISBLANK(CC$3:CC$42))</f>
        <v>0</v>
      </c>
      <c r="CD51" s="1">
        <f>SUMPRODUCT((NOT(ISBLANK(CD$3:CD$42))*(CD$3:CD$42=$LT$3:$LT$42))+ISBLANK(CD$3:CD$42))</f>
        <v>0</v>
      </c>
      <c r="CE51" s="1">
        <f>SUMPRODUCT((NOT(ISBLANK(CE$3:CE$42))*(CE$3:CE$42=$LU$3:$LU$42))+ISBLANK(CE$3:CE$42))</f>
        <v>0</v>
      </c>
      <c r="CF51" s="1">
        <f>SUMPRODUCT((NOT(ISBLANK(CF$3:CF$42))*(CF$3:CF$42=$LV$3:$LV$42))+ISBLANK(CF$3:CF$42))</f>
        <v>0</v>
      </c>
      <c r="CG51" s="1">
        <f>SUMPRODUCT((NOT(ISBLANK(CG$3:CG$42))*(CG$3:CG$42=$LW$3:$LW$42))+ISBLANK(CG$3:CG$42))</f>
        <v>0</v>
      </c>
      <c r="CH51" s="1">
        <f>SUMPRODUCT((NOT(ISBLANK(CH$3:CH$42))*(CH$3:CH$42=$LX$3:$LX$42))+ISBLANK(CH$3:CH$42))</f>
        <v>0</v>
      </c>
      <c r="CI51" s="1">
        <f>SUMPRODUCT((NOT(ISBLANK(CI$3:CI$42))*(CI$3:CI$42=$LY$3:$LY$42))+ISBLANK(CI$3:CI$42))</f>
        <v>0</v>
      </c>
      <c r="CJ51" s="1"/>
      <c r="CK51" s="1">
        <f>SUMPRODUCT((NOT(ISBLANK(CK$3:CK$42))*(CK$3:CK$42=$LZ$3:$LZ$42))+ISBLANK(CK$3:CK$42))</f>
        <v>0</v>
      </c>
      <c r="CL51" s="1">
        <f>SUMPRODUCT((NOT(ISBLANK(CL$3:CL$42))*(CL$3:CL$42=$MA$3:$MA$42))+ISBLANK(CL$3:CL$42))</f>
        <v>0</v>
      </c>
      <c r="CM51" s="1">
        <f>SUMPRODUCT((NOT(ISBLANK(CM$3:CM$42))*(CM$3:CM$42=$MB$3:$MB$42))+ISBLANK(CM$3:CM$42))</f>
        <v>0</v>
      </c>
      <c r="CN51" s="1">
        <f>SUMPRODUCT((NOT(ISBLANK(CN$3:CN$42))*(CN$3:CN$42=$LL$3:$LL$42))+ISBLANK(CN$3:CN$42))</f>
        <v>0</v>
      </c>
      <c r="CO51" s="1">
        <f>SUMPRODUCT((NOT(ISBLANK(CO$3:CO$42))*(CO$3:CO$42=$LM$3:$LM$42))+ISBLANK(CO$3:CO$42))</f>
        <v>0</v>
      </c>
      <c r="CP51" s="1">
        <f>SUMPRODUCT((NOT(ISBLANK(CP$3:CP$42))*(CP$3:CP$42=$LN$3:$LN$42))+ISBLANK(CP$3:CP$42))</f>
        <v>0</v>
      </c>
      <c r="CQ51" s="1">
        <f>SUMPRODUCT((NOT(ISBLANK(CQ$3:CQ$42))*(CQ$3:CQ$42=$LO$3:$LO$42))+ISBLANK(CQ$3:CQ$42))</f>
        <v>0</v>
      </c>
      <c r="CR51" s="1">
        <f>SUMPRODUCT((NOT(ISBLANK(CR$3:CR$42))*(CR$3:CR$42=$LP$3:$LP$42))+ISBLANK(CR$3:CR$42))</f>
        <v>0</v>
      </c>
      <c r="CS51" s="1">
        <f>SUMPRODUCT((NOT(ISBLANK(CS$3:CS$42))*(CS$3:CS$42=$LQ$3:$LQ$42))+ISBLANK(CS$3:CS$42))</f>
        <v>0</v>
      </c>
      <c r="CT51" s="1">
        <f>SUMPRODUCT((NOT(ISBLANK(CT$3:CT$42))*(CT$3:CT$42=$LR$3:$LR$42))+ISBLANK(CT$3:CT$42))</f>
        <v>0</v>
      </c>
      <c r="CU51" s="1">
        <f>SUMPRODUCT((NOT(ISBLANK(CU$3:CU$42))*(CU$3:CU$42=$LS$3:$LS$42))+ISBLANK(CU$3:CU$42))</f>
        <v>0</v>
      </c>
      <c r="CV51" s="1">
        <f>SUMPRODUCT((NOT(ISBLANK(CV$3:CV$42))*(CV$3:CV$42=$LT$3:$LT$42))+ISBLANK(CV$3:CV$42))</f>
        <v>0</v>
      </c>
      <c r="CW51" s="1">
        <f>SUMPRODUCT((NOT(ISBLANK(CW$3:CW$42))*(CW$3:CW$42=$LU$3:$LU$42))+ISBLANK(CW$3:CW$42))</f>
        <v>0</v>
      </c>
      <c r="CX51" s="1">
        <f>SUMPRODUCT((NOT(ISBLANK(CX$3:CX$42))*(CX$3:CX$42=$LV$3:$LV$42))+ISBLANK(CX$3:CX$42))</f>
        <v>0</v>
      </c>
      <c r="CY51" s="1">
        <f>SUMPRODUCT((NOT(ISBLANK(CY$3:CY$42))*(CY$3:CY$42=$LW$3:$LW$42))+ISBLANK(CY$3:CY$42))</f>
        <v>0</v>
      </c>
      <c r="CZ51" s="1">
        <f>SUMPRODUCT((NOT(ISBLANK(CZ$3:CZ$42))*(CZ$3:CZ$42=$LX$3:$LX$42))+ISBLANK(CZ$3:CZ$42))</f>
        <v>0</v>
      </c>
      <c r="DA51" s="1">
        <f>SUMPRODUCT((NOT(ISBLANK(DA$3:DA$42))*(DA$3:DA$42=$LY$3:$LY$42))+ISBLANK(DA$3:DA$42))</f>
        <v>0</v>
      </c>
      <c r="DB51" s="1"/>
      <c r="DC51" s="1">
        <f>SUMPRODUCT((NOT(ISBLANK(DC$3:DC$42))*(DC$3:DC$42=$LZ$3:$LZ$42))+ISBLANK(DC$3:DC$42))</f>
        <v>0</v>
      </c>
      <c r="DD51" s="1">
        <f>SUMPRODUCT((NOT(ISBLANK(DD$3:DD$42))*(DD$3:DD$42=$MA$3:$MA$42))+ISBLANK(DD$3:DD$42))</f>
        <v>0</v>
      </c>
      <c r="DE51" s="1">
        <f>SUMPRODUCT((NOT(ISBLANK(DE$3:DE$42))*(DE$3:DE$42=$MB$3:$MB$42))+ISBLANK(DE$3:DE$42))</f>
        <v>0</v>
      </c>
      <c r="DF51" s="1">
        <f>SUMPRODUCT((NOT(ISBLANK(DF$3:DF$42))*(DF$3:DF$42=$LL$3:$LL$42))+ISBLANK(DF$3:DF$42))</f>
        <v>0</v>
      </c>
      <c r="DG51" s="1">
        <f>SUMPRODUCT((NOT(ISBLANK(DG$3:DG$42))*(DG$3:DG$42=$LM$3:$LM$42))+ISBLANK(DG$3:DG$42))</f>
        <v>0</v>
      </c>
      <c r="DH51" s="1">
        <f>SUMPRODUCT((NOT(ISBLANK(DH$3:DH$42))*(DH$3:DH$42=$LN$3:$LN$42))+ISBLANK(DH$3:DH$42))</f>
        <v>0</v>
      </c>
      <c r="DI51" s="1">
        <f>SUMPRODUCT((NOT(ISBLANK(DI$3:DI$42))*(DI$3:DI$42=$LO$3:$LO$42))+ISBLANK(DI$3:DI$42))</f>
        <v>0</v>
      </c>
      <c r="DJ51" s="1">
        <f>SUMPRODUCT((NOT(ISBLANK(DJ$3:DJ$42))*(DJ$3:DJ$42=$LP$3:$LP$42))+ISBLANK(DJ$3:DJ$42))</f>
        <v>0</v>
      </c>
      <c r="DK51" s="1">
        <f>SUMPRODUCT((NOT(ISBLANK(DK$3:DK$42))*(DK$3:DK$42=$LQ$3:$LQ$42))+ISBLANK(DK$3:DK$42))</f>
        <v>0</v>
      </c>
      <c r="DL51" s="1">
        <f>SUMPRODUCT((NOT(ISBLANK(DL$3:DL$42))*(DL$3:DL$42=$LR$3:$LR$42))+ISBLANK(DL$3:DL$42))</f>
        <v>0</v>
      </c>
      <c r="DM51" s="1">
        <f>SUMPRODUCT((NOT(ISBLANK(DM$3:DM$42))*(DM$3:DM$42=$LS$3:$LS$42))+ISBLANK(DM$3:DM$42))</f>
        <v>0</v>
      </c>
      <c r="DN51" s="1">
        <f>SUMPRODUCT((NOT(ISBLANK(DN$3:DN$42))*(DN$3:DN$42=$LT$3:$LT$42))+ISBLANK(DN$3:DN$42))</f>
        <v>0</v>
      </c>
      <c r="DO51" s="1">
        <f>SUMPRODUCT((NOT(ISBLANK(DO$3:DO$42))*(DO$3:DO$42=$LU$3:$LU$42))+ISBLANK(DO$3:DO$42))</f>
        <v>0</v>
      </c>
      <c r="DP51" s="1">
        <f>SUMPRODUCT((NOT(ISBLANK(DP$3:DP$42))*(DP$3:DP$42=$LV$3:$LV$42))+ISBLANK(DP$3:DP$42))</f>
        <v>0</v>
      </c>
      <c r="DQ51" s="1">
        <f>SUMPRODUCT((NOT(ISBLANK(DQ$3:DQ$42))*(DQ$3:DQ$42=$LW$3:$LW$42))+ISBLANK(DQ$3:DQ$42))</f>
        <v>0</v>
      </c>
      <c r="DR51" s="1">
        <f>SUMPRODUCT((NOT(ISBLANK(DR$3:DR$42))*(DR$3:DR$42=$LX$3:$LX$42))+ISBLANK(DR$3:DR$42))</f>
        <v>0</v>
      </c>
      <c r="DS51" s="1">
        <f>SUMPRODUCT((NOT(ISBLANK(DS$3:DS$42))*(DS$3:DS$42=$LY$3:$LY$42))+ISBLANK(DS$3:DS$42))</f>
        <v>0</v>
      </c>
      <c r="DT51" s="1"/>
      <c r="DU51" s="1">
        <f>SUMPRODUCT((NOT(ISBLANK(DU$3:DU$42))*(DU$3:DU$42=$LZ$3:$LZ$42))+ISBLANK(DU$3:DU$42))</f>
        <v>0</v>
      </c>
      <c r="DV51" s="1">
        <f>SUMPRODUCT((NOT(ISBLANK(DV$3:DV$42))*(DV$3:DV$42=$MA$3:$MA$42))+ISBLANK(DV$3:DV$42))</f>
        <v>0</v>
      </c>
      <c r="DW51" s="1">
        <f>SUMPRODUCT((NOT(ISBLANK(DW$3:DW$42))*(DW$3:DW$42=$MB$3:$MB$42))+ISBLANK(DW$3:DW$42))</f>
        <v>0</v>
      </c>
      <c r="DX51" s="1">
        <f>SUMPRODUCT((NOT(ISBLANK(DX$3:DX$42))*(DX$3:DX$42=$LL$3:$LL$42))+ISBLANK(DX$3:DX$42))</f>
        <v>0</v>
      </c>
      <c r="DY51" s="1">
        <f>SUMPRODUCT((NOT(ISBLANK(DY$3:DY$42))*(DY$3:DY$42=$LM$3:$LM$42))+ISBLANK(DY$3:DY$42))</f>
        <v>0</v>
      </c>
      <c r="DZ51" s="1">
        <f>SUMPRODUCT((NOT(ISBLANK(DZ$3:DZ$42))*(DZ$3:DZ$42=$LN$3:$LN$42))+ISBLANK(DZ$3:DZ$42))</f>
        <v>0</v>
      </c>
      <c r="EA51" s="1">
        <f>SUMPRODUCT((NOT(ISBLANK(EA$3:EA$42))*(EA$3:EA$42=$LO$3:$LO$42))+ISBLANK(EA$3:EA$42))</f>
        <v>0</v>
      </c>
      <c r="EB51" s="1">
        <f>SUMPRODUCT((NOT(ISBLANK(EB$3:EB$42))*(EB$3:EB$42=$LP$3:$LP$42))+ISBLANK(EB$3:EB$42))</f>
        <v>0</v>
      </c>
      <c r="EC51" s="1">
        <f>SUMPRODUCT((NOT(ISBLANK(EC$3:EC$42))*(EC$3:EC$42=$LQ$3:$LQ$42))+ISBLANK(EC$3:EC$42))</f>
        <v>0</v>
      </c>
      <c r="ED51" s="1">
        <f>SUMPRODUCT((NOT(ISBLANK(ED$3:ED$42))*(ED$3:ED$42=$LR$3:$LR$42))+ISBLANK(ED$3:ED$42))</f>
        <v>0</v>
      </c>
      <c r="EE51" s="1">
        <f>SUMPRODUCT((NOT(ISBLANK(EE$3:EE$42))*(EE$3:EE$42=$LS$3:$LS$42))+ISBLANK(EE$3:EE$42))</f>
        <v>0</v>
      </c>
      <c r="EF51" s="1">
        <f>SUMPRODUCT((NOT(ISBLANK(EF$3:EF$42))*(EF$3:EF$42=$LT$3:$LT$42))+ISBLANK(EF$3:EF$42))</f>
        <v>0</v>
      </c>
      <c r="EG51" s="1">
        <f>SUMPRODUCT((NOT(ISBLANK(EG$3:EG$42))*(EG$3:EG$42=$LU$3:$LU$42))+ISBLANK(EG$3:EG$42))</f>
        <v>0</v>
      </c>
      <c r="EH51" s="1">
        <f>SUMPRODUCT((NOT(ISBLANK(EH$3:EH$42))*(EH$3:EH$42=$LV$3:$LV$42))+ISBLANK(EH$3:EH$42))</f>
        <v>0</v>
      </c>
      <c r="EI51" s="1">
        <f>SUMPRODUCT((NOT(ISBLANK(EI$3:EI$42))*(EI$3:EI$42=$LW$3:$LW$42))+ISBLANK(EI$3:EI$42))</f>
        <v>0</v>
      </c>
      <c r="EJ51" s="1">
        <f>SUMPRODUCT((NOT(ISBLANK(EJ$3:EJ$42))*(EJ$3:EJ$42=$LX$3:$LX$42))+ISBLANK(EJ$3:EJ$42))</f>
        <v>0</v>
      </c>
      <c r="EK51" s="1">
        <f>SUMPRODUCT((NOT(ISBLANK(EK$3:EK$42))*(EK$3:EK$42=$LY$3:$LY$42))+ISBLANK(EK$3:EK$42))</f>
        <v>0</v>
      </c>
      <c r="EL51" s="1"/>
      <c r="EM51" s="1">
        <f>SUMPRODUCT((NOT(ISBLANK(EM$3:EM$42))*(EM$3:EM$42=$LZ$3:$LZ$42))+ISBLANK(EM$3:EM$42))</f>
        <v>0</v>
      </c>
      <c r="EN51" s="1">
        <f>SUMPRODUCT((NOT(ISBLANK(EN$3:EN$42))*(EN$3:EN$42=$MA$3:$MA$42))+ISBLANK(EN$3:EN$42))</f>
        <v>0</v>
      </c>
      <c r="EO51" s="1">
        <f>SUMPRODUCT((NOT(ISBLANK(EO$3:EO$42))*(EO$3:EO$42=$MB$3:$MB$42))+ISBLANK(EO$3:EO$42))</f>
        <v>0</v>
      </c>
      <c r="EP51" s="1">
        <f>SUMPRODUCT((NOT(ISBLANK(EP$3:EP$42))*(EP$3:EP$42=$LL$3:$LL$42))+ISBLANK(EP$3:EP$42))</f>
        <v>0</v>
      </c>
      <c r="EQ51" s="1">
        <f>SUMPRODUCT((NOT(ISBLANK(EQ$3:EQ$42))*(EQ$3:EQ$42=$LM$3:$LM$42))+ISBLANK(EQ$3:EQ$42))</f>
        <v>0</v>
      </c>
      <c r="ER51" s="1">
        <f>SUMPRODUCT((NOT(ISBLANK(ER$3:ER$42))*(ER$3:ER$42=$LN$3:$LN$42))+ISBLANK(ER$3:ER$42))</f>
        <v>0</v>
      </c>
      <c r="ES51" s="1">
        <f>SUMPRODUCT((NOT(ISBLANK(ES$3:ES$42))*(ES$3:ES$42=$LO$3:$LO$42))+ISBLANK(ES$3:ES$42))</f>
        <v>0</v>
      </c>
      <c r="ET51" s="1">
        <f>SUMPRODUCT((NOT(ISBLANK(ET$3:ET$42))*(ET$3:ET$42=$LP$3:$LP$42))+ISBLANK(ET$3:ET$42))</f>
        <v>0</v>
      </c>
      <c r="EU51" s="1">
        <f>SUMPRODUCT((NOT(ISBLANK(EU$3:EU$42))*(EU$3:EU$42=$LQ$3:$LQ$42))+ISBLANK(EU$3:EU$42))</f>
        <v>0</v>
      </c>
      <c r="EV51" s="1">
        <f>SUMPRODUCT((NOT(ISBLANK(EV$3:EV$42))*(EV$3:EV$42=$LR$3:$LR$42))+ISBLANK(EV$3:EV$42))</f>
        <v>0</v>
      </c>
      <c r="EW51" s="1">
        <f>SUMPRODUCT((NOT(ISBLANK(EW$3:EW$42))*(EW$3:EW$42=$LS$3:$LS$42))+ISBLANK(EW$3:EW$42))</f>
        <v>0</v>
      </c>
      <c r="EX51" s="1">
        <f>SUMPRODUCT((NOT(ISBLANK(EX$3:EX$42))*(EX$3:EX$42=$LT$3:$LT$42))+ISBLANK(EX$3:EX$42))</f>
        <v>0</v>
      </c>
      <c r="EY51" s="1">
        <f>SUMPRODUCT((NOT(ISBLANK(EY$3:EY$42))*(EY$3:EY$42=$LU$3:$LU$42))+ISBLANK(EY$3:EY$42))</f>
        <v>0</v>
      </c>
      <c r="EZ51" s="1">
        <f>SUMPRODUCT((NOT(ISBLANK(EZ$3:EZ$42))*(EZ$3:EZ$42=$LV$3:$LV$42))+ISBLANK(EZ$3:EZ$42))</f>
        <v>0</v>
      </c>
      <c r="FA51" s="1">
        <f>SUMPRODUCT((NOT(ISBLANK(FA$3:FA$42))*(FA$3:FA$42=$LW$3:$LW$42))+ISBLANK(FA$3:FA$42))</f>
        <v>0</v>
      </c>
      <c r="FB51" s="1">
        <f>SUMPRODUCT((NOT(ISBLANK(FB$3:FB$42))*(FB$3:FB$42=$LX$3:$LX$42))+ISBLANK(FB$3:FB$42))</f>
        <v>0</v>
      </c>
      <c r="FC51" s="1">
        <f>SUMPRODUCT((NOT(ISBLANK(FC$3:FC$42))*(FC$3:FC$42=$LY$3:$LY$42))+ISBLANK(FC$3:FC$42))</f>
        <v>0</v>
      </c>
      <c r="FD51" s="1"/>
      <c r="FE51" s="1">
        <f>SUMPRODUCT((NOT(ISBLANK(FE$3:FE$42))*(FE$3:FE$42=$LZ$3:$LZ$42))+ISBLANK(FE$3:FE$42))</f>
        <v>0</v>
      </c>
      <c r="FF51" s="1">
        <f>SUMPRODUCT((NOT(ISBLANK(FF$3:FF$42))*(FF$3:FF$42=$MA$3:$MA$42))+ISBLANK(FF$3:FF$42))</f>
        <v>0</v>
      </c>
      <c r="FG51" s="1">
        <f>SUMPRODUCT((NOT(ISBLANK(FG$3:FG$42))*(FG$3:FG$42=$MB$3:$MB$42))+ISBLANK(FG$3:FG$42))</f>
        <v>0</v>
      </c>
      <c r="FH51" s="1">
        <f>SUMPRODUCT((NOT(ISBLANK(FH$3:FH$42))*(FH$3:FH$42=$LL$3:$LL$42))+ISBLANK(FH$3:FH$42))</f>
        <v>0</v>
      </c>
      <c r="FI51" s="1">
        <f>SUMPRODUCT((NOT(ISBLANK(FI$3:FI$42))*(FI$3:FI$42=$LM$3:$LM$42))+ISBLANK(FI$3:FI$42))</f>
        <v>0</v>
      </c>
      <c r="FJ51" s="1">
        <f>SUMPRODUCT((NOT(ISBLANK(FJ$3:FJ$42))*(FJ$3:FJ$42=$LN$3:$LN$42))+ISBLANK(FJ$3:FJ$42))</f>
        <v>0</v>
      </c>
      <c r="FK51" s="1">
        <f>SUMPRODUCT((NOT(ISBLANK(FK$3:FK$42))*(FK$3:FK$42=$LO$3:$LO$42))+ISBLANK(FK$3:FK$42))</f>
        <v>0</v>
      </c>
      <c r="FL51" s="1">
        <f>SUMPRODUCT((NOT(ISBLANK(FL$3:FL$42))*(FL$3:FL$42=$LP$3:$LP$42))+ISBLANK(FL$3:FL$42))</f>
        <v>0</v>
      </c>
      <c r="FM51" s="1">
        <f>SUMPRODUCT((NOT(ISBLANK(FM$3:FM$42))*(FM$3:FM$42=$LQ$3:$LQ$42))+ISBLANK(FM$3:FM$42))</f>
        <v>0</v>
      </c>
      <c r="FN51" s="1">
        <f>SUMPRODUCT((NOT(ISBLANK(FN$3:FN$42))*(FN$3:FN$42=$LR$3:$LR$42))+ISBLANK(FN$3:FN$42))</f>
        <v>0</v>
      </c>
      <c r="FO51" s="1">
        <f>SUMPRODUCT((NOT(ISBLANK(FO$3:FO$42))*(FO$3:FO$42=$LS$3:$LS$42))+ISBLANK(FO$3:FO$42))</f>
        <v>0</v>
      </c>
      <c r="FP51" s="1">
        <f>SUMPRODUCT((NOT(ISBLANK(FP$3:FP$42))*(FP$3:FP$42=$LT$3:$LT$42))+ISBLANK(FP$3:FP$42))</f>
        <v>0</v>
      </c>
      <c r="FQ51" s="1">
        <f>SUMPRODUCT((NOT(ISBLANK(FQ$3:FQ$42))*(FQ$3:FQ$42=$LU$3:$LU$42))+ISBLANK(FQ$3:FQ$42))</f>
        <v>0</v>
      </c>
      <c r="FR51" s="1">
        <f>SUMPRODUCT((NOT(ISBLANK(FR$3:FR$42))*(FR$3:FR$42=$LV$3:$LV$42))+ISBLANK(FR$3:FR$42))</f>
        <v>0</v>
      </c>
      <c r="FS51" s="1">
        <f>SUMPRODUCT((NOT(ISBLANK(FS$3:FS$42))*(FS$3:FS$42=$LW$3:$LW$42))+ISBLANK(FS$3:FS$42))</f>
        <v>0</v>
      </c>
      <c r="FT51" s="1">
        <f>SUMPRODUCT((NOT(ISBLANK(FT$3:FT$42))*(FT$3:FT$42=$LX$3:$LX$42))+ISBLANK(FT$3:FT$42))</f>
        <v>0</v>
      </c>
      <c r="FU51" s="1">
        <f>SUMPRODUCT((NOT(ISBLANK(FU$3:FU$42))*(FU$3:FU$42=$LY$3:$LY$42))+ISBLANK(FU$3:FU$42))</f>
        <v>0</v>
      </c>
      <c r="FV51" s="1"/>
      <c r="FW51" s="1">
        <f>SUMPRODUCT((NOT(ISBLANK(FW$3:FW$42))*(FW$3:FW$42=$LZ$3:$LZ$42))+ISBLANK(FW$3:FW$42))</f>
        <v>0</v>
      </c>
      <c r="FX51" s="1">
        <f>SUMPRODUCT((NOT(ISBLANK(FX$3:FX$42))*(FX$3:FX$42=$MA$3:$MA$42))+ISBLANK(FX$3:FX$42))</f>
        <v>0</v>
      </c>
      <c r="FY51" s="1">
        <f>SUMPRODUCT((NOT(ISBLANK(FY$3:FY$42))*(FY$3:FY$42=$MB$3:$MB$42))+ISBLANK(FY$3:FY$42))</f>
        <v>0</v>
      </c>
      <c r="FZ51" s="1">
        <f>SUMPRODUCT((NOT(ISBLANK(FZ$3:FZ$42))*(FZ$3:FZ$42=$LL$3:$LL$42))+ISBLANK(FZ$3:FZ$42))</f>
        <v>0</v>
      </c>
      <c r="GA51" s="1">
        <f>SUMPRODUCT((NOT(ISBLANK(GA$3:GA$42))*(GA$3:GA$42=$LM$3:$LM$42))+ISBLANK(GA$3:GA$42))</f>
        <v>0</v>
      </c>
      <c r="GB51" s="1">
        <f>SUMPRODUCT((NOT(ISBLANK(GB$3:GB$42))*(GB$3:GB$42=$LN$3:$LN$42))+ISBLANK(GB$3:GB$42))</f>
        <v>0</v>
      </c>
      <c r="GC51" s="1">
        <f>SUMPRODUCT((NOT(ISBLANK(GC$3:GC$42))*(GC$3:GC$42=$LO$3:$LO$42))+ISBLANK(GC$3:GC$42))</f>
        <v>0</v>
      </c>
      <c r="GD51" s="1">
        <f>SUMPRODUCT((NOT(ISBLANK(GD$3:GD$42))*(GD$3:GD$42=$LP$3:$LP$42))+ISBLANK(GD$3:GD$42))</f>
        <v>0</v>
      </c>
      <c r="GE51" s="1">
        <f>SUMPRODUCT((NOT(ISBLANK(GE$3:GE$42))*(GE$3:GE$42=$LQ$3:$LQ$42))+ISBLANK(GE$3:GE$42))</f>
        <v>0</v>
      </c>
      <c r="GF51" s="1">
        <f>SUMPRODUCT((NOT(ISBLANK(GF$3:GF$42))*(GF$3:GF$42=$LR$3:$LR$42))+ISBLANK(GF$3:GF$42))</f>
        <v>0</v>
      </c>
      <c r="GG51" s="1">
        <f>SUMPRODUCT((NOT(ISBLANK(GG$3:GG$42))*(GG$3:GG$42=$LS$3:$LS$42))+ISBLANK(GG$3:GG$42))</f>
        <v>0</v>
      </c>
      <c r="GH51" s="1">
        <f>SUMPRODUCT((NOT(ISBLANK(GH$3:GH$42))*(GH$3:GH$42=$LT$3:$LT$42))+ISBLANK(GH$3:GH$42))</f>
        <v>0</v>
      </c>
      <c r="GI51" s="1">
        <f>SUMPRODUCT((NOT(ISBLANK(GI$3:GI$42))*(GI$3:GI$42=$LU$3:$LU$42))+ISBLANK(GI$3:GI$42))</f>
        <v>0</v>
      </c>
      <c r="GJ51" s="1">
        <f>SUMPRODUCT((NOT(ISBLANK(GJ$3:GJ$42))*(GJ$3:GJ$42=$LV$3:$LV$42))+ISBLANK(GJ$3:GJ$42))</f>
        <v>0</v>
      </c>
      <c r="GK51" s="1">
        <f>SUMPRODUCT((NOT(ISBLANK(GK$3:GK$42))*(GK$3:GK$42=$LW$3:$LW$42))+ISBLANK(GK$3:GK$42))</f>
        <v>0</v>
      </c>
      <c r="GL51" s="1">
        <f>SUMPRODUCT((NOT(ISBLANK(GL$3:GL$42))*(GL$3:GL$42=$LX$3:$LX$42))+ISBLANK(GL$3:GL$42))</f>
        <v>0</v>
      </c>
      <c r="GM51" s="1">
        <f>SUMPRODUCT((NOT(ISBLANK(GM$3:GM$42))*(GM$3:GM$42=$LY$3:$LY$42))+ISBLANK(GM$3:GM$42))</f>
        <v>0</v>
      </c>
      <c r="GN51" s="1"/>
      <c r="GO51" s="1">
        <f>SUMPRODUCT((NOT(ISBLANK(GO$3:GO$42))*(GO$3:GO$42=$LZ$3:$LZ$42))+ISBLANK(GO$3:GO$42))</f>
        <v>0</v>
      </c>
      <c r="GP51" s="1">
        <f>SUMPRODUCT((NOT(ISBLANK(GP$3:GP$42))*(GP$3:GP$42=$MA$3:$MA$42))+ISBLANK(GP$3:GP$42))</f>
        <v>0</v>
      </c>
      <c r="GQ51" s="1">
        <f>SUMPRODUCT((NOT(ISBLANK(GQ$3:GQ$42))*(GQ$3:GQ$42=$MB$3:$MB$42))+ISBLANK(GQ$3:GQ$42))</f>
        <v>0</v>
      </c>
      <c r="GR51" s="1">
        <f>SUMPRODUCT((NOT(ISBLANK(GR$3:GR$42))*(GR$3:GR$42=$LL$3:$LL$42))+ISBLANK(GR$3:GR$42))</f>
        <v>0</v>
      </c>
      <c r="GS51" s="1">
        <f>SUMPRODUCT((NOT(ISBLANK(GS$3:GS$42))*(GS$3:GS$42=$LM$3:$LM$42))+ISBLANK(GS$3:GS$42))</f>
        <v>0</v>
      </c>
      <c r="GT51" s="1">
        <f>SUMPRODUCT((NOT(ISBLANK(GT$3:GT$42))*(GT$3:GT$42=$LN$3:$LN$42))+ISBLANK(GT$3:GT$42))</f>
        <v>0</v>
      </c>
      <c r="GU51" s="1">
        <f>SUMPRODUCT((NOT(ISBLANK(GU$3:GU$42))*(GU$3:GU$42=$LO$3:$LO$42))+ISBLANK(GU$3:GU$42))</f>
        <v>0</v>
      </c>
      <c r="GV51" s="1">
        <f>SUMPRODUCT((NOT(ISBLANK(GV$3:GV$42))*(GV$3:GV$42=$LP$3:$LP$42))+ISBLANK(GV$3:GV$42))</f>
        <v>0</v>
      </c>
      <c r="GW51" s="1">
        <f>SUMPRODUCT((NOT(ISBLANK(GW$3:GW$42))*(GW$3:GW$42=$LQ$3:$LQ$42))+ISBLANK(GW$3:GW$42))</f>
        <v>0</v>
      </c>
      <c r="GX51" s="1">
        <f>SUMPRODUCT((NOT(ISBLANK(GX$3:GX$42))*(GX$3:GX$42=$LR$3:$LR$42))+ISBLANK(GX$3:GX$42))</f>
        <v>0</v>
      </c>
      <c r="GY51" s="1">
        <f>SUMPRODUCT((NOT(ISBLANK(GY$3:GY$42))*(GY$3:GY$42=$LS$3:$LS$42))+ISBLANK(GY$3:GY$42))</f>
        <v>0</v>
      </c>
      <c r="GZ51" s="1">
        <f>SUMPRODUCT((NOT(ISBLANK(GZ$3:GZ$42))*(GZ$3:GZ$42=$LT$3:$LT$42))+ISBLANK(GZ$3:GZ$42))</f>
        <v>0</v>
      </c>
      <c r="HA51" s="1">
        <f>SUMPRODUCT((NOT(ISBLANK(HA$3:HA$42))*(HA$3:HA$42=$LU$3:$LU$42))+ISBLANK(HA$3:HA$42))</f>
        <v>0</v>
      </c>
      <c r="HB51" s="1">
        <f>SUMPRODUCT((NOT(ISBLANK(HB$3:HB$42))*(HB$3:HB$42=$LV$3:$LV$42))+ISBLANK(HB$3:HB$42))</f>
        <v>0</v>
      </c>
      <c r="HC51" s="1">
        <f>SUMPRODUCT((NOT(ISBLANK(HC$3:HC$42))*(HC$3:HC$42=$LW$3:$LW$42))+ISBLANK(HC$3:HC$42))</f>
        <v>0</v>
      </c>
      <c r="HD51" s="1">
        <f>SUMPRODUCT((NOT(ISBLANK(HD$3:HD$42))*(HD$3:HD$42=$LX$3:$LX$42))+ISBLANK(HD$3:HD$42))</f>
        <v>0</v>
      </c>
      <c r="HE51" s="1">
        <f>SUMPRODUCT((NOT(ISBLANK(HE$3:HE$42))*(HE$3:HE$42=$LY$3:$LY$42))+ISBLANK(HE$3:HE$42))</f>
        <v>0</v>
      </c>
      <c r="HF51" s="1"/>
      <c r="HG51" s="1">
        <f>SUMPRODUCT((NOT(ISBLANK(HG$3:HG$42))*(HG$3:HG$42=$LZ$3:$LZ$42))+ISBLANK(HG$3:HG$42))</f>
        <v>0</v>
      </c>
      <c r="HH51" s="1">
        <f>SUMPRODUCT((NOT(ISBLANK(HH$3:HH$42))*(HH$3:HH$42=$MA$3:$MA$42))+ISBLANK(HH$3:HH$42))</f>
        <v>0</v>
      </c>
      <c r="HI51" s="1">
        <f>SUMPRODUCT((NOT(ISBLANK(HI$3:HI$42))*(HI$3:HI$42=$MB$3:$MB$42))+ISBLANK(HI$3:HI$42))</f>
        <v>0</v>
      </c>
      <c r="HJ51" s="1">
        <f>SUMPRODUCT((NOT(ISBLANK(HJ$3:HJ$42))*(HJ$3:HJ$42=$LL$3:$LL$42))+ISBLANK(HJ$3:HJ$42))</f>
        <v>0</v>
      </c>
      <c r="HK51" s="1">
        <f>SUMPRODUCT((NOT(ISBLANK(HK$3:HK$42))*(HK$3:HK$42=$LM$3:$LM$42))+ISBLANK(HK$3:HK$42))</f>
        <v>0</v>
      </c>
      <c r="HL51" s="1">
        <f>SUMPRODUCT((NOT(ISBLANK(HL$3:HL$42))*(HL$3:HL$42=$LN$3:$LN$42))+ISBLANK(HL$3:HL$42))</f>
        <v>0</v>
      </c>
      <c r="HM51" s="1">
        <f>SUMPRODUCT((NOT(ISBLANK(HM$3:HM$42))*(HM$3:HM$42=$LO$3:$LO$42))+ISBLANK(HM$3:HM$42))</f>
        <v>0</v>
      </c>
      <c r="HN51" s="1">
        <f>SUMPRODUCT((NOT(ISBLANK(HN$3:HN$42))*(HN$3:HN$42=$LP$3:$LP$42))+ISBLANK(HN$3:HN$42))</f>
        <v>0</v>
      </c>
      <c r="HO51" s="1">
        <f>SUMPRODUCT((NOT(ISBLANK(HO$3:HO$42))*(HO$3:HO$42=$LQ$3:$LQ$42))+ISBLANK(HO$3:HO$42))</f>
        <v>0</v>
      </c>
      <c r="HP51" s="1">
        <f>SUMPRODUCT((NOT(ISBLANK(HP$3:HP$42))*(HP$3:HP$42=$LR$3:$LR$42))+ISBLANK(HP$3:HP$42))</f>
        <v>0</v>
      </c>
      <c r="HQ51" s="1">
        <f>SUMPRODUCT((NOT(ISBLANK(HQ$3:HQ$42))*(HQ$3:HQ$42=$LS$3:$LS$42))+ISBLANK(HQ$3:HQ$42))</f>
        <v>0</v>
      </c>
      <c r="HR51" s="1">
        <f>SUMPRODUCT((NOT(ISBLANK(HR$3:HR$42))*(HR$3:HR$42=$LT$3:$LT$42))+ISBLANK(HR$3:HR$42))</f>
        <v>0</v>
      </c>
      <c r="HS51" s="1">
        <f>SUMPRODUCT((NOT(ISBLANK(HS$3:HS$42))*(HS$3:HS$42=$LU$3:$LU$42))+ISBLANK(HS$3:HS$42))</f>
        <v>0</v>
      </c>
      <c r="HT51" s="1">
        <f>SUMPRODUCT((NOT(ISBLANK(HT$3:HT$42))*(HT$3:HT$42=$LV$3:$LV$42))+ISBLANK(HT$3:HT$42))</f>
        <v>0</v>
      </c>
      <c r="HU51" s="1">
        <f>SUMPRODUCT((NOT(ISBLANK(HU$3:HU$42))*(HU$3:HU$42=$LW$3:$LW$42))+ISBLANK(HU$3:HU$42))</f>
        <v>0</v>
      </c>
      <c r="HV51" s="1">
        <f>SUMPRODUCT((NOT(ISBLANK(HV$3:HV$42))*(HV$3:HV$42=$LX$3:$LX$42))+ISBLANK(HV$3:HV$42))</f>
        <v>0</v>
      </c>
      <c r="HW51" s="1">
        <f>SUMPRODUCT((NOT(ISBLANK(HW$3:HW$42))*(HW$3:HW$42=$LY$3:$LY$42))+ISBLANK(HW$3:HW$42))</f>
        <v>0</v>
      </c>
      <c r="HX51" s="1"/>
      <c r="HY51" s="1">
        <f>SUMPRODUCT((NOT(ISBLANK(HY$3:HY$42))*(HY$3:HY$42=$LZ$3:$LZ$42))+ISBLANK(HY$3:HY$42))</f>
        <v>0</v>
      </c>
      <c r="HZ51" s="1">
        <f>SUMPRODUCT((NOT(ISBLANK(HZ$3:HZ$42))*(HZ$3:HZ$42=$MA$3:$MA$42))+ISBLANK(HZ$3:HZ$42))</f>
        <v>0</v>
      </c>
      <c r="IA51" s="1">
        <f>SUMPRODUCT((NOT(ISBLANK(IA$3:IA$42))*(IA$3:IA$42=$MB$3:$MB$42))+ISBLANK(IA$3:IA$42))</f>
        <v>0</v>
      </c>
      <c r="IB51" s="1">
        <f>SUMPRODUCT((NOT(ISBLANK(IB$3:IB$42))*(IB$3:IB$42=$LL$3:$LL$42))+ISBLANK(IB$3:IB$42))</f>
        <v>0</v>
      </c>
      <c r="IC51" s="1">
        <f>SUMPRODUCT((NOT(ISBLANK(IC$3:IC$42))*(IC$3:IC$42=$LM$3:$LM$42))+ISBLANK(IC$3:IC$42))</f>
        <v>0</v>
      </c>
      <c r="ID51" s="1">
        <f>SUMPRODUCT((NOT(ISBLANK(ID$3:ID$42))*(ID$3:ID$42=$LN$3:$LN$42))+ISBLANK(ID$3:ID$42))</f>
        <v>0</v>
      </c>
      <c r="IE51" s="1">
        <f>SUMPRODUCT((NOT(ISBLANK(IE$3:IE$42))*(IE$3:IE$42=$LO$3:$LO$42))+ISBLANK(IE$3:IE$42))</f>
        <v>0</v>
      </c>
      <c r="IF51" s="1">
        <f>SUMPRODUCT((NOT(ISBLANK(IF$3:IF$42))*(IF$3:IF$42=$LP$3:$LP$42))+ISBLANK(IF$3:IF$42))</f>
        <v>0</v>
      </c>
      <c r="IG51" s="1">
        <f>SUMPRODUCT((NOT(ISBLANK(IG$3:IG$42))*(IG$3:IG$42=$LQ$3:$LQ$42))+ISBLANK(IG$3:IG$42))</f>
        <v>0</v>
      </c>
      <c r="IH51" s="1">
        <f>SUMPRODUCT((NOT(ISBLANK(IH$3:IH$42))*(IH$3:IH$42=$LR$3:$LR$42))+ISBLANK(IH$3:IH$42))</f>
        <v>0</v>
      </c>
      <c r="II51" s="1">
        <f>SUMPRODUCT((NOT(ISBLANK(II$3:II$42))*(II$3:II$42=$LS$3:$LS$42))+ISBLANK(II$3:II$42))</f>
        <v>0</v>
      </c>
      <c r="IJ51" s="1">
        <f>SUMPRODUCT((NOT(ISBLANK(IJ$3:IJ$42))*(IJ$3:IJ$42=$LT$3:$LT$42))+ISBLANK(IJ$3:IJ$42))</f>
        <v>0</v>
      </c>
      <c r="IK51" s="1">
        <f>SUMPRODUCT((NOT(ISBLANK(IK$3:IK$42))*(IK$3:IK$42=$LU$3:$LU$42))+ISBLANK(IK$3:IK$42))</f>
        <v>0</v>
      </c>
      <c r="IL51" s="1">
        <f>SUMPRODUCT((NOT(ISBLANK(IL$3:IL$42))*(IL$3:IL$42=$LV$3:$LV$42))+ISBLANK(IL$3:IL$42))</f>
        <v>0</v>
      </c>
      <c r="IM51" s="1">
        <f>SUMPRODUCT((NOT(ISBLANK(IM$3:IM$42))*(IM$3:IM$42=$LW$3:$LW$42))+ISBLANK(IM$3:IM$42))</f>
        <v>0</v>
      </c>
      <c r="IN51" s="1">
        <f>SUMPRODUCT((NOT(ISBLANK(IN$3:IN$42))*(IN$3:IN$42=$LX$3:$LX$42))+ISBLANK(IN$3:IN$42))</f>
        <v>0</v>
      </c>
      <c r="IO51" s="1">
        <f>SUMPRODUCT((NOT(ISBLANK(IO$3:IO$42))*(IO$3:IO$42=$LY$3:$LY$42))+ISBLANK(IO$3:IO$42))</f>
        <v>0</v>
      </c>
      <c r="IP51" s="1"/>
      <c r="IQ51" s="1">
        <f>SUMPRODUCT((NOT(ISBLANK(IQ$3:IQ$42))*(IQ$3:IQ$42=$LZ$3:$LZ$42))+ISBLANK(IQ$3:IQ$42))</f>
        <v>0</v>
      </c>
      <c r="IR51" s="1">
        <f>SUMPRODUCT((NOT(ISBLANK(IR$3:IR$42))*(IR$3:IR$42=$MA$3:$MA$42))+ISBLANK(IR$3:IR$42))</f>
        <v>0</v>
      </c>
      <c r="IS51" s="1">
        <f>SUMPRODUCT((NOT(ISBLANK(IS$3:IS$42))*(IS$3:IS$42=$MB$3:$MB$42))+ISBLANK(IS$3:IS$42))</f>
        <v>0</v>
      </c>
      <c r="IT51" s="1">
        <f>SUMPRODUCT((NOT(ISBLANK(IT$3:IT$42))*(IT$3:IT$42=$LL$3:$LL$42))+ISBLANK(IT$3:IT$42))</f>
        <v>0</v>
      </c>
      <c r="IU51" s="1">
        <f>SUMPRODUCT((NOT(ISBLANK(IU$3:IU$42))*(IU$3:IU$42=$LM$3:$LM$42))+ISBLANK(IU$3:IU$42))</f>
        <v>0</v>
      </c>
      <c r="IV51" s="1">
        <f>SUMPRODUCT((NOT(ISBLANK(IV$3:IV$42))*(IV$3:IV$42=$LN$3:$LN$42))+ISBLANK(IV$3:IV$42))</f>
        <v>0</v>
      </c>
      <c r="IW51" s="1">
        <f>SUMPRODUCT((NOT(ISBLANK(IW$3:IW$42))*(IW$3:IW$42=$LO$3:$LO$42))+ISBLANK(IW$3:IW$42))</f>
        <v>0</v>
      </c>
      <c r="IX51" s="1">
        <f>SUMPRODUCT((NOT(ISBLANK(IX$3:IX$42))*(IX$3:IX$42=$LP$3:$LP$42))+ISBLANK(IX$3:IX$42))</f>
        <v>0</v>
      </c>
      <c r="IY51" s="1">
        <f>SUMPRODUCT((NOT(ISBLANK(IY$3:IY$42))*(IY$3:IY$42=$LQ$3:$LQ$42))+ISBLANK(IY$3:IY$42))</f>
        <v>0</v>
      </c>
      <c r="IZ51" s="1">
        <f>SUMPRODUCT((NOT(ISBLANK(IZ$3:IZ$42))*(IZ$3:IZ$42=$LR$3:$LR$42))+ISBLANK(IZ$3:IZ$42))</f>
        <v>0</v>
      </c>
      <c r="JA51" s="1">
        <f>SUMPRODUCT((NOT(ISBLANK(JA$3:JA$42))*(JA$3:JA$42=$LS$3:$LS$42))+ISBLANK(JA$3:JA$42))</f>
        <v>0</v>
      </c>
      <c r="JB51" s="1">
        <f>SUMPRODUCT((NOT(ISBLANK(JB$3:JB$42))*(JB$3:JB$42=$LT$3:$LT$42))+ISBLANK(JB$3:JB$42))</f>
        <v>0</v>
      </c>
      <c r="JC51" s="1">
        <f>SUMPRODUCT((NOT(ISBLANK(JC$3:JC$42))*(JC$3:JC$42=$LU$3:$LU$42))+ISBLANK(JC$3:JC$42))</f>
        <v>0</v>
      </c>
      <c r="JD51" s="1">
        <f>SUMPRODUCT((NOT(ISBLANK(JD$3:JD$42))*(JD$3:JD$42=$LV$3:$LV$42))+ISBLANK(JD$3:JD$42))</f>
        <v>0</v>
      </c>
      <c r="JE51" s="1">
        <f>SUMPRODUCT((NOT(ISBLANK(JE$3:JE$42))*(JE$3:JE$42=$LW$3:$LW$42))+ISBLANK(JE$3:JE$42))</f>
        <v>0</v>
      </c>
      <c r="JF51" s="1">
        <f>SUMPRODUCT((NOT(ISBLANK(JF$3:JF$42))*(JF$3:JF$42=$LX$3:$LX$42))+ISBLANK(JF$3:JF$42))</f>
        <v>0</v>
      </c>
      <c r="JG51" s="1">
        <f>SUMPRODUCT((NOT(ISBLANK(JG$3:JG$42))*(JG$3:JG$42=$LY$3:$LY$42))+ISBLANK(JG$3:JG$42))</f>
        <v>0</v>
      </c>
      <c r="JH51" s="1"/>
      <c r="JI51" s="1">
        <f>SUMPRODUCT((NOT(ISBLANK(JI$3:JI$42))*(JI$3:JI$42=$LZ$3:$LZ$42))+ISBLANK(JI$3:JI$42))</f>
        <v>0</v>
      </c>
      <c r="JJ51" s="1">
        <f>SUMPRODUCT((NOT(ISBLANK(JJ$3:JJ$42))*(JJ$3:JJ$42=$MA$3:$MA$42))+ISBLANK(JJ$3:JJ$42))</f>
        <v>0</v>
      </c>
      <c r="JK51" s="1">
        <f>SUMPRODUCT((NOT(ISBLANK(JK$3:JK$42))*(JK$3:JK$42=$MB$3:$MB$42))+ISBLANK(JK$3:JK$42))</f>
        <v>0</v>
      </c>
      <c r="JL51" s="1">
        <f>SUMPRODUCT((NOT(ISBLANK(JL$3:JL$42))*(JL$3:JL$42=$LL$3:$LL$42))+ISBLANK(JL$3:JL$42))</f>
        <v>0</v>
      </c>
      <c r="JM51" s="1">
        <f>SUMPRODUCT((NOT(ISBLANK(JM$3:JM$42))*(JM$3:JM$42=$LM$3:$LM$42))+ISBLANK(JM$3:JM$42))</f>
        <v>0</v>
      </c>
      <c r="JN51" s="1">
        <f>SUMPRODUCT((NOT(ISBLANK(JN$3:JN$42))*(JN$3:JN$42=$LN$3:$LN$42))+ISBLANK(JN$3:JN$42))</f>
        <v>0</v>
      </c>
      <c r="JO51" s="1">
        <f>SUMPRODUCT((NOT(ISBLANK(JO$3:JO$42))*(JO$3:JO$42=$LO$3:$LO$42))+ISBLANK(JO$3:JO$42))</f>
        <v>0</v>
      </c>
      <c r="JP51" s="1">
        <f>SUMPRODUCT((NOT(ISBLANK(JP$3:JP$42))*(JP$3:JP$42=$LP$3:$LP$42))+ISBLANK(JP$3:JP$42))</f>
        <v>0</v>
      </c>
      <c r="JQ51" s="1">
        <f>SUMPRODUCT((NOT(ISBLANK(JQ$3:JQ$42))*(JQ$3:JQ$42=$LQ$3:$LQ$42))+ISBLANK(JQ$3:JQ$42))</f>
        <v>0</v>
      </c>
      <c r="JR51" s="1">
        <f>SUMPRODUCT((NOT(ISBLANK(JR$3:JR$42))*(JR$3:JR$42=$LR$3:$LR$42))+ISBLANK(JR$3:JR$42))</f>
        <v>0</v>
      </c>
      <c r="JS51" s="1">
        <f>SUMPRODUCT((NOT(ISBLANK(JS$3:JS$42))*(JS$3:JS$42=$LS$3:$LS$42))+ISBLANK(JS$3:JS$42))</f>
        <v>0</v>
      </c>
      <c r="JT51" s="1">
        <f>SUMPRODUCT((NOT(ISBLANK(JT$3:JT$42))*(JT$3:JT$42=$LT$3:$LT$42))+ISBLANK(JT$3:JT$42))</f>
        <v>0</v>
      </c>
      <c r="JU51" s="1">
        <f>SUMPRODUCT((NOT(ISBLANK(JU$3:JU$42))*(JU$3:JU$42=$LU$3:$LU$42))+ISBLANK(JU$3:JU$42))</f>
        <v>0</v>
      </c>
      <c r="JV51" s="1">
        <f>SUMPRODUCT((NOT(ISBLANK(JV$3:JV$42))*(JV$3:JV$42=$LV$3:$LV$42))+ISBLANK(JV$3:JV$42))</f>
        <v>0</v>
      </c>
      <c r="JW51" s="1">
        <f>SUMPRODUCT((NOT(ISBLANK(JW$3:JW$42))*(JW$3:JW$42=$LW$3:$LW$42))+ISBLANK(JW$3:JW$42))</f>
        <v>0</v>
      </c>
      <c r="JX51" s="1">
        <f>SUMPRODUCT((NOT(ISBLANK(JX$3:JX$42))*(JX$3:JX$42=$LX$3:$LX$42))+ISBLANK(JX$3:JX$42))</f>
        <v>0</v>
      </c>
      <c r="JY51" s="1">
        <f>SUMPRODUCT((NOT(ISBLANK(JY$3:JY$42))*(JY$3:JY$42=$LY$3:$LY$42))+ISBLANK(JY$3:JY$42))</f>
        <v>0</v>
      </c>
      <c r="JZ51" s="1"/>
      <c r="KA51" s="1">
        <f>SUMPRODUCT((NOT(ISBLANK(KA$3:KA$42))*(KA$3:KA$42=$LZ$3:$LZ$42))+ISBLANK(KA$3:KA$42))</f>
        <v>0</v>
      </c>
      <c r="KB51" s="1">
        <f>SUMPRODUCT((NOT(ISBLANK(KB$3:KB$42))*(KB$3:KB$42=$MA$3:$MA$42))+ISBLANK(KB$3:KB$42))</f>
        <v>0</v>
      </c>
      <c r="KC51" s="1">
        <f>SUMPRODUCT((NOT(ISBLANK(KC$3:KC$42))*(KC$3:KC$42=$MB$3:$MB$42))+ISBLANK(KC$3:KC$42))</f>
        <v>0</v>
      </c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88</v>
      </c>
      <c r="B3" s="1">
        <f>AVERAGE(Instances!B3:Instances!B22)</f>
        <v>0</v>
      </c>
      <c r="C3" s="1">
        <f>AVERAGE(Instances!C3:Instances!C22)</f>
        <v>0</v>
      </c>
      <c r="D3" s="1">
        <f>AVERAGE(Instances!D3:Instances!D22)</f>
        <v>0</v>
      </c>
      <c r="E3" s="1">
        <f>AVERAGE(Instances!E3:Instances!E22)</f>
        <v>0</v>
      </c>
      <c r="F3" s="1">
        <f>AVERAGE(Instances!F3:Instances!F22)</f>
        <v>0</v>
      </c>
      <c r="G3" s="1">
        <f>AVERAGE(Instances!G3:Instances!G22)</f>
        <v>0</v>
      </c>
      <c r="H3" s="1">
        <f>AVERAGE(Instances!H3:Instances!H22)</f>
        <v>0</v>
      </c>
      <c r="I3" s="1">
        <f>AVERAGE(Instances!I3:Instances!I22)</f>
        <v>0</v>
      </c>
      <c r="J3" s="1">
        <f>AVERAGE(Instances!J3:Instances!J22)</f>
        <v>0</v>
      </c>
      <c r="K3" s="1">
        <f>AVERAGE(Instances!K3:Instances!K22)</f>
        <v>0</v>
      </c>
      <c r="L3" s="1">
        <f>AVERAGE(Instances!L3:Instances!L22)</f>
        <v>0</v>
      </c>
      <c r="M3" s="1">
        <f>AVERAGE(Instances!M3:Instances!M22)</f>
        <v>0</v>
      </c>
      <c r="N3" s="1">
        <f>AVERAGE(Instances!N3:Instances!N22)</f>
        <v>0</v>
      </c>
      <c r="O3" s="1">
        <f>AVERAGE(Instances!O3:Instances!O22)</f>
        <v>0</v>
      </c>
      <c r="P3" s="1"/>
      <c r="Q3" s="1">
        <f>AVERAGE(Instances!Q3:Instances!Q22)</f>
        <v>0</v>
      </c>
      <c r="R3" s="1">
        <f>SUM(Instances!R3:Instances!R22)</f>
        <v>0</v>
      </c>
      <c r="S3" s="1">
        <f>AVERAGE(Instances!S3:Instances!S22)</f>
        <v>0</v>
      </c>
      <c r="T3" s="1">
        <f>AVERAGE(Instances!T3:Instances!T22)</f>
        <v>0</v>
      </c>
      <c r="U3" s="1">
        <f>AVERAGE(Instances!U3:Instances!U22)</f>
        <v>0</v>
      </c>
      <c r="V3" s="1">
        <f>AVERAGE(Instances!V3:Instances!V22)</f>
        <v>0</v>
      </c>
      <c r="W3" s="1">
        <f>AVERAGE(Instances!W3:Instances!W22)</f>
        <v>0</v>
      </c>
      <c r="X3" s="1">
        <f>AVERAGE(Instances!X3:Instances!X22)</f>
        <v>0</v>
      </c>
      <c r="Y3" s="1">
        <f>AVERAGE(Instances!Y3:Instances!Y22)</f>
        <v>0</v>
      </c>
      <c r="Z3" s="1">
        <f>AVERAGE(Instances!Z3:Instances!Z22)</f>
        <v>0</v>
      </c>
      <c r="AA3" s="1">
        <f>AVERAGE(Instances!AA3:Instances!AA22)</f>
        <v>0</v>
      </c>
      <c r="AB3" s="1">
        <f>AVERAGE(Instances!AB3:Instances!AB22)</f>
        <v>0</v>
      </c>
      <c r="AC3" s="1">
        <f>AVERAGE(Instances!AC3:Instances!AC22)</f>
        <v>0</v>
      </c>
      <c r="AD3" s="1">
        <f>AVERAGE(Instances!AD3:Instances!AD22)</f>
        <v>0</v>
      </c>
      <c r="AE3" s="1">
        <f>AVERAGE(Instances!AE3:Instances!AE22)</f>
        <v>0</v>
      </c>
      <c r="AF3" s="1">
        <f>AVERAGE(Instances!AF3:Instances!AF22)</f>
        <v>0</v>
      </c>
      <c r="AG3" s="1">
        <f>AVERAGE(Instances!AG3:Instances!AG22)</f>
        <v>0</v>
      </c>
      <c r="AH3" s="1"/>
      <c r="AI3" s="1">
        <f>AVERAGE(Instances!AI3:Instances!AI22)</f>
        <v>0</v>
      </c>
      <c r="AJ3" s="1">
        <f>SUM(Instances!AJ3:Instances!AJ22)</f>
        <v>0</v>
      </c>
      <c r="AK3" s="1">
        <f>AVERAGE(Instances!AK3:Instances!AK22)</f>
        <v>0</v>
      </c>
      <c r="AL3" s="1">
        <f>AVERAGE(Instances!AL3:Instances!AL22)</f>
        <v>0</v>
      </c>
      <c r="AM3" s="1">
        <f>AVERAGE(Instances!AM3:Instances!AM22)</f>
        <v>0</v>
      </c>
      <c r="AN3" s="1">
        <f>AVERAGE(Instances!AN3:Instances!AN22)</f>
        <v>0</v>
      </c>
      <c r="AO3" s="1">
        <f>AVERAGE(Instances!AO3:Instances!AO22)</f>
        <v>0</v>
      </c>
      <c r="AP3" s="1">
        <f>AVERAGE(Instances!AP3:Instances!AP22)</f>
        <v>0</v>
      </c>
      <c r="AQ3" s="1">
        <f>AVERAGE(Instances!AQ3:Instances!AQ22)</f>
        <v>0</v>
      </c>
      <c r="AR3" s="1">
        <f>AVERAGE(Instances!AR3:Instances!AR22)</f>
        <v>0</v>
      </c>
      <c r="AS3" s="1">
        <f>AVERAGE(Instances!AS3:Instances!AS22)</f>
        <v>0</v>
      </c>
      <c r="AT3" s="1">
        <f>AVERAGE(Instances!AT3:Instances!AT22)</f>
        <v>0</v>
      </c>
      <c r="AU3" s="1">
        <f>AVERAGE(Instances!AU3:Instances!AU22)</f>
        <v>0</v>
      </c>
      <c r="AV3" s="1">
        <f>AVERAGE(Instances!AV3:Instances!AV22)</f>
        <v>0</v>
      </c>
      <c r="AW3" s="1">
        <f>AVERAGE(Instances!AW3:Instances!AW22)</f>
        <v>0</v>
      </c>
      <c r="AX3" s="1">
        <f>AVERAGE(Instances!AX3:Instances!AX22)</f>
        <v>0</v>
      </c>
      <c r="AY3" s="1">
        <f>AVERAGE(Instances!AY3:Instances!AY22)</f>
        <v>0</v>
      </c>
      <c r="AZ3" s="1"/>
      <c r="BA3" s="1">
        <f>AVERAGE(Instances!BA3:Instances!BA22)</f>
        <v>0</v>
      </c>
      <c r="BB3" s="1">
        <f>SUM(Instances!BB3:Instances!BB22)</f>
        <v>0</v>
      </c>
      <c r="BC3" s="1">
        <f>AVERAGE(Instances!BC3:Instances!BC22)</f>
        <v>0</v>
      </c>
      <c r="BD3" s="1">
        <f>AVERAGE(Instances!BD3:Instances!BD22)</f>
        <v>0</v>
      </c>
      <c r="BE3" s="1">
        <f>AVERAGE(Instances!BE3:Instances!BE22)</f>
        <v>0</v>
      </c>
      <c r="BF3" s="1">
        <f>AVERAGE(Instances!BF3:Instances!BF22)</f>
        <v>0</v>
      </c>
      <c r="BG3" s="1">
        <f>AVERAGE(Instances!BG3:Instances!BG22)</f>
        <v>0</v>
      </c>
      <c r="BH3" s="1">
        <f>AVERAGE(Instances!BH3:Instances!BH22)</f>
        <v>0</v>
      </c>
      <c r="BI3" s="1">
        <f>AVERAGE(Instances!BI3:Instances!BI22)</f>
        <v>0</v>
      </c>
      <c r="BJ3" s="1">
        <f>AVERAGE(Instances!BJ3:Instances!BJ22)</f>
        <v>0</v>
      </c>
      <c r="BK3" s="1">
        <f>AVERAGE(Instances!BK3:Instances!BK22)</f>
        <v>0</v>
      </c>
      <c r="BL3" s="1">
        <f>AVERAGE(Instances!BL3:Instances!BL22)</f>
        <v>0</v>
      </c>
      <c r="BM3" s="1">
        <f>AVERAGE(Instances!BM3:Instances!BM22)</f>
        <v>0</v>
      </c>
      <c r="BN3" s="1">
        <f>AVERAGE(Instances!BN3:Instances!BN22)</f>
        <v>0</v>
      </c>
      <c r="BO3" s="1">
        <f>AVERAGE(Instances!BO3:Instances!BO22)</f>
        <v>0</v>
      </c>
      <c r="BP3" s="1">
        <f>AVERAGE(Instances!BP3:Instances!BP22)</f>
        <v>0</v>
      </c>
      <c r="BQ3" s="1">
        <f>AVERAGE(Instances!BQ3:Instances!BQ22)</f>
        <v>0</v>
      </c>
      <c r="BR3" s="1"/>
      <c r="BS3" s="1">
        <f>AVERAGE(Instances!BS3:Instances!BS22)</f>
        <v>0</v>
      </c>
      <c r="BT3" s="1">
        <f>SUM(Instances!BT3:Instances!BT22)</f>
        <v>0</v>
      </c>
      <c r="BU3" s="1">
        <f>AVERAGE(Instances!BU3:Instances!BU22)</f>
        <v>0</v>
      </c>
      <c r="BV3" s="1">
        <f>AVERAGE(Instances!BV3:Instances!BV22)</f>
        <v>0</v>
      </c>
      <c r="BW3" s="1">
        <f>AVERAGE(Instances!BW3:Instances!BW22)</f>
        <v>0</v>
      </c>
      <c r="BX3" s="1">
        <f>AVERAGE(Instances!BX3:Instances!BX22)</f>
        <v>0</v>
      </c>
      <c r="BY3" s="1">
        <f>AVERAGE(Instances!BY3:Instances!BY22)</f>
        <v>0</v>
      </c>
      <c r="BZ3" s="1">
        <f>AVERAGE(Instances!BZ3:Instances!BZ22)</f>
        <v>0</v>
      </c>
      <c r="CA3" s="1">
        <f>AVERAGE(Instances!CA3:Instances!CA22)</f>
        <v>0</v>
      </c>
      <c r="CB3" s="1">
        <f>AVERAGE(Instances!CB3:Instances!CB22)</f>
        <v>0</v>
      </c>
      <c r="CC3" s="1">
        <f>AVERAGE(Instances!CC3:Instances!CC22)</f>
        <v>0</v>
      </c>
      <c r="CD3" s="1">
        <f>AVERAGE(Instances!CD3:Instances!CD22)</f>
        <v>0</v>
      </c>
      <c r="CE3" s="1">
        <f>AVERAGE(Instances!CE3:Instances!CE22)</f>
        <v>0</v>
      </c>
      <c r="CF3" s="1">
        <f>AVERAGE(Instances!CF3:Instances!CF22)</f>
        <v>0</v>
      </c>
      <c r="CG3" s="1">
        <f>AVERAGE(Instances!CG3:Instances!CG22)</f>
        <v>0</v>
      </c>
      <c r="CH3" s="1">
        <f>AVERAGE(Instances!CH3:Instances!CH22)</f>
        <v>0</v>
      </c>
      <c r="CI3" s="1">
        <f>AVERAGE(Instances!CI3:Instances!CI22)</f>
        <v>0</v>
      </c>
      <c r="CJ3" s="1"/>
      <c r="CK3" s="1">
        <f>AVERAGE(Instances!CK3:Instances!CK22)</f>
        <v>0</v>
      </c>
      <c r="CL3" s="1">
        <f>SUM(Instances!CL3:Instances!CL22)</f>
        <v>0</v>
      </c>
      <c r="CM3" s="1">
        <f>AVERAGE(Instances!CM3:Instances!CM22)</f>
        <v>0</v>
      </c>
      <c r="CN3" s="1">
        <f>AVERAGE(Instances!CN3:Instances!CN22)</f>
        <v>0</v>
      </c>
      <c r="CO3" s="1">
        <f>AVERAGE(Instances!CO3:Instances!CO22)</f>
        <v>0</v>
      </c>
      <c r="CP3" s="1">
        <f>AVERAGE(Instances!CP3:Instances!CP22)</f>
        <v>0</v>
      </c>
      <c r="CQ3" s="1">
        <f>AVERAGE(Instances!CQ3:Instances!CQ22)</f>
        <v>0</v>
      </c>
      <c r="CR3" s="1">
        <f>AVERAGE(Instances!CR3:Instances!CR22)</f>
        <v>0</v>
      </c>
      <c r="CS3" s="1">
        <f>AVERAGE(Instances!CS3:Instances!CS22)</f>
        <v>0</v>
      </c>
      <c r="CT3" s="1">
        <f>AVERAGE(Instances!CT3:Instances!CT22)</f>
        <v>0</v>
      </c>
      <c r="CU3" s="1">
        <f>AVERAGE(Instances!CU3:Instances!CU22)</f>
        <v>0</v>
      </c>
      <c r="CV3" s="1">
        <f>AVERAGE(Instances!CV3:Instances!CV22)</f>
        <v>0</v>
      </c>
      <c r="CW3" s="1">
        <f>AVERAGE(Instances!CW3:Instances!CW22)</f>
        <v>0</v>
      </c>
      <c r="CX3" s="1">
        <f>AVERAGE(Instances!CX3:Instances!CX22)</f>
        <v>0</v>
      </c>
      <c r="CY3" s="1">
        <f>AVERAGE(Instances!CY3:Instances!CY22)</f>
        <v>0</v>
      </c>
      <c r="CZ3" s="1">
        <f>AVERAGE(Instances!CZ3:Instances!CZ22)</f>
        <v>0</v>
      </c>
      <c r="DA3" s="1">
        <f>AVERAGE(Instances!DA3:Instances!DA22)</f>
        <v>0</v>
      </c>
      <c r="DB3" s="1"/>
      <c r="DC3" s="1">
        <f>AVERAGE(Instances!DC3:Instances!DC22)</f>
        <v>0</v>
      </c>
      <c r="DD3" s="1">
        <f>SUM(Instances!DD3:Instances!DD22)</f>
        <v>0</v>
      </c>
      <c r="DE3" s="1">
        <f>AVERAGE(Instances!DE3:Instances!DE22)</f>
        <v>0</v>
      </c>
      <c r="DF3" s="1">
        <f>AVERAGE(Instances!DF3:Instances!DF22)</f>
        <v>0</v>
      </c>
      <c r="DG3" s="1">
        <f>AVERAGE(Instances!DG3:Instances!DG22)</f>
        <v>0</v>
      </c>
      <c r="DH3" s="1">
        <f>AVERAGE(Instances!DH3:Instances!DH22)</f>
        <v>0</v>
      </c>
      <c r="DI3" s="1">
        <f>AVERAGE(Instances!DI3:Instances!DI22)</f>
        <v>0</v>
      </c>
      <c r="DJ3" s="1">
        <f>AVERAGE(Instances!DJ3:Instances!DJ22)</f>
        <v>0</v>
      </c>
      <c r="DK3" s="1">
        <f>AVERAGE(Instances!DK3:Instances!DK22)</f>
        <v>0</v>
      </c>
      <c r="DL3" s="1">
        <f>AVERAGE(Instances!DL3:Instances!DL22)</f>
        <v>0</v>
      </c>
      <c r="DM3" s="1">
        <f>AVERAGE(Instances!DM3:Instances!DM22)</f>
        <v>0</v>
      </c>
      <c r="DN3" s="1">
        <f>AVERAGE(Instances!DN3:Instances!DN22)</f>
        <v>0</v>
      </c>
      <c r="DO3" s="1">
        <f>AVERAGE(Instances!DO3:Instances!DO22)</f>
        <v>0</v>
      </c>
      <c r="DP3" s="1">
        <f>AVERAGE(Instances!DP3:Instances!DP22)</f>
        <v>0</v>
      </c>
      <c r="DQ3" s="1">
        <f>AVERAGE(Instances!DQ3:Instances!DQ22)</f>
        <v>0</v>
      </c>
      <c r="DR3" s="1">
        <f>AVERAGE(Instances!DR3:Instances!DR22)</f>
        <v>0</v>
      </c>
      <c r="DS3" s="1">
        <f>AVERAGE(Instances!DS3:Instances!DS22)</f>
        <v>0</v>
      </c>
      <c r="DT3" s="1"/>
      <c r="DU3" s="1">
        <f>AVERAGE(Instances!DU3:Instances!DU22)</f>
        <v>0</v>
      </c>
      <c r="DV3" s="1">
        <f>SUM(Instances!DV3:Instances!DV22)</f>
        <v>0</v>
      </c>
      <c r="DW3" s="1">
        <f>AVERAGE(Instances!DW3:Instances!DW22)</f>
        <v>0</v>
      </c>
      <c r="DX3" s="1">
        <f>AVERAGE(Instances!DX3:Instances!DX22)</f>
        <v>0</v>
      </c>
      <c r="DY3" s="1">
        <f>AVERAGE(Instances!DY3:Instances!DY22)</f>
        <v>0</v>
      </c>
      <c r="DZ3" s="1">
        <f>AVERAGE(Instances!DZ3:Instances!DZ22)</f>
        <v>0</v>
      </c>
      <c r="EA3" s="1">
        <f>AVERAGE(Instances!EA3:Instances!EA22)</f>
        <v>0</v>
      </c>
      <c r="EB3" s="1">
        <f>AVERAGE(Instances!EB3:Instances!EB22)</f>
        <v>0</v>
      </c>
      <c r="EC3" s="1">
        <f>AVERAGE(Instances!EC3:Instances!EC22)</f>
        <v>0</v>
      </c>
      <c r="ED3" s="1">
        <f>AVERAGE(Instances!ED3:Instances!ED22)</f>
        <v>0</v>
      </c>
      <c r="EE3" s="1">
        <f>AVERAGE(Instances!EE3:Instances!EE22)</f>
        <v>0</v>
      </c>
      <c r="EF3" s="1">
        <f>AVERAGE(Instances!EF3:Instances!EF22)</f>
        <v>0</v>
      </c>
      <c r="EG3" s="1">
        <f>AVERAGE(Instances!EG3:Instances!EG22)</f>
        <v>0</v>
      </c>
      <c r="EH3" s="1">
        <f>AVERAGE(Instances!EH3:Instances!EH22)</f>
        <v>0</v>
      </c>
      <c r="EI3" s="1">
        <f>AVERAGE(Instances!EI3:Instances!EI22)</f>
        <v>0</v>
      </c>
      <c r="EJ3" s="1">
        <f>AVERAGE(Instances!EJ3:Instances!EJ22)</f>
        <v>0</v>
      </c>
      <c r="EK3" s="1">
        <f>AVERAGE(Instances!EK3:Instances!EK22)</f>
        <v>0</v>
      </c>
      <c r="EL3" s="1"/>
      <c r="EM3" s="1">
        <f>AVERAGE(Instances!EM3:Instances!EM22)</f>
        <v>0</v>
      </c>
      <c r="EN3" s="1">
        <f>SUM(Instances!EN3:Instances!EN22)</f>
        <v>0</v>
      </c>
      <c r="EO3" s="1">
        <f>AVERAGE(Instances!EO3:Instances!EO22)</f>
        <v>0</v>
      </c>
      <c r="EP3" s="1">
        <f>AVERAGE(Instances!EP3:Instances!EP22)</f>
        <v>0</v>
      </c>
      <c r="EQ3" s="1">
        <f>AVERAGE(Instances!EQ3:Instances!EQ22)</f>
        <v>0</v>
      </c>
      <c r="ER3" s="1">
        <f>AVERAGE(Instances!ER3:Instances!ER22)</f>
        <v>0</v>
      </c>
      <c r="ES3" s="1">
        <f>AVERAGE(Instances!ES3:Instances!ES22)</f>
        <v>0</v>
      </c>
      <c r="ET3" s="1">
        <f>AVERAGE(Instances!ET3:Instances!ET22)</f>
        <v>0</v>
      </c>
      <c r="EU3" s="1">
        <f>AVERAGE(Instances!EU3:Instances!EU22)</f>
        <v>0</v>
      </c>
      <c r="EV3" s="1">
        <f>AVERAGE(Instances!EV3:Instances!EV22)</f>
        <v>0</v>
      </c>
      <c r="EW3" s="1">
        <f>AVERAGE(Instances!EW3:Instances!EW22)</f>
        <v>0</v>
      </c>
      <c r="EX3" s="1">
        <f>AVERAGE(Instances!EX3:Instances!EX22)</f>
        <v>0</v>
      </c>
      <c r="EY3" s="1">
        <f>AVERAGE(Instances!EY3:Instances!EY22)</f>
        <v>0</v>
      </c>
      <c r="EZ3" s="1">
        <f>AVERAGE(Instances!EZ3:Instances!EZ22)</f>
        <v>0</v>
      </c>
      <c r="FA3" s="1">
        <f>AVERAGE(Instances!FA3:Instances!FA22)</f>
        <v>0</v>
      </c>
      <c r="FB3" s="1">
        <f>AVERAGE(Instances!FB3:Instances!FB22)</f>
        <v>0</v>
      </c>
      <c r="FC3" s="1">
        <f>AVERAGE(Instances!FC3:Instances!FC22)</f>
        <v>0</v>
      </c>
      <c r="FD3" s="1"/>
      <c r="FE3" s="1">
        <f>AVERAGE(Instances!FE3:Instances!FE22)</f>
        <v>0</v>
      </c>
      <c r="FF3" s="1">
        <f>SUM(Instances!FF3:Instances!FF22)</f>
        <v>0</v>
      </c>
      <c r="FG3" s="1">
        <f>AVERAGE(Instances!FG3:Instances!FG22)</f>
        <v>0</v>
      </c>
      <c r="FH3" s="1">
        <f>AVERAGE(Instances!FH3:Instances!FH22)</f>
        <v>0</v>
      </c>
      <c r="FI3" s="1">
        <f>AVERAGE(Instances!FI3:Instances!FI22)</f>
        <v>0</v>
      </c>
      <c r="FJ3" s="1">
        <f>AVERAGE(Instances!FJ3:Instances!FJ22)</f>
        <v>0</v>
      </c>
      <c r="FK3" s="1">
        <f>AVERAGE(Instances!FK3:Instances!FK22)</f>
        <v>0</v>
      </c>
      <c r="FL3" s="1">
        <f>AVERAGE(Instances!FL3:Instances!FL22)</f>
        <v>0</v>
      </c>
      <c r="FM3" s="1">
        <f>AVERAGE(Instances!FM3:Instances!FM22)</f>
        <v>0</v>
      </c>
      <c r="FN3" s="1">
        <f>AVERAGE(Instances!FN3:Instances!FN22)</f>
        <v>0</v>
      </c>
      <c r="FO3" s="1">
        <f>AVERAGE(Instances!FO3:Instances!FO22)</f>
        <v>0</v>
      </c>
      <c r="FP3" s="1">
        <f>AVERAGE(Instances!FP3:Instances!FP22)</f>
        <v>0</v>
      </c>
      <c r="FQ3" s="1">
        <f>AVERAGE(Instances!FQ3:Instances!FQ22)</f>
        <v>0</v>
      </c>
      <c r="FR3" s="1">
        <f>AVERAGE(Instances!FR3:Instances!FR22)</f>
        <v>0</v>
      </c>
      <c r="FS3" s="1">
        <f>AVERAGE(Instances!FS3:Instances!FS22)</f>
        <v>0</v>
      </c>
      <c r="FT3" s="1">
        <f>AVERAGE(Instances!FT3:Instances!FT22)</f>
        <v>0</v>
      </c>
      <c r="FU3" s="1">
        <f>AVERAGE(Instances!FU3:Instances!FU22)</f>
        <v>0</v>
      </c>
      <c r="FV3" s="1"/>
      <c r="FW3" s="1">
        <f>AVERAGE(Instances!FW3:Instances!FW22)</f>
        <v>0</v>
      </c>
      <c r="FX3" s="1">
        <f>SUM(Instances!FX3:Instances!FX22)</f>
        <v>0</v>
      </c>
      <c r="FY3" s="1">
        <f>AVERAGE(Instances!FY3:Instances!FY22)</f>
        <v>0</v>
      </c>
      <c r="FZ3" s="1">
        <f>AVERAGE(Instances!FZ3:Instances!FZ22)</f>
        <v>0</v>
      </c>
      <c r="GA3" s="1">
        <f>AVERAGE(Instances!GA3:Instances!GA22)</f>
        <v>0</v>
      </c>
      <c r="GB3" s="1">
        <f>AVERAGE(Instances!GB3:Instances!GB22)</f>
        <v>0</v>
      </c>
      <c r="GC3" s="1">
        <f>AVERAGE(Instances!GC3:Instances!GC22)</f>
        <v>0</v>
      </c>
      <c r="GD3" s="1">
        <f>AVERAGE(Instances!GD3:Instances!GD22)</f>
        <v>0</v>
      </c>
      <c r="GE3" s="1">
        <f>AVERAGE(Instances!GE3:Instances!GE22)</f>
        <v>0</v>
      </c>
      <c r="GF3" s="1">
        <f>AVERAGE(Instances!GF3:Instances!GF22)</f>
        <v>0</v>
      </c>
      <c r="GG3" s="1">
        <f>AVERAGE(Instances!GG3:Instances!GG22)</f>
        <v>0</v>
      </c>
      <c r="GH3" s="1">
        <f>AVERAGE(Instances!GH3:Instances!GH22)</f>
        <v>0</v>
      </c>
      <c r="GI3" s="1">
        <f>AVERAGE(Instances!GI3:Instances!GI22)</f>
        <v>0</v>
      </c>
      <c r="GJ3" s="1">
        <f>AVERAGE(Instances!GJ3:Instances!GJ22)</f>
        <v>0</v>
      </c>
      <c r="GK3" s="1">
        <f>AVERAGE(Instances!GK3:Instances!GK22)</f>
        <v>0</v>
      </c>
      <c r="GL3" s="1">
        <f>AVERAGE(Instances!GL3:Instances!GL22)</f>
        <v>0</v>
      </c>
      <c r="GM3" s="1">
        <f>AVERAGE(Instances!GM3:Instances!GM22)</f>
        <v>0</v>
      </c>
      <c r="GN3" s="1"/>
      <c r="GO3" s="1">
        <f>AVERAGE(Instances!GO3:Instances!GO22)</f>
        <v>0</v>
      </c>
      <c r="GP3" s="1">
        <f>SUM(Instances!GP3:Instances!GP22)</f>
        <v>0</v>
      </c>
      <c r="GQ3" s="1">
        <f>AVERAGE(Instances!GQ3:Instances!GQ22)</f>
        <v>0</v>
      </c>
      <c r="GR3" s="1">
        <f>AVERAGE(Instances!GR3:Instances!GR22)</f>
        <v>0</v>
      </c>
      <c r="GS3" s="1">
        <f>AVERAGE(Instances!GS3:Instances!GS22)</f>
        <v>0</v>
      </c>
      <c r="GT3" s="1">
        <f>AVERAGE(Instances!GT3:Instances!GT22)</f>
        <v>0</v>
      </c>
      <c r="GU3" s="1">
        <f>AVERAGE(Instances!GU3:Instances!GU22)</f>
        <v>0</v>
      </c>
      <c r="GV3" s="1">
        <f>AVERAGE(Instances!GV3:Instances!GV22)</f>
        <v>0</v>
      </c>
      <c r="GW3" s="1">
        <f>AVERAGE(Instances!GW3:Instances!GW22)</f>
        <v>0</v>
      </c>
      <c r="GX3" s="1">
        <f>AVERAGE(Instances!GX3:Instances!GX22)</f>
        <v>0</v>
      </c>
      <c r="GY3" s="1">
        <f>AVERAGE(Instances!GY3:Instances!GY22)</f>
        <v>0</v>
      </c>
      <c r="GZ3" s="1">
        <f>AVERAGE(Instances!GZ3:Instances!GZ22)</f>
        <v>0</v>
      </c>
      <c r="HA3" s="1">
        <f>AVERAGE(Instances!HA3:Instances!HA22)</f>
        <v>0</v>
      </c>
      <c r="HB3" s="1">
        <f>AVERAGE(Instances!HB3:Instances!HB22)</f>
        <v>0</v>
      </c>
      <c r="HC3" s="1">
        <f>AVERAGE(Instances!HC3:Instances!HC22)</f>
        <v>0</v>
      </c>
      <c r="HD3" s="1">
        <f>AVERAGE(Instances!HD3:Instances!HD22)</f>
        <v>0</v>
      </c>
      <c r="HE3" s="1">
        <f>AVERAGE(Instances!HE3:Instances!HE22)</f>
        <v>0</v>
      </c>
      <c r="HF3" s="1"/>
      <c r="HG3" s="1">
        <f>AVERAGE(Instances!HG3:Instances!HG22)</f>
        <v>0</v>
      </c>
      <c r="HH3" s="1">
        <f>SUM(Instances!HH3:Instances!HH22)</f>
        <v>0</v>
      </c>
      <c r="HI3" s="1">
        <f>AVERAGE(Instances!HI3:Instances!HI22)</f>
        <v>0</v>
      </c>
      <c r="HJ3" s="1">
        <f>AVERAGE(Instances!HJ3:Instances!HJ22)</f>
        <v>0</v>
      </c>
      <c r="HK3" s="1">
        <f>AVERAGE(Instances!HK3:Instances!HK22)</f>
        <v>0</v>
      </c>
      <c r="HL3" s="1">
        <f>AVERAGE(Instances!HL3:Instances!HL22)</f>
        <v>0</v>
      </c>
      <c r="HM3" s="1">
        <f>AVERAGE(Instances!HM3:Instances!HM22)</f>
        <v>0</v>
      </c>
      <c r="HN3" s="1">
        <f>AVERAGE(Instances!HN3:Instances!HN22)</f>
        <v>0</v>
      </c>
      <c r="HO3" s="1">
        <f>AVERAGE(Instances!HO3:Instances!HO22)</f>
        <v>0</v>
      </c>
      <c r="HP3" s="1">
        <f>AVERAGE(Instances!HP3:Instances!HP22)</f>
        <v>0</v>
      </c>
      <c r="HQ3" s="1">
        <f>AVERAGE(Instances!HQ3:Instances!HQ22)</f>
        <v>0</v>
      </c>
      <c r="HR3" s="1">
        <f>AVERAGE(Instances!HR3:Instances!HR22)</f>
        <v>0</v>
      </c>
      <c r="HS3" s="1">
        <f>AVERAGE(Instances!HS3:Instances!HS22)</f>
        <v>0</v>
      </c>
      <c r="HT3" s="1">
        <f>AVERAGE(Instances!HT3:Instances!HT22)</f>
        <v>0</v>
      </c>
      <c r="HU3" s="1">
        <f>AVERAGE(Instances!HU3:Instances!HU22)</f>
        <v>0</v>
      </c>
      <c r="HV3" s="1">
        <f>AVERAGE(Instances!HV3:Instances!HV22)</f>
        <v>0</v>
      </c>
      <c r="HW3" s="1">
        <f>AVERAGE(Instances!HW3:Instances!HW22)</f>
        <v>0</v>
      </c>
      <c r="HX3" s="1"/>
      <c r="HY3" s="1">
        <f>AVERAGE(Instances!HY3:Instances!HY22)</f>
        <v>0</v>
      </c>
      <c r="HZ3" s="1">
        <f>SUM(Instances!HZ3:Instances!HZ22)</f>
        <v>0</v>
      </c>
      <c r="IA3" s="1">
        <f>AVERAGE(Instances!IA3:Instances!IA22)</f>
        <v>0</v>
      </c>
      <c r="IB3" s="1">
        <f>AVERAGE(Instances!IB3:Instances!IB22)</f>
        <v>0</v>
      </c>
      <c r="IC3" s="1">
        <f>AVERAGE(Instances!IC3:Instances!IC22)</f>
        <v>0</v>
      </c>
      <c r="ID3" s="1">
        <f>AVERAGE(Instances!ID3:Instances!ID22)</f>
        <v>0</v>
      </c>
      <c r="IE3" s="1">
        <f>AVERAGE(Instances!IE3:Instances!IE22)</f>
        <v>0</v>
      </c>
      <c r="IF3" s="1">
        <f>AVERAGE(Instances!IF3:Instances!IF22)</f>
        <v>0</v>
      </c>
      <c r="IG3" s="1">
        <f>AVERAGE(Instances!IG3:Instances!IG22)</f>
        <v>0</v>
      </c>
      <c r="IH3" s="1">
        <f>AVERAGE(Instances!IH3:Instances!IH22)</f>
        <v>0</v>
      </c>
      <c r="II3" s="1">
        <f>AVERAGE(Instances!II3:Instances!II22)</f>
        <v>0</v>
      </c>
      <c r="IJ3" s="1">
        <f>AVERAGE(Instances!IJ3:Instances!IJ22)</f>
        <v>0</v>
      </c>
      <c r="IK3" s="1">
        <f>AVERAGE(Instances!IK3:Instances!IK22)</f>
        <v>0</v>
      </c>
      <c r="IL3" s="1">
        <f>AVERAGE(Instances!IL3:Instances!IL22)</f>
        <v>0</v>
      </c>
      <c r="IM3" s="1">
        <f>AVERAGE(Instances!IM3:Instances!IM22)</f>
        <v>0</v>
      </c>
      <c r="IN3" s="1">
        <f>AVERAGE(Instances!IN3:Instances!IN22)</f>
        <v>0</v>
      </c>
      <c r="IO3" s="1">
        <f>AVERAGE(Instances!IO3:Instances!IO22)</f>
        <v>0</v>
      </c>
      <c r="IP3" s="1"/>
      <c r="IQ3" s="1">
        <f>AVERAGE(Instances!IQ3:Instances!IQ22)</f>
        <v>0</v>
      </c>
      <c r="IR3" s="1">
        <f>SUM(Instances!IR3:Instances!IR22)</f>
        <v>0</v>
      </c>
      <c r="IS3" s="1">
        <f>AVERAGE(Instances!IS3:Instances!IS22)</f>
        <v>0</v>
      </c>
      <c r="IT3" s="1">
        <f>AVERAGE(Instances!IT3:Instances!IT22)</f>
        <v>0</v>
      </c>
      <c r="IU3" s="1">
        <f>AVERAGE(Instances!IU3:Instances!IU22)</f>
        <v>0</v>
      </c>
      <c r="IV3" s="1">
        <f>AVERAGE(Instances!IV3:Instances!IV22)</f>
        <v>0</v>
      </c>
      <c r="IW3" s="1">
        <f>AVERAGE(Instances!IW3:Instances!IW22)</f>
        <v>0</v>
      </c>
      <c r="IX3" s="1">
        <f>AVERAGE(Instances!IX3:Instances!IX22)</f>
        <v>0</v>
      </c>
      <c r="IY3" s="1">
        <f>AVERAGE(Instances!IY3:Instances!IY22)</f>
        <v>0</v>
      </c>
      <c r="IZ3" s="1">
        <f>AVERAGE(Instances!IZ3:Instances!IZ22)</f>
        <v>0</v>
      </c>
      <c r="JA3" s="1">
        <f>AVERAGE(Instances!JA3:Instances!JA22)</f>
        <v>0</v>
      </c>
      <c r="JB3" s="1">
        <f>AVERAGE(Instances!JB3:Instances!JB22)</f>
        <v>0</v>
      </c>
      <c r="JC3" s="1">
        <f>AVERAGE(Instances!JC3:Instances!JC22)</f>
        <v>0</v>
      </c>
      <c r="JD3" s="1">
        <f>AVERAGE(Instances!JD3:Instances!JD22)</f>
        <v>0</v>
      </c>
      <c r="JE3" s="1">
        <f>AVERAGE(Instances!JE3:Instances!JE22)</f>
        <v>0</v>
      </c>
      <c r="JF3" s="1">
        <f>AVERAGE(Instances!JF3:Instances!JF22)</f>
        <v>0</v>
      </c>
      <c r="JG3" s="1">
        <f>AVERAGE(Instances!JG3:Instances!JG22)</f>
        <v>0</v>
      </c>
      <c r="JH3" s="1"/>
      <c r="JI3" s="1">
        <f>AVERAGE(Instances!JI3:Instances!JI22)</f>
        <v>0</v>
      </c>
      <c r="JJ3" s="1">
        <f>SUM(Instances!JJ3:Instances!JJ22)</f>
        <v>0</v>
      </c>
      <c r="JK3" s="1">
        <f>AVERAGE(Instances!JK3:Instances!JK22)</f>
        <v>0</v>
      </c>
      <c r="JL3" s="1">
        <f>AVERAGE(Instances!JL3:Instances!JL22)</f>
        <v>0</v>
      </c>
      <c r="JM3" s="1">
        <f>AVERAGE(Instances!JM3:Instances!JM22)</f>
        <v>0</v>
      </c>
      <c r="JN3" s="1">
        <f>AVERAGE(Instances!JN3:Instances!JN22)</f>
        <v>0</v>
      </c>
      <c r="JO3" s="1">
        <f>AVERAGE(Instances!JO3:Instances!JO22)</f>
        <v>0</v>
      </c>
      <c r="JP3" s="1">
        <f>AVERAGE(Instances!JP3:Instances!JP22)</f>
        <v>0</v>
      </c>
      <c r="JQ3" s="1">
        <f>AVERAGE(Instances!JQ3:Instances!JQ22)</f>
        <v>0</v>
      </c>
      <c r="JR3" s="1">
        <f>AVERAGE(Instances!JR3:Instances!JR22)</f>
        <v>0</v>
      </c>
      <c r="JS3" s="1">
        <f>AVERAGE(Instances!JS3:Instances!JS22)</f>
        <v>0</v>
      </c>
      <c r="JT3" s="1">
        <f>AVERAGE(Instances!JT3:Instances!JT22)</f>
        <v>0</v>
      </c>
      <c r="JU3" s="1">
        <f>AVERAGE(Instances!JU3:Instances!JU22)</f>
        <v>0</v>
      </c>
      <c r="JV3" s="1">
        <f>AVERAGE(Instances!JV3:Instances!JV22)</f>
        <v>0</v>
      </c>
      <c r="JW3" s="1">
        <f>AVERAGE(Instances!JW3:Instances!JW22)</f>
        <v>0</v>
      </c>
      <c r="JX3" s="1">
        <f>AVERAGE(Instances!JX3:Instances!JX22)</f>
        <v>0</v>
      </c>
      <c r="JY3" s="1">
        <f>AVERAGE(Instances!JY3:Instances!JY22)</f>
        <v>0</v>
      </c>
      <c r="JZ3" s="1"/>
      <c r="KA3" s="1">
        <f>AVERAGE(Instances!KA3:Instances!KA22)</f>
        <v>0</v>
      </c>
      <c r="KB3" s="1">
        <f>SUM(Instances!KB3:Instances!KB22)</f>
        <v>0</v>
      </c>
      <c r="KC3" s="1">
        <f>AVERAGE(Instances!KC3:Instances!KC22)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88</v>
      </c>
      <c r="B4" s="1">
        <f>AVERAGE(Instances!B23:Instances!B32)</f>
        <v>0</v>
      </c>
      <c r="C4" s="1">
        <f>AVERAGE(Instances!C23:Instances!C32)</f>
        <v>0</v>
      </c>
      <c r="D4" s="1">
        <f>AVERAGE(Instances!D23:Instances!D32)</f>
        <v>0</v>
      </c>
      <c r="E4" s="1">
        <f>AVERAGE(Instances!E23:Instances!E32)</f>
        <v>0</v>
      </c>
      <c r="F4" s="1">
        <f>AVERAGE(Instances!F23:Instances!F32)</f>
        <v>0</v>
      </c>
      <c r="G4" s="1">
        <f>AVERAGE(Instances!G23:Instances!G32)</f>
        <v>0</v>
      </c>
      <c r="H4" s="1">
        <f>AVERAGE(Instances!H23:Instances!H32)</f>
        <v>0</v>
      </c>
      <c r="I4" s="1">
        <f>AVERAGE(Instances!I23:Instances!I32)</f>
        <v>0</v>
      </c>
      <c r="J4" s="1">
        <f>AVERAGE(Instances!J23:Instances!J32)</f>
        <v>0</v>
      </c>
      <c r="K4" s="1">
        <f>AVERAGE(Instances!K23:Instances!K32)</f>
        <v>0</v>
      </c>
      <c r="L4" s="1">
        <f>AVERAGE(Instances!L23:Instances!L32)</f>
        <v>0</v>
      </c>
      <c r="M4" s="1">
        <f>AVERAGE(Instances!M23:Instances!M32)</f>
        <v>0</v>
      </c>
      <c r="N4" s="1">
        <f>AVERAGE(Instances!N23:Instances!N32)</f>
        <v>0</v>
      </c>
      <c r="O4" s="1">
        <f>AVERAGE(Instances!O23:Instances!O32)</f>
        <v>0</v>
      </c>
      <c r="P4" s="1"/>
      <c r="Q4" s="1">
        <f>AVERAGE(Instances!Q23:Instances!Q32)</f>
        <v>0</v>
      </c>
      <c r="R4" s="1">
        <f>SUM(Instances!R23:Instances!R32)</f>
        <v>0</v>
      </c>
      <c r="S4" s="1">
        <f>AVERAGE(Instances!S23:Instances!S32)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AVERAGE(Instances!AL23:Instances!AL32)</f>
        <v>0</v>
      </c>
      <c r="AM4" s="1">
        <f>AVERAGE(Instances!AM23:Instances!AM32)</f>
        <v>0</v>
      </c>
      <c r="AN4" s="1">
        <f>AVERAGE(Instances!AN23:Instances!AN32)</f>
        <v>0</v>
      </c>
      <c r="AO4" s="1">
        <f>AVERAGE(Instances!AO23:Instances!AO32)</f>
        <v>0</v>
      </c>
      <c r="AP4" s="1">
        <f>AVERAGE(Instances!AP23:Instances!AP32)</f>
        <v>0</v>
      </c>
      <c r="AQ4" s="1">
        <f>AVERAGE(Instances!AQ23:Instances!AQ32)</f>
        <v>0</v>
      </c>
      <c r="AR4" s="1">
        <f>AVERAGE(Instances!AR23:Instances!AR32)</f>
        <v>0</v>
      </c>
      <c r="AS4" s="1">
        <f>AVERAGE(Instances!AS23:Instances!AS32)</f>
        <v>0</v>
      </c>
      <c r="AT4" s="1">
        <f>AVERAGE(Instances!AT23:Instances!AT32)</f>
        <v>0</v>
      </c>
      <c r="AU4" s="1">
        <f>AVERAGE(Instances!AU23:Instances!AU32)</f>
        <v>0</v>
      </c>
      <c r="AV4" s="1">
        <f>AVERAGE(Instances!AV23:Instances!AV32)</f>
        <v>0</v>
      </c>
      <c r="AW4" s="1">
        <f>AVERAGE(Instances!AW23:Instances!AW32)</f>
        <v>0</v>
      </c>
      <c r="AX4" s="1">
        <f>AVERAGE(Instances!AX23:Instances!AX32)</f>
        <v>0</v>
      </c>
      <c r="AY4" s="1">
        <f>AVERAGE(Instances!AY23:Instances!AY32)</f>
        <v>0</v>
      </c>
      <c r="AZ4" s="1"/>
      <c r="BA4" s="1">
        <f>AVERAGE(Instances!BA23:Instances!BA32)</f>
        <v>0</v>
      </c>
      <c r="BB4" s="1">
        <f>SUM(Instances!BB23:Instances!BB32)</f>
        <v>0</v>
      </c>
      <c r="BC4" s="1">
        <f>AVERAGE(Instances!BC23:Instances!BC32)</f>
        <v>0</v>
      </c>
      <c r="BD4" s="1">
        <f>AVERAGE(Instances!BD23:Instances!BD32)</f>
        <v>0</v>
      </c>
      <c r="BE4" s="1">
        <f>AVERAGE(Instances!BE23:Instances!BE32)</f>
        <v>0</v>
      </c>
      <c r="BF4" s="1">
        <f>AVERAGE(Instances!BF23:Instances!BF32)</f>
        <v>0</v>
      </c>
      <c r="BG4" s="1">
        <f>AVERAGE(Instances!BG23:Instances!BG32)</f>
        <v>0</v>
      </c>
      <c r="BH4" s="1">
        <f>AVERAGE(Instances!BH23:Instances!BH32)</f>
        <v>0</v>
      </c>
      <c r="BI4" s="1">
        <f>AVERAGE(Instances!BI23:Instances!BI32)</f>
        <v>0</v>
      </c>
      <c r="BJ4" s="1">
        <f>AVERAGE(Instances!BJ23:Instances!BJ32)</f>
        <v>0</v>
      </c>
      <c r="BK4" s="1">
        <f>AVERAGE(Instances!BK23:Instances!BK32)</f>
        <v>0</v>
      </c>
      <c r="BL4" s="1">
        <f>AVERAGE(Instances!BL23:Instances!BL32)</f>
        <v>0</v>
      </c>
      <c r="BM4" s="1">
        <f>AVERAGE(Instances!BM23:Instances!BM32)</f>
        <v>0</v>
      </c>
      <c r="BN4" s="1">
        <f>AVERAGE(Instances!BN23:Instances!BN32)</f>
        <v>0</v>
      </c>
      <c r="BO4" s="1">
        <f>AVERAGE(Instances!BO23:Instances!BO32)</f>
        <v>0</v>
      </c>
      <c r="BP4" s="1">
        <f>AVERAGE(Instances!BP23:Instances!BP32)</f>
        <v>0</v>
      </c>
      <c r="BQ4" s="1">
        <f>AVERAGE(Instances!BQ23:Instances!BQ32)</f>
        <v>0</v>
      </c>
      <c r="BR4" s="1"/>
      <c r="BS4" s="1">
        <f>AVERAGE(Instances!BS23:Instances!BS32)</f>
        <v>0</v>
      </c>
      <c r="BT4" s="1">
        <f>SUM(Instances!BT23:Instances!BT32)</f>
        <v>0</v>
      </c>
      <c r="BU4" s="1">
        <f>AVERAGE(Instances!BU23:Instances!BU32)</f>
        <v>0</v>
      </c>
      <c r="BV4" s="1">
        <f>AVERAGE(Instances!BV23:Instances!BV32)</f>
        <v>0</v>
      </c>
      <c r="BW4" s="1">
        <f>AVERAGE(Instances!BW23:Instances!BW32)</f>
        <v>0</v>
      </c>
      <c r="BX4" s="1">
        <f>AVERAGE(Instances!BX23:Instances!BX32)</f>
        <v>0</v>
      </c>
      <c r="BY4" s="1">
        <f>AVERAGE(Instances!BY23:Instances!BY32)</f>
        <v>0</v>
      </c>
      <c r="BZ4" s="1">
        <f>AVERAGE(Instances!BZ23:Instances!BZ32)</f>
        <v>0</v>
      </c>
      <c r="CA4" s="1">
        <f>AVERAGE(Instances!CA23:Instances!CA32)</f>
        <v>0</v>
      </c>
      <c r="CB4" s="1">
        <f>AVERAGE(Instances!CB23:Instances!CB32)</f>
        <v>0</v>
      </c>
      <c r="CC4" s="1">
        <f>AVERAGE(Instances!CC23:Instances!CC32)</f>
        <v>0</v>
      </c>
      <c r="CD4" s="1">
        <f>AVERAGE(Instances!CD23:Instances!CD32)</f>
        <v>0</v>
      </c>
      <c r="CE4" s="1">
        <f>AVERAGE(Instances!CE23:Instances!CE32)</f>
        <v>0</v>
      </c>
      <c r="CF4" s="1">
        <f>AVERAGE(Instances!CF23:Instances!CF32)</f>
        <v>0</v>
      </c>
      <c r="CG4" s="1">
        <f>AVERAGE(Instances!CG23:Instances!CG32)</f>
        <v>0</v>
      </c>
      <c r="CH4" s="1">
        <f>AVERAGE(Instances!CH23:Instances!CH32)</f>
        <v>0</v>
      </c>
      <c r="CI4" s="1">
        <f>AVERAGE(Instances!CI23:Instances!CI32)</f>
        <v>0</v>
      </c>
      <c r="CJ4" s="1"/>
      <c r="CK4" s="1">
        <f>AVERAGE(Instances!CK23:Instances!CK32)</f>
        <v>0</v>
      </c>
      <c r="CL4" s="1">
        <f>SUM(Instances!CL23:Instances!CL32)</f>
        <v>0</v>
      </c>
      <c r="CM4" s="1">
        <f>AVERAGE(Instances!CM23:Instances!CM32)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AVERAGE(Instances!DX23:Instances!DX32)</f>
        <v>0</v>
      </c>
      <c r="DY4" s="1">
        <f>AVERAGE(Instances!DY23:Instances!DY32)</f>
        <v>0</v>
      </c>
      <c r="DZ4" s="1">
        <f>AVERAGE(Instances!DZ23:Instances!DZ32)</f>
        <v>0</v>
      </c>
      <c r="EA4" s="1">
        <f>AVERAGE(Instances!EA23:Instances!EA32)</f>
        <v>0</v>
      </c>
      <c r="EB4" s="1">
        <f>AVERAGE(Instances!EB23:Instances!EB32)</f>
        <v>0</v>
      </c>
      <c r="EC4" s="1">
        <f>AVERAGE(Instances!EC23:Instances!EC32)</f>
        <v>0</v>
      </c>
      <c r="ED4" s="1">
        <f>AVERAGE(Instances!ED23:Instances!ED32)</f>
        <v>0</v>
      </c>
      <c r="EE4" s="1">
        <f>AVERAGE(Instances!EE23:Instances!EE32)</f>
        <v>0</v>
      </c>
      <c r="EF4" s="1">
        <f>AVERAGE(Instances!EF23:Instances!EF32)</f>
        <v>0</v>
      </c>
      <c r="EG4" s="1">
        <f>AVERAGE(Instances!EG23:Instances!EG32)</f>
        <v>0</v>
      </c>
      <c r="EH4" s="1">
        <f>AVERAGE(Instances!EH23:Instances!EH32)</f>
        <v>0</v>
      </c>
      <c r="EI4" s="1">
        <f>AVERAGE(Instances!EI23:Instances!EI32)</f>
        <v>0</v>
      </c>
      <c r="EJ4" s="1">
        <f>AVERAGE(Instances!EJ23:Instances!EJ32)</f>
        <v>0</v>
      </c>
      <c r="EK4" s="1">
        <f>AVERAGE(Instances!EK23:Instances!EK32)</f>
        <v>0</v>
      </c>
      <c r="EL4" s="1"/>
      <c r="EM4" s="1">
        <f>AVERAGE(Instances!EM23:Instances!EM32)</f>
        <v>0</v>
      </c>
      <c r="EN4" s="1">
        <f>SUM(Instances!EN23:Instances!EN32)</f>
        <v>0</v>
      </c>
      <c r="EO4" s="1">
        <f>AVERAGE(Instances!EO23:Instances!EO32)</f>
        <v>0</v>
      </c>
      <c r="EP4" s="1">
        <f>AVERAGE(Instances!EP23:Instances!EP32)</f>
        <v>0</v>
      </c>
      <c r="EQ4" s="1">
        <f>AVERAGE(Instances!EQ23:Instances!EQ32)</f>
        <v>0</v>
      </c>
      <c r="ER4" s="1">
        <f>AVERAGE(Instances!ER23:Instances!ER32)</f>
        <v>0</v>
      </c>
      <c r="ES4" s="1">
        <f>AVERAGE(Instances!ES23:Instances!ES32)</f>
        <v>0</v>
      </c>
      <c r="ET4" s="1">
        <f>AVERAGE(Instances!ET23:Instances!ET32)</f>
        <v>0</v>
      </c>
      <c r="EU4" s="1">
        <f>AVERAGE(Instances!EU23:Instances!EU32)</f>
        <v>0</v>
      </c>
      <c r="EV4" s="1">
        <f>AVERAGE(Instances!EV23:Instances!EV32)</f>
        <v>0</v>
      </c>
      <c r="EW4" s="1">
        <f>AVERAGE(Instances!EW23:Instances!EW32)</f>
        <v>0</v>
      </c>
      <c r="EX4" s="1">
        <f>AVERAGE(Instances!EX23:Instances!EX32)</f>
        <v>0</v>
      </c>
      <c r="EY4" s="1">
        <f>AVERAGE(Instances!EY23:Instances!EY32)</f>
        <v>0</v>
      </c>
      <c r="EZ4" s="1">
        <f>AVERAGE(Instances!EZ23:Instances!EZ32)</f>
        <v>0</v>
      </c>
      <c r="FA4" s="1">
        <f>AVERAGE(Instances!FA23:Instances!FA32)</f>
        <v>0</v>
      </c>
      <c r="FB4" s="1">
        <f>AVERAGE(Instances!FB23:Instances!FB32)</f>
        <v>0</v>
      </c>
      <c r="FC4" s="1">
        <f>AVERAGE(Instances!FC23:Instances!FC32)</f>
        <v>0</v>
      </c>
      <c r="FD4" s="1"/>
      <c r="FE4" s="1">
        <f>AVERAGE(Instances!FE23:Instances!FE32)</f>
        <v>0</v>
      </c>
      <c r="FF4" s="1">
        <f>SUM(Instances!FF23:Instances!FF32)</f>
        <v>0</v>
      </c>
      <c r="FG4" s="1">
        <f>AVERAGE(Instances!FG23:Instances!FG32)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AVERAGE(Instances!FZ23:Instances!FZ32)</f>
        <v>0</v>
      </c>
      <c r="GA4" s="1">
        <f>AVERAGE(Instances!GA23:Instances!GA32)</f>
        <v>0</v>
      </c>
      <c r="GB4" s="1">
        <f>AVERAGE(Instances!GB23:Instances!GB32)</f>
        <v>0</v>
      </c>
      <c r="GC4" s="1">
        <f>AVERAGE(Instances!GC23:Instances!GC32)</f>
        <v>0</v>
      </c>
      <c r="GD4" s="1">
        <f>AVERAGE(Instances!GD23:Instances!GD32)</f>
        <v>0</v>
      </c>
      <c r="GE4" s="1">
        <f>AVERAGE(Instances!GE23:Instances!GE32)</f>
        <v>0</v>
      </c>
      <c r="GF4" s="1">
        <f>AVERAGE(Instances!GF23:Instances!GF32)</f>
        <v>0</v>
      </c>
      <c r="GG4" s="1">
        <f>AVERAGE(Instances!GG23:Instances!GG32)</f>
        <v>0</v>
      </c>
      <c r="GH4" s="1">
        <f>AVERAGE(Instances!GH23:Instances!GH32)</f>
        <v>0</v>
      </c>
      <c r="GI4" s="1">
        <f>AVERAGE(Instances!GI23:Instances!GI32)</f>
        <v>0</v>
      </c>
      <c r="GJ4" s="1">
        <f>AVERAGE(Instances!GJ23:Instances!GJ32)</f>
        <v>0</v>
      </c>
      <c r="GK4" s="1">
        <f>AVERAGE(Instances!GK23:Instances!GK32)</f>
        <v>0</v>
      </c>
      <c r="GL4" s="1">
        <f>AVERAGE(Instances!GL23:Instances!GL32)</f>
        <v>0</v>
      </c>
      <c r="GM4" s="1">
        <f>AVERAGE(Instances!GM23:Instances!GM32)</f>
        <v>0</v>
      </c>
      <c r="GN4" s="1"/>
      <c r="GO4" s="1">
        <f>AVERAGE(Instances!GO23:Instances!GO32)</f>
        <v>0</v>
      </c>
      <c r="GP4" s="1">
        <f>SUM(Instances!GP23:Instances!GP32)</f>
        <v>0</v>
      </c>
      <c r="GQ4" s="1">
        <f>AVERAGE(Instances!GQ23:Instances!GQ32)</f>
        <v>0</v>
      </c>
      <c r="GR4" s="1">
        <f>AVERAGE(Instances!GR23:Instances!GR32)</f>
        <v>0</v>
      </c>
      <c r="GS4" s="1">
        <f>AVERAGE(Instances!GS23:Instances!GS32)</f>
        <v>0</v>
      </c>
      <c r="GT4" s="1">
        <f>AVERAGE(Instances!GT23:Instances!GT32)</f>
        <v>0</v>
      </c>
      <c r="GU4" s="1">
        <f>AVERAGE(Instances!GU23:Instances!GU32)</f>
        <v>0</v>
      </c>
      <c r="GV4" s="1">
        <f>AVERAGE(Instances!GV23:Instances!GV32)</f>
        <v>0</v>
      </c>
      <c r="GW4" s="1">
        <f>AVERAGE(Instances!GW23:Instances!GW32)</f>
        <v>0</v>
      </c>
      <c r="GX4" s="1">
        <f>AVERAGE(Instances!GX23:Instances!GX32)</f>
        <v>0</v>
      </c>
      <c r="GY4" s="1">
        <f>AVERAGE(Instances!GY23:Instances!GY32)</f>
        <v>0</v>
      </c>
      <c r="GZ4" s="1">
        <f>AVERAGE(Instances!GZ23:Instances!GZ32)</f>
        <v>0</v>
      </c>
      <c r="HA4" s="1">
        <f>AVERAGE(Instances!HA23:Instances!HA32)</f>
        <v>0</v>
      </c>
      <c r="HB4" s="1">
        <f>AVERAGE(Instances!HB23:Instances!HB32)</f>
        <v>0</v>
      </c>
      <c r="HC4" s="1">
        <f>AVERAGE(Instances!HC23:Instances!HC32)</f>
        <v>0</v>
      </c>
      <c r="HD4" s="1">
        <f>AVERAGE(Instances!HD23:Instances!HD32)</f>
        <v>0</v>
      </c>
      <c r="HE4" s="1">
        <f>AVERAGE(Instances!HE23:Instances!HE32)</f>
        <v>0</v>
      </c>
      <c r="HF4" s="1"/>
      <c r="HG4" s="1">
        <f>AVERAGE(Instances!HG23:Instances!HG32)</f>
        <v>0</v>
      </c>
      <c r="HH4" s="1">
        <f>SUM(Instances!HH23:Instances!HH32)</f>
        <v>0</v>
      </c>
      <c r="HI4" s="1">
        <f>AVERAGE(Instances!HI23:Instances!HI32)</f>
        <v>0</v>
      </c>
      <c r="HJ4" s="1">
        <f>AVERAGE(Instances!HJ23:Instances!HJ32)</f>
        <v>0</v>
      </c>
      <c r="HK4" s="1">
        <f>AVERAGE(Instances!HK23:Instances!HK32)</f>
        <v>0</v>
      </c>
      <c r="HL4" s="1">
        <f>AVERAGE(Instances!HL23:Instances!HL32)</f>
        <v>0</v>
      </c>
      <c r="HM4" s="1">
        <f>AVERAGE(Instances!HM23:Instances!HM32)</f>
        <v>0</v>
      </c>
      <c r="HN4" s="1">
        <f>AVERAGE(Instances!HN23:Instances!HN32)</f>
        <v>0</v>
      </c>
      <c r="HO4" s="1">
        <f>AVERAGE(Instances!HO23:Instances!HO32)</f>
        <v>0</v>
      </c>
      <c r="HP4" s="1">
        <f>AVERAGE(Instances!HP23:Instances!HP32)</f>
        <v>0</v>
      </c>
      <c r="HQ4" s="1">
        <f>AVERAGE(Instances!HQ23:Instances!HQ32)</f>
        <v>0</v>
      </c>
      <c r="HR4" s="1">
        <f>AVERAGE(Instances!HR23:Instances!HR32)</f>
        <v>0</v>
      </c>
      <c r="HS4" s="1">
        <f>AVERAGE(Instances!HS23:Instances!HS32)</f>
        <v>0</v>
      </c>
      <c r="HT4" s="1">
        <f>AVERAGE(Instances!HT23:Instances!HT32)</f>
        <v>0</v>
      </c>
      <c r="HU4" s="1">
        <f>AVERAGE(Instances!HU23:Instances!HU32)</f>
        <v>0</v>
      </c>
      <c r="HV4" s="1">
        <f>AVERAGE(Instances!HV23:Instances!HV32)</f>
        <v>0</v>
      </c>
      <c r="HW4" s="1">
        <f>AVERAGE(Instances!HW23:Instances!HW32)</f>
        <v>0</v>
      </c>
      <c r="HX4" s="1"/>
      <c r="HY4" s="1">
        <f>AVERAGE(Instances!HY23:Instances!HY32)</f>
        <v>0</v>
      </c>
      <c r="HZ4" s="1">
        <f>SUM(Instances!HZ23:Instances!HZ32)</f>
        <v>0</v>
      </c>
      <c r="IA4" s="1">
        <f>AVERAGE(Instances!IA23:Instances!IA32)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AVERAGE(Instances!JL23:Instances!JL32)</f>
        <v>0</v>
      </c>
      <c r="JM4" s="1">
        <f>AVERAGE(Instances!JM23:Instances!JM32)</f>
        <v>0</v>
      </c>
      <c r="JN4" s="1">
        <f>AVERAGE(Instances!JN23:Instances!JN32)</f>
        <v>0</v>
      </c>
      <c r="JO4" s="1">
        <f>AVERAGE(Instances!JO23:Instances!JO32)</f>
        <v>0</v>
      </c>
      <c r="JP4" s="1">
        <f>AVERAGE(Instances!JP23:Instances!JP32)</f>
        <v>0</v>
      </c>
      <c r="JQ4" s="1">
        <f>AVERAGE(Instances!JQ23:Instances!JQ32)</f>
        <v>0</v>
      </c>
      <c r="JR4" s="1">
        <f>AVERAGE(Instances!JR23:Instances!JR32)</f>
        <v>0</v>
      </c>
      <c r="JS4" s="1">
        <f>AVERAGE(Instances!JS23:Instances!JS32)</f>
        <v>0</v>
      </c>
      <c r="JT4" s="1">
        <f>AVERAGE(Instances!JT23:Instances!JT32)</f>
        <v>0</v>
      </c>
      <c r="JU4" s="1">
        <f>AVERAGE(Instances!JU23:Instances!JU32)</f>
        <v>0</v>
      </c>
      <c r="JV4" s="1">
        <f>AVERAGE(Instances!JV23:Instances!JV32)</f>
        <v>0</v>
      </c>
      <c r="JW4" s="1">
        <f>AVERAGE(Instances!JW23:Instances!JW32)</f>
        <v>0</v>
      </c>
      <c r="JX4" s="1">
        <f>AVERAGE(Instances!JX23:Instances!JX32)</f>
        <v>0</v>
      </c>
      <c r="JY4" s="1">
        <f>AVERAGE(Instances!JY23:Instances!JY32)</f>
        <v>0</v>
      </c>
      <c r="JZ4" s="1"/>
      <c r="KA4" s="1">
        <f>AVERAGE(Instances!KA23:Instances!KA32)</f>
        <v>0</v>
      </c>
      <c r="KB4" s="1">
        <f>SUM(Instances!KB23:Instances!KB32)</f>
        <v>0</v>
      </c>
      <c r="KC4" s="1">
        <f>AVERAGE(Instances!KC23:Instances!KC32)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88</v>
      </c>
      <c r="B5" s="1">
        <f>AVERAGE(Instances!B33:Instances!B42)</f>
        <v>0</v>
      </c>
      <c r="C5" s="1">
        <f>AVERAGE(Instances!C33:Instances!C42)</f>
        <v>0</v>
      </c>
      <c r="D5" s="1">
        <f>AVERAGE(Instances!D33:Instances!D42)</f>
        <v>0</v>
      </c>
      <c r="E5" s="1">
        <f>AVERAGE(Instances!E33:Instances!E42)</f>
        <v>0</v>
      </c>
      <c r="F5" s="1">
        <f>AVERAGE(Instances!F33:Instances!F42)</f>
        <v>0</v>
      </c>
      <c r="G5" s="1">
        <f>AVERAGE(Instances!G33:Instances!G42)</f>
        <v>0</v>
      </c>
      <c r="H5" s="1">
        <f>AVERAGE(Instances!H33:Instances!H42)</f>
        <v>0</v>
      </c>
      <c r="I5" s="1">
        <f>AVERAGE(Instances!I33:Instances!I42)</f>
        <v>0</v>
      </c>
      <c r="J5" s="1">
        <f>AVERAGE(Instances!J33:Instances!J42)</f>
        <v>0</v>
      </c>
      <c r="K5" s="1">
        <f>AVERAGE(Instances!K33:Instances!K42)</f>
        <v>0</v>
      </c>
      <c r="L5" s="1">
        <f>AVERAGE(Instances!L33:Instances!L42)</f>
        <v>0</v>
      </c>
      <c r="M5" s="1">
        <f>AVERAGE(Instances!M33:Instances!M42)</f>
        <v>0</v>
      </c>
      <c r="N5" s="1">
        <f>AVERAGE(Instances!N33:Instances!N42)</f>
        <v>0</v>
      </c>
      <c r="O5" s="1">
        <f>AVERAGE(Instances!O33:Instances!O42)</f>
        <v>0</v>
      </c>
      <c r="P5" s="1"/>
      <c r="Q5" s="1">
        <f>AVERAGE(Instances!Q33:Instances!Q42)</f>
        <v>0</v>
      </c>
      <c r="R5" s="1">
        <f>SUM(Instances!R33:Instances!R42)</f>
        <v>0</v>
      </c>
      <c r="S5" s="1">
        <f>AVERAGE(Instances!S33:Instances!S42)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AVERAGE(Instances!AL33:Instances!AL42)</f>
        <v>0</v>
      </c>
      <c r="AM5" s="1">
        <f>AVERAGE(Instances!AM33:Instances!AM42)</f>
        <v>0</v>
      </c>
      <c r="AN5" s="1">
        <f>AVERAGE(Instances!AN33:Instances!AN42)</f>
        <v>0</v>
      </c>
      <c r="AO5" s="1">
        <f>AVERAGE(Instances!AO33:Instances!AO42)</f>
        <v>0</v>
      </c>
      <c r="AP5" s="1">
        <f>AVERAGE(Instances!AP33:Instances!AP42)</f>
        <v>0</v>
      </c>
      <c r="AQ5" s="1">
        <f>AVERAGE(Instances!AQ33:Instances!AQ42)</f>
        <v>0</v>
      </c>
      <c r="AR5" s="1">
        <f>AVERAGE(Instances!AR33:Instances!AR42)</f>
        <v>0</v>
      </c>
      <c r="AS5" s="1">
        <f>AVERAGE(Instances!AS33:Instances!AS42)</f>
        <v>0</v>
      </c>
      <c r="AT5" s="1">
        <f>AVERAGE(Instances!AT33:Instances!AT42)</f>
        <v>0</v>
      </c>
      <c r="AU5" s="1">
        <f>AVERAGE(Instances!AU33:Instances!AU42)</f>
        <v>0</v>
      </c>
      <c r="AV5" s="1">
        <f>AVERAGE(Instances!AV33:Instances!AV42)</f>
        <v>0</v>
      </c>
      <c r="AW5" s="1">
        <f>AVERAGE(Instances!AW33:Instances!AW42)</f>
        <v>0</v>
      </c>
      <c r="AX5" s="1">
        <f>AVERAGE(Instances!AX33:Instances!AX42)</f>
        <v>0</v>
      </c>
      <c r="AY5" s="1">
        <f>AVERAGE(Instances!AY33:Instances!AY42)</f>
        <v>0</v>
      </c>
      <c r="AZ5" s="1"/>
      <c r="BA5" s="1">
        <f>AVERAGE(Instances!BA33:Instances!BA42)</f>
        <v>0</v>
      </c>
      <c r="BB5" s="1">
        <f>SUM(Instances!BB33:Instances!BB42)</f>
        <v>0</v>
      </c>
      <c r="BC5" s="1">
        <f>AVERAGE(Instances!BC33:Instances!BC42)</f>
        <v>0</v>
      </c>
      <c r="BD5" s="1">
        <f>AVERAGE(Instances!BD33:Instances!BD42)</f>
        <v>0</v>
      </c>
      <c r="BE5" s="1">
        <f>AVERAGE(Instances!BE33:Instances!BE42)</f>
        <v>0</v>
      </c>
      <c r="BF5" s="1">
        <f>AVERAGE(Instances!BF33:Instances!BF42)</f>
        <v>0</v>
      </c>
      <c r="BG5" s="1">
        <f>AVERAGE(Instances!BG33:Instances!BG42)</f>
        <v>0</v>
      </c>
      <c r="BH5" s="1">
        <f>AVERAGE(Instances!BH33:Instances!BH42)</f>
        <v>0</v>
      </c>
      <c r="BI5" s="1">
        <f>AVERAGE(Instances!BI33:Instances!BI42)</f>
        <v>0</v>
      </c>
      <c r="BJ5" s="1">
        <f>AVERAGE(Instances!BJ33:Instances!BJ42)</f>
        <v>0</v>
      </c>
      <c r="BK5" s="1">
        <f>AVERAGE(Instances!BK33:Instances!BK42)</f>
        <v>0</v>
      </c>
      <c r="BL5" s="1">
        <f>AVERAGE(Instances!BL33:Instances!BL42)</f>
        <v>0</v>
      </c>
      <c r="BM5" s="1">
        <f>AVERAGE(Instances!BM33:Instances!BM42)</f>
        <v>0</v>
      </c>
      <c r="BN5" s="1">
        <f>AVERAGE(Instances!BN33:Instances!BN42)</f>
        <v>0</v>
      </c>
      <c r="BO5" s="1">
        <f>AVERAGE(Instances!BO33:Instances!BO42)</f>
        <v>0</v>
      </c>
      <c r="BP5" s="1">
        <f>AVERAGE(Instances!BP33:Instances!BP42)</f>
        <v>0</v>
      </c>
      <c r="BQ5" s="1">
        <f>AVERAGE(Instances!BQ33:Instances!BQ42)</f>
        <v>0</v>
      </c>
      <c r="BR5" s="1"/>
      <c r="BS5" s="1">
        <f>AVERAGE(Instances!BS33:Instances!BS42)</f>
        <v>0</v>
      </c>
      <c r="BT5" s="1">
        <f>SUM(Instances!BT33:Instances!BT42)</f>
        <v>0</v>
      </c>
      <c r="BU5" s="1">
        <f>AVERAGE(Instances!BU33:Instances!BU42)</f>
        <v>0</v>
      </c>
      <c r="BV5" s="1">
        <f>AVERAGE(Instances!BV33:Instances!BV42)</f>
        <v>0</v>
      </c>
      <c r="BW5" s="1">
        <f>AVERAGE(Instances!BW33:Instances!BW42)</f>
        <v>0</v>
      </c>
      <c r="BX5" s="1">
        <f>AVERAGE(Instances!BX33:Instances!BX42)</f>
        <v>0</v>
      </c>
      <c r="BY5" s="1">
        <f>AVERAGE(Instances!BY33:Instances!BY42)</f>
        <v>0</v>
      </c>
      <c r="BZ5" s="1">
        <f>AVERAGE(Instances!BZ33:Instances!BZ42)</f>
        <v>0</v>
      </c>
      <c r="CA5" s="1">
        <f>AVERAGE(Instances!CA33:Instances!CA42)</f>
        <v>0</v>
      </c>
      <c r="CB5" s="1">
        <f>AVERAGE(Instances!CB33:Instances!CB42)</f>
        <v>0</v>
      </c>
      <c r="CC5" s="1">
        <f>AVERAGE(Instances!CC33:Instances!CC42)</f>
        <v>0</v>
      </c>
      <c r="CD5" s="1">
        <f>AVERAGE(Instances!CD33:Instances!CD42)</f>
        <v>0</v>
      </c>
      <c r="CE5" s="1">
        <f>AVERAGE(Instances!CE33:Instances!CE42)</f>
        <v>0</v>
      </c>
      <c r="CF5" s="1">
        <f>AVERAGE(Instances!CF33:Instances!CF42)</f>
        <v>0</v>
      </c>
      <c r="CG5" s="1">
        <f>AVERAGE(Instances!CG33:Instances!CG42)</f>
        <v>0</v>
      </c>
      <c r="CH5" s="1">
        <f>AVERAGE(Instances!CH33:Instances!CH42)</f>
        <v>0</v>
      </c>
      <c r="CI5" s="1">
        <f>AVERAGE(Instances!CI33:Instances!CI42)</f>
        <v>0</v>
      </c>
      <c r="CJ5" s="1"/>
      <c r="CK5" s="1">
        <f>AVERAGE(Instances!CK33:Instances!CK42)</f>
        <v>0</v>
      </c>
      <c r="CL5" s="1">
        <f>SUM(Instances!CL33:Instances!CL42)</f>
        <v>0</v>
      </c>
      <c r="CM5" s="1">
        <f>AVERAGE(Instances!CM33:Instances!CM42)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AVERAGE(Instances!DX33:Instances!DX42)</f>
        <v>0</v>
      </c>
      <c r="DY5" s="1">
        <f>AVERAGE(Instances!DY33:Instances!DY42)</f>
        <v>0</v>
      </c>
      <c r="DZ5" s="1">
        <f>AVERAGE(Instances!DZ33:Instances!DZ42)</f>
        <v>0</v>
      </c>
      <c r="EA5" s="1">
        <f>AVERAGE(Instances!EA33:Instances!EA42)</f>
        <v>0</v>
      </c>
      <c r="EB5" s="1">
        <f>AVERAGE(Instances!EB33:Instances!EB42)</f>
        <v>0</v>
      </c>
      <c r="EC5" s="1">
        <f>AVERAGE(Instances!EC33:Instances!EC42)</f>
        <v>0</v>
      </c>
      <c r="ED5" s="1">
        <f>AVERAGE(Instances!ED33:Instances!ED42)</f>
        <v>0</v>
      </c>
      <c r="EE5" s="1">
        <f>AVERAGE(Instances!EE33:Instances!EE42)</f>
        <v>0</v>
      </c>
      <c r="EF5" s="1">
        <f>AVERAGE(Instances!EF33:Instances!EF42)</f>
        <v>0</v>
      </c>
      <c r="EG5" s="1">
        <f>AVERAGE(Instances!EG33:Instances!EG42)</f>
        <v>0</v>
      </c>
      <c r="EH5" s="1">
        <f>AVERAGE(Instances!EH33:Instances!EH42)</f>
        <v>0</v>
      </c>
      <c r="EI5" s="1">
        <f>AVERAGE(Instances!EI33:Instances!EI42)</f>
        <v>0</v>
      </c>
      <c r="EJ5" s="1">
        <f>AVERAGE(Instances!EJ33:Instances!EJ42)</f>
        <v>0</v>
      </c>
      <c r="EK5" s="1">
        <f>AVERAGE(Instances!EK33:Instances!EK42)</f>
        <v>0</v>
      </c>
      <c r="EL5" s="1"/>
      <c r="EM5" s="1">
        <f>AVERAGE(Instances!EM33:Instances!EM42)</f>
        <v>0</v>
      </c>
      <c r="EN5" s="1">
        <f>SUM(Instances!EN33:Instances!EN42)</f>
        <v>0</v>
      </c>
      <c r="EO5" s="1">
        <f>AVERAGE(Instances!EO33:Instances!EO42)</f>
        <v>0</v>
      </c>
      <c r="EP5" s="1">
        <f>AVERAGE(Instances!EP33:Instances!EP42)</f>
        <v>0</v>
      </c>
      <c r="EQ5" s="1">
        <f>AVERAGE(Instances!EQ33:Instances!EQ42)</f>
        <v>0</v>
      </c>
      <c r="ER5" s="1">
        <f>AVERAGE(Instances!ER33:Instances!ER42)</f>
        <v>0</v>
      </c>
      <c r="ES5" s="1">
        <f>AVERAGE(Instances!ES33:Instances!ES42)</f>
        <v>0</v>
      </c>
      <c r="ET5" s="1">
        <f>AVERAGE(Instances!ET33:Instances!ET42)</f>
        <v>0</v>
      </c>
      <c r="EU5" s="1">
        <f>AVERAGE(Instances!EU33:Instances!EU42)</f>
        <v>0</v>
      </c>
      <c r="EV5" s="1">
        <f>AVERAGE(Instances!EV33:Instances!EV42)</f>
        <v>0</v>
      </c>
      <c r="EW5" s="1">
        <f>AVERAGE(Instances!EW33:Instances!EW42)</f>
        <v>0</v>
      </c>
      <c r="EX5" s="1">
        <f>AVERAGE(Instances!EX33:Instances!EX42)</f>
        <v>0</v>
      </c>
      <c r="EY5" s="1">
        <f>AVERAGE(Instances!EY33:Instances!EY42)</f>
        <v>0</v>
      </c>
      <c r="EZ5" s="1">
        <f>AVERAGE(Instances!EZ33:Instances!EZ42)</f>
        <v>0</v>
      </c>
      <c r="FA5" s="1">
        <f>AVERAGE(Instances!FA33:Instances!FA42)</f>
        <v>0</v>
      </c>
      <c r="FB5" s="1">
        <f>AVERAGE(Instances!FB33:Instances!FB42)</f>
        <v>0</v>
      </c>
      <c r="FC5" s="1">
        <f>AVERAGE(Instances!FC33:Instances!FC42)</f>
        <v>0</v>
      </c>
      <c r="FD5" s="1"/>
      <c r="FE5" s="1">
        <f>AVERAGE(Instances!FE33:Instances!FE42)</f>
        <v>0</v>
      </c>
      <c r="FF5" s="1">
        <f>SUM(Instances!FF33:Instances!FF42)</f>
        <v>0</v>
      </c>
      <c r="FG5" s="1">
        <f>AVERAGE(Instances!FG33:Instances!FG42)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AVERAGE(Instances!FZ33:Instances!FZ42)</f>
        <v>0</v>
      </c>
      <c r="GA5" s="1">
        <f>AVERAGE(Instances!GA33:Instances!GA42)</f>
        <v>0</v>
      </c>
      <c r="GB5" s="1">
        <f>AVERAGE(Instances!GB33:Instances!GB42)</f>
        <v>0</v>
      </c>
      <c r="GC5" s="1">
        <f>AVERAGE(Instances!GC33:Instances!GC42)</f>
        <v>0</v>
      </c>
      <c r="GD5" s="1">
        <f>AVERAGE(Instances!GD33:Instances!GD42)</f>
        <v>0</v>
      </c>
      <c r="GE5" s="1">
        <f>AVERAGE(Instances!GE33:Instances!GE42)</f>
        <v>0</v>
      </c>
      <c r="GF5" s="1">
        <f>AVERAGE(Instances!GF33:Instances!GF42)</f>
        <v>0</v>
      </c>
      <c r="GG5" s="1">
        <f>AVERAGE(Instances!GG33:Instances!GG42)</f>
        <v>0</v>
      </c>
      <c r="GH5" s="1">
        <f>AVERAGE(Instances!GH33:Instances!GH42)</f>
        <v>0</v>
      </c>
      <c r="GI5" s="1">
        <f>AVERAGE(Instances!GI33:Instances!GI42)</f>
        <v>0</v>
      </c>
      <c r="GJ5" s="1">
        <f>AVERAGE(Instances!GJ33:Instances!GJ42)</f>
        <v>0</v>
      </c>
      <c r="GK5" s="1">
        <f>AVERAGE(Instances!GK33:Instances!GK42)</f>
        <v>0</v>
      </c>
      <c r="GL5" s="1">
        <f>AVERAGE(Instances!GL33:Instances!GL42)</f>
        <v>0</v>
      </c>
      <c r="GM5" s="1">
        <f>AVERAGE(Instances!GM33:Instances!GM42)</f>
        <v>0</v>
      </c>
      <c r="GN5" s="1"/>
      <c r="GO5" s="1">
        <f>AVERAGE(Instances!GO33:Instances!GO42)</f>
        <v>0</v>
      </c>
      <c r="GP5" s="1">
        <f>SUM(Instances!GP33:Instances!GP42)</f>
        <v>0</v>
      </c>
      <c r="GQ5" s="1">
        <f>AVERAGE(Instances!GQ33:Instances!GQ42)</f>
        <v>0</v>
      </c>
      <c r="GR5" s="1">
        <f>AVERAGE(Instances!GR33:Instances!GR42)</f>
        <v>0</v>
      </c>
      <c r="GS5" s="1">
        <f>AVERAGE(Instances!GS33:Instances!GS42)</f>
        <v>0</v>
      </c>
      <c r="GT5" s="1">
        <f>AVERAGE(Instances!GT33:Instances!GT42)</f>
        <v>0</v>
      </c>
      <c r="GU5" s="1">
        <f>AVERAGE(Instances!GU33:Instances!GU42)</f>
        <v>0</v>
      </c>
      <c r="GV5" s="1">
        <f>AVERAGE(Instances!GV33:Instances!GV42)</f>
        <v>0</v>
      </c>
      <c r="GW5" s="1">
        <f>AVERAGE(Instances!GW33:Instances!GW42)</f>
        <v>0</v>
      </c>
      <c r="GX5" s="1">
        <f>AVERAGE(Instances!GX33:Instances!GX42)</f>
        <v>0</v>
      </c>
      <c r="GY5" s="1">
        <f>AVERAGE(Instances!GY33:Instances!GY42)</f>
        <v>0</v>
      </c>
      <c r="GZ5" s="1">
        <f>AVERAGE(Instances!GZ33:Instances!GZ42)</f>
        <v>0</v>
      </c>
      <c r="HA5" s="1">
        <f>AVERAGE(Instances!HA33:Instances!HA42)</f>
        <v>0</v>
      </c>
      <c r="HB5" s="1">
        <f>AVERAGE(Instances!HB33:Instances!HB42)</f>
        <v>0</v>
      </c>
      <c r="HC5" s="1">
        <f>AVERAGE(Instances!HC33:Instances!HC42)</f>
        <v>0</v>
      </c>
      <c r="HD5" s="1">
        <f>AVERAGE(Instances!HD33:Instances!HD42)</f>
        <v>0</v>
      </c>
      <c r="HE5" s="1">
        <f>AVERAGE(Instances!HE33:Instances!HE42)</f>
        <v>0</v>
      </c>
      <c r="HF5" s="1"/>
      <c r="HG5" s="1">
        <f>AVERAGE(Instances!HG33:Instances!HG42)</f>
        <v>0</v>
      </c>
      <c r="HH5" s="1">
        <f>SUM(Instances!HH33:Instances!HH42)</f>
        <v>0</v>
      </c>
      <c r="HI5" s="1">
        <f>AVERAGE(Instances!HI33:Instances!HI42)</f>
        <v>0</v>
      </c>
      <c r="HJ5" s="1">
        <f>AVERAGE(Instances!HJ33:Instances!HJ42)</f>
        <v>0</v>
      </c>
      <c r="HK5" s="1">
        <f>AVERAGE(Instances!HK33:Instances!HK42)</f>
        <v>0</v>
      </c>
      <c r="HL5" s="1">
        <f>AVERAGE(Instances!HL33:Instances!HL42)</f>
        <v>0</v>
      </c>
      <c r="HM5" s="1">
        <f>AVERAGE(Instances!HM33:Instances!HM42)</f>
        <v>0</v>
      </c>
      <c r="HN5" s="1">
        <f>AVERAGE(Instances!HN33:Instances!HN42)</f>
        <v>0</v>
      </c>
      <c r="HO5" s="1">
        <f>AVERAGE(Instances!HO33:Instances!HO42)</f>
        <v>0</v>
      </c>
      <c r="HP5" s="1">
        <f>AVERAGE(Instances!HP33:Instances!HP42)</f>
        <v>0</v>
      </c>
      <c r="HQ5" s="1">
        <f>AVERAGE(Instances!HQ33:Instances!HQ42)</f>
        <v>0</v>
      </c>
      <c r="HR5" s="1">
        <f>AVERAGE(Instances!HR33:Instances!HR42)</f>
        <v>0</v>
      </c>
      <c r="HS5" s="1">
        <f>AVERAGE(Instances!HS33:Instances!HS42)</f>
        <v>0</v>
      </c>
      <c r="HT5" s="1">
        <f>AVERAGE(Instances!HT33:Instances!HT42)</f>
        <v>0</v>
      </c>
      <c r="HU5" s="1">
        <f>AVERAGE(Instances!HU33:Instances!HU42)</f>
        <v>0</v>
      </c>
      <c r="HV5" s="1">
        <f>AVERAGE(Instances!HV33:Instances!HV42)</f>
        <v>0</v>
      </c>
      <c r="HW5" s="1">
        <f>AVERAGE(Instances!HW33:Instances!HW42)</f>
        <v>0</v>
      </c>
      <c r="HX5" s="1"/>
      <c r="HY5" s="1">
        <f>AVERAGE(Instances!HY33:Instances!HY42)</f>
        <v>0</v>
      </c>
      <c r="HZ5" s="1">
        <f>SUM(Instances!HZ33:Instances!HZ42)</f>
        <v>0</v>
      </c>
      <c r="IA5" s="1">
        <f>AVERAGE(Instances!IA33:Instances!IA42)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AVERAGE(Instances!JL33:Instances!JL42)</f>
        <v>0</v>
      </c>
      <c r="JM5" s="1">
        <f>AVERAGE(Instances!JM33:Instances!JM42)</f>
        <v>0</v>
      </c>
      <c r="JN5" s="1">
        <f>AVERAGE(Instances!JN33:Instances!JN42)</f>
        <v>0</v>
      </c>
      <c r="JO5" s="1">
        <f>AVERAGE(Instances!JO33:Instances!JO42)</f>
        <v>0</v>
      </c>
      <c r="JP5" s="1">
        <f>AVERAGE(Instances!JP33:Instances!JP42)</f>
        <v>0</v>
      </c>
      <c r="JQ5" s="1">
        <f>AVERAGE(Instances!JQ33:Instances!JQ42)</f>
        <v>0</v>
      </c>
      <c r="JR5" s="1">
        <f>AVERAGE(Instances!JR33:Instances!JR42)</f>
        <v>0</v>
      </c>
      <c r="JS5" s="1">
        <f>AVERAGE(Instances!JS33:Instances!JS42)</f>
        <v>0</v>
      </c>
      <c r="JT5" s="1">
        <f>AVERAGE(Instances!JT33:Instances!JT42)</f>
        <v>0</v>
      </c>
      <c r="JU5" s="1">
        <f>AVERAGE(Instances!JU33:Instances!JU42)</f>
        <v>0</v>
      </c>
      <c r="JV5" s="1">
        <f>AVERAGE(Instances!JV33:Instances!JV42)</f>
        <v>0</v>
      </c>
      <c r="JW5" s="1">
        <f>AVERAGE(Instances!JW33:Instances!JW42)</f>
        <v>0</v>
      </c>
      <c r="JX5" s="1">
        <f>AVERAGE(Instances!JX33:Instances!JX42)</f>
        <v>0</v>
      </c>
      <c r="JY5" s="1">
        <f>AVERAGE(Instances!JY33:Instances!JY42)</f>
        <v>0</v>
      </c>
      <c r="JZ5" s="1"/>
      <c r="KA5" s="1">
        <f>AVERAGE(Instances!KA33:Instances!KA42)</f>
        <v>0</v>
      </c>
      <c r="KB5" s="1">
        <f>SUM(Instances!KB33:Instances!KB42)</f>
        <v>0</v>
      </c>
      <c r="KC5" s="1">
        <f>AVERAGE(Instances!KC33:Instances!KC42)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40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41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42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43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44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45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46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47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291"/>
  <sheetViews>
    <sheetView workbookViewId="0"/>
  </sheetViews>
  <sheetFormatPr defaultRowHeight="15"/>
  <sheetData>
    <row r="2" spans="1:200">
      <c r="A2" t="s">
        <v>49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50</v>
      </c>
      <c r="B3">
        <v>2</v>
      </c>
      <c r="D3" t="s">
        <v>89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89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51</v>
      </c>
      <c r="B4">
        <v>3</v>
      </c>
      <c r="D4" t="s">
        <v>90</v>
      </c>
      <c r="E4" t="s">
        <v>94</v>
      </c>
      <c r="F4" t="s">
        <v>95</v>
      </c>
      <c r="H4" t="s">
        <v>96</v>
      </c>
      <c r="I4" t="s">
        <v>94</v>
      </c>
      <c r="J4" t="s">
        <v>95</v>
      </c>
      <c r="L4" t="s">
        <v>96</v>
      </c>
      <c r="M4" t="s">
        <v>94</v>
      </c>
      <c r="N4" t="s">
        <v>95</v>
      </c>
      <c r="P4" t="s">
        <v>96</v>
      </c>
      <c r="Q4" t="s">
        <v>94</v>
      </c>
      <c r="R4" t="s">
        <v>95</v>
      </c>
      <c r="T4" t="s">
        <v>96</v>
      </c>
      <c r="U4" t="s">
        <v>94</v>
      </c>
      <c r="V4" t="s">
        <v>95</v>
      </c>
      <c r="X4" t="s">
        <v>96</v>
      </c>
      <c r="Y4" t="s">
        <v>94</v>
      </c>
      <c r="Z4" t="s">
        <v>95</v>
      </c>
      <c r="AB4" t="s">
        <v>96</v>
      </c>
      <c r="AC4" t="s">
        <v>94</v>
      </c>
      <c r="AD4" t="s">
        <v>95</v>
      </c>
      <c r="AF4" t="s">
        <v>96</v>
      </c>
      <c r="AG4" t="s">
        <v>94</v>
      </c>
      <c r="AH4" t="s">
        <v>95</v>
      </c>
      <c r="AJ4" t="s">
        <v>96</v>
      </c>
      <c r="AK4" t="s">
        <v>94</v>
      </c>
      <c r="AL4" t="s">
        <v>95</v>
      </c>
      <c r="AN4" t="s">
        <v>96</v>
      </c>
      <c r="AO4" t="s">
        <v>94</v>
      </c>
      <c r="AP4" t="s">
        <v>95</v>
      </c>
      <c r="AR4" t="s">
        <v>96</v>
      </c>
      <c r="AS4" t="s">
        <v>94</v>
      </c>
      <c r="AT4" t="s">
        <v>95</v>
      </c>
      <c r="AV4" t="s">
        <v>96</v>
      </c>
      <c r="AW4" t="s">
        <v>94</v>
      </c>
      <c r="AX4" t="s">
        <v>95</v>
      </c>
      <c r="AZ4" t="s">
        <v>96</v>
      </c>
      <c r="BA4" t="s">
        <v>94</v>
      </c>
      <c r="BB4" t="s">
        <v>95</v>
      </c>
      <c r="BD4" t="s">
        <v>96</v>
      </c>
      <c r="BE4" t="s">
        <v>94</v>
      </c>
      <c r="BF4" t="s">
        <v>95</v>
      </c>
      <c r="BH4" t="s">
        <v>96</v>
      </c>
      <c r="BI4" t="s">
        <v>94</v>
      </c>
      <c r="BJ4" t="s">
        <v>95</v>
      </c>
      <c r="BL4" t="s">
        <v>96</v>
      </c>
      <c r="BM4" t="s">
        <v>94</v>
      </c>
      <c r="BN4" t="s">
        <v>95</v>
      </c>
      <c r="BP4" t="s">
        <v>96</v>
      </c>
      <c r="BR4" t="s">
        <v>90</v>
      </c>
      <c r="BS4" t="s">
        <v>94</v>
      </c>
      <c r="BT4" t="s">
        <v>95</v>
      </c>
      <c r="BV4" t="s">
        <v>96</v>
      </c>
      <c r="BW4" t="s">
        <v>94</v>
      </c>
      <c r="BX4" t="s">
        <v>95</v>
      </c>
      <c r="BZ4" t="s">
        <v>96</v>
      </c>
      <c r="CA4" t="s">
        <v>94</v>
      </c>
      <c r="CB4" t="s">
        <v>95</v>
      </c>
      <c r="CD4" t="s">
        <v>96</v>
      </c>
      <c r="CE4" t="s">
        <v>94</v>
      </c>
      <c r="CF4" t="s">
        <v>95</v>
      </c>
      <c r="CH4" t="s">
        <v>96</v>
      </c>
      <c r="CI4" t="s">
        <v>94</v>
      </c>
      <c r="CJ4" t="s">
        <v>95</v>
      </c>
      <c r="CL4" t="s">
        <v>96</v>
      </c>
      <c r="CM4" t="s">
        <v>94</v>
      </c>
      <c r="CN4" t="s">
        <v>95</v>
      </c>
      <c r="CP4" t="s">
        <v>96</v>
      </c>
      <c r="CQ4" t="s">
        <v>94</v>
      </c>
      <c r="CR4" t="s">
        <v>95</v>
      </c>
      <c r="CT4" t="s">
        <v>96</v>
      </c>
      <c r="CU4" t="s">
        <v>94</v>
      </c>
      <c r="CV4" t="s">
        <v>95</v>
      </c>
      <c r="CX4" t="s">
        <v>96</v>
      </c>
      <c r="CY4" t="s">
        <v>94</v>
      </c>
      <c r="CZ4" t="s">
        <v>95</v>
      </c>
      <c r="DB4" t="s">
        <v>96</v>
      </c>
      <c r="DC4" t="s">
        <v>94</v>
      </c>
      <c r="DD4" t="s">
        <v>95</v>
      </c>
      <c r="DF4" t="s">
        <v>96</v>
      </c>
      <c r="DG4" t="s">
        <v>94</v>
      </c>
      <c r="DH4" t="s">
        <v>95</v>
      </c>
      <c r="DJ4" t="s">
        <v>96</v>
      </c>
      <c r="DK4" t="s">
        <v>94</v>
      </c>
      <c r="DL4" t="s">
        <v>95</v>
      </c>
      <c r="DN4" t="s">
        <v>96</v>
      </c>
      <c r="DO4" t="s">
        <v>94</v>
      </c>
      <c r="DP4" t="s">
        <v>95</v>
      </c>
      <c r="DR4" t="s">
        <v>96</v>
      </c>
      <c r="DS4" t="s">
        <v>94</v>
      </c>
      <c r="DT4" t="s">
        <v>95</v>
      </c>
      <c r="DV4" t="s">
        <v>96</v>
      </c>
      <c r="DW4" t="s">
        <v>94</v>
      </c>
      <c r="DX4" t="s">
        <v>95</v>
      </c>
      <c r="DZ4" t="s">
        <v>96</v>
      </c>
      <c r="EA4" t="s">
        <v>94</v>
      </c>
      <c r="EB4" t="s">
        <v>95</v>
      </c>
      <c r="ED4" t="s">
        <v>96</v>
      </c>
      <c r="EF4" t="s">
        <v>97</v>
      </c>
      <c r="EG4" t="s">
        <v>90</v>
      </c>
      <c r="EH4" t="s">
        <v>95</v>
      </c>
      <c r="EI4" t="s">
        <v>90</v>
      </c>
      <c r="EJ4" t="s">
        <v>96</v>
      </c>
      <c r="EK4" t="s">
        <v>90</v>
      </c>
      <c r="EL4" t="s">
        <v>95</v>
      </c>
      <c r="EM4" t="s">
        <v>90</v>
      </c>
      <c r="EN4" t="s">
        <v>96</v>
      </c>
      <c r="EO4" t="s">
        <v>90</v>
      </c>
      <c r="EP4" t="s">
        <v>95</v>
      </c>
      <c r="EQ4" t="s">
        <v>90</v>
      </c>
      <c r="ER4" t="s">
        <v>96</v>
      </c>
      <c r="ES4" t="s">
        <v>90</v>
      </c>
      <c r="ET4" t="s">
        <v>95</v>
      </c>
      <c r="EU4" t="s">
        <v>90</v>
      </c>
      <c r="EV4" t="s">
        <v>96</v>
      </c>
      <c r="EW4" t="s">
        <v>90</v>
      </c>
      <c r="EX4" t="s">
        <v>95</v>
      </c>
      <c r="EY4" t="s">
        <v>90</v>
      </c>
      <c r="EZ4" t="s">
        <v>96</v>
      </c>
      <c r="FA4" t="s">
        <v>90</v>
      </c>
      <c r="FB4" t="s">
        <v>95</v>
      </c>
      <c r="FC4" t="s">
        <v>90</v>
      </c>
      <c r="FD4" t="s">
        <v>96</v>
      </c>
      <c r="FE4" t="s">
        <v>90</v>
      </c>
      <c r="FF4" t="s">
        <v>95</v>
      </c>
      <c r="FG4" t="s">
        <v>90</v>
      </c>
      <c r="FH4" t="s">
        <v>96</v>
      </c>
      <c r="FI4" t="s">
        <v>90</v>
      </c>
      <c r="FJ4" t="s">
        <v>95</v>
      </c>
      <c r="FK4" t="s">
        <v>90</v>
      </c>
      <c r="FL4" t="s">
        <v>96</v>
      </c>
      <c r="FM4" t="s">
        <v>90</v>
      </c>
      <c r="FN4" t="s">
        <v>95</v>
      </c>
      <c r="FO4" t="s">
        <v>90</v>
      </c>
      <c r="FP4" t="s">
        <v>96</v>
      </c>
      <c r="FQ4" t="s">
        <v>90</v>
      </c>
      <c r="FR4" t="s">
        <v>95</v>
      </c>
      <c r="FS4" t="s">
        <v>90</v>
      </c>
      <c r="FT4" t="s">
        <v>96</v>
      </c>
      <c r="FU4" t="s">
        <v>90</v>
      </c>
      <c r="FV4" t="s">
        <v>95</v>
      </c>
      <c r="FW4" t="s">
        <v>90</v>
      </c>
      <c r="FX4" t="s">
        <v>96</v>
      </c>
      <c r="FY4" t="s">
        <v>90</v>
      </c>
      <c r="FZ4" t="s">
        <v>95</v>
      </c>
      <c r="GA4" t="s">
        <v>90</v>
      </c>
      <c r="GB4" t="s">
        <v>96</v>
      </c>
      <c r="GC4" t="s">
        <v>90</v>
      </c>
      <c r="GD4" t="s">
        <v>95</v>
      </c>
      <c r="GE4" t="s">
        <v>90</v>
      </c>
      <c r="GF4" t="s">
        <v>96</v>
      </c>
      <c r="GG4" t="s">
        <v>90</v>
      </c>
      <c r="GH4" t="s">
        <v>95</v>
      </c>
      <c r="GI4" t="s">
        <v>90</v>
      </c>
      <c r="GJ4" t="s">
        <v>96</v>
      </c>
      <c r="GK4" t="s">
        <v>90</v>
      </c>
      <c r="GL4" t="s">
        <v>95</v>
      </c>
      <c r="GM4" t="s">
        <v>90</v>
      </c>
      <c r="GN4" t="s">
        <v>96</v>
      </c>
      <c r="GO4" t="s">
        <v>90</v>
      </c>
      <c r="GP4" t="s">
        <v>95</v>
      </c>
      <c r="GQ4" t="s">
        <v>90</v>
      </c>
      <c r="GR4" t="s">
        <v>96</v>
      </c>
    </row>
    <row r="5" spans="1:200">
      <c r="A5" t="s">
        <v>52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IFERROR(SMALL(E5:E44,ROW()-ROW($F$5)+1),"")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IFERROR(SMALL(I5:I44,ROW()-ROW($J$5)+1),"")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IFERROR(SMALL(M5:M44,ROW()-ROW($N$5)+1),"")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IFERROR(SMALL(Q5:Q44,ROW()-ROW($R$5)+1),"")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IFERROR(SMALL(U5:U44,ROW()-ROW($V$5)+1),"")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IFERROR(SMALL(Y5:Y44,ROW()-ROW($Z$5)+1),"")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IFERROR(SMALL(AC5:AC44,ROW()-ROW($AD$5)+1),"")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IFERROR(SMALL(AG5:AG44,ROW()-ROW($AH$5)+1),"")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IFERROR(SMALL(AK5:AK44,ROW()-ROW($AL$5)+1),"")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IFERROR(SMALL(AO5:AO44,ROW()-ROW($AP$5)+1),"")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IFERROR(SMALL(AS5:AS44,ROW()-ROW($AT$5)+1),"")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IFERROR(SMALL(AW5:AW44,ROW()-ROW($AX$5)+1),"")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IFERROR(SMALL(BA5:BA44,ROW()-ROW($BB$5)+1),"")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IFERROR(SMALL(BE5:BE44,ROW()-ROW($BF$5)+1),"")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IFERROR(SMALL(BI5:BI44,ROW()-ROW($BJ$5)+1),"")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IFERROR(SMALL(BM5:BM44,ROW()-ROW($BN$5)+1),"")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IFERROR(SMALL(BS5:BS44,ROW()-ROW($BT$5)+1),"")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IFERROR(SMALL(BW5:BW44,ROW()-ROW($BX$5)+1),"")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IFERROR(SMALL(CA5:CA44,ROW()-ROW($CB$5)+1),"")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IFERROR(SMALL(CE5:CE44,ROW()-ROW($CF$5)+1),"")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IFERROR(SMALL(CI5:CI44,ROW()-ROW($CJ$5)+1),"")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IFERROR(SMALL(CM5:CM44,ROW()-ROW($CN$5)+1),"")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IFERROR(SMALL(CQ5:CQ44,ROW()-ROW($CR$5)+1),"")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IFERROR(SMALL(CU5:CU44,ROW()-ROW($CV$5)+1),"")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IFERROR(SMALL(CY5:CY44,ROW()-ROW($CZ$5)+1),"")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IFERROR(SMALL(DC5:DC44,ROW()-ROW($DD$5)+1),"")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IFERROR(SMALL(DG5:DG44,ROW()-ROW($DH$5)+1),"")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IFERROR(SMALL(DK5:DK44,ROW()-ROW($DL$5)+1),"")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IFERROR(SMALL(DO5:DO44,ROW()-ROW($DP$5)+1),"")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IFERROR(SMALL(DS5:DS44,ROW()-ROW($DT$5)+1),"")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IFERROR(SMALL(DW5:DW44,ROW()-ROW($DX$5)+1),"")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IFERROR(SMALL(EA5:EA44,ROW()-ROW($EB$5)+1),"")</f>
        <v>0</v>
      </c>
      <c r="ED5">
        <f>IFERROR(SUM(EB5:EB5),"")</f>
        <v>0</v>
      </c>
      <c r="EG5">
        <f>IF(Charts!$B$3="none",E212,IF(BS212="",NA(),BS212))</f>
        <v>0</v>
      </c>
      <c r="EH5">
        <f>IF(Charts!$B$3="none",F212,IF(BT212="",NA(),BT212))</f>
        <v>0</v>
      </c>
      <c r="EI5">
        <f>IF(Charts!$B$3="none",G212,IF(BU212="",NA(),BU212))</f>
        <v>0</v>
      </c>
      <c r="EJ5">
        <f>IF(Charts!$B$3="none",H212,IF(BV212="",NA(),BV212))</f>
        <v>0</v>
      </c>
      <c r="EK5">
        <f>IF(Charts!$B$3="none",I212,IF(BW212="",NA(),BW212))</f>
        <v>0</v>
      </c>
      <c r="EL5">
        <f>IF(Charts!$B$3="none",J212,IF(BX212="",NA(),BX212))</f>
        <v>0</v>
      </c>
      <c r="EM5">
        <f>IF(Charts!$B$3="none",K212,IF(BY212="",NA(),BY212))</f>
        <v>0</v>
      </c>
      <c r="EN5">
        <f>IF(Charts!$B$3="none",L212,IF(BZ212="",NA(),BZ212))</f>
        <v>0</v>
      </c>
      <c r="EO5">
        <f>IF(Charts!$B$3="none",M212,IF(CA212="",NA(),CA212))</f>
        <v>0</v>
      </c>
      <c r="EP5">
        <f>IF(Charts!$B$3="none",N212,IF(CB212="",NA(),CB212))</f>
        <v>0</v>
      </c>
      <c r="EQ5">
        <f>IF(Charts!$B$3="none",O212,IF(CC212="",NA(),CC212))</f>
        <v>0</v>
      </c>
      <c r="ER5">
        <f>IF(Charts!$B$3="none",P212,IF(CD212="",NA(),CD212))</f>
        <v>0</v>
      </c>
      <c r="ES5">
        <f>IF(Charts!$B$3="none",Q212,IF(CE212="",NA(),CE212))</f>
        <v>0</v>
      </c>
      <c r="ET5">
        <f>IF(Charts!$B$3="none",R212,IF(CF212="",NA(),CF212))</f>
        <v>0</v>
      </c>
      <c r="EU5">
        <f>IF(Charts!$B$3="none",S212,IF(CG212="",NA(),CG212))</f>
        <v>0</v>
      </c>
      <c r="EV5">
        <f>IF(Charts!$B$3="none",T212,IF(CH212="",NA(),CH212))</f>
        <v>0</v>
      </c>
      <c r="EW5">
        <f>IF(Charts!$B$3="none",U212,IF(CI212="",NA(),CI212))</f>
        <v>0</v>
      </c>
      <c r="EX5">
        <f>IF(Charts!$B$3="none",V212,IF(CJ212="",NA(),CJ212))</f>
        <v>0</v>
      </c>
      <c r="EY5">
        <f>IF(Charts!$B$3="none",W212,IF(CK212="",NA(),CK212))</f>
        <v>0</v>
      </c>
      <c r="EZ5">
        <f>IF(Charts!$B$3="none",X212,IF(CL212="",NA(),CL212))</f>
        <v>0</v>
      </c>
      <c r="FA5">
        <f>IF(Charts!$B$3="none",Y212,IF(CM212="",NA(),CM212))</f>
        <v>0</v>
      </c>
      <c r="FB5">
        <f>IF(Charts!$B$3="none",Z212,IF(CN212="",NA(),CN212))</f>
        <v>0</v>
      </c>
      <c r="FC5">
        <f>IF(Charts!$B$3="none",AA212,IF(CO212="",NA(),CO212))</f>
        <v>0</v>
      </c>
      <c r="FD5">
        <f>IF(Charts!$B$3="none",AB212,IF(CP212="",NA(),CP212))</f>
        <v>0</v>
      </c>
      <c r="FE5">
        <f>IF(Charts!$B$3="none",AC212,IF(CQ212="",NA(),CQ212))</f>
        <v>0</v>
      </c>
      <c r="FF5">
        <f>IF(Charts!$B$3="none",AD212,IF(CR212="",NA(),CR212))</f>
        <v>0</v>
      </c>
      <c r="FG5">
        <f>IF(Charts!$B$3="none",AE212,IF(CS212="",NA(),CS212))</f>
        <v>0</v>
      </c>
      <c r="FH5">
        <f>IF(Charts!$B$3="none",AF212,IF(CT212="",NA(),CT212))</f>
        <v>0</v>
      </c>
      <c r="FI5">
        <f>IF(Charts!$B$3="none",AG212,IF(CU212="",NA(),CU212))</f>
        <v>0</v>
      </c>
      <c r="FJ5">
        <f>IF(Charts!$B$3="none",AH212,IF(CV212="",NA(),CV212))</f>
        <v>0</v>
      </c>
      <c r="FK5">
        <f>IF(Charts!$B$3="none",AI212,IF(CW212="",NA(),CW212))</f>
        <v>0</v>
      </c>
      <c r="FL5">
        <f>IF(Charts!$B$3="none",AJ212,IF(CX212="",NA(),CX212))</f>
        <v>0</v>
      </c>
      <c r="FM5">
        <f>IF(Charts!$B$3="none",AK212,IF(CY212="",NA(),CY212))</f>
        <v>0</v>
      </c>
      <c r="FN5">
        <f>IF(Charts!$B$3="none",AL212,IF(CZ212="",NA(),CZ212))</f>
        <v>0</v>
      </c>
      <c r="FO5">
        <f>IF(Charts!$B$3="none",AM212,IF(DA212="",NA(),DA212))</f>
        <v>0</v>
      </c>
      <c r="FP5">
        <f>IF(Charts!$B$3="none",AN212,IF(DB212="",NA(),DB212))</f>
        <v>0</v>
      </c>
      <c r="FQ5">
        <f>IF(Charts!$B$3="none",AO212,IF(DC212="",NA(),DC212))</f>
        <v>0</v>
      </c>
      <c r="FR5">
        <f>IF(Charts!$B$3="none",AP212,IF(DD212="",NA(),DD212))</f>
        <v>0</v>
      </c>
      <c r="FS5">
        <f>IF(Charts!$B$3="none",AQ212,IF(DE212="",NA(),DE212))</f>
        <v>0</v>
      </c>
      <c r="FT5">
        <f>IF(Charts!$B$3="none",AR212,IF(DF212="",NA(),DF212))</f>
        <v>0</v>
      </c>
      <c r="FU5">
        <f>IF(Charts!$B$3="none",AS212,IF(DG212="",NA(),DG212))</f>
        <v>0</v>
      </c>
      <c r="FV5">
        <f>IF(Charts!$B$3="none",AT212,IF(DH212="",NA(),DH212))</f>
        <v>0</v>
      </c>
      <c r="FW5">
        <f>IF(Charts!$B$3="none",AU212,IF(DI212="",NA(),DI212))</f>
        <v>0</v>
      </c>
      <c r="FX5">
        <f>IF(Charts!$B$3="none",AV212,IF(DJ212="",NA(),DJ212))</f>
        <v>0</v>
      </c>
      <c r="FY5">
        <f>IF(Charts!$B$3="none",AW212,IF(DK212="",NA(),DK212))</f>
        <v>0</v>
      </c>
      <c r="FZ5">
        <f>IF(Charts!$B$3="none",AX212,IF(DL212="",NA(),DL212))</f>
        <v>0</v>
      </c>
      <c r="GA5">
        <f>IF(Charts!$B$3="none",AY212,IF(DM212="",NA(),DM212))</f>
        <v>0</v>
      </c>
      <c r="GB5">
        <f>IF(Charts!$B$3="none",AZ212,IF(DN212="",NA(),DN212))</f>
        <v>0</v>
      </c>
      <c r="GC5">
        <f>IF(Charts!$B$3="none",BA212,IF(DO212="",NA(),DO212))</f>
        <v>0</v>
      </c>
      <c r="GD5">
        <f>IF(Charts!$B$3="none",BB212,IF(DP212="",NA(),DP212))</f>
        <v>0</v>
      </c>
      <c r="GE5">
        <f>IF(Charts!$B$3="none",BC212,IF(DQ212="",NA(),DQ212))</f>
        <v>0</v>
      </c>
      <c r="GF5">
        <f>IF(Charts!$B$3="none",BD212,IF(DR212="",NA(),DR212))</f>
        <v>0</v>
      </c>
      <c r="GG5">
        <f>IF(Charts!$B$3="none",BE212,IF(DS212="",NA(),DS212))</f>
        <v>0</v>
      </c>
      <c r="GH5">
        <f>IF(Charts!$B$3="none",BF212,IF(DT212="",NA(),DT212))</f>
        <v>0</v>
      </c>
      <c r="GI5">
        <f>IF(Charts!$B$3="none",BG212,IF(DU212="",NA(),DU212))</f>
        <v>0</v>
      </c>
      <c r="GJ5">
        <f>IF(Charts!$B$3="none",BH212,IF(DV212="",NA(),DV212))</f>
        <v>0</v>
      </c>
      <c r="GK5">
        <f>IF(Charts!$B$3="none",BI212,IF(DW212="",NA(),DW212))</f>
        <v>0</v>
      </c>
      <c r="GL5">
        <f>IF(Charts!$B$3="none",BJ212,IF(DX212="",NA(),DX212))</f>
        <v>0</v>
      </c>
      <c r="GM5">
        <f>IF(Charts!$B$3="none",BK212,IF(DY212="",NA(),DY212))</f>
        <v>0</v>
      </c>
      <c r="GN5">
        <f>IF(Charts!$B$3="none",BL212,IF(DZ212="",NA(),DZ212))</f>
        <v>0</v>
      </c>
      <c r="GO5">
        <f>IF(Charts!$B$3="none",BM212,IF(EA212="",NA(),EA212))</f>
        <v>0</v>
      </c>
      <c r="GP5">
        <f>IF(Charts!$B$3="none",BN212,IF(EB212="",NA(),EB212))</f>
        <v>0</v>
      </c>
      <c r="GQ5">
        <f>IF(Charts!$B$3="none",BO212,IF(EC212="",NA(),EC212))</f>
        <v>0</v>
      </c>
      <c r="GR5">
        <f>IF(Charts!$B$3="none",BP212,IF(ED212="",NA(),ED212))</f>
        <v>0</v>
      </c>
    </row>
    <row r="6" spans="1:200">
      <c r="A6" t="s">
        <v>53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IFERROR(SMALL(E5:E44,ROW()-ROW($F$5)+1),"")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IFERROR(SMALL(I5:I44,ROW()-ROW($J$5)+1),"")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IFERROR(SMALL(M5:M44,ROW()-ROW($N$5)+1),"")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IFERROR(SMALL(Q5:Q44,ROW()-ROW($R$5)+1),"")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IFERROR(SMALL(U5:U44,ROW()-ROW($V$5)+1),"")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IFERROR(SMALL(Y5:Y44,ROW()-ROW($Z$5)+1),"")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IFERROR(SMALL(AC5:AC44,ROW()-ROW($AD$5)+1),"")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IFERROR(SMALL(AG5:AG44,ROW()-ROW($AH$5)+1),"")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IFERROR(SMALL(AK5:AK44,ROW()-ROW($AL$5)+1),"")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IFERROR(SMALL(AO5:AO44,ROW()-ROW($AP$5)+1),"")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IFERROR(SMALL(AS5:AS44,ROW()-ROW($AT$5)+1),"")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IFERROR(SMALL(AW5:AW44,ROW()-ROW($AX$5)+1),"")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IFERROR(SMALL(BA5:BA44,ROW()-ROW($BB$5)+1),"")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IFERROR(SMALL(BE5:BE44,ROW()-ROW($BF$5)+1),"")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IFERROR(SMALL(BI5:BI44,ROW()-ROW($BJ$5)+1),"")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IFERROR(SMALL(BM5:BM44,ROW()-ROW($BN$5)+1),"")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IFERROR(SMALL(BS5:BS44,ROW()-ROW($BT$5)+1),"")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IFERROR(SMALL(BW5:BW44,ROW()-ROW($BX$5)+1),"")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IFERROR(SMALL(CA5:CA44,ROW()-ROW($CB$5)+1),"")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IFERROR(SMALL(CE5:CE44,ROW()-ROW($CF$5)+1),"")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IFERROR(SMALL(CI5:CI44,ROW()-ROW($CJ$5)+1),"")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IFERROR(SMALL(CM5:CM44,ROW()-ROW($CN$5)+1),"")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IFERROR(SMALL(CQ5:CQ44,ROW()-ROW($CR$5)+1),"")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IFERROR(SMALL(CU5:CU44,ROW()-ROW($CV$5)+1),"")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IFERROR(SMALL(CY5:CY44,ROW()-ROW($CZ$5)+1),"")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IFERROR(SMALL(DC5:DC44,ROW()-ROW($DD$5)+1),"")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IFERROR(SMALL(DG5:DG44,ROW()-ROW($DH$5)+1),"")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IFERROR(SMALL(DK5:DK44,ROW()-ROW($DL$5)+1),"")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IFERROR(SMALL(DO5:DO44,ROW()-ROW($DP$5)+1),"")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IFERROR(SMALL(DS5:DS44,ROW()-ROW($DT$5)+1),"")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IFERROR(SMALL(DW5:DW44,ROW()-ROW($DX$5)+1),"")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IFERROR(SMALL(EA5:EA44,ROW()-ROW($EB$5)+1),"")</f>
        <v>0</v>
      </c>
      <c r="ED6">
        <f>IFERROR(SUM(EB5:EB6),"")</f>
        <v>0</v>
      </c>
      <c r="EG6">
        <f>IF(Charts!$B$3="none",E213,IF(BS213="",NA(),BS213))</f>
        <v>0</v>
      </c>
      <c r="EH6">
        <f>IF(Charts!$B$3="none",F213,IF(BT213="",NA(),BT213))</f>
        <v>0</v>
      </c>
      <c r="EI6">
        <f>IF(Charts!$B$3="none",G213,IF(BU213="",NA(),BU213))</f>
        <v>0</v>
      </c>
      <c r="EJ6">
        <f>IF(Charts!$B$3="none",H213,IF(BV213="",NA(),BV213))</f>
        <v>0</v>
      </c>
      <c r="EK6">
        <f>IF(Charts!$B$3="none",I213,IF(BW213="",NA(),BW213))</f>
        <v>0</v>
      </c>
      <c r="EL6">
        <f>IF(Charts!$B$3="none",J213,IF(BX213="",NA(),BX213))</f>
        <v>0</v>
      </c>
      <c r="EM6">
        <f>IF(Charts!$B$3="none",K213,IF(BY213="",NA(),BY213))</f>
        <v>0</v>
      </c>
      <c r="EN6">
        <f>IF(Charts!$B$3="none",L213,IF(BZ213="",NA(),BZ213))</f>
        <v>0</v>
      </c>
      <c r="EO6">
        <f>IF(Charts!$B$3="none",M213,IF(CA213="",NA(),CA213))</f>
        <v>0</v>
      </c>
      <c r="EP6">
        <f>IF(Charts!$B$3="none",N213,IF(CB213="",NA(),CB213))</f>
        <v>0</v>
      </c>
      <c r="EQ6">
        <f>IF(Charts!$B$3="none",O213,IF(CC213="",NA(),CC213))</f>
        <v>0</v>
      </c>
      <c r="ER6">
        <f>IF(Charts!$B$3="none",P213,IF(CD213="",NA(),CD213))</f>
        <v>0</v>
      </c>
      <c r="ES6">
        <f>IF(Charts!$B$3="none",Q213,IF(CE213="",NA(),CE213))</f>
        <v>0</v>
      </c>
      <c r="ET6">
        <f>IF(Charts!$B$3="none",R213,IF(CF213="",NA(),CF213))</f>
        <v>0</v>
      </c>
      <c r="EU6">
        <f>IF(Charts!$B$3="none",S213,IF(CG213="",NA(),CG213))</f>
        <v>0</v>
      </c>
      <c r="EV6">
        <f>IF(Charts!$B$3="none",T213,IF(CH213="",NA(),CH213))</f>
        <v>0</v>
      </c>
      <c r="EW6">
        <f>IF(Charts!$B$3="none",U213,IF(CI213="",NA(),CI213))</f>
        <v>0</v>
      </c>
      <c r="EX6">
        <f>IF(Charts!$B$3="none",V213,IF(CJ213="",NA(),CJ213))</f>
        <v>0</v>
      </c>
      <c r="EY6">
        <f>IF(Charts!$B$3="none",W213,IF(CK213="",NA(),CK213))</f>
        <v>0</v>
      </c>
      <c r="EZ6">
        <f>IF(Charts!$B$3="none",X213,IF(CL213="",NA(),CL213))</f>
        <v>0</v>
      </c>
      <c r="FA6">
        <f>IF(Charts!$B$3="none",Y213,IF(CM213="",NA(),CM213))</f>
        <v>0</v>
      </c>
      <c r="FB6">
        <f>IF(Charts!$B$3="none",Z213,IF(CN213="",NA(),CN213))</f>
        <v>0</v>
      </c>
      <c r="FC6">
        <f>IF(Charts!$B$3="none",AA213,IF(CO213="",NA(),CO213))</f>
        <v>0</v>
      </c>
      <c r="FD6">
        <f>IF(Charts!$B$3="none",AB213,IF(CP213="",NA(),CP213))</f>
        <v>0</v>
      </c>
      <c r="FE6">
        <f>IF(Charts!$B$3="none",AC213,IF(CQ213="",NA(),CQ213))</f>
        <v>0</v>
      </c>
      <c r="FF6">
        <f>IF(Charts!$B$3="none",AD213,IF(CR213="",NA(),CR213))</f>
        <v>0</v>
      </c>
      <c r="FG6">
        <f>IF(Charts!$B$3="none",AE213,IF(CS213="",NA(),CS213))</f>
        <v>0</v>
      </c>
      <c r="FH6">
        <f>IF(Charts!$B$3="none",AF213,IF(CT213="",NA(),CT213))</f>
        <v>0</v>
      </c>
      <c r="FI6">
        <f>IF(Charts!$B$3="none",AG213,IF(CU213="",NA(),CU213))</f>
        <v>0</v>
      </c>
      <c r="FJ6">
        <f>IF(Charts!$B$3="none",AH213,IF(CV213="",NA(),CV213))</f>
        <v>0</v>
      </c>
      <c r="FK6">
        <f>IF(Charts!$B$3="none",AI213,IF(CW213="",NA(),CW213))</f>
        <v>0</v>
      </c>
      <c r="FL6">
        <f>IF(Charts!$B$3="none",AJ213,IF(CX213="",NA(),CX213))</f>
        <v>0</v>
      </c>
      <c r="FM6">
        <f>IF(Charts!$B$3="none",AK213,IF(CY213="",NA(),CY213))</f>
        <v>0</v>
      </c>
      <c r="FN6">
        <f>IF(Charts!$B$3="none",AL213,IF(CZ213="",NA(),CZ213))</f>
        <v>0</v>
      </c>
      <c r="FO6">
        <f>IF(Charts!$B$3="none",AM213,IF(DA213="",NA(),DA213))</f>
        <v>0</v>
      </c>
      <c r="FP6">
        <f>IF(Charts!$B$3="none",AN213,IF(DB213="",NA(),DB213))</f>
        <v>0</v>
      </c>
      <c r="FQ6">
        <f>IF(Charts!$B$3="none",AO213,IF(DC213="",NA(),DC213))</f>
        <v>0</v>
      </c>
      <c r="FR6">
        <f>IF(Charts!$B$3="none",AP213,IF(DD213="",NA(),DD213))</f>
        <v>0</v>
      </c>
      <c r="FS6">
        <f>IF(Charts!$B$3="none",AQ213,IF(DE213="",NA(),DE213))</f>
        <v>0</v>
      </c>
      <c r="FT6">
        <f>IF(Charts!$B$3="none",AR213,IF(DF213="",NA(),DF213))</f>
        <v>0</v>
      </c>
      <c r="FU6">
        <f>IF(Charts!$B$3="none",AS213,IF(DG213="",NA(),DG213))</f>
        <v>0</v>
      </c>
      <c r="FV6">
        <f>IF(Charts!$B$3="none",AT213,IF(DH213="",NA(),DH213))</f>
        <v>0</v>
      </c>
      <c r="FW6">
        <f>IF(Charts!$B$3="none",AU213,IF(DI213="",NA(),DI213))</f>
        <v>0</v>
      </c>
      <c r="FX6">
        <f>IF(Charts!$B$3="none",AV213,IF(DJ213="",NA(),DJ213))</f>
        <v>0</v>
      </c>
      <c r="FY6">
        <f>IF(Charts!$B$3="none",AW213,IF(DK213="",NA(),DK213))</f>
        <v>0</v>
      </c>
      <c r="FZ6">
        <f>IF(Charts!$B$3="none",AX213,IF(DL213="",NA(),DL213))</f>
        <v>0</v>
      </c>
      <c r="GA6">
        <f>IF(Charts!$B$3="none",AY213,IF(DM213="",NA(),DM213))</f>
        <v>0</v>
      </c>
      <c r="GB6">
        <f>IF(Charts!$B$3="none",AZ213,IF(DN213="",NA(),DN213))</f>
        <v>0</v>
      </c>
      <c r="GC6">
        <f>IF(Charts!$B$3="none",BA213,IF(DO213="",NA(),DO213))</f>
        <v>0</v>
      </c>
      <c r="GD6">
        <f>IF(Charts!$B$3="none",BB213,IF(DP213="",NA(),DP213))</f>
        <v>0</v>
      </c>
      <c r="GE6">
        <f>IF(Charts!$B$3="none",BC213,IF(DQ213="",NA(),DQ213))</f>
        <v>0</v>
      </c>
      <c r="GF6">
        <f>IF(Charts!$B$3="none",BD213,IF(DR213="",NA(),DR213))</f>
        <v>0</v>
      </c>
      <c r="GG6">
        <f>IF(Charts!$B$3="none",BE213,IF(DS213="",NA(),DS213))</f>
        <v>0</v>
      </c>
      <c r="GH6">
        <f>IF(Charts!$B$3="none",BF213,IF(DT213="",NA(),DT213))</f>
        <v>0</v>
      </c>
      <c r="GI6">
        <f>IF(Charts!$B$3="none",BG213,IF(DU213="",NA(),DU213))</f>
        <v>0</v>
      </c>
      <c r="GJ6">
        <f>IF(Charts!$B$3="none",BH213,IF(DV213="",NA(),DV213))</f>
        <v>0</v>
      </c>
      <c r="GK6">
        <f>IF(Charts!$B$3="none",BI213,IF(DW213="",NA(),DW213))</f>
        <v>0</v>
      </c>
      <c r="GL6">
        <f>IF(Charts!$B$3="none",BJ213,IF(DX213="",NA(),DX213))</f>
        <v>0</v>
      </c>
      <c r="GM6">
        <f>IF(Charts!$B$3="none",BK213,IF(DY213="",NA(),DY213))</f>
        <v>0</v>
      </c>
      <c r="GN6">
        <f>IF(Charts!$B$3="none",BL213,IF(DZ213="",NA(),DZ213))</f>
        <v>0</v>
      </c>
      <c r="GO6">
        <f>IF(Charts!$B$3="none",BM213,IF(EA213="",NA(),EA213))</f>
        <v>0</v>
      </c>
      <c r="GP6">
        <f>IF(Charts!$B$3="none",BN213,IF(EB213="",NA(),EB213))</f>
        <v>0</v>
      </c>
      <c r="GQ6">
        <f>IF(Charts!$B$3="none",BO213,IF(EC213="",NA(),EC213))</f>
        <v>0</v>
      </c>
      <c r="GR6">
        <f>IF(Charts!$B$3="none",BP213,IF(ED213="",NA(),ED213))</f>
        <v>0</v>
      </c>
    </row>
    <row r="7" spans="1:200">
      <c r="A7" t="s">
        <v>54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IFERROR(SMALL(E5:E44,ROW()-ROW($F$5)+1),"")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IFERROR(SMALL(I5:I44,ROW()-ROW($J$5)+1),"")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IFERROR(SMALL(M5:M44,ROW()-ROW($N$5)+1),"")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IFERROR(SMALL(Q5:Q44,ROW()-ROW($R$5)+1),"")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IFERROR(SMALL(U5:U44,ROW()-ROW($V$5)+1),"")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IFERROR(SMALL(Y5:Y44,ROW()-ROW($Z$5)+1),"")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IFERROR(SMALL(AC5:AC44,ROW()-ROW($AD$5)+1),"")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IFERROR(SMALL(AG5:AG44,ROW()-ROW($AH$5)+1),"")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IFERROR(SMALL(AK5:AK44,ROW()-ROW($AL$5)+1),"")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IFERROR(SMALL(AO5:AO44,ROW()-ROW($AP$5)+1),"")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IFERROR(SMALL(AS5:AS44,ROW()-ROW($AT$5)+1),"")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IFERROR(SMALL(AW5:AW44,ROW()-ROW($AX$5)+1),"")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IFERROR(SMALL(BA5:BA44,ROW()-ROW($BB$5)+1),"")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IFERROR(SMALL(BE5:BE44,ROW()-ROW($BF$5)+1),"")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IFERROR(SMALL(BI5:BI44,ROW()-ROW($BJ$5)+1),"")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IFERROR(SMALL(BM5:BM44,ROW()-ROW($BN$5)+1),"")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IFERROR(SMALL(BS5:BS44,ROW()-ROW($BT$5)+1),"")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IFERROR(SMALL(BW5:BW44,ROW()-ROW($BX$5)+1),"")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IFERROR(SMALL(CA5:CA44,ROW()-ROW($CB$5)+1),"")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IFERROR(SMALL(CE5:CE44,ROW()-ROW($CF$5)+1),"")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IFERROR(SMALL(CI5:CI44,ROW()-ROW($CJ$5)+1),"")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IFERROR(SMALL(CM5:CM44,ROW()-ROW($CN$5)+1),"")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IFERROR(SMALL(CQ5:CQ44,ROW()-ROW($CR$5)+1),"")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IFERROR(SMALL(CU5:CU44,ROW()-ROW($CV$5)+1),"")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IFERROR(SMALL(CY5:CY44,ROW()-ROW($CZ$5)+1),"")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IFERROR(SMALL(DC5:DC44,ROW()-ROW($DD$5)+1),"")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IFERROR(SMALL(DG5:DG44,ROW()-ROW($DH$5)+1),"")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IFERROR(SMALL(DK5:DK44,ROW()-ROW($DL$5)+1),"")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IFERROR(SMALL(DO5:DO44,ROW()-ROW($DP$5)+1),"")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IFERROR(SMALL(DS5:DS44,ROW()-ROW($DT$5)+1),"")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IFERROR(SMALL(DW5:DW44,ROW()-ROW($DX$5)+1),"")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IFERROR(SMALL(EA5:EA44,ROW()-ROW($EB$5)+1),"")</f>
        <v>0</v>
      </c>
      <c r="ED7">
        <f>IFERROR(SUM(EB5:EB7),"")</f>
        <v>0</v>
      </c>
      <c r="EG7">
        <f>IF(Charts!$B$3="none",E214,IF(BS214="",NA(),BS214))</f>
        <v>0</v>
      </c>
      <c r="EH7">
        <f>IF(Charts!$B$3="none",F214,IF(BT214="",NA(),BT214))</f>
        <v>0</v>
      </c>
      <c r="EI7">
        <f>IF(Charts!$B$3="none",G214,IF(BU214="",NA(),BU214))</f>
        <v>0</v>
      </c>
      <c r="EJ7">
        <f>IF(Charts!$B$3="none",H214,IF(BV214="",NA(),BV214))</f>
        <v>0</v>
      </c>
      <c r="EK7">
        <f>IF(Charts!$B$3="none",I214,IF(BW214="",NA(),BW214))</f>
        <v>0</v>
      </c>
      <c r="EL7">
        <f>IF(Charts!$B$3="none",J214,IF(BX214="",NA(),BX214))</f>
        <v>0</v>
      </c>
      <c r="EM7">
        <f>IF(Charts!$B$3="none",K214,IF(BY214="",NA(),BY214))</f>
        <v>0</v>
      </c>
      <c r="EN7">
        <f>IF(Charts!$B$3="none",L214,IF(BZ214="",NA(),BZ214))</f>
        <v>0</v>
      </c>
      <c r="EO7">
        <f>IF(Charts!$B$3="none",M214,IF(CA214="",NA(),CA214))</f>
        <v>0</v>
      </c>
      <c r="EP7">
        <f>IF(Charts!$B$3="none",N214,IF(CB214="",NA(),CB214))</f>
        <v>0</v>
      </c>
      <c r="EQ7">
        <f>IF(Charts!$B$3="none",O214,IF(CC214="",NA(),CC214))</f>
        <v>0</v>
      </c>
      <c r="ER7">
        <f>IF(Charts!$B$3="none",P214,IF(CD214="",NA(),CD214))</f>
        <v>0</v>
      </c>
      <c r="ES7">
        <f>IF(Charts!$B$3="none",Q214,IF(CE214="",NA(),CE214))</f>
        <v>0</v>
      </c>
      <c r="ET7">
        <f>IF(Charts!$B$3="none",R214,IF(CF214="",NA(),CF214))</f>
        <v>0</v>
      </c>
      <c r="EU7">
        <f>IF(Charts!$B$3="none",S214,IF(CG214="",NA(),CG214))</f>
        <v>0</v>
      </c>
      <c r="EV7">
        <f>IF(Charts!$B$3="none",T214,IF(CH214="",NA(),CH214))</f>
        <v>0</v>
      </c>
      <c r="EW7">
        <f>IF(Charts!$B$3="none",U214,IF(CI214="",NA(),CI214))</f>
        <v>0</v>
      </c>
      <c r="EX7">
        <f>IF(Charts!$B$3="none",V214,IF(CJ214="",NA(),CJ214))</f>
        <v>0</v>
      </c>
      <c r="EY7">
        <f>IF(Charts!$B$3="none",W214,IF(CK214="",NA(),CK214))</f>
        <v>0</v>
      </c>
      <c r="EZ7">
        <f>IF(Charts!$B$3="none",X214,IF(CL214="",NA(),CL214))</f>
        <v>0</v>
      </c>
      <c r="FA7">
        <f>IF(Charts!$B$3="none",Y214,IF(CM214="",NA(),CM214))</f>
        <v>0</v>
      </c>
      <c r="FB7">
        <f>IF(Charts!$B$3="none",Z214,IF(CN214="",NA(),CN214))</f>
        <v>0</v>
      </c>
      <c r="FC7">
        <f>IF(Charts!$B$3="none",AA214,IF(CO214="",NA(),CO214))</f>
        <v>0</v>
      </c>
      <c r="FD7">
        <f>IF(Charts!$B$3="none",AB214,IF(CP214="",NA(),CP214))</f>
        <v>0</v>
      </c>
      <c r="FE7">
        <f>IF(Charts!$B$3="none",AC214,IF(CQ214="",NA(),CQ214))</f>
        <v>0</v>
      </c>
      <c r="FF7">
        <f>IF(Charts!$B$3="none",AD214,IF(CR214="",NA(),CR214))</f>
        <v>0</v>
      </c>
      <c r="FG7">
        <f>IF(Charts!$B$3="none",AE214,IF(CS214="",NA(),CS214))</f>
        <v>0</v>
      </c>
      <c r="FH7">
        <f>IF(Charts!$B$3="none",AF214,IF(CT214="",NA(),CT214))</f>
        <v>0</v>
      </c>
      <c r="FI7">
        <f>IF(Charts!$B$3="none",AG214,IF(CU214="",NA(),CU214))</f>
        <v>0</v>
      </c>
      <c r="FJ7">
        <f>IF(Charts!$B$3="none",AH214,IF(CV214="",NA(),CV214))</f>
        <v>0</v>
      </c>
      <c r="FK7">
        <f>IF(Charts!$B$3="none",AI214,IF(CW214="",NA(),CW214))</f>
        <v>0</v>
      </c>
      <c r="FL7">
        <f>IF(Charts!$B$3="none",AJ214,IF(CX214="",NA(),CX214))</f>
        <v>0</v>
      </c>
      <c r="FM7">
        <f>IF(Charts!$B$3="none",AK214,IF(CY214="",NA(),CY214))</f>
        <v>0</v>
      </c>
      <c r="FN7">
        <f>IF(Charts!$B$3="none",AL214,IF(CZ214="",NA(),CZ214))</f>
        <v>0</v>
      </c>
      <c r="FO7">
        <f>IF(Charts!$B$3="none",AM214,IF(DA214="",NA(),DA214))</f>
        <v>0</v>
      </c>
      <c r="FP7">
        <f>IF(Charts!$B$3="none",AN214,IF(DB214="",NA(),DB214))</f>
        <v>0</v>
      </c>
      <c r="FQ7">
        <f>IF(Charts!$B$3="none",AO214,IF(DC214="",NA(),DC214))</f>
        <v>0</v>
      </c>
      <c r="FR7">
        <f>IF(Charts!$B$3="none",AP214,IF(DD214="",NA(),DD214))</f>
        <v>0</v>
      </c>
      <c r="FS7">
        <f>IF(Charts!$B$3="none",AQ214,IF(DE214="",NA(),DE214))</f>
        <v>0</v>
      </c>
      <c r="FT7">
        <f>IF(Charts!$B$3="none",AR214,IF(DF214="",NA(),DF214))</f>
        <v>0</v>
      </c>
      <c r="FU7">
        <f>IF(Charts!$B$3="none",AS214,IF(DG214="",NA(),DG214))</f>
        <v>0</v>
      </c>
      <c r="FV7">
        <f>IF(Charts!$B$3="none",AT214,IF(DH214="",NA(),DH214))</f>
        <v>0</v>
      </c>
      <c r="FW7">
        <f>IF(Charts!$B$3="none",AU214,IF(DI214="",NA(),DI214))</f>
        <v>0</v>
      </c>
      <c r="FX7">
        <f>IF(Charts!$B$3="none",AV214,IF(DJ214="",NA(),DJ214))</f>
        <v>0</v>
      </c>
      <c r="FY7">
        <f>IF(Charts!$B$3="none",AW214,IF(DK214="",NA(),DK214))</f>
        <v>0</v>
      </c>
      <c r="FZ7">
        <f>IF(Charts!$B$3="none",AX214,IF(DL214="",NA(),DL214))</f>
        <v>0</v>
      </c>
      <c r="GA7">
        <f>IF(Charts!$B$3="none",AY214,IF(DM214="",NA(),DM214))</f>
        <v>0</v>
      </c>
      <c r="GB7">
        <f>IF(Charts!$B$3="none",AZ214,IF(DN214="",NA(),DN214))</f>
        <v>0</v>
      </c>
      <c r="GC7">
        <f>IF(Charts!$B$3="none",BA214,IF(DO214="",NA(),DO214))</f>
        <v>0</v>
      </c>
      <c r="GD7">
        <f>IF(Charts!$B$3="none",BB214,IF(DP214="",NA(),DP214))</f>
        <v>0</v>
      </c>
      <c r="GE7">
        <f>IF(Charts!$B$3="none",BC214,IF(DQ214="",NA(),DQ214))</f>
        <v>0</v>
      </c>
      <c r="GF7">
        <f>IF(Charts!$B$3="none",BD214,IF(DR214="",NA(),DR214))</f>
        <v>0</v>
      </c>
      <c r="GG7">
        <f>IF(Charts!$B$3="none",BE214,IF(DS214="",NA(),DS214))</f>
        <v>0</v>
      </c>
      <c r="GH7">
        <f>IF(Charts!$B$3="none",BF214,IF(DT214="",NA(),DT214))</f>
        <v>0</v>
      </c>
      <c r="GI7">
        <f>IF(Charts!$B$3="none",BG214,IF(DU214="",NA(),DU214))</f>
        <v>0</v>
      </c>
      <c r="GJ7">
        <f>IF(Charts!$B$3="none",BH214,IF(DV214="",NA(),DV214))</f>
        <v>0</v>
      </c>
      <c r="GK7">
        <f>IF(Charts!$B$3="none",BI214,IF(DW214="",NA(),DW214))</f>
        <v>0</v>
      </c>
      <c r="GL7">
        <f>IF(Charts!$B$3="none",BJ214,IF(DX214="",NA(),DX214))</f>
        <v>0</v>
      </c>
      <c r="GM7">
        <f>IF(Charts!$B$3="none",BK214,IF(DY214="",NA(),DY214))</f>
        <v>0</v>
      </c>
      <c r="GN7">
        <f>IF(Charts!$B$3="none",BL214,IF(DZ214="",NA(),DZ214))</f>
        <v>0</v>
      </c>
      <c r="GO7">
        <f>IF(Charts!$B$3="none",BM214,IF(EA214="",NA(),EA214))</f>
        <v>0</v>
      </c>
      <c r="GP7">
        <f>IF(Charts!$B$3="none",BN214,IF(EB214="",NA(),EB214))</f>
        <v>0</v>
      </c>
      <c r="GQ7">
        <f>IF(Charts!$B$3="none",BO214,IF(EC214="",NA(),EC214))</f>
        <v>0</v>
      </c>
      <c r="GR7">
        <f>IF(Charts!$B$3="none",BP214,IF(ED214="",NA(),ED214))</f>
        <v>0</v>
      </c>
    </row>
    <row r="8" spans="1:200">
      <c r="A8" t="s">
        <v>55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IFERROR(SMALL(E5:E44,ROW()-ROW($F$5)+1),"")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IFERROR(SMALL(I5:I44,ROW()-ROW($J$5)+1),"")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IFERROR(SMALL(M5:M44,ROW()-ROW($N$5)+1),"")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IFERROR(SMALL(Q5:Q44,ROW()-ROW($R$5)+1),"")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IFERROR(SMALL(U5:U44,ROW()-ROW($V$5)+1),"")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IFERROR(SMALL(Y5:Y44,ROW()-ROW($Z$5)+1),"")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IFERROR(SMALL(AC5:AC44,ROW()-ROW($AD$5)+1),"")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IFERROR(SMALL(AG5:AG44,ROW()-ROW($AH$5)+1),"")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IFERROR(SMALL(AK5:AK44,ROW()-ROW($AL$5)+1),"")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IFERROR(SMALL(AO5:AO44,ROW()-ROW($AP$5)+1),"")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IFERROR(SMALL(AS5:AS44,ROW()-ROW($AT$5)+1),"")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IFERROR(SMALL(AW5:AW44,ROW()-ROW($AX$5)+1),"")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IFERROR(SMALL(BA5:BA44,ROW()-ROW($BB$5)+1),"")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IFERROR(SMALL(BE5:BE44,ROW()-ROW($BF$5)+1),"")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IFERROR(SMALL(BI5:BI44,ROW()-ROW($BJ$5)+1),"")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IFERROR(SMALL(BM5:BM44,ROW()-ROW($BN$5)+1),"")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IFERROR(SMALL(BS5:BS44,ROW()-ROW($BT$5)+1),"")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IFERROR(SMALL(BW5:BW44,ROW()-ROW($BX$5)+1),"")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IFERROR(SMALL(CA5:CA44,ROW()-ROW($CB$5)+1),"")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IFERROR(SMALL(CE5:CE44,ROW()-ROW($CF$5)+1),"")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IFERROR(SMALL(CI5:CI44,ROW()-ROW($CJ$5)+1),"")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IFERROR(SMALL(CM5:CM44,ROW()-ROW($CN$5)+1),"")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IFERROR(SMALL(CQ5:CQ44,ROW()-ROW($CR$5)+1),"")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IFERROR(SMALL(CU5:CU44,ROW()-ROW($CV$5)+1),"")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IFERROR(SMALL(CY5:CY44,ROW()-ROW($CZ$5)+1),"")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IFERROR(SMALL(DC5:DC44,ROW()-ROW($DD$5)+1),"")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IFERROR(SMALL(DG5:DG44,ROW()-ROW($DH$5)+1),"")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IFERROR(SMALL(DK5:DK44,ROW()-ROW($DL$5)+1),"")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IFERROR(SMALL(DO5:DO44,ROW()-ROW($DP$5)+1),"")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IFERROR(SMALL(DS5:DS44,ROW()-ROW($DT$5)+1),"")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IFERROR(SMALL(DW5:DW44,ROW()-ROW($DX$5)+1),"")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IFERROR(SMALL(EA5:EA44,ROW()-ROW($EB$5)+1),"")</f>
        <v>0</v>
      </c>
      <c r="ED8">
        <f>IFERROR(SUM(EB5:EB8),"")</f>
        <v>0</v>
      </c>
      <c r="EG8">
        <f>IF(Charts!$B$3="none",E215,IF(BS215="",NA(),BS215))</f>
        <v>0</v>
      </c>
      <c r="EH8">
        <f>IF(Charts!$B$3="none",F215,IF(BT215="",NA(),BT215))</f>
        <v>0</v>
      </c>
      <c r="EI8">
        <f>IF(Charts!$B$3="none",G215,IF(BU215="",NA(),BU215))</f>
        <v>0</v>
      </c>
      <c r="EJ8">
        <f>IF(Charts!$B$3="none",H215,IF(BV215="",NA(),BV215))</f>
        <v>0</v>
      </c>
      <c r="EK8">
        <f>IF(Charts!$B$3="none",I215,IF(BW215="",NA(),BW215))</f>
        <v>0</v>
      </c>
      <c r="EL8">
        <f>IF(Charts!$B$3="none",J215,IF(BX215="",NA(),BX215))</f>
        <v>0</v>
      </c>
      <c r="EM8">
        <f>IF(Charts!$B$3="none",K215,IF(BY215="",NA(),BY215))</f>
        <v>0</v>
      </c>
      <c r="EN8">
        <f>IF(Charts!$B$3="none",L215,IF(BZ215="",NA(),BZ215))</f>
        <v>0</v>
      </c>
      <c r="EO8">
        <f>IF(Charts!$B$3="none",M215,IF(CA215="",NA(),CA215))</f>
        <v>0</v>
      </c>
      <c r="EP8">
        <f>IF(Charts!$B$3="none",N215,IF(CB215="",NA(),CB215))</f>
        <v>0</v>
      </c>
      <c r="EQ8">
        <f>IF(Charts!$B$3="none",O215,IF(CC215="",NA(),CC215))</f>
        <v>0</v>
      </c>
      <c r="ER8">
        <f>IF(Charts!$B$3="none",P215,IF(CD215="",NA(),CD215))</f>
        <v>0</v>
      </c>
      <c r="ES8">
        <f>IF(Charts!$B$3="none",Q215,IF(CE215="",NA(),CE215))</f>
        <v>0</v>
      </c>
      <c r="ET8">
        <f>IF(Charts!$B$3="none",R215,IF(CF215="",NA(),CF215))</f>
        <v>0</v>
      </c>
      <c r="EU8">
        <f>IF(Charts!$B$3="none",S215,IF(CG215="",NA(),CG215))</f>
        <v>0</v>
      </c>
      <c r="EV8">
        <f>IF(Charts!$B$3="none",T215,IF(CH215="",NA(),CH215))</f>
        <v>0</v>
      </c>
      <c r="EW8">
        <f>IF(Charts!$B$3="none",U215,IF(CI215="",NA(),CI215))</f>
        <v>0</v>
      </c>
      <c r="EX8">
        <f>IF(Charts!$B$3="none",V215,IF(CJ215="",NA(),CJ215))</f>
        <v>0</v>
      </c>
      <c r="EY8">
        <f>IF(Charts!$B$3="none",W215,IF(CK215="",NA(),CK215))</f>
        <v>0</v>
      </c>
      <c r="EZ8">
        <f>IF(Charts!$B$3="none",X215,IF(CL215="",NA(),CL215))</f>
        <v>0</v>
      </c>
      <c r="FA8">
        <f>IF(Charts!$B$3="none",Y215,IF(CM215="",NA(),CM215))</f>
        <v>0</v>
      </c>
      <c r="FB8">
        <f>IF(Charts!$B$3="none",Z215,IF(CN215="",NA(),CN215))</f>
        <v>0</v>
      </c>
      <c r="FC8">
        <f>IF(Charts!$B$3="none",AA215,IF(CO215="",NA(),CO215))</f>
        <v>0</v>
      </c>
      <c r="FD8">
        <f>IF(Charts!$B$3="none",AB215,IF(CP215="",NA(),CP215))</f>
        <v>0</v>
      </c>
      <c r="FE8">
        <f>IF(Charts!$B$3="none",AC215,IF(CQ215="",NA(),CQ215))</f>
        <v>0</v>
      </c>
      <c r="FF8">
        <f>IF(Charts!$B$3="none",AD215,IF(CR215="",NA(),CR215))</f>
        <v>0</v>
      </c>
      <c r="FG8">
        <f>IF(Charts!$B$3="none",AE215,IF(CS215="",NA(),CS215))</f>
        <v>0</v>
      </c>
      <c r="FH8">
        <f>IF(Charts!$B$3="none",AF215,IF(CT215="",NA(),CT215))</f>
        <v>0</v>
      </c>
      <c r="FI8">
        <f>IF(Charts!$B$3="none",AG215,IF(CU215="",NA(),CU215))</f>
        <v>0</v>
      </c>
      <c r="FJ8">
        <f>IF(Charts!$B$3="none",AH215,IF(CV215="",NA(),CV215))</f>
        <v>0</v>
      </c>
      <c r="FK8">
        <f>IF(Charts!$B$3="none",AI215,IF(CW215="",NA(),CW215))</f>
        <v>0</v>
      </c>
      <c r="FL8">
        <f>IF(Charts!$B$3="none",AJ215,IF(CX215="",NA(),CX215))</f>
        <v>0</v>
      </c>
      <c r="FM8">
        <f>IF(Charts!$B$3="none",AK215,IF(CY215="",NA(),CY215))</f>
        <v>0</v>
      </c>
      <c r="FN8">
        <f>IF(Charts!$B$3="none",AL215,IF(CZ215="",NA(),CZ215))</f>
        <v>0</v>
      </c>
      <c r="FO8">
        <f>IF(Charts!$B$3="none",AM215,IF(DA215="",NA(),DA215))</f>
        <v>0</v>
      </c>
      <c r="FP8">
        <f>IF(Charts!$B$3="none",AN215,IF(DB215="",NA(),DB215))</f>
        <v>0</v>
      </c>
      <c r="FQ8">
        <f>IF(Charts!$B$3="none",AO215,IF(DC215="",NA(),DC215))</f>
        <v>0</v>
      </c>
      <c r="FR8">
        <f>IF(Charts!$B$3="none",AP215,IF(DD215="",NA(),DD215))</f>
        <v>0</v>
      </c>
      <c r="FS8">
        <f>IF(Charts!$B$3="none",AQ215,IF(DE215="",NA(),DE215))</f>
        <v>0</v>
      </c>
      <c r="FT8">
        <f>IF(Charts!$B$3="none",AR215,IF(DF215="",NA(),DF215))</f>
        <v>0</v>
      </c>
      <c r="FU8">
        <f>IF(Charts!$B$3="none",AS215,IF(DG215="",NA(),DG215))</f>
        <v>0</v>
      </c>
      <c r="FV8">
        <f>IF(Charts!$B$3="none",AT215,IF(DH215="",NA(),DH215))</f>
        <v>0</v>
      </c>
      <c r="FW8">
        <f>IF(Charts!$B$3="none",AU215,IF(DI215="",NA(),DI215))</f>
        <v>0</v>
      </c>
      <c r="FX8">
        <f>IF(Charts!$B$3="none",AV215,IF(DJ215="",NA(),DJ215))</f>
        <v>0</v>
      </c>
      <c r="FY8">
        <f>IF(Charts!$B$3="none",AW215,IF(DK215="",NA(),DK215))</f>
        <v>0</v>
      </c>
      <c r="FZ8">
        <f>IF(Charts!$B$3="none",AX215,IF(DL215="",NA(),DL215))</f>
        <v>0</v>
      </c>
      <c r="GA8">
        <f>IF(Charts!$B$3="none",AY215,IF(DM215="",NA(),DM215))</f>
        <v>0</v>
      </c>
      <c r="GB8">
        <f>IF(Charts!$B$3="none",AZ215,IF(DN215="",NA(),DN215))</f>
        <v>0</v>
      </c>
      <c r="GC8">
        <f>IF(Charts!$B$3="none",BA215,IF(DO215="",NA(),DO215))</f>
        <v>0</v>
      </c>
      <c r="GD8">
        <f>IF(Charts!$B$3="none",BB215,IF(DP215="",NA(),DP215))</f>
        <v>0</v>
      </c>
      <c r="GE8">
        <f>IF(Charts!$B$3="none",BC215,IF(DQ215="",NA(),DQ215))</f>
        <v>0</v>
      </c>
      <c r="GF8">
        <f>IF(Charts!$B$3="none",BD215,IF(DR215="",NA(),DR215))</f>
        <v>0</v>
      </c>
      <c r="GG8">
        <f>IF(Charts!$B$3="none",BE215,IF(DS215="",NA(),DS215))</f>
        <v>0</v>
      </c>
      <c r="GH8">
        <f>IF(Charts!$B$3="none",BF215,IF(DT215="",NA(),DT215))</f>
        <v>0</v>
      </c>
      <c r="GI8">
        <f>IF(Charts!$B$3="none",BG215,IF(DU215="",NA(),DU215))</f>
        <v>0</v>
      </c>
      <c r="GJ8">
        <f>IF(Charts!$B$3="none",BH215,IF(DV215="",NA(),DV215))</f>
        <v>0</v>
      </c>
      <c r="GK8">
        <f>IF(Charts!$B$3="none",BI215,IF(DW215="",NA(),DW215))</f>
        <v>0</v>
      </c>
      <c r="GL8">
        <f>IF(Charts!$B$3="none",BJ215,IF(DX215="",NA(),DX215))</f>
        <v>0</v>
      </c>
      <c r="GM8">
        <f>IF(Charts!$B$3="none",BK215,IF(DY215="",NA(),DY215))</f>
        <v>0</v>
      </c>
      <c r="GN8">
        <f>IF(Charts!$B$3="none",BL215,IF(DZ215="",NA(),DZ215))</f>
        <v>0</v>
      </c>
      <c r="GO8">
        <f>IF(Charts!$B$3="none",BM215,IF(EA215="",NA(),EA215))</f>
        <v>0</v>
      </c>
      <c r="GP8">
        <f>IF(Charts!$B$3="none",BN215,IF(EB215="",NA(),EB215))</f>
        <v>0</v>
      </c>
      <c r="GQ8">
        <f>IF(Charts!$B$3="none",BO215,IF(EC215="",NA(),EC215))</f>
        <v>0</v>
      </c>
      <c r="GR8">
        <f>IF(Charts!$B$3="none",BP215,IF(ED215="",NA(),ED215))</f>
        <v>0</v>
      </c>
    </row>
    <row r="9" spans="1:200">
      <c r="A9" t="s">
        <v>56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IFERROR(SMALL(E5:E44,ROW()-ROW($F$5)+1),"")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IFERROR(SMALL(I5:I44,ROW()-ROW($J$5)+1),"")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IFERROR(SMALL(M5:M44,ROW()-ROW($N$5)+1),"")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IFERROR(SMALL(Q5:Q44,ROW()-ROW($R$5)+1),"")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IFERROR(SMALL(U5:U44,ROW()-ROW($V$5)+1),"")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IFERROR(SMALL(Y5:Y44,ROW()-ROW($Z$5)+1),"")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IFERROR(SMALL(AC5:AC44,ROW()-ROW($AD$5)+1),"")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IFERROR(SMALL(AG5:AG44,ROW()-ROW($AH$5)+1),"")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IFERROR(SMALL(AK5:AK44,ROW()-ROW($AL$5)+1),"")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IFERROR(SMALL(AO5:AO44,ROW()-ROW($AP$5)+1),"")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IFERROR(SMALL(AS5:AS44,ROW()-ROW($AT$5)+1),"")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IFERROR(SMALL(AW5:AW44,ROW()-ROW($AX$5)+1),"")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IFERROR(SMALL(BA5:BA44,ROW()-ROW($BB$5)+1),"")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IFERROR(SMALL(BE5:BE44,ROW()-ROW($BF$5)+1),"")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IFERROR(SMALL(BI5:BI44,ROW()-ROW($BJ$5)+1),"")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IFERROR(SMALL(BM5:BM44,ROW()-ROW($BN$5)+1),"")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IFERROR(SMALL(BS5:BS44,ROW()-ROW($BT$5)+1),"")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IFERROR(SMALL(BW5:BW44,ROW()-ROW($BX$5)+1),"")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IFERROR(SMALL(CA5:CA44,ROW()-ROW($CB$5)+1),"")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IFERROR(SMALL(CE5:CE44,ROW()-ROW($CF$5)+1),"")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IFERROR(SMALL(CI5:CI44,ROW()-ROW($CJ$5)+1),"")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IFERROR(SMALL(CM5:CM44,ROW()-ROW($CN$5)+1),"")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IFERROR(SMALL(CQ5:CQ44,ROW()-ROW($CR$5)+1),"")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IFERROR(SMALL(CU5:CU44,ROW()-ROW($CV$5)+1),"")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IFERROR(SMALL(CY5:CY44,ROW()-ROW($CZ$5)+1),"")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IFERROR(SMALL(DC5:DC44,ROW()-ROW($DD$5)+1),"")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IFERROR(SMALL(DG5:DG44,ROW()-ROW($DH$5)+1),"")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IFERROR(SMALL(DK5:DK44,ROW()-ROW($DL$5)+1),"")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IFERROR(SMALL(DO5:DO44,ROW()-ROW($DP$5)+1),"")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IFERROR(SMALL(DS5:DS44,ROW()-ROW($DT$5)+1),"")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IFERROR(SMALL(DW5:DW44,ROW()-ROW($DX$5)+1),"")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IFERROR(SMALL(EA5:EA44,ROW()-ROW($EB$5)+1),"")</f>
        <v>0</v>
      </c>
      <c r="ED9">
        <f>IFERROR(SUM(EB5:EB9),"")</f>
        <v>0</v>
      </c>
      <c r="EG9">
        <f>IF(Charts!$B$3="none",E216,IF(BS216="",NA(),BS216))</f>
        <v>0</v>
      </c>
      <c r="EH9">
        <f>IF(Charts!$B$3="none",F216,IF(BT216="",NA(),BT216))</f>
        <v>0</v>
      </c>
      <c r="EI9">
        <f>IF(Charts!$B$3="none",G216,IF(BU216="",NA(),BU216))</f>
        <v>0</v>
      </c>
      <c r="EJ9">
        <f>IF(Charts!$B$3="none",H216,IF(BV216="",NA(),BV216))</f>
        <v>0</v>
      </c>
      <c r="EK9">
        <f>IF(Charts!$B$3="none",I216,IF(BW216="",NA(),BW216))</f>
        <v>0</v>
      </c>
      <c r="EL9">
        <f>IF(Charts!$B$3="none",J216,IF(BX216="",NA(),BX216))</f>
        <v>0</v>
      </c>
      <c r="EM9">
        <f>IF(Charts!$B$3="none",K216,IF(BY216="",NA(),BY216))</f>
        <v>0</v>
      </c>
      <c r="EN9">
        <f>IF(Charts!$B$3="none",L216,IF(BZ216="",NA(),BZ216))</f>
        <v>0</v>
      </c>
      <c r="EO9">
        <f>IF(Charts!$B$3="none",M216,IF(CA216="",NA(),CA216))</f>
        <v>0</v>
      </c>
      <c r="EP9">
        <f>IF(Charts!$B$3="none",N216,IF(CB216="",NA(),CB216))</f>
        <v>0</v>
      </c>
      <c r="EQ9">
        <f>IF(Charts!$B$3="none",O216,IF(CC216="",NA(),CC216))</f>
        <v>0</v>
      </c>
      <c r="ER9">
        <f>IF(Charts!$B$3="none",P216,IF(CD216="",NA(),CD216))</f>
        <v>0</v>
      </c>
      <c r="ES9">
        <f>IF(Charts!$B$3="none",Q216,IF(CE216="",NA(),CE216))</f>
        <v>0</v>
      </c>
      <c r="ET9">
        <f>IF(Charts!$B$3="none",R216,IF(CF216="",NA(),CF216))</f>
        <v>0</v>
      </c>
      <c r="EU9">
        <f>IF(Charts!$B$3="none",S216,IF(CG216="",NA(),CG216))</f>
        <v>0</v>
      </c>
      <c r="EV9">
        <f>IF(Charts!$B$3="none",T216,IF(CH216="",NA(),CH216))</f>
        <v>0</v>
      </c>
      <c r="EW9">
        <f>IF(Charts!$B$3="none",U216,IF(CI216="",NA(),CI216))</f>
        <v>0</v>
      </c>
      <c r="EX9">
        <f>IF(Charts!$B$3="none",V216,IF(CJ216="",NA(),CJ216))</f>
        <v>0</v>
      </c>
      <c r="EY9">
        <f>IF(Charts!$B$3="none",W216,IF(CK216="",NA(),CK216))</f>
        <v>0</v>
      </c>
      <c r="EZ9">
        <f>IF(Charts!$B$3="none",X216,IF(CL216="",NA(),CL216))</f>
        <v>0</v>
      </c>
      <c r="FA9">
        <f>IF(Charts!$B$3="none",Y216,IF(CM216="",NA(),CM216))</f>
        <v>0</v>
      </c>
      <c r="FB9">
        <f>IF(Charts!$B$3="none",Z216,IF(CN216="",NA(),CN216))</f>
        <v>0</v>
      </c>
      <c r="FC9">
        <f>IF(Charts!$B$3="none",AA216,IF(CO216="",NA(),CO216))</f>
        <v>0</v>
      </c>
      <c r="FD9">
        <f>IF(Charts!$B$3="none",AB216,IF(CP216="",NA(),CP216))</f>
        <v>0</v>
      </c>
      <c r="FE9">
        <f>IF(Charts!$B$3="none",AC216,IF(CQ216="",NA(),CQ216))</f>
        <v>0</v>
      </c>
      <c r="FF9">
        <f>IF(Charts!$B$3="none",AD216,IF(CR216="",NA(),CR216))</f>
        <v>0</v>
      </c>
      <c r="FG9">
        <f>IF(Charts!$B$3="none",AE216,IF(CS216="",NA(),CS216))</f>
        <v>0</v>
      </c>
      <c r="FH9">
        <f>IF(Charts!$B$3="none",AF216,IF(CT216="",NA(),CT216))</f>
        <v>0</v>
      </c>
      <c r="FI9">
        <f>IF(Charts!$B$3="none",AG216,IF(CU216="",NA(),CU216))</f>
        <v>0</v>
      </c>
      <c r="FJ9">
        <f>IF(Charts!$B$3="none",AH216,IF(CV216="",NA(),CV216))</f>
        <v>0</v>
      </c>
      <c r="FK9">
        <f>IF(Charts!$B$3="none",AI216,IF(CW216="",NA(),CW216))</f>
        <v>0</v>
      </c>
      <c r="FL9">
        <f>IF(Charts!$B$3="none",AJ216,IF(CX216="",NA(),CX216))</f>
        <v>0</v>
      </c>
      <c r="FM9">
        <f>IF(Charts!$B$3="none",AK216,IF(CY216="",NA(),CY216))</f>
        <v>0</v>
      </c>
      <c r="FN9">
        <f>IF(Charts!$B$3="none",AL216,IF(CZ216="",NA(),CZ216))</f>
        <v>0</v>
      </c>
      <c r="FO9">
        <f>IF(Charts!$B$3="none",AM216,IF(DA216="",NA(),DA216))</f>
        <v>0</v>
      </c>
      <c r="FP9">
        <f>IF(Charts!$B$3="none",AN216,IF(DB216="",NA(),DB216))</f>
        <v>0</v>
      </c>
      <c r="FQ9">
        <f>IF(Charts!$B$3="none",AO216,IF(DC216="",NA(),DC216))</f>
        <v>0</v>
      </c>
      <c r="FR9">
        <f>IF(Charts!$B$3="none",AP216,IF(DD216="",NA(),DD216))</f>
        <v>0</v>
      </c>
      <c r="FS9">
        <f>IF(Charts!$B$3="none",AQ216,IF(DE216="",NA(),DE216))</f>
        <v>0</v>
      </c>
      <c r="FT9">
        <f>IF(Charts!$B$3="none",AR216,IF(DF216="",NA(),DF216))</f>
        <v>0</v>
      </c>
      <c r="FU9">
        <f>IF(Charts!$B$3="none",AS216,IF(DG216="",NA(),DG216))</f>
        <v>0</v>
      </c>
      <c r="FV9">
        <f>IF(Charts!$B$3="none",AT216,IF(DH216="",NA(),DH216))</f>
        <v>0</v>
      </c>
      <c r="FW9">
        <f>IF(Charts!$B$3="none",AU216,IF(DI216="",NA(),DI216))</f>
        <v>0</v>
      </c>
      <c r="FX9">
        <f>IF(Charts!$B$3="none",AV216,IF(DJ216="",NA(),DJ216))</f>
        <v>0</v>
      </c>
      <c r="FY9">
        <f>IF(Charts!$B$3="none",AW216,IF(DK216="",NA(),DK216))</f>
        <v>0</v>
      </c>
      <c r="FZ9">
        <f>IF(Charts!$B$3="none",AX216,IF(DL216="",NA(),DL216))</f>
        <v>0</v>
      </c>
      <c r="GA9">
        <f>IF(Charts!$B$3="none",AY216,IF(DM216="",NA(),DM216))</f>
        <v>0</v>
      </c>
      <c r="GB9">
        <f>IF(Charts!$B$3="none",AZ216,IF(DN216="",NA(),DN216))</f>
        <v>0</v>
      </c>
      <c r="GC9">
        <f>IF(Charts!$B$3="none",BA216,IF(DO216="",NA(),DO216))</f>
        <v>0</v>
      </c>
      <c r="GD9">
        <f>IF(Charts!$B$3="none",BB216,IF(DP216="",NA(),DP216))</f>
        <v>0</v>
      </c>
      <c r="GE9">
        <f>IF(Charts!$B$3="none",BC216,IF(DQ216="",NA(),DQ216))</f>
        <v>0</v>
      </c>
      <c r="GF9">
        <f>IF(Charts!$B$3="none",BD216,IF(DR216="",NA(),DR216))</f>
        <v>0</v>
      </c>
      <c r="GG9">
        <f>IF(Charts!$B$3="none",BE216,IF(DS216="",NA(),DS216))</f>
        <v>0</v>
      </c>
      <c r="GH9">
        <f>IF(Charts!$B$3="none",BF216,IF(DT216="",NA(),DT216))</f>
        <v>0</v>
      </c>
      <c r="GI9">
        <f>IF(Charts!$B$3="none",BG216,IF(DU216="",NA(),DU216))</f>
        <v>0</v>
      </c>
      <c r="GJ9">
        <f>IF(Charts!$B$3="none",BH216,IF(DV216="",NA(),DV216))</f>
        <v>0</v>
      </c>
      <c r="GK9">
        <f>IF(Charts!$B$3="none",BI216,IF(DW216="",NA(),DW216))</f>
        <v>0</v>
      </c>
      <c r="GL9">
        <f>IF(Charts!$B$3="none",BJ216,IF(DX216="",NA(),DX216))</f>
        <v>0</v>
      </c>
      <c r="GM9">
        <f>IF(Charts!$B$3="none",BK216,IF(DY216="",NA(),DY216))</f>
        <v>0</v>
      </c>
      <c r="GN9">
        <f>IF(Charts!$B$3="none",BL216,IF(DZ216="",NA(),DZ216))</f>
        <v>0</v>
      </c>
      <c r="GO9">
        <f>IF(Charts!$B$3="none",BM216,IF(EA216="",NA(),EA216))</f>
        <v>0</v>
      </c>
      <c r="GP9">
        <f>IF(Charts!$B$3="none",BN216,IF(EB216="",NA(),EB216))</f>
        <v>0</v>
      </c>
      <c r="GQ9">
        <f>IF(Charts!$B$3="none",BO216,IF(EC216="",NA(),EC216))</f>
        <v>0</v>
      </c>
      <c r="GR9">
        <f>IF(Charts!$B$3="none",BP216,IF(ED216="",NA(),ED216))</f>
        <v>0</v>
      </c>
    </row>
    <row r="10" spans="1:200">
      <c r="A10" t="s">
        <v>57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IFERROR(SMALL(E5:E44,ROW()-ROW($F$5)+1),"")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IFERROR(SMALL(I5:I44,ROW()-ROW($J$5)+1),"")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IFERROR(SMALL(M5:M44,ROW()-ROW($N$5)+1),"")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IFERROR(SMALL(Q5:Q44,ROW()-ROW($R$5)+1),"")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IFERROR(SMALL(U5:U44,ROW()-ROW($V$5)+1),"")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IFERROR(SMALL(Y5:Y44,ROW()-ROW($Z$5)+1),"")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IFERROR(SMALL(AC5:AC44,ROW()-ROW($AD$5)+1),"")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IFERROR(SMALL(AG5:AG44,ROW()-ROW($AH$5)+1),"")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IFERROR(SMALL(AK5:AK44,ROW()-ROW($AL$5)+1),"")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IFERROR(SMALL(AO5:AO44,ROW()-ROW($AP$5)+1),"")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IFERROR(SMALL(AS5:AS44,ROW()-ROW($AT$5)+1),"")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IFERROR(SMALL(AW5:AW44,ROW()-ROW($AX$5)+1),"")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IFERROR(SMALL(BA5:BA44,ROW()-ROW($BB$5)+1),"")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IFERROR(SMALL(BE5:BE44,ROW()-ROW($BF$5)+1),"")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IFERROR(SMALL(BI5:BI44,ROW()-ROW($BJ$5)+1),"")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IFERROR(SMALL(BM5:BM44,ROW()-ROW($BN$5)+1),"")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IFERROR(SMALL(BS5:BS44,ROW()-ROW($BT$5)+1),"")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IFERROR(SMALL(BW5:BW44,ROW()-ROW($BX$5)+1),"")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IFERROR(SMALL(CA5:CA44,ROW()-ROW($CB$5)+1),"")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IFERROR(SMALL(CE5:CE44,ROW()-ROW($CF$5)+1),"")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IFERROR(SMALL(CI5:CI44,ROW()-ROW($CJ$5)+1),"")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IFERROR(SMALL(CM5:CM44,ROW()-ROW($CN$5)+1),"")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IFERROR(SMALL(CQ5:CQ44,ROW()-ROW($CR$5)+1),"")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IFERROR(SMALL(CU5:CU44,ROW()-ROW($CV$5)+1),"")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IFERROR(SMALL(CY5:CY44,ROW()-ROW($CZ$5)+1),"")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IFERROR(SMALL(DC5:DC44,ROW()-ROW($DD$5)+1),"")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IFERROR(SMALL(DG5:DG44,ROW()-ROW($DH$5)+1),"")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IFERROR(SMALL(DK5:DK44,ROW()-ROW($DL$5)+1),"")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IFERROR(SMALL(DO5:DO44,ROW()-ROW($DP$5)+1),"")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IFERROR(SMALL(DS5:DS44,ROW()-ROW($DT$5)+1),"")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IFERROR(SMALL(DW5:DW44,ROW()-ROW($DX$5)+1),"")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IFERROR(SMALL(EA5:EA44,ROW()-ROW($EB$5)+1),"")</f>
        <v>0</v>
      </c>
      <c r="ED10">
        <f>IFERROR(SUM(EB5:EB10),"")</f>
        <v>0</v>
      </c>
      <c r="EG10">
        <f>IF(Charts!$B$3="none",E217,IF(BS217="",NA(),BS217))</f>
        <v>0</v>
      </c>
      <c r="EH10">
        <f>IF(Charts!$B$3="none",F217,IF(BT217="",NA(),BT217))</f>
        <v>0</v>
      </c>
      <c r="EI10">
        <f>IF(Charts!$B$3="none",G217,IF(BU217="",NA(),BU217))</f>
        <v>0</v>
      </c>
      <c r="EJ10">
        <f>IF(Charts!$B$3="none",H217,IF(BV217="",NA(),BV217))</f>
        <v>0</v>
      </c>
      <c r="EK10">
        <f>IF(Charts!$B$3="none",I217,IF(BW217="",NA(),BW217))</f>
        <v>0</v>
      </c>
      <c r="EL10">
        <f>IF(Charts!$B$3="none",J217,IF(BX217="",NA(),BX217))</f>
        <v>0</v>
      </c>
      <c r="EM10">
        <f>IF(Charts!$B$3="none",K217,IF(BY217="",NA(),BY217))</f>
        <v>0</v>
      </c>
      <c r="EN10">
        <f>IF(Charts!$B$3="none",L217,IF(BZ217="",NA(),BZ217))</f>
        <v>0</v>
      </c>
      <c r="EO10">
        <f>IF(Charts!$B$3="none",M217,IF(CA217="",NA(),CA217))</f>
        <v>0</v>
      </c>
      <c r="EP10">
        <f>IF(Charts!$B$3="none",N217,IF(CB217="",NA(),CB217))</f>
        <v>0</v>
      </c>
      <c r="EQ10">
        <f>IF(Charts!$B$3="none",O217,IF(CC217="",NA(),CC217))</f>
        <v>0</v>
      </c>
      <c r="ER10">
        <f>IF(Charts!$B$3="none",P217,IF(CD217="",NA(),CD217))</f>
        <v>0</v>
      </c>
      <c r="ES10">
        <f>IF(Charts!$B$3="none",Q217,IF(CE217="",NA(),CE217))</f>
        <v>0</v>
      </c>
      <c r="ET10">
        <f>IF(Charts!$B$3="none",R217,IF(CF217="",NA(),CF217))</f>
        <v>0</v>
      </c>
      <c r="EU10">
        <f>IF(Charts!$B$3="none",S217,IF(CG217="",NA(),CG217))</f>
        <v>0</v>
      </c>
      <c r="EV10">
        <f>IF(Charts!$B$3="none",T217,IF(CH217="",NA(),CH217))</f>
        <v>0</v>
      </c>
      <c r="EW10">
        <f>IF(Charts!$B$3="none",U217,IF(CI217="",NA(),CI217))</f>
        <v>0</v>
      </c>
      <c r="EX10">
        <f>IF(Charts!$B$3="none",V217,IF(CJ217="",NA(),CJ217))</f>
        <v>0</v>
      </c>
      <c r="EY10">
        <f>IF(Charts!$B$3="none",W217,IF(CK217="",NA(),CK217))</f>
        <v>0</v>
      </c>
      <c r="EZ10">
        <f>IF(Charts!$B$3="none",X217,IF(CL217="",NA(),CL217))</f>
        <v>0</v>
      </c>
      <c r="FA10">
        <f>IF(Charts!$B$3="none",Y217,IF(CM217="",NA(),CM217))</f>
        <v>0</v>
      </c>
      <c r="FB10">
        <f>IF(Charts!$B$3="none",Z217,IF(CN217="",NA(),CN217))</f>
        <v>0</v>
      </c>
      <c r="FC10">
        <f>IF(Charts!$B$3="none",AA217,IF(CO217="",NA(),CO217))</f>
        <v>0</v>
      </c>
      <c r="FD10">
        <f>IF(Charts!$B$3="none",AB217,IF(CP217="",NA(),CP217))</f>
        <v>0</v>
      </c>
      <c r="FE10">
        <f>IF(Charts!$B$3="none",AC217,IF(CQ217="",NA(),CQ217))</f>
        <v>0</v>
      </c>
      <c r="FF10">
        <f>IF(Charts!$B$3="none",AD217,IF(CR217="",NA(),CR217))</f>
        <v>0</v>
      </c>
      <c r="FG10">
        <f>IF(Charts!$B$3="none",AE217,IF(CS217="",NA(),CS217))</f>
        <v>0</v>
      </c>
      <c r="FH10">
        <f>IF(Charts!$B$3="none",AF217,IF(CT217="",NA(),CT217))</f>
        <v>0</v>
      </c>
      <c r="FI10">
        <f>IF(Charts!$B$3="none",AG217,IF(CU217="",NA(),CU217))</f>
        <v>0</v>
      </c>
      <c r="FJ10">
        <f>IF(Charts!$B$3="none",AH217,IF(CV217="",NA(),CV217))</f>
        <v>0</v>
      </c>
      <c r="FK10">
        <f>IF(Charts!$B$3="none",AI217,IF(CW217="",NA(),CW217))</f>
        <v>0</v>
      </c>
      <c r="FL10">
        <f>IF(Charts!$B$3="none",AJ217,IF(CX217="",NA(),CX217))</f>
        <v>0</v>
      </c>
      <c r="FM10">
        <f>IF(Charts!$B$3="none",AK217,IF(CY217="",NA(),CY217))</f>
        <v>0</v>
      </c>
      <c r="FN10">
        <f>IF(Charts!$B$3="none",AL217,IF(CZ217="",NA(),CZ217))</f>
        <v>0</v>
      </c>
      <c r="FO10">
        <f>IF(Charts!$B$3="none",AM217,IF(DA217="",NA(),DA217))</f>
        <v>0</v>
      </c>
      <c r="FP10">
        <f>IF(Charts!$B$3="none",AN217,IF(DB217="",NA(),DB217))</f>
        <v>0</v>
      </c>
      <c r="FQ10">
        <f>IF(Charts!$B$3="none",AO217,IF(DC217="",NA(),DC217))</f>
        <v>0</v>
      </c>
      <c r="FR10">
        <f>IF(Charts!$B$3="none",AP217,IF(DD217="",NA(),DD217))</f>
        <v>0</v>
      </c>
      <c r="FS10">
        <f>IF(Charts!$B$3="none",AQ217,IF(DE217="",NA(),DE217))</f>
        <v>0</v>
      </c>
      <c r="FT10">
        <f>IF(Charts!$B$3="none",AR217,IF(DF217="",NA(),DF217))</f>
        <v>0</v>
      </c>
      <c r="FU10">
        <f>IF(Charts!$B$3="none",AS217,IF(DG217="",NA(),DG217))</f>
        <v>0</v>
      </c>
      <c r="FV10">
        <f>IF(Charts!$B$3="none",AT217,IF(DH217="",NA(),DH217))</f>
        <v>0</v>
      </c>
      <c r="FW10">
        <f>IF(Charts!$B$3="none",AU217,IF(DI217="",NA(),DI217))</f>
        <v>0</v>
      </c>
      <c r="FX10">
        <f>IF(Charts!$B$3="none",AV217,IF(DJ217="",NA(),DJ217))</f>
        <v>0</v>
      </c>
      <c r="FY10">
        <f>IF(Charts!$B$3="none",AW217,IF(DK217="",NA(),DK217))</f>
        <v>0</v>
      </c>
      <c r="FZ10">
        <f>IF(Charts!$B$3="none",AX217,IF(DL217="",NA(),DL217))</f>
        <v>0</v>
      </c>
      <c r="GA10">
        <f>IF(Charts!$B$3="none",AY217,IF(DM217="",NA(),DM217))</f>
        <v>0</v>
      </c>
      <c r="GB10">
        <f>IF(Charts!$B$3="none",AZ217,IF(DN217="",NA(),DN217))</f>
        <v>0</v>
      </c>
      <c r="GC10">
        <f>IF(Charts!$B$3="none",BA217,IF(DO217="",NA(),DO217))</f>
        <v>0</v>
      </c>
      <c r="GD10">
        <f>IF(Charts!$B$3="none",BB217,IF(DP217="",NA(),DP217))</f>
        <v>0</v>
      </c>
      <c r="GE10">
        <f>IF(Charts!$B$3="none",BC217,IF(DQ217="",NA(),DQ217))</f>
        <v>0</v>
      </c>
      <c r="GF10">
        <f>IF(Charts!$B$3="none",BD217,IF(DR217="",NA(),DR217))</f>
        <v>0</v>
      </c>
      <c r="GG10">
        <f>IF(Charts!$B$3="none",BE217,IF(DS217="",NA(),DS217))</f>
        <v>0</v>
      </c>
      <c r="GH10">
        <f>IF(Charts!$B$3="none",BF217,IF(DT217="",NA(),DT217))</f>
        <v>0</v>
      </c>
      <c r="GI10">
        <f>IF(Charts!$B$3="none",BG217,IF(DU217="",NA(),DU217))</f>
        <v>0</v>
      </c>
      <c r="GJ10">
        <f>IF(Charts!$B$3="none",BH217,IF(DV217="",NA(),DV217))</f>
        <v>0</v>
      </c>
      <c r="GK10">
        <f>IF(Charts!$B$3="none",BI217,IF(DW217="",NA(),DW217))</f>
        <v>0</v>
      </c>
      <c r="GL10">
        <f>IF(Charts!$B$3="none",BJ217,IF(DX217="",NA(),DX217))</f>
        <v>0</v>
      </c>
      <c r="GM10">
        <f>IF(Charts!$B$3="none",BK217,IF(DY217="",NA(),DY217))</f>
        <v>0</v>
      </c>
      <c r="GN10">
        <f>IF(Charts!$B$3="none",BL217,IF(DZ217="",NA(),DZ217))</f>
        <v>0</v>
      </c>
      <c r="GO10">
        <f>IF(Charts!$B$3="none",BM217,IF(EA217="",NA(),EA217))</f>
        <v>0</v>
      </c>
      <c r="GP10">
        <f>IF(Charts!$B$3="none",BN217,IF(EB217="",NA(),EB217))</f>
        <v>0</v>
      </c>
      <c r="GQ10">
        <f>IF(Charts!$B$3="none",BO217,IF(EC217="",NA(),EC217))</f>
        <v>0</v>
      </c>
      <c r="GR10">
        <f>IF(Charts!$B$3="none",BP217,IF(ED217="",NA(),ED217))</f>
        <v>0</v>
      </c>
    </row>
    <row r="11" spans="1:200">
      <c r="A11" t="s">
        <v>58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IFERROR(SMALL(E5:E44,ROW()-ROW($F$5)+1),"")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IFERROR(SMALL(I5:I44,ROW()-ROW($J$5)+1),"")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IFERROR(SMALL(M5:M44,ROW()-ROW($N$5)+1),"")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IFERROR(SMALL(Q5:Q44,ROW()-ROW($R$5)+1),"")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IFERROR(SMALL(U5:U44,ROW()-ROW($V$5)+1),"")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IFERROR(SMALL(Y5:Y44,ROW()-ROW($Z$5)+1),"")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IFERROR(SMALL(AC5:AC44,ROW()-ROW($AD$5)+1),"")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IFERROR(SMALL(AG5:AG44,ROW()-ROW($AH$5)+1),"")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IFERROR(SMALL(AK5:AK44,ROW()-ROW($AL$5)+1),"")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IFERROR(SMALL(AO5:AO44,ROW()-ROW($AP$5)+1),"")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IFERROR(SMALL(AS5:AS44,ROW()-ROW($AT$5)+1),"")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IFERROR(SMALL(AW5:AW44,ROW()-ROW($AX$5)+1),"")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IFERROR(SMALL(BA5:BA44,ROW()-ROW($BB$5)+1),"")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IFERROR(SMALL(BE5:BE44,ROW()-ROW($BF$5)+1),"")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IFERROR(SMALL(BI5:BI44,ROW()-ROW($BJ$5)+1),"")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IFERROR(SMALL(BM5:BM44,ROW()-ROW($BN$5)+1),"")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IFERROR(SMALL(BS5:BS44,ROW()-ROW($BT$5)+1),"")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IFERROR(SMALL(BW5:BW44,ROW()-ROW($BX$5)+1),"")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IFERROR(SMALL(CA5:CA44,ROW()-ROW($CB$5)+1),"")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IFERROR(SMALL(CE5:CE44,ROW()-ROW($CF$5)+1),"")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IFERROR(SMALL(CI5:CI44,ROW()-ROW($CJ$5)+1),"")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IFERROR(SMALL(CM5:CM44,ROW()-ROW($CN$5)+1),"")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IFERROR(SMALL(CQ5:CQ44,ROW()-ROW($CR$5)+1),"")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IFERROR(SMALL(CU5:CU44,ROW()-ROW($CV$5)+1),"")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IFERROR(SMALL(CY5:CY44,ROW()-ROW($CZ$5)+1),"")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IFERROR(SMALL(DC5:DC44,ROW()-ROW($DD$5)+1),"")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IFERROR(SMALL(DG5:DG44,ROW()-ROW($DH$5)+1),"")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IFERROR(SMALL(DK5:DK44,ROW()-ROW($DL$5)+1),"")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IFERROR(SMALL(DO5:DO44,ROW()-ROW($DP$5)+1),"")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IFERROR(SMALL(DS5:DS44,ROW()-ROW($DT$5)+1),"")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IFERROR(SMALL(DW5:DW44,ROW()-ROW($DX$5)+1),"")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IFERROR(SMALL(EA5:EA44,ROW()-ROW($EB$5)+1),"")</f>
        <v>0</v>
      </c>
      <c r="ED11">
        <f>IFERROR(SUM(EB5:EB11),"")</f>
        <v>0</v>
      </c>
      <c r="EG11">
        <f>IF(Charts!$B$3="none",E218,IF(BS218="",NA(),BS218))</f>
        <v>0</v>
      </c>
      <c r="EH11">
        <f>IF(Charts!$B$3="none",F218,IF(BT218="",NA(),BT218))</f>
        <v>0</v>
      </c>
      <c r="EI11">
        <f>IF(Charts!$B$3="none",G218,IF(BU218="",NA(),BU218))</f>
        <v>0</v>
      </c>
      <c r="EJ11">
        <f>IF(Charts!$B$3="none",H218,IF(BV218="",NA(),BV218))</f>
        <v>0</v>
      </c>
      <c r="EK11">
        <f>IF(Charts!$B$3="none",I218,IF(BW218="",NA(),BW218))</f>
        <v>0</v>
      </c>
      <c r="EL11">
        <f>IF(Charts!$B$3="none",J218,IF(BX218="",NA(),BX218))</f>
        <v>0</v>
      </c>
      <c r="EM11">
        <f>IF(Charts!$B$3="none",K218,IF(BY218="",NA(),BY218))</f>
        <v>0</v>
      </c>
      <c r="EN11">
        <f>IF(Charts!$B$3="none",L218,IF(BZ218="",NA(),BZ218))</f>
        <v>0</v>
      </c>
      <c r="EO11">
        <f>IF(Charts!$B$3="none",M218,IF(CA218="",NA(),CA218))</f>
        <v>0</v>
      </c>
      <c r="EP11">
        <f>IF(Charts!$B$3="none",N218,IF(CB218="",NA(),CB218))</f>
        <v>0</v>
      </c>
      <c r="EQ11">
        <f>IF(Charts!$B$3="none",O218,IF(CC218="",NA(),CC218))</f>
        <v>0</v>
      </c>
      <c r="ER11">
        <f>IF(Charts!$B$3="none",P218,IF(CD218="",NA(),CD218))</f>
        <v>0</v>
      </c>
      <c r="ES11">
        <f>IF(Charts!$B$3="none",Q218,IF(CE218="",NA(),CE218))</f>
        <v>0</v>
      </c>
      <c r="ET11">
        <f>IF(Charts!$B$3="none",R218,IF(CF218="",NA(),CF218))</f>
        <v>0</v>
      </c>
      <c r="EU11">
        <f>IF(Charts!$B$3="none",S218,IF(CG218="",NA(),CG218))</f>
        <v>0</v>
      </c>
      <c r="EV11">
        <f>IF(Charts!$B$3="none",T218,IF(CH218="",NA(),CH218))</f>
        <v>0</v>
      </c>
      <c r="EW11">
        <f>IF(Charts!$B$3="none",U218,IF(CI218="",NA(),CI218))</f>
        <v>0</v>
      </c>
      <c r="EX11">
        <f>IF(Charts!$B$3="none",V218,IF(CJ218="",NA(),CJ218))</f>
        <v>0</v>
      </c>
      <c r="EY11">
        <f>IF(Charts!$B$3="none",W218,IF(CK218="",NA(),CK218))</f>
        <v>0</v>
      </c>
      <c r="EZ11">
        <f>IF(Charts!$B$3="none",X218,IF(CL218="",NA(),CL218))</f>
        <v>0</v>
      </c>
      <c r="FA11">
        <f>IF(Charts!$B$3="none",Y218,IF(CM218="",NA(),CM218))</f>
        <v>0</v>
      </c>
      <c r="FB11">
        <f>IF(Charts!$B$3="none",Z218,IF(CN218="",NA(),CN218))</f>
        <v>0</v>
      </c>
      <c r="FC11">
        <f>IF(Charts!$B$3="none",AA218,IF(CO218="",NA(),CO218))</f>
        <v>0</v>
      </c>
      <c r="FD11">
        <f>IF(Charts!$B$3="none",AB218,IF(CP218="",NA(),CP218))</f>
        <v>0</v>
      </c>
      <c r="FE11">
        <f>IF(Charts!$B$3="none",AC218,IF(CQ218="",NA(),CQ218))</f>
        <v>0</v>
      </c>
      <c r="FF11">
        <f>IF(Charts!$B$3="none",AD218,IF(CR218="",NA(),CR218))</f>
        <v>0</v>
      </c>
      <c r="FG11">
        <f>IF(Charts!$B$3="none",AE218,IF(CS218="",NA(),CS218))</f>
        <v>0</v>
      </c>
      <c r="FH11">
        <f>IF(Charts!$B$3="none",AF218,IF(CT218="",NA(),CT218))</f>
        <v>0</v>
      </c>
      <c r="FI11">
        <f>IF(Charts!$B$3="none",AG218,IF(CU218="",NA(),CU218))</f>
        <v>0</v>
      </c>
      <c r="FJ11">
        <f>IF(Charts!$B$3="none",AH218,IF(CV218="",NA(),CV218))</f>
        <v>0</v>
      </c>
      <c r="FK11">
        <f>IF(Charts!$B$3="none",AI218,IF(CW218="",NA(),CW218))</f>
        <v>0</v>
      </c>
      <c r="FL11">
        <f>IF(Charts!$B$3="none",AJ218,IF(CX218="",NA(),CX218))</f>
        <v>0</v>
      </c>
      <c r="FM11">
        <f>IF(Charts!$B$3="none",AK218,IF(CY218="",NA(),CY218))</f>
        <v>0</v>
      </c>
      <c r="FN11">
        <f>IF(Charts!$B$3="none",AL218,IF(CZ218="",NA(),CZ218))</f>
        <v>0</v>
      </c>
      <c r="FO11">
        <f>IF(Charts!$B$3="none",AM218,IF(DA218="",NA(),DA218))</f>
        <v>0</v>
      </c>
      <c r="FP11">
        <f>IF(Charts!$B$3="none",AN218,IF(DB218="",NA(),DB218))</f>
        <v>0</v>
      </c>
      <c r="FQ11">
        <f>IF(Charts!$B$3="none",AO218,IF(DC218="",NA(),DC218))</f>
        <v>0</v>
      </c>
      <c r="FR11">
        <f>IF(Charts!$B$3="none",AP218,IF(DD218="",NA(),DD218))</f>
        <v>0</v>
      </c>
      <c r="FS11">
        <f>IF(Charts!$B$3="none",AQ218,IF(DE218="",NA(),DE218))</f>
        <v>0</v>
      </c>
      <c r="FT11">
        <f>IF(Charts!$B$3="none",AR218,IF(DF218="",NA(),DF218))</f>
        <v>0</v>
      </c>
      <c r="FU11">
        <f>IF(Charts!$B$3="none",AS218,IF(DG218="",NA(),DG218))</f>
        <v>0</v>
      </c>
      <c r="FV11">
        <f>IF(Charts!$B$3="none",AT218,IF(DH218="",NA(),DH218))</f>
        <v>0</v>
      </c>
      <c r="FW11">
        <f>IF(Charts!$B$3="none",AU218,IF(DI218="",NA(),DI218))</f>
        <v>0</v>
      </c>
      <c r="FX11">
        <f>IF(Charts!$B$3="none",AV218,IF(DJ218="",NA(),DJ218))</f>
        <v>0</v>
      </c>
      <c r="FY11">
        <f>IF(Charts!$B$3="none",AW218,IF(DK218="",NA(),DK218))</f>
        <v>0</v>
      </c>
      <c r="FZ11">
        <f>IF(Charts!$B$3="none",AX218,IF(DL218="",NA(),DL218))</f>
        <v>0</v>
      </c>
      <c r="GA11">
        <f>IF(Charts!$B$3="none",AY218,IF(DM218="",NA(),DM218))</f>
        <v>0</v>
      </c>
      <c r="GB11">
        <f>IF(Charts!$B$3="none",AZ218,IF(DN218="",NA(),DN218))</f>
        <v>0</v>
      </c>
      <c r="GC11">
        <f>IF(Charts!$B$3="none",BA218,IF(DO218="",NA(),DO218))</f>
        <v>0</v>
      </c>
      <c r="GD11">
        <f>IF(Charts!$B$3="none",BB218,IF(DP218="",NA(),DP218))</f>
        <v>0</v>
      </c>
      <c r="GE11">
        <f>IF(Charts!$B$3="none",BC218,IF(DQ218="",NA(),DQ218))</f>
        <v>0</v>
      </c>
      <c r="GF11">
        <f>IF(Charts!$B$3="none",BD218,IF(DR218="",NA(),DR218))</f>
        <v>0</v>
      </c>
      <c r="GG11">
        <f>IF(Charts!$B$3="none",BE218,IF(DS218="",NA(),DS218))</f>
        <v>0</v>
      </c>
      <c r="GH11">
        <f>IF(Charts!$B$3="none",BF218,IF(DT218="",NA(),DT218))</f>
        <v>0</v>
      </c>
      <c r="GI11">
        <f>IF(Charts!$B$3="none",BG218,IF(DU218="",NA(),DU218))</f>
        <v>0</v>
      </c>
      <c r="GJ11">
        <f>IF(Charts!$B$3="none",BH218,IF(DV218="",NA(),DV218))</f>
        <v>0</v>
      </c>
      <c r="GK11">
        <f>IF(Charts!$B$3="none",BI218,IF(DW218="",NA(),DW218))</f>
        <v>0</v>
      </c>
      <c r="GL11">
        <f>IF(Charts!$B$3="none",BJ218,IF(DX218="",NA(),DX218))</f>
        <v>0</v>
      </c>
      <c r="GM11">
        <f>IF(Charts!$B$3="none",BK218,IF(DY218="",NA(),DY218))</f>
        <v>0</v>
      </c>
      <c r="GN11">
        <f>IF(Charts!$B$3="none",BL218,IF(DZ218="",NA(),DZ218))</f>
        <v>0</v>
      </c>
      <c r="GO11">
        <f>IF(Charts!$B$3="none",BM218,IF(EA218="",NA(),EA218))</f>
        <v>0</v>
      </c>
      <c r="GP11">
        <f>IF(Charts!$B$3="none",BN218,IF(EB218="",NA(),EB218))</f>
        <v>0</v>
      </c>
      <c r="GQ11">
        <f>IF(Charts!$B$3="none",BO218,IF(EC218="",NA(),EC218))</f>
        <v>0</v>
      </c>
      <c r="GR11">
        <f>IF(Charts!$B$3="none",BP218,IF(ED218="",NA(),ED218))</f>
        <v>0</v>
      </c>
    </row>
    <row r="12" spans="1:200">
      <c r="A12" t="s">
        <v>59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IFERROR(SMALL(E5:E44,ROW()-ROW($F$5)+1),"")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IFERROR(SMALL(I5:I44,ROW()-ROW($J$5)+1),"")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IFERROR(SMALL(M5:M44,ROW()-ROW($N$5)+1),"")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IFERROR(SMALL(Q5:Q44,ROW()-ROW($R$5)+1),"")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IFERROR(SMALL(U5:U44,ROW()-ROW($V$5)+1),"")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IFERROR(SMALL(Y5:Y44,ROW()-ROW($Z$5)+1),"")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IFERROR(SMALL(AC5:AC44,ROW()-ROW($AD$5)+1),"")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IFERROR(SMALL(AG5:AG44,ROW()-ROW($AH$5)+1),"")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IFERROR(SMALL(AK5:AK44,ROW()-ROW($AL$5)+1),"")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IFERROR(SMALL(AO5:AO44,ROW()-ROW($AP$5)+1),"")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IFERROR(SMALL(AS5:AS44,ROW()-ROW($AT$5)+1),"")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IFERROR(SMALL(AW5:AW44,ROW()-ROW($AX$5)+1),"")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IFERROR(SMALL(BA5:BA44,ROW()-ROW($BB$5)+1),"")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IFERROR(SMALL(BE5:BE44,ROW()-ROW($BF$5)+1),"")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IFERROR(SMALL(BI5:BI44,ROW()-ROW($BJ$5)+1),"")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IFERROR(SMALL(BM5:BM44,ROW()-ROW($BN$5)+1),"")</f>
        <v>0</v>
      </c>
      <c r="BP12">
        <f>IFERROR(SUM(BN5:BN12),"")</f>
        <v>0</v>
      </c>
      <c r="BR12">
        <v>8</v>
      </c>
      <c r="BS12" cm="1">
        <f t="array" ref="BS12">_xlfn.SWITCH(Charts!$B$3,"average", AVERAGE(INDIRECT(ADDRESS(7+3,BS$2+1,,,"Instances") &amp; ":" &amp; ADDRESS(7+3,BS$2+1))),"median", MEDIAN(INDIRECT(ADDRESS(7+3,BS$2+1,,,"Instances") &amp; ":" &amp; ADDRESS(7+3,BS$2+1))),"min", MIN(INDIRECT(ADDRESS(7+3,BS$2+1,,,"Instances") &amp; ":" &amp; ADDRESS(7+3,BS$2+1))),"max", MAX(INDIRECT(ADDRESS(7+3,BS$2+1,,,"Instances") &amp; ":" &amp; ADDRESS(7+3,BS$2+1))),"diff", MAX(INDIRECT(ADDRESS(7+3,BS$2+1,,,"Instances") &amp; ":" &amp; ADDRESS(7+3,BS$2+1)))-MIN(INDIRECT(ADDRESS(7+3,BS$2+1,,,"Instances") &amp; ":" &amp; ADDRESS(7+3,BS$2+1))))</f>
        <v>0</v>
      </c>
      <c r="BT12">
        <f>IFERROR(SMALL(BS5:BS44,ROW()-ROW($BT$5)+1),"")</f>
        <v>0</v>
      </c>
      <c r="BV12">
        <f>IFERROR(SUM(BT5:BT12),"")</f>
        <v>0</v>
      </c>
      <c r="BW12" cm="1">
        <f t="array" ref="BW12">_xlfn.SWITCH(Charts!$B$3,"average", AVERAGE(INDIRECT(ADDRESS(7+3,BW$2+1,,,"Instances") &amp; ":" &amp; ADDRESS(7+3,BW$2+1))),"median", MEDIAN(INDIRECT(ADDRESS(7+3,BW$2+1,,,"Instances") &amp; ":" &amp; ADDRESS(7+3,BW$2+1))),"min", MIN(INDIRECT(ADDRESS(7+3,BW$2+1,,,"Instances") &amp; ":" &amp; ADDRESS(7+3,BW$2+1))),"max", MAX(INDIRECT(ADDRESS(7+3,BW$2+1,,,"Instances") &amp; ":" &amp; ADDRESS(7+3,BW$2+1))),"diff", MAX(INDIRECT(ADDRESS(7+3,BW$2+1,,,"Instances") &amp; ":" &amp; ADDRESS(7+3,BW$2+1)))-MIN(INDIRECT(ADDRESS(7+3,BW$2+1,,,"Instances") &amp; ":" &amp; ADDRESS(7+3,BW$2+1))))</f>
        <v>0</v>
      </c>
      <c r="BX12">
        <f>IFERROR(SMALL(BW5:BW44,ROW()-ROW($BX$5)+1),"")</f>
        <v>0</v>
      </c>
      <c r="BZ12">
        <f>IFERROR(SUM(BX5:BX12),"")</f>
        <v>0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IFERROR(SMALL(CA5:CA44,ROW()-ROW($CB$5)+1),"")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IFERROR(SMALL(CE5:CE44,ROW()-ROW($CF$5)+1),"")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IFERROR(SMALL(CI5:CI44,ROW()-ROW($CJ$5)+1),"")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IFERROR(SMALL(CM5:CM44,ROW()-ROW($CN$5)+1),"")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IFERROR(SMALL(CQ5:CQ44,ROW()-ROW($CR$5)+1),"")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IFERROR(SMALL(CU5:CU44,ROW()-ROW($CV$5)+1),"")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IFERROR(SMALL(CY5:CY44,ROW()-ROW($CZ$5)+1),"")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IFERROR(SMALL(DC5:DC44,ROW()-ROW($DD$5)+1),"")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IFERROR(SMALL(DG5:DG44,ROW()-ROW($DH$5)+1),"")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IFERROR(SMALL(DK5:DK44,ROW()-ROW($DL$5)+1),"")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IFERROR(SMALL(DO5:DO44,ROW()-ROW($DP$5)+1),"")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IFERROR(SMALL(DS5:DS44,ROW()-ROW($DT$5)+1),"")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IFERROR(SMALL(DW5:DW44,ROW()-ROW($DX$5)+1),"")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IFERROR(SMALL(EA5:EA44,ROW()-ROW($EB$5)+1),"")</f>
        <v>0</v>
      </c>
      <c r="ED12">
        <f>IFERROR(SUM(EB5:EB12),"")</f>
        <v>0</v>
      </c>
      <c r="EG12">
        <f>IF(Charts!$B$3="none",E219,IF(BS219="",NA(),BS219))</f>
        <v>0</v>
      </c>
      <c r="EH12">
        <f>IF(Charts!$B$3="none",F219,IF(BT219="",NA(),BT219))</f>
        <v>0</v>
      </c>
      <c r="EI12">
        <f>IF(Charts!$B$3="none",G219,IF(BU219="",NA(),BU219))</f>
        <v>0</v>
      </c>
      <c r="EJ12">
        <f>IF(Charts!$B$3="none",H219,IF(BV219="",NA(),BV219))</f>
        <v>0</v>
      </c>
      <c r="EK12">
        <f>IF(Charts!$B$3="none",I219,IF(BW219="",NA(),BW219))</f>
        <v>0</v>
      </c>
      <c r="EL12">
        <f>IF(Charts!$B$3="none",J219,IF(BX219="",NA(),BX219))</f>
        <v>0</v>
      </c>
      <c r="EM12">
        <f>IF(Charts!$B$3="none",K219,IF(BY219="",NA(),BY219))</f>
        <v>0</v>
      </c>
      <c r="EN12">
        <f>IF(Charts!$B$3="none",L219,IF(BZ219="",NA(),BZ219))</f>
        <v>0</v>
      </c>
      <c r="EO12">
        <f>IF(Charts!$B$3="none",M219,IF(CA219="",NA(),CA219))</f>
        <v>0</v>
      </c>
      <c r="EP12">
        <f>IF(Charts!$B$3="none",N219,IF(CB219="",NA(),CB219))</f>
        <v>0</v>
      </c>
      <c r="EQ12">
        <f>IF(Charts!$B$3="none",O219,IF(CC219="",NA(),CC219))</f>
        <v>0</v>
      </c>
      <c r="ER12">
        <f>IF(Charts!$B$3="none",P219,IF(CD219="",NA(),CD219))</f>
        <v>0</v>
      </c>
      <c r="ES12">
        <f>IF(Charts!$B$3="none",Q219,IF(CE219="",NA(),CE219))</f>
        <v>0</v>
      </c>
      <c r="ET12">
        <f>IF(Charts!$B$3="none",R219,IF(CF219="",NA(),CF219))</f>
        <v>0</v>
      </c>
      <c r="EU12">
        <f>IF(Charts!$B$3="none",S219,IF(CG219="",NA(),CG219))</f>
        <v>0</v>
      </c>
      <c r="EV12">
        <f>IF(Charts!$B$3="none",T219,IF(CH219="",NA(),CH219))</f>
        <v>0</v>
      </c>
      <c r="EW12">
        <f>IF(Charts!$B$3="none",U219,IF(CI219="",NA(),CI219))</f>
        <v>0</v>
      </c>
      <c r="EX12">
        <f>IF(Charts!$B$3="none",V219,IF(CJ219="",NA(),CJ219))</f>
        <v>0</v>
      </c>
      <c r="EY12">
        <f>IF(Charts!$B$3="none",W219,IF(CK219="",NA(),CK219))</f>
        <v>0</v>
      </c>
      <c r="EZ12">
        <f>IF(Charts!$B$3="none",X219,IF(CL219="",NA(),CL219))</f>
        <v>0</v>
      </c>
      <c r="FA12">
        <f>IF(Charts!$B$3="none",Y219,IF(CM219="",NA(),CM219))</f>
        <v>0</v>
      </c>
      <c r="FB12">
        <f>IF(Charts!$B$3="none",Z219,IF(CN219="",NA(),CN219))</f>
        <v>0</v>
      </c>
      <c r="FC12">
        <f>IF(Charts!$B$3="none",AA219,IF(CO219="",NA(),CO219))</f>
        <v>0</v>
      </c>
      <c r="FD12">
        <f>IF(Charts!$B$3="none",AB219,IF(CP219="",NA(),CP219))</f>
        <v>0</v>
      </c>
      <c r="FE12">
        <f>IF(Charts!$B$3="none",AC219,IF(CQ219="",NA(),CQ219))</f>
        <v>0</v>
      </c>
      <c r="FF12">
        <f>IF(Charts!$B$3="none",AD219,IF(CR219="",NA(),CR219))</f>
        <v>0</v>
      </c>
      <c r="FG12">
        <f>IF(Charts!$B$3="none",AE219,IF(CS219="",NA(),CS219))</f>
        <v>0</v>
      </c>
      <c r="FH12">
        <f>IF(Charts!$B$3="none",AF219,IF(CT219="",NA(),CT219))</f>
        <v>0</v>
      </c>
      <c r="FI12">
        <f>IF(Charts!$B$3="none",AG219,IF(CU219="",NA(),CU219))</f>
        <v>0</v>
      </c>
      <c r="FJ12">
        <f>IF(Charts!$B$3="none",AH219,IF(CV219="",NA(),CV219))</f>
        <v>0</v>
      </c>
      <c r="FK12">
        <f>IF(Charts!$B$3="none",AI219,IF(CW219="",NA(),CW219))</f>
        <v>0</v>
      </c>
      <c r="FL12">
        <f>IF(Charts!$B$3="none",AJ219,IF(CX219="",NA(),CX219))</f>
        <v>0</v>
      </c>
      <c r="FM12">
        <f>IF(Charts!$B$3="none",AK219,IF(CY219="",NA(),CY219))</f>
        <v>0</v>
      </c>
      <c r="FN12">
        <f>IF(Charts!$B$3="none",AL219,IF(CZ219="",NA(),CZ219))</f>
        <v>0</v>
      </c>
      <c r="FO12">
        <f>IF(Charts!$B$3="none",AM219,IF(DA219="",NA(),DA219))</f>
        <v>0</v>
      </c>
      <c r="FP12">
        <f>IF(Charts!$B$3="none",AN219,IF(DB219="",NA(),DB219))</f>
        <v>0</v>
      </c>
      <c r="FQ12">
        <f>IF(Charts!$B$3="none",AO219,IF(DC219="",NA(),DC219))</f>
        <v>0</v>
      </c>
      <c r="FR12">
        <f>IF(Charts!$B$3="none",AP219,IF(DD219="",NA(),DD219))</f>
        <v>0</v>
      </c>
      <c r="FS12">
        <f>IF(Charts!$B$3="none",AQ219,IF(DE219="",NA(),DE219))</f>
        <v>0</v>
      </c>
      <c r="FT12">
        <f>IF(Charts!$B$3="none",AR219,IF(DF219="",NA(),DF219))</f>
        <v>0</v>
      </c>
      <c r="FU12">
        <f>IF(Charts!$B$3="none",AS219,IF(DG219="",NA(),DG219))</f>
        <v>0</v>
      </c>
      <c r="FV12">
        <f>IF(Charts!$B$3="none",AT219,IF(DH219="",NA(),DH219))</f>
        <v>0</v>
      </c>
      <c r="FW12">
        <f>IF(Charts!$B$3="none",AU219,IF(DI219="",NA(),DI219))</f>
        <v>0</v>
      </c>
      <c r="FX12">
        <f>IF(Charts!$B$3="none",AV219,IF(DJ219="",NA(),DJ219))</f>
        <v>0</v>
      </c>
      <c r="FY12">
        <f>IF(Charts!$B$3="none",AW219,IF(DK219="",NA(),DK219))</f>
        <v>0</v>
      </c>
      <c r="FZ12">
        <f>IF(Charts!$B$3="none",AX219,IF(DL219="",NA(),DL219))</f>
        <v>0</v>
      </c>
      <c r="GA12">
        <f>IF(Charts!$B$3="none",AY219,IF(DM219="",NA(),DM219))</f>
        <v>0</v>
      </c>
      <c r="GB12">
        <f>IF(Charts!$B$3="none",AZ219,IF(DN219="",NA(),DN219))</f>
        <v>0</v>
      </c>
      <c r="GC12">
        <f>IF(Charts!$B$3="none",BA219,IF(DO219="",NA(),DO219))</f>
        <v>0</v>
      </c>
      <c r="GD12">
        <f>IF(Charts!$B$3="none",BB219,IF(DP219="",NA(),DP219))</f>
        <v>0</v>
      </c>
      <c r="GE12">
        <f>IF(Charts!$B$3="none",BC219,IF(DQ219="",NA(),DQ219))</f>
        <v>0</v>
      </c>
      <c r="GF12">
        <f>IF(Charts!$B$3="none",BD219,IF(DR219="",NA(),DR219))</f>
        <v>0</v>
      </c>
      <c r="GG12">
        <f>IF(Charts!$B$3="none",BE219,IF(DS219="",NA(),DS219))</f>
        <v>0</v>
      </c>
      <c r="GH12">
        <f>IF(Charts!$B$3="none",BF219,IF(DT219="",NA(),DT219))</f>
        <v>0</v>
      </c>
      <c r="GI12">
        <f>IF(Charts!$B$3="none",BG219,IF(DU219="",NA(),DU219))</f>
        <v>0</v>
      </c>
      <c r="GJ12">
        <f>IF(Charts!$B$3="none",BH219,IF(DV219="",NA(),DV219))</f>
        <v>0</v>
      </c>
      <c r="GK12">
        <f>IF(Charts!$B$3="none",BI219,IF(DW219="",NA(),DW219))</f>
        <v>0</v>
      </c>
      <c r="GL12">
        <f>IF(Charts!$B$3="none",BJ219,IF(DX219="",NA(),DX219))</f>
        <v>0</v>
      </c>
      <c r="GM12">
        <f>IF(Charts!$B$3="none",BK219,IF(DY219="",NA(),DY219))</f>
        <v>0</v>
      </c>
      <c r="GN12">
        <f>IF(Charts!$B$3="none",BL219,IF(DZ219="",NA(),DZ219))</f>
        <v>0</v>
      </c>
      <c r="GO12">
        <f>IF(Charts!$B$3="none",BM219,IF(EA219="",NA(),EA219))</f>
        <v>0</v>
      </c>
      <c r="GP12">
        <f>IF(Charts!$B$3="none",BN219,IF(EB219="",NA(),EB219))</f>
        <v>0</v>
      </c>
      <c r="GQ12">
        <f>IF(Charts!$B$3="none",BO219,IF(EC219="",NA(),EC219))</f>
        <v>0</v>
      </c>
      <c r="GR12">
        <f>IF(Charts!$B$3="none",BP219,IF(ED219="",NA(),ED219))</f>
        <v>0</v>
      </c>
    </row>
    <row r="13" spans="1:200">
      <c r="A13" t="s">
        <v>60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IFERROR(SMALL(E5:E44,ROW()-ROW($F$5)+1),"")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IFERROR(SMALL(I5:I44,ROW()-ROW($J$5)+1),"")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IFERROR(SMALL(M5:M44,ROW()-ROW($N$5)+1),"")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IFERROR(SMALL(Q5:Q44,ROW()-ROW($R$5)+1),"")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IFERROR(SMALL(U5:U44,ROW()-ROW($V$5)+1),"")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IFERROR(SMALL(Y5:Y44,ROW()-ROW($Z$5)+1),"")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IFERROR(SMALL(AC5:AC44,ROW()-ROW($AD$5)+1),"")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IFERROR(SMALL(AG5:AG44,ROW()-ROW($AH$5)+1),"")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IFERROR(SMALL(AK5:AK44,ROW()-ROW($AL$5)+1),"")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IFERROR(SMALL(AO5:AO44,ROW()-ROW($AP$5)+1),"")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IFERROR(SMALL(AS5:AS44,ROW()-ROW($AT$5)+1),"")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IFERROR(SMALL(AW5:AW44,ROW()-ROW($AX$5)+1),"")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IFERROR(SMALL(BA5:BA44,ROW()-ROW($BB$5)+1),"")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IFERROR(SMALL(BE5:BE44,ROW()-ROW($BF$5)+1),"")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IFERROR(SMALL(BI5:BI44,ROW()-ROW($BJ$5)+1),"")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IFERROR(SMALL(BM5:BM44,ROW()-ROW($BN$5)+1),"")</f>
        <v>0</v>
      </c>
      <c r="BP13">
        <f>IFERROR(SUM(BN5:BN13),"")</f>
        <v>0</v>
      </c>
      <c r="BR13">
        <v>9</v>
      </c>
      <c r="BS13" cm="1">
        <f t="array" ref="BS13">_xlfn.SWITCH(Charts!$B$3,"average", AVERAGE(INDIRECT(ADDRESS(8+3,BS$2+1,,,"Instances") &amp; ":" &amp; ADDRESS(8+3,BS$2+1))),"median", MEDIAN(INDIRECT(ADDRESS(8+3,BS$2+1,,,"Instances") &amp; ":" &amp; ADDRESS(8+3,BS$2+1))),"min", MIN(INDIRECT(ADDRESS(8+3,BS$2+1,,,"Instances") &amp; ":" &amp; ADDRESS(8+3,BS$2+1))),"max", MAX(INDIRECT(ADDRESS(8+3,BS$2+1,,,"Instances") &amp; ":" &amp; ADDRESS(8+3,BS$2+1))),"diff", MAX(INDIRECT(ADDRESS(8+3,BS$2+1,,,"Instances") &amp; ":" &amp; ADDRESS(8+3,BS$2+1)))-MIN(INDIRECT(ADDRESS(8+3,BS$2+1,,,"Instances") &amp; ":" &amp; ADDRESS(8+3,BS$2+1))))</f>
        <v>0</v>
      </c>
      <c r="BT13">
        <f>IFERROR(SMALL(BS5:BS44,ROW()-ROW($BT$5)+1),"")</f>
        <v>0</v>
      </c>
      <c r="BV13">
        <f>IFERROR(SUM(BT5:BT13),"")</f>
        <v>0</v>
      </c>
      <c r="BW13" cm="1">
        <f t="array" ref="BW13">_xlfn.SWITCH(Charts!$B$3,"average", AVERAGE(INDIRECT(ADDRESS(8+3,BW$2+1,,,"Instances") &amp; ":" &amp; ADDRESS(8+3,BW$2+1))),"median", MEDIAN(INDIRECT(ADDRESS(8+3,BW$2+1,,,"Instances") &amp; ":" &amp; ADDRESS(8+3,BW$2+1))),"min", MIN(INDIRECT(ADDRESS(8+3,BW$2+1,,,"Instances") &amp; ":" &amp; ADDRESS(8+3,BW$2+1))),"max", MAX(INDIRECT(ADDRESS(8+3,BW$2+1,,,"Instances") &amp; ":" &amp; ADDRESS(8+3,BW$2+1))),"diff", MAX(INDIRECT(ADDRESS(8+3,BW$2+1,,,"Instances") &amp; ":" &amp; ADDRESS(8+3,BW$2+1)))-MIN(INDIRECT(ADDRESS(8+3,BW$2+1,,,"Instances") &amp; ":" &amp; ADDRESS(8+3,BW$2+1))))</f>
        <v>0</v>
      </c>
      <c r="BX13">
        <f>IFERROR(SMALL(BW5:BW44,ROW()-ROW($BX$5)+1),"")</f>
        <v>0</v>
      </c>
      <c r="BZ13">
        <f>IFERROR(SUM(BX5:BX13),"")</f>
        <v>0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IFERROR(SMALL(CA5:CA44,ROW()-ROW($CB$5)+1),"")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IFERROR(SMALL(CE5:CE44,ROW()-ROW($CF$5)+1),"")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IFERROR(SMALL(CI5:CI44,ROW()-ROW($CJ$5)+1),"")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IFERROR(SMALL(CM5:CM44,ROW()-ROW($CN$5)+1),"")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IFERROR(SMALL(CQ5:CQ44,ROW()-ROW($CR$5)+1),"")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IFERROR(SMALL(CU5:CU44,ROW()-ROW($CV$5)+1),"")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IFERROR(SMALL(CY5:CY44,ROW()-ROW($CZ$5)+1),"")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IFERROR(SMALL(DC5:DC44,ROW()-ROW($DD$5)+1),"")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IFERROR(SMALL(DG5:DG44,ROW()-ROW($DH$5)+1),"")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IFERROR(SMALL(DK5:DK44,ROW()-ROW($DL$5)+1),"")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IFERROR(SMALL(DO5:DO44,ROW()-ROW($DP$5)+1),"")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IFERROR(SMALL(DS5:DS44,ROW()-ROW($DT$5)+1),"")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IFERROR(SMALL(DW5:DW44,ROW()-ROW($DX$5)+1),"")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IFERROR(SMALL(EA5:EA44,ROW()-ROW($EB$5)+1),"")</f>
        <v>0</v>
      </c>
      <c r="ED13">
        <f>IFERROR(SUM(EB5:EB13),"")</f>
        <v>0</v>
      </c>
      <c r="EG13">
        <f>IF(Charts!$B$3="none",E220,IF(BS220="",NA(),BS220))</f>
        <v>0</v>
      </c>
      <c r="EH13">
        <f>IF(Charts!$B$3="none",F220,IF(BT220="",NA(),BT220))</f>
        <v>0</v>
      </c>
      <c r="EI13">
        <f>IF(Charts!$B$3="none",G220,IF(BU220="",NA(),BU220))</f>
        <v>0</v>
      </c>
      <c r="EJ13">
        <f>IF(Charts!$B$3="none",H220,IF(BV220="",NA(),BV220))</f>
        <v>0</v>
      </c>
      <c r="EK13">
        <f>IF(Charts!$B$3="none",I220,IF(BW220="",NA(),BW220))</f>
        <v>0</v>
      </c>
      <c r="EL13">
        <f>IF(Charts!$B$3="none",J220,IF(BX220="",NA(),BX220))</f>
        <v>0</v>
      </c>
      <c r="EM13">
        <f>IF(Charts!$B$3="none",K220,IF(BY220="",NA(),BY220))</f>
        <v>0</v>
      </c>
      <c r="EN13">
        <f>IF(Charts!$B$3="none",L220,IF(BZ220="",NA(),BZ220))</f>
        <v>0</v>
      </c>
      <c r="EO13">
        <f>IF(Charts!$B$3="none",M220,IF(CA220="",NA(),CA220))</f>
        <v>0</v>
      </c>
      <c r="EP13">
        <f>IF(Charts!$B$3="none",N220,IF(CB220="",NA(),CB220))</f>
        <v>0</v>
      </c>
      <c r="EQ13">
        <f>IF(Charts!$B$3="none",O220,IF(CC220="",NA(),CC220))</f>
        <v>0</v>
      </c>
      <c r="ER13">
        <f>IF(Charts!$B$3="none",P220,IF(CD220="",NA(),CD220))</f>
        <v>0</v>
      </c>
      <c r="ES13">
        <f>IF(Charts!$B$3="none",Q220,IF(CE220="",NA(),CE220))</f>
        <v>0</v>
      </c>
      <c r="ET13">
        <f>IF(Charts!$B$3="none",R220,IF(CF220="",NA(),CF220))</f>
        <v>0</v>
      </c>
      <c r="EU13">
        <f>IF(Charts!$B$3="none",S220,IF(CG220="",NA(),CG220))</f>
        <v>0</v>
      </c>
      <c r="EV13">
        <f>IF(Charts!$B$3="none",T220,IF(CH220="",NA(),CH220))</f>
        <v>0</v>
      </c>
      <c r="EW13">
        <f>IF(Charts!$B$3="none",U220,IF(CI220="",NA(),CI220))</f>
        <v>0</v>
      </c>
      <c r="EX13">
        <f>IF(Charts!$B$3="none",V220,IF(CJ220="",NA(),CJ220))</f>
        <v>0</v>
      </c>
      <c r="EY13">
        <f>IF(Charts!$B$3="none",W220,IF(CK220="",NA(),CK220))</f>
        <v>0</v>
      </c>
      <c r="EZ13">
        <f>IF(Charts!$B$3="none",X220,IF(CL220="",NA(),CL220))</f>
        <v>0</v>
      </c>
      <c r="FA13">
        <f>IF(Charts!$B$3="none",Y220,IF(CM220="",NA(),CM220))</f>
        <v>0</v>
      </c>
      <c r="FB13">
        <f>IF(Charts!$B$3="none",Z220,IF(CN220="",NA(),CN220))</f>
        <v>0</v>
      </c>
      <c r="FC13">
        <f>IF(Charts!$B$3="none",AA220,IF(CO220="",NA(),CO220))</f>
        <v>0</v>
      </c>
      <c r="FD13">
        <f>IF(Charts!$B$3="none",AB220,IF(CP220="",NA(),CP220))</f>
        <v>0</v>
      </c>
      <c r="FE13">
        <f>IF(Charts!$B$3="none",AC220,IF(CQ220="",NA(),CQ220))</f>
        <v>0</v>
      </c>
      <c r="FF13">
        <f>IF(Charts!$B$3="none",AD220,IF(CR220="",NA(),CR220))</f>
        <v>0</v>
      </c>
      <c r="FG13">
        <f>IF(Charts!$B$3="none",AE220,IF(CS220="",NA(),CS220))</f>
        <v>0</v>
      </c>
      <c r="FH13">
        <f>IF(Charts!$B$3="none",AF220,IF(CT220="",NA(),CT220))</f>
        <v>0</v>
      </c>
      <c r="FI13">
        <f>IF(Charts!$B$3="none",AG220,IF(CU220="",NA(),CU220))</f>
        <v>0</v>
      </c>
      <c r="FJ13">
        <f>IF(Charts!$B$3="none",AH220,IF(CV220="",NA(),CV220))</f>
        <v>0</v>
      </c>
      <c r="FK13">
        <f>IF(Charts!$B$3="none",AI220,IF(CW220="",NA(),CW220))</f>
        <v>0</v>
      </c>
      <c r="FL13">
        <f>IF(Charts!$B$3="none",AJ220,IF(CX220="",NA(),CX220))</f>
        <v>0</v>
      </c>
      <c r="FM13">
        <f>IF(Charts!$B$3="none",AK220,IF(CY220="",NA(),CY220))</f>
        <v>0</v>
      </c>
      <c r="FN13">
        <f>IF(Charts!$B$3="none",AL220,IF(CZ220="",NA(),CZ220))</f>
        <v>0</v>
      </c>
      <c r="FO13">
        <f>IF(Charts!$B$3="none",AM220,IF(DA220="",NA(),DA220))</f>
        <v>0</v>
      </c>
      <c r="FP13">
        <f>IF(Charts!$B$3="none",AN220,IF(DB220="",NA(),DB220))</f>
        <v>0</v>
      </c>
      <c r="FQ13">
        <f>IF(Charts!$B$3="none",AO220,IF(DC220="",NA(),DC220))</f>
        <v>0</v>
      </c>
      <c r="FR13">
        <f>IF(Charts!$B$3="none",AP220,IF(DD220="",NA(),DD220))</f>
        <v>0</v>
      </c>
      <c r="FS13">
        <f>IF(Charts!$B$3="none",AQ220,IF(DE220="",NA(),DE220))</f>
        <v>0</v>
      </c>
      <c r="FT13">
        <f>IF(Charts!$B$3="none",AR220,IF(DF220="",NA(),DF220))</f>
        <v>0</v>
      </c>
      <c r="FU13">
        <f>IF(Charts!$B$3="none",AS220,IF(DG220="",NA(),DG220))</f>
        <v>0</v>
      </c>
      <c r="FV13">
        <f>IF(Charts!$B$3="none",AT220,IF(DH220="",NA(),DH220))</f>
        <v>0</v>
      </c>
      <c r="FW13">
        <f>IF(Charts!$B$3="none",AU220,IF(DI220="",NA(),DI220))</f>
        <v>0</v>
      </c>
      <c r="FX13">
        <f>IF(Charts!$B$3="none",AV220,IF(DJ220="",NA(),DJ220))</f>
        <v>0</v>
      </c>
      <c r="FY13">
        <f>IF(Charts!$B$3="none",AW220,IF(DK220="",NA(),DK220))</f>
        <v>0</v>
      </c>
      <c r="FZ13">
        <f>IF(Charts!$B$3="none",AX220,IF(DL220="",NA(),DL220))</f>
        <v>0</v>
      </c>
      <c r="GA13">
        <f>IF(Charts!$B$3="none",AY220,IF(DM220="",NA(),DM220))</f>
        <v>0</v>
      </c>
      <c r="GB13">
        <f>IF(Charts!$B$3="none",AZ220,IF(DN220="",NA(),DN220))</f>
        <v>0</v>
      </c>
      <c r="GC13">
        <f>IF(Charts!$B$3="none",BA220,IF(DO220="",NA(),DO220))</f>
        <v>0</v>
      </c>
      <c r="GD13">
        <f>IF(Charts!$B$3="none",BB220,IF(DP220="",NA(),DP220))</f>
        <v>0</v>
      </c>
      <c r="GE13">
        <f>IF(Charts!$B$3="none",BC220,IF(DQ220="",NA(),DQ220))</f>
        <v>0</v>
      </c>
      <c r="GF13">
        <f>IF(Charts!$B$3="none",BD220,IF(DR220="",NA(),DR220))</f>
        <v>0</v>
      </c>
      <c r="GG13">
        <f>IF(Charts!$B$3="none",BE220,IF(DS220="",NA(),DS220))</f>
        <v>0</v>
      </c>
      <c r="GH13">
        <f>IF(Charts!$B$3="none",BF220,IF(DT220="",NA(),DT220))</f>
        <v>0</v>
      </c>
      <c r="GI13">
        <f>IF(Charts!$B$3="none",BG220,IF(DU220="",NA(),DU220))</f>
        <v>0</v>
      </c>
      <c r="GJ13">
        <f>IF(Charts!$B$3="none",BH220,IF(DV220="",NA(),DV220))</f>
        <v>0</v>
      </c>
      <c r="GK13">
        <f>IF(Charts!$B$3="none",BI220,IF(DW220="",NA(),DW220))</f>
        <v>0</v>
      </c>
      <c r="GL13">
        <f>IF(Charts!$B$3="none",BJ220,IF(DX220="",NA(),DX220))</f>
        <v>0</v>
      </c>
      <c r="GM13">
        <f>IF(Charts!$B$3="none",BK220,IF(DY220="",NA(),DY220))</f>
        <v>0</v>
      </c>
      <c r="GN13">
        <f>IF(Charts!$B$3="none",BL220,IF(DZ220="",NA(),DZ220))</f>
        <v>0</v>
      </c>
      <c r="GO13">
        <f>IF(Charts!$B$3="none",BM220,IF(EA220="",NA(),EA220))</f>
        <v>0</v>
      </c>
      <c r="GP13">
        <f>IF(Charts!$B$3="none",BN220,IF(EB220="",NA(),EB220))</f>
        <v>0</v>
      </c>
      <c r="GQ13">
        <f>IF(Charts!$B$3="none",BO220,IF(EC220="",NA(),EC220))</f>
        <v>0</v>
      </c>
      <c r="GR13">
        <f>IF(Charts!$B$3="none",BP220,IF(ED220="",NA(),ED220))</f>
        <v>0</v>
      </c>
    </row>
    <row r="14" spans="1:200">
      <c r="A14" t="s">
        <v>61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IFERROR(SMALL(E5:E44,ROW()-ROW($F$5)+1),"")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IFERROR(SMALL(I5:I44,ROW()-ROW($J$5)+1),"")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IFERROR(SMALL(M5:M44,ROW()-ROW($N$5)+1),"")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IFERROR(SMALL(Q5:Q44,ROW()-ROW($R$5)+1),"")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IFERROR(SMALL(U5:U44,ROW()-ROW($V$5)+1),"")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IFERROR(SMALL(Y5:Y44,ROW()-ROW($Z$5)+1),"")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IFERROR(SMALL(AC5:AC44,ROW()-ROW($AD$5)+1),"")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IFERROR(SMALL(AG5:AG44,ROW()-ROW($AH$5)+1),"")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IFERROR(SMALL(AK5:AK44,ROW()-ROW($AL$5)+1),"")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IFERROR(SMALL(AO5:AO44,ROW()-ROW($AP$5)+1),"")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IFERROR(SMALL(AS5:AS44,ROW()-ROW($AT$5)+1),"")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IFERROR(SMALL(AW5:AW44,ROW()-ROW($AX$5)+1),"")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IFERROR(SMALL(BA5:BA44,ROW()-ROW($BB$5)+1),"")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IFERROR(SMALL(BE5:BE44,ROW()-ROW($BF$5)+1),"")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IFERROR(SMALL(BI5:BI44,ROW()-ROW($BJ$5)+1),"")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IFERROR(SMALL(BM5:BM44,ROW()-ROW($BN$5)+1),"")</f>
        <v>0</v>
      </c>
      <c r="BP14">
        <f>IFERROR(SUM(BN5:BN14),"")</f>
        <v>0</v>
      </c>
      <c r="BR14">
        <v>10</v>
      </c>
      <c r="BS14" cm="1">
        <f t="array" ref="BS14">_xlfn.SWITCH(Charts!$B$3,"average", AVERAGE(INDIRECT(ADDRESS(9+3,BS$2+1,,,"Instances") &amp; ":" &amp; ADDRESS(9+3,BS$2+1))),"median", MEDIAN(INDIRECT(ADDRESS(9+3,BS$2+1,,,"Instances") &amp; ":" &amp; ADDRESS(9+3,BS$2+1))),"min", MIN(INDIRECT(ADDRESS(9+3,BS$2+1,,,"Instances") &amp; ":" &amp; ADDRESS(9+3,BS$2+1))),"max", MAX(INDIRECT(ADDRESS(9+3,BS$2+1,,,"Instances") &amp; ":" &amp; ADDRESS(9+3,BS$2+1))),"diff", MAX(INDIRECT(ADDRESS(9+3,BS$2+1,,,"Instances") &amp; ":" &amp; ADDRESS(9+3,BS$2+1)))-MIN(INDIRECT(ADDRESS(9+3,BS$2+1,,,"Instances") &amp; ":" &amp; ADDRESS(9+3,BS$2+1))))</f>
        <v>0</v>
      </c>
      <c r="BT14">
        <f>IFERROR(SMALL(BS5:BS44,ROW()-ROW($BT$5)+1),"")</f>
        <v>0</v>
      </c>
      <c r="BV14">
        <f>IFERROR(SUM(BT5:BT14),"")</f>
        <v>0</v>
      </c>
      <c r="BW14" cm="1">
        <f t="array" ref="BW14">_xlfn.SWITCH(Charts!$B$3,"average", AVERAGE(INDIRECT(ADDRESS(9+3,BW$2+1,,,"Instances") &amp; ":" &amp; ADDRESS(9+3,BW$2+1))),"median", MEDIAN(INDIRECT(ADDRESS(9+3,BW$2+1,,,"Instances") &amp; ":" &amp; ADDRESS(9+3,BW$2+1))),"min", MIN(INDIRECT(ADDRESS(9+3,BW$2+1,,,"Instances") &amp; ":" &amp; ADDRESS(9+3,BW$2+1))),"max", MAX(INDIRECT(ADDRESS(9+3,BW$2+1,,,"Instances") &amp; ":" &amp; ADDRESS(9+3,BW$2+1))),"diff", MAX(INDIRECT(ADDRESS(9+3,BW$2+1,,,"Instances") &amp; ":" &amp; ADDRESS(9+3,BW$2+1)))-MIN(INDIRECT(ADDRESS(9+3,BW$2+1,,,"Instances") &amp; ":" &amp; ADDRESS(9+3,BW$2+1))))</f>
        <v>0</v>
      </c>
      <c r="BX14">
        <f>IFERROR(SMALL(BW5:BW44,ROW()-ROW($BX$5)+1),"")</f>
        <v>0</v>
      </c>
      <c r="BZ14">
        <f>IFERROR(SUM(BX5:BX14),"")</f>
        <v>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IFERROR(SMALL(CA5:CA44,ROW()-ROW($CB$5)+1),"")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IFERROR(SMALL(CE5:CE44,ROW()-ROW($CF$5)+1),"")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IFERROR(SMALL(CI5:CI44,ROW()-ROW($CJ$5)+1),"")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IFERROR(SMALL(CM5:CM44,ROW()-ROW($CN$5)+1),"")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IFERROR(SMALL(CQ5:CQ44,ROW()-ROW($CR$5)+1),"")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IFERROR(SMALL(CU5:CU44,ROW()-ROW($CV$5)+1),"")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IFERROR(SMALL(CY5:CY44,ROW()-ROW($CZ$5)+1),"")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IFERROR(SMALL(DC5:DC44,ROW()-ROW($DD$5)+1),"")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IFERROR(SMALL(DG5:DG44,ROW()-ROW($DH$5)+1),"")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IFERROR(SMALL(DK5:DK44,ROW()-ROW($DL$5)+1),"")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IFERROR(SMALL(DO5:DO44,ROW()-ROW($DP$5)+1),"")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IFERROR(SMALL(DS5:DS44,ROW()-ROW($DT$5)+1),"")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IFERROR(SMALL(DW5:DW44,ROW()-ROW($DX$5)+1),"")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IFERROR(SMALL(EA5:EA44,ROW()-ROW($EB$5)+1),"")</f>
        <v>0</v>
      </c>
      <c r="ED14">
        <f>IFERROR(SUM(EB5:EB14),"")</f>
        <v>0</v>
      </c>
      <c r="EG14">
        <f>IF(Charts!$B$3="none",E221,IF(BS221="",NA(),BS221))</f>
        <v>0</v>
      </c>
      <c r="EH14">
        <f>IF(Charts!$B$3="none",F221,IF(BT221="",NA(),BT221))</f>
        <v>0</v>
      </c>
      <c r="EI14">
        <f>IF(Charts!$B$3="none",G221,IF(BU221="",NA(),BU221))</f>
        <v>0</v>
      </c>
      <c r="EJ14">
        <f>IF(Charts!$B$3="none",H221,IF(BV221="",NA(),BV221))</f>
        <v>0</v>
      </c>
      <c r="EK14">
        <f>IF(Charts!$B$3="none",I221,IF(BW221="",NA(),BW221))</f>
        <v>0</v>
      </c>
      <c r="EL14">
        <f>IF(Charts!$B$3="none",J221,IF(BX221="",NA(),BX221))</f>
        <v>0</v>
      </c>
      <c r="EM14">
        <f>IF(Charts!$B$3="none",K221,IF(BY221="",NA(),BY221))</f>
        <v>0</v>
      </c>
      <c r="EN14">
        <f>IF(Charts!$B$3="none",L221,IF(BZ221="",NA(),BZ221))</f>
        <v>0</v>
      </c>
      <c r="EO14">
        <f>IF(Charts!$B$3="none",M221,IF(CA221="",NA(),CA221))</f>
        <v>0</v>
      </c>
      <c r="EP14">
        <f>IF(Charts!$B$3="none",N221,IF(CB221="",NA(),CB221))</f>
        <v>0</v>
      </c>
      <c r="EQ14">
        <f>IF(Charts!$B$3="none",O221,IF(CC221="",NA(),CC221))</f>
        <v>0</v>
      </c>
      <c r="ER14">
        <f>IF(Charts!$B$3="none",P221,IF(CD221="",NA(),CD221))</f>
        <v>0</v>
      </c>
      <c r="ES14">
        <f>IF(Charts!$B$3="none",Q221,IF(CE221="",NA(),CE221))</f>
        <v>0</v>
      </c>
      <c r="ET14">
        <f>IF(Charts!$B$3="none",R221,IF(CF221="",NA(),CF221))</f>
        <v>0</v>
      </c>
      <c r="EU14">
        <f>IF(Charts!$B$3="none",S221,IF(CG221="",NA(),CG221))</f>
        <v>0</v>
      </c>
      <c r="EV14">
        <f>IF(Charts!$B$3="none",T221,IF(CH221="",NA(),CH221))</f>
        <v>0</v>
      </c>
      <c r="EW14">
        <f>IF(Charts!$B$3="none",U221,IF(CI221="",NA(),CI221))</f>
        <v>0</v>
      </c>
      <c r="EX14">
        <f>IF(Charts!$B$3="none",V221,IF(CJ221="",NA(),CJ221))</f>
        <v>0</v>
      </c>
      <c r="EY14">
        <f>IF(Charts!$B$3="none",W221,IF(CK221="",NA(),CK221))</f>
        <v>0</v>
      </c>
      <c r="EZ14">
        <f>IF(Charts!$B$3="none",X221,IF(CL221="",NA(),CL221))</f>
        <v>0</v>
      </c>
      <c r="FA14">
        <f>IF(Charts!$B$3="none",Y221,IF(CM221="",NA(),CM221))</f>
        <v>0</v>
      </c>
      <c r="FB14">
        <f>IF(Charts!$B$3="none",Z221,IF(CN221="",NA(),CN221))</f>
        <v>0</v>
      </c>
      <c r="FC14">
        <f>IF(Charts!$B$3="none",AA221,IF(CO221="",NA(),CO221))</f>
        <v>0</v>
      </c>
      <c r="FD14">
        <f>IF(Charts!$B$3="none",AB221,IF(CP221="",NA(),CP221))</f>
        <v>0</v>
      </c>
      <c r="FE14">
        <f>IF(Charts!$B$3="none",AC221,IF(CQ221="",NA(),CQ221))</f>
        <v>0</v>
      </c>
      <c r="FF14">
        <f>IF(Charts!$B$3="none",AD221,IF(CR221="",NA(),CR221))</f>
        <v>0</v>
      </c>
      <c r="FG14">
        <f>IF(Charts!$B$3="none",AE221,IF(CS221="",NA(),CS221))</f>
        <v>0</v>
      </c>
      <c r="FH14">
        <f>IF(Charts!$B$3="none",AF221,IF(CT221="",NA(),CT221))</f>
        <v>0</v>
      </c>
      <c r="FI14">
        <f>IF(Charts!$B$3="none",AG221,IF(CU221="",NA(),CU221))</f>
        <v>0</v>
      </c>
      <c r="FJ14">
        <f>IF(Charts!$B$3="none",AH221,IF(CV221="",NA(),CV221))</f>
        <v>0</v>
      </c>
      <c r="FK14">
        <f>IF(Charts!$B$3="none",AI221,IF(CW221="",NA(),CW221))</f>
        <v>0</v>
      </c>
      <c r="FL14">
        <f>IF(Charts!$B$3="none",AJ221,IF(CX221="",NA(),CX221))</f>
        <v>0</v>
      </c>
      <c r="FM14">
        <f>IF(Charts!$B$3="none",AK221,IF(CY221="",NA(),CY221))</f>
        <v>0</v>
      </c>
      <c r="FN14">
        <f>IF(Charts!$B$3="none",AL221,IF(CZ221="",NA(),CZ221))</f>
        <v>0</v>
      </c>
      <c r="FO14">
        <f>IF(Charts!$B$3="none",AM221,IF(DA221="",NA(),DA221))</f>
        <v>0</v>
      </c>
      <c r="FP14">
        <f>IF(Charts!$B$3="none",AN221,IF(DB221="",NA(),DB221))</f>
        <v>0</v>
      </c>
      <c r="FQ14">
        <f>IF(Charts!$B$3="none",AO221,IF(DC221="",NA(),DC221))</f>
        <v>0</v>
      </c>
      <c r="FR14">
        <f>IF(Charts!$B$3="none",AP221,IF(DD221="",NA(),DD221))</f>
        <v>0</v>
      </c>
      <c r="FS14">
        <f>IF(Charts!$B$3="none",AQ221,IF(DE221="",NA(),DE221))</f>
        <v>0</v>
      </c>
      <c r="FT14">
        <f>IF(Charts!$B$3="none",AR221,IF(DF221="",NA(),DF221))</f>
        <v>0</v>
      </c>
      <c r="FU14">
        <f>IF(Charts!$B$3="none",AS221,IF(DG221="",NA(),DG221))</f>
        <v>0</v>
      </c>
      <c r="FV14">
        <f>IF(Charts!$B$3="none",AT221,IF(DH221="",NA(),DH221))</f>
        <v>0</v>
      </c>
      <c r="FW14">
        <f>IF(Charts!$B$3="none",AU221,IF(DI221="",NA(),DI221))</f>
        <v>0</v>
      </c>
      <c r="FX14">
        <f>IF(Charts!$B$3="none",AV221,IF(DJ221="",NA(),DJ221))</f>
        <v>0</v>
      </c>
      <c r="FY14">
        <f>IF(Charts!$B$3="none",AW221,IF(DK221="",NA(),DK221))</f>
        <v>0</v>
      </c>
      <c r="FZ14">
        <f>IF(Charts!$B$3="none",AX221,IF(DL221="",NA(),DL221))</f>
        <v>0</v>
      </c>
      <c r="GA14">
        <f>IF(Charts!$B$3="none",AY221,IF(DM221="",NA(),DM221))</f>
        <v>0</v>
      </c>
      <c r="GB14">
        <f>IF(Charts!$B$3="none",AZ221,IF(DN221="",NA(),DN221))</f>
        <v>0</v>
      </c>
      <c r="GC14">
        <f>IF(Charts!$B$3="none",BA221,IF(DO221="",NA(),DO221))</f>
        <v>0</v>
      </c>
      <c r="GD14">
        <f>IF(Charts!$B$3="none",BB221,IF(DP221="",NA(),DP221))</f>
        <v>0</v>
      </c>
      <c r="GE14">
        <f>IF(Charts!$B$3="none",BC221,IF(DQ221="",NA(),DQ221))</f>
        <v>0</v>
      </c>
      <c r="GF14">
        <f>IF(Charts!$B$3="none",BD221,IF(DR221="",NA(),DR221))</f>
        <v>0</v>
      </c>
      <c r="GG14">
        <f>IF(Charts!$B$3="none",BE221,IF(DS221="",NA(),DS221))</f>
        <v>0</v>
      </c>
      <c r="GH14">
        <f>IF(Charts!$B$3="none",BF221,IF(DT221="",NA(),DT221))</f>
        <v>0</v>
      </c>
      <c r="GI14">
        <f>IF(Charts!$B$3="none",BG221,IF(DU221="",NA(),DU221))</f>
        <v>0</v>
      </c>
      <c r="GJ14">
        <f>IF(Charts!$B$3="none",BH221,IF(DV221="",NA(),DV221))</f>
        <v>0</v>
      </c>
      <c r="GK14">
        <f>IF(Charts!$B$3="none",BI221,IF(DW221="",NA(),DW221))</f>
        <v>0</v>
      </c>
      <c r="GL14">
        <f>IF(Charts!$B$3="none",BJ221,IF(DX221="",NA(),DX221))</f>
        <v>0</v>
      </c>
      <c r="GM14">
        <f>IF(Charts!$B$3="none",BK221,IF(DY221="",NA(),DY221))</f>
        <v>0</v>
      </c>
      <c r="GN14">
        <f>IF(Charts!$B$3="none",BL221,IF(DZ221="",NA(),DZ221))</f>
        <v>0</v>
      </c>
      <c r="GO14">
        <f>IF(Charts!$B$3="none",BM221,IF(EA221="",NA(),EA221))</f>
        <v>0</v>
      </c>
      <c r="GP14">
        <f>IF(Charts!$B$3="none",BN221,IF(EB221="",NA(),EB221))</f>
        <v>0</v>
      </c>
      <c r="GQ14">
        <f>IF(Charts!$B$3="none",BO221,IF(EC221="",NA(),EC221))</f>
        <v>0</v>
      </c>
      <c r="GR14">
        <f>IF(Charts!$B$3="none",BP221,IF(ED221="",NA(),ED221))</f>
        <v>0</v>
      </c>
    </row>
    <row r="15" spans="1:200">
      <c r="A15" t="s">
        <v>62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IFERROR(SMALL(E5:E44,ROW()-ROW($F$5)+1),"")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IFERROR(SMALL(I5:I44,ROW()-ROW($J$5)+1),"")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IFERROR(SMALL(M5:M44,ROW()-ROW($N$5)+1),"")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IFERROR(SMALL(Q5:Q44,ROW()-ROW($R$5)+1),"")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IFERROR(SMALL(U5:U44,ROW()-ROW($V$5)+1),"")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IFERROR(SMALL(Y5:Y44,ROW()-ROW($Z$5)+1),"")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IFERROR(SMALL(AC5:AC44,ROW()-ROW($AD$5)+1),"")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IFERROR(SMALL(AG5:AG44,ROW()-ROW($AH$5)+1),"")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IFERROR(SMALL(AK5:AK44,ROW()-ROW($AL$5)+1),"")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IFERROR(SMALL(AO5:AO44,ROW()-ROW($AP$5)+1),"")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IFERROR(SMALL(AS5:AS44,ROW()-ROW($AT$5)+1),"")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IFERROR(SMALL(AW5:AW44,ROW()-ROW($AX$5)+1),"")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IFERROR(SMALL(BA5:BA44,ROW()-ROW($BB$5)+1),"")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IFERROR(SMALL(BE5:BE44,ROW()-ROW($BF$5)+1),"")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IFERROR(SMALL(BI5:BI44,ROW()-ROW($BJ$5)+1),"")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IFERROR(SMALL(BM5:BM44,ROW()-ROW($BN$5)+1),"")</f>
        <v>0</v>
      </c>
      <c r="BP15">
        <f>IFERROR(SUM(BN5:BN15),"")</f>
        <v>0</v>
      </c>
      <c r="BR15">
        <v>11</v>
      </c>
      <c r="BS15" cm="1">
        <f t="array" ref="BS15">_xlfn.SWITCH(Charts!$B$3,"average", AVERAGE(INDIRECT(ADDRESS(10+3,BS$2+1,,,"Instances") &amp; ":" &amp; ADDRESS(10+3,BS$2+1))),"median", MEDIAN(INDIRECT(ADDRESS(10+3,BS$2+1,,,"Instances") &amp; ":" &amp; ADDRESS(10+3,BS$2+1))),"min", MIN(INDIRECT(ADDRESS(10+3,BS$2+1,,,"Instances") &amp; ":" &amp; ADDRESS(10+3,BS$2+1))),"max", MAX(INDIRECT(ADDRESS(10+3,BS$2+1,,,"Instances") &amp; ":" &amp; ADDRESS(10+3,BS$2+1))),"diff", MAX(INDIRECT(ADDRESS(10+3,BS$2+1,,,"Instances") &amp; ":" &amp; ADDRESS(10+3,BS$2+1)))-MIN(INDIRECT(ADDRESS(10+3,BS$2+1,,,"Instances") &amp; ":" &amp; ADDRESS(10+3,BS$2+1))))</f>
        <v>0</v>
      </c>
      <c r="BT15">
        <f>IFERROR(SMALL(BS5:BS44,ROW()-ROW($BT$5)+1),"")</f>
        <v>0</v>
      </c>
      <c r="BV15">
        <f>IFERROR(SUM(BT5:BT15),"")</f>
        <v>0</v>
      </c>
      <c r="BW15" cm="1">
        <f t="array" ref="BW15">_xlfn.SWITCH(Charts!$B$3,"average", AVERAGE(INDIRECT(ADDRESS(10+3,BW$2+1,,,"Instances") &amp; ":" &amp; ADDRESS(10+3,BW$2+1))),"median", MEDIAN(INDIRECT(ADDRESS(10+3,BW$2+1,,,"Instances") &amp; ":" &amp; ADDRESS(10+3,BW$2+1))),"min", MIN(INDIRECT(ADDRESS(10+3,BW$2+1,,,"Instances") &amp; ":" &amp; ADDRESS(10+3,BW$2+1))),"max", MAX(INDIRECT(ADDRESS(10+3,BW$2+1,,,"Instances") &amp; ":" &amp; ADDRESS(10+3,BW$2+1))),"diff", MAX(INDIRECT(ADDRESS(10+3,BW$2+1,,,"Instances") &amp; ":" &amp; ADDRESS(10+3,BW$2+1)))-MIN(INDIRECT(ADDRESS(10+3,BW$2+1,,,"Instances") &amp; ":" &amp; ADDRESS(10+3,BW$2+1))))</f>
        <v>0</v>
      </c>
      <c r="BX15">
        <f>IFERROR(SMALL(BW5:BW44,ROW()-ROW($BX$5)+1),"")</f>
        <v>0</v>
      </c>
      <c r="BZ15">
        <f>IFERROR(SUM(BX5:BX15),"")</f>
        <v>0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IFERROR(SMALL(CA5:CA44,ROW()-ROW($CB$5)+1),"")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IFERROR(SMALL(CE5:CE44,ROW()-ROW($CF$5)+1),"")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IFERROR(SMALL(CI5:CI44,ROW()-ROW($CJ$5)+1),"")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IFERROR(SMALL(CM5:CM44,ROW()-ROW($CN$5)+1),"")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IFERROR(SMALL(CQ5:CQ44,ROW()-ROW($CR$5)+1),"")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IFERROR(SMALL(CU5:CU44,ROW()-ROW($CV$5)+1),"")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IFERROR(SMALL(CY5:CY44,ROW()-ROW($CZ$5)+1),"")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IFERROR(SMALL(DC5:DC44,ROW()-ROW($DD$5)+1),"")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IFERROR(SMALL(DG5:DG44,ROW()-ROW($DH$5)+1),"")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IFERROR(SMALL(DK5:DK44,ROW()-ROW($DL$5)+1),"")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IFERROR(SMALL(DO5:DO44,ROW()-ROW($DP$5)+1),"")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IFERROR(SMALL(DS5:DS44,ROW()-ROW($DT$5)+1),"")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IFERROR(SMALL(DW5:DW44,ROW()-ROW($DX$5)+1),"")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IFERROR(SMALL(EA5:EA44,ROW()-ROW($EB$5)+1),"")</f>
        <v>0</v>
      </c>
      <c r="ED15">
        <f>IFERROR(SUM(EB5:EB15),"")</f>
        <v>0</v>
      </c>
      <c r="EG15">
        <f>IF(Charts!$B$3="none",E222,IF(BS222="",NA(),BS222))</f>
        <v>0</v>
      </c>
      <c r="EH15">
        <f>IF(Charts!$B$3="none",F222,IF(BT222="",NA(),BT222))</f>
        <v>0</v>
      </c>
      <c r="EI15">
        <f>IF(Charts!$B$3="none",G222,IF(BU222="",NA(),BU222))</f>
        <v>0</v>
      </c>
      <c r="EJ15">
        <f>IF(Charts!$B$3="none",H222,IF(BV222="",NA(),BV222))</f>
        <v>0</v>
      </c>
      <c r="EK15">
        <f>IF(Charts!$B$3="none",I222,IF(BW222="",NA(),BW222))</f>
        <v>0</v>
      </c>
      <c r="EL15">
        <f>IF(Charts!$B$3="none",J222,IF(BX222="",NA(),BX222))</f>
        <v>0</v>
      </c>
      <c r="EM15">
        <f>IF(Charts!$B$3="none",K222,IF(BY222="",NA(),BY222))</f>
        <v>0</v>
      </c>
      <c r="EN15">
        <f>IF(Charts!$B$3="none",L222,IF(BZ222="",NA(),BZ222))</f>
        <v>0</v>
      </c>
      <c r="EO15">
        <f>IF(Charts!$B$3="none",M222,IF(CA222="",NA(),CA222))</f>
        <v>0</v>
      </c>
      <c r="EP15">
        <f>IF(Charts!$B$3="none",N222,IF(CB222="",NA(),CB222))</f>
        <v>0</v>
      </c>
      <c r="EQ15">
        <f>IF(Charts!$B$3="none",O222,IF(CC222="",NA(),CC222))</f>
        <v>0</v>
      </c>
      <c r="ER15">
        <f>IF(Charts!$B$3="none",P222,IF(CD222="",NA(),CD222))</f>
        <v>0</v>
      </c>
      <c r="ES15">
        <f>IF(Charts!$B$3="none",Q222,IF(CE222="",NA(),CE222))</f>
        <v>0</v>
      </c>
      <c r="ET15">
        <f>IF(Charts!$B$3="none",R222,IF(CF222="",NA(),CF222))</f>
        <v>0</v>
      </c>
      <c r="EU15">
        <f>IF(Charts!$B$3="none",S222,IF(CG222="",NA(),CG222))</f>
        <v>0</v>
      </c>
      <c r="EV15">
        <f>IF(Charts!$B$3="none",T222,IF(CH222="",NA(),CH222))</f>
        <v>0</v>
      </c>
      <c r="EW15">
        <f>IF(Charts!$B$3="none",U222,IF(CI222="",NA(),CI222))</f>
        <v>0</v>
      </c>
      <c r="EX15">
        <f>IF(Charts!$B$3="none",V222,IF(CJ222="",NA(),CJ222))</f>
        <v>0</v>
      </c>
      <c r="EY15">
        <f>IF(Charts!$B$3="none",W222,IF(CK222="",NA(),CK222))</f>
        <v>0</v>
      </c>
      <c r="EZ15">
        <f>IF(Charts!$B$3="none",X222,IF(CL222="",NA(),CL222))</f>
        <v>0</v>
      </c>
      <c r="FA15">
        <f>IF(Charts!$B$3="none",Y222,IF(CM222="",NA(),CM222))</f>
        <v>0</v>
      </c>
      <c r="FB15">
        <f>IF(Charts!$B$3="none",Z222,IF(CN222="",NA(),CN222))</f>
        <v>0</v>
      </c>
      <c r="FC15">
        <f>IF(Charts!$B$3="none",AA222,IF(CO222="",NA(),CO222))</f>
        <v>0</v>
      </c>
      <c r="FD15">
        <f>IF(Charts!$B$3="none",AB222,IF(CP222="",NA(),CP222))</f>
        <v>0</v>
      </c>
      <c r="FE15">
        <f>IF(Charts!$B$3="none",AC222,IF(CQ222="",NA(),CQ222))</f>
        <v>0</v>
      </c>
      <c r="FF15">
        <f>IF(Charts!$B$3="none",AD222,IF(CR222="",NA(),CR222))</f>
        <v>0</v>
      </c>
      <c r="FG15">
        <f>IF(Charts!$B$3="none",AE222,IF(CS222="",NA(),CS222))</f>
        <v>0</v>
      </c>
      <c r="FH15">
        <f>IF(Charts!$B$3="none",AF222,IF(CT222="",NA(),CT222))</f>
        <v>0</v>
      </c>
      <c r="FI15">
        <f>IF(Charts!$B$3="none",AG222,IF(CU222="",NA(),CU222))</f>
        <v>0</v>
      </c>
      <c r="FJ15">
        <f>IF(Charts!$B$3="none",AH222,IF(CV222="",NA(),CV222))</f>
        <v>0</v>
      </c>
      <c r="FK15">
        <f>IF(Charts!$B$3="none",AI222,IF(CW222="",NA(),CW222))</f>
        <v>0</v>
      </c>
      <c r="FL15">
        <f>IF(Charts!$B$3="none",AJ222,IF(CX222="",NA(),CX222))</f>
        <v>0</v>
      </c>
      <c r="FM15">
        <f>IF(Charts!$B$3="none",AK222,IF(CY222="",NA(),CY222))</f>
        <v>0</v>
      </c>
      <c r="FN15">
        <f>IF(Charts!$B$3="none",AL222,IF(CZ222="",NA(),CZ222))</f>
        <v>0</v>
      </c>
      <c r="FO15">
        <f>IF(Charts!$B$3="none",AM222,IF(DA222="",NA(),DA222))</f>
        <v>0</v>
      </c>
      <c r="FP15">
        <f>IF(Charts!$B$3="none",AN222,IF(DB222="",NA(),DB222))</f>
        <v>0</v>
      </c>
      <c r="FQ15">
        <f>IF(Charts!$B$3="none",AO222,IF(DC222="",NA(),DC222))</f>
        <v>0</v>
      </c>
      <c r="FR15">
        <f>IF(Charts!$B$3="none",AP222,IF(DD222="",NA(),DD222))</f>
        <v>0</v>
      </c>
      <c r="FS15">
        <f>IF(Charts!$B$3="none",AQ222,IF(DE222="",NA(),DE222))</f>
        <v>0</v>
      </c>
      <c r="FT15">
        <f>IF(Charts!$B$3="none",AR222,IF(DF222="",NA(),DF222))</f>
        <v>0</v>
      </c>
      <c r="FU15">
        <f>IF(Charts!$B$3="none",AS222,IF(DG222="",NA(),DG222))</f>
        <v>0</v>
      </c>
      <c r="FV15">
        <f>IF(Charts!$B$3="none",AT222,IF(DH222="",NA(),DH222))</f>
        <v>0</v>
      </c>
      <c r="FW15">
        <f>IF(Charts!$B$3="none",AU222,IF(DI222="",NA(),DI222))</f>
        <v>0</v>
      </c>
      <c r="FX15">
        <f>IF(Charts!$B$3="none",AV222,IF(DJ222="",NA(),DJ222))</f>
        <v>0</v>
      </c>
      <c r="FY15">
        <f>IF(Charts!$B$3="none",AW222,IF(DK222="",NA(),DK222))</f>
        <v>0</v>
      </c>
      <c r="FZ15">
        <f>IF(Charts!$B$3="none",AX222,IF(DL222="",NA(),DL222))</f>
        <v>0</v>
      </c>
      <c r="GA15">
        <f>IF(Charts!$B$3="none",AY222,IF(DM222="",NA(),DM222))</f>
        <v>0</v>
      </c>
      <c r="GB15">
        <f>IF(Charts!$B$3="none",AZ222,IF(DN222="",NA(),DN222))</f>
        <v>0</v>
      </c>
      <c r="GC15">
        <f>IF(Charts!$B$3="none",BA222,IF(DO222="",NA(),DO222))</f>
        <v>0</v>
      </c>
      <c r="GD15">
        <f>IF(Charts!$B$3="none",BB222,IF(DP222="",NA(),DP222))</f>
        <v>0</v>
      </c>
      <c r="GE15">
        <f>IF(Charts!$B$3="none",BC222,IF(DQ222="",NA(),DQ222))</f>
        <v>0</v>
      </c>
      <c r="GF15">
        <f>IF(Charts!$B$3="none",BD222,IF(DR222="",NA(),DR222))</f>
        <v>0</v>
      </c>
      <c r="GG15">
        <f>IF(Charts!$B$3="none",BE222,IF(DS222="",NA(),DS222))</f>
        <v>0</v>
      </c>
      <c r="GH15">
        <f>IF(Charts!$B$3="none",BF222,IF(DT222="",NA(),DT222))</f>
        <v>0</v>
      </c>
      <c r="GI15">
        <f>IF(Charts!$B$3="none",BG222,IF(DU222="",NA(),DU222))</f>
        <v>0</v>
      </c>
      <c r="GJ15">
        <f>IF(Charts!$B$3="none",BH222,IF(DV222="",NA(),DV222))</f>
        <v>0</v>
      </c>
      <c r="GK15">
        <f>IF(Charts!$B$3="none",BI222,IF(DW222="",NA(),DW222))</f>
        <v>0</v>
      </c>
      <c r="GL15">
        <f>IF(Charts!$B$3="none",BJ222,IF(DX222="",NA(),DX222))</f>
        <v>0</v>
      </c>
      <c r="GM15">
        <f>IF(Charts!$B$3="none",BK222,IF(DY222="",NA(),DY222))</f>
        <v>0</v>
      </c>
      <c r="GN15">
        <f>IF(Charts!$B$3="none",BL222,IF(DZ222="",NA(),DZ222))</f>
        <v>0</v>
      </c>
      <c r="GO15">
        <f>IF(Charts!$B$3="none",BM222,IF(EA222="",NA(),EA222))</f>
        <v>0</v>
      </c>
      <c r="GP15">
        <f>IF(Charts!$B$3="none",BN222,IF(EB222="",NA(),EB222))</f>
        <v>0</v>
      </c>
      <c r="GQ15">
        <f>IF(Charts!$B$3="none",BO222,IF(EC222="",NA(),EC222))</f>
        <v>0</v>
      </c>
      <c r="GR15">
        <f>IF(Charts!$B$3="none",BP222,IF(ED222="",NA(),ED222))</f>
        <v>0</v>
      </c>
    </row>
    <row r="16" spans="1:200">
      <c r="A16" t="s">
        <v>66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IFERROR(SMALL(E5:E44,ROW()-ROW($F$5)+1),"")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IFERROR(SMALL(I5:I44,ROW()-ROW($J$5)+1),"")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IFERROR(SMALL(M5:M44,ROW()-ROW($N$5)+1),"")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IFERROR(SMALL(Q5:Q44,ROW()-ROW($R$5)+1),"")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IFERROR(SMALL(U5:U44,ROW()-ROW($V$5)+1),"")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IFERROR(SMALL(Y5:Y44,ROW()-ROW($Z$5)+1),"")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IFERROR(SMALL(AC5:AC44,ROW()-ROW($AD$5)+1),"")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IFERROR(SMALL(AG5:AG44,ROW()-ROW($AH$5)+1),"")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IFERROR(SMALL(AK5:AK44,ROW()-ROW($AL$5)+1),"")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IFERROR(SMALL(AO5:AO44,ROW()-ROW($AP$5)+1),"")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IFERROR(SMALL(AS5:AS44,ROW()-ROW($AT$5)+1),"")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IFERROR(SMALL(AW5:AW44,ROW()-ROW($AX$5)+1),"")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IFERROR(SMALL(BA5:BA44,ROW()-ROW($BB$5)+1),"")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IFERROR(SMALL(BE5:BE44,ROW()-ROW($BF$5)+1),"")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IFERROR(SMALL(BI5:BI44,ROW()-ROW($BJ$5)+1),"")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IFERROR(SMALL(BM5:BM44,ROW()-ROW($BN$5)+1),"")</f>
        <v>0</v>
      </c>
      <c r="BP16">
        <f>IFERROR(SUM(BN5:BN16),"")</f>
        <v>0</v>
      </c>
      <c r="BR16">
        <v>12</v>
      </c>
      <c r="BS16" cm="1">
        <f t="array" ref="BS16">_xlfn.SWITCH(Charts!$B$3,"average", AVERAGE(INDIRECT(ADDRESS(11+3,BS$2+1,,,"Instances") &amp; ":" &amp; ADDRESS(11+3,BS$2+1))),"median", MEDIAN(INDIRECT(ADDRESS(11+3,BS$2+1,,,"Instances") &amp; ":" &amp; ADDRESS(11+3,BS$2+1))),"min", MIN(INDIRECT(ADDRESS(11+3,BS$2+1,,,"Instances") &amp; ":" &amp; ADDRESS(11+3,BS$2+1))),"max", MAX(INDIRECT(ADDRESS(11+3,BS$2+1,,,"Instances") &amp; ":" &amp; ADDRESS(11+3,BS$2+1))),"diff", MAX(INDIRECT(ADDRESS(11+3,BS$2+1,,,"Instances") &amp; ":" &amp; ADDRESS(11+3,BS$2+1)))-MIN(INDIRECT(ADDRESS(11+3,BS$2+1,,,"Instances") &amp; ":" &amp; ADDRESS(11+3,BS$2+1))))</f>
        <v>0</v>
      </c>
      <c r="BT16">
        <f>IFERROR(SMALL(BS5:BS44,ROW()-ROW($BT$5)+1),"")</f>
        <v>0</v>
      </c>
      <c r="BV16">
        <f>IFERROR(SUM(BT5:BT16),"")</f>
        <v>0</v>
      </c>
      <c r="BW16" cm="1">
        <f t="array" ref="BW16">_xlfn.SWITCH(Charts!$B$3,"average", AVERAGE(INDIRECT(ADDRESS(11+3,BW$2+1,,,"Instances") &amp; ":" &amp; ADDRESS(11+3,BW$2+1))),"median", MEDIAN(INDIRECT(ADDRESS(11+3,BW$2+1,,,"Instances") &amp; ":" &amp; ADDRESS(11+3,BW$2+1))),"min", MIN(INDIRECT(ADDRESS(11+3,BW$2+1,,,"Instances") &amp; ":" &amp; ADDRESS(11+3,BW$2+1))),"max", MAX(INDIRECT(ADDRESS(11+3,BW$2+1,,,"Instances") &amp; ":" &amp; ADDRESS(11+3,BW$2+1))),"diff", MAX(INDIRECT(ADDRESS(11+3,BW$2+1,,,"Instances") &amp; ":" &amp; ADDRESS(11+3,BW$2+1)))-MIN(INDIRECT(ADDRESS(11+3,BW$2+1,,,"Instances") &amp; ":" &amp; ADDRESS(11+3,BW$2+1))))</f>
        <v>0</v>
      </c>
      <c r="BX16">
        <f>IFERROR(SMALL(BW5:BW44,ROW()-ROW($BX$5)+1),"")</f>
        <v>0</v>
      </c>
      <c r="BZ16">
        <f>IFERROR(SUM(BX5:BX16),"")</f>
        <v>0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IFERROR(SMALL(CA5:CA44,ROW()-ROW($CB$5)+1),"")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IFERROR(SMALL(CE5:CE44,ROW()-ROW($CF$5)+1),"")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IFERROR(SMALL(CI5:CI44,ROW()-ROW($CJ$5)+1),"")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IFERROR(SMALL(CM5:CM44,ROW()-ROW($CN$5)+1),"")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IFERROR(SMALL(CQ5:CQ44,ROW()-ROW($CR$5)+1),"")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IFERROR(SMALL(CU5:CU44,ROW()-ROW($CV$5)+1),"")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IFERROR(SMALL(CY5:CY44,ROW()-ROW($CZ$5)+1),"")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IFERROR(SMALL(DC5:DC44,ROW()-ROW($DD$5)+1),"")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IFERROR(SMALL(DG5:DG44,ROW()-ROW($DH$5)+1),"")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IFERROR(SMALL(DK5:DK44,ROW()-ROW($DL$5)+1),"")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IFERROR(SMALL(DO5:DO44,ROW()-ROW($DP$5)+1),"")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IFERROR(SMALL(DS5:DS44,ROW()-ROW($DT$5)+1),"")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IFERROR(SMALL(DW5:DW44,ROW()-ROW($DX$5)+1),"")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IFERROR(SMALL(EA5:EA44,ROW()-ROW($EB$5)+1),"")</f>
        <v>0</v>
      </c>
      <c r="ED16">
        <f>IFERROR(SUM(EB5:EB16),"")</f>
        <v>0</v>
      </c>
      <c r="EG16">
        <f>IF(Charts!$B$3="none",E223,IF(BS223="",NA(),BS223))</f>
        <v>0</v>
      </c>
      <c r="EH16">
        <f>IF(Charts!$B$3="none",F223,IF(BT223="",NA(),BT223))</f>
        <v>0</v>
      </c>
      <c r="EI16">
        <f>IF(Charts!$B$3="none",G223,IF(BU223="",NA(),BU223))</f>
        <v>0</v>
      </c>
      <c r="EJ16">
        <f>IF(Charts!$B$3="none",H223,IF(BV223="",NA(),BV223))</f>
        <v>0</v>
      </c>
      <c r="EK16">
        <f>IF(Charts!$B$3="none",I223,IF(BW223="",NA(),BW223))</f>
        <v>0</v>
      </c>
      <c r="EL16">
        <f>IF(Charts!$B$3="none",J223,IF(BX223="",NA(),BX223))</f>
        <v>0</v>
      </c>
      <c r="EM16">
        <f>IF(Charts!$B$3="none",K223,IF(BY223="",NA(),BY223))</f>
        <v>0</v>
      </c>
      <c r="EN16">
        <f>IF(Charts!$B$3="none",L223,IF(BZ223="",NA(),BZ223))</f>
        <v>0</v>
      </c>
      <c r="EO16">
        <f>IF(Charts!$B$3="none",M223,IF(CA223="",NA(),CA223))</f>
        <v>0</v>
      </c>
      <c r="EP16">
        <f>IF(Charts!$B$3="none",N223,IF(CB223="",NA(),CB223))</f>
        <v>0</v>
      </c>
      <c r="EQ16">
        <f>IF(Charts!$B$3="none",O223,IF(CC223="",NA(),CC223))</f>
        <v>0</v>
      </c>
      <c r="ER16">
        <f>IF(Charts!$B$3="none",P223,IF(CD223="",NA(),CD223))</f>
        <v>0</v>
      </c>
      <c r="ES16">
        <f>IF(Charts!$B$3="none",Q223,IF(CE223="",NA(),CE223))</f>
        <v>0</v>
      </c>
      <c r="ET16">
        <f>IF(Charts!$B$3="none",R223,IF(CF223="",NA(),CF223))</f>
        <v>0</v>
      </c>
      <c r="EU16">
        <f>IF(Charts!$B$3="none",S223,IF(CG223="",NA(),CG223))</f>
        <v>0</v>
      </c>
      <c r="EV16">
        <f>IF(Charts!$B$3="none",T223,IF(CH223="",NA(),CH223))</f>
        <v>0</v>
      </c>
      <c r="EW16">
        <f>IF(Charts!$B$3="none",U223,IF(CI223="",NA(),CI223))</f>
        <v>0</v>
      </c>
      <c r="EX16">
        <f>IF(Charts!$B$3="none",V223,IF(CJ223="",NA(),CJ223))</f>
        <v>0</v>
      </c>
      <c r="EY16">
        <f>IF(Charts!$B$3="none",W223,IF(CK223="",NA(),CK223))</f>
        <v>0</v>
      </c>
      <c r="EZ16">
        <f>IF(Charts!$B$3="none",X223,IF(CL223="",NA(),CL223))</f>
        <v>0</v>
      </c>
      <c r="FA16">
        <f>IF(Charts!$B$3="none",Y223,IF(CM223="",NA(),CM223))</f>
        <v>0</v>
      </c>
      <c r="FB16">
        <f>IF(Charts!$B$3="none",Z223,IF(CN223="",NA(),CN223))</f>
        <v>0</v>
      </c>
      <c r="FC16">
        <f>IF(Charts!$B$3="none",AA223,IF(CO223="",NA(),CO223))</f>
        <v>0</v>
      </c>
      <c r="FD16">
        <f>IF(Charts!$B$3="none",AB223,IF(CP223="",NA(),CP223))</f>
        <v>0</v>
      </c>
      <c r="FE16">
        <f>IF(Charts!$B$3="none",AC223,IF(CQ223="",NA(),CQ223))</f>
        <v>0</v>
      </c>
      <c r="FF16">
        <f>IF(Charts!$B$3="none",AD223,IF(CR223="",NA(),CR223))</f>
        <v>0</v>
      </c>
      <c r="FG16">
        <f>IF(Charts!$B$3="none",AE223,IF(CS223="",NA(),CS223))</f>
        <v>0</v>
      </c>
      <c r="FH16">
        <f>IF(Charts!$B$3="none",AF223,IF(CT223="",NA(),CT223))</f>
        <v>0</v>
      </c>
      <c r="FI16">
        <f>IF(Charts!$B$3="none",AG223,IF(CU223="",NA(),CU223))</f>
        <v>0</v>
      </c>
      <c r="FJ16">
        <f>IF(Charts!$B$3="none",AH223,IF(CV223="",NA(),CV223))</f>
        <v>0</v>
      </c>
      <c r="FK16">
        <f>IF(Charts!$B$3="none",AI223,IF(CW223="",NA(),CW223))</f>
        <v>0</v>
      </c>
      <c r="FL16">
        <f>IF(Charts!$B$3="none",AJ223,IF(CX223="",NA(),CX223))</f>
        <v>0</v>
      </c>
      <c r="FM16">
        <f>IF(Charts!$B$3="none",AK223,IF(CY223="",NA(),CY223))</f>
        <v>0</v>
      </c>
      <c r="FN16">
        <f>IF(Charts!$B$3="none",AL223,IF(CZ223="",NA(),CZ223))</f>
        <v>0</v>
      </c>
      <c r="FO16">
        <f>IF(Charts!$B$3="none",AM223,IF(DA223="",NA(),DA223))</f>
        <v>0</v>
      </c>
      <c r="FP16">
        <f>IF(Charts!$B$3="none",AN223,IF(DB223="",NA(),DB223))</f>
        <v>0</v>
      </c>
      <c r="FQ16">
        <f>IF(Charts!$B$3="none",AO223,IF(DC223="",NA(),DC223))</f>
        <v>0</v>
      </c>
      <c r="FR16">
        <f>IF(Charts!$B$3="none",AP223,IF(DD223="",NA(),DD223))</f>
        <v>0</v>
      </c>
      <c r="FS16">
        <f>IF(Charts!$B$3="none",AQ223,IF(DE223="",NA(),DE223))</f>
        <v>0</v>
      </c>
      <c r="FT16">
        <f>IF(Charts!$B$3="none",AR223,IF(DF223="",NA(),DF223))</f>
        <v>0</v>
      </c>
      <c r="FU16">
        <f>IF(Charts!$B$3="none",AS223,IF(DG223="",NA(),DG223))</f>
        <v>0</v>
      </c>
      <c r="FV16">
        <f>IF(Charts!$B$3="none",AT223,IF(DH223="",NA(),DH223))</f>
        <v>0</v>
      </c>
      <c r="FW16">
        <f>IF(Charts!$B$3="none",AU223,IF(DI223="",NA(),DI223))</f>
        <v>0</v>
      </c>
      <c r="FX16">
        <f>IF(Charts!$B$3="none",AV223,IF(DJ223="",NA(),DJ223))</f>
        <v>0</v>
      </c>
      <c r="FY16">
        <f>IF(Charts!$B$3="none",AW223,IF(DK223="",NA(),DK223))</f>
        <v>0</v>
      </c>
      <c r="FZ16">
        <f>IF(Charts!$B$3="none",AX223,IF(DL223="",NA(),DL223))</f>
        <v>0</v>
      </c>
      <c r="GA16">
        <f>IF(Charts!$B$3="none",AY223,IF(DM223="",NA(),DM223))</f>
        <v>0</v>
      </c>
      <c r="GB16">
        <f>IF(Charts!$B$3="none",AZ223,IF(DN223="",NA(),DN223))</f>
        <v>0</v>
      </c>
      <c r="GC16">
        <f>IF(Charts!$B$3="none",BA223,IF(DO223="",NA(),DO223))</f>
        <v>0</v>
      </c>
      <c r="GD16">
        <f>IF(Charts!$B$3="none",BB223,IF(DP223="",NA(),DP223))</f>
        <v>0</v>
      </c>
      <c r="GE16">
        <f>IF(Charts!$B$3="none",BC223,IF(DQ223="",NA(),DQ223))</f>
        <v>0</v>
      </c>
      <c r="GF16">
        <f>IF(Charts!$B$3="none",BD223,IF(DR223="",NA(),DR223))</f>
        <v>0</v>
      </c>
      <c r="GG16">
        <f>IF(Charts!$B$3="none",BE223,IF(DS223="",NA(),DS223))</f>
        <v>0</v>
      </c>
      <c r="GH16">
        <f>IF(Charts!$B$3="none",BF223,IF(DT223="",NA(),DT223))</f>
        <v>0</v>
      </c>
      <c r="GI16">
        <f>IF(Charts!$B$3="none",BG223,IF(DU223="",NA(),DU223))</f>
        <v>0</v>
      </c>
      <c r="GJ16">
        <f>IF(Charts!$B$3="none",BH223,IF(DV223="",NA(),DV223))</f>
        <v>0</v>
      </c>
      <c r="GK16">
        <f>IF(Charts!$B$3="none",BI223,IF(DW223="",NA(),DW223))</f>
        <v>0</v>
      </c>
      <c r="GL16">
        <f>IF(Charts!$B$3="none",BJ223,IF(DX223="",NA(),DX223))</f>
        <v>0</v>
      </c>
      <c r="GM16">
        <f>IF(Charts!$B$3="none",BK223,IF(DY223="",NA(),DY223))</f>
        <v>0</v>
      </c>
      <c r="GN16">
        <f>IF(Charts!$B$3="none",BL223,IF(DZ223="",NA(),DZ223))</f>
        <v>0</v>
      </c>
      <c r="GO16">
        <f>IF(Charts!$B$3="none",BM223,IF(EA223="",NA(),EA223))</f>
        <v>0</v>
      </c>
      <c r="GP16">
        <f>IF(Charts!$B$3="none",BN223,IF(EB223="",NA(),EB223))</f>
        <v>0</v>
      </c>
      <c r="GQ16">
        <f>IF(Charts!$B$3="none",BO223,IF(EC223="",NA(),EC223))</f>
        <v>0</v>
      </c>
      <c r="GR16">
        <f>IF(Charts!$B$3="none",BP223,IF(ED223="",NA(),ED223))</f>
        <v>0</v>
      </c>
    </row>
    <row r="17" spans="1:200">
      <c r="A17" t="s">
        <v>67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IFERROR(SMALL(E5:E44,ROW()-ROW($F$5)+1),"")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IFERROR(SMALL(I5:I44,ROW()-ROW($J$5)+1),"")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IFERROR(SMALL(M5:M44,ROW()-ROW($N$5)+1),"")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IFERROR(SMALL(Q5:Q44,ROW()-ROW($R$5)+1),"")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IFERROR(SMALL(U5:U44,ROW()-ROW($V$5)+1),"")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IFERROR(SMALL(Y5:Y44,ROW()-ROW($Z$5)+1),"")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IFERROR(SMALL(AC5:AC44,ROW()-ROW($AD$5)+1),"")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IFERROR(SMALL(AG5:AG44,ROW()-ROW($AH$5)+1),"")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IFERROR(SMALL(AK5:AK44,ROW()-ROW($AL$5)+1),"")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IFERROR(SMALL(AO5:AO44,ROW()-ROW($AP$5)+1),"")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IFERROR(SMALL(AS5:AS44,ROW()-ROW($AT$5)+1),"")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IFERROR(SMALL(AW5:AW44,ROW()-ROW($AX$5)+1),"")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IFERROR(SMALL(BA5:BA44,ROW()-ROW($BB$5)+1),"")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IFERROR(SMALL(BE5:BE44,ROW()-ROW($BF$5)+1),"")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IFERROR(SMALL(BI5:BI44,ROW()-ROW($BJ$5)+1),"")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IFERROR(SMALL(BM5:BM44,ROW()-ROW($BN$5)+1),"")</f>
        <v>0</v>
      </c>
      <c r="BP17">
        <f>IFERROR(SUM(BN5:BN17),"")</f>
        <v>0</v>
      </c>
      <c r="BR17">
        <v>13</v>
      </c>
      <c r="BS17" cm="1">
        <f t="array" ref="BS17">_xlfn.SWITCH(Charts!$B$3,"average", AVERAGE(INDIRECT(ADDRESS(12+3,BS$2+1,,,"Instances") &amp; ":" &amp; ADDRESS(12+3,BS$2+1))),"median", MEDIAN(INDIRECT(ADDRESS(12+3,BS$2+1,,,"Instances") &amp; ":" &amp; ADDRESS(12+3,BS$2+1))),"min", MIN(INDIRECT(ADDRESS(12+3,BS$2+1,,,"Instances") &amp; ":" &amp; ADDRESS(12+3,BS$2+1))),"max", MAX(INDIRECT(ADDRESS(12+3,BS$2+1,,,"Instances") &amp; ":" &amp; ADDRESS(12+3,BS$2+1))),"diff", MAX(INDIRECT(ADDRESS(12+3,BS$2+1,,,"Instances") &amp; ":" &amp; ADDRESS(12+3,BS$2+1)))-MIN(INDIRECT(ADDRESS(12+3,BS$2+1,,,"Instances") &amp; ":" &amp; ADDRESS(12+3,BS$2+1))))</f>
        <v>0</v>
      </c>
      <c r="BT17">
        <f>IFERROR(SMALL(BS5:BS44,ROW()-ROW($BT$5)+1),"")</f>
        <v>0</v>
      </c>
      <c r="BV17">
        <f>IFERROR(SUM(BT5:BT17),"")</f>
        <v>0</v>
      </c>
      <c r="BW17" cm="1">
        <f t="array" ref="BW17">_xlfn.SWITCH(Charts!$B$3,"average", AVERAGE(INDIRECT(ADDRESS(12+3,BW$2+1,,,"Instances") &amp; ":" &amp; ADDRESS(12+3,BW$2+1))),"median", MEDIAN(INDIRECT(ADDRESS(12+3,BW$2+1,,,"Instances") &amp; ":" &amp; ADDRESS(12+3,BW$2+1))),"min", MIN(INDIRECT(ADDRESS(12+3,BW$2+1,,,"Instances") &amp; ":" &amp; ADDRESS(12+3,BW$2+1))),"max", MAX(INDIRECT(ADDRESS(12+3,BW$2+1,,,"Instances") &amp; ":" &amp; ADDRESS(12+3,BW$2+1))),"diff", MAX(INDIRECT(ADDRESS(12+3,BW$2+1,,,"Instances") &amp; ":" &amp; ADDRESS(12+3,BW$2+1)))-MIN(INDIRECT(ADDRESS(12+3,BW$2+1,,,"Instances") &amp; ":" &amp; ADDRESS(12+3,BW$2+1))))</f>
        <v>0</v>
      </c>
      <c r="BX17">
        <f>IFERROR(SMALL(BW5:BW44,ROW()-ROW($BX$5)+1),"")</f>
        <v>0</v>
      </c>
      <c r="BZ17">
        <f>IFERROR(SUM(BX5:BX17),"")</f>
        <v>0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IFERROR(SMALL(CA5:CA44,ROW()-ROW($CB$5)+1),"")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IFERROR(SMALL(CE5:CE44,ROW()-ROW($CF$5)+1),"")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IFERROR(SMALL(CI5:CI44,ROW()-ROW($CJ$5)+1),"")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IFERROR(SMALL(CM5:CM44,ROW()-ROW($CN$5)+1),"")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IFERROR(SMALL(CQ5:CQ44,ROW()-ROW($CR$5)+1),"")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IFERROR(SMALL(CU5:CU44,ROW()-ROW($CV$5)+1),"")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IFERROR(SMALL(CY5:CY44,ROW()-ROW($CZ$5)+1),"")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IFERROR(SMALL(DC5:DC44,ROW()-ROW($DD$5)+1),"")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IFERROR(SMALL(DG5:DG44,ROW()-ROW($DH$5)+1),"")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IFERROR(SMALL(DK5:DK44,ROW()-ROW($DL$5)+1),"")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IFERROR(SMALL(DO5:DO44,ROW()-ROW($DP$5)+1),"")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IFERROR(SMALL(DS5:DS44,ROW()-ROW($DT$5)+1),"")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IFERROR(SMALL(DW5:DW44,ROW()-ROW($DX$5)+1),"")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IFERROR(SMALL(EA5:EA44,ROW()-ROW($EB$5)+1),"")</f>
        <v>0</v>
      </c>
      <c r="ED17">
        <f>IFERROR(SUM(EB5:EB17),"")</f>
        <v>0</v>
      </c>
      <c r="EG17">
        <f>IF(Charts!$B$3="none",E224,IF(BS224="",NA(),BS224))</f>
        <v>0</v>
      </c>
      <c r="EH17">
        <f>IF(Charts!$B$3="none",F224,IF(BT224="",NA(),BT224))</f>
        <v>0</v>
      </c>
      <c r="EI17">
        <f>IF(Charts!$B$3="none",G224,IF(BU224="",NA(),BU224))</f>
        <v>0</v>
      </c>
      <c r="EJ17">
        <f>IF(Charts!$B$3="none",H224,IF(BV224="",NA(),BV224))</f>
        <v>0</v>
      </c>
      <c r="EK17">
        <f>IF(Charts!$B$3="none",I224,IF(BW224="",NA(),BW224))</f>
        <v>0</v>
      </c>
      <c r="EL17">
        <f>IF(Charts!$B$3="none",J224,IF(BX224="",NA(),BX224))</f>
        <v>0</v>
      </c>
      <c r="EM17">
        <f>IF(Charts!$B$3="none",K224,IF(BY224="",NA(),BY224))</f>
        <v>0</v>
      </c>
      <c r="EN17">
        <f>IF(Charts!$B$3="none",L224,IF(BZ224="",NA(),BZ224))</f>
        <v>0</v>
      </c>
      <c r="EO17">
        <f>IF(Charts!$B$3="none",M224,IF(CA224="",NA(),CA224))</f>
        <v>0</v>
      </c>
      <c r="EP17">
        <f>IF(Charts!$B$3="none",N224,IF(CB224="",NA(),CB224))</f>
        <v>0</v>
      </c>
      <c r="EQ17">
        <f>IF(Charts!$B$3="none",O224,IF(CC224="",NA(),CC224))</f>
        <v>0</v>
      </c>
      <c r="ER17">
        <f>IF(Charts!$B$3="none",P224,IF(CD224="",NA(),CD224))</f>
        <v>0</v>
      </c>
      <c r="ES17">
        <f>IF(Charts!$B$3="none",Q224,IF(CE224="",NA(),CE224))</f>
        <v>0</v>
      </c>
      <c r="ET17">
        <f>IF(Charts!$B$3="none",R224,IF(CF224="",NA(),CF224))</f>
        <v>0</v>
      </c>
      <c r="EU17">
        <f>IF(Charts!$B$3="none",S224,IF(CG224="",NA(),CG224))</f>
        <v>0</v>
      </c>
      <c r="EV17">
        <f>IF(Charts!$B$3="none",T224,IF(CH224="",NA(),CH224))</f>
        <v>0</v>
      </c>
      <c r="EW17">
        <f>IF(Charts!$B$3="none",U224,IF(CI224="",NA(),CI224))</f>
        <v>0</v>
      </c>
      <c r="EX17">
        <f>IF(Charts!$B$3="none",V224,IF(CJ224="",NA(),CJ224))</f>
        <v>0</v>
      </c>
      <c r="EY17">
        <f>IF(Charts!$B$3="none",W224,IF(CK224="",NA(),CK224))</f>
        <v>0</v>
      </c>
      <c r="EZ17">
        <f>IF(Charts!$B$3="none",X224,IF(CL224="",NA(),CL224))</f>
        <v>0</v>
      </c>
      <c r="FA17">
        <f>IF(Charts!$B$3="none",Y224,IF(CM224="",NA(),CM224))</f>
        <v>0</v>
      </c>
      <c r="FB17">
        <f>IF(Charts!$B$3="none",Z224,IF(CN224="",NA(),CN224))</f>
        <v>0</v>
      </c>
      <c r="FC17">
        <f>IF(Charts!$B$3="none",AA224,IF(CO224="",NA(),CO224))</f>
        <v>0</v>
      </c>
      <c r="FD17">
        <f>IF(Charts!$B$3="none",AB224,IF(CP224="",NA(),CP224))</f>
        <v>0</v>
      </c>
      <c r="FE17">
        <f>IF(Charts!$B$3="none",AC224,IF(CQ224="",NA(),CQ224))</f>
        <v>0</v>
      </c>
      <c r="FF17">
        <f>IF(Charts!$B$3="none",AD224,IF(CR224="",NA(),CR224))</f>
        <v>0</v>
      </c>
      <c r="FG17">
        <f>IF(Charts!$B$3="none",AE224,IF(CS224="",NA(),CS224))</f>
        <v>0</v>
      </c>
      <c r="FH17">
        <f>IF(Charts!$B$3="none",AF224,IF(CT224="",NA(),CT224))</f>
        <v>0</v>
      </c>
      <c r="FI17">
        <f>IF(Charts!$B$3="none",AG224,IF(CU224="",NA(),CU224))</f>
        <v>0</v>
      </c>
      <c r="FJ17">
        <f>IF(Charts!$B$3="none",AH224,IF(CV224="",NA(),CV224))</f>
        <v>0</v>
      </c>
      <c r="FK17">
        <f>IF(Charts!$B$3="none",AI224,IF(CW224="",NA(),CW224))</f>
        <v>0</v>
      </c>
      <c r="FL17">
        <f>IF(Charts!$B$3="none",AJ224,IF(CX224="",NA(),CX224))</f>
        <v>0</v>
      </c>
      <c r="FM17">
        <f>IF(Charts!$B$3="none",AK224,IF(CY224="",NA(),CY224))</f>
        <v>0</v>
      </c>
      <c r="FN17">
        <f>IF(Charts!$B$3="none",AL224,IF(CZ224="",NA(),CZ224))</f>
        <v>0</v>
      </c>
      <c r="FO17">
        <f>IF(Charts!$B$3="none",AM224,IF(DA224="",NA(),DA224))</f>
        <v>0</v>
      </c>
      <c r="FP17">
        <f>IF(Charts!$B$3="none",AN224,IF(DB224="",NA(),DB224))</f>
        <v>0</v>
      </c>
      <c r="FQ17">
        <f>IF(Charts!$B$3="none",AO224,IF(DC224="",NA(),DC224))</f>
        <v>0</v>
      </c>
      <c r="FR17">
        <f>IF(Charts!$B$3="none",AP224,IF(DD224="",NA(),DD224))</f>
        <v>0</v>
      </c>
      <c r="FS17">
        <f>IF(Charts!$B$3="none",AQ224,IF(DE224="",NA(),DE224))</f>
        <v>0</v>
      </c>
      <c r="FT17">
        <f>IF(Charts!$B$3="none",AR224,IF(DF224="",NA(),DF224))</f>
        <v>0</v>
      </c>
      <c r="FU17">
        <f>IF(Charts!$B$3="none",AS224,IF(DG224="",NA(),DG224))</f>
        <v>0</v>
      </c>
      <c r="FV17">
        <f>IF(Charts!$B$3="none",AT224,IF(DH224="",NA(),DH224))</f>
        <v>0</v>
      </c>
      <c r="FW17">
        <f>IF(Charts!$B$3="none",AU224,IF(DI224="",NA(),DI224))</f>
        <v>0</v>
      </c>
      <c r="FX17">
        <f>IF(Charts!$B$3="none",AV224,IF(DJ224="",NA(),DJ224))</f>
        <v>0</v>
      </c>
      <c r="FY17">
        <f>IF(Charts!$B$3="none",AW224,IF(DK224="",NA(),DK224))</f>
        <v>0</v>
      </c>
      <c r="FZ17">
        <f>IF(Charts!$B$3="none",AX224,IF(DL224="",NA(),DL224))</f>
        <v>0</v>
      </c>
      <c r="GA17">
        <f>IF(Charts!$B$3="none",AY224,IF(DM224="",NA(),DM224))</f>
        <v>0</v>
      </c>
      <c r="GB17">
        <f>IF(Charts!$B$3="none",AZ224,IF(DN224="",NA(),DN224))</f>
        <v>0</v>
      </c>
      <c r="GC17">
        <f>IF(Charts!$B$3="none",BA224,IF(DO224="",NA(),DO224))</f>
        <v>0</v>
      </c>
      <c r="GD17">
        <f>IF(Charts!$B$3="none",BB224,IF(DP224="",NA(),DP224))</f>
        <v>0</v>
      </c>
      <c r="GE17">
        <f>IF(Charts!$B$3="none",BC224,IF(DQ224="",NA(),DQ224))</f>
        <v>0</v>
      </c>
      <c r="GF17">
        <f>IF(Charts!$B$3="none",BD224,IF(DR224="",NA(),DR224))</f>
        <v>0</v>
      </c>
      <c r="GG17">
        <f>IF(Charts!$B$3="none",BE224,IF(DS224="",NA(),DS224))</f>
        <v>0</v>
      </c>
      <c r="GH17">
        <f>IF(Charts!$B$3="none",BF224,IF(DT224="",NA(),DT224))</f>
        <v>0</v>
      </c>
      <c r="GI17">
        <f>IF(Charts!$B$3="none",BG224,IF(DU224="",NA(),DU224))</f>
        <v>0</v>
      </c>
      <c r="GJ17">
        <f>IF(Charts!$B$3="none",BH224,IF(DV224="",NA(),DV224))</f>
        <v>0</v>
      </c>
      <c r="GK17">
        <f>IF(Charts!$B$3="none",BI224,IF(DW224="",NA(),DW224))</f>
        <v>0</v>
      </c>
      <c r="GL17">
        <f>IF(Charts!$B$3="none",BJ224,IF(DX224="",NA(),DX224))</f>
        <v>0</v>
      </c>
      <c r="GM17">
        <f>IF(Charts!$B$3="none",BK224,IF(DY224="",NA(),DY224))</f>
        <v>0</v>
      </c>
      <c r="GN17">
        <f>IF(Charts!$B$3="none",BL224,IF(DZ224="",NA(),DZ224))</f>
        <v>0</v>
      </c>
      <c r="GO17">
        <f>IF(Charts!$B$3="none",BM224,IF(EA224="",NA(),EA224))</f>
        <v>0</v>
      </c>
      <c r="GP17">
        <f>IF(Charts!$B$3="none",BN224,IF(EB224="",NA(),EB224))</f>
        <v>0</v>
      </c>
      <c r="GQ17">
        <f>IF(Charts!$B$3="none",BO224,IF(EC224="",NA(),EC224))</f>
        <v>0</v>
      </c>
      <c r="GR17">
        <f>IF(Charts!$B$3="none",BP224,IF(ED224="",NA(),ED224))</f>
        <v>0</v>
      </c>
    </row>
    <row r="18" spans="1:200">
      <c r="A18" t="s">
        <v>68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IFERROR(SMALL(E5:E44,ROW()-ROW($F$5)+1),"")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IFERROR(SMALL(I5:I44,ROW()-ROW($J$5)+1),"")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IFERROR(SMALL(M5:M44,ROW()-ROW($N$5)+1),"")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IFERROR(SMALL(Q5:Q44,ROW()-ROW($R$5)+1),"")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IFERROR(SMALL(U5:U44,ROW()-ROW($V$5)+1),"")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IFERROR(SMALL(Y5:Y44,ROW()-ROW($Z$5)+1),"")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IFERROR(SMALL(AC5:AC44,ROW()-ROW($AD$5)+1),"")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IFERROR(SMALL(AG5:AG44,ROW()-ROW($AH$5)+1),"")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IFERROR(SMALL(AK5:AK44,ROW()-ROW($AL$5)+1),"")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IFERROR(SMALL(AO5:AO44,ROW()-ROW($AP$5)+1),"")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IFERROR(SMALL(AS5:AS44,ROW()-ROW($AT$5)+1),"")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IFERROR(SMALL(AW5:AW44,ROW()-ROW($AX$5)+1),"")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IFERROR(SMALL(BA5:BA44,ROW()-ROW($BB$5)+1),"")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IFERROR(SMALL(BE5:BE44,ROW()-ROW($BF$5)+1),"")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IFERROR(SMALL(BI5:BI44,ROW()-ROW($BJ$5)+1),"")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IFERROR(SMALL(BM5:BM44,ROW()-ROW($BN$5)+1),"")</f>
        <v>0</v>
      </c>
      <c r="BP18">
        <f>IFERROR(SUM(BN5:BN18),"")</f>
        <v>0</v>
      </c>
      <c r="BR18">
        <v>14</v>
      </c>
      <c r="BS18" cm="1">
        <f t="array" ref="BS18">_xlfn.SWITCH(Charts!$B$3,"average", AVERAGE(INDIRECT(ADDRESS(13+3,BS$2+1,,,"Instances") &amp; ":" &amp; ADDRESS(13+3,BS$2+1))),"median", MEDIAN(INDIRECT(ADDRESS(13+3,BS$2+1,,,"Instances") &amp; ":" &amp; ADDRESS(13+3,BS$2+1))),"min", MIN(INDIRECT(ADDRESS(13+3,BS$2+1,,,"Instances") &amp; ":" &amp; ADDRESS(13+3,BS$2+1))),"max", MAX(INDIRECT(ADDRESS(13+3,BS$2+1,,,"Instances") &amp; ":" &amp; ADDRESS(13+3,BS$2+1))),"diff", MAX(INDIRECT(ADDRESS(13+3,BS$2+1,,,"Instances") &amp; ":" &amp; ADDRESS(13+3,BS$2+1)))-MIN(INDIRECT(ADDRESS(13+3,BS$2+1,,,"Instances") &amp; ":" &amp; ADDRESS(13+3,BS$2+1))))</f>
        <v>0</v>
      </c>
      <c r="BT18">
        <f>IFERROR(SMALL(BS5:BS44,ROW()-ROW($BT$5)+1),"")</f>
        <v>0</v>
      </c>
      <c r="BV18">
        <f>IFERROR(SUM(BT5:BT18),"")</f>
        <v>0</v>
      </c>
      <c r="BW18" cm="1">
        <f t="array" ref="BW18">_xlfn.SWITCH(Charts!$B$3,"average", AVERAGE(INDIRECT(ADDRESS(13+3,BW$2+1,,,"Instances") &amp; ":" &amp; ADDRESS(13+3,BW$2+1))),"median", MEDIAN(INDIRECT(ADDRESS(13+3,BW$2+1,,,"Instances") &amp; ":" &amp; ADDRESS(13+3,BW$2+1))),"min", MIN(INDIRECT(ADDRESS(13+3,BW$2+1,,,"Instances") &amp; ":" &amp; ADDRESS(13+3,BW$2+1))),"max", MAX(INDIRECT(ADDRESS(13+3,BW$2+1,,,"Instances") &amp; ":" &amp; ADDRESS(13+3,BW$2+1))),"diff", MAX(INDIRECT(ADDRESS(13+3,BW$2+1,,,"Instances") &amp; ":" &amp; ADDRESS(13+3,BW$2+1)))-MIN(INDIRECT(ADDRESS(13+3,BW$2+1,,,"Instances") &amp; ":" &amp; ADDRESS(13+3,BW$2+1))))</f>
        <v>0</v>
      </c>
      <c r="BX18">
        <f>IFERROR(SMALL(BW5:BW44,ROW()-ROW($BX$5)+1),"")</f>
        <v>0</v>
      </c>
      <c r="BZ18">
        <f>IFERROR(SUM(BX5:BX18),"")</f>
        <v>0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IFERROR(SMALL(CA5:CA44,ROW()-ROW($CB$5)+1),"")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IFERROR(SMALL(CE5:CE44,ROW()-ROW($CF$5)+1),"")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IFERROR(SMALL(CI5:CI44,ROW()-ROW($CJ$5)+1),"")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IFERROR(SMALL(CM5:CM44,ROW()-ROW($CN$5)+1),"")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IFERROR(SMALL(CQ5:CQ44,ROW()-ROW($CR$5)+1),"")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IFERROR(SMALL(CU5:CU44,ROW()-ROW($CV$5)+1),"")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IFERROR(SMALL(CY5:CY44,ROW()-ROW($CZ$5)+1),"")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IFERROR(SMALL(DC5:DC44,ROW()-ROW($DD$5)+1),"")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IFERROR(SMALL(DG5:DG44,ROW()-ROW($DH$5)+1),"")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IFERROR(SMALL(DK5:DK44,ROW()-ROW($DL$5)+1),"")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IFERROR(SMALL(DO5:DO44,ROW()-ROW($DP$5)+1),"")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IFERROR(SMALL(DS5:DS44,ROW()-ROW($DT$5)+1),"")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IFERROR(SMALL(DW5:DW44,ROW()-ROW($DX$5)+1),"")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IFERROR(SMALL(EA5:EA44,ROW()-ROW($EB$5)+1),"")</f>
        <v>0</v>
      </c>
      <c r="ED18">
        <f>IFERROR(SUM(EB5:EB18),"")</f>
        <v>0</v>
      </c>
      <c r="EG18">
        <f>IF(Charts!$B$3="none",E225,IF(BS225="",NA(),BS225))</f>
        <v>0</v>
      </c>
      <c r="EH18">
        <f>IF(Charts!$B$3="none",F225,IF(BT225="",NA(),BT225))</f>
        <v>0</v>
      </c>
      <c r="EI18">
        <f>IF(Charts!$B$3="none",G225,IF(BU225="",NA(),BU225))</f>
        <v>0</v>
      </c>
      <c r="EJ18">
        <f>IF(Charts!$B$3="none",H225,IF(BV225="",NA(),BV225))</f>
        <v>0</v>
      </c>
      <c r="EK18">
        <f>IF(Charts!$B$3="none",I225,IF(BW225="",NA(),BW225))</f>
        <v>0</v>
      </c>
      <c r="EL18">
        <f>IF(Charts!$B$3="none",J225,IF(BX225="",NA(),BX225))</f>
        <v>0</v>
      </c>
      <c r="EM18">
        <f>IF(Charts!$B$3="none",K225,IF(BY225="",NA(),BY225))</f>
        <v>0</v>
      </c>
      <c r="EN18">
        <f>IF(Charts!$B$3="none",L225,IF(BZ225="",NA(),BZ225))</f>
        <v>0</v>
      </c>
      <c r="EO18">
        <f>IF(Charts!$B$3="none",M225,IF(CA225="",NA(),CA225))</f>
        <v>0</v>
      </c>
      <c r="EP18">
        <f>IF(Charts!$B$3="none",N225,IF(CB225="",NA(),CB225))</f>
        <v>0</v>
      </c>
      <c r="EQ18">
        <f>IF(Charts!$B$3="none",O225,IF(CC225="",NA(),CC225))</f>
        <v>0</v>
      </c>
      <c r="ER18">
        <f>IF(Charts!$B$3="none",P225,IF(CD225="",NA(),CD225))</f>
        <v>0</v>
      </c>
      <c r="ES18">
        <f>IF(Charts!$B$3="none",Q225,IF(CE225="",NA(),CE225))</f>
        <v>0</v>
      </c>
      <c r="ET18">
        <f>IF(Charts!$B$3="none",R225,IF(CF225="",NA(),CF225))</f>
        <v>0</v>
      </c>
      <c r="EU18">
        <f>IF(Charts!$B$3="none",S225,IF(CG225="",NA(),CG225))</f>
        <v>0</v>
      </c>
      <c r="EV18">
        <f>IF(Charts!$B$3="none",T225,IF(CH225="",NA(),CH225))</f>
        <v>0</v>
      </c>
      <c r="EW18">
        <f>IF(Charts!$B$3="none",U225,IF(CI225="",NA(),CI225))</f>
        <v>0</v>
      </c>
      <c r="EX18">
        <f>IF(Charts!$B$3="none",V225,IF(CJ225="",NA(),CJ225))</f>
        <v>0</v>
      </c>
      <c r="EY18">
        <f>IF(Charts!$B$3="none",W225,IF(CK225="",NA(),CK225))</f>
        <v>0</v>
      </c>
      <c r="EZ18">
        <f>IF(Charts!$B$3="none",X225,IF(CL225="",NA(),CL225))</f>
        <v>0</v>
      </c>
      <c r="FA18">
        <f>IF(Charts!$B$3="none",Y225,IF(CM225="",NA(),CM225))</f>
        <v>0</v>
      </c>
      <c r="FB18">
        <f>IF(Charts!$B$3="none",Z225,IF(CN225="",NA(),CN225))</f>
        <v>0</v>
      </c>
      <c r="FC18">
        <f>IF(Charts!$B$3="none",AA225,IF(CO225="",NA(),CO225))</f>
        <v>0</v>
      </c>
      <c r="FD18">
        <f>IF(Charts!$B$3="none",AB225,IF(CP225="",NA(),CP225))</f>
        <v>0</v>
      </c>
      <c r="FE18">
        <f>IF(Charts!$B$3="none",AC225,IF(CQ225="",NA(),CQ225))</f>
        <v>0</v>
      </c>
      <c r="FF18">
        <f>IF(Charts!$B$3="none",AD225,IF(CR225="",NA(),CR225))</f>
        <v>0</v>
      </c>
      <c r="FG18">
        <f>IF(Charts!$B$3="none",AE225,IF(CS225="",NA(),CS225))</f>
        <v>0</v>
      </c>
      <c r="FH18">
        <f>IF(Charts!$B$3="none",AF225,IF(CT225="",NA(),CT225))</f>
        <v>0</v>
      </c>
      <c r="FI18">
        <f>IF(Charts!$B$3="none",AG225,IF(CU225="",NA(),CU225))</f>
        <v>0</v>
      </c>
      <c r="FJ18">
        <f>IF(Charts!$B$3="none",AH225,IF(CV225="",NA(),CV225))</f>
        <v>0</v>
      </c>
      <c r="FK18">
        <f>IF(Charts!$B$3="none",AI225,IF(CW225="",NA(),CW225))</f>
        <v>0</v>
      </c>
      <c r="FL18">
        <f>IF(Charts!$B$3="none",AJ225,IF(CX225="",NA(),CX225))</f>
        <v>0</v>
      </c>
      <c r="FM18">
        <f>IF(Charts!$B$3="none",AK225,IF(CY225="",NA(),CY225))</f>
        <v>0</v>
      </c>
      <c r="FN18">
        <f>IF(Charts!$B$3="none",AL225,IF(CZ225="",NA(),CZ225))</f>
        <v>0</v>
      </c>
      <c r="FO18">
        <f>IF(Charts!$B$3="none",AM225,IF(DA225="",NA(),DA225))</f>
        <v>0</v>
      </c>
      <c r="FP18">
        <f>IF(Charts!$B$3="none",AN225,IF(DB225="",NA(),DB225))</f>
        <v>0</v>
      </c>
      <c r="FQ18">
        <f>IF(Charts!$B$3="none",AO225,IF(DC225="",NA(),DC225))</f>
        <v>0</v>
      </c>
      <c r="FR18">
        <f>IF(Charts!$B$3="none",AP225,IF(DD225="",NA(),DD225))</f>
        <v>0</v>
      </c>
      <c r="FS18">
        <f>IF(Charts!$B$3="none",AQ225,IF(DE225="",NA(),DE225))</f>
        <v>0</v>
      </c>
      <c r="FT18">
        <f>IF(Charts!$B$3="none",AR225,IF(DF225="",NA(),DF225))</f>
        <v>0</v>
      </c>
      <c r="FU18">
        <f>IF(Charts!$B$3="none",AS225,IF(DG225="",NA(),DG225))</f>
        <v>0</v>
      </c>
      <c r="FV18">
        <f>IF(Charts!$B$3="none",AT225,IF(DH225="",NA(),DH225))</f>
        <v>0</v>
      </c>
      <c r="FW18">
        <f>IF(Charts!$B$3="none",AU225,IF(DI225="",NA(),DI225))</f>
        <v>0</v>
      </c>
      <c r="FX18">
        <f>IF(Charts!$B$3="none",AV225,IF(DJ225="",NA(),DJ225))</f>
        <v>0</v>
      </c>
      <c r="FY18">
        <f>IF(Charts!$B$3="none",AW225,IF(DK225="",NA(),DK225))</f>
        <v>0</v>
      </c>
      <c r="FZ18">
        <f>IF(Charts!$B$3="none",AX225,IF(DL225="",NA(),DL225))</f>
        <v>0</v>
      </c>
      <c r="GA18">
        <f>IF(Charts!$B$3="none",AY225,IF(DM225="",NA(),DM225))</f>
        <v>0</v>
      </c>
      <c r="GB18">
        <f>IF(Charts!$B$3="none",AZ225,IF(DN225="",NA(),DN225))</f>
        <v>0</v>
      </c>
      <c r="GC18">
        <f>IF(Charts!$B$3="none",BA225,IF(DO225="",NA(),DO225))</f>
        <v>0</v>
      </c>
      <c r="GD18">
        <f>IF(Charts!$B$3="none",BB225,IF(DP225="",NA(),DP225))</f>
        <v>0</v>
      </c>
      <c r="GE18">
        <f>IF(Charts!$B$3="none",BC225,IF(DQ225="",NA(),DQ225))</f>
        <v>0</v>
      </c>
      <c r="GF18">
        <f>IF(Charts!$B$3="none",BD225,IF(DR225="",NA(),DR225))</f>
        <v>0</v>
      </c>
      <c r="GG18">
        <f>IF(Charts!$B$3="none",BE225,IF(DS225="",NA(),DS225))</f>
        <v>0</v>
      </c>
      <c r="GH18">
        <f>IF(Charts!$B$3="none",BF225,IF(DT225="",NA(),DT225))</f>
        <v>0</v>
      </c>
      <c r="GI18">
        <f>IF(Charts!$B$3="none",BG225,IF(DU225="",NA(),DU225))</f>
        <v>0</v>
      </c>
      <c r="GJ18">
        <f>IF(Charts!$B$3="none",BH225,IF(DV225="",NA(),DV225))</f>
        <v>0</v>
      </c>
      <c r="GK18">
        <f>IF(Charts!$B$3="none",BI225,IF(DW225="",NA(),DW225))</f>
        <v>0</v>
      </c>
      <c r="GL18">
        <f>IF(Charts!$B$3="none",BJ225,IF(DX225="",NA(),DX225))</f>
        <v>0</v>
      </c>
      <c r="GM18">
        <f>IF(Charts!$B$3="none",BK225,IF(DY225="",NA(),DY225))</f>
        <v>0</v>
      </c>
      <c r="GN18">
        <f>IF(Charts!$B$3="none",BL225,IF(DZ225="",NA(),DZ225))</f>
        <v>0</v>
      </c>
      <c r="GO18">
        <f>IF(Charts!$B$3="none",BM225,IF(EA225="",NA(),EA225))</f>
        <v>0</v>
      </c>
      <c r="GP18">
        <f>IF(Charts!$B$3="none",BN225,IF(EB225="",NA(),EB225))</f>
        <v>0</v>
      </c>
      <c r="GQ18">
        <f>IF(Charts!$B$3="none",BO225,IF(EC225="",NA(),EC225))</f>
        <v>0</v>
      </c>
      <c r="GR18">
        <f>IF(Charts!$B$3="none",BP225,IF(ED225="",NA(),ED225))</f>
        <v>0</v>
      </c>
    </row>
    <row r="19" spans="1:200">
      <c r="D19">
        <v>15</v>
      </c>
      <c r="E19">
        <f>IF(INDIRECT(ADDRESS($D19+2,E$2+1,,,"Instances"))="","",INDIRECT(ADDRESS($D19+2,E$2+1,,,"Instances")))</f>
        <v>0</v>
      </c>
      <c r="F19">
        <f>IFERROR(SMALL(E5:E44,ROW()-ROW($F$5)+1),"")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IFERROR(SMALL(I5:I44,ROW()-ROW($J$5)+1),"")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IFERROR(SMALL(M5:M44,ROW()-ROW($N$5)+1),"")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IFERROR(SMALL(Q5:Q44,ROW()-ROW($R$5)+1),"")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IFERROR(SMALL(U5:U44,ROW()-ROW($V$5)+1),"")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IFERROR(SMALL(Y5:Y44,ROW()-ROW($Z$5)+1),"")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IFERROR(SMALL(AC5:AC44,ROW()-ROW($AD$5)+1),"")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IFERROR(SMALL(AG5:AG44,ROW()-ROW($AH$5)+1),"")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IFERROR(SMALL(AK5:AK44,ROW()-ROW($AL$5)+1),"")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IFERROR(SMALL(AO5:AO44,ROW()-ROW($AP$5)+1),"")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IFERROR(SMALL(AS5:AS44,ROW()-ROW($AT$5)+1),"")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IFERROR(SMALL(AW5:AW44,ROW()-ROW($AX$5)+1),"")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IFERROR(SMALL(BA5:BA44,ROW()-ROW($BB$5)+1),"")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IFERROR(SMALL(BE5:BE44,ROW()-ROW($BF$5)+1),"")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IFERROR(SMALL(BI5:BI44,ROW()-ROW($BJ$5)+1),"")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IFERROR(SMALL(BM5:BM44,ROW()-ROW($BN$5)+1),"")</f>
        <v>0</v>
      </c>
      <c r="BP19">
        <f>IFERROR(SUM(BN5:BN19),"")</f>
        <v>0</v>
      </c>
      <c r="BR19">
        <v>15</v>
      </c>
      <c r="BS19" cm="1">
        <f t="array" ref="BS19">_xlfn.SWITCH(Charts!$B$3,"average", AVERAGE(INDIRECT(ADDRESS(14+3,BS$2+1,,,"Instances") &amp; ":" &amp; ADDRESS(14+3,BS$2+1))),"median", MEDIAN(INDIRECT(ADDRESS(14+3,BS$2+1,,,"Instances") &amp; ":" &amp; ADDRESS(14+3,BS$2+1))),"min", MIN(INDIRECT(ADDRESS(14+3,BS$2+1,,,"Instances") &amp; ":" &amp; ADDRESS(14+3,BS$2+1))),"max", MAX(INDIRECT(ADDRESS(14+3,BS$2+1,,,"Instances") &amp; ":" &amp; ADDRESS(14+3,BS$2+1))),"diff", MAX(INDIRECT(ADDRESS(14+3,BS$2+1,,,"Instances") &amp; ":" &amp; ADDRESS(14+3,BS$2+1)))-MIN(INDIRECT(ADDRESS(14+3,BS$2+1,,,"Instances") &amp; ":" &amp; ADDRESS(14+3,BS$2+1))))</f>
        <v>0</v>
      </c>
      <c r="BT19">
        <f>IFERROR(SMALL(BS5:BS44,ROW()-ROW($BT$5)+1),"")</f>
        <v>0</v>
      </c>
      <c r="BV19">
        <f>IFERROR(SUM(BT5:BT19),"")</f>
        <v>0</v>
      </c>
      <c r="BW19" cm="1">
        <f t="array" ref="BW19">_xlfn.SWITCH(Charts!$B$3,"average", AVERAGE(INDIRECT(ADDRESS(14+3,BW$2+1,,,"Instances") &amp; ":" &amp; ADDRESS(14+3,BW$2+1))),"median", MEDIAN(INDIRECT(ADDRESS(14+3,BW$2+1,,,"Instances") &amp; ":" &amp; ADDRESS(14+3,BW$2+1))),"min", MIN(INDIRECT(ADDRESS(14+3,BW$2+1,,,"Instances") &amp; ":" &amp; ADDRESS(14+3,BW$2+1))),"max", MAX(INDIRECT(ADDRESS(14+3,BW$2+1,,,"Instances") &amp; ":" &amp; ADDRESS(14+3,BW$2+1))),"diff", MAX(INDIRECT(ADDRESS(14+3,BW$2+1,,,"Instances") &amp; ":" &amp; ADDRESS(14+3,BW$2+1)))-MIN(INDIRECT(ADDRESS(14+3,BW$2+1,,,"Instances") &amp; ":" &amp; ADDRESS(14+3,BW$2+1))))</f>
        <v>0</v>
      </c>
      <c r="BX19">
        <f>IFERROR(SMALL(BW5:BW44,ROW()-ROW($BX$5)+1),"")</f>
        <v>0</v>
      </c>
      <c r="BZ19">
        <f>IFERROR(SUM(BX5:BX19),"")</f>
        <v>0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IFERROR(SMALL(CA5:CA44,ROW()-ROW($CB$5)+1),"")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IFERROR(SMALL(CE5:CE44,ROW()-ROW($CF$5)+1),"")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IFERROR(SMALL(CI5:CI44,ROW()-ROW($CJ$5)+1),"")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IFERROR(SMALL(CM5:CM44,ROW()-ROW($CN$5)+1),"")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IFERROR(SMALL(CQ5:CQ44,ROW()-ROW($CR$5)+1),"")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IFERROR(SMALL(CU5:CU44,ROW()-ROW($CV$5)+1),"")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IFERROR(SMALL(CY5:CY44,ROW()-ROW($CZ$5)+1),"")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IFERROR(SMALL(DC5:DC44,ROW()-ROW($DD$5)+1),"")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IFERROR(SMALL(DG5:DG44,ROW()-ROW($DH$5)+1),"")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IFERROR(SMALL(DK5:DK44,ROW()-ROW($DL$5)+1),"")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IFERROR(SMALL(DO5:DO44,ROW()-ROW($DP$5)+1),"")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IFERROR(SMALL(DS5:DS44,ROW()-ROW($DT$5)+1),"")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IFERROR(SMALL(DW5:DW44,ROW()-ROW($DX$5)+1),"")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IFERROR(SMALL(EA5:EA44,ROW()-ROW($EB$5)+1),"")</f>
        <v>0</v>
      </c>
      <c r="ED19">
        <f>IFERROR(SUM(EB5:EB19),"")</f>
        <v>0</v>
      </c>
      <c r="EG19">
        <f>IF(Charts!$B$3="none",E226,IF(BS226="",NA(),BS226))</f>
        <v>0</v>
      </c>
      <c r="EH19">
        <f>IF(Charts!$B$3="none",F226,IF(BT226="",NA(),BT226))</f>
        <v>0</v>
      </c>
      <c r="EI19">
        <f>IF(Charts!$B$3="none",G226,IF(BU226="",NA(),BU226))</f>
        <v>0</v>
      </c>
      <c r="EJ19">
        <f>IF(Charts!$B$3="none",H226,IF(BV226="",NA(),BV226))</f>
        <v>0</v>
      </c>
      <c r="EK19">
        <f>IF(Charts!$B$3="none",I226,IF(BW226="",NA(),BW226))</f>
        <v>0</v>
      </c>
      <c r="EL19">
        <f>IF(Charts!$B$3="none",J226,IF(BX226="",NA(),BX226))</f>
        <v>0</v>
      </c>
      <c r="EM19">
        <f>IF(Charts!$B$3="none",K226,IF(BY226="",NA(),BY226))</f>
        <v>0</v>
      </c>
      <c r="EN19">
        <f>IF(Charts!$B$3="none",L226,IF(BZ226="",NA(),BZ226))</f>
        <v>0</v>
      </c>
      <c r="EO19">
        <f>IF(Charts!$B$3="none",M226,IF(CA226="",NA(),CA226))</f>
        <v>0</v>
      </c>
      <c r="EP19">
        <f>IF(Charts!$B$3="none",N226,IF(CB226="",NA(),CB226))</f>
        <v>0</v>
      </c>
      <c r="EQ19">
        <f>IF(Charts!$B$3="none",O226,IF(CC226="",NA(),CC226))</f>
        <v>0</v>
      </c>
      <c r="ER19">
        <f>IF(Charts!$B$3="none",P226,IF(CD226="",NA(),CD226))</f>
        <v>0</v>
      </c>
      <c r="ES19">
        <f>IF(Charts!$B$3="none",Q226,IF(CE226="",NA(),CE226))</f>
        <v>0</v>
      </c>
      <c r="ET19">
        <f>IF(Charts!$B$3="none",R226,IF(CF226="",NA(),CF226))</f>
        <v>0</v>
      </c>
      <c r="EU19">
        <f>IF(Charts!$B$3="none",S226,IF(CG226="",NA(),CG226))</f>
        <v>0</v>
      </c>
      <c r="EV19">
        <f>IF(Charts!$B$3="none",T226,IF(CH226="",NA(),CH226))</f>
        <v>0</v>
      </c>
      <c r="EW19">
        <f>IF(Charts!$B$3="none",U226,IF(CI226="",NA(),CI226))</f>
        <v>0</v>
      </c>
      <c r="EX19">
        <f>IF(Charts!$B$3="none",V226,IF(CJ226="",NA(),CJ226))</f>
        <v>0</v>
      </c>
      <c r="EY19">
        <f>IF(Charts!$B$3="none",W226,IF(CK226="",NA(),CK226))</f>
        <v>0</v>
      </c>
      <c r="EZ19">
        <f>IF(Charts!$B$3="none",X226,IF(CL226="",NA(),CL226))</f>
        <v>0</v>
      </c>
      <c r="FA19">
        <f>IF(Charts!$B$3="none",Y226,IF(CM226="",NA(),CM226))</f>
        <v>0</v>
      </c>
      <c r="FB19">
        <f>IF(Charts!$B$3="none",Z226,IF(CN226="",NA(),CN226))</f>
        <v>0</v>
      </c>
      <c r="FC19">
        <f>IF(Charts!$B$3="none",AA226,IF(CO226="",NA(),CO226))</f>
        <v>0</v>
      </c>
      <c r="FD19">
        <f>IF(Charts!$B$3="none",AB226,IF(CP226="",NA(),CP226))</f>
        <v>0</v>
      </c>
      <c r="FE19">
        <f>IF(Charts!$B$3="none",AC226,IF(CQ226="",NA(),CQ226))</f>
        <v>0</v>
      </c>
      <c r="FF19">
        <f>IF(Charts!$B$3="none",AD226,IF(CR226="",NA(),CR226))</f>
        <v>0</v>
      </c>
      <c r="FG19">
        <f>IF(Charts!$B$3="none",AE226,IF(CS226="",NA(),CS226))</f>
        <v>0</v>
      </c>
      <c r="FH19">
        <f>IF(Charts!$B$3="none",AF226,IF(CT226="",NA(),CT226))</f>
        <v>0</v>
      </c>
      <c r="FI19">
        <f>IF(Charts!$B$3="none",AG226,IF(CU226="",NA(),CU226))</f>
        <v>0</v>
      </c>
      <c r="FJ19">
        <f>IF(Charts!$B$3="none",AH226,IF(CV226="",NA(),CV226))</f>
        <v>0</v>
      </c>
      <c r="FK19">
        <f>IF(Charts!$B$3="none",AI226,IF(CW226="",NA(),CW226))</f>
        <v>0</v>
      </c>
      <c r="FL19">
        <f>IF(Charts!$B$3="none",AJ226,IF(CX226="",NA(),CX226))</f>
        <v>0</v>
      </c>
      <c r="FM19">
        <f>IF(Charts!$B$3="none",AK226,IF(CY226="",NA(),CY226))</f>
        <v>0</v>
      </c>
      <c r="FN19">
        <f>IF(Charts!$B$3="none",AL226,IF(CZ226="",NA(),CZ226))</f>
        <v>0</v>
      </c>
      <c r="FO19">
        <f>IF(Charts!$B$3="none",AM226,IF(DA226="",NA(),DA226))</f>
        <v>0</v>
      </c>
      <c r="FP19">
        <f>IF(Charts!$B$3="none",AN226,IF(DB226="",NA(),DB226))</f>
        <v>0</v>
      </c>
      <c r="FQ19">
        <f>IF(Charts!$B$3="none",AO226,IF(DC226="",NA(),DC226))</f>
        <v>0</v>
      </c>
      <c r="FR19">
        <f>IF(Charts!$B$3="none",AP226,IF(DD226="",NA(),DD226))</f>
        <v>0</v>
      </c>
      <c r="FS19">
        <f>IF(Charts!$B$3="none",AQ226,IF(DE226="",NA(),DE226))</f>
        <v>0</v>
      </c>
      <c r="FT19">
        <f>IF(Charts!$B$3="none",AR226,IF(DF226="",NA(),DF226))</f>
        <v>0</v>
      </c>
      <c r="FU19">
        <f>IF(Charts!$B$3="none",AS226,IF(DG226="",NA(),DG226))</f>
        <v>0</v>
      </c>
      <c r="FV19">
        <f>IF(Charts!$B$3="none",AT226,IF(DH226="",NA(),DH226))</f>
        <v>0</v>
      </c>
      <c r="FW19">
        <f>IF(Charts!$B$3="none",AU226,IF(DI226="",NA(),DI226))</f>
        <v>0</v>
      </c>
      <c r="FX19">
        <f>IF(Charts!$B$3="none",AV226,IF(DJ226="",NA(),DJ226))</f>
        <v>0</v>
      </c>
      <c r="FY19">
        <f>IF(Charts!$B$3="none",AW226,IF(DK226="",NA(),DK226))</f>
        <v>0</v>
      </c>
      <c r="FZ19">
        <f>IF(Charts!$B$3="none",AX226,IF(DL226="",NA(),DL226))</f>
        <v>0</v>
      </c>
      <c r="GA19">
        <f>IF(Charts!$B$3="none",AY226,IF(DM226="",NA(),DM226))</f>
        <v>0</v>
      </c>
      <c r="GB19">
        <f>IF(Charts!$B$3="none",AZ226,IF(DN226="",NA(),DN226))</f>
        <v>0</v>
      </c>
      <c r="GC19">
        <f>IF(Charts!$B$3="none",BA226,IF(DO226="",NA(),DO226))</f>
        <v>0</v>
      </c>
      <c r="GD19">
        <f>IF(Charts!$B$3="none",BB226,IF(DP226="",NA(),DP226))</f>
        <v>0</v>
      </c>
      <c r="GE19">
        <f>IF(Charts!$B$3="none",BC226,IF(DQ226="",NA(),DQ226))</f>
        <v>0</v>
      </c>
      <c r="GF19">
        <f>IF(Charts!$B$3="none",BD226,IF(DR226="",NA(),DR226))</f>
        <v>0</v>
      </c>
      <c r="GG19">
        <f>IF(Charts!$B$3="none",BE226,IF(DS226="",NA(),DS226))</f>
        <v>0</v>
      </c>
      <c r="GH19">
        <f>IF(Charts!$B$3="none",BF226,IF(DT226="",NA(),DT226))</f>
        <v>0</v>
      </c>
      <c r="GI19">
        <f>IF(Charts!$B$3="none",BG226,IF(DU226="",NA(),DU226))</f>
        <v>0</v>
      </c>
      <c r="GJ19">
        <f>IF(Charts!$B$3="none",BH226,IF(DV226="",NA(),DV226))</f>
        <v>0</v>
      </c>
      <c r="GK19">
        <f>IF(Charts!$B$3="none",BI226,IF(DW226="",NA(),DW226))</f>
        <v>0</v>
      </c>
      <c r="GL19">
        <f>IF(Charts!$B$3="none",BJ226,IF(DX226="",NA(),DX226))</f>
        <v>0</v>
      </c>
      <c r="GM19">
        <f>IF(Charts!$B$3="none",BK226,IF(DY226="",NA(),DY226))</f>
        <v>0</v>
      </c>
      <c r="GN19">
        <f>IF(Charts!$B$3="none",BL226,IF(DZ226="",NA(),DZ226))</f>
        <v>0</v>
      </c>
      <c r="GO19">
        <f>IF(Charts!$B$3="none",BM226,IF(EA226="",NA(),EA226))</f>
        <v>0</v>
      </c>
      <c r="GP19">
        <f>IF(Charts!$B$3="none",BN226,IF(EB226="",NA(),EB226))</f>
        <v>0</v>
      </c>
      <c r="GQ19">
        <f>IF(Charts!$B$3="none",BO226,IF(EC226="",NA(),EC226))</f>
        <v>0</v>
      </c>
      <c r="GR19">
        <f>IF(Charts!$B$3="none",BP226,IF(ED226="",NA(),ED226))</f>
        <v>0</v>
      </c>
    </row>
    <row r="20" spans="1:200">
      <c r="D20">
        <v>16</v>
      </c>
      <c r="E20">
        <f>IF(INDIRECT(ADDRESS($D20+2,E$2+1,,,"Instances"))="","",INDIRECT(ADDRESS($D20+2,E$2+1,,,"Instances")))</f>
        <v>0</v>
      </c>
      <c r="F20">
        <f>IFERROR(SMALL(E5:E44,ROW()-ROW($F$5)+1),"")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IFERROR(SMALL(I5:I44,ROW()-ROW($J$5)+1),"")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IFERROR(SMALL(M5:M44,ROW()-ROW($N$5)+1),"")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IFERROR(SMALL(Q5:Q44,ROW()-ROW($R$5)+1),"")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IFERROR(SMALL(U5:U44,ROW()-ROW($V$5)+1),"")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IFERROR(SMALL(Y5:Y44,ROW()-ROW($Z$5)+1),"")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IFERROR(SMALL(AC5:AC44,ROW()-ROW($AD$5)+1),"")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IFERROR(SMALL(AG5:AG44,ROW()-ROW($AH$5)+1),"")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IFERROR(SMALL(AK5:AK44,ROW()-ROW($AL$5)+1),"")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IFERROR(SMALL(AO5:AO44,ROW()-ROW($AP$5)+1),"")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IFERROR(SMALL(AS5:AS44,ROW()-ROW($AT$5)+1),"")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IFERROR(SMALL(AW5:AW44,ROW()-ROW($AX$5)+1),"")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IFERROR(SMALL(BA5:BA44,ROW()-ROW($BB$5)+1),"")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IFERROR(SMALL(BE5:BE44,ROW()-ROW($BF$5)+1),"")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IFERROR(SMALL(BI5:BI44,ROW()-ROW($BJ$5)+1),"")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IFERROR(SMALL(BM5:BM44,ROW()-ROW($BN$5)+1),"")</f>
        <v>0</v>
      </c>
      <c r="BP20">
        <f>IFERROR(SUM(BN5:BN20),"")</f>
        <v>0</v>
      </c>
      <c r="BR20">
        <v>16</v>
      </c>
      <c r="BS20" cm="1">
        <f t="array" ref="BS20">_xlfn.SWITCH(Charts!$B$3,"average", AVERAGE(INDIRECT(ADDRESS(15+3,BS$2+1,,,"Instances") &amp; ":" &amp; ADDRESS(15+3,BS$2+1))),"median", MEDIAN(INDIRECT(ADDRESS(15+3,BS$2+1,,,"Instances") &amp; ":" &amp; ADDRESS(15+3,BS$2+1))),"min", MIN(INDIRECT(ADDRESS(15+3,BS$2+1,,,"Instances") &amp; ":" &amp; ADDRESS(15+3,BS$2+1))),"max", MAX(INDIRECT(ADDRESS(15+3,BS$2+1,,,"Instances") &amp; ":" &amp; ADDRESS(15+3,BS$2+1))),"diff", MAX(INDIRECT(ADDRESS(15+3,BS$2+1,,,"Instances") &amp; ":" &amp; ADDRESS(15+3,BS$2+1)))-MIN(INDIRECT(ADDRESS(15+3,BS$2+1,,,"Instances") &amp; ":" &amp; ADDRESS(15+3,BS$2+1))))</f>
        <v>0</v>
      </c>
      <c r="BT20">
        <f>IFERROR(SMALL(BS5:BS44,ROW()-ROW($BT$5)+1),"")</f>
        <v>0</v>
      </c>
      <c r="BV20">
        <f>IFERROR(SUM(BT5:BT20),"")</f>
        <v>0</v>
      </c>
      <c r="BW20" cm="1">
        <f t="array" ref="BW20">_xlfn.SWITCH(Charts!$B$3,"average", AVERAGE(INDIRECT(ADDRESS(15+3,BW$2+1,,,"Instances") &amp; ":" &amp; ADDRESS(15+3,BW$2+1))),"median", MEDIAN(INDIRECT(ADDRESS(15+3,BW$2+1,,,"Instances") &amp; ":" &amp; ADDRESS(15+3,BW$2+1))),"min", MIN(INDIRECT(ADDRESS(15+3,BW$2+1,,,"Instances") &amp; ":" &amp; ADDRESS(15+3,BW$2+1))),"max", MAX(INDIRECT(ADDRESS(15+3,BW$2+1,,,"Instances") &amp; ":" &amp; ADDRESS(15+3,BW$2+1))),"diff", MAX(INDIRECT(ADDRESS(15+3,BW$2+1,,,"Instances") &amp; ":" &amp; ADDRESS(15+3,BW$2+1)))-MIN(INDIRECT(ADDRESS(15+3,BW$2+1,,,"Instances") &amp; ":" &amp; ADDRESS(15+3,BW$2+1))))</f>
        <v>0</v>
      </c>
      <c r="BX20">
        <f>IFERROR(SMALL(BW5:BW44,ROW()-ROW($BX$5)+1),"")</f>
        <v>0</v>
      </c>
      <c r="BZ20">
        <f>IFERROR(SUM(BX5:BX20),"")</f>
        <v>0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IFERROR(SMALL(CA5:CA44,ROW()-ROW($CB$5)+1),"")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IFERROR(SMALL(CE5:CE44,ROW()-ROW($CF$5)+1),"")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IFERROR(SMALL(CI5:CI44,ROW()-ROW($CJ$5)+1),"")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IFERROR(SMALL(CM5:CM44,ROW()-ROW($CN$5)+1),"")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IFERROR(SMALL(CQ5:CQ44,ROW()-ROW($CR$5)+1),"")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IFERROR(SMALL(CU5:CU44,ROW()-ROW($CV$5)+1),"")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IFERROR(SMALL(CY5:CY44,ROW()-ROW($CZ$5)+1),"")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IFERROR(SMALL(DC5:DC44,ROW()-ROW($DD$5)+1),"")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IFERROR(SMALL(DG5:DG44,ROW()-ROW($DH$5)+1),"")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IFERROR(SMALL(DK5:DK44,ROW()-ROW($DL$5)+1),"")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IFERROR(SMALL(DO5:DO44,ROW()-ROW($DP$5)+1),"")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IFERROR(SMALL(DS5:DS44,ROW()-ROW($DT$5)+1),"")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IFERROR(SMALL(DW5:DW44,ROW()-ROW($DX$5)+1),"")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IFERROR(SMALL(EA5:EA44,ROW()-ROW($EB$5)+1),"")</f>
        <v>0</v>
      </c>
      <c r="ED20">
        <f>IFERROR(SUM(EB5:EB20),"")</f>
        <v>0</v>
      </c>
      <c r="EG20">
        <f>IF(Charts!$B$3="none",E227,IF(BS227="",NA(),BS227))</f>
        <v>0</v>
      </c>
      <c r="EH20">
        <f>IF(Charts!$B$3="none",F227,IF(BT227="",NA(),BT227))</f>
        <v>0</v>
      </c>
      <c r="EI20">
        <f>IF(Charts!$B$3="none",G227,IF(BU227="",NA(),BU227))</f>
        <v>0</v>
      </c>
      <c r="EJ20">
        <f>IF(Charts!$B$3="none",H227,IF(BV227="",NA(),BV227))</f>
        <v>0</v>
      </c>
      <c r="EK20">
        <f>IF(Charts!$B$3="none",I227,IF(BW227="",NA(),BW227))</f>
        <v>0</v>
      </c>
      <c r="EL20">
        <f>IF(Charts!$B$3="none",J227,IF(BX227="",NA(),BX227))</f>
        <v>0</v>
      </c>
      <c r="EM20">
        <f>IF(Charts!$B$3="none",K227,IF(BY227="",NA(),BY227))</f>
        <v>0</v>
      </c>
      <c r="EN20">
        <f>IF(Charts!$B$3="none",L227,IF(BZ227="",NA(),BZ227))</f>
        <v>0</v>
      </c>
      <c r="EO20">
        <f>IF(Charts!$B$3="none",M227,IF(CA227="",NA(),CA227))</f>
        <v>0</v>
      </c>
      <c r="EP20">
        <f>IF(Charts!$B$3="none",N227,IF(CB227="",NA(),CB227))</f>
        <v>0</v>
      </c>
      <c r="EQ20">
        <f>IF(Charts!$B$3="none",O227,IF(CC227="",NA(),CC227))</f>
        <v>0</v>
      </c>
      <c r="ER20">
        <f>IF(Charts!$B$3="none",P227,IF(CD227="",NA(),CD227))</f>
        <v>0</v>
      </c>
      <c r="ES20">
        <f>IF(Charts!$B$3="none",Q227,IF(CE227="",NA(),CE227))</f>
        <v>0</v>
      </c>
      <c r="ET20">
        <f>IF(Charts!$B$3="none",R227,IF(CF227="",NA(),CF227))</f>
        <v>0</v>
      </c>
      <c r="EU20">
        <f>IF(Charts!$B$3="none",S227,IF(CG227="",NA(),CG227))</f>
        <v>0</v>
      </c>
      <c r="EV20">
        <f>IF(Charts!$B$3="none",T227,IF(CH227="",NA(),CH227))</f>
        <v>0</v>
      </c>
      <c r="EW20">
        <f>IF(Charts!$B$3="none",U227,IF(CI227="",NA(),CI227))</f>
        <v>0</v>
      </c>
      <c r="EX20">
        <f>IF(Charts!$B$3="none",V227,IF(CJ227="",NA(),CJ227))</f>
        <v>0</v>
      </c>
      <c r="EY20">
        <f>IF(Charts!$B$3="none",W227,IF(CK227="",NA(),CK227))</f>
        <v>0</v>
      </c>
      <c r="EZ20">
        <f>IF(Charts!$B$3="none",X227,IF(CL227="",NA(),CL227))</f>
        <v>0</v>
      </c>
      <c r="FA20">
        <f>IF(Charts!$B$3="none",Y227,IF(CM227="",NA(),CM227))</f>
        <v>0</v>
      </c>
      <c r="FB20">
        <f>IF(Charts!$B$3="none",Z227,IF(CN227="",NA(),CN227))</f>
        <v>0</v>
      </c>
      <c r="FC20">
        <f>IF(Charts!$B$3="none",AA227,IF(CO227="",NA(),CO227))</f>
        <v>0</v>
      </c>
      <c r="FD20">
        <f>IF(Charts!$B$3="none",AB227,IF(CP227="",NA(),CP227))</f>
        <v>0</v>
      </c>
      <c r="FE20">
        <f>IF(Charts!$B$3="none",AC227,IF(CQ227="",NA(),CQ227))</f>
        <v>0</v>
      </c>
      <c r="FF20">
        <f>IF(Charts!$B$3="none",AD227,IF(CR227="",NA(),CR227))</f>
        <v>0</v>
      </c>
      <c r="FG20">
        <f>IF(Charts!$B$3="none",AE227,IF(CS227="",NA(),CS227))</f>
        <v>0</v>
      </c>
      <c r="FH20">
        <f>IF(Charts!$B$3="none",AF227,IF(CT227="",NA(),CT227))</f>
        <v>0</v>
      </c>
      <c r="FI20">
        <f>IF(Charts!$B$3="none",AG227,IF(CU227="",NA(),CU227))</f>
        <v>0</v>
      </c>
      <c r="FJ20">
        <f>IF(Charts!$B$3="none",AH227,IF(CV227="",NA(),CV227))</f>
        <v>0</v>
      </c>
      <c r="FK20">
        <f>IF(Charts!$B$3="none",AI227,IF(CW227="",NA(),CW227))</f>
        <v>0</v>
      </c>
      <c r="FL20">
        <f>IF(Charts!$B$3="none",AJ227,IF(CX227="",NA(),CX227))</f>
        <v>0</v>
      </c>
      <c r="FM20">
        <f>IF(Charts!$B$3="none",AK227,IF(CY227="",NA(),CY227))</f>
        <v>0</v>
      </c>
      <c r="FN20">
        <f>IF(Charts!$B$3="none",AL227,IF(CZ227="",NA(),CZ227))</f>
        <v>0</v>
      </c>
      <c r="FO20">
        <f>IF(Charts!$B$3="none",AM227,IF(DA227="",NA(),DA227))</f>
        <v>0</v>
      </c>
      <c r="FP20">
        <f>IF(Charts!$B$3="none",AN227,IF(DB227="",NA(),DB227))</f>
        <v>0</v>
      </c>
      <c r="FQ20">
        <f>IF(Charts!$B$3="none",AO227,IF(DC227="",NA(),DC227))</f>
        <v>0</v>
      </c>
      <c r="FR20">
        <f>IF(Charts!$B$3="none",AP227,IF(DD227="",NA(),DD227))</f>
        <v>0</v>
      </c>
      <c r="FS20">
        <f>IF(Charts!$B$3="none",AQ227,IF(DE227="",NA(),DE227))</f>
        <v>0</v>
      </c>
      <c r="FT20">
        <f>IF(Charts!$B$3="none",AR227,IF(DF227="",NA(),DF227))</f>
        <v>0</v>
      </c>
      <c r="FU20">
        <f>IF(Charts!$B$3="none",AS227,IF(DG227="",NA(),DG227))</f>
        <v>0</v>
      </c>
      <c r="FV20">
        <f>IF(Charts!$B$3="none",AT227,IF(DH227="",NA(),DH227))</f>
        <v>0</v>
      </c>
      <c r="FW20">
        <f>IF(Charts!$B$3="none",AU227,IF(DI227="",NA(),DI227))</f>
        <v>0</v>
      </c>
      <c r="FX20">
        <f>IF(Charts!$B$3="none",AV227,IF(DJ227="",NA(),DJ227))</f>
        <v>0</v>
      </c>
      <c r="FY20">
        <f>IF(Charts!$B$3="none",AW227,IF(DK227="",NA(),DK227))</f>
        <v>0</v>
      </c>
      <c r="FZ20">
        <f>IF(Charts!$B$3="none",AX227,IF(DL227="",NA(),DL227))</f>
        <v>0</v>
      </c>
      <c r="GA20">
        <f>IF(Charts!$B$3="none",AY227,IF(DM227="",NA(),DM227))</f>
        <v>0</v>
      </c>
      <c r="GB20">
        <f>IF(Charts!$B$3="none",AZ227,IF(DN227="",NA(),DN227))</f>
        <v>0</v>
      </c>
      <c r="GC20">
        <f>IF(Charts!$B$3="none",BA227,IF(DO227="",NA(),DO227))</f>
        <v>0</v>
      </c>
      <c r="GD20">
        <f>IF(Charts!$B$3="none",BB227,IF(DP227="",NA(),DP227))</f>
        <v>0</v>
      </c>
      <c r="GE20">
        <f>IF(Charts!$B$3="none",BC227,IF(DQ227="",NA(),DQ227))</f>
        <v>0</v>
      </c>
      <c r="GF20">
        <f>IF(Charts!$B$3="none",BD227,IF(DR227="",NA(),DR227))</f>
        <v>0</v>
      </c>
      <c r="GG20">
        <f>IF(Charts!$B$3="none",BE227,IF(DS227="",NA(),DS227))</f>
        <v>0</v>
      </c>
      <c r="GH20">
        <f>IF(Charts!$B$3="none",BF227,IF(DT227="",NA(),DT227))</f>
        <v>0</v>
      </c>
      <c r="GI20">
        <f>IF(Charts!$B$3="none",BG227,IF(DU227="",NA(),DU227))</f>
        <v>0</v>
      </c>
      <c r="GJ20">
        <f>IF(Charts!$B$3="none",BH227,IF(DV227="",NA(),DV227))</f>
        <v>0</v>
      </c>
      <c r="GK20">
        <f>IF(Charts!$B$3="none",BI227,IF(DW227="",NA(),DW227))</f>
        <v>0</v>
      </c>
      <c r="GL20">
        <f>IF(Charts!$B$3="none",BJ227,IF(DX227="",NA(),DX227))</f>
        <v>0</v>
      </c>
      <c r="GM20">
        <f>IF(Charts!$B$3="none",BK227,IF(DY227="",NA(),DY227))</f>
        <v>0</v>
      </c>
      <c r="GN20">
        <f>IF(Charts!$B$3="none",BL227,IF(DZ227="",NA(),DZ227))</f>
        <v>0</v>
      </c>
      <c r="GO20">
        <f>IF(Charts!$B$3="none",BM227,IF(EA227="",NA(),EA227))</f>
        <v>0</v>
      </c>
      <c r="GP20">
        <f>IF(Charts!$B$3="none",BN227,IF(EB227="",NA(),EB227))</f>
        <v>0</v>
      </c>
      <c r="GQ20">
        <f>IF(Charts!$B$3="none",BO227,IF(EC227="",NA(),EC227))</f>
        <v>0</v>
      </c>
      <c r="GR20">
        <f>IF(Charts!$B$3="none",BP227,IF(ED227="",NA(),ED227))</f>
        <v>0</v>
      </c>
    </row>
    <row r="21" spans="1:200">
      <c r="D21">
        <v>17</v>
      </c>
      <c r="E21">
        <f>IF(INDIRECT(ADDRESS($D21+2,E$2+1,,,"Instances"))="","",INDIRECT(ADDRESS($D21+2,E$2+1,,,"Instances")))</f>
        <v>0</v>
      </c>
      <c r="F21">
        <f>IFERROR(SMALL(E5:E44,ROW()-ROW($F$5)+1),"")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IFERROR(SMALL(I5:I44,ROW()-ROW($J$5)+1),"")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IFERROR(SMALL(M5:M44,ROW()-ROW($N$5)+1),"")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IFERROR(SMALL(Q5:Q44,ROW()-ROW($R$5)+1),"")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IFERROR(SMALL(U5:U44,ROW()-ROW($V$5)+1),"")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IFERROR(SMALL(Y5:Y44,ROW()-ROW($Z$5)+1),"")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IFERROR(SMALL(AC5:AC44,ROW()-ROW($AD$5)+1),"")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IFERROR(SMALL(AG5:AG44,ROW()-ROW($AH$5)+1),"")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IFERROR(SMALL(AK5:AK44,ROW()-ROW($AL$5)+1),"")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IFERROR(SMALL(AO5:AO44,ROW()-ROW($AP$5)+1),"")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IFERROR(SMALL(AS5:AS44,ROW()-ROW($AT$5)+1),"")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IFERROR(SMALL(AW5:AW44,ROW()-ROW($AX$5)+1),"")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IFERROR(SMALL(BA5:BA44,ROW()-ROW($BB$5)+1),"")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IFERROR(SMALL(BE5:BE44,ROW()-ROW($BF$5)+1),"")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IFERROR(SMALL(BI5:BI44,ROW()-ROW($BJ$5)+1),"")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IFERROR(SMALL(BM5:BM44,ROW()-ROW($BN$5)+1),"")</f>
        <v>0</v>
      </c>
      <c r="BP21">
        <f>IFERROR(SUM(BN5:BN21),"")</f>
        <v>0</v>
      </c>
      <c r="BR21">
        <v>17</v>
      </c>
      <c r="BS21" cm="1">
        <f t="array" ref="BS21">_xlfn.SWITCH(Charts!$B$3,"average", AVERAGE(INDIRECT(ADDRESS(16+3,BS$2+1,,,"Instances") &amp; ":" &amp; ADDRESS(16+3,BS$2+1))),"median", MEDIAN(INDIRECT(ADDRESS(16+3,BS$2+1,,,"Instances") &amp; ":" &amp; ADDRESS(16+3,BS$2+1))),"min", MIN(INDIRECT(ADDRESS(16+3,BS$2+1,,,"Instances") &amp; ":" &amp; ADDRESS(16+3,BS$2+1))),"max", MAX(INDIRECT(ADDRESS(16+3,BS$2+1,,,"Instances") &amp; ":" &amp; ADDRESS(16+3,BS$2+1))),"diff", MAX(INDIRECT(ADDRESS(16+3,BS$2+1,,,"Instances") &amp; ":" &amp; ADDRESS(16+3,BS$2+1)))-MIN(INDIRECT(ADDRESS(16+3,BS$2+1,,,"Instances") &amp; ":" &amp; ADDRESS(16+3,BS$2+1))))</f>
        <v>0</v>
      </c>
      <c r="BT21">
        <f>IFERROR(SMALL(BS5:BS44,ROW()-ROW($BT$5)+1),"")</f>
        <v>0</v>
      </c>
      <c r="BV21">
        <f>IFERROR(SUM(BT5:BT21),"")</f>
        <v>0</v>
      </c>
      <c r="BW21" cm="1">
        <f t="array" ref="BW21">_xlfn.SWITCH(Charts!$B$3,"average", AVERAGE(INDIRECT(ADDRESS(16+3,BW$2+1,,,"Instances") &amp; ":" &amp; ADDRESS(16+3,BW$2+1))),"median", MEDIAN(INDIRECT(ADDRESS(16+3,BW$2+1,,,"Instances") &amp; ":" &amp; ADDRESS(16+3,BW$2+1))),"min", MIN(INDIRECT(ADDRESS(16+3,BW$2+1,,,"Instances") &amp; ":" &amp; ADDRESS(16+3,BW$2+1))),"max", MAX(INDIRECT(ADDRESS(16+3,BW$2+1,,,"Instances") &amp; ":" &amp; ADDRESS(16+3,BW$2+1))),"diff", MAX(INDIRECT(ADDRESS(16+3,BW$2+1,,,"Instances") &amp; ":" &amp; ADDRESS(16+3,BW$2+1)))-MIN(INDIRECT(ADDRESS(16+3,BW$2+1,,,"Instances") &amp; ":" &amp; ADDRESS(16+3,BW$2+1))))</f>
        <v>0</v>
      </c>
      <c r="BX21">
        <f>IFERROR(SMALL(BW5:BW44,ROW()-ROW($BX$5)+1),"")</f>
        <v>0</v>
      </c>
      <c r="BZ21">
        <f>IFERROR(SUM(BX5:BX21),"")</f>
        <v>0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IFERROR(SMALL(CA5:CA44,ROW()-ROW($CB$5)+1),"")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IFERROR(SMALL(CE5:CE44,ROW()-ROW($CF$5)+1),"")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IFERROR(SMALL(CI5:CI44,ROW()-ROW($CJ$5)+1),"")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IFERROR(SMALL(CM5:CM44,ROW()-ROW($CN$5)+1),"")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IFERROR(SMALL(CQ5:CQ44,ROW()-ROW($CR$5)+1),"")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IFERROR(SMALL(CU5:CU44,ROW()-ROW($CV$5)+1),"")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IFERROR(SMALL(CY5:CY44,ROW()-ROW($CZ$5)+1),"")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IFERROR(SMALL(DC5:DC44,ROW()-ROW($DD$5)+1),"")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IFERROR(SMALL(DG5:DG44,ROW()-ROW($DH$5)+1),"")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IFERROR(SMALL(DK5:DK44,ROW()-ROW($DL$5)+1),"")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IFERROR(SMALL(DO5:DO44,ROW()-ROW($DP$5)+1),"")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IFERROR(SMALL(DS5:DS44,ROW()-ROW($DT$5)+1),"")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IFERROR(SMALL(DW5:DW44,ROW()-ROW($DX$5)+1),"")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IFERROR(SMALL(EA5:EA44,ROW()-ROW($EB$5)+1),"")</f>
        <v>0</v>
      </c>
      <c r="ED21">
        <f>IFERROR(SUM(EB5:EB21),"")</f>
        <v>0</v>
      </c>
      <c r="EG21">
        <f>IF(Charts!$B$3="none",E228,IF(BS228="",NA(),BS228))</f>
        <v>0</v>
      </c>
      <c r="EH21">
        <f>IF(Charts!$B$3="none",F228,IF(BT228="",NA(),BT228))</f>
        <v>0</v>
      </c>
      <c r="EI21">
        <f>IF(Charts!$B$3="none",G228,IF(BU228="",NA(),BU228))</f>
        <v>0</v>
      </c>
      <c r="EJ21">
        <f>IF(Charts!$B$3="none",H228,IF(BV228="",NA(),BV228))</f>
        <v>0</v>
      </c>
      <c r="EK21">
        <f>IF(Charts!$B$3="none",I228,IF(BW228="",NA(),BW228))</f>
        <v>0</v>
      </c>
      <c r="EL21">
        <f>IF(Charts!$B$3="none",J228,IF(BX228="",NA(),BX228))</f>
        <v>0</v>
      </c>
      <c r="EM21">
        <f>IF(Charts!$B$3="none",K228,IF(BY228="",NA(),BY228))</f>
        <v>0</v>
      </c>
      <c r="EN21">
        <f>IF(Charts!$B$3="none",L228,IF(BZ228="",NA(),BZ228))</f>
        <v>0</v>
      </c>
      <c r="EO21">
        <f>IF(Charts!$B$3="none",M228,IF(CA228="",NA(),CA228))</f>
        <v>0</v>
      </c>
      <c r="EP21">
        <f>IF(Charts!$B$3="none",N228,IF(CB228="",NA(),CB228))</f>
        <v>0</v>
      </c>
      <c r="EQ21">
        <f>IF(Charts!$B$3="none",O228,IF(CC228="",NA(),CC228))</f>
        <v>0</v>
      </c>
      <c r="ER21">
        <f>IF(Charts!$B$3="none",P228,IF(CD228="",NA(),CD228))</f>
        <v>0</v>
      </c>
      <c r="ES21">
        <f>IF(Charts!$B$3="none",Q228,IF(CE228="",NA(),CE228))</f>
        <v>0</v>
      </c>
      <c r="ET21">
        <f>IF(Charts!$B$3="none",R228,IF(CF228="",NA(),CF228))</f>
        <v>0</v>
      </c>
      <c r="EU21">
        <f>IF(Charts!$B$3="none",S228,IF(CG228="",NA(),CG228))</f>
        <v>0</v>
      </c>
      <c r="EV21">
        <f>IF(Charts!$B$3="none",T228,IF(CH228="",NA(),CH228))</f>
        <v>0</v>
      </c>
      <c r="EW21">
        <f>IF(Charts!$B$3="none",U228,IF(CI228="",NA(),CI228))</f>
        <v>0</v>
      </c>
      <c r="EX21">
        <f>IF(Charts!$B$3="none",V228,IF(CJ228="",NA(),CJ228))</f>
        <v>0</v>
      </c>
      <c r="EY21">
        <f>IF(Charts!$B$3="none",W228,IF(CK228="",NA(),CK228))</f>
        <v>0</v>
      </c>
      <c r="EZ21">
        <f>IF(Charts!$B$3="none",X228,IF(CL228="",NA(),CL228))</f>
        <v>0</v>
      </c>
      <c r="FA21">
        <f>IF(Charts!$B$3="none",Y228,IF(CM228="",NA(),CM228))</f>
        <v>0</v>
      </c>
      <c r="FB21">
        <f>IF(Charts!$B$3="none",Z228,IF(CN228="",NA(),CN228))</f>
        <v>0</v>
      </c>
      <c r="FC21">
        <f>IF(Charts!$B$3="none",AA228,IF(CO228="",NA(),CO228))</f>
        <v>0</v>
      </c>
      <c r="FD21">
        <f>IF(Charts!$B$3="none",AB228,IF(CP228="",NA(),CP228))</f>
        <v>0</v>
      </c>
      <c r="FE21">
        <f>IF(Charts!$B$3="none",AC228,IF(CQ228="",NA(),CQ228))</f>
        <v>0</v>
      </c>
      <c r="FF21">
        <f>IF(Charts!$B$3="none",AD228,IF(CR228="",NA(),CR228))</f>
        <v>0</v>
      </c>
      <c r="FG21">
        <f>IF(Charts!$B$3="none",AE228,IF(CS228="",NA(),CS228))</f>
        <v>0</v>
      </c>
      <c r="FH21">
        <f>IF(Charts!$B$3="none",AF228,IF(CT228="",NA(),CT228))</f>
        <v>0</v>
      </c>
      <c r="FI21">
        <f>IF(Charts!$B$3="none",AG228,IF(CU228="",NA(),CU228))</f>
        <v>0</v>
      </c>
      <c r="FJ21">
        <f>IF(Charts!$B$3="none",AH228,IF(CV228="",NA(),CV228))</f>
        <v>0</v>
      </c>
      <c r="FK21">
        <f>IF(Charts!$B$3="none",AI228,IF(CW228="",NA(),CW228))</f>
        <v>0</v>
      </c>
      <c r="FL21">
        <f>IF(Charts!$B$3="none",AJ228,IF(CX228="",NA(),CX228))</f>
        <v>0</v>
      </c>
      <c r="FM21">
        <f>IF(Charts!$B$3="none",AK228,IF(CY228="",NA(),CY228))</f>
        <v>0</v>
      </c>
      <c r="FN21">
        <f>IF(Charts!$B$3="none",AL228,IF(CZ228="",NA(),CZ228))</f>
        <v>0</v>
      </c>
      <c r="FO21">
        <f>IF(Charts!$B$3="none",AM228,IF(DA228="",NA(),DA228))</f>
        <v>0</v>
      </c>
      <c r="FP21">
        <f>IF(Charts!$B$3="none",AN228,IF(DB228="",NA(),DB228))</f>
        <v>0</v>
      </c>
      <c r="FQ21">
        <f>IF(Charts!$B$3="none",AO228,IF(DC228="",NA(),DC228))</f>
        <v>0</v>
      </c>
      <c r="FR21">
        <f>IF(Charts!$B$3="none",AP228,IF(DD228="",NA(),DD228))</f>
        <v>0</v>
      </c>
      <c r="FS21">
        <f>IF(Charts!$B$3="none",AQ228,IF(DE228="",NA(),DE228))</f>
        <v>0</v>
      </c>
      <c r="FT21">
        <f>IF(Charts!$B$3="none",AR228,IF(DF228="",NA(),DF228))</f>
        <v>0</v>
      </c>
      <c r="FU21">
        <f>IF(Charts!$B$3="none",AS228,IF(DG228="",NA(),DG228))</f>
        <v>0</v>
      </c>
      <c r="FV21">
        <f>IF(Charts!$B$3="none",AT228,IF(DH228="",NA(),DH228))</f>
        <v>0</v>
      </c>
      <c r="FW21">
        <f>IF(Charts!$B$3="none",AU228,IF(DI228="",NA(),DI228))</f>
        <v>0</v>
      </c>
      <c r="FX21">
        <f>IF(Charts!$B$3="none",AV228,IF(DJ228="",NA(),DJ228))</f>
        <v>0</v>
      </c>
      <c r="FY21">
        <f>IF(Charts!$B$3="none",AW228,IF(DK228="",NA(),DK228))</f>
        <v>0</v>
      </c>
      <c r="FZ21">
        <f>IF(Charts!$B$3="none",AX228,IF(DL228="",NA(),DL228))</f>
        <v>0</v>
      </c>
      <c r="GA21">
        <f>IF(Charts!$B$3="none",AY228,IF(DM228="",NA(),DM228))</f>
        <v>0</v>
      </c>
      <c r="GB21">
        <f>IF(Charts!$B$3="none",AZ228,IF(DN228="",NA(),DN228))</f>
        <v>0</v>
      </c>
      <c r="GC21">
        <f>IF(Charts!$B$3="none",BA228,IF(DO228="",NA(),DO228))</f>
        <v>0</v>
      </c>
      <c r="GD21">
        <f>IF(Charts!$B$3="none",BB228,IF(DP228="",NA(),DP228))</f>
        <v>0</v>
      </c>
      <c r="GE21">
        <f>IF(Charts!$B$3="none",BC228,IF(DQ228="",NA(),DQ228))</f>
        <v>0</v>
      </c>
      <c r="GF21">
        <f>IF(Charts!$B$3="none",BD228,IF(DR228="",NA(),DR228))</f>
        <v>0</v>
      </c>
      <c r="GG21">
        <f>IF(Charts!$B$3="none",BE228,IF(DS228="",NA(),DS228))</f>
        <v>0</v>
      </c>
      <c r="GH21">
        <f>IF(Charts!$B$3="none",BF228,IF(DT228="",NA(),DT228))</f>
        <v>0</v>
      </c>
      <c r="GI21">
        <f>IF(Charts!$B$3="none",BG228,IF(DU228="",NA(),DU228))</f>
        <v>0</v>
      </c>
      <c r="GJ21">
        <f>IF(Charts!$B$3="none",BH228,IF(DV228="",NA(),DV228))</f>
        <v>0</v>
      </c>
      <c r="GK21">
        <f>IF(Charts!$B$3="none",BI228,IF(DW228="",NA(),DW228))</f>
        <v>0</v>
      </c>
      <c r="GL21">
        <f>IF(Charts!$B$3="none",BJ228,IF(DX228="",NA(),DX228))</f>
        <v>0</v>
      </c>
      <c r="GM21">
        <f>IF(Charts!$B$3="none",BK228,IF(DY228="",NA(),DY228))</f>
        <v>0</v>
      </c>
      <c r="GN21">
        <f>IF(Charts!$B$3="none",BL228,IF(DZ228="",NA(),DZ228))</f>
        <v>0</v>
      </c>
      <c r="GO21">
        <f>IF(Charts!$B$3="none",BM228,IF(EA228="",NA(),EA228))</f>
        <v>0</v>
      </c>
      <c r="GP21">
        <f>IF(Charts!$B$3="none",BN228,IF(EB228="",NA(),EB228))</f>
        <v>0</v>
      </c>
      <c r="GQ21">
        <f>IF(Charts!$B$3="none",BO228,IF(EC228="",NA(),EC228))</f>
        <v>0</v>
      </c>
      <c r="GR21">
        <f>IF(Charts!$B$3="none",BP228,IF(ED228="",NA(),ED228))</f>
        <v>0</v>
      </c>
    </row>
    <row r="22" spans="1:200">
      <c r="D22">
        <v>18</v>
      </c>
      <c r="E22">
        <f>IF(INDIRECT(ADDRESS($D22+2,E$2+1,,,"Instances"))="","",INDIRECT(ADDRESS($D22+2,E$2+1,,,"Instances")))</f>
        <v>0</v>
      </c>
      <c r="F22">
        <f>IFERROR(SMALL(E5:E44,ROW()-ROW($F$5)+1),"")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IFERROR(SMALL(I5:I44,ROW()-ROW($J$5)+1),"")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IFERROR(SMALL(M5:M44,ROW()-ROW($N$5)+1),"")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IFERROR(SMALL(Q5:Q44,ROW()-ROW($R$5)+1),"")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IFERROR(SMALL(U5:U44,ROW()-ROW($V$5)+1),"")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IFERROR(SMALL(Y5:Y44,ROW()-ROW($Z$5)+1),"")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IFERROR(SMALL(AC5:AC44,ROW()-ROW($AD$5)+1),"")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IFERROR(SMALL(AG5:AG44,ROW()-ROW($AH$5)+1),"")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IFERROR(SMALL(AK5:AK44,ROW()-ROW($AL$5)+1),"")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IFERROR(SMALL(AO5:AO44,ROW()-ROW($AP$5)+1),"")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IFERROR(SMALL(AS5:AS44,ROW()-ROW($AT$5)+1),"")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IFERROR(SMALL(AW5:AW44,ROW()-ROW($AX$5)+1),"")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IFERROR(SMALL(BA5:BA44,ROW()-ROW($BB$5)+1),"")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IFERROR(SMALL(BE5:BE44,ROW()-ROW($BF$5)+1),"")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IFERROR(SMALL(BI5:BI44,ROW()-ROW($BJ$5)+1),"")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IFERROR(SMALL(BM5:BM44,ROW()-ROW($BN$5)+1),"")</f>
        <v>0</v>
      </c>
      <c r="BP22">
        <f>IFERROR(SUM(BN5:BN22),"")</f>
        <v>0</v>
      </c>
      <c r="BR22">
        <v>18</v>
      </c>
      <c r="BS22" cm="1">
        <f t="array" ref="BS22">_xlfn.SWITCH(Charts!$B$3,"average", AVERAGE(INDIRECT(ADDRESS(17+3,BS$2+1,,,"Instances") &amp; ":" &amp; ADDRESS(17+3,BS$2+1))),"median", MEDIAN(INDIRECT(ADDRESS(17+3,BS$2+1,,,"Instances") &amp; ":" &amp; ADDRESS(17+3,BS$2+1))),"min", MIN(INDIRECT(ADDRESS(17+3,BS$2+1,,,"Instances") &amp; ":" &amp; ADDRESS(17+3,BS$2+1))),"max", MAX(INDIRECT(ADDRESS(17+3,BS$2+1,,,"Instances") &amp; ":" &amp; ADDRESS(17+3,BS$2+1))),"diff", MAX(INDIRECT(ADDRESS(17+3,BS$2+1,,,"Instances") &amp; ":" &amp; ADDRESS(17+3,BS$2+1)))-MIN(INDIRECT(ADDRESS(17+3,BS$2+1,,,"Instances") &amp; ":" &amp; ADDRESS(17+3,BS$2+1))))</f>
        <v>0</v>
      </c>
      <c r="BT22">
        <f>IFERROR(SMALL(BS5:BS44,ROW()-ROW($BT$5)+1),"")</f>
        <v>0</v>
      </c>
      <c r="BV22">
        <f>IFERROR(SUM(BT5:BT22),"")</f>
        <v>0</v>
      </c>
      <c r="BW22" cm="1">
        <f t="array" ref="BW22">_xlfn.SWITCH(Charts!$B$3,"average", AVERAGE(INDIRECT(ADDRESS(17+3,BW$2+1,,,"Instances") &amp; ":" &amp; ADDRESS(17+3,BW$2+1))),"median", MEDIAN(INDIRECT(ADDRESS(17+3,BW$2+1,,,"Instances") &amp; ":" &amp; ADDRESS(17+3,BW$2+1))),"min", MIN(INDIRECT(ADDRESS(17+3,BW$2+1,,,"Instances") &amp; ":" &amp; ADDRESS(17+3,BW$2+1))),"max", MAX(INDIRECT(ADDRESS(17+3,BW$2+1,,,"Instances") &amp; ":" &amp; ADDRESS(17+3,BW$2+1))),"diff", MAX(INDIRECT(ADDRESS(17+3,BW$2+1,,,"Instances") &amp; ":" &amp; ADDRESS(17+3,BW$2+1)))-MIN(INDIRECT(ADDRESS(17+3,BW$2+1,,,"Instances") &amp; ":" &amp; ADDRESS(17+3,BW$2+1))))</f>
        <v>0</v>
      </c>
      <c r="BX22">
        <f>IFERROR(SMALL(BW5:BW44,ROW()-ROW($BX$5)+1),"")</f>
        <v>0</v>
      </c>
      <c r="BZ22">
        <f>IFERROR(SUM(BX5:BX22),"")</f>
        <v>0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IFERROR(SMALL(CA5:CA44,ROW()-ROW($CB$5)+1),"")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IFERROR(SMALL(CE5:CE44,ROW()-ROW($CF$5)+1),"")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IFERROR(SMALL(CI5:CI44,ROW()-ROW($CJ$5)+1),"")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IFERROR(SMALL(CM5:CM44,ROW()-ROW($CN$5)+1),"")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IFERROR(SMALL(CQ5:CQ44,ROW()-ROW($CR$5)+1),"")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IFERROR(SMALL(CU5:CU44,ROW()-ROW($CV$5)+1),"")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IFERROR(SMALL(CY5:CY44,ROW()-ROW($CZ$5)+1),"")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IFERROR(SMALL(DC5:DC44,ROW()-ROW($DD$5)+1),"")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IFERROR(SMALL(DG5:DG44,ROW()-ROW($DH$5)+1),"")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IFERROR(SMALL(DK5:DK44,ROW()-ROW($DL$5)+1),"")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IFERROR(SMALL(DO5:DO44,ROW()-ROW($DP$5)+1),"")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IFERROR(SMALL(DS5:DS44,ROW()-ROW($DT$5)+1),"")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IFERROR(SMALL(DW5:DW44,ROW()-ROW($DX$5)+1),"")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IFERROR(SMALL(EA5:EA44,ROW()-ROW($EB$5)+1),"")</f>
        <v>0</v>
      </c>
      <c r="ED22">
        <f>IFERROR(SUM(EB5:EB22),"")</f>
        <v>0</v>
      </c>
      <c r="EG22">
        <f>IF(Charts!$B$3="none",E229,IF(BS229="",NA(),BS229))</f>
        <v>0</v>
      </c>
      <c r="EH22">
        <f>IF(Charts!$B$3="none",F229,IF(BT229="",NA(),BT229))</f>
        <v>0</v>
      </c>
      <c r="EI22">
        <f>IF(Charts!$B$3="none",G229,IF(BU229="",NA(),BU229))</f>
        <v>0</v>
      </c>
      <c r="EJ22">
        <f>IF(Charts!$B$3="none",H229,IF(BV229="",NA(),BV229))</f>
        <v>0</v>
      </c>
      <c r="EK22">
        <f>IF(Charts!$B$3="none",I229,IF(BW229="",NA(),BW229))</f>
        <v>0</v>
      </c>
      <c r="EL22">
        <f>IF(Charts!$B$3="none",J229,IF(BX229="",NA(),BX229))</f>
        <v>0</v>
      </c>
      <c r="EM22">
        <f>IF(Charts!$B$3="none",K229,IF(BY229="",NA(),BY229))</f>
        <v>0</v>
      </c>
      <c r="EN22">
        <f>IF(Charts!$B$3="none",L229,IF(BZ229="",NA(),BZ229))</f>
        <v>0</v>
      </c>
      <c r="EO22">
        <f>IF(Charts!$B$3="none",M229,IF(CA229="",NA(),CA229))</f>
        <v>0</v>
      </c>
      <c r="EP22">
        <f>IF(Charts!$B$3="none",N229,IF(CB229="",NA(),CB229))</f>
        <v>0</v>
      </c>
      <c r="EQ22">
        <f>IF(Charts!$B$3="none",O229,IF(CC229="",NA(),CC229))</f>
        <v>0</v>
      </c>
      <c r="ER22">
        <f>IF(Charts!$B$3="none",P229,IF(CD229="",NA(),CD229))</f>
        <v>0</v>
      </c>
      <c r="ES22">
        <f>IF(Charts!$B$3="none",Q229,IF(CE229="",NA(),CE229))</f>
        <v>0</v>
      </c>
      <c r="ET22">
        <f>IF(Charts!$B$3="none",R229,IF(CF229="",NA(),CF229))</f>
        <v>0</v>
      </c>
      <c r="EU22">
        <f>IF(Charts!$B$3="none",S229,IF(CG229="",NA(),CG229))</f>
        <v>0</v>
      </c>
      <c r="EV22">
        <f>IF(Charts!$B$3="none",T229,IF(CH229="",NA(),CH229))</f>
        <v>0</v>
      </c>
      <c r="EW22">
        <f>IF(Charts!$B$3="none",U229,IF(CI229="",NA(),CI229))</f>
        <v>0</v>
      </c>
      <c r="EX22">
        <f>IF(Charts!$B$3="none",V229,IF(CJ229="",NA(),CJ229))</f>
        <v>0</v>
      </c>
      <c r="EY22">
        <f>IF(Charts!$B$3="none",W229,IF(CK229="",NA(),CK229))</f>
        <v>0</v>
      </c>
      <c r="EZ22">
        <f>IF(Charts!$B$3="none",X229,IF(CL229="",NA(),CL229))</f>
        <v>0</v>
      </c>
      <c r="FA22">
        <f>IF(Charts!$B$3="none",Y229,IF(CM229="",NA(),CM229))</f>
        <v>0</v>
      </c>
      <c r="FB22">
        <f>IF(Charts!$B$3="none",Z229,IF(CN229="",NA(),CN229))</f>
        <v>0</v>
      </c>
      <c r="FC22">
        <f>IF(Charts!$B$3="none",AA229,IF(CO229="",NA(),CO229))</f>
        <v>0</v>
      </c>
      <c r="FD22">
        <f>IF(Charts!$B$3="none",AB229,IF(CP229="",NA(),CP229))</f>
        <v>0</v>
      </c>
      <c r="FE22">
        <f>IF(Charts!$B$3="none",AC229,IF(CQ229="",NA(),CQ229))</f>
        <v>0</v>
      </c>
      <c r="FF22">
        <f>IF(Charts!$B$3="none",AD229,IF(CR229="",NA(),CR229))</f>
        <v>0</v>
      </c>
      <c r="FG22">
        <f>IF(Charts!$B$3="none",AE229,IF(CS229="",NA(),CS229))</f>
        <v>0</v>
      </c>
      <c r="FH22">
        <f>IF(Charts!$B$3="none",AF229,IF(CT229="",NA(),CT229))</f>
        <v>0</v>
      </c>
      <c r="FI22">
        <f>IF(Charts!$B$3="none",AG229,IF(CU229="",NA(),CU229))</f>
        <v>0</v>
      </c>
      <c r="FJ22">
        <f>IF(Charts!$B$3="none",AH229,IF(CV229="",NA(),CV229))</f>
        <v>0</v>
      </c>
      <c r="FK22">
        <f>IF(Charts!$B$3="none",AI229,IF(CW229="",NA(),CW229))</f>
        <v>0</v>
      </c>
      <c r="FL22">
        <f>IF(Charts!$B$3="none",AJ229,IF(CX229="",NA(),CX229))</f>
        <v>0</v>
      </c>
      <c r="FM22">
        <f>IF(Charts!$B$3="none",AK229,IF(CY229="",NA(),CY229))</f>
        <v>0</v>
      </c>
      <c r="FN22">
        <f>IF(Charts!$B$3="none",AL229,IF(CZ229="",NA(),CZ229))</f>
        <v>0</v>
      </c>
      <c r="FO22">
        <f>IF(Charts!$B$3="none",AM229,IF(DA229="",NA(),DA229))</f>
        <v>0</v>
      </c>
      <c r="FP22">
        <f>IF(Charts!$B$3="none",AN229,IF(DB229="",NA(),DB229))</f>
        <v>0</v>
      </c>
      <c r="FQ22">
        <f>IF(Charts!$B$3="none",AO229,IF(DC229="",NA(),DC229))</f>
        <v>0</v>
      </c>
      <c r="FR22">
        <f>IF(Charts!$B$3="none",AP229,IF(DD229="",NA(),DD229))</f>
        <v>0</v>
      </c>
      <c r="FS22">
        <f>IF(Charts!$B$3="none",AQ229,IF(DE229="",NA(),DE229))</f>
        <v>0</v>
      </c>
      <c r="FT22">
        <f>IF(Charts!$B$3="none",AR229,IF(DF229="",NA(),DF229))</f>
        <v>0</v>
      </c>
      <c r="FU22">
        <f>IF(Charts!$B$3="none",AS229,IF(DG229="",NA(),DG229))</f>
        <v>0</v>
      </c>
      <c r="FV22">
        <f>IF(Charts!$B$3="none",AT229,IF(DH229="",NA(),DH229))</f>
        <v>0</v>
      </c>
      <c r="FW22">
        <f>IF(Charts!$B$3="none",AU229,IF(DI229="",NA(),DI229))</f>
        <v>0</v>
      </c>
      <c r="FX22">
        <f>IF(Charts!$B$3="none",AV229,IF(DJ229="",NA(),DJ229))</f>
        <v>0</v>
      </c>
      <c r="FY22">
        <f>IF(Charts!$B$3="none",AW229,IF(DK229="",NA(),DK229))</f>
        <v>0</v>
      </c>
      <c r="FZ22">
        <f>IF(Charts!$B$3="none",AX229,IF(DL229="",NA(),DL229))</f>
        <v>0</v>
      </c>
      <c r="GA22">
        <f>IF(Charts!$B$3="none",AY229,IF(DM229="",NA(),DM229))</f>
        <v>0</v>
      </c>
      <c r="GB22">
        <f>IF(Charts!$B$3="none",AZ229,IF(DN229="",NA(),DN229))</f>
        <v>0</v>
      </c>
      <c r="GC22">
        <f>IF(Charts!$B$3="none",BA229,IF(DO229="",NA(),DO229))</f>
        <v>0</v>
      </c>
      <c r="GD22">
        <f>IF(Charts!$B$3="none",BB229,IF(DP229="",NA(),DP229))</f>
        <v>0</v>
      </c>
      <c r="GE22">
        <f>IF(Charts!$B$3="none",BC229,IF(DQ229="",NA(),DQ229))</f>
        <v>0</v>
      </c>
      <c r="GF22">
        <f>IF(Charts!$B$3="none",BD229,IF(DR229="",NA(),DR229))</f>
        <v>0</v>
      </c>
      <c r="GG22">
        <f>IF(Charts!$B$3="none",BE229,IF(DS229="",NA(),DS229))</f>
        <v>0</v>
      </c>
      <c r="GH22">
        <f>IF(Charts!$B$3="none",BF229,IF(DT229="",NA(),DT229))</f>
        <v>0</v>
      </c>
      <c r="GI22">
        <f>IF(Charts!$B$3="none",BG229,IF(DU229="",NA(),DU229))</f>
        <v>0</v>
      </c>
      <c r="GJ22">
        <f>IF(Charts!$B$3="none",BH229,IF(DV229="",NA(),DV229))</f>
        <v>0</v>
      </c>
      <c r="GK22">
        <f>IF(Charts!$B$3="none",BI229,IF(DW229="",NA(),DW229))</f>
        <v>0</v>
      </c>
      <c r="GL22">
        <f>IF(Charts!$B$3="none",BJ229,IF(DX229="",NA(),DX229))</f>
        <v>0</v>
      </c>
      <c r="GM22">
        <f>IF(Charts!$B$3="none",BK229,IF(DY229="",NA(),DY229))</f>
        <v>0</v>
      </c>
      <c r="GN22">
        <f>IF(Charts!$B$3="none",BL229,IF(DZ229="",NA(),DZ229))</f>
        <v>0</v>
      </c>
      <c r="GO22">
        <f>IF(Charts!$B$3="none",BM229,IF(EA229="",NA(),EA229))</f>
        <v>0</v>
      </c>
      <c r="GP22">
        <f>IF(Charts!$B$3="none",BN229,IF(EB229="",NA(),EB229))</f>
        <v>0</v>
      </c>
      <c r="GQ22">
        <f>IF(Charts!$B$3="none",BO229,IF(EC229="",NA(),EC229))</f>
        <v>0</v>
      </c>
      <c r="GR22">
        <f>IF(Charts!$B$3="none",BP229,IF(ED229="",NA(),ED229))</f>
        <v>0</v>
      </c>
    </row>
    <row r="23" spans="1:200">
      <c r="D23">
        <v>19</v>
      </c>
      <c r="E23">
        <f>IF(INDIRECT(ADDRESS($D23+2,E$2+1,,,"Instances"))="","",INDIRECT(ADDRESS($D23+2,E$2+1,,,"Instances")))</f>
        <v>0</v>
      </c>
      <c r="F23">
        <f>IFERROR(SMALL(E5:E44,ROW()-ROW($F$5)+1),"")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IFERROR(SMALL(I5:I44,ROW()-ROW($J$5)+1),"")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IFERROR(SMALL(M5:M44,ROW()-ROW($N$5)+1),"")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IFERROR(SMALL(Q5:Q44,ROW()-ROW($R$5)+1),"")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IFERROR(SMALL(U5:U44,ROW()-ROW($V$5)+1),"")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IFERROR(SMALL(Y5:Y44,ROW()-ROW($Z$5)+1),"")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IFERROR(SMALL(AC5:AC44,ROW()-ROW($AD$5)+1),"")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IFERROR(SMALL(AG5:AG44,ROW()-ROW($AH$5)+1),"")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IFERROR(SMALL(AK5:AK44,ROW()-ROW($AL$5)+1),"")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IFERROR(SMALL(AO5:AO44,ROW()-ROW($AP$5)+1),"")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IFERROR(SMALL(AS5:AS44,ROW()-ROW($AT$5)+1),"")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IFERROR(SMALL(AW5:AW44,ROW()-ROW($AX$5)+1),"")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IFERROR(SMALL(BA5:BA44,ROW()-ROW($BB$5)+1),"")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IFERROR(SMALL(BE5:BE44,ROW()-ROW($BF$5)+1),"")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IFERROR(SMALL(BI5:BI44,ROW()-ROW($BJ$5)+1),"")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IFERROR(SMALL(BM5:BM44,ROW()-ROW($BN$5)+1),"")</f>
        <v>0</v>
      </c>
      <c r="BP23">
        <f>IFERROR(SUM(BN5:BN23),"")</f>
        <v>0</v>
      </c>
      <c r="BR23">
        <v>19</v>
      </c>
      <c r="BS23" cm="1">
        <f t="array" ref="BS23">_xlfn.SWITCH(Charts!$B$3,"average", AVERAGE(INDIRECT(ADDRESS(18+3,BS$2+1,,,"Instances") &amp; ":" &amp; ADDRESS(18+3,BS$2+1))),"median", MEDIAN(INDIRECT(ADDRESS(18+3,BS$2+1,,,"Instances") &amp; ":" &amp; ADDRESS(18+3,BS$2+1))),"min", MIN(INDIRECT(ADDRESS(18+3,BS$2+1,,,"Instances") &amp; ":" &amp; ADDRESS(18+3,BS$2+1))),"max", MAX(INDIRECT(ADDRESS(18+3,BS$2+1,,,"Instances") &amp; ":" &amp; ADDRESS(18+3,BS$2+1))),"diff", MAX(INDIRECT(ADDRESS(18+3,BS$2+1,,,"Instances") &amp; ":" &amp; ADDRESS(18+3,BS$2+1)))-MIN(INDIRECT(ADDRESS(18+3,BS$2+1,,,"Instances") &amp; ":" &amp; ADDRESS(18+3,BS$2+1))))</f>
        <v>0</v>
      </c>
      <c r="BT23">
        <f>IFERROR(SMALL(BS5:BS44,ROW()-ROW($BT$5)+1),"")</f>
        <v>0</v>
      </c>
      <c r="BV23">
        <f>IFERROR(SUM(BT5:BT23),"")</f>
        <v>0</v>
      </c>
      <c r="BW23" cm="1">
        <f t="array" ref="BW23">_xlfn.SWITCH(Charts!$B$3,"average", AVERAGE(INDIRECT(ADDRESS(18+3,BW$2+1,,,"Instances") &amp; ":" &amp; ADDRESS(18+3,BW$2+1))),"median", MEDIAN(INDIRECT(ADDRESS(18+3,BW$2+1,,,"Instances") &amp; ":" &amp; ADDRESS(18+3,BW$2+1))),"min", MIN(INDIRECT(ADDRESS(18+3,BW$2+1,,,"Instances") &amp; ":" &amp; ADDRESS(18+3,BW$2+1))),"max", MAX(INDIRECT(ADDRESS(18+3,BW$2+1,,,"Instances") &amp; ":" &amp; ADDRESS(18+3,BW$2+1))),"diff", MAX(INDIRECT(ADDRESS(18+3,BW$2+1,,,"Instances") &amp; ":" &amp; ADDRESS(18+3,BW$2+1)))-MIN(INDIRECT(ADDRESS(18+3,BW$2+1,,,"Instances") &amp; ":" &amp; ADDRESS(18+3,BW$2+1))))</f>
        <v>0</v>
      </c>
      <c r="BX23">
        <f>IFERROR(SMALL(BW5:BW44,ROW()-ROW($BX$5)+1),"")</f>
        <v>0</v>
      </c>
      <c r="BZ23">
        <f>IFERROR(SUM(BX5:BX23),"")</f>
        <v>0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IFERROR(SMALL(CA5:CA44,ROW()-ROW($CB$5)+1),"")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IFERROR(SMALL(CE5:CE44,ROW()-ROW($CF$5)+1),"")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IFERROR(SMALL(CI5:CI44,ROW()-ROW($CJ$5)+1),"")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IFERROR(SMALL(CM5:CM44,ROW()-ROW($CN$5)+1),"")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IFERROR(SMALL(CQ5:CQ44,ROW()-ROW($CR$5)+1),"")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IFERROR(SMALL(CU5:CU44,ROW()-ROW($CV$5)+1),"")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IFERROR(SMALL(CY5:CY44,ROW()-ROW($CZ$5)+1),"")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IFERROR(SMALL(DC5:DC44,ROW()-ROW($DD$5)+1),"")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IFERROR(SMALL(DG5:DG44,ROW()-ROW($DH$5)+1),"")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IFERROR(SMALL(DK5:DK44,ROW()-ROW($DL$5)+1),"")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IFERROR(SMALL(DO5:DO44,ROW()-ROW($DP$5)+1),"")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IFERROR(SMALL(DS5:DS44,ROW()-ROW($DT$5)+1),"")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IFERROR(SMALL(DW5:DW44,ROW()-ROW($DX$5)+1),"")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IFERROR(SMALL(EA5:EA44,ROW()-ROW($EB$5)+1),"")</f>
        <v>0</v>
      </c>
      <c r="ED23">
        <f>IFERROR(SUM(EB5:EB23),"")</f>
        <v>0</v>
      </c>
      <c r="EG23">
        <f>IF(Charts!$B$3="none",E230,IF(BS230="",NA(),BS230))</f>
        <v>0</v>
      </c>
      <c r="EH23">
        <f>IF(Charts!$B$3="none",F230,IF(BT230="",NA(),BT230))</f>
        <v>0</v>
      </c>
      <c r="EI23">
        <f>IF(Charts!$B$3="none",G230,IF(BU230="",NA(),BU230))</f>
        <v>0</v>
      </c>
      <c r="EJ23">
        <f>IF(Charts!$B$3="none",H230,IF(BV230="",NA(),BV230))</f>
        <v>0</v>
      </c>
      <c r="EK23">
        <f>IF(Charts!$B$3="none",I230,IF(BW230="",NA(),BW230))</f>
        <v>0</v>
      </c>
      <c r="EL23">
        <f>IF(Charts!$B$3="none",J230,IF(BX230="",NA(),BX230))</f>
        <v>0</v>
      </c>
      <c r="EM23">
        <f>IF(Charts!$B$3="none",K230,IF(BY230="",NA(),BY230))</f>
        <v>0</v>
      </c>
      <c r="EN23">
        <f>IF(Charts!$B$3="none",L230,IF(BZ230="",NA(),BZ230))</f>
        <v>0</v>
      </c>
      <c r="EO23">
        <f>IF(Charts!$B$3="none",M230,IF(CA230="",NA(),CA230))</f>
        <v>0</v>
      </c>
      <c r="EP23">
        <f>IF(Charts!$B$3="none",N230,IF(CB230="",NA(),CB230))</f>
        <v>0</v>
      </c>
      <c r="EQ23">
        <f>IF(Charts!$B$3="none",O230,IF(CC230="",NA(),CC230))</f>
        <v>0</v>
      </c>
      <c r="ER23">
        <f>IF(Charts!$B$3="none",P230,IF(CD230="",NA(),CD230))</f>
        <v>0</v>
      </c>
      <c r="ES23">
        <f>IF(Charts!$B$3="none",Q230,IF(CE230="",NA(),CE230))</f>
        <v>0</v>
      </c>
      <c r="ET23">
        <f>IF(Charts!$B$3="none",R230,IF(CF230="",NA(),CF230))</f>
        <v>0</v>
      </c>
      <c r="EU23">
        <f>IF(Charts!$B$3="none",S230,IF(CG230="",NA(),CG230))</f>
        <v>0</v>
      </c>
      <c r="EV23">
        <f>IF(Charts!$B$3="none",T230,IF(CH230="",NA(),CH230))</f>
        <v>0</v>
      </c>
      <c r="EW23">
        <f>IF(Charts!$B$3="none",U230,IF(CI230="",NA(),CI230))</f>
        <v>0</v>
      </c>
      <c r="EX23">
        <f>IF(Charts!$B$3="none",V230,IF(CJ230="",NA(),CJ230))</f>
        <v>0</v>
      </c>
      <c r="EY23">
        <f>IF(Charts!$B$3="none",W230,IF(CK230="",NA(),CK230))</f>
        <v>0</v>
      </c>
      <c r="EZ23">
        <f>IF(Charts!$B$3="none",X230,IF(CL230="",NA(),CL230))</f>
        <v>0</v>
      </c>
      <c r="FA23">
        <f>IF(Charts!$B$3="none",Y230,IF(CM230="",NA(),CM230))</f>
        <v>0</v>
      </c>
      <c r="FB23">
        <f>IF(Charts!$B$3="none",Z230,IF(CN230="",NA(),CN230))</f>
        <v>0</v>
      </c>
      <c r="FC23">
        <f>IF(Charts!$B$3="none",AA230,IF(CO230="",NA(),CO230))</f>
        <v>0</v>
      </c>
      <c r="FD23">
        <f>IF(Charts!$B$3="none",AB230,IF(CP230="",NA(),CP230))</f>
        <v>0</v>
      </c>
      <c r="FE23">
        <f>IF(Charts!$B$3="none",AC230,IF(CQ230="",NA(),CQ230))</f>
        <v>0</v>
      </c>
      <c r="FF23">
        <f>IF(Charts!$B$3="none",AD230,IF(CR230="",NA(),CR230))</f>
        <v>0</v>
      </c>
      <c r="FG23">
        <f>IF(Charts!$B$3="none",AE230,IF(CS230="",NA(),CS230))</f>
        <v>0</v>
      </c>
      <c r="FH23">
        <f>IF(Charts!$B$3="none",AF230,IF(CT230="",NA(),CT230))</f>
        <v>0</v>
      </c>
      <c r="FI23">
        <f>IF(Charts!$B$3="none",AG230,IF(CU230="",NA(),CU230))</f>
        <v>0</v>
      </c>
      <c r="FJ23">
        <f>IF(Charts!$B$3="none",AH230,IF(CV230="",NA(),CV230))</f>
        <v>0</v>
      </c>
      <c r="FK23">
        <f>IF(Charts!$B$3="none",AI230,IF(CW230="",NA(),CW230))</f>
        <v>0</v>
      </c>
      <c r="FL23">
        <f>IF(Charts!$B$3="none",AJ230,IF(CX230="",NA(),CX230))</f>
        <v>0</v>
      </c>
      <c r="FM23">
        <f>IF(Charts!$B$3="none",AK230,IF(CY230="",NA(),CY230))</f>
        <v>0</v>
      </c>
      <c r="FN23">
        <f>IF(Charts!$B$3="none",AL230,IF(CZ230="",NA(),CZ230))</f>
        <v>0</v>
      </c>
      <c r="FO23">
        <f>IF(Charts!$B$3="none",AM230,IF(DA230="",NA(),DA230))</f>
        <v>0</v>
      </c>
      <c r="FP23">
        <f>IF(Charts!$B$3="none",AN230,IF(DB230="",NA(),DB230))</f>
        <v>0</v>
      </c>
      <c r="FQ23">
        <f>IF(Charts!$B$3="none",AO230,IF(DC230="",NA(),DC230))</f>
        <v>0</v>
      </c>
      <c r="FR23">
        <f>IF(Charts!$B$3="none",AP230,IF(DD230="",NA(),DD230))</f>
        <v>0</v>
      </c>
      <c r="FS23">
        <f>IF(Charts!$B$3="none",AQ230,IF(DE230="",NA(),DE230))</f>
        <v>0</v>
      </c>
      <c r="FT23">
        <f>IF(Charts!$B$3="none",AR230,IF(DF230="",NA(),DF230))</f>
        <v>0</v>
      </c>
      <c r="FU23">
        <f>IF(Charts!$B$3="none",AS230,IF(DG230="",NA(),DG230))</f>
        <v>0</v>
      </c>
      <c r="FV23">
        <f>IF(Charts!$B$3="none",AT230,IF(DH230="",NA(),DH230))</f>
        <v>0</v>
      </c>
      <c r="FW23">
        <f>IF(Charts!$B$3="none",AU230,IF(DI230="",NA(),DI230))</f>
        <v>0</v>
      </c>
      <c r="FX23">
        <f>IF(Charts!$B$3="none",AV230,IF(DJ230="",NA(),DJ230))</f>
        <v>0</v>
      </c>
      <c r="FY23">
        <f>IF(Charts!$B$3="none",AW230,IF(DK230="",NA(),DK230))</f>
        <v>0</v>
      </c>
      <c r="FZ23">
        <f>IF(Charts!$B$3="none",AX230,IF(DL230="",NA(),DL230))</f>
        <v>0</v>
      </c>
      <c r="GA23">
        <f>IF(Charts!$B$3="none",AY230,IF(DM230="",NA(),DM230))</f>
        <v>0</v>
      </c>
      <c r="GB23">
        <f>IF(Charts!$B$3="none",AZ230,IF(DN230="",NA(),DN230))</f>
        <v>0</v>
      </c>
      <c r="GC23">
        <f>IF(Charts!$B$3="none",BA230,IF(DO230="",NA(),DO230))</f>
        <v>0</v>
      </c>
      <c r="GD23">
        <f>IF(Charts!$B$3="none",BB230,IF(DP230="",NA(),DP230))</f>
        <v>0</v>
      </c>
      <c r="GE23">
        <f>IF(Charts!$B$3="none",BC230,IF(DQ230="",NA(),DQ230))</f>
        <v>0</v>
      </c>
      <c r="GF23">
        <f>IF(Charts!$B$3="none",BD230,IF(DR230="",NA(),DR230))</f>
        <v>0</v>
      </c>
      <c r="GG23">
        <f>IF(Charts!$B$3="none",BE230,IF(DS230="",NA(),DS230))</f>
        <v>0</v>
      </c>
      <c r="GH23">
        <f>IF(Charts!$B$3="none",BF230,IF(DT230="",NA(),DT230))</f>
        <v>0</v>
      </c>
      <c r="GI23">
        <f>IF(Charts!$B$3="none",BG230,IF(DU230="",NA(),DU230))</f>
        <v>0</v>
      </c>
      <c r="GJ23">
        <f>IF(Charts!$B$3="none",BH230,IF(DV230="",NA(),DV230))</f>
        <v>0</v>
      </c>
      <c r="GK23">
        <f>IF(Charts!$B$3="none",BI230,IF(DW230="",NA(),DW230))</f>
        <v>0</v>
      </c>
      <c r="GL23">
        <f>IF(Charts!$B$3="none",BJ230,IF(DX230="",NA(),DX230))</f>
        <v>0</v>
      </c>
      <c r="GM23">
        <f>IF(Charts!$B$3="none",BK230,IF(DY230="",NA(),DY230))</f>
        <v>0</v>
      </c>
      <c r="GN23">
        <f>IF(Charts!$B$3="none",BL230,IF(DZ230="",NA(),DZ230))</f>
        <v>0</v>
      </c>
      <c r="GO23">
        <f>IF(Charts!$B$3="none",BM230,IF(EA230="",NA(),EA230))</f>
        <v>0</v>
      </c>
      <c r="GP23">
        <f>IF(Charts!$B$3="none",BN230,IF(EB230="",NA(),EB230))</f>
        <v>0</v>
      </c>
      <c r="GQ23">
        <f>IF(Charts!$B$3="none",BO230,IF(EC230="",NA(),EC230))</f>
        <v>0</v>
      </c>
      <c r="GR23">
        <f>IF(Charts!$B$3="none",BP230,IF(ED230="",NA(),ED230))</f>
        <v>0</v>
      </c>
    </row>
    <row r="24" spans="1:200">
      <c r="D24">
        <v>20</v>
      </c>
      <c r="E24">
        <f>IF(INDIRECT(ADDRESS($D24+2,E$2+1,,,"Instances"))="","",INDIRECT(ADDRESS($D24+2,E$2+1,,,"Instances")))</f>
        <v>0</v>
      </c>
      <c r="F24">
        <f>IFERROR(SMALL(E5:E44,ROW()-ROW($F$5)+1),"")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IFERROR(SMALL(I5:I44,ROW()-ROW($J$5)+1),"")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IFERROR(SMALL(M5:M44,ROW()-ROW($N$5)+1),"")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IFERROR(SMALL(Q5:Q44,ROW()-ROW($R$5)+1),"")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IFERROR(SMALL(U5:U44,ROW()-ROW($V$5)+1),"")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IFERROR(SMALL(Y5:Y44,ROW()-ROW($Z$5)+1),"")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IFERROR(SMALL(AC5:AC44,ROW()-ROW($AD$5)+1),"")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IFERROR(SMALL(AG5:AG44,ROW()-ROW($AH$5)+1),"")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IFERROR(SMALL(AK5:AK44,ROW()-ROW($AL$5)+1),"")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IFERROR(SMALL(AO5:AO44,ROW()-ROW($AP$5)+1),"")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IFERROR(SMALL(AS5:AS44,ROW()-ROW($AT$5)+1),"")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IFERROR(SMALL(AW5:AW44,ROW()-ROW($AX$5)+1),"")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IFERROR(SMALL(BA5:BA44,ROW()-ROW($BB$5)+1),"")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IFERROR(SMALL(BE5:BE44,ROW()-ROW($BF$5)+1),"")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IFERROR(SMALL(BI5:BI44,ROW()-ROW($BJ$5)+1),"")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IFERROR(SMALL(BM5:BM44,ROW()-ROW($BN$5)+1),"")</f>
        <v>0</v>
      </c>
      <c r="BP24">
        <f>IFERROR(SUM(BN5:BN24),"")</f>
        <v>0</v>
      </c>
      <c r="BR24">
        <v>20</v>
      </c>
      <c r="BS24" cm="1">
        <f t="array" ref="BS24">_xlfn.SWITCH(Charts!$B$3,"average", AVERAGE(INDIRECT(ADDRESS(19+3,BS$2+1,,,"Instances") &amp; ":" &amp; ADDRESS(19+3,BS$2+1))),"median", MEDIAN(INDIRECT(ADDRESS(19+3,BS$2+1,,,"Instances") &amp; ":" &amp; ADDRESS(19+3,BS$2+1))),"min", MIN(INDIRECT(ADDRESS(19+3,BS$2+1,,,"Instances") &amp; ":" &amp; ADDRESS(19+3,BS$2+1))),"max", MAX(INDIRECT(ADDRESS(19+3,BS$2+1,,,"Instances") &amp; ":" &amp; ADDRESS(19+3,BS$2+1))),"diff", MAX(INDIRECT(ADDRESS(19+3,BS$2+1,,,"Instances") &amp; ":" &amp; ADDRESS(19+3,BS$2+1)))-MIN(INDIRECT(ADDRESS(19+3,BS$2+1,,,"Instances") &amp; ":" &amp; ADDRESS(19+3,BS$2+1))))</f>
        <v>0</v>
      </c>
      <c r="BT24">
        <f>IFERROR(SMALL(BS5:BS44,ROW()-ROW($BT$5)+1),"")</f>
        <v>0</v>
      </c>
      <c r="BV24">
        <f>IFERROR(SUM(BT5:BT24),"")</f>
        <v>0</v>
      </c>
      <c r="BW24" cm="1">
        <f t="array" ref="BW24">_xlfn.SWITCH(Charts!$B$3,"average", AVERAGE(INDIRECT(ADDRESS(19+3,BW$2+1,,,"Instances") &amp; ":" &amp; ADDRESS(19+3,BW$2+1))),"median", MEDIAN(INDIRECT(ADDRESS(19+3,BW$2+1,,,"Instances") &amp; ":" &amp; ADDRESS(19+3,BW$2+1))),"min", MIN(INDIRECT(ADDRESS(19+3,BW$2+1,,,"Instances") &amp; ":" &amp; ADDRESS(19+3,BW$2+1))),"max", MAX(INDIRECT(ADDRESS(19+3,BW$2+1,,,"Instances") &amp; ":" &amp; ADDRESS(19+3,BW$2+1))),"diff", MAX(INDIRECT(ADDRESS(19+3,BW$2+1,,,"Instances") &amp; ":" &amp; ADDRESS(19+3,BW$2+1)))-MIN(INDIRECT(ADDRESS(19+3,BW$2+1,,,"Instances") &amp; ":" &amp; ADDRESS(19+3,BW$2+1))))</f>
        <v>0</v>
      </c>
      <c r="BX24">
        <f>IFERROR(SMALL(BW5:BW44,ROW()-ROW($BX$5)+1),"")</f>
        <v>0</v>
      </c>
      <c r="BZ24">
        <f>IFERROR(SUM(BX5:BX24),"")</f>
        <v>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IFERROR(SMALL(CA5:CA44,ROW()-ROW($CB$5)+1),"")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IFERROR(SMALL(CE5:CE44,ROW()-ROW($CF$5)+1),"")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IFERROR(SMALL(CI5:CI44,ROW()-ROW($CJ$5)+1),"")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IFERROR(SMALL(CM5:CM44,ROW()-ROW($CN$5)+1),"")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IFERROR(SMALL(CQ5:CQ44,ROW()-ROW($CR$5)+1),"")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IFERROR(SMALL(CU5:CU44,ROW()-ROW($CV$5)+1),"")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IFERROR(SMALL(CY5:CY44,ROW()-ROW($CZ$5)+1),"")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IFERROR(SMALL(DC5:DC44,ROW()-ROW($DD$5)+1),"")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IFERROR(SMALL(DG5:DG44,ROW()-ROW($DH$5)+1),"")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IFERROR(SMALL(DK5:DK44,ROW()-ROW($DL$5)+1),"")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IFERROR(SMALL(DO5:DO44,ROW()-ROW($DP$5)+1),"")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IFERROR(SMALL(DS5:DS44,ROW()-ROW($DT$5)+1),"")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IFERROR(SMALL(DW5:DW44,ROW()-ROW($DX$5)+1),"")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IFERROR(SMALL(EA5:EA44,ROW()-ROW($EB$5)+1),"")</f>
        <v>0</v>
      </c>
      <c r="ED24">
        <f>IFERROR(SUM(EB5:EB24),"")</f>
        <v>0</v>
      </c>
      <c r="EG24">
        <f>IF(Charts!$B$3="none",E231,IF(BS231="",NA(),BS231))</f>
        <v>0</v>
      </c>
      <c r="EH24">
        <f>IF(Charts!$B$3="none",F231,IF(BT231="",NA(),BT231))</f>
        <v>0</v>
      </c>
      <c r="EI24">
        <f>IF(Charts!$B$3="none",G231,IF(BU231="",NA(),BU231))</f>
        <v>0</v>
      </c>
      <c r="EJ24">
        <f>IF(Charts!$B$3="none",H231,IF(BV231="",NA(),BV231))</f>
        <v>0</v>
      </c>
      <c r="EK24">
        <f>IF(Charts!$B$3="none",I231,IF(BW231="",NA(),BW231))</f>
        <v>0</v>
      </c>
      <c r="EL24">
        <f>IF(Charts!$B$3="none",J231,IF(BX231="",NA(),BX231))</f>
        <v>0</v>
      </c>
      <c r="EM24">
        <f>IF(Charts!$B$3="none",K231,IF(BY231="",NA(),BY231))</f>
        <v>0</v>
      </c>
      <c r="EN24">
        <f>IF(Charts!$B$3="none",L231,IF(BZ231="",NA(),BZ231))</f>
        <v>0</v>
      </c>
      <c r="EO24">
        <f>IF(Charts!$B$3="none",M231,IF(CA231="",NA(),CA231))</f>
        <v>0</v>
      </c>
      <c r="EP24">
        <f>IF(Charts!$B$3="none",N231,IF(CB231="",NA(),CB231))</f>
        <v>0</v>
      </c>
      <c r="EQ24">
        <f>IF(Charts!$B$3="none",O231,IF(CC231="",NA(),CC231))</f>
        <v>0</v>
      </c>
      <c r="ER24">
        <f>IF(Charts!$B$3="none",P231,IF(CD231="",NA(),CD231))</f>
        <v>0</v>
      </c>
      <c r="ES24">
        <f>IF(Charts!$B$3="none",Q231,IF(CE231="",NA(),CE231))</f>
        <v>0</v>
      </c>
      <c r="ET24">
        <f>IF(Charts!$B$3="none",R231,IF(CF231="",NA(),CF231))</f>
        <v>0</v>
      </c>
      <c r="EU24">
        <f>IF(Charts!$B$3="none",S231,IF(CG231="",NA(),CG231))</f>
        <v>0</v>
      </c>
      <c r="EV24">
        <f>IF(Charts!$B$3="none",T231,IF(CH231="",NA(),CH231))</f>
        <v>0</v>
      </c>
      <c r="EW24">
        <f>IF(Charts!$B$3="none",U231,IF(CI231="",NA(),CI231))</f>
        <v>0</v>
      </c>
      <c r="EX24">
        <f>IF(Charts!$B$3="none",V231,IF(CJ231="",NA(),CJ231))</f>
        <v>0</v>
      </c>
      <c r="EY24">
        <f>IF(Charts!$B$3="none",W231,IF(CK231="",NA(),CK231))</f>
        <v>0</v>
      </c>
      <c r="EZ24">
        <f>IF(Charts!$B$3="none",X231,IF(CL231="",NA(),CL231))</f>
        <v>0</v>
      </c>
      <c r="FA24">
        <f>IF(Charts!$B$3="none",Y231,IF(CM231="",NA(),CM231))</f>
        <v>0</v>
      </c>
      <c r="FB24">
        <f>IF(Charts!$B$3="none",Z231,IF(CN231="",NA(),CN231))</f>
        <v>0</v>
      </c>
      <c r="FC24">
        <f>IF(Charts!$B$3="none",AA231,IF(CO231="",NA(),CO231))</f>
        <v>0</v>
      </c>
      <c r="FD24">
        <f>IF(Charts!$B$3="none",AB231,IF(CP231="",NA(),CP231))</f>
        <v>0</v>
      </c>
      <c r="FE24">
        <f>IF(Charts!$B$3="none",AC231,IF(CQ231="",NA(),CQ231))</f>
        <v>0</v>
      </c>
      <c r="FF24">
        <f>IF(Charts!$B$3="none",AD231,IF(CR231="",NA(),CR231))</f>
        <v>0</v>
      </c>
      <c r="FG24">
        <f>IF(Charts!$B$3="none",AE231,IF(CS231="",NA(),CS231))</f>
        <v>0</v>
      </c>
      <c r="FH24">
        <f>IF(Charts!$B$3="none",AF231,IF(CT231="",NA(),CT231))</f>
        <v>0</v>
      </c>
      <c r="FI24">
        <f>IF(Charts!$B$3="none",AG231,IF(CU231="",NA(),CU231))</f>
        <v>0</v>
      </c>
      <c r="FJ24">
        <f>IF(Charts!$B$3="none",AH231,IF(CV231="",NA(),CV231))</f>
        <v>0</v>
      </c>
      <c r="FK24">
        <f>IF(Charts!$B$3="none",AI231,IF(CW231="",NA(),CW231))</f>
        <v>0</v>
      </c>
      <c r="FL24">
        <f>IF(Charts!$B$3="none",AJ231,IF(CX231="",NA(),CX231))</f>
        <v>0</v>
      </c>
      <c r="FM24">
        <f>IF(Charts!$B$3="none",AK231,IF(CY231="",NA(),CY231))</f>
        <v>0</v>
      </c>
      <c r="FN24">
        <f>IF(Charts!$B$3="none",AL231,IF(CZ231="",NA(),CZ231))</f>
        <v>0</v>
      </c>
      <c r="FO24">
        <f>IF(Charts!$B$3="none",AM231,IF(DA231="",NA(),DA231))</f>
        <v>0</v>
      </c>
      <c r="FP24">
        <f>IF(Charts!$B$3="none",AN231,IF(DB231="",NA(),DB231))</f>
        <v>0</v>
      </c>
      <c r="FQ24">
        <f>IF(Charts!$B$3="none",AO231,IF(DC231="",NA(),DC231))</f>
        <v>0</v>
      </c>
      <c r="FR24">
        <f>IF(Charts!$B$3="none",AP231,IF(DD231="",NA(),DD231))</f>
        <v>0</v>
      </c>
      <c r="FS24">
        <f>IF(Charts!$B$3="none",AQ231,IF(DE231="",NA(),DE231))</f>
        <v>0</v>
      </c>
      <c r="FT24">
        <f>IF(Charts!$B$3="none",AR231,IF(DF231="",NA(),DF231))</f>
        <v>0</v>
      </c>
      <c r="FU24">
        <f>IF(Charts!$B$3="none",AS231,IF(DG231="",NA(),DG231))</f>
        <v>0</v>
      </c>
      <c r="FV24">
        <f>IF(Charts!$B$3="none",AT231,IF(DH231="",NA(),DH231))</f>
        <v>0</v>
      </c>
      <c r="FW24">
        <f>IF(Charts!$B$3="none",AU231,IF(DI231="",NA(),DI231))</f>
        <v>0</v>
      </c>
      <c r="FX24">
        <f>IF(Charts!$B$3="none",AV231,IF(DJ231="",NA(),DJ231))</f>
        <v>0</v>
      </c>
      <c r="FY24">
        <f>IF(Charts!$B$3="none",AW231,IF(DK231="",NA(),DK231))</f>
        <v>0</v>
      </c>
      <c r="FZ24">
        <f>IF(Charts!$B$3="none",AX231,IF(DL231="",NA(),DL231))</f>
        <v>0</v>
      </c>
      <c r="GA24">
        <f>IF(Charts!$B$3="none",AY231,IF(DM231="",NA(),DM231))</f>
        <v>0</v>
      </c>
      <c r="GB24">
        <f>IF(Charts!$B$3="none",AZ231,IF(DN231="",NA(),DN231))</f>
        <v>0</v>
      </c>
      <c r="GC24">
        <f>IF(Charts!$B$3="none",BA231,IF(DO231="",NA(),DO231))</f>
        <v>0</v>
      </c>
      <c r="GD24">
        <f>IF(Charts!$B$3="none",BB231,IF(DP231="",NA(),DP231))</f>
        <v>0</v>
      </c>
      <c r="GE24">
        <f>IF(Charts!$B$3="none",BC231,IF(DQ231="",NA(),DQ231))</f>
        <v>0</v>
      </c>
      <c r="GF24">
        <f>IF(Charts!$B$3="none",BD231,IF(DR231="",NA(),DR231))</f>
        <v>0</v>
      </c>
      <c r="GG24">
        <f>IF(Charts!$B$3="none",BE231,IF(DS231="",NA(),DS231))</f>
        <v>0</v>
      </c>
      <c r="GH24">
        <f>IF(Charts!$B$3="none",BF231,IF(DT231="",NA(),DT231))</f>
        <v>0</v>
      </c>
      <c r="GI24">
        <f>IF(Charts!$B$3="none",BG231,IF(DU231="",NA(),DU231))</f>
        <v>0</v>
      </c>
      <c r="GJ24">
        <f>IF(Charts!$B$3="none",BH231,IF(DV231="",NA(),DV231))</f>
        <v>0</v>
      </c>
      <c r="GK24">
        <f>IF(Charts!$B$3="none",BI231,IF(DW231="",NA(),DW231))</f>
        <v>0</v>
      </c>
      <c r="GL24">
        <f>IF(Charts!$B$3="none",BJ231,IF(DX231="",NA(),DX231))</f>
        <v>0</v>
      </c>
      <c r="GM24">
        <f>IF(Charts!$B$3="none",BK231,IF(DY231="",NA(),DY231))</f>
        <v>0</v>
      </c>
      <c r="GN24">
        <f>IF(Charts!$B$3="none",BL231,IF(DZ231="",NA(),DZ231))</f>
        <v>0</v>
      </c>
      <c r="GO24">
        <f>IF(Charts!$B$3="none",BM231,IF(EA231="",NA(),EA231))</f>
        <v>0</v>
      </c>
      <c r="GP24">
        <f>IF(Charts!$B$3="none",BN231,IF(EB231="",NA(),EB231))</f>
        <v>0</v>
      </c>
      <c r="GQ24">
        <f>IF(Charts!$B$3="none",BO231,IF(EC231="",NA(),EC231))</f>
        <v>0</v>
      </c>
      <c r="GR24">
        <f>IF(Charts!$B$3="none",BP231,IF(ED231="",NA(),ED231))</f>
        <v>0</v>
      </c>
    </row>
    <row r="25" spans="1:200">
      <c r="D25">
        <v>21</v>
      </c>
      <c r="E25">
        <f>IF(INDIRECT(ADDRESS($D25+2,E$2+1,,,"Instances"))="","",INDIRECT(ADDRESS($D25+2,E$2+1,,,"Instances")))</f>
        <v>0</v>
      </c>
      <c r="F25">
        <f>IFERROR(SMALL(E5:E44,ROW()-ROW($F$5)+1),"")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IFERROR(SMALL(I5:I44,ROW()-ROW($J$5)+1),"")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IFERROR(SMALL(M5:M44,ROW()-ROW($N$5)+1),"")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IFERROR(SMALL(Q5:Q44,ROW()-ROW($R$5)+1),"")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IFERROR(SMALL(U5:U44,ROW()-ROW($V$5)+1),"")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IFERROR(SMALL(Y5:Y44,ROW()-ROW($Z$5)+1),"")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IFERROR(SMALL(AC5:AC44,ROW()-ROW($AD$5)+1),"")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IFERROR(SMALL(AG5:AG44,ROW()-ROW($AH$5)+1),"")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IFERROR(SMALL(AK5:AK44,ROW()-ROW($AL$5)+1),"")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IFERROR(SMALL(AO5:AO44,ROW()-ROW($AP$5)+1),"")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IFERROR(SMALL(AS5:AS44,ROW()-ROW($AT$5)+1),"")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IFERROR(SMALL(AW5:AW44,ROW()-ROW($AX$5)+1),"")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IFERROR(SMALL(BA5:BA44,ROW()-ROW($BB$5)+1),"")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IFERROR(SMALL(BE5:BE44,ROW()-ROW($BF$5)+1),"")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IFERROR(SMALL(BI5:BI44,ROW()-ROW($BJ$5)+1),"")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IFERROR(SMALL(BM5:BM44,ROW()-ROW($BN$5)+1),"")</f>
        <v>0</v>
      </c>
      <c r="BP25">
        <f>IFERROR(SUM(BN5:BN25),"")</f>
        <v>0</v>
      </c>
      <c r="BR25">
        <v>21</v>
      </c>
      <c r="BS25" cm="1">
        <f t="array" ref="BS25">_xlfn.SWITCH(Charts!$B$3,"average", AVERAGE(INDIRECT(ADDRESS(20+3,BS$2+1,,,"Instances") &amp; ":" &amp; ADDRESS(20+3,BS$2+1))),"median", MEDIAN(INDIRECT(ADDRESS(20+3,BS$2+1,,,"Instances") &amp; ":" &amp; ADDRESS(20+3,BS$2+1))),"min", MIN(INDIRECT(ADDRESS(20+3,BS$2+1,,,"Instances") &amp; ":" &amp; ADDRESS(20+3,BS$2+1))),"max", MAX(INDIRECT(ADDRESS(20+3,BS$2+1,,,"Instances") &amp; ":" &amp; ADDRESS(20+3,BS$2+1))),"diff", MAX(INDIRECT(ADDRESS(20+3,BS$2+1,,,"Instances") &amp; ":" &amp; ADDRESS(20+3,BS$2+1)))-MIN(INDIRECT(ADDRESS(20+3,BS$2+1,,,"Instances") &amp; ":" &amp; ADDRESS(20+3,BS$2+1))))</f>
        <v>0</v>
      </c>
      <c r="BT25">
        <f>IFERROR(SMALL(BS5:BS44,ROW()-ROW($BT$5)+1),"")</f>
        <v>0</v>
      </c>
      <c r="BV25">
        <f>IFERROR(SUM(BT5:BT25),"")</f>
        <v>0</v>
      </c>
      <c r="BW25" cm="1">
        <f t="array" ref="BW25">_xlfn.SWITCH(Charts!$B$3,"average", AVERAGE(INDIRECT(ADDRESS(20+3,BW$2+1,,,"Instances") &amp; ":" &amp; ADDRESS(20+3,BW$2+1))),"median", MEDIAN(INDIRECT(ADDRESS(20+3,BW$2+1,,,"Instances") &amp; ":" &amp; ADDRESS(20+3,BW$2+1))),"min", MIN(INDIRECT(ADDRESS(20+3,BW$2+1,,,"Instances") &amp; ":" &amp; ADDRESS(20+3,BW$2+1))),"max", MAX(INDIRECT(ADDRESS(20+3,BW$2+1,,,"Instances") &amp; ":" &amp; ADDRESS(20+3,BW$2+1))),"diff", MAX(INDIRECT(ADDRESS(20+3,BW$2+1,,,"Instances") &amp; ":" &amp; ADDRESS(20+3,BW$2+1)))-MIN(INDIRECT(ADDRESS(20+3,BW$2+1,,,"Instances") &amp; ":" &amp; ADDRESS(20+3,BW$2+1))))</f>
        <v>0</v>
      </c>
      <c r="BX25">
        <f>IFERROR(SMALL(BW5:BW44,ROW()-ROW($BX$5)+1),"")</f>
        <v>0</v>
      </c>
      <c r="BZ25">
        <f>IFERROR(SUM(BX5:BX25),"")</f>
        <v>0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IFERROR(SMALL(CA5:CA44,ROW()-ROW($CB$5)+1),"")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IFERROR(SMALL(CE5:CE44,ROW()-ROW($CF$5)+1),"")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IFERROR(SMALL(CI5:CI44,ROW()-ROW($CJ$5)+1),"")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IFERROR(SMALL(CM5:CM44,ROW()-ROW($CN$5)+1),"")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IFERROR(SMALL(CQ5:CQ44,ROW()-ROW($CR$5)+1),"")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IFERROR(SMALL(CU5:CU44,ROW()-ROW($CV$5)+1),"")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IFERROR(SMALL(CY5:CY44,ROW()-ROW($CZ$5)+1),"")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IFERROR(SMALL(DC5:DC44,ROW()-ROW($DD$5)+1),"")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IFERROR(SMALL(DG5:DG44,ROW()-ROW($DH$5)+1),"")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IFERROR(SMALL(DK5:DK44,ROW()-ROW($DL$5)+1),"")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IFERROR(SMALL(DO5:DO44,ROW()-ROW($DP$5)+1),"")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IFERROR(SMALL(DS5:DS44,ROW()-ROW($DT$5)+1),"")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IFERROR(SMALL(DW5:DW44,ROW()-ROW($DX$5)+1),"")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IFERROR(SMALL(EA5:EA44,ROW()-ROW($EB$5)+1),"")</f>
        <v>0</v>
      </c>
      <c r="ED25">
        <f>IFERROR(SUM(EB5:EB25),"")</f>
        <v>0</v>
      </c>
      <c r="EG25">
        <f>IF(Charts!$B$3="none",E232,IF(BS232="",NA(),BS232))</f>
        <v>0</v>
      </c>
      <c r="EH25">
        <f>IF(Charts!$B$3="none",F232,IF(BT232="",NA(),BT232))</f>
        <v>0</v>
      </c>
      <c r="EI25">
        <f>IF(Charts!$B$3="none",G232,IF(BU232="",NA(),BU232))</f>
        <v>0</v>
      </c>
      <c r="EJ25">
        <f>IF(Charts!$B$3="none",H232,IF(BV232="",NA(),BV232))</f>
        <v>0</v>
      </c>
      <c r="EK25">
        <f>IF(Charts!$B$3="none",I232,IF(BW232="",NA(),BW232))</f>
        <v>0</v>
      </c>
      <c r="EL25">
        <f>IF(Charts!$B$3="none",J232,IF(BX232="",NA(),BX232))</f>
        <v>0</v>
      </c>
      <c r="EM25">
        <f>IF(Charts!$B$3="none",K232,IF(BY232="",NA(),BY232))</f>
        <v>0</v>
      </c>
      <c r="EN25">
        <f>IF(Charts!$B$3="none",L232,IF(BZ232="",NA(),BZ232))</f>
        <v>0</v>
      </c>
      <c r="EO25">
        <f>IF(Charts!$B$3="none",M232,IF(CA232="",NA(),CA232))</f>
        <v>0</v>
      </c>
      <c r="EP25">
        <f>IF(Charts!$B$3="none",N232,IF(CB232="",NA(),CB232))</f>
        <v>0</v>
      </c>
      <c r="EQ25">
        <f>IF(Charts!$B$3="none",O232,IF(CC232="",NA(),CC232))</f>
        <v>0</v>
      </c>
      <c r="ER25">
        <f>IF(Charts!$B$3="none",P232,IF(CD232="",NA(),CD232))</f>
        <v>0</v>
      </c>
      <c r="ES25">
        <f>IF(Charts!$B$3="none",Q232,IF(CE232="",NA(),CE232))</f>
        <v>0</v>
      </c>
      <c r="ET25">
        <f>IF(Charts!$B$3="none",R232,IF(CF232="",NA(),CF232))</f>
        <v>0</v>
      </c>
      <c r="EU25">
        <f>IF(Charts!$B$3="none",S232,IF(CG232="",NA(),CG232))</f>
        <v>0</v>
      </c>
      <c r="EV25">
        <f>IF(Charts!$B$3="none",T232,IF(CH232="",NA(),CH232))</f>
        <v>0</v>
      </c>
      <c r="EW25">
        <f>IF(Charts!$B$3="none",U232,IF(CI232="",NA(),CI232))</f>
        <v>0</v>
      </c>
      <c r="EX25">
        <f>IF(Charts!$B$3="none",V232,IF(CJ232="",NA(),CJ232))</f>
        <v>0</v>
      </c>
      <c r="EY25">
        <f>IF(Charts!$B$3="none",W232,IF(CK232="",NA(),CK232))</f>
        <v>0</v>
      </c>
      <c r="EZ25">
        <f>IF(Charts!$B$3="none",X232,IF(CL232="",NA(),CL232))</f>
        <v>0</v>
      </c>
      <c r="FA25">
        <f>IF(Charts!$B$3="none",Y232,IF(CM232="",NA(),CM232))</f>
        <v>0</v>
      </c>
      <c r="FB25">
        <f>IF(Charts!$B$3="none",Z232,IF(CN232="",NA(),CN232))</f>
        <v>0</v>
      </c>
      <c r="FC25">
        <f>IF(Charts!$B$3="none",AA232,IF(CO232="",NA(),CO232))</f>
        <v>0</v>
      </c>
      <c r="FD25">
        <f>IF(Charts!$B$3="none",AB232,IF(CP232="",NA(),CP232))</f>
        <v>0</v>
      </c>
      <c r="FE25">
        <f>IF(Charts!$B$3="none",AC232,IF(CQ232="",NA(),CQ232))</f>
        <v>0</v>
      </c>
      <c r="FF25">
        <f>IF(Charts!$B$3="none",AD232,IF(CR232="",NA(),CR232))</f>
        <v>0</v>
      </c>
      <c r="FG25">
        <f>IF(Charts!$B$3="none",AE232,IF(CS232="",NA(),CS232))</f>
        <v>0</v>
      </c>
      <c r="FH25">
        <f>IF(Charts!$B$3="none",AF232,IF(CT232="",NA(),CT232))</f>
        <v>0</v>
      </c>
      <c r="FI25">
        <f>IF(Charts!$B$3="none",AG232,IF(CU232="",NA(),CU232))</f>
        <v>0</v>
      </c>
      <c r="FJ25">
        <f>IF(Charts!$B$3="none",AH232,IF(CV232="",NA(),CV232))</f>
        <v>0</v>
      </c>
      <c r="FK25">
        <f>IF(Charts!$B$3="none",AI232,IF(CW232="",NA(),CW232))</f>
        <v>0</v>
      </c>
      <c r="FL25">
        <f>IF(Charts!$B$3="none",AJ232,IF(CX232="",NA(),CX232))</f>
        <v>0</v>
      </c>
      <c r="FM25">
        <f>IF(Charts!$B$3="none",AK232,IF(CY232="",NA(),CY232))</f>
        <v>0</v>
      </c>
      <c r="FN25">
        <f>IF(Charts!$B$3="none",AL232,IF(CZ232="",NA(),CZ232))</f>
        <v>0</v>
      </c>
      <c r="FO25">
        <f>IF(Charts!$B$3="none",AM232,IF(DA232="",NA(),DA232))</f>
        <v>0</v>
      </c>
      <c r="FP25">
        <f>IF(Charts!$B$3="none",AN232,IF(DB232="",NA(),DB232))</f>
        <v>0</v>
      </c>
      <c r="FQ25">
        <f>IF(Charts!$B$3="none",AO232,IF(DC232="",NA(),DC232))</f>
        <v>0</v>
      </c>
      <c r="FR25">
        <f>IF(Charts!$B$3="none",AP232,IF(DD232="",NA(),DD232))</f>
        <v>0</v>
      </c>
      <c r="FS25">
        <f>IF(Charts!$B$3="none",AQ232,IF(DE232="",NA(),DE232))</f>
        <v>0</v>
      </c>
      <c r="FT25">
        <f>IF(Charts!$B$3="none",AR232,IF(DF232="",NA(),DF232))</f>
        <v>0</v>
      </c>
      <c r="FU25">
        <f>IF(Charts!$B$3="none",AS232,IF(DG232="",NA(),DG232))</f>
        <v>0</v>
      </c>
      <c r="FV25">
        <f>IF(Charts!$B$3="none",AT232,IF(DH232="",NA(),DH232))</f>
        <v>0</v>
      </c>
      <c r="FW25">
        <f>IF(Charts!$B$3="none",AU232,IF(DI232="",NA(),DI232))</f>
        <v>0</v>
      </c>
      <c r="FX25">
        <f>IF(Charts!$B$3="none",AV232,IF(DJ232="",NA(),DJ232))</f>
        <v>0</v>
      </c>
      <c r="FY25">
        <f>IF(Charts!$B$3="none",AW232,IF(DK232="",NA(),DK232))</f>
        <v>0</v>
      </c>
      <c r="FZ25">
        <f>IF(Charts!$B$3="none",AX232,IF(DL232="",NA(),DL232))</f>
        <v>0</v>
      </c>
      <c r="GA25">
        <f>IF(Charts!$B$3="none",AY232,IF(DM232="",NA(),DM232))</f>
        <v>0</v>
      </c>
      <c r="GB25">
        <f>IF(Charts!$B$3="none",AZ232,IF(DN232="",NA(),DN232))</f>
        <v>0</v>
      </c>
      <c r="GC25">
        <f>IF(Charts!$B$3="none",BA232,IF(DO232="",NA(),DO232))</f>
        <v>0</v>
      </c>
      <c r="GD25">
        <f>IF(Charts!$B$3="none",BB232,IF(DP232="",NA(),DP232))</f>
        <v>0</v>
      </c>
      <c r="GE25">
        <f>IF(Charts!$B$3="none",BC232,IF(DQ232="",NA(),DQ232))</f>
        <v>0</v>
      </c>
      <c r="GF25">
        <f>IF(Charts!$B$3="none",BD232,IF(DR232="",NA(),DR232))</f>
        <v>0</v>
      </c>
      <c r="GG25">
        <f>IF(Charts!$B$3="none",BE232,IF(DS232="",NA(),DS232))</f>
        <v>0</v>
      </c>
      <c r="GH25">
        <f>IF(Charts!$B$3="none",BF232,IF(DT232="",NA(),DT232))</f>
        <v>0</v>
      </c>
      <c r="GI25">
        <f>IF(Charts!$B$3="none",BG232,IF(DU232="",NA(),DU232))</f>
        <v>0</v>
      </c>
      <c r="GJ25">
        <f>IF(Charts!$B$3="none",BH232,IF(DV232="",NA(),DV232))</f>
        <v>0</v>
      </c>
      <c r="GK25">
        <f>IF(Charts!$B$3="none",BI232,IF(DW232="",NA(),DW232))</f>
        <v>0</v>
      </c>
      <c r="GL25">
        <f>IF(Charts!$B$3="none",BJ232,IF(DX232="",NA(),DX232))</f>
        <v>0</v>
      </c>
      <c r="GM25">
        <f>IF(Charts!$B$3="none",BK232,IF(DY232="",NA(),DY232))</f>
        <v>0</v>
      </c>
      <c r="GN25">
        <f>IF(Charts!$B$3="none",BL232,IF(DZ232="",NA(),DZ232))</f>
        <v>0</v>
      </c>
      <c r="GO25">
        <f>IF(Charts!$B$3="none",BM232,IF(EA232="",NA(),EA232))</f>
        <v>0</v>
      </c>
      <c r="GP25">
        <f>IF(Charts!$B$3="none",BN232,IF(EB232="",NA(),EB232))</f>
        <v>0</v>
      </c>
      <c r="GQ25">
        <f>IF(Charts!$B$3="none",BO232,IF(EC232="",NA(),EC232))</f>
        <v>0</v>
      </c>
      <c r="GR25">
        <f>IF(Charts!$B$3="none",BP232,IF(ED232="",NA(),ED232))</f>
        <v>0</v>
      </c>
    </row>
    <row r="26" spans="1:200">
      <c r="D26">
        <v>22</v>
      </c>
      <c r="E26">
        <f>IF(INDIRECT(ADDRESS($D26+2,E$2+1,,,"Instances"))="","",INDIRECT(ADDRESS($D26+2,E$2+1,,,"Instances")))</f>
        <v>0</v>
      </c>
      <c r="F26">
        <f>IFERROR(SMALL(E5:E44,ROW()-ROW($F$5)+1),"")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IFERROR(SMALL(I5:I44,ROW()-ROW($J$5)+1),"")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IFERROR(SMALL(M5:M44,ROW()-ROW($N$5)+1),"")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IFERROR(SMALL(Q5:Q44,ROW()-ROW($R$5)+1),"")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IFERROR(SMALL(U5:U44,ROW()-ROW($V$5)+1),"")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IFERROR(SMALL(Y5:Y44,ROW()-ROW($Z$5)+1),"")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IFERROR(SMALL(AC5:AC44,ROW()-ROW($AD$5)+1),"")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IFERROR(SMALL(AG5:AG44,ROW()-ROW($AH$5)+1),"")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IFERROR(SMALL(AK5:AK44,ROW()-ROW($AL$5)+1),"")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IFERROR(SMALL(AO5:AO44,ROW()-ROW($AP$5)+1),"")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IFERROR(SMALL(AS5:AS44,ROW()-ROW($AT$5)+1),"")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IFERROR(SMALL(AW5:AW44,ROW()-ROW($AX$5)+1),"")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IFERROR(SMALL(BA5:BA44,ROW()-ROW($BB$5)+1),"")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IFERROR(SMALL(BE5:BE44,ROW()-ROW($BF$5)+1),"")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IFERROR(SMALL(BI5:BI44,ROW()-ROW($BJ$5)+1),"")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IFERROR(SMALL(BM5:BM44,ROW()-ROW($BN$5)+1),"")</f>
        <v>0</v>
      </c>
      <c r="BP26">
        <f>IFERROR(SUM(BN5:BN26),"")</f>
        <v>0</v>
      </c>
      <c r="BR26">
        <v>22</v>
      </c>
      <c r="BS26" cm="1">
        <f t="array" ref="BS26">_xlfn.SWITCH(Charts!$B$3,"average", AVERAGE(INDIRECT(ADDRESS(21+3,BS$2+1,,,"Instances") &amp; ":" &amp; ADDRESS(21+3,BS$2+1))),"median", MEDIAN(INDIRECT(ADDRESS(21+3,BS$2+1,,,"Instances") &amp; ":" &amp; ADDRESS(21+3,BS$2+1))),"min", MIN(INDIRECT(ADDRESS(21+3,BS$2+1,,,"Instances") &amp; ":" &amp; ADDRESS(21+3,BS$2+1))),"max", MAX(INDIRECT(ADDRESS(21+3,BS$2+1,,,"Instances") &amp; ":" &amp; ADDRESS(21+3,BS$2+1))),"diff", MAX(INDIRECT(ADDRESS(21+3,BS$2+1,,,"Instances") &amp; ":" &amp; ADDRESS(21+3,BS$2+1)))-MIN(INDIRECT(ADDRESS(21+3,BS$2+1,,,"Instances") &amp; ":" &amp; ADDRESS(21+3,BS$2+1))))</f>
        <v>0</v>
      </c>
      <c r="BT26">
        <f>IFERROR(SMALL(BS5:BS44,ROW()-ROW($BT$5)+1),"")</f>
        <v>0</v>
      </c>
      <c r="BV26">
        <f>IFERROR(SUM(BT5:BT26),"")</f>
        <v>0</v>
      </c>
      <c r="BW26" cm="1">
        <f t="array" ref="BW26">_xlfn.SWITCH(Charts!$B$3,"average", AVERAGE(INDIRECT(ADDRESS(21+3,BW$2+1,,,"Instances") &amp; ":" &amp; ADDRESS(21+3,BW$2+1))),"median", MEDIAN(INDIRECT(ADDRESS(21+3,BW$2+1,,,"Instances") &amp; ":" &amp; ADDRESS(21+3,BW$2+1))),"min", MIN(INDIRECT(ADDRESS(21+3,BW$2+1,,,"Instances") &amp; ":" &amp; ADDRESS(21+3,BW$2+1))),"max", MAX(INDIRECT(ADDRESS(21+3,BW$2+1,,,"Instances") &amp; ":" &amp; ADDRESS(21+3,BW$2+1))),"diff", MAX(INDIRECT(ADDRESS(21+3,BW$2+1,,,"Instances") &amp; ":" &amp; ADDRESS(21+3,BW$2+1)))-MIN(INDIRECT(ADDRESS(21+3,BW$2+1,,,"Instances") &amp; ":" &amp; ADDRESS(21+3,BW$2+1))))</f>
        <v>0</v>
      </c>
      <c r="BX26">
        <f>IFERROR(SMALL(BW5:BW44,ROW()-ROW($BX$5)+1),"")</f>
        <v>0</v>
      </c>
      <c r="BZ26">
        <f>IFERROR(SUM(BX5:BX26),"")</f>
        <v>0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IFERROR(SMALL(CA5:CA44,ROW()-ROW($CB$5)+1),"")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IFERROR(SMALL(CE5:CE44,ROW()-ROW($CF$5)+1),"")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IFERROR(SMALL(CI5:CI44,ROW()-ROW($CJ$5)+1),"")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IFERROR(SMALL(CM5:CM44,ROW()-ROW($CN$5)+1),"")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IFERROR(SMALL(CQ5:CQ44,ROW()-ROW($CR$5)+1),"")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IFERROR(SMALL(CU5:CU44,ROW()-ROW($CV$5)+1),"")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IFERROR(SMALL(CY5:CY44,ROW()-ROW($CZ$5)+1),"")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IFERROR(SMALL(DC5:DC44,ROW()-ROW($DD$5)+1),"")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IFERROR(SMALL(DG5:DG44,ROW()-ROW($DH$5)+1),"")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IFERROR(SMALL(DK5:DK44,ROW()-ROW($DL$5)+1),"")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IFERROR(SMALL(DO5:DO44,ROW()-ROW($DP$5)+1),"")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IFERROR(SMALL(DS5:DS44,ROW()-ROW($DT$5)+1),"")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IFERROR(SMALL(DW5:DW44,ROW()-ROW($DX$5)+1),"")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IFERROR(SMALL(EA5:EA44,ROW()-ROW($EB$5)+1),"")</f>
        <v>0</v>
      </c>
      <c r="ED26">
        <f>IFERROR(SUM(EB5:EB26),"")</f>
        <v>0</v>
      </c>
      <c r="EG26">
        <f>IF(Charts!$B$3="none",E233,IF(BS233="",NA(),BS233))</f>
        <v>0</v>
      </c>
      <c r="EH26">
        <f>IF(Charts!$B$3="none",F233,IF(BT233="",NA(),BT233))</f>
        <v>0</v>
      </c>
      <c r="EI26">
        <f>IF(Charts!$B$3="none",G233,IF(BU233="",NA(),BU233))</f>
        <v>0</v>
      </c>
      <c r="EJ26">
        <f>IF(Charts!$B$3="none",H233,IF(BV233="",NA(),BV233))</f>
        <v>0</v>
      </c>
      <c r="EK26">
        <f>IF(Charts!$B$3="none",I233,IF(BW233="",NA(),BW233))</f>
        <v>0</v>
      </c>
      <c r="EL26">
        <f>IF(Charts!$B$3="none",J233,IF(BX233="",NA(),BX233))</f>
        <v>0</v>
      </c>
      <c r="EM26">
        <f>IF(Charts!$B$3="none",K233,IF(BY233="",NA(),BY233))</f>
        <v>0</v>
      </c>
      <c r="EN26">
        <f>IF(Charts!$B$3="none",L233,IF(BZ233="",NA(),BZ233))</f>
        <v>0</v>
      </c>
      <c r="EO26">
        <f>IF(Charts!$B$3="none",M233,IF(CA233="",NA(),CA233))</f>
        <v>0</v>
      </c>
      <c r="EP26">
        <f>IF(Charts!$B$3="none",N233,IF(CB233="",NA(),CB233))</f>
        <v>0</v>
      </c>
      <c r="EQ26">
        <f>IF(Charts!$B$3="none",O233,IF(CC233="",NA(),CC233))</f>
        <v>0</v>
      </c>
      <c r="ER26">
        <f>IF(Charts!$B$3="none",P233,IF(CD233="",NA(),CD233))</f>
        <v>0</v>
      </c>
      <c r="ES26">
        <f>IF(Charts!$B$3="none",Q233,IF(CE233="",NA(),CE233))</f>
        <v>0</v>
      </c>
      <c r="ET26">
        <f>IF(Charts!$B$3="none",R233,IF(CF233="",NA(),CF233))</f>
        <v>0</v>
      </c>
      <c r="EU26">
        <f>IF(Charts!$B$3="none",S233,IF(CG233="",NA(),CG233))</f>
        <v>0</v>
      </c>
      <c r="EV26">
        <f>IF(Charts!$B$3="none",T233,IF(CH233="",NA(),CH233))</f>
        <v>0</v>
      </c>
      <c r="EW26">
        <f>IF(Charts!$B$3="none",U233,IF(CI233="",NA(),CI233))</f>
        <v>0</v>
      </c>
      <c r="EX26">
        <f>IF(Charts!$B$3="none",V233,IF(CJ233="",NA(),CJ233))</f>
        <v>0</v>
      </c>
      <c r="EY26">
        <f>IF(Charts!$B$3="none",W233,IF(CK233="",NA(),CK233))</f>
        <v>0</v>
      </c>
      <c r="EZ26">
        <f>IF(Charts!$B$3="none",X233,IF(CL233="",NA(),CL233))</f>
        <v>0</v>
      </c>
      <c r="FA26">
        <f>IF(Charts!$B$3="none",Y233,IF(CM233="",NA(),CM233))</f>
        <v>0</v>
      </c>
      <c r="FB26">
        <f>IF(Charts!$B$3="none",Z233,IF(CN233="",NA(),CN233))</f>
        <v>0</v>
      </c>
      <c r="FC26">
        <f>IF(Charts!$B$3="none",AA233,IF(CO233="",NA(),CO233))</f>
        <v>0</v>
      </c>
      <c r="FD26">
        <f>IF(Charts!$B$3="none",AB233,IF(CP233="",NA(),CP233))</f>
        <v>0</v>
      </c>
      <c r="FE26">
        <f>IF(Charts!$B$3="none",AC233,IF(CQ233="",NA(),CQ233))</f>
        <v>0</v>
      </c>
      <c r="FF26">
        <f>IF(Charts!$B$3="none",AD233,IF(CR233="",NA(),CR233))</f>
        <v>0</v>
      </c>
      <c r="FG26">
        <f>IF(Charts!$B$3="none",AE233,IF(CS233="",NA(),CS233))</f>
        <v>0</v>
      </c>
      <c r="FH26">
        <f>IF(Charts!$B$3="none",AF233,IF(CT233="",NA(),CT233))</f>
        <v>0</v>
      </c>
      <c r="FI26">
        <f>IF(Charts!$B$3="none",AG233,IF(CU233="",NA(),CU233))</f>
        <v>0</v>
      </c>
      <c r="FJ26">
        <f>IF(Charts!$B$3="none",AH233,IF(CV233="",NA(),CV233))</f>
        <v>0</v>
      </c>
      <c r="FK26">
        <f>IF(Charts!$B$3="none",AI233,IF(CW233="",NA(),CW233))</f>
        <v>0</v>
      </c>
      <c r="FL26">
        <f>IF(Charts!$B$3="none",AJ233,IF(CX233="",NA(),CX233))</f>
        <v>0</v>
      </c>
      <c r="FM26">
        <f>IF(Charts!$B$3="none",AK233,IF(CY233="",NA(),CY233))</f>
        <v>0</v>
      </c>
      <c r="FN26">
        <f>IF(Charts!$B$3="none",AL233,IF(CZ233="",NA(),CZ233))</f>
        <v>0</v>
      </c>
      <c r="FO26">
        <f>IF(Charts!$B$3="none",AM233,IF(DA233="",NA(),DA233))</f>
        <v>0</v>
      </c>
      <c r="FP26">
        <f>IF(Charts!$B$3="none",AN233,IF(DB233="",NA(),DB233))</f>
        <v>0</v>
      </c>
      <c r="FQ26">
        <f>IF(Charts!$B$3="none",AO233,IF(DC233="",NA(),DC233))</f>
        <v>0</v>
      </c>
      <c r="FR26">
        <f>IF(Charts!$B$3="none",AP233,IF(DD233="",NA(),DD233))</f>
        <v>0</v>
      </c>
      <c r="FS26">
        <f>IF(Charts!$B$3="none",AQ233,IF(DE233="",NA(),DE233))</f>
        <v>0</v>
      </c>
      <c r="FT26">
        <f>IF(Charts!$B$3="none",AR233,IF(DF233="",NA(),DF233))</f>
        <v>0</v>
      </c>
      <c r="FU26">
        <f>IF(Charts!$B$3="none",AS233,IF(DG233="",NA(),DG233))</f>
        <v>0</v>
      </c>
      <c r="FV26">
        <f>IF(Charts!$B$3="none",AT233,IF(DH233="",NA(),DH233))</f>
        <v>0</v>
      </c>
      <c r="FW26">
        <f>IF(Charts!$B$3="none",AU233,IF(DI233="",NA(),DI233))</f>
        <v>0</v>
      </c>
      <c r="FX26">
        <f>IF(Charts!$B$3="none",AV233,IF(DJ233="",NA(),DJ233))</f>
        <v>0</v>
      </c>
      <c r="FY26">
        <f>IF(Charts!$B$3="none",AW233,IF(DK233="",NA(),DK233))</f>
        <v>0</v>
      </c>
      <c r="FZ26">
        <f>IF(Charts!$B$3="none",AX233,IF(DL233="",NA(),DL233))</f>
        <v>0</v>
      </c>
      <c r="GA26">
        <f>IF(Charts!$B$3="none",AY233,IF(DM233="",NA(),DM233))</f>
        <v>0</v>
      </c>
      <c r="GB26">
        <f>IF(Charts!$B$3="none",AZ233,IF(DN233="",NA(),DN233))</f>
        <v>0</v>
      </c>
      <c r="GC26">
        <f>IF(Charts!$B$3="none",BA233,IF(DO233="",NA(),DO233))</f>
        <v>0</v>
      </c>
      <c r="GD26">
        <f>IF(Charts!$B$3="none",BB233,IF(DP233="",NA(),DP233))</f>
        <v>0</v>
      </c>
      <c r="GE26">
        <f>IF(Charts!$B$3="none",BC233,IF(DQ233="",NA(),DQ233))</f>
        <v>0</v>
      </c>
      <c r="GF26">
        <f>IF(Charts!$B$3="none",BD233,IF(DR233="",NA(),DR233))</f>
        <v>0</v>
      </c>
      <c r="GG26">
        <f>IF(Charts!$B$3="none",BE233,IF(DS233="",NA(),DS233))</f>
        <v>0</v>
      </c>
      <c r="GH26">
        <f>IF(Charts!$B$3="none",BF233,IF(DT233="",NA(),DT233))</f>
        <v>0</v>
      </c>
      <c r="GI26">
        <f>IF(Charts!$B$3="none",BG233,IF(DU233="",NA(),DU233))</f>
        <v>0</v>
      </c>
      <c r="GJ26">
        <f>IF(Charts!$B$3="none",BH233,IF(DV233="",NA(),DV233))</f>
        <v>0</v>
      </c>
      <c r="GK26">
        <f>IF(Charts!$B$3="none",BI233,IF(DW233="",NA(),DW233))</f>
        <v>0</v>
      </c>
      <c r="GL26">
        <f>IF(Charts!$B$3="none",BJ233,IF(DX233="",NA(),DX233))</f>
        <v>0</v>
      </c>
      <c r="GM26">
        <f>IF(Charts!$B$3="none",BK233,IF(DY233="",NA(),DY233))</f>
        <v>0</v>
      </c>
      <c r="GN26">
        <f>IF(Charts!$B$3="none",BL233,IF(DZ233="",NA(),DZ233))</f>
        <v>0</v>
      </c>
      <c r="GO26">
        <f>IF(Charts!$B$3="none",BM233,IF(EA233="",NA(),EA233))</f>
        <v>0</v>
      </c>
      <c r="GP26">
        <f>IF(Charts!$B$3="none",BN233,IF(EB233="",NA(),EB233))</f>
        <v>0</v>
      </c>
      <c r="GQ26">
        <f>IF(Charts!$B$3="none",BO233,IF(EC233="",NA(),EC233))</f>
        <v>0</v>
      </c>
      <c r="GR26">
        <f>IF(Charts!$B$3="none",BP233,IF(ED233="",NA(),ED233))</f>
        <v>0</v>
      </c>
    </row>
    <row r="27" spans="1:200">
      <c r="D27">
        <v>23</v>
      </c>
      <c r="E27">
        <f>IF(INDIRECT(ADDRESS($D27+2,E$2+1,,,"Instances"))="","",INDIRECT(ADDRESS($D27+2,E$2+1,,,"Instances")))</f>
        <v>0</v>
      </c>
      <c r="F27">
        <f>IFERROR(SMALL(E5:E44,ROW()-ROW($F$5)+1),"")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IFERROR(SMALL(I5:I44,ROW()-ROW($J$5)+1),"")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IFERROR(SMALL(M5:M44,ROW()-ROW($N$5)+1),"")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IFERROR(SMALL(Q5:Q44,ROW()-ROW($R$5)+1),"")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IFERROR(SMALL(U5:U44,ROW()-ROW($V$5)+1),"")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IFERROR(SMALL(Y5:Y44,ROW()-ROW($Z$5)+1),"")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IFERROR(SMALL(AC5:AC44,ROW()-ROW($AD$5)+1),"")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IFERROR(SMALL(AG5:AG44,ROW()-ROW($AH$5)+1),"")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IFERROR(SMALL(AK5:AK44,ROW()-ROW($AL$5)+1),"")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IFERROR(SMALL(AO5:AO44,ROW()-ROW($AP$5)+1),"")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IFERROR(SMALL(AS5:AS44,ROW()-ROW($AT$5)+1),"")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IFERROR(SMALL(AW5:AW44,ROW()-ROW($AX$5)+1),"")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IFERROR(SMALL(BA5:BA44,ROW()-ROW($BB$5)+1),"")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IFERROR(SMALL(BE5:BE44,ROW()-ROW($BF$5)+1),"")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IFERROR(SMALL(BI5:BI44,ROW()-ROW($BJ$5)+1),"")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IFERROR(SMALL(BM5:BM44,ROW()-ROW($BN$5)+1),"")</f>
        <v>0</v>
      </c>
      <c r="BP27">
        <f>IFERROR(SUM(BN5:BN27),"")</f>
        <v>0</v>
      </c>
      <c r="BR27">
        <v>23</v>
      </c>
      <c r="BS27" cm="1">
        <f t="array" ref="BS27">_xlfn.SWITCH(Charts!$B$3,"average", AVERAGE(INDIRECT(ADDRESS(22+3,BS$2+1,,,"Instances") &amp; ":" &amp; ADDRESS(22+3,BS$2+1))),"median", MEDIAN(INDIRECT(ADDRESS(22+3,BS$2+1,,,"Instances") &amp; ":" &amp; ADDRESS(22+3,BS$2+1))),"min", MIN(INDIRECT(ADDRESS(22+3,BS$2+1,,,"Instances") &amp; ":" &amp; ADDRESS(22+3,BS$2+1))),"max", MAX(INDIRECT(ADDRESS(22+3,BS$2+1,,,"Instances") &amp; ":" &amp; ADDRESS(22+3,BS$2+1))),"diff", MAX(INDIRECT(ADDRESS(22+3,BS$2+1,,,"Instances") &amp; ":" &amp; ADDRESS(22+3,BS$2+1)))-MIN(INDIRECT(ADDRESS(22+3,BS$2+1,,,"Instances") &amp; ":" &amp; ADDRESS(22+3,BS$2+1))))</f>
        <v>0</v>
      </c>
      <c r="BT27">
        <f>IFERROR(SMALL(BS5:BS44,ROW()-ROW($BT$5)+1),"")</f>
        <v>0</v>
      </c>
      <c r="BV27">
        <f>IFERROR(SUM(BT5:BT27),"")</f>
        <v>0</v>
      </c>
      <c r="BW27" cm="1">
        <f t="array" ref="BW27">_xlfn.SWITCH(Charts!$B$3,"average", AVERAGE(INDIRECT(ADDRESS(22+3,BW$2+1,,,"Instances") &amp; ":" &amp; ADDRESS(22+3,BW$2+1))),"median", MEDIAN(INDIRECT(ADDRESS(22+3,BW$2+1,,,"Instances") &amp; ":" &amp; ADDRESS(22+3,BW$2+1))),"min", MIN(INDIRECT(ADDRESS(22+3,BW$2+1,,,"Instances") &amp; ":" &amp; ADDRESS(22+3,BW$2+1))),"max", MAX(INDIRECT(ADDRESS(22+3,BW$2+1,,,"Instances") &amp; ":" &amp; ADDRESS(22+3,BW$2+1))),"diff", MAX(INDIRECT(ADDRESS(22+3,BW$2+1,,,"Instances") &amp; ":" &amp; ADDRESS(22+3,BW$2+1)))-MIN(INDIRECT(ADDRESS(22+3,BW$2+1,,,"Instances") &amp; ":" &amp; ADDRESS(22+3,BW$2+1))))</f>
        <v>0</v>
      </c>
      <c r="BX27">
        <f>IFERROR(SMALL(BW5:BW44,ROW()-ROW($BX$5)+1),"")</f>
        <v>0</v>
      </c>
      <c r="BZ27">
        <f>IFERROR(SUM(BX5:BX27),"")</f>
        <v>0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IFERROR(SMALL(CA5:CA44,ROW()-ROW($CB$5)+1),"")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IFERROR(SMALL(CE5:CE44,ROW()-ROW($CF$5)+1),"")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IFERROR(SMALL(CI5:CI44,ROW()-ROW($CJ$5)+1),"")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IFERROR(SMALL(CM5:CM44,ROW()-ROW($CN$5)+1),"")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IFERROR(SMALL(CQ5:CQ44,ROW()-ROW($CR$5)+1),"")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IFERROR(SMALL(CU5:CU44,ROW()-ROW($CV$5)+1),"")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IFERROR(SMALL(CY5:CY44,ROW()-ROW($CZ$5)+1),"")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IFERROR(SMALL(DC5:DC44,ROW()-ROW($DD$5)+1),"")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IFERROR(SMALL(DG5:DG44,ROW()-ROW($DH$5)+1),"")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IFERROR(SMALL(DK5:DK44,ROW()-ROW($DL$5)+1),"")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IFERROR(SMALL(DO5:DO44,ROW()-ROW($DP$5)+1),"")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IFERROR(SMALL(DS5:DS44,ROW()-ROW($DT$5)+1),"")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IFERROR(SMALL(DW5:DW44,ROW()-ROW($DX$5)+1),"")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IFERROR(SMALL(EA5:EA44,ROW()-ROW($EB$5)+1),"")</f>
        <v>0</v>
      </c>
      <c r="ED27">
        <f>IFERROR(SUM(EB5:EB27),"")</f>
        <v>0</v>
      </c>
      <c r="EG27">
        <f>IF(Charts!$B$3="none",E234,IF(BS234="",NA(),BS234))</f>
        <v>0</v>
      </c>
      <c r="EH27">
        <f>IF(Charts!$B$3="none",F234,IF(BT234="",NA(),BT234))</f>
        <v>0</v>
      </c>
      <c r="EI27">
        <f>IF(Charts!$B$3="none",G234,IF(BU234="",NA(),BU234))</f>
        <v>0</v>
      </c>
      <c r="EJ27">
        <f>IF(Charts!$B$3="none",H234,IF(BV234="",NA(),BV234))</f>
        <v>0</v>
      </c>
      <c r="EK27">
        <f>IF(Charts!$B$3="none",I234,IF(BW234="",NA(),BW234))</f>
        <v>0</v>
      </c>
      <c r="EL27">
        <f>IF(Charts!$B$3="none",J234,IF(BX234="",NA(),BX234))</f>
        <v>0</v>
      </c>
      <c r="EM27">
        <f>IF(Charts!$B$3="none",K234,IF(BY234="",NA(),BY234))</f>
        <v>0</v>
      </c>
      <c r="EN27">
        <f>IF(Charts!$B$3="none",L234,IF(BZ234="",NA(),BZ234))</f>
        <v>0</v>
      </c>
      <c r="EO27">
        <f>IF(Charts!$B$3="none",M234,IF(CA234="",NA(),CA234))</f>
        <v>0</v>
      </c>
      <c r="EP27">
        <f>IF(Charts!$B$3="none",N234,IF(CB234="",NA(),CB234))</f>
        <v>0</v>
      </c>
      <c r="EQ27">
        <f>IF(Charts!$B$3="none",O234,IF(CC234="",NA(),CC234))</f>
        <v>0</v>
      </c>
      <c r="ER27">
        <f>IF(Charts!$B$3="none",P234,IF(CD234="",NA(),CD234))</f>
        <v>0</v>
      </c>
      <c r="ES27">
        <f>IF(Charts!$B$3="none",Q234,IF(CE234="",NA(),CE234))</f>
        <v>0</v>
      </c>
      <c r="ET27">
        <f>IF(Charts!$B$3="none",R234,IF(CF234="",NA(),CF234))</f>
        <v>0</v>
      </c>
      <c r="EU27">
        <f>IF(Charts!$B$3="none",S234,IF(CG234="",NA(),CG234))</f>
        <v>0</v>
      </c>
      <c r="EV27">
        <f>IF(Charts!$B$3="none",T234,IF(CH234="",NA(),CH234))</f>
        <v>0</v>
      </c>
      <c r="EW27">
        <f>IF(Charts!$B$3="none",U234,IF(CI234="",NA(),CI234))</f>
        <v>0</v>
      </c>
      <c r="EX27">
        <f>IF(Charts!$B$3="none",V234,IF(CJ234="",NA(),CJ234))</f>
        <v>0</v>
      </c>
      <c r="EY27">
        <f>IF(Charts!$B$3="none",W234,IF(CK234="",NA(),CK234))</f>
        <v>0</v>
      </c>
      <c r="EZ27">
        <f>IF(Charts!$B$3="none",X234,IF(CL234="",NA(),CL234))</f>
        <v>0</v>
      </c>
      <c r="FA27">
        <f>IF(Charts!$B$3="none",Y234,IF(CM234="",NA(),CM234))</f>
        <v>0</v>
      </c>
      <c r="FB27">
        <f>IF(Charts!$B$3="none",Z234,IF(CN234="",NA(),CN234))</f>
        <v>0</v>
      </c>
      <c r="FC27">
        <f>IF(Charts!$B$3="none",AA234,IF(CO234="",NA(),CO234))</f>
        <v>0</v>
      </c>
      <c r="FD27">
        <f>IF(Charts!$B$3="none",AB234,IF(CP234="",NA(),CP234))</f>
        <v>0</v>
      </c>
      <c r="FE27">
        <f>IF(Charts!$B$3="none",AC234,IF(CQ234="",NA(),CQ234))</f>
        <v>0</v>
      </c>
      <c r="FF27">
        <f>IF(Charts!$B$3="none",AD234,IF(CR234="",NA(),CR234))</f>
        <v>0</v>
      </c>
      <c r="FG27">
        <f>IF(Charts!$B$3="none",AE234,IF(CS234="",NA(),CS234))</f>
        <v>0</v>
      </c>
      <c r="FH27">
        <f>IF(Charts!$B$3="none",AF234,IF(CT234="",NA(),CT234))</f>
        <v>0</v>
      </c>
      <c r="FI27">
        <f>IF(Charts!$B$3="none",AG234,IF(CU234="",NA(),CU234))</f>
        <v>0</v>
      </c>
      <c r="FJ27">
        <f>IF(Charts!$B$3="none",AH234,IF(CV234="",NA(),CV234))</f>
        <v>0</v>
      </c>
      <c r="FK27">
        <f>IF(Charts!$B$3="none",AI234,IF(CW234="",NA(),CW234))</f>
        <v>0</v>
      </c>
      <c r="FL27">
        <f>IF(Charts!$B$3="none",AJ234,IF(CX234="",NA(),CX234))</f>
        <v>0</v>
      </c>
      <c r="FM27">
        <f>IF(Charts!$B$3="none",AK234,IF(CY234="",NA(),CY234))</f>
        <v>0</v>
      </c>
      <c r="FN27">
        <f>IF(Charts!$B$3="none",AL234,IF(CZ234="",NA(),CZ234))</f>
        <v>0</v>
      </c>
      <c r="FO27">
        <f>IF(Charts!$B$3="none",AM234,IF(DA234="",NA(),DA234))</f>
        <v>0</v>
      </c>
      <c r="FP27">
        <f>IF(Charts!$B$3="none",AN234,IF(DB234="",NA(),DB234))</f>
        <v>0</v>
      </c>
      <c r="FQ27">
        <f>IF(Charts!$B$3="none",AO234,IF(DC234="",NA(),DC234))</f>
        <v>0</v>
      </c>
      <c r="FR27">
        <f>IF(Charts!$B$3="none",AP234,IF(DD234="",NA(),DD234))</f>
        <v>0</v>
      </c>
      <c r="FS27">
        <f>IF(Charts!$B$3="none",AQ234,IF(DE234="",NA(),DE234))</f>
        <v>0</v>
      </c>
      <c r="FT27">
        <f>IF(Charts!$B$3="none",AR234,IF(DF234="",NA(),DF234))</f>
        <v>0</v>
      </c>
      <c r="FU27">
        <f>IF(Charts!$B$3="none",AS234,IF(DG234="",NA(),DG234))</f>
        <v>0</v>
      </c>
      <c r="FV27">
        <f>IF(Charts!$B$3="none",AT234,IF(DH234="",NA(),DH234))</f>
        <v>0</v>
      </c>
      <c r="FW27">
        <f>IF(Charts!$B$3="none",AU234,IF(DI234="",NA(),DI234))</f>
        <v>0</v>
      </c>
      <c r="FX27">
        <f>IF(Charts!$B$3="none",AV234,IF(DJ234="",NA(),DJ234))</f>
        <v>0</v>
      </c>
      <c r="FY27">
        <f>IF(Charts!$B$3="none",AW234,IF(DK234="",NA(),DK234))</f>
        <v>0</v>
      </c>
      <c r="FZ27">
        <f>IF(Charts!$B$3="none",AX234,IF(DL234="",NA(),DL234))</f>
        <v>0</v>
      </c>
      <c r="GA27">
        <f>IF(Charts!$B$3="none",AY234,IF(DM234="",NA(),DM234))</f>
        <v>0</v>
      </c>
      <c r="GB27">
        <f>IF(Charts!$B$3="none",AZ234,IF(DN234="",NA(),DN234))</f>
        <v>0</v>
      </c>
      <c r="GC27">
        <f>IF(Charts!$B$3="none",BA234,IF(DO234="",NA(),DO234))</f>
        <v>0</v>
      </c>
      <c r="GD27">
        <f>IF(Charts!$B$3="none",BB234,IF(DP234="",NA(),DP234))</f>
        <v>0</v>
      </c>
      <c r="GE27">
        <f>IF(Charts!$B$3="none",BC234,IF(DQ234="",NA(),DQ234))</f>
        <v>0</v>
      </c>
      <c r="GF27">
        <f>IF(Charts!$B$3="none",BD234,IF(DR234="",NA(),DR234))</f>
        <v>0</v>
      </c>
      <c r="GG27">
        <f>IF(Charts!$B$3="none",BE234,IF(DS234="",NA(),DS234))</f>
        <v>0</v>
      </c>
      <c r="GH27">
        <f>IF(Charts!$B$3="none",BF234,IF(DT234="",NA(),DT234))</f>
        <v>0</v>
      </c>
      <c r="GI27">
        <f>IF(Charts!$B$3="none",BG234,IF(DU234="",NA(),DU234))</f>
        <v>0</v>
      </c>
      <c r="GJ27">
        <f>IF(Charts!$B$3="none",BH234,IF(DV234="",NA(),DV234))</f>
        <v>0</v>
      </c>
      <c r="GK27">
        <f>IF(Charts!$B$3="none",BI234,IF(DW234="",NA(),DW234))</f>
        <v>0</v>
      </c>
      <c r="GL27">
        <f>IF(Charts!$B$3="none",BJ234,IF(DX234="",NA(),DX234))</f>
        <v>0</v>
      </c>
      <c r="GM27">
        <f>IF(Charts!$B$3="none",BK234,IF(DY234="",NA(),DY234))</f>
        <v>0</v>
      </c>
      <c r="GN27">
        <f>IF(Charts!$B$3="none",BL234,IF(DZ234="",NA(),DZ234))</f>
        <v>0</v>
      </c>
      <c r="GO27">
        <f>IF(Charts!$B$3="none",BM234,IF(EA234="",NA(),EA234))</f>
        <v>0</v>
      </c>
      <c r="GP27">
        <f>IF(Charts!$B$3="none",BN234,IF(EB234="",NA(),EB234))</f>
        <v>0</v>
      </c>
      <c r="GQ27">
        <f>IF(Charts!$B$3="none",BO234,IF(EC234="",NA(),EC234))</f>
        <v>0</v>
      </c>
      <c r="GR27">
        <f>IF(Charts!$B$3="none",BP234,IF(ED234="",NA(),ED234))</f>
        <v>0</v>
      </c>
    </row>
    <row r="28" spans="1:200">
      <c r="D28">
        <v>24</v>
      </c>
      <c r="E28">
        <f>IF(INDIRECT(ADDRESS($D28+2,E$2+1,,,"Instances"))="","",INDIRECT(ADDRESS($D28+2,E$2+1,,,"Instances")))</f>
        <v>0</v>
      </c>
      <c r="F28">
        <f>IFERROR(SMALL(E5:E44,ROW()-ROW($F$5)+1),"")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IFERROR(SMALL(I5:I44,ROW()-ROW($J$5)+1),"")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IFERROR(SMALL(M5:M44,ROW()-ROW($N$5)+1),"")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IFERROR(SMALL(Q5:Q44,ROW()-ROW($R$5)+1),"")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IFERROR(SMALL(U5:U44,ROW()-ROW($V$5)+1),"")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IFERROR(SMALL(Y5:Y44,ROW()-ROW($Z$5)+1),"")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IFERROR(SMALL(AC5:AC44,ROW()-ROW($AD$5)+1),"")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IFERROR(SMALL(AG5:AG44,ROW()-ROW($AH$5)+1),"")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IFERROR(SMALL(AK5:AK44,ROW()-ROW($AL$5)+1),"")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IFERROR(SMALL(AO5:AO44,ROW()-ROW($AP$5)+1),"")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IFERROR(SMALL(AS5:AS44,ROW()-ROW($AT$5)+1),"")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IFERROR(SMALL(AW5:AW44,ROW()-ROW($AX$5)+1),"")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IFERROR(SMALL(BA5:BA44,ROW()-ROW($BB$5)+1),"")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IFERROR(SMALL(BE5:BE44,ROW()-ROW($BF$5)+1),"")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IFERROR(SMALL(BI5:BI44,ROW()-ROW($BJ$5)+1),"")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IFERROR(SMALL(BM5:BM44,ROW()-ROW($BN$5)+1),"")</f>
        <v>0</v>
      </c>
      <c r="BP28">
        <f>IFERROR(SUM(BN5:BN28),"")</f>
        <v>0</v>
      </c>
      <c r="BR28">
        <v>24</v>
      </c>
      <c r="BS28" cm="1">
        <f t="array" ref="BS28">_xlfn.SWITCH(Charts!$B$3,"average", AVERAGE(INDIRECT(ADDRESS(23+3,BS$2+1,,,"Instances") &amp; ":" &amp; ADDRESS(23+3,BS$2+1))),"median", MEDIAN(INDIRECT(ADDRESS(23+3,BS$2+1,,,"Instances") &amp; ":" &amp; ADDRESS(23+3,BS$2+1))),"min", MIN(INDIRECT(ADDRESS(23+3,BS$2+1,,,"Instances") &amp; ":" &amp; ADDRESS(23+3,BS$2+1))),"max", MAX(INDIRECT(ADDRESS(23+3,BS$2+1,,,"Instances") &amp; ":" &amp; ADDRESS(23+3,BS$2+1))),"diff", MAX(INDIRECT(ADDRESS(23+3,BS$2+1,,,"Instances") &amp; ":" &amp; ADDRESS(23+3,BS$2+1)))-MIN(INDIRECT(ADDRESS(23+3,BS$2+1,,,"Instances") &amp; ":" &amp; ADDRESS(23+3,BS$2+1))))</f>
        <v>0</v>
      </c>
      <c r="BT28">
        <f>IFERROR(SMALL(BS5:BS44,ROW()-ROW($BT$5)+1),"")</f>
        <v>0</v>
      </c>
      <c r="BV28">
        <f>IFERROR(SUM(BT5:BT28),"")</f>
        <v>0</v>
      </c>
      <c r="BW28" cm="1">
        <f t="array" ref="BW28">_xlfn.SWITCH(Charts!$B$3,"average", AVERAGE(INDIRECT(ADDRESS(23+3,BW$2+1,,,"Instances") &amp; ":" &amp; ADDRESS(23+3,BW$2+1))),"median", MEDIAN(INDIRECT(ADDRESS(23+3,BW$2+1,,,"Instances") &amp; ":" &amp; ADDRESS(23+3,BW$2+1))),"min", MIN(INDIRECT(ADDRESS(23+3,BW$2+1,,,"Instances") &amp; ":" &amp; ADDRESS(23+3,BW$2+1))),"max", MAX(INDIRECT(ADDRESS(23+3,BW$2+1,,,"Instances") &amp; ":" &amp; ADDRESS(23+3,BW$2+1))),"diff", MAX(INDIRECT(ADDRESS(23+3,BW$2+1,,,"Instances") &amp; ":" &amp; ADDRESS(23+3,BW$2+1)))-MIN(INDIRECT(ADDRESS(23+3,BW$2+1,,,"Instances") &amp; ":" &amp; ADDRESS(23+3,BW$2+1))))</f>
        <v>0</v>
      </c>
      <c r="BX28">
        <f>IFERROR(SMALL(BW5:BW44,ROW()-ROW($BX$5)+1),"")</f>
        <v>0</v>
      </c>
      <c r="BZ28">
        <f>IFERROR(SUM(BX5:BX28),"")</f>
        <v>0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IFERROR(SMALL(CA5:CA44,ROW()-ROW($CB$5)+1),"")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IFERROR(SMALL(CE5:CE44,ROW()-ROW($CF$5)+1),"")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IFERROR(SMALL(CI5:CI44,ROW()-ROW($CJ$5)+1),"")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IFERROR(SMALL(CM5:CM44,ROW()-ROW($CN$5)+1),"")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IFERROR(SMALL(CQ5:CQ44,ROW()-ROW($CR$5)+1),"")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IFERROR(SMALL(CU5:CU44,ROW()-ROW($CV$5)+1),"")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IFERROR(SMALL(CY5:CY44,ROW()-ROW($CZ$5)+1),"")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IFERROR(SMALL(DC5:DC44,ROW()-ROW($DD$5)+1),"")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IFERROR(SMALL(DG5:DG44,ROW()-ROW($DH$5)+1),"")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IFERROR(SMALL(DK5:DK44,ROW()-ROW($DL$5)+1),"")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IFERROR(SMALL(DO5:DO44,ROW()-ROW($DP$5)+1),"")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IFERROR(SMALL(DS5:DS44,ROW()-ROW($DT$5)+1),"")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IFERROR(SMALL(DW5:DW44,ROW()-ROW($DX$5)+1),"")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IFERROR(SMALL(EA5:EA44,ROW()-ROW($EB$5)+1),"")</f>
        <v>0</v>
      </c>
      <c r="ED28">
        <f>IFERROR(SUM(EB5:EB28),"")</f>
        <v>0</v>
      </c>
      <c r="EG28">
        <f>IF(Charts!$B$3="none",E235,IF(BS235="",NA(),BS235))</f>
        <v>0</v>
      </c>
      <c r="EH28">
        <f>IF(Charts!$B$3="none",F235,IF(BT235="",NA(),BT235))</f>
        <v>0</v>
      </c>
      <c r="EI28">
        <f>IF(Charts!$B$3="none",G235,IF(BU235="",NA(),BU235))</f>
        <v>0</v>
      </c>
      <c r="EJ28">
        <f>IF(Charts!$B$3="none",H235,IF(BV235="",NA(),BV235))</f>
        <v>0</v>
      </c>
      <c r="EK28">
        <f>IF(Charts!$B$3="none",I235,IF(BW235="",NA(),BW235))</f>
        <v>0</v>
      </c>
      <c r="EL28">
        <f>IF(Charts!$B$3="none",J235,IF(BX235="",NA(),BX235))</f>
        <v>0</v>
      </c>
      <c r="EM28">
        <f>IF(Charts!$B$3="none",K235,IF(BY235="",NA(),BY235))</f>
        <v>0</v>
      </c>
      <c r="EN28">
        <f>IF(Charts!$B$3="none",L235,IF(BZ235="",NA(),BZ235))</f>
        <v>0</v>
      </c>
      <c r="EO28">
        <f>IF(Charts!$B$3="none",M235,IF(CA235="",NA(),CA235))</f>
        <v>0</v>
      </c>
      <c r="EP28">
        <f>IF(Charts!$B$3="none",N235,IF(CB235="",NA(),CB235))</f>
        <v>0</v>
      </c>
      <c r="EQ28">
        <f>IF(Charts!$B$3="none",O235,IF(CC235="",NA(),CC235))</f>
        <v>0</v>
      </c>
      <c r="ER28">
        <f>IF(Charts!$B$3="none",P235,IF(CD235="",NA(),CD235))</f>
        <v>0</v>
      </c>
      <c r="ES28">
        <f>IF(Charts!$B$3="none",Q235,IF(CE235="",NA(),CE235))</f>
        <v>0</v>
      </c>
      <c r="ET28">
        <f>IF(Charts!$B$3="none",R235,IF(CF235="",NA(),CF235))</f>
        <v>0</v>
      </c>
      <c r="EU28">
        <f>IF(Charts!$B$3="none",S235,IF(CG235="",NA(),CG235))</f>
        <v>0</v>
      </c>
      <c r="EV28">
        <f>IF(Charts!$B$3="none",T235,IF(CH235="",NA(),CH235))</f>
        <v>0</v>
      </c>
      <c r="EW28">
        <f>IF(Charts!$B$3="none",U235,IF(CI235="",NA(),CI235))</f>
        <v>0</v>
      </c>
      <c r="EX28">
        <f>IF(Charts!$B$3="none",V235,IF(CJ235="",NA(),CJ235))</f>
        <v>0</v>
      </c>
      <c r="EY28">
        <f>IF(Charts!$B$3="none",W235,IF(CK235="",NA(),CK235))</f>
        <v>0</v>
      </c>
      <c r="EZ28">
        <f>IF(Charts!$B$3="none",X235,IF(CL235="",NA(),CL235))</f>
        <v>0</v>
      </c>
      <c r="FA28">
        <f>IF(Charts!$B$3="none",Y235,IF(CM235="",NA(),CM235))</f>
        <v>0</v>
      </c>
      <c r="FB28">
        <f>IF(Charts!$B$3="none",Z235,IF(CN235="",NA(),CN235))</f>
        <v>0</v>
      </c>
      <c r="FC28">
        <f>IF(Charts!$B$3="none",AA235,IF(CO235="",NA(),CO235))</f>
        <v>0</v>
      </c>
      <c r="FD28">
        <f>IF(Charts!$B$3="none",AB235,IF(CP235="",NA(),CP235))</f>
        <v>0</v>
      </c>
      <c r="FE28">
        <f>IF(Charts!$B$3="none",AC235,IF(CQ235="",NA(),CQ235))</f>
        <v>0</v>
      </c>
      <c r="FF28">
        <f>IF(Charts!$B$3="none",AD235,IF(CR235="",NA(),CR235))</f>
        <v>0</v>
      </c>
      <c r="FG28">
        <f>IF(Charts!$B$3="none",AE235,IF(CS235="",NA(),CS235))</f>
        <v>0</v>
      </c>
      <c r="FH28">
        <f>IF(Charts!$B$3="none",AF235,IF(CT235="",NA(),CT235))</f>
        <v>0</v>
      </c>
      <c r="FI28">
        <f>IF(Charts!$B$3="none",AG235,IF(CU235="",NA(),CU235))</f>
        <v>0</v>
      </c>
      <c r="FJ28">
        <f>IF(Charts!$B$3="none",AH235,IF(CV235="",NA(),CV235))</f>
        <v>0</v>
      </c>
      <c r="FK28">
        <f>IF(Charts!$B$3="none",AI235,IF(CW235="",NA(),CW235))</f>
        <v>0</v>
      </c>
      <c r="FL28">
        <f>IF(Charts!$B$3="none",AJ235,IF(CX235="",NA(),CX235))</f>
        <v>0</v>
      </c>
      <c r="FM28">
        <f>IF(Charts!$B$3="none",AK235,IF(CY235="",NA(),CY235))</f>
        <v>0</v>
      </c>
      <c r="FN28">
        <f>IF(Charts!$B$3="none",AL235,IF(CZ235="",NA(),CZ235))</f>
        <v>0</v>
      </c>
      <c r="FO28">
        <f>IF(Charts!$B$3="none",AM235,IF(DA235="",NA(),DA235))</f>
        <v>0</v>
      </c>
      <c r="FP28">
        <f>IF(Charts!$B$3="none",AN235,IF(DB235="",NA(),DB235))</f>
        <v>0</v>
      </c>
      <c r="FQ28">
        <f>IF(Charts!$B$3="none",AO235,IF(DC235="",NA(),DC235))</f>
        <v>0</v>
      </c>
      <c r="FR28">
        <f>IF(Charts!$B$3="none",AP235,IF(DD235="",NA(),DD235))</f>
        <v>0</v>
      </c>
      <c r="FS28">
        <f>IF(Charts!$B$3="none",AQ235,IF(DE235="",NA(),DE235))</f>
        <v>0</v>
      </c>
      <c r="FT28">
        <f>IF(Charts!$B$3="none",AR235,IF(DF235="",NA(),DF235))</f>
        <v>0</v>
      </c>
      <c r="FU28">
        <f>IF(Charts!$B$3="none",AS235,IF(DG235="",NA(),DG235))</f>
        <v>0</v>
      </c>
      <c r="FV28">
        <f>IF(Charts!$B$3="none",AT235,IF(DH235="",NA(),DH235))</f>
        <v>0</v>
      </c>
      <c r="FW28">
        <f>IF(Charts!$B$3="none",AU235,IF(DI235="",NA(),DI235))</f>
        <v>0</v>
      </c>
      <c r="FX28">
        <f>IF(Charts!$B$3="none",AV235,IF(DJ235="",NA(),DJ235))</f>
        <v>0</v>
      </c>
      <c r="FY28">
        <f>IF(Charts!$B$3="none",AW235,IF(DK235="",NA(),DK235))</f>
        <v>0</v>
      </c>
      <c r="FZ28">
        <f>IF(Charts!$B$3="none",AX235,IF(DL235="",NA(),DL235))</f>
        <v>0</v>
      </c>
      <c r="GA28">
        <f>IF(Charts!$B$3="none",AY235,IF(DM235="",NA(),DM235))</f>
        <v>0</v>
      </c>
      <c r="GB28">
        <f>IF(Charts!$B$3="none",AZ235,IF(DN235="",NA(),DN235))</f>
        <v>0</v>
      </c>
      <c r="GC28">
        <f>IF(Charts!$B$3="none",BA235,IF(DO235="",NA(),DO235))</f>
        <v>0</v>
      </c>
      <c r="GD28">
        <f>IF(Charts!$B$3="none",BB235,IF(DP235="",NA(),DP235))</f>
        <v>0</v>
      </c>
      <c r="GE28">
        <f>IF(Charts!$B$3="none",BC235,IF(DQ235="",NA(),DQ235))</f>
        <v>0</v>
      </c>
      <c r="GF28">
        <f>IF(Charts!$B$3="none",BD235,IF(DR235="",NA(),DR235))</f>
        <v>0</v>
      </c>
      <c r="GG28">
        <f>IF(Charts!$B$3="none",BE235,IF(DS235="",NA(),DS235))</f>
        <v>0</v>
      </c>
      <c r="GH28">
        <f>IF(Charts!$B$3="none",BF235,IF(DT235="",NA(),DT235))</f>
        <v>0</v>
      </c>
      <c r="GI28">
        <f>IF(Charts!$B$3="none",BG235,IF(DU235="",NA(),DU235))</f>
        <v>0</v>
      </c>
      <c r="GJ28">
        <f>IF(Charts!$B$3="none",BH235,IF(DV235="",NA(),DV235))</f>
        <v>0</v>
      </c>
      <c r="GK28">
        <f>IF(Charts!$B$3="none",BI235,IF(DW235="",NA(),DW235))</f>
        <v>0</v>
      </c>
      <c r="GL28">
        <f>IF(Charts!$B$3="none",BJ235,IF(DX235="",NA(),DX235))</f>
        <v>0</v>
      </c>
      <c r="GM28">
        <f>IF(Charts!$B$3="none",BK235,IF(DY235="",NA(),DY235))</f>
        <v>0</v>
      </c>
      <c r="GN28">
        <f>IF(Charts!$B$3="none",BL235,IF(DZ235="",NA(),DZ235))</f>
        <v>0</v>
      </c>
      <c r="GO28">
        <f>IF(Charts!$B$3="none",BM235,IF(EA235="",NA(),EA235))</f>
        <v>0</v>
      </c>
      <c r="GP28">
        <f>IF(Charts!$B$3="none",BN235,IF(EB235="",NA(),EB235))</f>
        <v>0</v>
      </c>
      <c r="GQ28">
        <f>IF(Charts!$B$3="none",BO235,IF(EC235="",NA(),EC235))</f>
        <v>0</v>
      </c>
      <c r="GR28">
        <f>IF(Charts!$B$3="none",BP235,IF(ED235="",NA(),ED235))</f>
        <v>0</v>
      </c>
    </row>
    <row r="29" spans="1:200">
      <c r="D29">
        <v>25</v>
      </c>
      <c r="E29">
        <f>IF(INDIRECT(ADDRESS($D29+2,E$2+1,,,"Instances"))="","",INDIRECT(ADDRESS($D29+2,E$2+1,,,"Instances")))</f>
        <v>0</v>
      </c>
      <c r="F29">
        <f>IFERROR(SMALL(E5:E44,ROW()-ROW($F$5)+1),"")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IFERROR(SMALL(I5:I44,ROW()-ROW($J$5)+1),"")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IFERROR(SMALL(M5:M44,ROW()-ROW($N$5)+1),"")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IFERROR(SMALL(Q5:Q44,ROW()-ROW($R$5)+1),"")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IFERROR(SMALL(U5:U44,ROW()-ROW($V$5)+1),"")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IFERROR(SMALL(Y5:Y44,ROW()-ROW($Z$5)+1),"")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IFERROR(SMALL(AC5:AC44,ROW()-ROW($AD$5)+1),"")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IFERROR(SMALL(AG5:AG44,ROW()-ROW($AH$5)+1),"")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IFERROR(SMALL(AK5:AK44,ROW()-ROW($AL$5)+1),"")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IFERROR(SMALL(AO5:AO44,ROW()-ROW($AP$5)+1),"")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IFERROR(SMALL(AS5:AS44,ROW()-ROW($AT$5)+1),"")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IFERROR(SMALL(AW5:AW44,ROW()-ROW($AX$5)+1),"")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IFERROR(SMALL(BA5:BA44,ROW()-ROW($BB$5)+1),"")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IFERROR(SMALL(BE5:BE44,ROW()-ROW($BF$5)+1),"")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IFERROR(SMALL(BI5:BI44,ROW()-ROW($BJ$5)+1),"")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IFERROR(SMALL(BM5:BM44,ROW()-ROW($BN$5)+1),"")</f>
        <v>0</v>
      </c>
      <c r="BP29">
        <f>IFERROR(SUM(BN5:BN29),"")</f>
        <v>0</v>
      </c>
      <c r="BR29">
        <v>25</v>
      </c>
      <c r="BS29" cm="1">
        <f t="array" ref="BS29">_xlfn.SWITCH(Charts!$B$3,"average", AVERAGE(INDIRECT(ADDRESS(24+3,BS$2+1,,,"Instances") &amp; ":" &amp; ADDRESS(24+3,BS$2+1))),"median", MEDIAN(INDIRECT(ADDRESS(24+3,BS$2+1,,,"Instances") &amp; ":" &amp; ADDRESS(24+3,BS$2+1))),"min", MIN(INDIRECT(ADDRESS(24+3,BS$2+1,,,"Instances") &amp; ":" &amp; ADDRESS(24+3,BS$2+1))),"max", MAX(INDIRECT(ADDRESS(24+3,BS$2+1,,,"Instances") &amp; ":" &amp; ADDRESS(24+3,BS$2+1))),"diff", MAX(INDIRECT(ADDRESS(24+3,BS$2+1,,,"Instances") &amp; ":" &amp; ADDRESS(24+3,BS$2+1)))-MIN(INDIRECT(ADDRESS(24+3,BS$2+1,,,"Instances") &amp; ":" &amp; ADDRESS(24+3,BS$2+1))))</f>
        <v>0</v>
      </c>
      <c r="BT29">
        <f>IFERROR(SMALL(BS5:BS44,ROW()-ROW($BT$5)+1),"")</f>
        <v>0</v>
      </c>
      <c r="BV29">
        <f>IFERROR(SUM(BT5:BT29),"")</f>
        <v>0</v>
      </c>
      <c r="BW29" cm="1">
        <f t="array" ref="BW29">_xlfn.SWITCH(Charts!$B$3,"average", AVERAGE(INDIRECT(ADDRESS(24+3,BW$2+1,,,"Instances") &amp; ":" &amp; ADDRESS(24+3,BW$2+1))),"median", MEDIAN(INDIRECT(ADDRESS(24+3,BW$2+1,,,"Instances") &amp; ":" &amp; ADDRESS(24+3,BW$2+1))),"min", MIN(INDIRECT(ADDRESS(24+3,BW$2+1,,,"Instances") &amp; ":" &amp; ADDRESS(24+3,BW$2+1))),"max", MAX(INDIRECT(ADDRESS(24+3,BW$2+1,,,"Instances") &amp; ":" &amp; ADDRESS(24+3,BW$2+1))),"diff", MAX(INDIRECT(ADDRESS(24+3,BW$2+1,,,"Instances") &amp; ":" &amp; ADDRESS(24+3,BW$2+1)))-MIN(INDIRECT(ADDRESS(24+3,BW$2+1,,,"Instances") &amp; ":" &amp; ADDRESS(24+3,BW$2+1))))</f>
        <v>0</v>
      </c>
      <c r="BX29">
        <f>IFERROR(SMALL(BW5:BW44,ROW()-ROW($BX$5)+1),"")</f>
        <v>0</v>
      </c>
      <c r="BZ29">
        <f>IFERROR(SUM(BX5:BX29),"")</f>
        <v>0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IFERROR(SMALL(CA5:CA44,ROW()-ROW($CB$5)+1),"")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IFERROR(SMALL(CE5:CE44,ROW()-ROW($CF$5)+1),"")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IFERROR(SMALL(CI5:CI44,ROW()-ROW($CJ$5)+1),"")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IFERROR(SMALL(CM5:CM44,ROW()-ROW($CN$5)+1),"")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IFERROR(SMALL(CQ5:CQ44,ROW()-ROW($CR$5)+1),"")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IFERROR(SMALL(CU5:CU44,ROW()-ROW($CV$5)+1),"")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IFERROR(SMALL(CY5:CY44,ROW()-ROW($CZ$5)+1),"")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IFERROR(SMALL(DC5:DC44,ROW()-ROW($DD$5)+1),"")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IFERROR(SMALL(DG5:DG44,ROW()-ROW($DH$5)+1),"")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IFERROR(SMALL(DK5:DK44,ROW()-ROW($DL$5)+1),"")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IFERROR(SMALL(DO5:DO44,ROW()-ROW($DP$5)+1),"")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IFERROR(SMALL(DS5:DS44,ROW()-ROW($DT$5)+1),"")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IFERROR(SMALL(DW5:DW44,ROW()-ROW($DX$5)+1),"")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IFERROR(SMALL(EA5:EA44,ROW()-ROW($EB$5)+1),"")</f>
        <v>0</v>
      </c>
      <c r="ED29">
        <f>IFERROR(SUM(EB5:EB29),"")</f>
        <v>0</v>
      </c>
      <c r="EG29">
        <f>IF(Charts!$B$3="none",E236,IF(BS236="",NA(),BS236))</f>
        <v>0</v>
      </c>
      <c r="EH29">
        <f>IF(Charts!$B$3="none",F236,IF(BT236="",NA(),BT236))</f>
        <v>0</v>
      </c>
      <c r="EI29">
        <f>IF(Charts!$B$3="none",G236,IF(BU236="",NA(),BU236))</f>
        <v>0</v>
      </c>
      <c r="EJ29">
        <f>IF(Charts!$B$3="none",H236,IF(BV236="",NA(),BV236))</f>
        <v>0</v>
      </c>
      <c r="EK29">
        <f>IF(Charts!$B$3="none",I236,IF(BW236="",NA(),BW236))</f>
        <v>0</v>
      </c>
      <c r="EL29">
        <f>IF(Charts!$B$3="none",J236,IF(BX236="",NA(),BX236))</f>
        <v>0</v>
      </c>
      <c r="EM29">
        <f>IF(Charts!$B$3="none",K236,IF(BY236="",NA(),BY236))</f>
        <v>0</v>
      </c>
      <c r="EN29">
        <f>IF(Charts!$B$3="none",L236,IF(BZ236="",NA(),BZ236))</f>
        <v>0</v>
      </c>
      <c r="EO29">
        <f>IF(Charts!$B$3="none",M236,IF(CA236="",NA(),CA236))</f>
        <v>0</v>
      </c>
      <c r="EP29">
        <f>IF(Charts!$B$3="none",N236,IF(CB236="",NA(),CB236))</f>
        <v>0</v>
      </c>
      <c r="EQ29">
        <f>IF(Charts!$B$3="none",O236,IF(CC236="",NA(),CC236))</f>
        <v>0</v>
      </c>
      <c r="ER29">
        <f>IF(Charts!$B$3="none",P236,IF(CD236="",NA(),CD236))</f>
        <v>0</v>
      </c>
      <c r="ES29">
        <f>IF(Charts!$B$3="none",Q236,IF(CE236="",NA(),CE236))</f>
        <v>0</v>
      </c>
      <c r="ET29">
        <f>IF(Charts!$B$3="none",R236,IF(CF236="",NA(),CF236))</f>
        <v>0</v>
      </c>
      <c r="EU29">
        <f>IF(Charts!$B$3="none",S236,IF(CG236="",NA(),CG236))</f>
        <v>0</v>
      </c>
      <c r="EV29">
        <f>IF(Charts!$B$3="none",T236,IF(CH236="",NA(),CH236))</f>
        <v>0</v>
      </c>
      <c r="EW29">
        <f>IF(Charts!$B$3="none",U236,IF(CI236="",NA(),CI236))</f>
        <v>0</v>
      </c>
      <c r="EX29">
        <f>IF(Charts!$B$3="none",V236,IF(CJ236="",NA(),CJ236))</f>
        <v>0</v>
      </c>
      <c r="EY29">
        <f>IF(Charts!$B$3="none",W236,IF(CK236="",NA(),CK236))</f>
        <v>0</v>
      </c>
      <c r="EZ29">
        <f>IF(Charts!$B$3="none",X236,IF(CL236="",NA(),CL236))</f>
        <v>0</v>
      </c>
      <c r="FA29">
        <f>IF(Charts!$B$3="none",Y236,IF(CM236="",NA(),CM236))</f>
        <v>0</v>
      </c>
      <c r="FB29">
        <f>IF(Charts!$B$3="none",Z236,IF(CN236="",NA(),CN236))</f>
        <v>0</v>
      </c>
      <c r="FC29">
        <f>IF(Charts!$B$3="none",AA236,IF(CO236="",NA(),CO236))</f>
        <v>0</v>
      </c>
      <c r="FD29">
        <f>IF(Charts!$B$3="none",AB236,IF(CP236="",NA(),CP236))</f>
        <v>0</v>
      </c>
      <c r="FE29">
        <f>IF(Charts!$B$3="none",AC236,IF(CQ236="",NA(),CQ236))</f>
        <v>0</v>
      </c>
      <c r="FF29">
        <f>IF(Charts!$B$3="none",AD236,IF(CR236="",NA(),CR236))</f>
        <v>0</v>
      </c>
      <c r="FG29">
        <f>IF(Charts!$B$3="none",AE236,IF(CS236="",NA(),CS236))</f>
        <v>0</v>
      </c>
      <c r="FH29">
        <f>IF(Charts!$B$3="none",AF236,IF(CT236="",NA(),CT236))</f>
        <v>0</v>
      </c>
      <c r="FI29">
        <f>IF(Charts!$B$3="none",AG236,IF(CU236="",NA(),CU236))</f>
        <v>0</v>
      </c>
      <c r="FJ29">
        <f>IF(Charts!$B$3="none",AH236,IF(CV236="",NA(),CV236))</f>
        <v>0</v>
      </c>
      <c r="FK29">
        <f>IF(Charts!$B$3="none",AI236,IF(CW236="",NA(),CW236))</f>
        <v>0</v>
      </c>
      <c r="FL29">
        <f>IF(Charts!$B$3="none",AJ236,IF(CX236="",NA(),CX236))</f>
        <v>0</v>
      </c>
      <c r="FM29">
        <f>IF(Charts!$B$3="none",AK236,IF(CY236="",NA(),CY236))</f>
        <v>0</v>
      </c>
      <c r="FN29">
        <f>IF(Charts!$B$3="none",AL236,IF(CZ236="",NA(),CZ236))</f>
        <v>0</v>
      </c>
      <c r="FO29">
        <f>IF(Charts!$B$3="none",AM236,IF(DA236="",NA(),DA236))</f>
        <v>0</v>
      </c>
      <c r="FP29">
        <f>IF(Charts!$B$3="none",AN236,IF(DB236="",NA(),DB236))</f>
        <v>0</v>
      </c>
      <c r="FQ29">
        <f>IF(Charts!$B$3="none",AO236,IF(DC236="",NA(),DC236))</f>
        <v>0</v>
      </c>
      <c r="FR29">
        <f>IF(Charts!$B$3="none",AP236,IF(DD236="",NA(),DD236))</f>
        <v>0</v>
      </c>
      <c r="FS29">
        <f>IF(Charts!$B$3="none",AQ236,IF(DE236="",NA(),DE236))</f>
        <v>0</v>
      </c>
      <c r="FT29">
        <f>IF(Charts!$B$3="none",AR236,IF(DF236="",NA(),DF236))</f>
        <v>0</v>
      </c>
      <c r="FU29">
        <f>IF(Charts!$B$3="none",AS236,IF(DG236="",NA(),DG236))</f>
        <v>0</v>
      </c>
      <c r="FV29">
        <f>IF(Charts!$B$3="none",AT236,IF(DH236="",NA(),DH236))</f>
        <v>0</v>
      </c>
      <c r="FW29">
        <f>IF(Charts!$B$3="none",AU236,IF(DI236="",NA(),DI236))</f>
        <v>0</v>
      </c>
      <c r="FX29">
        <f>IF(Charts!$B$3="none",AV236,IF(DJ236="",NA(),DJ236))</f>
        <v>0</v>
      </c>
      <c r="FY29">
        <f>IF(Charts!$B$3="none",AW236,IF(DK236="",NA(),DK236))</f>
        <v>0</v>
      </c>
      <c r="FZ29">
        <f>IF(Charts!$B$3="none",AX236,IF(DL236="",NA(),DL236))</f>
        <v>0</v>
      </c>
      <c r="GA29">
        <f>IF(Charts!$B$3="none",AY236,IF(DM236="",NA(),DM236))</f>
        <v>0</v>
      </c>
      <c r="GB29">
        <f>IF(Charts!$B$3="none",AZ236,IF(DN236="",NA(),DN236))</f>
        <v>0</v>
      </c>
      <c r="GC29">
        <f>IF(Charts!$B$3="none",BA236,IF(DO236="",NA(),DO236))</f>
        <v>0</v>
      </c>
      <c r="GD29">
        <f>IF(Charts!$B$3="none",BB236,IF(DP236="",NA(),DP236))</f>
        <v>0</v>
      </c>
      <c r="GE29">
        <f>IF(Charts!$B$3="none",BC236,IF(DQ236="",NA(),DQ236))</f>
        <v>0</v>
      </c>
      <c r="GF29">
        <f>IF(Charts!$B$3="none",BD236,IF(DR236="",NA(),DR236))</f>
        <v>0</v>
      </c>
      <c r="GG29">
        <f>IF(Charts!$B$3="none",BE236,IF(DS236="",NA(),DS236))</f>
        <v>0</v>
      </c>
      <c r="GH29">
        <f>IF(Charts!$B$3="none",BF236,IF(DT236="",NA(),DT236))</f>
        <v>0</v>
      </c>
      <c r="GI29">
        <f>IF(Charts!$B$3="none",BG236,IF(DU236="",NA(),DU236))</f>
        <v>0</v>
      </c>
      <c r="GJ29">
        <f>IF(Charts!$B$3="none",BH236,IF(DV236="",NA(),DV236))</f>
        <v>0</v>
      </c>
      <c r="GK29">
        <f>IF(Charts!$B$3="none",BI236,IF(DW236="",NA(),DW236))</f>
        <v>0</v>
      </c>
      <c r="GL29">
        <f>IF(Charts!$B$3="none",BJ236,IF(DX236="",NA(),DX236))</f>
        <v>0</v>
      </c>
      <c r="GM29">
        <f>IF(Charts!$B$3="none",BK236,IF(DY236="",NA(),DY236))</f>
        <v>0</v>
      </c>
      <c r="GN29">
        <f>IF(Charts!$B$3="none",BL236,IF(DZ236="",NA(),DZ236))</f>
        <v>0</v>
      </c>
      <c r="GO29">
        <f>IF(Charts!$B$3="none",BM236,IF(EA236="",NA(),EA236))</f>
        <v>0</v>
      </c>
      <c r="GP29">
        <f>IF(Charts!$B$3="none",BN236,IF(EB236="",NA(),EB236))</f>
        <v>0</v>
      </c>
      <c r="GQ29">
        <f>IF(Charts!$B$3="none",BO236,IF(EC236="",NA(),EC236))</f>
        <v>0</v>
      </c>
      <c r="GR29">
        <f>IF(Charts!$B$3="none",BP236,IF(ED236="",NA(),ED236))</f>
        <v>0</v>
      </c>
    </row>
    <row r="30" spans="1:200">
      <c r="D30">
        <v>26</v>
      </c>
      <c r="E30">
        <f>IF(INDIRECT(ADDRESS($D30+2,E$2+1,,,"Instances"))="","",INDIRECT(ADDRESS($D30+2,E$2+1,,,"Instances")))</f>
        <v>0</v>
      </c>
      <c r="F30">
        <f>IFERROR(SMALL(E5:E44,ROW()-ROW($F$5)+1),"")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IFERROR(SMALL(I5:I44,ROW()-ROW($J$5)+1),"")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IFERROR(SMALL(M5:M44,ROW()-ROW($N$5)+1),"")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IFERROR(SMALL(Q5:Q44,ROW()-ROW($R$5)+1),"")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IFERROR(SMALL(U5:U44,ROW()-ROW($V$5)+1),"")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IFERROR(SMALL(Y5:Y44,ROW()-ROW($Z$5)+1),"")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IFERROR(SMALL(AC5:AC44,ROW()-ROW($AD$5)+1),"")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IFERROR(SMALL(AG5:AG44,ROW()-ROW($AH$5)+1),"")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IFERROR(SMALL(AK5:AK44,ROW()-ROW($AL$5)+1),"")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IFERROR(SMALL(AO5:AO44,ROW()-ROW($AP$5)+1),"")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IFERROR(SMALL(AS5:AS44,ROW()-ROW($AT$5)+1),"")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IFERROR(SMALL(AW5:AW44,ROW()-ROW($AX$5)+1),"")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IFERROR(SMALL(BA5:BA44,ROW()-ROW($BB$5)+1),"")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IFERROR(SMALL(BE5:BE44,ROW()-ROW($BF$5)+1),"")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IFERROR(SMALL(BI5:BI44,ROW()-ROW($BJ$5)+1),"")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IFERROR(SMALL(BM5:BM44,ROW()-ROW($BN$5)+1),"")</f>
        <v>0</v>
      </c>
      <c r="BP30">
        <f>IFERROR(SUM(BN5:BN30),"")</f>
        <v>0</v>
      </c>
      <c r="BR30">
        <v>26</v>
      </c>
      <c r="BS30" cm="1">
        <f t="array" ref="BS30">_xlfn.SWITCH(Charts!$B$3,"average", AVERAGE(INDIRECT(ADDRESS(25+3,BS$2+1,,,"Instances") &amp; ":" &amp; ADDRESS(25+3,BS$2+1))),"median", MEDIAN(INDIRECT(ADDRESS(25+3,BS$2+1,,,"Instances") &amp; ":" &amp; ADDRESS(25+3,BS$2+1))),"min", MIN(INDIRECT(ADDRESS(25+3,BS$2+1,,,"Instances") &amp; ":" &amp; ADDRESS(25+3,BS$2+1))),"max", MAX(INDIRECT(ADDRESS(25+3,BS$2+1,,,"Instances") &amp; ":" &amp; ADDRESS(25+3,BS$2+1))),"diff", MAX(INDIRECT(ADDRESS(25+3,BS$2+1,,,"Instances") &amp; ":" &amp; ADDRESS(25+3,BS$2+1)))-MIN(INDIRECT(ADDRESS(25+3,BS$2+1,,,"Instances") &amp; ":" &amp; ADDRESS(25+3,BS$2+1))))</f>
        <v>0</v>
      </c>
      <c r="BT30">
        <f>IFERROR(SMALL(BS5:BS44,ROW()-ROW($BT$5)+1),"")</f>
        <v>0</v>
      </c>
      <c r="BV30">
        <f>IFERROR(SUM(BT5:BT30),"")</f>
        <v>0</v>
      </c>
      <c r="BW30" cm="1">
        <f t="array" ref="BW30">_xlfn.SWITCH(Charts!$B$3,"average", AVERAGE(INDIRECT(ADDRESS(25+3,BW$2+1,,,"Instances") &amp; ":" &amp; ADDRESS(25+3,BW$2+1))),"median", MEDIAN(INDIRECT(ADDRESS(25+3,BW$2+1,,,"Instances") &amp; ":" &amp; ADDRESS(25+3,BW$2+1))),"min", MIN(INDIRECT(ADDRESS(25+3,BW$2+1,,,"Instances") &amp; ":" &amp; ADDRESS(25+3,BW$2+1))),"max", MAX(INDIRECT(ADDRESS(25+3,BW$2+1,,,"Instances") &amp; ":" &amp; ADDRESS(25+3,BW$2+1))),"diff", MAX(INDIRECT(ADDRESS(25+3,BW$2+1,,,"Instances") &amp; ":" &amp; ADDRESS(25+3,BW$2+1)))-MIN(INDIRECT(ADDRESS(25+3,BW$2+1,,,"Instances") &amp; ":" &amp; ADDRESS(25+3,BW$2+1))))</f>
        <v>0</v>
      </c>
      <c r="BX30">
        <f>IFERROR(SMALL(BW5:BW44,ROW()-ROW($BX$5)+1),"")</f>
        <v>0</v>
      </c>
      <c r="BZ30">
        <f>IFERROR(SUM(BX5:BX30),"")</f>
        <v>0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IFERROR(SMALL(CA5:CA44,ROW()-ROW($CB$5)+1),"")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IFERROR(SMALL(CE5:CE44,ROW()-ROW($CF$5)+1),"")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IFERROR(SMALL(CI5:CI44,ROW()-ROW($CJ$5)+1),"")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IFERROR(SMALL(CM5:CM44,ROW()-ROW($CN$5)+1),"")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IFERROR(SMALL(CQ5:CQ44,ROW()-ROW($CR$5)+1),"")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IFERROR(SMALL(CU5:CU44,ROW()-ROW($CV$5)+1),"")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IFERROR(SMALL(CY5:CY44,ROW()-ROW($CZ$5)+1),"")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IFERROR(SMALL(DC5:DC44,ROW()-ROW($DD$5)+1),"")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IFERROR(SMALL(DG5:DG44,ROW()-ROW($DH$5)+1),"")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IFERROR(SMALL(DK5:DK44,ROW()-ROW($DL$5)+1),"")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IFERROR(SMALL(DO5:DO44,ROW()-ROW($DP$5)+1),"")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IFERROR(SMALL(DS5:DS44,ROW()-ROW($DT$5)+1),"")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IFERROR(SMALL(DW5:DW44,ROW()-ROW($DX$5)+1),"")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IFERROR(SMALL(EA5:EA44,ROW()-ROW($EB$5)+1),"")</f>
        <v>0</v>
      </c>
      <c r="ED30">
        <f>IFERROR(SUM(EB5:EB30),"")</f>
        <v>0</v>
      </c>
      <c r="EG30">
        <f>IF(Charts!$B$3="none",E237,IF(BS237="",NA(),BS237))</f>
        <v>0</v>
      </c>
      <c r="EH30">
        <f>IF(Charts!$B$3="none",F237,IF(BT237="",NA(),BT237))</f>
        <v>0</v>
      </c>
      <c r="EI30">
        <f>IF(Charts!$B$3="none",G237,IF(BU237="",NA(),BU237))</f>
        <v>0</v>
      </c>
      <c r="EJ30">
        <f>IF(Charts!$B$3="none",H237,IF(BV237="",NA(),BV237))</f>
        <v>0</v>
      </c>
      <c r="EK30">
        <f>IF(Charts!$B$3="none",I237,IF(BW237="",NA(),BW237))</f>
        <v>0</v>
      </c>
      <c r="EL30">
        <f>IF(Charts!$B$3="none",J237,IF(BX237="",NA(),BX237))</f>
        <v>0</v>
      </c>
      <c r="EM30">
        <f>IF(Charts!$B$3="none",K237,IF(BY237="",NA(),BY237))</f>
        <v>0</v>
      </c>
      <c r="EN30">
        <f>IF(Charts!$B$3="none",L237,IF(BZ237="",NA(),BZ237))</f>
        <v>0</v>
      </c>
      <c r="EO30">
        <f>IF(Charts!$B$3="none",M237,IF(CA237="",NA(),CA237))</f>
        <v>0</v>
      </c>
      <c r="EP30">
        <f>IF(Charts!$B$3="none",N237,IF(CB237="",NA(),CB237))</f>
        <v>0</v>
      </c>
      <c r="EQ30">
        <f>IF(Charts!$B$3="none",O237,IF(CC237="",NA(),CC237))</f>
        <v>0</v>
      </c>
      <c r="ER30">
        <f>IF(Charts!$B$3="none",P237,IF(CD237="",NA(),CD237))</f>
        <v>0</v>
      </c>
      <c r="ES30">
        <f>IF(Charts!$B$3="none",Q237,IF(CE237="",NA(),CE237))</f>
        <v>0</v>
      </c>
      <c r="ET30">
        <f>IF(Charts!$B$3="none",R237,IF(CF237="",NA(),CF237))</f>
        <v>0</v>
      </c>
      <c r="EU30">
        <f>IF(Charts!$B$3="none",S237,IF(CG237="",NA(),CG237))</f>
        <v>0</v>
      </c>
      <c r="EV30">
        <f>IF(Charts!$B$3="none",T237,IF(CH237="",NA(),CH237))</f>
        <v>0</v>
      </c>
      <c r="EW30">
        <f>IF(Charts!$B$3="none",U237,IF(CI237="",NA(),CI237))</f>
        <v>0</v>
      </c>
      <c r="EX30">
        <f>IF(Charts!$B$3="none",V237,IF(CJ237="",NA(),CJ237))</f>
        <v>0</v>
      </c>
      <c r="EY30">
        <f>IF(Charts!$B$3="none",W237,IF(CK237="",NA(),CK237))</f>
        <v>0</v>
      </c>
      <c r="EZ30">
        <f>IF(Charts!$B$3="none",X237,IF(CL237="",NA(),CL237))</f>
        <v>0</v>
      </c>
      <c r="FA30">
        <f>IF(Charts!$B$3="none",Y237,IF(CM237="",NA(),CM237))</f>
        <v>0</v>
      </c>
      <c r="FB30">
        <f>IF(Charts!$B$3="none",Z237,IF(CN237="",NA(),CN237))</f>
        <v>0</v>
      </c>
      <c r="FC30">
        <f>IF(Charts!$B$3="none",AA237,IF(CO237="",NA(),CO237))</f>
        <v>0</v>
      </c>
      <c r="FD30">
        <f>IF(Charts!$B$3="none",AB237,IF(CP237="",NA(),CP237))</f>
        <v>0</v>
      </c>
      <c r="FE30">
        <f>IF(Charts!$B$3="none",AC237,IF(CQ237="",NA(),CQ237))</f>
        <v>0</v>
      </c>
      <c r="FF30">
        <f>IF(Charts!$B$3="none",AD237,IF(CR237="",NA(),CR237))</f>
        <v>0</v>
      </c>
      <c r="FG30">
        <f>IF(Charts!$B$3="none",AE237,IF(CS237="",NA(),CS237))</f>
        <v>0</v>
      </c>
      <c r="FH30">
        <f>IF(Charts!$B$3="none",AF237,IF(CT237="",NA(),CT237))</f>
        <v>0</v>
      </c>
      <c r="FI30">
        <f>IF(Charts!$B$3="none",AG237,IF(CU237="",NA(),CU237))</f>
        <v>0</v>
      </c>
      <c r="FJ30">
        <f>IF(Charts!$B$3="none",AH237,IF(CV237="",NA(),CV237))</f>
        <v>0</v>
      </c>
      <c r="FK30">
        <f>IF(Charts!$B$3="none",AI237,IF(CW237="",NA(),CW237))</f>
        <v>0</v>
      </c>
      <c r="FL30">
        <f>IF(Charts!$B$3="none",AJ237,IF(CX237="",NA(),CX237))</f>
        <v>0</v>
      </c>
      <c r="FM30">
        <f>IF(Charts!$B$3="none",AK237,IF(CY237="",NA(),CY237))</f>
        <v>0</v>
      </c>
      <c r="FN30">
        <f>IF(Charts!$B$3="none",AL237,IF(CZ237="",NA(),CZ237))</f>
        <v>0</v>
      </c>
      <c r="FO30">
        <f>IF(Charts!$B$3="none",AM237,IF(DA237="",NA(),DA237))</f>
        <v>0</v>
      </c>
      <c r="FP30">
        <f>IF(Charts!$B$3="none",AN237,IF(DB237="",NA(),DB237))</f>
        <v>0</v>
      </c>
      <c r="FQ30">
        <f>IF(Charts!$B$3="none",AO237,IF(DC237="",NA(),DC237))</f>
        <v>0</v>
      </c>
      <c r="FR30">
        <f>IF(Charts!$B$3="none",AP237,IF(DD237="",NA(),DD237))</f>
        <v>0</v>
      </c>
      <c r="FS30">
        <f>IF(Charts!$B$3="none",AQ237,IF(DE237="",NA(),DE237))</f>
        <v>0</v>
      </c>
      <c r="FT30">
        <f>IF(Charts!$B$3="none",AR237,IF(DF237="",NA(),DF237))</f>
        <v>0</v>
      </c>
      <c r="FU30">
        <f>IF(Charts!$B$3="none",AS237,IF(DG237="",NA(),DG237))</f>
        <v>0</v>
      </c>
      <c r="FV30">
        <f>IF(Charts!$B$3="none",AT237,IF(DH237="",NA(),DH237))</f>
        <v>0</v>
      </c>
      <c r="FW30">
        <f>IF(Charts!$B$3="none",AU237,IF(DI237="",NA(),DI237))</f>
        <v>0</v>
      </c>
      <c r="FX30">
        <f>IF(Charts!$B$3="none",AV237,IF(DJ237="",NA(),DJ237))</f>
        <v>0</v>
      </c>
      <c r="FY30">
        <f>IF(Charts!$B$3="none",AW237,IF(DK237="",NA(),DK237))</f>
        <v>0</v>
      </c>
      <c r="FZ30">
        <f>IF(Charts!$B$3="none",AX237,IF(DL237="",NA(),DL237))</f>
        <v>0</v>
      </c>
      <c r="GA30">
        <f>IF(Charts!$B$3="none",AY237,IF(DM237="",NA(),DM237))</f>
        <v>0</v>
      </c>
      <c r="GB30">
        <f>IF(Charts!$B$3="none",AZ237,IF(DN237="",NA(),DN237))</f>
        <v>0</v>
      </c>
      <c r="GC30">
        <f>IF(Charts!$B$3="none",BA237,IF(DO237="",NA(),DO237))</f>
        <v>0</v>
      </c>
      <c r="GD30">
        <f>IF(Charts!$B$3="none",BB237,IF(DP237="",NA(),DP237))</f>
        <v>0</v>
      </c>
      <c r="GE30">
        <f>IF(Charts!$B$3="none",BC237,IF(DQ237="",NA(),DQ237))</f>
        <v>0</v>
      </c>
      <c r="GF30">
        <f>IF(Charts!$B$3="none",BD237,IF(DR237="",NA(),DR237))</f>
        <v>0</v>
      </c>
      <c r="GG30">
        <f>IF(Charts!$B$3="none",BE237,IF(DS237="",NA(),DS237))</f>
        <v>0</v>
      </c>
      <c r="GH30">
        <f>IF(Charts!$B$3="none",BF237,IF(DT237="",NA(),DT237))</f>
        <v>0</v>
      </c>
      <c r="GI30">
        <f>IF(Charts!$B$3="none",BG237,IF(DU237="",NA(),DU237))</f>
        <v>0</v>
      </c>
      <c r="GJ30">
        <f>IF(Charts!$B$3="none",BH237,IF(DV237="",NA(),DV237))</f>
        <v>0</v>
      </c>
      <c r="GK30">
        <f>IF(Charts!$B$3="none",BI237,IF(DW237="",NA(),DW237))</f>
        <v>0</v>
      </c>
      <c r="GL30">
        <f>IF(Charts!$B$3="none",BJ237,IF(DX237="",NA(),DX237))</f>
        <v>0</v>
      </c>
      <c r="GM30">
        <f>IF(Charts!$B$3="none",BK237,IF(DY237="",NA(),DY237))</f>
        <v>0</v>
      </c>
      <c r="GN30">
        <f>IF(Charts!$B$3="none",BL237,IF(DZ237="",NA(),DZ237))</f>
        <v>0</v>
      </c>
      <c r="GO30">
        <f>IF(Charts!$B$3="none",BM237,IF(EA237="",NA(),EA237))</f>
        <v>0</v>
      </c>
      <c r="GP30">
        <f>IF(Charts!$B$3="none",BN237,IF(EB237="",NA(),EB237))</f>
        <v>0</v>
      </c>
      <c r="GQ30">
        <f>IF(Charts!$B$3="none",BO237,IF(EC237="",NA(),EC237))</f>
        <v>0</v>
      </c>
      <c r="GR30">
        <f>IF(Charts!$B$3="none",BP237,IF(ED237="",NA(),ED237))</f>
        <v>0</v>
      </c>
    </row>
    <row r="31" spans="1:200">
      <c r="D31">
        <v>27</v>
      </c>
      <c r="E31">
        <f>IF(INDIRECT(ADDRESS($D31+2,E$2+1,,,"Instances"))="","",INDIRECT(ADDRESS($D31+2,E$2+1,,,"Instances")))</f>
        <v>0</v>
      </c>
      <c r="F31">
        <f>IFERROR(SMALL(E5:E44,ROW()-ROW($F$5)+1),"")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IFERROR(SMALL(I5:I44,ROW()-ROW($J$5)+1),"")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IFERROR(SMALL(M5:M44,ROW()-ROW($N$5)+1),"")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IFERROR(SMALL(Q5:Q44,ROW()-ROW($R$5)+1),"")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IFERROR(SMALL(U5:U44,ROW()-ROW($V$5)+1),"")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IFERROR(SMALL(Y5:Y44,ROW()-ROW($Z$5)+1),"")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IFERROR(SMALL(AC5:AC44,ROW()-ROW($AD$5)+1),"")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IFERROR(SMALL(AG5:AG44,ROW()-ROW($AH$5)+1),"")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IFERROR(SMALL(AK5:AK44,ROW()-ROW($AL$5)+1),"")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IFERROR(SMALL(AO5:AO44,ROW()-ROW($AP$5)+1),"")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IFERROR(SMALL(AS5:AS44,ROW()-ROW($AT$5)+1),"")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IFERROR(SMALL(AW5:AW44,ROW()-ROW($AX$5)+1),"")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IFERROR(SMALL(BA5:BA44,ROW()-ROW($BB$5)+1),"")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IFERROR(SMALL(BE5:BE44,ROW()-ROW($BF$5)+1),"")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IFERROR(SMALL(BI5:BI44,ROW()-ROW($BJ$5)+1),"")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IFERROR(SMALL(BM5:BM44,ROW()-ROW($BN$5)+1),"")</f>
        <v>0</v>
      </c>
      <c r="BP31">
        <f>IFERROR(SUM(BN5:BN31),"")</f>
        <v>0</v>
      </c>
      <c r="BR31">
        <v>27</v>
      </c>
      <c r="BS31" cm="1">
        <f t="array" ref="BS31">_xlfn.SWITCH(Charts!$B$3,"average", AVERAGE(INDIRECT(ADDRESS(26+3,BS$2+1,,,"Instances") &amp; ":" &amp; ADDRESS(26+3,BS$2+1))),"median", MEDIAN(INDIRECT(ADDRESS(26+3,BS$2+1,,,"Instances") &amp; ":" &amp; ADDRESS(26+3,BS$2+1))),"min", MIN(INDIRECT(ADDRESS(26+3,BS$2+1,,,"Instances") &amp; ":" &amp; ADDRESS(26+3,BS$2+1))),"max", MAX(INDIRECT(ADDRESS(26+3,BS$2+1,,,"Instances") &amp; ":" &amp; ADDRESS(26+3,BS$2+1))),"diff", MAX(INDIRECT(ADDRESS(26+3,BS$2+1,,,"Instances") &amp; ":" &amp; ADDRESS(26+3,BS$2+1)))-MIN(INDIRECT(ADDRESS(26+3,BS$2+1,,,"Instances") &amp; ":" &amp; ADDRESS(26+3,BS$2+1))))</f>
        <v>0</v>
      </c>
      <c r="BT31">
        <f>IFERROR(SMALL(BS5:BS44,ROW()-ROW($BT$5)+1),"")</f>
        <v>0</v>
      </c>
      <c r="BV31">
        <f>IFERROR(SUM(BT5:BT31),"")</f>
        <v>0</v>
      </c>
      <c r="BW31" cm="1">
        <f t="array" ref="BW31">_xlfn.SWITCH(Charts!$B$3,"average", AVERAGE(INDIRECT(ADDRESS(26+3,BW$2+1,,,"Instances") &amp; ":" &amp; ADDRESS(26+3,BW$2+1))),"median", MEDIAN(INDIRECT(ADDRESS(26+3,BW$2+1,,,"Instances") &amp; ":" &amp; ADDRESS(26+3,BW$2+1))),"min", MIN(INDIRECT(ADDRESS(26+3,BW$2+1,,,"Instances") &amp; ":" &amp; ADDRESS(26+3,BW$2+1))),"max", MAX(INDIRECT(ADDRESS(26+3,BW$2+1,,,"Instances") &amp; ":" &amp; ADDRESS(26+3,BW$2+1))),"diff", MAX(INDIRECT(ADDRESS(26+3,BW$2+1,,,"Instances") &amp; ":" &amp; ADDRESS(26+3,BW$2+1)))-MIN(INDIRECT(ADDRESS(26+3,BW$2+1,,,"Instances") &amp; ":" &amp; ADDRESS(26+3,BW$2+1))))</f>
        <v>0</v>
      </c>
      <c r="BX31">
        <f>IFERROR(SMALL(BW5:BW44,ROW()-ROW($BX$5)+1),"")</f>
        <v>0</v>
      </c>
      <c r="BZ31">
        <f>IFERROR(SUM(BX5:BX31),"")</f>
        <v>0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IFERROR(SMALL(CA5:CA44,ROW()-ROW($CB$5)+1),"")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IFERROR(SMALL(CE5:CE44,ROW()-ROW($CF$5)+1),"")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IFERROR(SMALL(CI5:CI44,ROW()-ROW($CJ$5)+1),"")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IFERROR(SMALL(CM5:CM44,ROW()-ROW($CN$5)+1),"")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IFERROR(SMALL(CQ5:CQ44,ROW()-ROW($CR$5)+1),"")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IFERROR(SMALL(CU5:CU44,ROW()-ROW($CV$5)+1),"")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IFERROR(SMALL(CY5:CY44,ROW()-ROW($CZ$5)+1),"")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IFERROR(SMALL(DC5:DC44,ROW()-ROW($DD$5)+1),"")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IFERROR(SMALL(DG5:DG44,ROW()-ROW($DH$5)+1),"")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IFERROR(SMALL(DK5:DK44,ROW()-ROW($DL$5)+1),"")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IFERROR(SMALL(DO5:DO44,ROW()-ROW($DP$5)+1),"")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IFERROR(SMALL(DS5:DS44,ROW()-ROW($DT$5)+1),"")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IFERROR(SMALL(DW5:DW44,ROW()-ROW($DX$5)+1),"")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IFERROR(SMALL(EA5:EA44,ROW()-ROW($EB$5)+1),"")</f>
        <v>0</v>
      </c>
      <c r="ED31">
        <f>IFERROR(SUM(EB5:EB31),"")</f>
        <v>0</v>
      </c>
      <c r="EG31">
        <f>IF(Charts!$B$3="none",E238,IF(BS238="",NA(),BS238))</f>
        <v>0</v>
      </c>
      <c r="EH31">
        <f>IF(Charts!$B$3="none",F238,IF(BT238="",NA(),BT238))</f>
        <v>0</v>
      </c>
      <c r="EI31">
        <f>IF(Charts!$B$3="none",G238,IF(BU238="",NA(),BU238))</f>
        <v>0</v>
      </c>
      <c r="EJ31">
        <f>IF(Charts!$B$3="none",H238,IF(BV238="",NA(),BV238))</f>
        <v>0</v>
      </c>
      <c r="EK31">
        <f>IF(Charts!$B$3="none",I238,IF(BW238="",NA(),BW238))</f>
        <v>0</v>
      </c>
      <c r="EL31">
        <f>IF(Charts!$B$3="none",J238,IF(BX238="",NA(),BX238))</f>
        <v>0</v>
      </c>
      <c r="EM31">
        <f>IF(Charts!$B$3="none",K238,IF(BY238="",NA(),BY238))</f>
        <v>0</v>
      </c>
      <c r="EN31">
        <f>IF(Charts!$B$3="none",L238,IF(BZ238="",NA(),BZ238))</f>
        <v>0</v>
      </c>
      <c r="EO31">
        <f>IF(Charts!$B$3="none",M238,IF(CA238="",NA(),CA238))</f>
        <v>0</v>
      </c>
      <c r="EP31">
        <f>IF(Charts!$B$3="none",N238,IF(CB238="",NA(),CB238))</f>
        <v>0</v>
      </c>
      <c r="EQ31">
        <f>IF(Charts!$B$3="none",O238,IF(CC238="",NA(),CC238))</f>
        <v>0</v>
      </c>
      <c r="ER31">
        <f>IF(Charts!$B$3="none",P238,IF(CD238="",NA(),CD238))</f>
        <v>0</v>
      </c>
      <c r="ES31">
        <f>IF(Charts!$B$3="none",Q238,IF(CE238="",NA(),CE238))</f>
        <v>0</v>
      </c>
      <c r="ET31">
        <f>IF(Charts!$B$3="none",R238,IF(CF238="",NA(),CF238))</f>
        <v>0</v>
      </c>
      <c r="EU31">
        <f>IF(Charts!$B$3="none",S238,IF(CG238="",NA(),CG238))</f>
        <v>0</v>
      </c>
      <c r="EV31">
        <f>IF(Charts!$B$3="none",T238,IF(CH238="",NA(),CH238))</f>
        <v>0</v>
      </c>
      <c r="EW31">
        <f>IF(Charts!$B$3="none",U238,IF(CI238="",NA(),CI238))</f>
        <v>0</v>
      </c>
      <c r="EX31">
        <f>IF(Charts!$B$3="none",V238,IF(CJ238="",NA(),CJ238))</f>
        <v>0</v>
      </c>
      <c r="EY31">
        <f>IF(Charts!$B$3="none",W238,IF(CK238="",NA(),CK238))</f>
        <v>0</v>
      </c>
      <c r="EZ31">
        <f>IF(Charts!$B$3="none",X238,IF(CL238="",NA(),CL238))</f>
        <v>0</v>
      </c>
      <c r="FA31">
        <f>IF(Charts!$B$3="none",Y238,IF(CM238="",NA(),CM238))</f>
        <v>0</v>
      </c>
      <c r="FB31">
        <f>IF(Charts!$B$3="none",Z238,IF(CN238="",NA(),CN238))</f>
        <v>0</v>
      </c>
      <c r="FC31">
        <f>IF(Charts!$B$3="none",AA238,IF(CO238="",NA(),CO238))</f>
        <v>0</v>
      </c>
      <c r="FD31">
        <f>IF(Charts!$B$3="none",AB238,IF(CP238="",NA(),CP238))</f>
        <v>0</v>
      </c>
      <c r="FE31">
        <f>IF(Charts!$B$3="none",AC238,IF(CQ238="",NA(),CQ238))</f>
        <v>0</v>
      </c>
      <c r="FF31">
        <f>IF(Charts!$B$3="none",AD238,IF(CR238="",NA(),CR238))</f>
        <v>0</v>
      </c>
      <c r="FG31">
        <f>IF(Charts!$B$3="none",AE238,IF(CS238="",NA(),CS238))</f>
        <v>0</v>
      </c>
      <c r="FH31">
        <f>IF(Charts!$B$3="none",AF238,IF(CT238="",NA(),CT238))</f>
        <v>0</v>
      </c>
      <c r="FI31">
        <f>IF(Charts!$B$3="none",AG238,IF(CU238="",NA(),CU238))</f>
        <v>0</v>
      </c>
      <c r="FJ31">
        <f>IF(Charts!$B$3="none",AH238,IF(CV238="",NA(),CV238))</f>
        <v>0</v>
      </c>
      <c r="FK31">
        <f>IF(Charts!$B$3="none",AI238,IF(CW238="",NA(),CW238))</f>
        <v>0</v>
      </c>
      <c r="FL31">
        <f>IF(Charts!$B$3="none",AJ238,IF(CX238="",NA(),CX238))</f>
        <v>0</v>
      </c>
      <c r="FM31">
        <f>IF(Charts!$B$3="none",AK238,IF(CY238="",NA(),CY238))</f>
        <v>0</v>
      </c>
      <c r="FN31">
        <f>IF(Charts!$B$3="none",AL238,IF(CZ238="",NA(),CZ238))</f>
        <v>0</v>
      </c>
      <c r="FO31">
        <f>IF(Charts!$B$3="none",AM238,IF(DA238="",NA(),DA238))</f>
        <v>0</v>
      </c>
      <c r="FP31">
        <f>IF(Charts!$B$3="none",AN238,IF(DB238="",NA(),DB238))</f>
        <v>0</v>
      </c>
      <c r="FQ31">
        <f>IF(Charts!$B$3="none",AO238,IF(DC238="",NA(),DC238))</f>
        <v>0</v>
      </c>
      <c r="FR31">
        <f>IF(Charts!$B$3="none",AP238,IF(DD238="",NA(),DD238))</f>
        <v>0</v>
      </c>
      <c r="FS31">
        <f>IF(Charts!$B$3="none",AQ238,IF(DE238="",NA(),DE238))</f>
        <v>0</v>
      </c>
      <c r="FT31">
        <f>IF(Charts!$B$3="none",AR238,IF(DF238="",NA(),DF238))</f>
        <v>0</v>
      </c>
      <c r="FU31">
        <f>IF(Charts!$B$3="none",AS238,IF(DG238="",NA(),DG238))</f>
        <v>0</v>
      </c>
      <c r="FV31">
        <f>IF(Charts!$B$3="none",AT238,IF(DH238="",NA(),DH238))</f>
        <v>0</v>
      </c>
      <c r="FW31">
        <f>IF(Charts!$B$3="none",AU238,IF(DI238="",NA(),DI238))</f>
        <v>0</v>
      </c>
      <c r="FX31">
        <f>IF(Charts!$B$3="none",AV238,IF(DJ238="",NA(),DJ238))</f>
        <v>0</v>
      </c>
      <c r="FY31">
        <f>IF(Charts!$B$3="none",AW238,IF(DK238="",NA(),DK238))</f>
        <v>0</v>
      </c>
      <c r="FZ31">
        <f>IF(Charts!$B$3="none",AX238,IF(DL238="",NA(),DL238))</f>
        <v>0</v>
      </c>
      <c r="GA31">
        <f>IF(Charts!$B$3="none",AY238,IF(DM238="",NA(),DM238))</f>
        <v>0</v>
      </c>
      <c r="GB31">
        <f>IF(Charts!$B$3="none",AZ238,IF(DN238="",NA(),DN238))</f>
        <v>0</v>
      </c>
      <c r="GC31">
        <f>IF(Charts!$B$3="none",BA238,IF(DO238="",NA(),DO238))</f>
        <v>0</v>
      </c>
      <c r="GD31">
        <f>IF(Charts!$B$3="none",BB238,IF(DP238="",NA(),DP238))</f>
        <v>0</v>
      </c>
      <c r="GE31">
        <f>IF(Charts!$B$3="none",BC238,IF(DQ238="",NA(),DQ238))</f>
        <v>0</v>
      </c>
      <c r="GF31">
        <f>IF(Charts!$B$3="none",BD238,IF(DR238="",NA(),DR238))</f>
        <v>0</v>
      </c>
      <c r="GG31">
        <f>IF(Charts!$B$3="none",BE238,IF(DS238="",NA(),DS238))</f>
        <v>0</v>
      </c>
      <c r="GH31">
        <f>IF(Charts!$B$3="none",BF238,IF(DT238="",NA(),DT238))</f>
        <v>0</v>
      </c>
      <c r="GI31">
        <f>IF(Charts!$B$3="none",BG238,IF(DU238="",NA(),DU238))</f>
        <v>0</v>
      </c>
      <c r="GJ31">
        <f>IF(Charts!$B$3="none",BH238,IF(DV238="",NA(),DV238))</f>
        <v>0</v>
      </c>
      <c r="GK31">
        <f>IF(Charts!$B$3="none",BI238,IF(DW238="",NA(),DW238))</f>
        <v>0</v>
      </c>
      <c r="GL31">
        <f>IF(Charts!$B$3="none",BJ238,IF(DX238="",NA(),DX238))</f>
        <v>0</v>
      </c>
      <c r="GM31">
        <f>IF(Charts!$B$3="none",BK238,IF(DY238="",NA(),DY238))</f>
        <v>0</v>
      </c>
      <c r="GN31">
        <f>IF(Charts!$B$3="none",BL238,IF(DZ238="",NA(),DZ238))</f>
        <v>0</v>
      </c>
      <c r="GO31">
        <f>IF(Charts!$B$3="none",BM238,IF(EA238="",NA(),EA238))</f>
        <v>0</v>
      </c>
      <c r="GP31">
        <f>IF(Charts!$B$3="none",BN238,IF(EB238="",NA(),EB238))</f>
        <v>0</v>
      </c>
      <c r="GQ31">
        <f>IF(Charts!$B$3="none",BO238,IF(EC238="",NA(),EC238))</f>
        <v>0</v>
      </c>
      <c r="GR31">
        <f>IF(Charts!$B$3="none",BP238,IF(ED238="",NA(),ED238))</f>
        <v>0</v>
      </c>
    </row>
    <row r="32" spans="1:200">
      <c r="D32">
        <v>28</v>
      </c>
      <c r="E32">
        <f>IF(INDIRECT(ADDRESS($D32+2,E$2+1,,,"Instances"))="","",INDIRECT(ADDRESS($D32+2,E$2+1,,,"Instances")))</f>
        <v>0</v>
      </c>
      <c r="F32">
        <f>IFERROR(SMALL(E5:E44,ROW()-ROW($F$5)+1),"")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IFERROR(SMALL(I5:I44,ROW()-ROW($J$5)+1),"")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IFERROR(SMALL(M5:M44,ROW()-ROW($N$5)+1),"")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IFERROR(SMALL(Q5:Q44,ROW()-ROW($R$5)+1),"")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IFERROR(SMALL(U5:U44,ROW()-ROW($V$5)+1),"")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IFERROR(SMALL(Y5:Y44,ROW()-ROW($Z$5)+1),"")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IFERROR(SMALL(AC5:AC44,ROW()-ROW($AD$5)+1),"")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IFERROR(SMALL(AG5:AG44,ROW()-ROW($AH$5)+1),"")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IFERROR(SMALL(AK5:AK44,ROW()-ROW($AL$5)+1),"")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IFERROR(SMALL(AO5:AO44,ROW()-ROW($AP$5)+1),"")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IFERROR(SMALL(AS5:AS44,ROW()-ROW($AT$5)+1),"")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IFERROR(SMALL(AW5:AW44,ROW()-ROW($AX$5)+1),"")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IFERROR(SMALL(BA5:BA44,ROW()-ROW($BB$5)+1),"")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IFERROR(SMALL(BE5:BE44,ROW()-ROW($BF$5)+1),"")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IFERROR(SMALL(BI5:BI44,ROW()-ROW($BJ$5)+1),"")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IFERROR(SMALL(BM5:BM44,ROW()-ROW($BN$5)+1),"")</f>
        <v>0</v>
      </c>
      <c r="BP32">
        <f>IFERROR(SUM(BN5:BN32),"")</f>
        <v>0</v>
      </c>
      <c r="BR32">
        <v>28</v>
      </c>
      <c r="BS32" cm="1">
        <f t="array" ref="BS32">_xlfn.SWITCH(Charts!$B$3,"average", AVERAGE(INDIRECT(ADDRESS(27+3,BS$2+1,,,"Instances") &amp; ":" &amp; ADDRESS(27+3,BS$2+1))),"median", MEDIAN(INDIRECT(ADDRESS(27+3,BS$2+1,,,"Instances") &amp; ":" &amp; ADDRESS(27+3,BS$2+1))),"min", MIN(INDIRECT(ADDRESS(27+3,BS$2+1,,,"Instances") &amp; ":" &amp; ADDRESS(27+3,BS$2+1))),"max", MAX(INDIRECT(ADDRESS(27+3,BS$2+1,,,"Instances") &amp; ":" &amp; ADDRESS(27+3,BS$2+1))),"diff", MAX(INDIRECT(ADDRESS(27+3,BS$2+1,,,"Instances") &amp; ":" &amp; ADDRESS(27+3,BS$2+1)))-MIN(INDIRECT(ADDRESS(27+3,BS$2+1,,,"Instances") &amp; ":" &amp; ADDRESS(27+3,BS$2+1))))</f>
        <v>0</v>
      </c>
      <c r="BT32">
        <f>IFERROR(SMALL(BS5:BS44,ROW()-ROW($BT$5)+1),"")</f>
        <v>0</v>
      </c>
      <c r="BV32">
        <f>IFERROR(SUM(BT5:BT32),"")</f>
        <v>0</v>
      </c>
      <c r="BW32" cm="1">
        <f t="array" ref="BW32">_xlfn.SWITCH(Charts!$B$3,"average", AVERAGE(INDIRECT(ADDRESS(27+3,BW$2+1,,,"Instances") &amp; ":" &amp; ADDRESS(27+3,BW$2+1))),"median", MEDIAN(INDIRECT(ADDRESS(27+3,BW$2+1,,,"Instances") &amp; ":" &amp; ADDRESS(27+3,BW$2+1))),"min", MIN(INDIRECT(ADDRESS(27+3,BW$2+1,,,"Instances") &amp; ":" &amp; ADDRESS(27+3,BW$2+1))),"max", MAX(INDIRECT(ADDRESS(27+3,BW$2+1,,,"Instances") &amp; ":" &amp; ADDRESS(27+3,BW$2+1))),"diff", MAX(INDIRECT(ADDRESS(27+3,BW$2+1,,,"Instances") &amp; ":" &amp; ADDRESS(27+3,BW$2+1)))-MIN(INDIRECT(ADDRESS(27+3,BW$2+1,,,"Instances") &amp; ":" &amp; ADDRESS(27+3,BW$2+1))))</f>
        <v>0</v>
      </c>
      <c r="BX32">
        <f>IFERROR(SMALL(BW5:BW44,ROW()-ROW($BX$5)+1),"")</f>
        <v>0</v>
      </c>
      <c r="BZ32">
        <f>IFERROR(SUM(BX5:BX32),"")</f>
        <v>0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IFERROR(SMALL(CA5:CA44,ROW()-ROW($CB$5)+1),"")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IFERROR(SMALL(CE5:CE44,ROW()-ROW($CF$5)+1),"")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IFERROR(SMALL(CI5:CI44,ROW()-ROW($CJ$5)+1),"")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IFERROR(SMALL(CM5:CM44,ROW()-ROW($CN$5)+1),"")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IFERROR(SMALL(CQ5:CQ44,ROW()-ROW($CR$5)+1),"")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IFERROR(SMALL(CU5:CU44,ROW()-ROW($CV$5)+1),"")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IFERROR(SMALL(CY5:CY44,ROW()-ROW($CZ$5)+1),"")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IFERROR(SMALL(DC5:DC44,ROW()-ROW($DD$5)+1),"")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IFERROR(SMALL(DG5:DG44,ROW()-ROW($DH$5)+1),"")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IFERROR(SMALL(DK5:DK44,ROW()-ROW($DL$5)+1),"")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IFERROR(SMALL(DO5:DO44,ROW()-ROW($DP$5)+1),"")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IFERROR(SMALL(DS5:DS44,ROW()-ROW($DT$5)+1),"")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IFERROR(SMALL(DW5:DW44,ROW()-ROW($DX$5)+1),"")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IFERROR(SMALL(EA5:EA44,ROW()-ROW($EB$5)+1),"")</f>
        <v>0</v>
      </c>
      <c r="ED32">
        <f>IFERROR(SUM(EB5:EB32),"")</f>
        <v>0</v>
      </c>
      <c r="EG32">
        <f>IF(Charts!$B$3="none",E239,IF(BS239="",NA(),BS239))</f>
        <v>0</v>
      </c>
      <c r="EH32">
        <f>IF(Charts!$B$3="none",F239,IF(BT239="",NA(),BT239))</f>
        <v>0</v>
      </c>
      <c r="EI32">
        <f>IF(Charts!$B$3="none",G239,IF(BU239="",NA(),BU239))</f>
        <v>0</v>
      </c>
      <c r="EJ32">
        <f>IF(Charts!$B$3="none",H239,IF(BV239="",NA(),BV239))</f>
        <v>0</v>
      </c>
      <c r="EK32">
        <f>IF(Charts!$B$3="none",I239,IF(BW239="",NA(),BW239))</f>
        <v>0</v>
      </c>
      <c r="EL32">
        <f>IF(Charts!$B$3="none",J239,IF(BX239="",NA(),BX239))</f>
        <v>0</v>
      </c>
      <c r="EM32">
        <f>IF(Charts!$B$3="none",K239,IF(BY239="",NA(),BY239))</f>
        <v>0</v>
      </c>
      <c r="EN32">
        <f>IF(Charts!$B$3="none",L239,IF(BZ239="",NA(),BZ239))</f>
        <v>0</v>
      </c>
      <c r="EO32">
        <f>IF(Charts!$B$3="none",M239,IF(CA239="",NA(),CA239))</f>
        <v>0</v>
      </c>
      <c r="EP32">
        <f>IF(Charts!$B$3="none",N239,IF(CB239="",NA(),CB239))</f>
        <v>0</v>
      </c>
      <c r="EQ32">
        <f>IF(Charts!$B$3="none",O239,IF(CC239="",NA(),CC239))</f>
        <v>0</v>
      </c>
      <c r="ER32">
        <f>IF(Charts!$B$3="none",P239,IF(CD239="",NA(),CD239))</f>
        <v>0</v>
      </c>
      <c r="ES32">
        <f>IF(Charts!$B$3="none",Q239,IF(CE239="",NA(),CE239))</f>
        <v>0</v>
      </c>
      <c r="ET32">
        <f>IF(Charts!$B$3="none",R239,IF(CF239="",NA(),CF239))</f>
        <v>0</v>
      </c>
      <c r="EU32">
        <f>IF(Charts!$B$3="none",S239,IF(CG239="",NA(),CG239))</f>
        <v>0</v>
      </c>
      <c r="EV32">
        <f>IF(Charts!$B$3="none",T239,IF(CH239="",NA(),CH239))</f>
        <v>0</v>
      </c>
      <c r="EW32">
        <f>IF(Charts!$B$3="none",U239,IF(CI239="",NA(),CI239))</f>
        <v>0</v>
      </c>
      <c r="EX32">
        <f>IF(Charts!$B$3="none",V239,IF(CJ239="",NA(),CJ239))</f>
        <v>0</v>
      </c>
      <c r="EY32">
        <f>IF(Charts!$B$3="none",W239,IF(CK239="",NA(),CK239))</f>
        <v>0</v>
      </c>
      <c r="EZ32">
        <f>IF(Charts!$B$3="none",X239,IF(CL239="",NA(),CL239))</f>
        <v>0</v>
      </c>
      <c r="FA32">
        <f>IF(Charts!$B$3="none",Y239,IF(CM239="",NA(),CM239))</f>
        <v>0</v>
      </c>
      <c r="FB32">
        <f>IF(Charts!$B$3="none",Z239,IF(CN239="",NA(),CN239))</f>
        <v>0</v>
      </c>
      <c r="FC32">
        <f>IF(Charts!$B$3="none",AA239,IF(CO239="",NA(),CO239))</f>
        <v>0</v>
      </c>
      <c r="FD32">
        <f>IF(Charts!$B$3="none",AB239,IF(CP239="",NA(),CP239))</f>
        <v>0</v>
      </c>
      <c r="FE32">
        <f>IF(Charts!$B$3="none",AC239,IF(CQ239="",NA(),CQ239))</f>
        <v>0</v>
      </c>
      <c r="FF32">
        <f>IF(Charts!$B$3="none",AD239,IF(CR239="",NA(),CR239))</f>
        <v>0</v>
      </c>
      <c r="FG32">
        <f>IF(Charts!$B$3="none",AE239,IF(CS239="",NA(),CS239))</f>
        <v>0</v>
      </c>
      <c r="FH32">
        <f>IF(Charts!$B$3="none",AF239,IF(CT239="",NA(),CT239))</f>
        <v>0</v>
      </c>
      <c r="FI32">
        <f>IF(Charts!$B$3="none",AG239,IF(CU239="",NA(),CU239))</f>
        <v>0</v>
      </c>
      <c r="FJ32">
        <f>IF(Charts!$B$3="none",AH239,IF(CV239="",NA(),CV239))</f>
        <v>0</v>
      </c>
      <c r="FK32">
        <f>IF(Charts!$B$3="none",AI239,IF(CW239="",NA(),CW239))</f>
        <v>0</v>
      </c>
      <c r="FL32">
        <f>IF(Charts!$B$3="none",AJ239,IF(CX239="",NA(),CX239))</f>
        <v>0</v>
      </c>
      <c r="FM32">
        <f>IF(Charts!$B$3="none",AK239,IF(CY239="",NA(),CY239))</f>
        <v>0</v>
      </c>
      <c r="FN32">
        <f>IF(Charts!$B$3="none",AL239,IF(CZ239="",NA(),CZ239))</f>
        <v>0</v>
      </c>
      <c r="FO32">
        <f>IF(Charts!$B$3="none",AM239,IF(DA239="",NA(),DA239))</f>
        <v>0</v>
      </c>
      <c r="FP32">
        <f>IF(Charts!$B$3="none",AN239,IF(DB239="",NA(),DB239))</f>
        <v>0</v>
      </c>
      <c r="FQ32">
        <f>IF(Charts!$B$3="none",AO239,IF(DC239="",NA(),DC239))</f>
        <v>0</v>
      </c>
      <c r="FR32">
        <f>IF(Charts!$B$3="none",AP239,IF(DD239="",NA(),DD239))</f>
        <v>0</v>
      </c>
      <c r="FS32">
        <f>IF(Charts!$B$3="none",AQ239,IF(DE239="",NA(),DE239))</f>
        <v>0</v>
      </c>
      <c r="FT32">
        <f>IF(Charts!$B$3="none",AR239,IF(DF239="",NA(),DF239))</f>
        <v>0</v>
      </c>
      <c r="FU32">
        <f>IF(Charts!$B$3="none",AS239,IF(DG239="",NA(),DG239))</f>
        <v>0</v>
      </c>
      <c r="FV32">
        <f>IF(Charts!$B$3="none",AT239,IF(DH239="",NA(),DH239))</f>
        <v>0</v>
      </c>
      <c r="FW32">
        <f>IF(Charts!$B$3="none",AU239,IF(DI239="",NA(),DI239))</f>
        <v>0</v>
      </c>
      <c r="FX32">
        <f>IF(Charts!$B$3="none",AV239,IF(DJ239="",NA(),DJ239))</f>
        <v>0</v>
      </c>
      <c r="FY32">
        <f>IF(Charts!$B$3="none",AW239,IF(DK239="",NA(),DK239))</f>
        <v>0</v>
      </c>
      <c r="FZ32">
        <f>IF(Charts!$B$3="none",AX239,IF(DL239="",NA(),DL239))</f>
        <v>0</v>
      </c>
      <c r="GA32">
        <f>IF(Charts!$B$3="none",AY239,IF(DM239="",NA(),DM239))</f>
        <v>0</v>
      </c>
      <c r="GB32">
        <f>IF(Charts!$B$3="none",AZ239,IF(DN239="",NA(),DN239))</f>
        <v>0</v>
      </c>
      <c r="GC32">
        <f>IF(Charts!$B$3="none",BA239,IF(DO239="",NA(),DO239))</f>
        <v>0</v>
      </c>
      <c r="GD32">
        <f>IF(Charts!$B$3="none",BB239,IF(DP239="",NA(),DP239))</f>
        <v>0</v>
      </c>
      <c r="GE32">
        <f>IF(Charts!$B$3="none",BC239,IF(DQ239="",NA(),DQ239))</f>
        <v>0</v>
      </c>
      <c r="GF32">
        <f>IF(Charts!$B$3="none",BD239,IF(DR239="",NA(),DR239))</f>
        <v>0</v>
      </c>
      <c r="GG32">
        <f>IF(Charts!$B$3="none",BE239,IF(DS239="",NA(),DS239))</f>
        <v>0</v>
      </c>
      <c r="GH32">
        <f>IF(Charts!$B$3="none",BF239,IF(DT239="",NA(),DT239))</f>
        <v>0</v>
      </c>
      <c r="GI32">
        <f>IF(Charts!$B$3="none",BG239,IF(DU239="",NA(),DU239))</f>
        <v>0</v>
      </c>
      <c r="GJ32">
        <f>IF(Charts!$B$3="none",BH239,IF(DV239="",NA(),DV239))</f>
        <v>0</v>
      </c>
      <c r="GK32">
        <f>IF(Charts!$B$3="none",BI239,IF(DW239="",NA(),DW239))</f>
        <v>0</v>
      </c>
      <c r="GL32">
        <f>IF(Charts!$B$3="none",BJ239,IF(DX239="",NA(),DX239))</f>
        <v>0</v>
      </c>
      <c r="GM32">
        <f>IF(Charts!$B$3="none",BK239,IF(DY239="",NA(),DY239))</f>
        <v>0</v>
      </c>
      <c r="GN32">
        <f>IF(Charts!$B$3="none",BL239,IF(DZ239="",NA(),DZ239))</f>
        <v>0</v>
      </c>
      <c r="GO32">
        <f>IF(Charts!$B$3="none",BM239,IF(EA239="",NA(),EA239))</f>
        <v>0</v>
      </c>
      <c r="GP32">
        <f>IF(Charts!$B$3="none",BN239,IF(EB239="",NA(),EB239))</f>
        <v>0</v>
      </c>
      <c r="GQ32">
        <f>IF(Charts!$B$3="none",BO239,IF(EC239="",NA(),EC239))</f>
        <v>0</v>
      </c>
      <c r="GR32">
        <f>IF(Charts!$B$3="none",BP239,IF(ED239="",NA(),ED239))</f>
        <v>0</v>
      </c>
    </row>
    <row r="33" spans="4:200">
      <c r="D33">
        <v>29</v>
      </c>
      <c r="E33">
        <f>IF(INDIRECT(ADDRESS($D33+2,E$2+1,,,"Instances"))="","",INDIRECT(ADDRESS($D33+2,E$2+1,,,"Instances")))</f>
        <v>0</v>
      </c>
      <c r="F33">
        <f>IFERROR(SMALL(E5:E44,ROW()-ROW($F$5)+1),"")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IFERROR(SMALL(I5:I44,ROW()-ROW($J$5)+1),"")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IFERROR(SMALL(M5:M44,ROW()-ROW($N$5)+1),"")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IFERROR(SMALL(Q5:Q44,ROW()-ROW($R$5)+1),"")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IFERROR(SMALL(U5:U44,ROW()-ROW($V$5)+1),"")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IFERROR(SMALL(Y5:Y44,ROW()-ROW($Z$5)+1),"")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IFERROR(SMALL(AC5:AC44,ROW()-ROW($AD$5)+1),"")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IFERROR(SMALL(AG5:AG44,ROW()-ROW($AH$5)+1),"")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IFERROR(SMALL(AK5:AK44,ROW()-ROW($AL$5)+1),"")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IFERROR(SMALL(AO5:AO44,ROW()-ROW($AP$5)+1),"")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IFERROR(SMALL(AS5:AS44,ROW()-ROW($AT$5)+1),"")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IFERROR(SMALL(AW5:AW44,ROW()-ROW($AX$5)+1),"")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IFERROR(SMALL(BA5:BA44,ROW()-ROW($BB$5)+1),"")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IFERROR(SMALL(BE5:BE44,ROW()-ROW($BF$5)+1),"")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IFERROR(SMALL(BI5:BI44,ROW()-ROW($BJ$5)+1),"")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IFERROR(SMALL(BM5:BM44,ROW()-ROW($BN$5)+1),"")</f>
        <v>0</v>
      </c>
      <c r="BP33">
        <f>IFERROR(SUM(BN5:BN33),"")</f>
        <v>0</v>
      </c>
      <c r="BR33">
        <v>29</v>
      </c>
      <c r="BS33" cm="1">
        <f t="array" ref="BS33">_xlfn.SWITCH(Charts!$B$3,"average", AVERAGE(INDIRECT(ADDRESS(28+3,BS$2+1,,,"Instances") &amp; ":" &amp; ADDRESS(28+3,BS$2+1))),"median", MEDIAN(INDIRECT(ADDRESS(28+3,BS$2+1,,,"Instances") &amp; ":" &amp; ADDRESS(28+3,BS$2+1))),"min", MIN(INDIRECT(ADDRESS(28+3,BS$2+1,,,"Instances") &amp; ":" &amp; ADDRESS(28+3,BS$2+1))),"max", MAX(INDIRECT(ADDRESS(28+3,BS$2+1,,,"Instances") &amp; ":" &amp; ADDRESS(28+3,BS$2+1))),"diff", MAX(INDIRECT(ADDRESS(28+3,BS$2+1,,,"Instances") &amp; ":" &amp; ADDRESS(28+3,BS$2+1)))-MIN(INDIRECT(ADDRESS(28+3,BS$2+1,,,"Instances") &amp; ":" &amp; ADDRESS(28+3,BS$2+1))))</f>
        <v>0</v>
      </c>
      <c r="BT33">
        <f>IFERROR(SMALL(BS5:BS44,ROW()-ROW($BT$5)+1),"")</f>
        <v>0</v>
      </c>
      <c r="BV33">
        <f>IFERROR(SUM(BT5:BT33),"")</f>
        <v>0</v>
      </c>
      <c r="BW33" cm="1">
        <f t="array" ref="BW33">_xlfn.SWITCH(Charts!$B$3,"average", AVERAGE(INDIRECT(ADDRESS(28+3,BW$2+1,,,"Instances") &amp; ":" &amp; ADDRESS(28+3,BW$2+1))),"median", MEDIAN(INDIRECT(ADDRESS(28+3,BW$2+1,,,"Instances") &amp; ":" &amp; ADDRESS(28+3,BW$2+1))),"min", MIN(INDIRECT(ADDRESS(28+3,BW$2+1,,,"Instances") &amp; ":" &amp; ADDRESS(28+3,BW$2+1))),"max", MAX(INDIRECT(ADDRESS(28+3,BW$2+1,,,"Instances") &amp; ":" &amp; ADDRESS(28+3,BW$2+1))),"diff", MAX(INDIRECT(ADDRESS(28+3,BW$2+1,,,"Instances") &amp; ":" &amp; ADDRESS(28+3,BW$2+1)))-MIN(INDIRECT(ADDRESS(28+3,BW$2+1,,,"Instances") &amp; ":" &amp; ADDRESS(28+3,BW$2+1))))</f>
        <v>0</v>
      </c>
      <c r="BX33">
        <f>IFERROR(SMALL(BW5:BW44,ROW()-ROW($BX$5)+1),"")</f>
        <v>0</v>
      </c>
      <c r="BZ33">
        <f>IFERROR(SUM(BX5:BX33),"")</f>
        <v>0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IFERROR(SMALL(CA5:CA44,ROW()-ROW($CB$5)+1),"")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IFERROR(SMALL(CE5:CE44,ROW()-ROW($CF$5)+1),"")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IFERROR(SMALL(CI5:CI44,ROW()-ROW($CJ$5)+1),"")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IFERROR(SMALL(CM5:CM44,ROW()-ROW($CN$5)+1),"")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IFERROR(SMALL(CQ5:CQ44,ROW()-ROW($CR$5)+1),"")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IFERROR(SMALL(CU5:CU44,ROW()-ROW($CV$5)+1),"")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IFERROR(SMALL(CY5:CY44,ROW()-ROW($CZ$5)+1),"")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IFERROR(SMALL(DC5:DC44,ROW()-ROW($DD$5)+1),"")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IFERROR(SMALL(DG5:DG44,ROW()-ROW($DH$5)+1),"")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IFERROR(SMALL(DK5:DK44,ROW()-ROW($DL$5)+1),"")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IFERROR(SMALL(DO5:DO44,ROW()-ROW($DP$5)+1),"")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IFERROR(SMALL(DS5:DS44,ROW()-ROW($DT$5)+1),"")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IFERROR(SMALL(DW5:DW44,ROW()-ROW($DX$5)+1),"")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IFERROR(SMALL(EA5:EA44,ROW()-ROW($EB$5)+1),"")</f>
        <v>0</v>
      </c>
      <c r="ED33">
        <f>IFERROR(SUM(EB5:EB33),"")</f>
        <v>0</v>
      </c>
      <c r="EG33">
        <f>IF(Charts!$B$3="none",E240,IF(BS240="",NA(),BS240))</f>
        <v>0</v>
      </c>
      <c r="EH33">
        <f>IF(Charts!$B$3="none",F240,IF(BT240="",NA(),BT240))</f>
        <v>0</v>
      </c>
      <c r="EI33">
        <f>IF(Charts!$B$3="none",G240,IF(BU240="",NA(),BU240))</f>
        <v>0</v>
      </c>
      <c r="EJ33">
        <f>IF(Charts!$B$3="none",H240,IF(BV240="",NA(),BV240))</f>
        <v>0</v>
      </c>
      <c r="EK33">
        <f>IF(Charts!$B$3="none",I240,IF(BW240="",NA(),BW240))</f>
        <v>0</v>
      </c>
      <c r="EL33">
        <f>IF(Charts!$B$3="none",J240,IF(BX240="",NA(),BX240))</f>
        <v>0</v>
      </c>
      <c r="EM33">
        <f>IF(Charts!$B$3="none",K240,IF(BY240="",NA(),BY240))</f>
        <v>0</v>
      </c>
      <c r="EN33">
        <f>IF(Charts!$B$3="none",L240,IF(BZ240="",NA(),BZ240))</f>
        <v>0</v>
      </c>
      <c r="EO33">
        <f>IF(Charts!$B$3="none",M240,IF(CA240="",NA(),CA240))</f>
        <v>0</v>
      </c>
      <c r="EP33">
        <f>IF(Charts!$B$3="none",N240,IF(CB240="",NA(),CB240))</f>
        <v>0</v>
      </c>
      <c r="EQ33">
        <f>IF(Charts!$B$3="none",O240,IF(CC240="",NA(),CC240))</f>
        <v>0</v>
      </c>
      <c r="ER33">
        <f>IF(Charts!$B$3="none",P240,IF(CD240="",NA(),CD240))</f>
        <v>0</v>
      </c>
      <c r="ES33">
        <f>IF(Charts!$B$3="none",Q240,IF(CE240="",NA(),CE240))</f>
        <v>0</v>
      </c>
      <c r="ET33">
        <f>IF(Charts!$B$3="none",R240,IF(CF240="",NA(),CF240))</f>
        <v>0</v>
      </c>
      <c r="EU33">
        <f>IF(Charts!$B$3="none",S240,IF(CG240="",NA(),CG240))</f>
        <v>0</v>
      </c>
      <c r="EV33">
        <f>IF(Charts!$B$3="none",T240,IF(CH240="",NA(),CH240))</f>
        <v>0</v>
      </c>
      <c r="EW33">
        <f>IF(Charts!$B$3="none",U240,IF(CI240="",NA(),CI240))</f>
        <v>0</v>
      </c>
      <c r="EX33">
        <f>IF(Charts!$B$3="none",V240,IF(CJ240="",NA(),CJ240))</f>
        <v>0</v>
      </c>
      <c r="EY33">
        <f>IF(Charts!$B$3="none",W240,IF(CK240="",NA(),CK240))</f>
        <v>0</v>
      </c>
      <c r="EZ33">
        <f>IF(Charts!$B$3="none",X240,IF(CL240="",NA(),CL240))</f>
        <v>0</v>
      </c>
      <c r="FA33">
        <f>IF(Charts!$B$3="none",Y240,IF(CM240="",NA(),CM240))</f>
        <v>0</v>
      </c>
      <c r="FB33">
        <f>IF(Charts!$B$3="none",Z240,IF(CN240="",NA(),CN240))</f>
        <v>0</v>
      </c>
      <c r="FC33">
        <f>IF(Charts!$B$3="none",AA240,IF(CO240="",NA(),CO240))</f>
        <v>0</v>
      </c>
      <c r="FD33">
        <f>IF(Charts!$B$3="none",AB240,IF(CP240="",NA(),CP240))</f>
        <v>0</v>
      </c>
      <c r="FE33">
        <f>IF(Charts!$B$3="none",AC240,IF(CQ240="",NA(),CQ240))</f>
        <v>0</v>
      </c>
      <c r="FF33">
        <f>IF(Charts!$B$3="none",AD240,IF(CR240="",NA(),CR240))</f>
        <v>0</v>
      </c>
      <c r="FG33">
        <f>IF(Charts!$B$3="none",AE240,IF(CS240="",NA(),CS240))</f>
        <v>0</v>
      </c>
      <c r="FH33">
        <f>IF(Charts!$B$3="none",AF240,IF(CT240="",NA(),CT240))</f>
        <v>0</v>
      </c>
      <c r="FI33">
        <f>IF(Charts!$B$3="none",AG240,IF(CU240="",NA(),CU240))</f>
        <v>0</v>
      </c>
      <c r="FJ33">
        <f>IF(Charts!$B$3="none",AH240,IF(CV240="",NA(),CV240))</f>
        <v>0</v>
      </c>
      <c r="FK33">
        <f>IF(Charts!$B$3="none",AI240,IF(CW240="",NA(),CW240))</f>
        <v>0</v>
      </c>
      <c r="FL33">
        <f>IF(Charts!$B$3="none",AJ240,IF(CX240="",NA(),CX240))</f>
        <v>0</v>
      </c>
      <c r="FM33">
        <f>IF(Charts!$B$3="none",AK240,IF(CY240="",NA(),CY240))</f>
        <v>0</v>
      </c>
      <c r="FN33">
        <f>IF(Charts!$B$3="none",AL240,IF(CZ240="",NA(),CZ240))</f>
        <v>0</v>
      </c>
      <c r="FO33">
        <f>IF(Charts!$B$3="none",AM240,IF(DA240="",NA(),DA240))</f>
        <v>0</v>
      </c>
      <c r="FP33">
        <f>IF(Charts!$B$3="none",AN240,IF(DB240="",NA(),DB240))</f>
        <v>0</v>
      </c>
      <c r="FQ33">
        <f>IF(Charts!$B$3="none",AO240,IF(DC240="",NA(),DC240))</f>
        <v>0</v>
      </c>
      <c r="FR33">
        <f>IF(Charts!$B$3="none",AP240,IF(DD240="",NA(),DD240))</f>
        <v>0</v>
      </c>
      <c r="FS33">
        <f>IF(Charts!$B$3="none",AQ240,IF(DE240="",NA(),DE240))</f>
        <v>0</v>
      </c>
      <c r="FT33">
        <f>IF(Charts!$B$3="none",AR240,IF(DF240="",NA(),DF240))</f>
        <v>0</v>
      </c>
      <c r="FU33">
        <f>IF(Charts!$B$3="none",AS240,IF(DG240="",NA(),DG240))</f>
        <v>0</v>
      </c>
      <c r="FV33">
        <f>IF(Charts!$B$3="none",AT240,IF(DH240="",NA(),DH240))</f>
        <v>0</v>
      </c>
      <c r="FW33">
        <f>IF(Charts!$B$3="none",AU240,IF(DI240="",NA(),DI240))</f>
        <v>0</v>
      </c>
      <c r="FX33">
        <f>IF(Charts!$B$3="none",AV240,IF(DJ240="",NA(),DJ240))</f>
        <v>0</v>
      </c>
      <c r="FY33">
        <f>IF(Charts!$B$3="none",AW240,IF(DK240="",NA(),DK240))</f>
        <v>0</v>
      </c>
      <c r="FZ33">
        <f>IF(Charts!$B$3="none",AX240,IF(DL240="",NA(),DL240))</f>
        <v>0</v>
      </c>
      <c r="GA33">
        <f>IF(Charts!$B$3="none",AY240,IF(DM240="",NA(),DM240))</f>
        <v>0</v>
      </c>
      <c r="GB33">
        <f>IF(Charts!$B$3="none",AZ240,IF(DN240="",NA(),DN240))</f>
        <v>0</v>
      </c>
      <c r="GC33">
        <f>IF(Charts!$B$3="none",BA240,IF(DO240="",NA(),DO240))</f>
        <v>0</v>
      </c>
      <c r="GD33">
        <f>IF(Charts!$B$3="none",BB240,IF(DP240="",NA(),DP240))</f>
        <v>0</v>
      </c>
      <c r="GE33">
        <f>IF(Charts!$B$3="none",BC240,IF(DQ240="",NA(),DQ240))</f>
        <v>0</v>
      </c>
      <c r="GF33">
        <f>IF(Charts!$B$3="none",BD240,IF(DR240="",NA(),DR240))</f>
        <v>0</v>
      </c>
      <c r="GG33">
        <f>IF(Charts!$B$3="none",BE240,IF(DS240="",NA(),DS240))</f>
        <v>0</v>
      </c>
      <c r="GH33">
        <f>IF(Charts!$B$3="none",BF240,IF(DT240="",NA(),DT240))</f>
        <v>0</v>
      </c>
      <c r="GI33">
        <f>IF(Charts!$B$3="none",BG240,IF(DU240="",NA(),DU240))</f>
        <v>0</v>
      </c>
      <c r="GJ33">
        <f>IF(Charts!$B$3="none",BH240,IF(DV240="",NA(),DV240))</f>
        <v>0</v>
      </c>
      <c r="GK33">
        <f>IF(Charts!$B$3="none",BI240,IF(DW240="",NA(),DW240))</f>
        <v>0</v>
      </c>
      <c r="GL33">
        <f>IF(Charts!$B$3="none",BJ240,IF(DX240="",NA(),DX240))</f>
        <v>0</v>
      </c>
      <c r="GM33">
        <f>IF(Charts!$B$3="none",BK240,IF(DY240="",NA(),DY240))</f>
        <v>0</v>
      </c>
      <c r="GN33">
        <f>IF(Charts!$B$3="none",BL240,IF(DZ240="",NA(),DZ240))</f>
        <v>0</v>
      </c>
      <c r="GO33">
        <f>IF(Charts!$B$3="none",BM240,IF(EA240="",NA(),EA240))</f>
        <v>0</v>
      </c>
      <c r="GP33">
        <f>IF(Charts!$B$3="none",BN240,IF(EB240="",NA(),EB240))</f>
        <v>0</v>
      </c>
      <c r="GQ33">
        <f>IF(Charts!$B$3="none",BO240,IF(EC240="",NA(),EC240))</f>
        <v>0</v>
      </c>
      <c r="GR33">
        <f>IF(Charts!$B$3="none",BP240,IF(ED240="",NA(),ED240))</f>
        <v>0</v>
      </c>
    </row>
    <row r="34" spans="4:200">
      <c r="D34">
        <v>30</v>
      </c>
      <c r="E34">
        <f>IF(INDIRECT(ADDRESS($D34+2,E$2+1,,,"Instances"))="","",INDIRECT(ADDRESS($D34+2,E$2+1,,,"Instances")))</f>
        <v>0</v>
      </c>
      <c r="F34">
        <f>IFERROR(SMALL(E5:E44,ROW()-ROW($F$5)+1),"")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IFERROR(SMALL(I5:I44,ROW()-ROW($J$5)+1),"")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IFERROR(SMALL(M5:M44,ROW()-ROW($N$5)+1),"")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IFERROR(SMALL(Q5:Q44,ROW()-ROW($R$5)+1),"")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IFERROR(SMALL(U5:U44,ROW()-ROW($V$5)+1),"")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IFERROR(SMALL(Y5:Y44,ROW()-ROW($Z$5)+1),"")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IFERROR(SMALL(AC5:AC44,ROW()-ROW($AD$5)+1),"")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IFERROR(SMALL(AG5:AG44,ROW()-ROW($AH$5)+1),"")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IFERROR(SMALL(AK5:AK44,ROW()-ROW($AL$5)+1),"")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IFERROR(SMALL(AO5:AO44,ROW()-ROW($AP$5)+1),"")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IFERROR(SMALL(AS5:AS44,ROW()-ROW($AT$5)+1),"")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IFERROR(SMALL(AW5:AW44,ROW()-ROW($AX$5)+1),"")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IFERROR(SMALL(BA5:BA44,ROW()-ROW($BB$5)+1),"")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IFERROR(SMALL(BE5:BE44,ROW()-ROW($BF$5)+1),"")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IFERROR(SMALL(BI5:BI44,ROW()-ROW($BJ$5)+1),"")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IFERROR(SMALL(BM5:BM44,ROW()-ROW($BN$5)+1),"")</f>
        <v>0</v>
      </c>
      <c r="BP34">
        <f>IFERROR(SUM(BN5:BN34),"")</f>
        <v>0</v>
      </c>
      <c r="BR34">
        <v>30</v>
      </c>
      <c r="BS34" cm="1">
        <f t="array" ref="BS34">_xlfn.SWITCH(Charts!$B$3,"average", AVERAGE(INDIRECT(ADDRESS(29+3,BS$2+1,,,"Instances") &amp; ":" &amp; ADDRESS(29+3,BS$2+1))),"median", MEDIAN(INDIRECT(ADDRESS(29+3,BS$2+1,,,"Instances") &amp; ":" &amp; ADDRESS(29+3,BS$2+1))),"min", MIN(INDIRECT(ADDRESS(29+3,BS$2+1,,,"Instances") &amp; ":" &amp; ADDRESS(29+3,BS$2+1))),"max", MAX(INDIRECT(ADDRESS(29+3,BS$2+1,,,"Instances") &amp; ":" &amp; ADDRESS(29+3,BS$2+1))),"diff", MAX(INDIRECT(ADDRESS(29+3,BS$2+1,,,"Instances") &amp; ":" &amp; ADDRESS(29+3,BS$2+1)))-MIN(INDIRECT(ADDRESS(29+3,BS$2+1,,,"Instances") &amp; ":" &amp; ADDRESS(29+3,BS$2+1))))</f>
        <v>0</v>
      </c>
      <c r="BT34">
        <f>IFERROR(SMALL(BS5:BS44,ROW()-ROW($BT$5)+1),"")</f>
        <v>0</v>
      </c>
      <c r="BV34">
        <f>IFERROR(SUM(BT5:BT34),"")</f>
        <v>0</v>
      </c>
      <c r="BW34" cm="1">
        <f t="array" ref="BW34">_xlfn.SWITCH(Charts!$B$3,"average", AVERAGE(INDIRECT(ADDRESS(29+3,BW$2+1,,,"Instances") &amp; ":" &amp; ADDRESS(29+3,BW$2+1))),"median", MEDIAN(INDIRECT(ADDRESS(29+3,BW$2+1,,,"Instances") &amp; ":" &amp; ADDRESS(29+3,BW$2+1))),"min", MIN(INDIRECT(ADDRESS(29+3,BW$2+1,,,"Instances") &amp; ":" &amp; ADDRESS(29+3,BW$2+1))),"max", MAX(INDIRECT(ADDRESS(29+3,BW$2+1,,,"Instances") &amp; ":" &amp; ADDRESS(29+3,BW$2+1))),"diff", MAX(INDIRECT(ADDRESS(29+3,BW$2+1,,,"Instances") &amp; ":" &amp; ADDRESS(29+3,BW$2+1)))-MIN(INDIRECT(ADDRESS(29+3,BW$2+1,,,"Instances") &amp; ":" &amp; ADDRESS(29+3,BW$2+1))))</f>
        <v>0</v>
      </c>
      <c r="BX34">
        <f>IFERROR(SMALL(BW5:BW44,ROW()-ROW($BX$5)+1),"")</f>
        <v>0</v>
      </c>
      <c r="BZ34">
        <f>IFERROR(SUM(BX5:BX34),"")</f>
        <v>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IFERROR(SMALL(CA5:CA44,ROW()-ROW($CB$5)+1),"")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IFERROR(SMALL(CE5:CE44,ROW()-ROW($CF$5)+1),"")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IFERROR(SMALL(CI5:CI44,ROW()-ROW($CJ$5)+1),"")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IFERROR(SMALL(CM5:CM44,ROW()-ROW($CN$5)+1),"")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IFERROR(SMALL(CQ5:CQ44,ROW()-ROW($CR$5)+1),"")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IFERROR(SMALL(CU5:CU44,ROW()-ROW($CV$5)+1),"")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IFERROR(SMALL(CY5:CY44,ROW()-ROW($CZ$5)+1),"")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IFERROR(SMALL(DC5:DC44,ROW()-ROW($DD$5)+1),"")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IFERROR(SMALL(DG5:DG44,ROW()-ROW($DH$5)+1),"")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IFERROR(SMALL(DK5:DK44,ROW()-ROW($DL$5)+1),"")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IFERROR(SMALL(DO5:DO44,ROW()-ROW($DP$5)+1),"")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IFERROR(SMALL(DS5:DS44,ROW()-ROW($DT$5)+1),"")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IFERROR(SMALL(DW5:DW44,ROW()-ROW($DX$5)+1),"")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IFERROR(SMALL(EA5:EA44,ROW()-ROW($EB$5)+1),"")</f>
        <v>0</v>
      </c>
      <c r="ED34">
        <f>IFERROR(SUM(EB5:EB34),"")</f>
        <v>0</v>
      </c>
      <c r="EG34">
        <f>IF(Charts!$B$3="none",E241,IF(BS241="",NA(),BS241))</f>
        <v>0</v>
      </c>
      <c r="EH34">
        <f>IF(Charts!$B$3="none",F241,IF(BT241="",NA(),BT241))</f>
        <v>0</v>
      </c>
      <c r="EI34">
        <f>IF(Charts!$B$3="none",G241,IF(BU241="",NA(),BU241))</f>
        <v>0</v>
      </c>
      <c r="EJ34">
        <f>IF(Charts!$B$3="none",H241,IF(BV241="",NA(),BV241))</f>
        <v>0</v>
      </c>
      <c r="EK34">
        <f>IF(Charts!$B$3="none",I241,IF(BW241="",NA(),BW241))</f>
        <v>0</v>
      </c>
      <c r="EL34">
        <f>IF(Charts!$B$3="none",J241,IF(BX241="",NA(),BX241))</f>
        <v>0</v>
      </c>
      <c r="EM34">
        <f>IF(Charts!$B$3="none",K241,IF(BY241="",NA(),BY241))</f>
        <v>0</v>
      </c>
      <c r="EN34">
        <f>IF(Charts!$B$3="none",L241,IF(BZ241="",NA(),BZ241))</f>
        <v>0</v>
      </c>
      <c r="EO34">
        <f>IF(Charts!$B$3="none",M241,IF(CA241="",NA(),CA241))</f>
        <v>0</v>
      </c>
      <c r="EP34">
        <f>IF(Charts!$B$3="none",N241,IF(CB241="",NA(),CB241))</f>
        <v>0</v>
      </c>
      <c r="EQ34">
        <f>IF(Charts!$B$3="none",O241,IF(CC241="",NA(),CC241))</f>
        <v>0</v>
      </c>
      <c r="ER34">
        <f>IF(Charts!$B$3="none",P241,IF(CD241="",NA(),CD241))</f>
        <v>0</v>
      </c>
      <c r="ES34">
        <f>IF(Charts!$B$3="none",Q241,IF(CE241="",NA(),CE241))</f>
        <v>0</v>
      </c>
      <c r="ET34">
        <f>IF(Charts!$B$3="none",R241,IF(CF241="",NA(),CF241))</f>
        <v>0</v>
      </c>
      <c r="EU34">
        <f>IF(Charts!$B$3="none",S241,IF(CG241="",NA(),CG241))</f>
        <v>0</v>
      </c>
      <c r="EV34">
        <f>IF(Charts!$B$3="none",T241,IF(CH241="",NA(),CH241))</f>
        <v>0</v>
      </c>
      <c r="EW34">
        <f>IF(Charts!$B$3="none",U241,IF(CI241="",NA(),CI241))</f>
        <v>0</v>
      </c>
      <c r="EX34">
        <f>IF(Charts!$B$3="none",V241,IF(CJ241="",NA(),CJ241))</f>
        <v>0</v>
      </c>
      <c r="EY34">
        <f>IF(Charts!$B$3="none",W241,IF(CK241="",NA(),CK241))</f>
        <v>0</v>
      </c>
      <c r="EZ34">
        <f>IF(Charts!$B$3="none",X241,IF(CL241="",NA(),CL241))</f>
        <v>0</v>
      </c>
      <c r="FA34">
        <f>IF(Charts!$B$3="none",Y241,IF(CM241="",NA(),CM241))</f>
        <v>0</v>
      </c>
      <c r="FB34">
        <f>IF(Charts!$B$3="none",Z241,IF(CN241="",NA(),CN241))</f>
        <v>0</v>
      </c>
      <c r="FC34">
        <f>IF(Charts!$B$3="none",AA241,IF(CO241="",NA(),CO241))</f>
        <v>0</v>
      </c>
      <c r="FD34">
        <f>IF(Charts!$B$3="none",AB241,IF(CP241="",NA(),CP241))</f>
        <v>0</v>
      </c>
      <c r="FE34">
        <f>IF(Charts!$B$3="none",AC241,IF(CQ241="",NA(),CQ241))</f>
        <v>0</v>
      </c>
      <c r="FF34">
        <f>IF(Charts!$B$3="none",AD241,IF(CR241="",NA(),CR241))</f>
        <v>0</v>
      </c>
      <c r="FG34">
        <f>IF(Charts!$B$3="none",AE241,IF(CS241="",NA(),CS241))</f>
        <v>0</v>
      </c>
      <c r="FH34">
        <f>IF(Charts!$B$3="none",AF241,IF(CT241="",NA(),CT241))</f>
        <v>0</v>
      </c>
      <c r="FI34">
        <f>IF(Charts!$B$3="none",AG241,IF(CU241="",NA(),CU241))</f>
        <v>0</v>
      </c>
      <c r="FJ34">
        <f>IF(Charts!$B$3="none",AH241,IF(CV241="",NA(),CV241))</f>
        <v>0</v>
      </c>
      <c r="FK34">
        <f>IF(Charts!$B$3="none",AI241,IF(CW241="",NA(),CW241))</f>
        <v>0</v>
      </c>
      <c r="FL34">
        <f>IF(Charts!$B$3="none",AJ241,IF(CX241="",NA(),CX241))</f>
        <v>0</v>
      </c>
      <c r="FM34">
        <f>IF(Charts!$B$3="none",AK241,IF(CY241="",NA(),CY241))</f>
        <v>0</v>
      </c>
      <c r="FN34">
        <f>IF(Charts!$B$3="none",AL241,IF(CZ241="",NA(),CZ241))</f>
        <v>0</v>
      </c>
      <c r="FO34">
        <f>IF(Charts!$B$3="none",AM241,IF(DA241="",NA(),DA241))</f>
        <v>0</v>
      </c>
      <c r="FP34">
        <f>IF(Charts!$B$3="none",AN241,IF(DB241="",NA(),DB241))</f>
        <v>0</v>
      </c>
      <c r="FQ34">
        <f>IF(Charts!$B$3="none",AO241,IF(DC241="",NA(),DC241))</f>
        <v>0</v>
      </c>
      <c r="FR34">
        <f>IF(Charts!$B$3="none",AP241,IF(DD241="",NA(),DD241))</f>
        <v>0</v>
      </c>
      <c r="FS34">
        <f>IF(Charts!$B$3="none",AQ241,IF(DE241="",NA(),DE241))</f>
        <v>0</v>
      </c>
      <c r="FT34">
        <f>IF(Charts!$B$3="none",AR241,IF(DF241="",NA(),DF241))</f>
        <v>0</v>
      </c>
      <c r="FU34">
        <f>IF(Charts!$B$3="none",AS241,IF(DG241="",NA(),DG241))</f>
        <v>0</v>
      </c>
      <c r="FV34">
        <f>IF(Charts!$B$3="none",AT241,IF(DH241="",NA(),DH241))</f>
        <v>0</v>
      </c>
      <c r="FW34">
        <f>IF(Charts!$B$3="none",AU241,IF(DI241="",NA(),DI241))</f>
        <v>0</v>
      </c>
      <c r="FX34">
        <f>IF(Charts!$B$3="none",AV241,IF(DJ241="",NA(),DJ241))</f>
        <v>0</v>
      </c>
      <c r="FY34">
        <f>IF(Charts!$B$3="none",AW241,IF(DK241="",NA(),DK241))</f>
        <v>0</v>
      </c>
      <c r="FZ34">
        <f>IF(Charts!$B$3="none",AX241,IF(DL241="",NA(),DL241))</f>
        <v>0</v>
      </c>
      <c r="GA34">
        <f>IF(Charts!$B$3="none",AY241,IF(DM241="",NA(),DM241))</f>
        <v>0</v>
      </c>
      <c r="GB34">
        <f>IF(Charts!$B$3="none",AZ241,IF(DN241="",NA(),DN241))</f>
        <v>0</v>
      </c>
      <c r="GC34">
        <f>IF(Charts!$B$3="none",BA241,IF(DO241="",NA(),DO241))</f>
        <v>0</v>
      </c>
      <c r="GD34">
        <f>IF(Charts!$B$3="none",BB241,IF(DP241="",NA(),DP241))</f>
        <v>0</v>
      </c>
      <c r="GE34">
        <f>IF(Charts!$B$3="none",BC241,IF(DQ241="",NA(),DQ241))</f>
        <v>0</v>
      </c>
      <c r="GF34">
        <f>IF(Charts!$B$3="none",BD241,IF(DR241="",NA(),DR241))</f>
        <v>0</v>
      </c>
      <c r="GG34">
        <f>IF(Charts!$B$3="none",BE241,IF(DS241="",NA(),DS241))</f>
        <v>0</v>
      </c>
      <c r="GH34">
        <f>IF(Charts!$B$3="none",BF241,IF(DT241="",NA(),DT241))</f>
        <v>0</v>
      </c>
      <c r="GI34">
        <f>IF(Charts!$B$3="none",BG241,IF(DU241="",NA(),DU241))</f>
        <v>0</v>
      </c>
      <c r="GJ34">
        <f>IF(Charts!$B$3="none",BH241,IF(DV241="",NA(),DV241))</f>
        <v>0</v>
      </c>
      <c r="GK34">
        <f>IF(Charts!$B$3="none",BI241,IF(DW241="",NA(),DW241))</f>
        <v>0</v>
      </c>
      <c r="GL34">
        <f>IF(Charts!$B$3="none",BJ241,IF(DX241="",NA(),DX241))</f>
        <v>0</v>
      </c>
      <c r="GM34">
        <f>IF(Charts!$B$3="none",BK241,IF(DY241="",NA(),DY241))</f>
        <v>0</v>
      </c>
      <c r="GN34">
        <f>IF(Charts!$B$3="none",BL241,IF(DZ241="",NA(),DZ241))</f>
        <v>0</v>
      </c>
      <c r="GO34">
        <f>IF(Charts!$B$3="none",BM241,IF(EA241="",NA(),EA241))</f>
        <v>0</v>
      </c>
      <c r="GP34">
        <f>IF(Charts!$B$3="none",BN241,IF(EB241="",NA(),EB241))</f>
        <v>0</v>
      </c>
      <c r="GQ34">
        <f>IF(Charts!$B$3="none",BO241,IF(EC241="",NA(),EC241))</f>
        <v>0</v>
      </c>
      <c r="GR34">
        <f>IF(Charts!$B$3="none",BP241,IF(ED241="",NA(),ED241))</f>
        <v>0</v>
      </c>
    </row>
    <row r="35" spans="4:200">
      <c r="D35">
        <v>31</v>
      </c>
      <c r="E35">
        <f>IF(INDIRECT(ADDRESS($D35+2,E$2+1,,,"Instances"))="","",INDIRECT(ADDRESS($D35+2,E$2+1,,,"Instances")))</f>
        <v>0</v>
      </c>
      <c r="F35">
        <f>IFERROR(SMALL(E5:E44,ROW()-ROW($F$5)+1),"")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IFERROR(SMALL(I5:I44,ROW()-ROW($J$5)+1),"")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IFERROR(SMALL(M5:M44,ROW()-ROW($N$5)+1),"")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IFERROR(SMALL(Q5:Q44,ROW()-ROW($R$5)+1),"")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IFERROR(SMALL(U5:U44,ROW()-ROW($V$5)+1),"")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IFERROR(SMALL(Y5:Y44,ROW()-ROW($Z$5)+1),"")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IFERROR(SMALL(AC5:AC44,ROW()-ROW($AD$5)+1),"")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IFERROR(SMALL(AG5:AG44,ROW()-ROW($AH$5)+1),"")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IFERROR(SMALL(AK5:AK44,ROW()-ROW($AL$5)+1),"")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IFERROR(SMALL(AO5:AO44,ROW()-ROW($AP$5)+1),"")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IFERROR(SMALL(AS5:AS44,ROW()-ROW($AT$5)+1),"")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IFERROR(SMALL(AW5:AW44,ROW()-ROW($AX$5)+1),"")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IFERROR(SMALL(BA5:BA44,ROW()-ROW($BB$5)+1),"")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IFERROR(SMALL(BE5:BE44,ROW()-ROW($BF$5)+1),"")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IFERROR(SMALL(BI5:BI44,ROW()-ROW($BJ$5)+1),"")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IFERROR(SMALL(BM5:BM44,ROW()-ROW($BN$5)+1),"")</f>
        <v>0</v>
      </c>
      <c r="BP35">
        <f>IFERROR(SUM(BN5:BN35),"")</f>
        <v>0</v>
      </c>
      <c r="BR35">
        <v>31</v>
      </c>
      <c r="BS35" cm="1">
        <f t="array" ref="BS35">_xlfn.SWITCH(Charts!$B$3,"average", AVERAGE(INDIRECT(ADDRESS(30+3,BS$2+1,,,"Instances") &amp; ":" &amp; ADDRESS(30+3,BS$2+1))),"median", MEDIAN(INDIRECT(ADDRESS(30+3,BS$2+1,,,"Instances") &amp; ":" &amp; ADDRESS(30+3,BS$2+1))),"min", MIN(INDIRECT(ADDRESS(30+3,BS$2+1,,,"Instances") &amp; ":" &amp; ADDRESS(30+3,BS$2+1))),"max", MAX(INDIRECT(ADDRESS(30+3,BS$2+1,,,"Instances") &amp; ":" &amp; ADDRESS(30+3,BS$2+1))),"diff", MAX(INDIRECT(ADDRESS(30+3,BS$2+1,,,"Instances") &amp; ":" &amp; ADDRESS(30+3,BS$2+1)))-MIN(INDIRECT(ADDRESS(30+3,BS$2+1,,,"Instances") &amp; ":" &amp; ADDRESS(30+3,BS$2+1))))</f>
        <v>0</v>
      </c>
      <c r="BT35">
        <f>IFERROR(SMALL(BS5:BS44,ROW()-ROW($BT$5)+1),"")</f>
        <v>0</v>
      </c>
      <c r="BV35">
        <f>IFERROR(SUM(BT5:BT35),"")</f>
        <v>0</v>
      </c>
      <c r="BW35" cm="1">
        <f t="array" ref="BW35">_xlfn.SWITCH(Charts!$B$3,"average", AVERAGE(INDIRECT(ADDRESS(30+3,BW$2+1,,,"Instances") &amp; ":" &amp; ADDRESS(30+3,BW$2+1))),"median", MEDIAN(INDIRECT(ADDRESS(30+3,BW$2+1,,,"Instances") &amp; ":" &amp; ADDRESS(30+3,BW$2+1))),"min", MIN(INDIRECT(ADDRESS(30+3,BW$2+1,,,"Instances") &amp; ":" &amp; ADDRESS(30+3,BW$2+1))),"max", MAX(INDIRECT(ADDRESS(30+3,BW$2+1,,,"Instances") &amp; ":" &amp; ADDRESS(30+3,BW$2+1))),"diff", MAX(INDIRECT(ADDRESS(30+3,BW$2+1,,,"Instances") &amp; ":" &amp; ADDRESS(30+3,BW$2+1)))-MIN(INDIRECT(ADDRESS(30+3,BW$2+1,,,"Instances") &amp; ":" &amp; ADDRESS(30+3,BW$2+1))))</f>
        <v>0</v>
      </c>
      <c r="BX35">
        <f>IFERROR(SMALL(BW5:BW44,ROW()-ROW($BX$5)+1),"")</f>
        <v>0</v>
      </c>
      <c r="BZ35">
        <f>IFERROR(SUM(BX5:BX35),"")</f>
        <v>0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IFERROR(SMALL(CA5:CA44,ROW()-ROW($CB$5)+1),"")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IFERROR(SMALL(CE5:CE44,ROW()-ROW($CF$5)+1),"")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IFERROR(SMALL(CI5:CI44,ROW()-ROW($CJ$5)+1),"")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IFERROR(SMALL(CM5:CM44,ROW()-ROW($CN$5)+1),"")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IFERROR(SMALL(CQ5:CQ44,ROW()-ROW($CR$5)+1),"")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IFERROR(SMALL(CU5:CU44,ROW()-ROW($CV$5)+1),"")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IFERROR(SMALL(CY5:CY44,ROW()-ROW($CZ$5)+1),"")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IFERROR(SMALL(DC5:DC44,ROW()-ROW($DD$5)+1),"")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IFERROR(SMALL(DG5:DG44,ROW()-ROW($DH$5)+1),"")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IFERROR(SMALL(DK5:DK44,ROW()-ROW($DL$5)+1),"")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IFERROR(SMALL(DO5:DO44,ROW()-ROW($DP$5)+1),"")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IFERROR(SMALL(DS5:DS44,ROW()-ROW($DT$5)+1),"")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IFERROR(SMALL(DW5:DW44,ROW()-ROW($DX$5)+1),"")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IFERROR(SMALL(EA5:EA44,ROW()-ROW($EB$5)+1),"")</f>
        <v>0</v>
      </c>
      <c r="ED35">
        <f>IFERROR(SUM(EB5:EB35),"")</f>
        <v>0</v>
      </c>
      <c r="EG35">
        <f>IF(Charts!$B$3="none",E242,IF(BS242="",NA(),BS242))</f>
        <v>0</v>
      </c>
      <c r="EH35">
        <f>IF(Charts!$B$3="none",F242,IF(BT242="",NA(),BT242))</f>
        <v>0</v>
      </c>
      <c r="EI35">
        <f>IF(Charts!$B$3="none",G242,IF(BU242="",NA(),BU242))</f>
        <v>0</v>
      </c>
      <c r="EJ35">
        <f>IF(Charts!$B$3="none",H242,IF(BV242="",NA(),BV242))</f>
        <v>0</v>
      </c>
      <c r="EK35">
        <f>IF(Charts!$B$3="none",I242,IF(BW242="",NA(),BW242))</f>
        <v>0</v>
      </c>
      <c r="EL35">
        <f>IF(Charts!$B$3="none",J242,IF(BX242="",NA(),BX242))</f>
        <v>0</v>
      </c>
      <c r="EM35">
        <f>IF(Charts!$B$3="none",K242,IF(BY242="",NA(),BY242))</f>
        <v>0</v>
      </c>
      <c r="EN35">
        <f>IF(Charts!$B$3="none",L242,IF(BZ242="",NA(),BZ242))</f>
        <v>0</v>
      </c>
      <c r="EO35">
        <f>IF(Charts!$B$3="none",M242,IF(CA242="",NA(),CA242))</f>
        <v>0</v>
      </c>
      <c r="EP35">
        <f>IF(Charts!$B$3="none",N242,IF(CB242="",NA(),CB242))</f>
        <v>0</v>
      </c>
      <c r="EQ35">
        <f>IF(Charts!$B$3="none",O242,IF(CC242="",NA(),CC242))</f>
        <v>0</v>
      </c>
      <c r="ER35">
        <f>IF(Charts!$B$3="none",P242,IF(CD242="",NA(),CD242))</f>
        <v>0</v>
      </c>
      <c r="ES35">
        <f>IF(Charts!$B$3="none",Q242,IF(CE242="",NA(),CE242))</f>
        <v>0</v>
      </c>
      <c r="ET35">
        <f>IF(Charts!$B$3="none",R242,IF(CF242="",NA(),CF242))</f>
        <v>0</v>
      </c>
      <c r="EU35">
        <f>IF(Charts!$B$3="none",S242,IF(CG242="",NA(),CG242))</f>
        <v>0</v>
      </c>
      <c r="EV35">
        <f>IF(Charts!$B$3="none",T242,IF(CH242="",NA(),CH242))</f>
        <v>0</v>
      </c>
      <c r="EW35">
        <f>IF(Charts!$B$3="none",U242,IF(CI242="",NA(),CI242))</f>
        <v>0</v>
      </c>
      <c r="EX35">
        <f>IF(Charts!$B$3="none",V242,IF(CJ242="",NA(),CJ242))</f>
        <v>0</v>
      </c>
      <c r="EY35">
        <f>IF(Charts!$B$3="none",W242,IF(CK242="",NA(),CK242))</f>
        <v>0</v>
      </c>
      <c r="EZ35">
        <f>IF(Charts!$B$3="none",X242,IF(CL242="",NA(),CL242))</f>
        <v>0</v>
      </c>
      <c r="FA35">
        <f>IF(Charts!$B$3="none",Y242,IF(CM242="",NA(),CM242))</f>
        <v>0</v>
      </c>
      <c r="FB35">
        <f>IF(Charts!$B$3="none",Z242,IF(CN242="",NA(),CN242))</f>
        <v>0</v>
      </c>
      <c r="FC35">
        <f>IF(Charts!$B$3="none",AA242,IF(CO242="",NA(),CO242))</f>
        <v>0</v>
      </c>
      <c r="FD35">
        <f>IF(Charts!$B$3="none",AB242,IF(CP242="",NA(),CP242))</f>
        <v>0</v>
      </c>
      <c r="FE35">
        <f>IF(Charts!$B$3="none",AC242,IF(CQ242="",NA(),CQ242))</f>
        <v>0</v>
      </c>
      <c r="FF35">
        <f>IF(Charts!$B$3="none",AD242,IF(CR242="",NA(),CR242))</f>
        <v>0</v>
      </c>
      <c r="FG35">
        <f>IF(Charts!$B$3="none",AE242,IF(CS242="",NA(),CS242))</f>
        <v>0</v>
      </c>
      <c r="FH35">
        <f>IF(Charts!$B$3="none",AF242,IF(CT242="",NA(),CT242))</f>
        <v>0</v>
      </c>
      <c r="FI35">
        <f>IF(Charts!$B$3="none",AG242,IF(CU242="",NA(),CU242))</f>
        <v>0</v>
      </c>
      <c r="FJ35">
        <f>IF(Charts!$B$3="none",AH242,IF(CV242="",NA(),CV242))</f>
        <v>0</v>
      </c>
      <c r="FK35">
        <f>IF(Charts!$B$3="none",AI242,IF(CW242="",NA(),CW242))</f>
        <v>0</v>
      </c>
      <c r="FL35">
        <f>IF(Charts!$B$3="none",AJ242,IF(CX242="",NA(),CX242))</f>
        <v>0</v>
      </c>
      <c r="FM35">
        <f>IF(Charts!$B$3="none",AK242,IF(CY242="",NA(),CY242))</f>
        <v>0</v>
      </c>
      <c r="FN35">
        <f>IF(Charts!$B$3="none",AL242,IF(CZ242="",NA(),CZ242))</f>
        <v>0</v>
      </c>
      <c r="FO35">
        <f>IF(Charts!$B$3="none",AM242,IF(DA242="",NA(),DA242))</f>
        <v>0</v>
      </c>
      <c r="FP35">
        <f>IF(Charts!$B$3="none",AN242,IF(DB242="",NA(),DB242))</f>
        <v>0</v>
      </c>
      <c r="FQ35">
        <f>IF(Charts!$B$3="none",AO242,IF(DC242="",NA(),DC242))</f>
        <v>0</v>
      </c>
      <c r="FR35">
        <f>IF(Charts!$B$3="none",AP242,IF(DD242="",NA(),DD242))</f>
        <v>0</v>
      </c>
      <c r="FS35">
        <f>IF(Charts!$B$3="none",AQ242,IF(DE242="",NA(),DE242))</f>
        <v>0</v>
      </c>
      <c r="FT35">
        <f>IF(Charts!$B$3="none",AR242,IF(DF242="",NA(),DF242))</f>
        <v>0</v>
      </c>
      <c r="FU35">
        <f>IF(Charts!$B$3="none",AS242,IF(DG242="",NA(),DG242))</f>
        <v>0</v>
      </c>
      <c r="FV35">
        <f>IF(Charts!$B$3="none",AT242,IF(DH242="",NA(),DH242))</f>
        <v>0</v>
      </c>
      <c r="FW35">
        <f>IF(Charts!$B$3="none",AU242,IF(DI242="",NA(),DI242))</f>
        <v>0</v>
      </c>
      <c r="FX35">
        <f>IF(Charts!$B$3="none",AV242,IF(DJ242="",NA(),DJ242))</f>
        <v>0</v>
      </c>
      <c r="FY35">
        <f>IF(Charts!$B$3="none",AW242,IF(DK242="",NA(),DK242))</f>
        <v>0</v>
      </c>
      <c r="FZ35">
        <f>IF(Charts!$B$3="none",AX242,IF(DL242="",NA(),DL242))</f>
        <v>0</v>
      </c>
      <c r="GA35">
        <f>IF(Charts!$B$3="none",AY242,IF(DM242="",NA(),DM242))</f>
        <v>0</v>
      </c>
      <c r="GB35">
        <f>IF(Charts!$B$3="none",AZ242,IF(DN242="",NA(),DN242))</f>
        <v>0</v>
      </c>
      <c r="GC35">
        <f>IF(Charts!$B$3="none",BA242,IF(DO242="",NA(),DO242))</f>
        <v>0</v>
      </c>
      <c r="GD35">
        <f>IF(Charts!$B$3="none",BB242,IF(DP242="",NA(),DP242))</f>
        <v>0</v>
      </c>
      <c r="GE35">
        <f>IF(Charts!$B$3="none",BC242,IF(DQ242="",NA(),DQ242))</f>
        <v>0</v>
      </c>
      <c r="GF35">
        <f>IF(Charts!$B$3="none",BD242,IF(DR242="",NA(),DR242))</f>
        <v>0</v>
      </c>
      <c r="GG35">
        <f>IF(Charts!$B$3="none",BE242,IF(DS242="",NA(),DS242))</f>
        <v>0</v>
      </c>
      <c r="GH35">
        <f>IF(Charts!$B$3="none",BF242,IF(DT242="",NA(),DT242))</f>
        <v>0</v>
      </c>
      <c r="GI35">
        <f>IF(Charts!$B$3="none",BG242,IF(DU242="",NA(),DU242))</f>
        <v>0</v>
      </c>
      <c r="GJ35">
        <f>IF(Charts!$B$3="none",BH242,IF(DV242="",NA(),DV242))</f>
        <v>0</v>
      </c>
      <c r="GK35">
        <f>IF(Charts!$B$3="none",BI242,IF(DW242="",NA(),DW242))</f>
        <v>0</v>
      </c>
      <c r="GL35">
        <f>IF(Charts!$B$3="none",BJ242,IF(DX242="",NA(),DX242))</f>
        <v>0</v>
      </c>
      <c r="GM35">
        <f>IF(Charts!$B$3="none",BK242,IF(DY242="",NA(),DY242))</f>
        <v>0</v>
      </c>
      <c r="GN35">
        <f>IF(Charts!$B$3="none",BL242,IF(DZ242="",NA(),DZ242))</f>
        <v>0</v>
      </c>
      <c r="GO35">
        <f>IF(Charts!$B$3="none",BM242,IF(EA242="",NA(),EA242))</f>
        <v>0</v>
      </c>
      <c r="GP35">
        <f>IF(Charts!$B$3="none",BN242,IF(EB242="",NA(),EB242))</f>
        <v>0</v>
      </c>
      <c r="GQ35">
        <f>IF(Charts!$B$3="none",BO242,IF(EC242="",NA(),EC242))</f>
        <v>0</v>
      </c>
      <c r="GR35">
        <f>IF(Charts!$B$3="none",BP242,IF(ED242="",NA(),ED242))</f>
        <v>0</v>
      </c>
    </row>
    <row r="36" spans="4:200">
      <c r="D36">
        <v>32</v>
      </c>
      <c r="E36">
        <f>IF(INDIRECT(ADDRESS($D36+2,E$2+1,,,"Instances"))="","",INDIRECT(ADDRESS($D36+2,E$2+1,,,"Instances")))</f>
        <v>0</v>
      </c>
      <c r="F36">
        <f>IFERROR(SMALL(E5:E44,ROW()-ROW($F$5)+1),"")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IFERROR(SMALL(I5:I44,ROW()-ROW($J$5)+1),"")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IFERROR(SMALL(M5:M44,ROW()-ROW($N$5)+1),"")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IFERROR(SMALL(Q5:Q44,ROW()-ROW($R$5)+1),"")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IFERROR(SMALL(U5:U44,ROW()-ROW($V$5)+1),"")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IFERROR(SMALL(Y5:Y44,ROW()-ROW($Z$5)+1),"")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IFERROR(SMALL(AC5:AC44,ROW()-ROW($AD$5)+1),"")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IFERROR(SMALL(AG5:AG44,ROW()-ROW($AH$5)+1),"")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IFERROR(SMALL(AK5:AK44,ROW()-ROW($AL$5)+1),"")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IFERROR(SMALL(AO5:AO44,ROW()-ROW($AP$5)+1),"")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IFERROR(SMALL(AS5:AS44,ROW()-ROW($AT$5)+1),"")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IFERROR(SMALL(AW5:AW44,ROW()-ROW($AX$5)+1),"")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IFERROR(SMALL(BA5:BA44,ROW()-ROW($BB$5)+1),"")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IFERROR(SMALL(BE5:BE44,ROW()-ROW($BF$5)+1),"")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IFERROR(SMALL(BI5:BI44,ROW()-ROW($BJ$5)+1),"")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IFERROR(SMALL(BM5:BM44,ROW()-ROW($BN$5)+1),"")</f>
        <v>0</v>
      </c>
      <c r="BP36">
        <f>IFERROR(SUM(BN5:BN36),"")</f>
        <v>0</v>
      </c>
      <c r="BR36">
        <v>32</v>
      </c>
      <c r="BS36" cm="1">
        <f t="array" ref="BS36">_xlfn.SWITCH(Charts!$B$3,"average", AVERAGE(INDIRECT(ADDRESS(31+3,BS$2+1,,,"Instances") &amp; ":" &amp; ADDRESS(31+3,BS$2+1))),"median", MEDIAN(INDIRECT(ADDRESS(31+3,BS$2+1,,,"Instances") &amp; ":" &amp; ADDRESS(31+3,BS$2+1))),"min", MIN(INDIRECT(ADDRESS(31+3,BS$2+1,,,"Instances") &amp; ":" &amp; ADDRESS(31+3,BS$2+1))),"max", MAX(INDIRECT(ADDRESS(31+3,BS$2+1,,,"Instances") &amp; ":" &amp; ADDRESS(31+3,BS$2+1))),"diff", MAX(INDIRECT(ADDRESS(31+3,BS$2+1,,,"Instances") &amp; ":" &amp; ADDRESS(31+3,BS$2+1)))-MIN(INDIRECT(ADDRESS(31+3,BS$2+1,,,"Instances") &amp; ":" &amp; ADDRESS(31+3,BS$2+1))))</f>
        <v>0</v>
      </c>
      <c r="BT36">
        <f>IFERROR(SMALL(BS5:BS44,ROW()-ROW($BT$5)+1),"")</f>
        <v>0</v>
      </c>
      <c r="BV36">
        <f>IFERROR(SUM(BT5:BT36),"")</f>
        <v>0</v>
      </c>
      <c r="BW36" cm="1">
        <f t="array" ref="BW36">_xlfn.SWITCH(Charts!$B$3,"average", AVERAGE(INDIRECT(ADDRESS(31+3,BW$2+1,,,"Instances") &amp; ":" &amp; ADDRESS(31+3,BW$2+1))),"median", MEDIAN(INDIRECT(ADDRESS(31+3,BW$2+1,,,"Instances") &amp; ":" &amp; ADDRESS(31+3,BW$2+1))),"min", MIN(INDIRECT(ADDRESS(31+3,BW$2+1,,,"Instances") &amp; ":" &amp; ADDRESS(31+3,BW$2+1))),"max", MAX(INDIRECT(ADDRESS(31+3,BW$2+1,,,"Instances") &amp; ":" &amp; ADDRESS(31+3,BW$2+1))),"diff", MAX(INDIRECT(ADDRESS(31+3,BW$2+1,,,"Instances") &amp; ":" &amp; ADDRESS(31+3,BW$2+1)))-MIN(INDIRECT(ADDRESS(31+3,BW$2+1,,,"Instances") &amp; ":" &amp; ADDRESS(31+3,BW$2+1))))</f>
        <v>0</v>
      </c>
      <c r="BX36">
        <f>IFERROR(SMALL(BW5:BW44,ROW()-ROW($BX$5)+1),"")</f>
        <v>0</v>
      </c>
      <c r="BZ36">
        <f>IFERROR(SUM(BX5:BX36),"")</f>
        <v>0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IFERROR(SMALL(CA5:CA44,ROW()-ROW($CB$5)+1),"")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IFERROR(SMALL(CE5:CE44,ROW()-ROW($CF$5)+1),"")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IFERROR(SMALL(CI5:CI44,ROW()-ROW($CJ$5)+1),"")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IFERROR(SMALL(CM5:CM44,ROW()-ROW($CN$5)+1),"")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IFERROR(SMALL(CQ5:CQ44,ROW()-ROW($CR$5)+1),"")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IFERROR(SMALL(CU5:CU44,ROW()-ROW($CV$5)+1),"")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IFERROR(SMALL(CY5:CY44,ROW()-ROW($CZ$5)+1),"")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IFERROR(SMALL(DC5:DC44,ROW()-ROW($DD$5)+1),"")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IFERROR(SMALL(DG5:DG44,ROW()-ROW($DH$5)+1),"")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IFERROR(SMALL(DK5:DK44,ROW()-ROW($DL$5)+1),"")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IFERROR(SMALL(DO5:DO44,ROW()-ROW($DP$5)+1),"")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IFERROR(SMALL(DS5:DS44,ROW()-ROW($DT$5)+1),"")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IFERROR(SMALL(DW5:DW44,ROW()-ROW($DX$5)+1),"")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IFERROR(SMALL(EA5:EA44,ROW()-ROW($EB$5)+1),"")</f>
        <v>0</v>
      </c>
      <c r="ED36">
        <f>IFERROR(SUM(EB5:EB36),"")</f>
        <v>0</v>
      </c>
      <c r="EG36">
        <f>IF(Charts!$B$3="none",E243,IF(BS243="",NA(),BS243))</f>
        <v>0</v>
      </c>
      <c r="EH36">
        <f>IF(Charts!$B$3="none",F243,IF(BT243="",NA(),BT243))</f>
        <v>0</v>
      </c>
      <c r="EI36">
        <f>IF(Charts!$B$3="none",G243,IF(BU243="",NA(),BU243))</f>
        <v>0</v>
      </c>
      <c r="EJ36">
        <f>IF(Charts!$B$3="none",H243,IF(BV243="",NA(),BV243))</f>
        <v>0</v>
      </c>
      <c r="EK36">
        <f>IF(Charts!$B$3="none",I243,IF(BW243="",NA(),BW243))</f>
        <v>0</v>
      </c>
      <c r="EL36">
        <f>IF(Charts!$B$3="none",J243,IF(BX243="",NA(),BX243))</f>
        <v>0</v>
      </c>
      <c r="EM36">
        <f>IF(Charts!$B$3="none",K243,IF(BY243="",NA(),BY243))</f>
        <v>0</v>
      </c>
      <c r="EN36">
        <f>IF(Charts!$B$3="none",L243,IF(BZ243="",NA(),BZ243))</f>
        <v>0</v>
      </c>
      <c r="EO36">
        <f>IF(Charts!$B$3="none",M243,IF(CA243="",NA(),CA243))</f>
        <v>0</v>
      </c>
      <c r="EP36">
        <f>IF(Charts!$B$3="none",N243,IF(CB243="",NA(),CB243))</f>
        <v>0</v>
      </c>
      <c r="EQ36">
        <f>IF(Charts!$B$3="none",O243,IF(CC243="",NA(),CC243))</f>
        <v>0</v>
      </c>
      <c r="ER36">
        <f>IF(Charts!$B$3="none",P243,IF(CD243="",NA(),CD243))</f>
        <v>0</v>
      </c>
      <c r="ES36">
        <f>IF(Charts!$B$3="none",Q243,IF(CE243="",NA(),CE243))</f>
        <v>0</v>
      </c>
      <c r="ET36">
        <f>IF(Charts!$B$3="none",R243,IF(CF243="",NA(),CF243))</f>
        <v>0</v>
      </c>
      <c r="EU36">
        <f>IF(Charts!$B$3="none",S243,IF(CG243="",NA(),CG243))</f>
        <v>0</v>
      </c>
      <c r="EV36">
        <f>IF(Charts!$B$3="none",T243,IF(CH243="",NA(),CH243))</f>
        <v>0</v>
      </c>
      <c r="EW36">
        <f>IF(Charts!$B$3="none",U243,IF(CI243="",NA(),CI243))</f>
        <v>0</v>
      </c>
      <c r="EX36">
        <f>IF(Charts!$B$3="none",V243,IF(CJ243="",NA(),CJ243))</f>
        <v>0</v>
      </c>
      <c r="EY36">
        <f>IF(Charts!$B$3="none",W243,IF(CK243="",NA(),CK243))</f>
        <v>0</v>
      </c>
      <c r="EZ36">
        <f>IF(Charts!$B$3="none",X243,IF(CL243="",NA(),CL243))</f>
        <v>0</v>
      </c>
      <c r="FA36">
        <f>IF(Charts!$B$3="none",Y243,IF(CM243="",NA(),CM243))</f>
        <v>0</v>
      </c>
      <c r="FB36">
        <f>IF(Charts!$B$3="none",Z243,IF(CN243="",NA(),CN243))</f>
        <v>0</v>
      </c>
      <c r="FC36">
        <f>IF(Charts!$B$3="none",AA243,IF(CO243="",NA(),CO243))</f>
        <v>0</v>
      </c>
      <c r="FD36">
        <f>IF(Charts!$B$3="none",AB243,IF(CP243="",NA(),CP243))</f>
        <v>0</v>
      </c>
      <c r="FE36">
        <f>IF(Charts!$B$3="none",AC243,IF(CQ243="",NA(),CQ243))</f>
        <v>0</v>
      </c>
      <c r="FF36">
        <f>IF(Charts!$B$3="none",AD243,IF(CR243="",NA(),CR243))</f>
        <v>0</v>
      </c>
      <c r="FG36">
        <f>IF(Charts!$B$3="none",AE243,IF(CS243="",NA(),CS243))</f>
        <v>0</v>
      </c>
      <c r="FH36">
        <f>IF(Charts!$B$3="none",AF243,IF(CT243="",NA(),CT243))</f>
        <v>0</v>
      </c>
      <c r="FI36">
        <f>IF(Charts!$B$3="none",AG243,IF(CU243="",NA(),CU243))</f>
        <v>0</v>
      </c>
      <c r="FJ36">
        <f>IF(Charts!$B$3="none",AH243,IF(CV243="",NA(),CV243))</f>
        <v>0</v>
      </c>
      <c r="FK36">
        <f>IF(Charts!$B$3="none",AI243,IF(CW243="",NA(),CW243))</f>
        <v>0</v>
      </c>
      <c r="FL36">
        <f>IF(Charts!$B$3="none",AJ243,IF(CX243="",NA(),CX243))</f>
        <v>0</v>
      </c>
      <c r="FM36">
        <f>IF(Charts!$B$3="none",AK243,IF(CY243="",NA(),CY243))</f>
        <v>0</v>
      </c>
      <c r="FN36">
        <f>IF(Charts!$B$3="none",AL243,IF(CZ243="",NA(),CZ243))</f>
        <v>0</v>
      </c>
      <c r="FO36">
        <f>IF(Charts!$B$3="none",AM243,IF(DA243="",NA(),DA243))</f>
        <v>0</v>
      </c>
      <c r="FP36">
        <f>IF(Charts!$B$3="none",AN243,IF(DB243="",NA(),DB243))</f>
        <v>0</v>
      </c>
      <c r="FQ36">
        <f>IF(Charts!$B$3="none",AO243,IF(DC243="",NA(),DC243))</f>
        <v>0</v>
      </c>
      <c r="FR36">
        <f>IF(Charts!$B$3="none",AP243,IF(DD243="",NA(),DD243))</f>
        <v>0</v>
      </c>
      <c r="FS36">
        <f>IF(Charts!$B$3="none",AQ243,IF(DE243="",NA(),DE243))</f>
        <v>0</v>
      </c>
      <c r="FT36">
        <f>IF(Charts!$B$3="none",AR243,IF(DF243="",NA(),DF243))</f>
        <v>0</v>
      </c>
      <c r="FU36">
        <f>IF(Charts!$B$3="none",AS243,IF(DG243="",NA(),DG243))</f>
        <v>0</v>
      </c>
      <c r="FV36">
        <f>IF(Charts!$B$3="none",AT243,IF(DH243="",NA(),DH243))</f>
        <v>0</v>
      </c>
      <c r="FW36">
        <f>IF(Charts!$B$3="none",AU243,IF(DI243="",NA(),DI243))</f>
        <v>0</v>
      </c>
      <c r="FX36">
        <f>IF(Charts!$B$3="none",AV243,IF(DJ243="",NA(),DJ243))</f>
        <v>0</v>
      </c>
      <c r="FY36">
        <f>IF(Charts!$B$3="none",AW243,IF(DK243="",NA(),DK243))</f>
        <v>0</v>
      </c>
      <c r="FZ36">
        <f>IF(Charts!$B$3="none",AX243,IF(DL243="",NA(),DL243))</f>
        <v>0</v>
      </c>
      <c r="GA36">
        <f>IF(Charts!$B$3="none",AY243,IF(DM243="",NA(),DM243))</f>
        <v>0</v>
      </c>
      <c r="GB36">
        <f>IF(Charts!$B$3="none",AZ243,IF(DN243="",NA(),DN243))</f>
        <v>0</v>
      </c>
      <c r="GC36">
        <f>IF(Charts!$B$3="none",BA243,IF(DO243="",NA(),DO243))</f>
        <v>0</v>
      </c>
      <c r="GD36">
        <f>IF(Charts!$B$3="none",BB243,IF(DP243="",NA(),DP243))</f>
        <v>0</v>
      </c>
      <c r="GE36">
        <f>IF(Charts!$B$3="none",BC243,IF(DQ243="",NA(),DQ243))</f>
        <v>0</v>
      </c>
      <c r="GF36">
        <f>IF(Charts!$B$3="none",BD243,IF(DR243="",NA(),DR243))</f>
        <v>0</v>
      </c>
      <c r="GG36">
        <f>IF(Charts!$B$3="none",BE243,IF(DS243="",NA(),DS243))</f>
        <v>0</v>
      </c>
      <c r="GH36">
        <f>IF(Charts!$B$3="none",BF243,IF(DT243="",NA(),DT243))</f>
        <v>0</v>
      </c>
      <c r="GI36">
        <f>IF(Charts!$B$3="none",BG243,IF(DU243="",NA(),DU243))</f>
        <v>0</v>
      </c>
      <c r="GJ36">
        <f>IF(Charts!$B$3="none",BH243,IF(DV243="",NA(),DV243))</f>
        <v>0</v>
      </c>
      <c r="GK36">
        <f>IF(Charts!$B$3="none",BI243,IF(DW243="",NA(),DW243))</f>
        <v>0</v>
      </c>
      <c r="GL36">
        <f>IF(Charts!$B$3="none",BJ243,IF(DX243="",NA(),DX243))</f>
        <v>0</v>
      </c>
      <c r="GM36">
        <f>IF(Charts!$B$3="none",BK243,IF(DY243="",NA(),DY243))</f>
        <v>0</v>
      </c>
      <c r="GN36">
        <f>IF(Charts!$B$3="none",BL243,IF(DZ243="",NA(),DZ243))</f>
        <v>0</v>
      </c>
      <c r="GO36">
        <f>IF(Charts!$B$3="none",BM243,IF(EA243="",NA(),EA243))</f>
        <v>0</v>
      </c>
      <c r="GP36">
        <f>IF(Charts!$B$3="none",BN243,IF(EB243="",NA(),EB243))</f>
        <v>0</v>
      </c>
      <c r="GQ36">
        <f>IF(Charts!$B$3="none",BO243,IF(EC243="",NA(),EC243))</f>
        <v>0</v>
      </c>
      <c r="GR36">
        <f>IF(Charts!$B$3="none",BP243,IF(ED243="",NA(),ED243))</f>
        <v>0</v>
      </c>
    </row>
    <row r="37" spans="4:200">
      <c r="D37">
        <v>33</v>
      </c>
      <c r="E37">
        <f>IF(INDIRECT(ADDRESS($D37+2,E$2+1,,,"Instances"))="","",INDIRECT(ADDRESS($D37+2,E$2+1,,,"Instances")))</f>
        <v>0</v>
      </c>
      <c r="F37">
        <f>IFERROR(SMALL(E5:E44,ROW()-ROW($F$5)+1),"")</f>
        <v>0</v>
      </c>
      <c r="H37">
        <f>IFERROR(SUM(F5:F37),"")</f>
        <v>0</v>
      </c>
      <c r="I37">
        <f>IF(INDIRECT(ADDRESS($D37+2,I$2+1,,,"Instances"))="","",INDIRECT(ADDRESS($D37+2,I$2+1,,,"Instances")))</f>
        <v>0</v>
      </c>
      <c r="J37">
        <f>IFERROR(SMALL(I5:I44,ROW()-ROW($J$5)+1),"")</f>
        <v>0</v>
      </c>
      <c r="L37">
        <f>IFERROR(SUM(J5:J37),"")</f>
        <v>0</v>
      </c>
      <c r="M37">
        <f>IF(INDIRECT(ADDRESS($D37+2,M$2+1,,,"Instances"))="","",INDIRECT(ADDRESS($D37+2,M$2+1,,,"Instances")))</f>
        <v>0</v>
      </c>
      <c r="N37">
        <f>IFERROR(SMALL(M5:M44,ROW()-ROW($N$5)+1),"")</f>
        <v>0</v>
      </c>
      <c r="P37">
        <f>IFERROR(SUM(N5:N37),"")</f>
        <v>0</v>
      </c>
      <c r="Q37">
        <f>IF(INDIRECT(ADDRESS($D37+2,Q$2+1,,,"Instances"))="","",INDIRECT(ADDRESS($D37+2,Q$2+1,,,"Instances")))</f>
        <v>0</v>
      </c>
      <c r="R37">
        <f>IFERROR(SMALL(Q5:Q44,ROW()-ROW($R$5)+1),"")</f>
        <v>0</v>
      </c>
      <c r="T37">
        <f>IFERROR(SUM(R5:R37),"")</f>
        <v>0</v>
      </c>
      <c r="U37">
        <f>IF(INDIRECT(ADDRESS($D37+2,U$2+1,,,"Instances"))="","",INDIRECT(ADDRESS($D37+2,U$2+1,,,"Instances")))</f>
        <v>0</v>
      </c>
      <c r="V37">
        <f>IFERROR(SMALL(U5:U44,ROW()-ROW($V$5)+1),"")</f>
        <v>0</v>
      </c>
      <c r="X37">
        <f>IFERROR(SUM(V5:V37),"")</f>
        <v>0</v>
      </c>
      <c r="Y37">
        <f>IF(INDIRECT(ADDRESS($D37+2,Y$2+1,,,"Instances"))="","",INDIRECT(ADDRESS($D37+2,Y$2+1,,,"Instances")))</f>
        <v>0</v>
      </c>
      <c r="Z37">
        <f>IFERROR(SMALL(Y5:Y44,ROW()-ROW($Z$5)+1),"")</f>
        <v>0</v>
      </c>
      <c r="AB37">
        <f>IFERROR(SUM(Z5:Z37),"")</f>
        <v>0</v>
      </c>
      <c r="AC37">
        <f>IF(INDIRECT(ADDRESS($D37+2,AC$2+1,,,"Instances"))="","",INDIRECT(ADDRESS($D37+2,AC$2+1,,,"Instances")))</f>
        <v>0</v>
      </c>
      <c r="AD37">
        <f>IFERROR(SMALL(AC5:AC44,ROW()-ROW($AD$5)+1),"")</f>
        <v>0</v>
      </c>
      <c r="AF37">
        <f>IFERROR(SUM(AD5:AD37),"")</f>
        <v>0</v>
      </c>
      <c r="AG37">
        <f>IF(INDIRECT(ADDRESS($D37+2,AG$2+1,,,"Instances"))="","",INDIRECT(ADDRESS($D37+2,AG$2+1,,,"Instances")))</f>
        <v>0</v>
      </c>
      <c r="AH37">
        <f>IFERROR(SMALL(AG5:AG44,ROW()-ROW($AH$5)+1),"")</f>
        <v>0</v>
      </c>
      <c r="AJ37">
        <f>IFERROR(SUM(AH5:AH37),"")</f>
        <v>0</v>
      </c>
      <c r="AK37">
        <f>IF(INDIRECT(ADDRESS($D37+2,AK$2+1,,,"Instances"))="","",INDIRECT(ADDRESS($D37+2,AK$2+1,,,"Instances")))</f>
        <v>0</v>
      </c>
      <c r="AL37">
        <f>IFERROR(SMALL(AK5:AK44,ROW()-ROW($AL$5)+1),"")</f>
        <v>0</v>
      </c>
      <c r="AN37">
        <f>IFERROR(SUM(AL5:AL37),"")</f>
        <v>0</v>
      </c>
      <c r="AO37">
        <f>IF(INDIRECT(ADDRESS($D37+2,AO$2+1,,,"Instances"))="","",INDIRECT(ADDRESS($D37+2,AO$2+1,,,"Instances")))</f>
        <v>0</v>
      </c>
      <c r="AP37">
        <f>IFERROR(SMALL(AO5:AO44,ROW()-ROW($AP$5)+1),"")</f>
        <v>0</v>
      </c>
      <c r="AR37">
        <f>IFERROR(SUM(AP5:AP37),"")</f>
        <v>0</v>
      </c>
      <c r="AS37">
        <f>IF(INDIRECT(ADDRESS($D37+2,AS$2+1,,,"Instances"))="","",INDIRECT(ADDRESS($D37+2,AS$2+1,,,"Instances")))</f>
        <v>0</v>
      </c>
      <c r="AT37">
        <f>IFERROR(SMALL(AS5:AS44,ROW()-ROW($AT$5)+1),"")</f>
        <v>0</v>
      </c>
      <c r="AV37">
        <f>IFERROR(SUM(AT5:AT37),"")</f>
        <v>0</v>
      </c>
      <c r="AW37">
        <f>IF(INDIRECT(ADDRESS($D37+2,AW$2+1,,,"Instances"))="","",INDIRECT(ADDRESS($D37+2,AW$2+1,,,"Instances")))</f>
        <v>0</v>
      </c>
      <c r="AX37">
        <f>IFERROR(SMALL(AW5:AW44,ROW()-ROW($AX$5)+1),"")</f>
        <v>0</v>
      </c>
      <c r="AZ37">
        <f>IFERROR(SUM(AX5:AX37),"")</f>
        <v>0</v>
      </c>
      <c r="BA37">
        <f>IF(INDIRECT(ADDRESS($D37+2,BA$2+1,,,"Instances"))="","",INDIRECT(ADDRESS($D37+2,BA$2+1,,,"Instances")))</f>
        <v>0</v>
      </c>
      <c r="BB37">
        <f>IFERROR(SMALL(BA5:BA44,ROW()-ROW($BB$5)+1),"")</f>
        <v>0</v>
      </c>
      <c r="BD37">
        <f>IFERROR(SUM(BB5:BB37),"")</f>
        <v>0</v>
      </c>
      <c r="BE37">
        <f>IF(INDIRECT(ADDRESS($D37+2,BE$2+1,,,"Instances"))="","",INDIRECT(ADDRESS($D37+2,BE$2+1,,,"Instances")))</f>
        <v>0</v>
      </c>
      <c r="BF37">
        <f>IFERROR(SMALL(BE5:BE44,ROW()-ROW($BF$5)+1),"")</f>
        <v>0</v>
      </c>
      <c r="BH37">
        <f>IFERROR(SUM(BF5:BF37),"")</f>
        <v>0</v>
      </c>
      <c r="BI37">
        <f>IF(INDIRECT(ADDRESS($D37+2,BI$2+1,,,"Instances"))="","",INDIRECT(ADDRESS($D37+2,BI$2+1,,,"Instances")))</f>
        <v>0</v>
      </c>
      <c r="BJ37">
        <f>IFERROR(SMALL(BI5:BI44,ROW()-ROW($BJ$5)+1),"")</f>
        <v>0</v>
      </c>
      <c r="BL37">
        <f>IFERROR(SUM(BJ5:BJ37),"")</f>
        <v>0</v>
      </c>
      <c r="BM37">
        <f>IF(INDIRECT(ADDRESS($D37+2,BM$2+1,,,"Instances"))="","",INDIRECT(ADDRESS($D37+2,BM$2+1,,,"Instances")))</f>
        <v>0</v>
      </c>
      <c r="BN37">
        <f>IFERROR(SMALL(BM5:BM44,ROW()-ROW($BN$5)+1),"")</f>
        <v>0</v>
      </c>
      <c r="BP37">
        <f>IFERROR(SUM(BN5:BN37),"")</f>
        <v>0</v>
      </c>
      <c r="BR37">
        <v>33</v>
      </c>
      <c r="BS37" cm="1">
        <f t="array" ref="BS37">_xlfn.SWITCH(Charts!$B$3,"average", AVERAGE(INDIRECT(ADDRESS(32+3,BS$2+1,,,"Instances") &amp; ":" &amp; ADDRESS(32+3,BS$2+1))),"median", MEDIAN(INDIRECT(ADDRESS(32+3,BS$2+1,,,"Instances") &amp; ":" &amp; ADDRESS(32+3,BS$2+1))),"min", MIN(INDIRECT(ADDRESS(32+3,BS$2+1,,,"Instances") &amp; ":" &amp; ADDRESS(32+3,BS$2+1))),"max", MAX(INDIRECT(ADDRESS(32+3,BS$2+1,,,"Instances") &amp; ":" &amp; ADDRESS(32+3,BS$2+1))),"diff", MAX(INDIRECT(ADDRESS(32+3,BS$2+1,,,"Instances") &amp; ":" &amp; ADDRESS(32+3,BS$2+1)))-MIN(INDIRECT(ADDRESS(32+3,BS$2+1,,,"Instances") &amp; ":" &amp; ADDRESS(32+3,BS$2+1))))</f>
        <v>0</v>
      </c>
      <c r="BT37">
        <f>IFERROR(SMALL(BS5:BS44,ROW()-ROW($BT$5)+1),"")</f>
        <v>0</v>
      </c>
      <c r="BV37">
        <f>IFERROR(SUM(BT5:BT37),"")</f>
        <v>0</v>
      </c>
      <c r="BW37" cm="1">
        <f t="array" ref="BW37">_xlfn.SWITCH(Charts!$B$3,"average", AVERAGE(INDIRECT(ADDRESS(32+3,BW$2+1,,,"Instances") &amp; ":" &amp; ADDRESS(32+3,BW$2+1))),"median", MEDIAN(INDIRECT(ADDRESS(32+3,BW$2+1,,,"Instances") &amp; ":" &amp; ADDRESS(32+3,BW$2+1))),"min", MIN(INDIRECT(ADDRESS(32+3,BW$2+1,,,"Instances") &amp; ":" &amp; ADDRESS(32+3,BW$2+1))),"max", MAX(INDIRECT(ADDRESS(32+3,BW$2+1,,,"Instances") &amp; ":" &amp; ADDRESS(32+3,BW$2+1))),"diff", MAX(INDIRECT(ADDRESS(32+3,BW$2+1,,,"Instances") &amp; ":" &amp; ADDRESS(32+3,BW$2+1)))-MIN(INDIRECT(ADDRESS(32+3,BW$2+1,,,"Instances") &amp; ":" &amp; ADDRESS(32+3,BW$2+1))))</f>
        <v>0</v>
      </c>
      <c r="BX37">
        <f>IFERROR(SMALL(BW5:BW44,ROW()-ROW($BX$5)+1),"")</f>
        <v>0</v>
      </c>
      <c r="BZ37">
        <f>IFERROR(SUM(BX5:BX37),"")</f>
        <v>0</v>
      </c>
      <c r="CA37" cm="1">
        <f t="array" ref="CA37">_xlfn.SWITCH(Charts!$B$3,"average", AVERAGE(INDIRECT(ADDRESS(32+3,CA$2+1,,,"Instances") &amp; ":" &amp; ADDRESS(32+3,CA$2+1))),"median", MEDIAN(INDIRECT(ADDRESS(32+3,CA$2+1,,,"Instances") &amp; ":" &amp; ADDRESS(32+3,CA$2+1))),"min", MIN(INDIRECT(ADDRESS(32+3,CA$2+1,,,"Instances") &amp; ":" &amp; ADDRESS(32+3,CA$2+1))),"max", MAX(INDIRECT(ADDRESS(32+3,CA$2+1,,,"Instances") &amp; ":" &amp; ADDRESS(32+3,CA$2+1))),"diff", MAX(INDIRECT(ADDRESS(32+3,CA$2+1,,,"Instances") &amp; ":" &amp; ADDRESS(32+3,CA$2+1)))-MIN(INDIRECT(ADDRESS(32+3,CA$2+1,,,"Instances") &amp; ":" &amp; ADDRESS(32+3,CA$2+1))))</f>
        <v>0</v>
      </c>
      <c r="CB37">
        <f>IFERROR(SMALL(CA5:CA44,ROW()-ROW($CB$5)+1),"")</f>
        <v>0</v>
      </c>
      <c r="CD37">
        <f>IFERROR(SUM(CB5:CB37),"")</f>
        <v>0</v>
      </c>
      <c r="CE37" cm="1">
        <f t="array" ref="CE37">_xlfn.SWITCH(Charts!$B$3,"average", AVERAGE(INDIRECT(ADDRESS(32+3,CE$2+1,,,"Instances") &amp; ":" &amp; ADDRESS(32+3,CE$2+1))),"median", MEDIAN(INDIRECT(ADDRESS(32+3,CE$2+1,,,"Instances") &amp; ":" &amp; ADDRESS(32+3,CE$2+1))),"min", MIN(INDIRECT(ADDRESS(32+3,CE$2+1,,,"Instances") &amp; ":" &amp; ADDRESS(32+3,CE$2+1))),"max", MAX(INDIRECT(ADDRESS(32+3,CE$2+1,,,"Instances") &amp; ":" &amp; ADDRESS(32+3,CE$2+1))),"diff", MAX(INDIRECT(ADDRESS(32+3,CE$2+1,,,"Instances") &amp; ":" &amp; ADDRESS(32+3,CE$2+1)))-MIN(INDIRECT(ADDRESS(32+3,CE$2+1,,,"Instances") &amp; ":" &amp; ADDRESS(32+3,CE$2+1))))</f>
        <v>0</v>
      </c>
      <c r="CF37">
        <f>IFERROR(SMALL(CE5:CE44,ROW()-ROW($CF$5)+1),"")</f>
        <v>0</v>
      </c>
      <c r="CH37">
        <f>IFERROR(SUM(CF5:CF37),"")</f>
        <v>0</v>
      </c>
      <c r="CI37" cm="1">
        <f t="array" ref="CI37">_xlfn.SWITCH(Charts!$B$3,"average", AVERAGE(INDIRECT(ADDRESS(32+3,CI$2+1,,,"Instances") &amp; ":" &amp; ADDRESS(32+3,CI$2+1))),"median", MEDIAN(INDIRECT(ADDRESS(32+3,CI$2+1,,,"Instances") &amp; ":" &amp; ADDRESS(32+3,CI$2+1))),"min", MIN(INDIRECT(ADDRESS(32+3,CI$2+1,,,"Instances") &amp; ":" &amp; ADDRESS(32+3,CI$2+1))),"max", MAX(INDIRECT(ADDRESS(32+3,CI$2+1,,,"Instances") &amp; ":" &amp; ADDRESS(32+3,CI$2+1))),"diff", MAX(INDIRECT(ADDRESS(32+3,CI$2+1,,,"Instances") &amp; ":" &amp; ADDRESS(32+3,CI$2+1)))-MIN(INDIRECT(ADDRESS(32+3,CI$2+1,,,"Instances") &amp; ":" &amp; ADDRESS(32+3,CI$2+1))))</f>
        <v>0</v>
      </c>
      <c r="CJ37">
        <f>IFERROR(SMALL(CI5:CI44,ROW()-ROW($CJ$5)+1),"")</f>
        <v>0</v>
      </c>
      <c r="CL37">
        <f>IFERROR(SUM(CJ5:CJ37),"")</f>
        <v>0</v>
      </c>
      <c r="CM37" cm="1">
        <f t="array" ref="CM37">_xlfn.SWITCH(Charts!$B$3,"average", AVERAGE(INDIRECT(ADDRESS(32+3,CM$2+1,,,"Instances") &amp; ":" &amp; ADDRESS(32+3,CM$2+1))),"median", MEDIAN(INDIRECT(ADDRESS(32+3,CM$2+1,,,"Instances") &amp; ":" &amp; ADDRESS(32+3,CM$2+1))),"min", MIN(INDIRECT(ADDRESS(32+3,CM$2+1,,,"Instances") &amp; ":" &amp; ADDRESS(32+3,CM$2+1))),"max", MAX(INDIRECT(ADDRESS(32+3,CM$2+1,,,"Instances") &amp; ":" &amp; ADDRESS(32+3,CM$2+1))),"diff", MAX(INDIRECT(ADDRESS(32+3,CM$2+1,,,"Instances") &amp; ":" &amp; ADDRESS(32+3,CM$2+1)))-MIN(INDIRECT(ADDRESS(32+3,CM$2+1,,,"Instances") &amp; ":" &amp; ADDRESS(32+3,CM$2+1))))</f>
        <v>0</v>
      </c>
      <c r="CN37">
        <f>IFERROR(SMALL(CM5:CM44,ROW()-ROW($CN$5)+1),"")</f>
        <v>0</v>
      </c>
      <c r="CP37">
        <f>IFERROR(SUM(CN5:CN37),"")</f>
        <v>0</v>
      </c>
      <c r="CQ37" cm="1">
        <f t="array" ref="CQ37">_xlfn.SWITCH(Charts!$B$3,"average", AVERAGE(INDIRECT(ADDRESS(32+3,CQ$2+1,,,"Instances") &amp; ":" &amp; ADDRESS(32+3,CQ$2+1))),"median", MEDIAN(INDIRECT(ADDRESS(32+3,CQ$2+1,,,"Instances") &amp; ":" &amp; ADDRESS(32+3,CQ$2+1))),"min", MIN(INDIRECT(ADDRESS(32+3,CQ$2+1,,,"Instances") &amp; ":" &amp; ADDRESS(32+3,CQ$2+1))),"max", MAX(INDIRECT(ADDRESS(32+3,CQ$2+1,,,"Instances") &amp; ":" &amp; ADDRESS(32+3,CQ$2+1))),"diff", MAX(INDIRECT(ADDRESS(32+3,CQ$2+1,,,"Instances") &amp; ":" &amp; ADDRESS(32+3,CQ$2+1)))-MIN(INDIRECT(ADDRESS(32+3,CQ$2+1,,,"Instances") &amp; ":" &amp; ADDRESS(32+3,CQ$2+1))))</f>
        <v>0</v>
      </c>
      <c r="CR37">
        <f>IFERROR(SMALL(CQ5:CQ44,ROW()-ROW($CR$5)+1),"")</f>
        <v>0</v>
      </c>
      <c r="CT37">
        <f>IFERROR(SUM(CR5:CR37),"")</f>
        <v>0</v>
      </c>
      <c r="CU37" cm="1">
        <f t="array" ref="CU37">_xlfn.SWITCH(Charts!$B$3,"average", AVERAGE(INDIRECT(ADDRESS(32+3,CU$2+1,,,"Instances") &amp; ":" &amp; ADDRESS(32+3,CU$2+1))),"median", MEDIAN(INDIRECT(ADDRESS(32+3,CU$2+1,,,"Instances") &amp; ":" &amp; ADDRESS(32+3,CU$2+1))),"min", MIN(INDIRECT(ADDRESS(32+3,CU$2+1,,,"Instances") &amp; ":" &amp; ADDRESS(32+3,CU$2+1))),"max", MAX(INDIRECT(ADDRESS(32+3,CU$2+1,,,"Instances") &amp; ":" &amp; ADDRESS(32+3,CU$2+1))),"diff", MAX(INDIRECT(ADDRESS(32+3,CU$2+1,,,"Instances") &amp; ":" &amp; ADDRESS(32+3,CU$2+1)))-MIN(INDIRECT(ADDRESS(32+3,CU$2+1,,,"Instances") &amp; ":" &amp; ADDRESS(32+3,CU$2+1))))</f>
        <v>0</v>
      </c>
      <c r="CV37">
        <f>IFERROR(SMALL(CU5:CU44,ROW()-ROW($CV$5)+1),"")</f>
        <v>0</v>
      </c>
      <c r="CX37">
        <f>IFERROR(SUM(CV5:CV37),"")</f>
        <v>0</v>
      </c>
      <c r="CY37" cm="1">
        <f t="array" ref="CY37">_xlfn.SWITCH(Charts!$B$3,"average", AVERAGE(INDIRECT(ADDRESS(32+3,CY$2+1,,,"Instances") &amp; ":" &amp; ADDRESS(32+3,CY$2+1))),"median", MEDIAN(INDIRECT(ADDRESS(32+3,CY$2+1,,,"Instances") &amp; ":" &amp; ADDRESS(32+3,CY$2+1))),"min", MIN(INDIRECT(ADDRESS(32+3,CY$2+1,,,"Instances") &amp; ":" &amp; ADDRESS(32+3,CY$2+1))),"max", MAX(INDIRECT(ADDRESS(32+3,CY$2+1,,,"Instances") &amp; ":" &amp; ADDRESS(32+3,CY$2+1))),"diff", MAX(INDIRECT(ADDRESS(32+3,CY$2+1,,,"Instances") &amp; ":" &amp; ADDRESS(32+3,CY$2+1)))-MIN(INDIRECT(ADDRESS(32+3,CY$2+1,,,"Instances") &amp; ":" &amp; ADDRESS(32+3,CY$2+1))))</f>
        <v>0</v>
      </c>
      <c r="CZ37">
        <f>IFERROR(SMALL(CY5:CY44,ROW()-ROW($CZ$5)+1),"")</f>
        <v>0</v>
      </c>
      <c r="DB37">
        <f>IFERROR(SUM(CZ5:CZ37),"")</f>
        <v>0</v>
      </c>
      <c r="DC37" cm="1">
        <f t="array" ref="DC37">_xlfn.SWITCH(Charts!$B$3,"average", AVERAGE(INDIRECT(ADDRESS(32+3,DC$2+1,,,"Instances") &amp; ":" &amp; ADDRESS(32+3,DC$2+1))),"median", MEDIAN(INDIRECT(ADDRESS(32+3,DC$2+1,,,"Instances") &amp; ":" &amp; ADDRESS(32+3,DC$2+1))),"min", MIN(INDIRECT(ADDRESS(32+3,DC$2+1,,,"Instances") &amp; ":" &amp; ADDRESS(32+3,DC$2+1))),"max", MAX(INDIRECT(ADDRESS(32+3,DC$2+1,,,"Instances") &amp; ":" &amp; ADDRESS(32+3,DC$2+1))),"diff", MAX(INDIRECT(ADDRESS(32+3,DC$2+1,,,"Instances") &amp; ":" &amp; ADDRESS(32+3,DC$2+1)))-MIN(INDIRECT(ADDRESS(32+3,DC$2+1,,,"Instances") &amp; ":" &amp; ADDRESS(32+3,DC$2+1))))</f>
        <v>0</v>
      </c>
      <c r="DD37">
        <f>IFERROR(SMALL(DC5:DC44,ROW()-ROW($DD$5)+1),"")</f>
        <v>0</v>
      </c>
      <c r="DF37">
        <f>IFERROR(SUM(DD5:DD37),"")</f>
        <v>0</v>
      </c>
      <c r="DG37" cm="1">
        <f t="array" ref="DG37">_xlfn.SWITCH(Charts!$B$3,"average", AVERAGE(INDIRECT(ADDRESS(32+3,DG$2+1,,,"Instances") &amp; ":" &amp; ADDRESS(32+3,DG$2+1))),"median", MEDIAN(INDIRECT(ADDRESS(32+3,DG$2+1,,,"Instances") &amp; ":" &amp; ADDRESS(32+3,DG$2+1))),"min", MIN(INDIRECT(ADDRESS(32+3,DG$2+1,,,"Instances") &amp; ":" &amp; ADDRESS(32+3,DG$2+1))),"max", MAX(INDIRECT(ADDRESS(32+3,DG$2+1,,,"Instances") &amp; ":" &amp; ADDRESS(32+3,DG$2+1))),"diff", MAX(INDIRECT(ADDRESS(32+3,DG$2+1,,,"Instances") &amp; ":" &amp; ADDRESS(32+3,DG$2+1)))-MIN(INDIRECT(ADDRESS(32+3,DG$2+1,,,"Instances") &amp; ":" &amp; ADDRESS(32+3,DG$2+1))))</f>
        <v>0</v>
      </c>
      <c r="DH37">
        <f>IFERROR(SMALL(DG5:DG44,ROW()-ROW($DH$5)+1),"")</f>
        <v>0</v>
      </c>
      <c r="DJ37">
        <f>IFERROR(SUM(DH5:DH37),"")</f>
        <v>0</v>
      </c>
      <c r="DK37" cm="1">
        <f t="array" ref="DK37">_xlfn.SWITCH(Charts!$B$3,"average", AVERAGE(INDIRECT(ADDRESS(32+3,DK$2+1,,,"Instances") &amp; ":" &amp; ADDRESS(32+3,DK$2+1))),"median", MEDIAN(INDIRECT(ADDRESS(32+3,DK$2+1,,,"Instances") &amp; ":" &amp; ADDRESS(32+3,DK$2+1))),"min", MIN(INDIRECT(ADDRESS(32+3,DK$2+1,,,"Instances") &amp; ":" &amp; ADDRESS(32+3,DK$2+1))),"max", MAX(INDIRECT(ADDRESS(32+3,DK$2+1,,,"Instances") &amp; ":" &amp; ADDRESS(32+3,DK$2+1))),"diff", MAX(INDIRECT(ADDRESS(32+3,DK$2+1,,,"Instances") &amp; ":" &amp; ADDRESS(32+3,DK$2+1)))-MIN(INDIRECT(ADDRESS(32+3,DK$2+1,,,"Instances") &amp; ":" &amp; ADDRESS(32+3,DK$2+1))))</f>
        <v>0</v>
      </c>
      <c r="DL37">
        <f>IFERROR(SMALL(DK5:DK44,ROW()-ROW($DL$5)+1),"")</f>
        <v>0</v>
      </c>
      <c r="DN37">
        <f>IFERROR(SUM(DL5:DL37),"")</f>
        <v>0</v>
      </c>
      <c r="DO37" cm="1">
        <f t="array" ref="DO37">_xlfn.SWITCH(Charts!$B$3,"average", AVERAGE(INDIRECT(ADDRESS(32+3,DO$2+1,,,"Instances") &amp; ":" &amp; ADDRESS(32+3,DO$2+1))),"median", MEDIAN(INDIRECT(ADDRESS(32+3,DO$2+1,,,"Instances") &amp; ":" &amp; ADDRESS(32+3,DO$2+1))),"min", MIN(INDIRECT(ADDRESS(32+3,DO$2+1,,,"Instances") &amp; ":" &amp; ADDRESS(32+3,DO$2+1))),"max", MAX(INDIRECT(ADDRESS(32+3,DO$2+1,,,"Instances") &amp; ":" &amp; ADDRESS(32+3,DO$2+1))),"diff", MAX(INDIRECT(ADDRESS(32+3,DO$2+1,,,"Instances") &amp; ":" &amp; ADDRESS(32+3,DO$2+1)))-MIN(INDIRECT(ADDRESS(32+3,DO$2+1,,,"Instances") &amp; ":" &amp; ADDRESS(32+3,DO$2+1))))</f>
        <v>0</v>
      </c>
      <c r="DP37">
        <f>IFERROR(SMALL(DO5:DO44,ROW()-ROW($DP$5)+1),"")</f>
        <v>0</v>
      </c>
      <c r="DR37">
        <f>IFERROR(SUM(DP5:DP37),"")</f>
        <v>0</v>
      </c>
      <c r="DS37" cm="1">
        <f t="array" ref="DS37">_xlfn.SWITCH(Charts!$B$3,"average", AVERAGE(INDIRECT(ADDRESS(32+3,DS$2+1,,,"Instances") &amp; ":" &amp; ADDRESS(32+3,DS$2+1))),"median", MEDIAN(INDIRECT(ADDRESS(32+3,DS$2+1,,,"Instances") &amp; ":" &amp; ADDRESS(32+3,DS$2+1))),"min", MIN(INDIRECT(ADDRESS(32+3,DS$2+1,,,"Instances") &amp; ":" &amp; ADDRESS(32+3,DS$2+1))),"max", MAX(INDIRECT(ADDRESS(32+3,DS$2+1,,,"Instances") &amp; ":" &amp; ADDRESS(32+3,DS$2+1))),"diff", MAX(INDIRECT(ADDRESS(32+3,DS$2+1,,,"Instances") &amp; ":" &amp; ADDRESS(32+3,DS$2+1)))-MIN(INDIRECT(ADDRESS(32+3,DS$2+1,,,"Instances") &amp; ":" &amp; ADDRESS(32+3,DS$2+1))))</f>
        <v>0</v>
      </c>
      <c r="DT37">
        <f>IFERROR(SMALL(DS5:DS44,ROW()-ROW($DT$5)+1),"")</f>
        <v>0</v>
      </c>
      <c r="DV37">
        <f>IFERROR(SUM(DT5:DT37),"")</f>
        <v>0</v>
      </c>
      <c r="DW37" cm="1">
        <f t="array" ref="DW37">_xlfn.SWITCH(Charts!$B$3,"average", AVERAGE(INDIRECT(ADDRESS(32+3,DW$2+1,,,"Instances") &amp; ":" &amp; ADDRESS(32+3,DW$2+1))),"median", MEDIAN(INDIRECT(ADDRESS(32+3,DW$2+1,,,"Instances") &amp; ":" &amp; ADDRESS(32+3,DW$2+1))),"min", MIN(INDIRECT(ADDRESS(32+3,DW$2+1,,,"Instances") &amp; ":" &amp; ADDRESS(32+3,DW$2+1))),"max", MAX(INDIRECT(ADDRESS(32+3,DW$2+1,,,"Instances") &amp; ":" &amp; ADDRESS(32+3,DW$2+1))),"diff", MAX(INDIRECT(ADDRESS(32+3,DW$2+1,,,"Instances") &amp; ":" &amp; ADDRESS(32+3,DW$2+1)))-MIN(INDIRECT(ADDRESS(32+3,DW$2+1,,,"Instances") &amp; ":" &amp; ADDRESS(32+3,DW$2+1))))</f>
        <v>0</v>
      </c>
      <c r="DX37">
        <f>IFERROR(SMALL(DW5:DW44,ROW()-ROW($DX$5)+1),"")</f>
        <v>0</v>
      </c>
      <c r="DZ37">
        <f>IFERROR(SUM(DX5:DX37),"")</f>
        <v>0</v>
      </c>
      <c r="EA37" cm="1">
        <f t="array" ref="EA37">_xlfn.SWITCH(Charts!$B$3,"average", AVERAGE(INDIRECT(ADDRESS(32+3,EA$2+1,,,"Instances") &amp; ":" &amp; ADDRESS(32+3,EA$2+1))),"median", MEDIAN(INDIRECT(ADDRESS(32+3,EA$2+1,,,"Instances") &amp; ":" &amp; ADDRESS(32+3,EA$2+1))),"min", MIN(INDIRECT(ADDRESS(32+3,EA$2+1,,,"Instances") &amp; ":" &amp; ADDRESS(32+3,EA$2+1))),"max", MAX(INDIRECT(ADDRESS(32+3,EA$2+1,,,"Instances") &amp; ":" &amp; ADDRESS(32+3,EA$2+1))),"diff", MAX(INDIRECT(ADDRESS(32+3,EA$2+1,,,"Instances") &amp; ":" &amp; ADDRESS(32+3,EA$2+1)))-MIN(INDIRECT(ADDRESS(32+3,EA$2+1,,,"Instances") &amp; ":" &amp; ADDRESS(32+3,EA$2+1))))</f>
        <v>0</v>
      </c>
      <c r="EB37">
        <f>IFERROR(SMALL(EA5:EA44,ROW()-ROW($EB$5)+1),"")</f>
        <v>0</v>
      </c>
      <c r="ED37">
        <f>IFERROR(SUM(EB5:EB37),"")</f>
        <v>0</v>
      </c>
      <c r="EG37">
        <f>IF(Charts!$B$3="none",E244,IF(BS244="",NA(),BS244))</f>
        <v>0</v>
      </c>
      <c r="EH37">
        <f>IF(Charts!$B$3="none",F244,IF(BT244="",NA(),BT244))</f>
        <v>0</v>
      </c>
      <c r="EI37">
        <f>IF(Charts!$B$3="none",G244,IF(BU244="",NA(),BU244))</f>
        <v>0</v>
      </c>
      <c r="EJ37">
        <f>IF(Charts!$B$3="none",H244,IF(BV244="",NA(),BV244))</f>
        <v>0</v>
      </c>
      <c r="EK37">
        <f>IF(Charts!$B$3="none",I244,IF(BW244="",NA(),BW244))</f>
        <v>0</v>
      </c>
      <c r="EL37">
        <f>IF(Charts!$B$3="none",J244,IF(BX244="",NA(),BX244))</f>
        <v>0</v>
      </c>
      <c r="EM37">
        <f>IF(Charts!$B$3="none",K244,IF(BY244="",NA(),BY244))</f>
        <v>0</v>
      </c>
      <c r="EN37">
        <f>IF(Charts!$B$3="none",L244,IF(BZ244="",NA(),BZ244))</f>
        <v>0</v>
      </c>
      <c r="EO37">
        <f>IF(Charts!$B$3="none",M244,IF(CA244="",NA(),CA244))</f>
        <v>0</v>
      </c>
      <c r="EP37">
        <f>IF(Charts!$B$3="none",N244,IF(CB244="",NA(),CB244))</f>
        <v>0</v>
      </c>
      <c r="EQ37">
        <f>IF(Charts!$B$3="none",O244,IF(CC244="",NA(),CC244))</f>
        <v>0</v>
      </c>
      <c r="ER37">
        <f>IF(Charts!$B$3="none",P244,IF(CD244="",NA(),CD244))</f>
        <v>0</v>
      </c>
      <c r="ES37">
        <f>IF(Charts!$B$3="none",Q244,IF(CE244="",NA(),CE244))</f>
        <v>0</v>
      </c>
      <c r="ET37">
        <f>IF(Charts!$B$3="none",R244,IF(CF244="",NA(),CF244))</f>
        <v>0</v>
      </c>
      <c r="EU37">
        <f>IF(Charts!$B$3="none",S244,IF(CG244="",NA(),CG244))</f>
        <v>0</v>
      </c>
      <c r="EV37">
        <f>IF(Charts!$B$3="none",T244,IF(CH244="",NA(),CH244))</f>
        <v>0</v>
      </c>
      <c r="EW37">
        <f>IF(Charts!$B$3="none",U244,IF(CI244="",NA(),CI244))</f>
        <v>0</v>
      </c>
      <c r="EX37">
        <f>IF(Charts!$B$3="none",V244,IF(CJ244="",NA(),CJ244))</f>
        <v>0</v>
      </c>
      <c r="EY37">
        <f>IF(Charts!$B$3="none",W244,IF(CK244="",NA(),CK244))</f>
        <v>0</v>
      </c>
      <c r="EZ37">
        <f>IF(Charts!$B$3="none",X244,IF(CL244="",NA(),CL244))</f>
        <v>0</v>
      </c>
      <c r="FA37">
        <f>IF(Charts!$B$3="none",Y244,IF(CM244="",NA(),CM244))</f>
        <v>0</v>
      </c>
      <c r="FB37">
        <f>IF(Charts!$B$3="none",Z244,IF(CN244="",NA(),CN244))</f>
        <v>0</v>
      </c>
      <c r="FC37">
        <f>IF(Charts!$B$3="none",AA244,IF(CO244="",NA(),CO244))</f>
        <v>0</v>
      </c>
      <c r="FD37">
        <f>IF(Charts!$B$3="none",AB244,IF(CP244="",NA(),CP244))</f>
        <v>0</v>
      </c>
      <c r="FE37">
        <f>IF(Charts!$B$3="none",AC244,IF(CQ244="",NA(),CQ244))</f>
        <v>0</v>
      </c>
      <c r="FF37">
        <f>IF(Charts!$B$3="none",AD244,IF(CR244="",NA(),CR244))</f>
        <v>0</v>
      </c>
      <c r="FG37">
        <f>IF(Charts!$B$3="none",AE244,IF(CS244="",NA(),CS244))</f>
        <v>0</v>
      </c>
      <c r="FH37">
        <f>IF(Charts!$B$3="none",AF244,IF(CT244="",NA(),CT244))</f>
        <v>0</v>
      </c>
      <c r="FI37">
        <f>IF(Charts!$B$3="none",AG244,IF(CU244="",NA(),CU244))</f>
        <v>0</v>
      </c>
      <c r="FJ37">
        <f>IF(Charts!$B$3="none",AH244,IF(CV244="",NA(),CV244))</f>
        <v>0</v>
      </c>
      <c r="FK37">
        <f>IF(Charts!$B$3="none",AI244,IF(CW244="",NA(),CW244))</f>
        <v>0</v>
      </c>
      <c r="FL37">
        <f>IF(Charts!$B$3="none",AJ244,IF(CX244="",NA(),CX244))</f>
        <v>0</v>
      </c>
      <c r="FM37">
        <f>IF(Charts!$B$3="none",AK244,IF(CY244="",NA(),CY244))</f>
        <v>0</v>
      </c>
      <c r="FN37">
        <f>IF(Charts!$B$3="none",AL244,IF(CZ244="",NA(),CZ244))</f>
        <v>0</v>
      </c>
      <c r="FO37">
        <f>IF(Charts!$B$3="none",AM244,IF(DA244="",NA(),DA244))</f>
        <v>0</v>
      </c>
      <c r="FP37">
        <f>IF(Charts!$B$3="none",AN244,IF(DB244="",NA(),DB244))</f>
        <v>0</v>
      </c>
      <c r="FQ37">
        <f>IF(Charts!$B$3="none",AO244,IF(DC244="",NA(),DC244))</f>
        <v>0</v>
      </c>
      <c r="FR37">
        <f>IF(Charts!$B$3="none",AP244,IF(DD244="",NA(),DD244))</f>
        <v>0</v>
      </c>
      <c r="FS37">
        <f>IF(Charts!$B$3="none",AQ244,IF(DE244="",NA(),DE244))</f>
        <v>0</v>
      </c>
      <c r="FT37">
        <f>IF(Charts!$B$3="none",AR244,IF(DF244="",NA(),DF244))</f>
        <v>0</v>
      </c>
      <c r="FU37">
        <f>IF(Charts!$B$3="none",AS244,IF(DG244="",NA(),DG244))</f>
        <v>0</v>
      </c>
      <c r="FV37">
        <f>IF(Charts!$B$3="none",AT244,IF(DH244="",NA(),DH244))</f>
        <v>0</v>
      </c>
      <c r="FW37">
        <f>IF(Charts!$B$3="none",AU244,IF(DI244="",NA(),DI244))</f>
        <v>0</v>
      </c>
      <c r="FX37">
        <f>IF(Charts!$B$3="none",AV244,IF(DJ244="",NA(),DJ244))</f>
        <v>0</v>
      </c>
      <c r="FY37">
        <f>IF(Charts!$B$3="none",AW244,IF(DK244="",NA(),DK244))</f>
        <v>0</v>
      </c>
      <c r="FZ37">
        <f>IF(Charts!$B$3="none",AX244,IF(DL244="",NA(),DL244))</f>
        <v>0</v>
      </c>
      <c r="GA37">
        <f>IF(Charts!$B$3="none",AY244,IF(DM244="",NA(),DM244))</f>
        <v>0</v>
      </c>
      <c r="GB37">
        <f>IF(Charts!$B$3="none",AZ244,IF(DN244="",NA(),DN244))</f>
        <v>0</v>
      </c>
      <c r="GC37">
        <f>IF(Charts!$B$3="none",BA244,IF(DO244="",NA(),DO244))</f>
        <v>0</v>
      </c>
      <c r="GD37">
        <f>IF(Charts!$B$3="none",BB244,IF(DP244="",NA(),DP244))</f>
        <v>0</v>
      </c>
      <c r="GE37">
        <f>IF(Charts!$B$3="none",BC244,IF(DQ244="",NA(),DQ244))</f>
        <v>0</v>
      </c>
      <c r="GF37">
        <f>IF(Charts!$B$3="none",BD244,IF(DR244="",NA(),DR244))</f>
        <v>0</v>
      </c>
      <c r="GG37">
        <f>IF(Charts!$B$3="none",BE244,IF(DS244="",NA(),DS244))</f>
        <v>0</v>
      </c>
      <c r="GH37">
        <f>IF(Charts!$B$3="none",BF244,IF(DT244="",NA(),DT244))</f>
        <v>0</v>
      </c>
      <c r="GI37">
        <f>IF(Charts!$B$3="none",BG244,IF(DU244="",NA(),DU244))</f>
        <v>0</v>
      </c>
      <c r="GJ37">
        <f>IF(Charts!$B$3="none",BH244,IF(DV244="",NA(),DV244))</f>
        <v>0</v>
      </c>
      <c r="GK37">
        <f>IF(Charts!$B$3="none",BI244,IF(DW244="",NA(),DW244))</f>
        <v>0</v>
      </c>
      <c r="GL37">
        <f>IF(Charts!$B$3="none",BJ244,IF(DX244="",NA(),DX244))</f>
        <v>0</v>
      </c>
      <c r="GM37">
        <f>IF(Charts!$B$3="none",BK244,IF(DY244="",NA(),DY244))</f>
        <v>0</v>
      </c>
      <c r="GN37">
        <f>IF(Charts!$B$3="none",BL244,IF(DZ244="",NA(),DZ244))</f>
        <v>0</v>
      </c>
      <c r="GO37">
        <f>IF(Charts!$B$3="none",BM244,IF(EA244="",NA(),EA244))</f>
        <v>0</v>
      </c>
      <c r="GP37">
        <f>IF(Charts!$B$3="none",BN244,IF(EB244="",NA(),EB244))</f>
        <v>0</v>
      </c>
      <c r="GQ37">
        <f>IF(Charts!$B$3="none",BO244,IF(EC244="",NA(),EC244))</f>
        <v>0</v>
      </c>
      <c r="GR37">
        <f>IF(Charts!$B$3="none",BP244,IF(ED244="",NA(),ED244))</f>
        <v>0</v>
      </c>
    </row>
    <row r="38" spans="4:200">
      <c r="D38">
        <v>34</v>
      </c>
      <c r="E38">
        <f>IF(INDIRECT(ADDRESS($D38+2,E$2+1,,,"Instances"))="","",INDIRECT(ADDRESS($D38+2,E$2+1,,,"Instances")))</f>
        <v>0</v>
      </c>
      <c r="F38">
        <f>IFERROR(SMALL(E5:E44,ROW()-ROW($F$5)+1),"")</f>
        <v>0</v>
      </c>
      <c r="H38">
        <f>IFERROR(SUM(F5:F38),"")</f>
        <v>0</v>
      </c>
      <c r="I38">
        <f>IF(INDIRECT(ADDRESS($D38+2,I$2+1,,,"Instances"))="","",INDIRECT(ADDRESS($D38+2,I$2+1,,,"Instances")))</f>
        <v>0</v>
      </c>
      <c r="J38">
        <f>IFERROR(SMALL(I5:I44,ROW()-ROW($J$5)+1),"")</f>
        <v>0</v>
      </c>
      <c r="L38">
        <f>IFERROR(SUM(J5:J38),"")</f>
        <v>0</v>
      </c>
      <c r="M38">
        <f>IF(INDIRECT(ADDRESS($D38+2,M$2+1,,,"Instances"))="","",INDIRECT(ADDRESS($D38+2,M$2+1,,,"Instances")))</f>
        <v>0</v>
      </c>
      <c r="N38">
        <f>IFERROR(SMALL(M5:M44,ROW()-ROW($N$5)+1),"")</f>
        <v>0</v>
      </c>
      <c r="P38">
        <f>IFERROR(SUM(N5:N38),"")</f>
        <v>0</v>
      </c>
      <c r="Q38">
        <f>IF(INDIRECT(ADDRESS($D38+2,Q$2+1,,,"Instances"))="","",INDIRECT(ADDRESS($D38+2,Q$2+1,,,"Instances")))</f>
        <v>0</v>
      </c>
      <c r="R38">
        <f>IFERROR(SMALL(Q5:Q44,ROW()-ROW($R$5)+1),"")</f>
        <v>0</v>
      </c>
      <c r="T38">
        <f>IFERROR(SUM(R5:R38),"")</f>
        <v>0</v>
      </c>
      <c r="U38">
        <f>IF(INDIRECT(ADDRESS($D38+2,U$2+1,,,"Instances"))="","",INDIRECT(ADDRESS($D38+2,U$2+1,,,"Instances")))</f>
        <v>0</v>
      </c>
      <c r="V38">
        <f>IFERROR(SMALL(U5:U44,ROW()-ROW($V$5)+1),"")</f>
        <v>0</v>
      </c>
      <c r="X38">
        <f>IFERROR(SUM(V5:V38),"")</f>
        <v>0</v>
      </c>
      <c r="Y38">
        <f>IF(INDIRECT(ADDRESS($D38+2,Y$2+1,,,"Instances"))="","",INDIRECT(ADDRESS($D38+2,Y$2+1,,,"Instances")))</f>
        <v>0</v>
      </c>
      <c r="Z38">
        <f>IFERROR(SMALL(Y5:Y44,ROW()-ROW($Z$5)+1),"")</f>
        <v>0</v>
      </c>
      <c r="AB38">
        <f>IFERROR(SUM(Z5:Z38),"")</f>
        <v>0</v>
      </c>
      <c r="AC38">
        <f>IF(INDIRECT(ADDRESS($D38+2,AC$2+1,,,"Instances"))="","",INDIRECT(ADDRESS($D38+2,AC$2+1,,,"Instances")))</f>
        <v>0</v>
      </c>
      <c r="AD38">
        <f>IFERROR(SMALL(AC5:AC44,ROW()-ROW($AD$5)+1),"")</f>
        <v>0</v>
      </c>
      <c r="AF38">
        <f>IFERROR(SUM(AD5:AD38),"")</f>
        <v>0</v>
      </c>
      <c r="AG38">
        <f>IF(INDIRECT(ADDRESS($D38+2,AG$2+1,,,"Instances"))="","",INDIRECT(ADDRESS($D38+2,AG$2+1,,,"Instances")))</f>
        <v>0</v>
      </c>
      <c r="AH38">
        <f>IFERROR(SMALL(AG5:AG44,ROW()-ROW($AH$5)+1),"")</f>
        <v>0</v>
      </c>
      <c r="AJ38">
        <f>IFERROR(SUM(AH5:AH38),"")</f>
        <v>0</v>
      </c>
      <c r="AK38">
        <f>IF(INDIRECT(ADDRESS($D38+2,AK$2+1,,,"Instances"))="","",INDIRECT(ADDRESS($D38+2,AK$2+1,,,"Instances")))</f>
        <v>0</v>
      </c>
      <c r="AL38">
        <f>IFERROR(SMALL(AK5:AK44,ROW()-ROW($AL$5)+1),"")</f>
        <v>0</v>
      </c>
      <c r="AN38">
        <f>IFERROR(SUM(AL5:AL38),"")</f>
        <v>0</v>
      </c>
      <c r="AO38">
        <f>IF(INDIRECT(ADDRESS($D38+2,AO$2+1,,,"Instances"))="","",INDIRECT(ADDRESS($D38+2,AO$2+1,,,"Instances")))</f>
        <v>0</v>
      </c>
      <c r="AP38">
        <f>IFERROR(SMALL(AO5:AO44,ROW()-ROW($AP$5)+1),"")</f>
        <v>0</v>
      </c>
      <c r="AR38">
        <f>IFERROR(SUM(AP5:AP38),"")</f>
        <v>0</v>
      </c>
      <c r="AS38">
        <f>IF(INDIRECT(ADDRESS($D38+2,AS$2+1,,,"Instances"))="","",INDIRECT(ADDRESS($D38+2,AS$2+1,,,"Instances")))</f>
        <v>0</v>
      </c>
      <c r="AT38">
        <f>IFERROR(SMALL(AS5:AS44,ROW()-ROW($AT$5)+1),"")</f>
        <v>0</v>
      </c>
      <c r="AV38">
        <f>IFERROR(SUM(AT5:AT38),"")</f>
        <v>0</v>
      </c>
      <c r="AW38">
        <f>IF(INDIRECT(ADDRESS($D38+2,AW$2+1,,,"Instances"))="","",INDIRECT(ADDRESS($D38+2,AW$2+1,,,"Instances")))</f>
        <v>0</v>
      </c>
      <c r="AX38">
        <f>IFERROR(SMALL(AW5:AW44,ROW()-ROW($AX$5)+1),"")</f>
        <v>0</v>
      </c>
      <c r="AZ38">
        <f>IFERROR(SUM(AX5:AX38),"")</f>
        <v>0</v>
      </c>
      <c r="BA38">
        <f>IF(INDIRECT(ADDRESS($D38+2,BA$2+1,,,"Instances"))="","",INDIRECT(ADDRESS($D38+2,BA$2+1,,,"Instances")))</f>
        <v>0</v>
      </c>
      <c r="BB38">
        <f>IFERROR(SMALL(BA5:BA44,ROW()-ROW($BB$5)+1),"")</f>
        <v>0</v>
      </c>
      <c r="BD38">
        <f>IFERROR(SUM(BB5:BB38),"")</f>
        <v>0</v>
      </c>
      <c r="BE38">
        <f>IF(INDIRECT(ADDRESS($D38+2,BE$2+1,,,"Instances"))="","",INDIRECT(ADDRESS($D38+2,BE$2+1,,,"Instances")))</f>
        <v>0</v>
      </c>
      <c r="BF38">
        <f>IFERROR(SMALL(BE5:BE44,ROW()-ROW($BF$5)+1),"")</f>
        <v>0</v>
      </c>
      <c r="BH38">
        <f>IFERROR(SUM(BF5:BF38),"")</f>
        <v>0</v>
      </c>
      <c r="BI38">
        <f>IF(INDIRECT(ADDRESS($D38+2,BI$2+1,,,"Instances"))="","",INDIRECT(ADDRESS($D38+2,BI$2+1,,,"Instances")))</f>
        <v>0</v>
      </c>
      <c r="BJ38">
        <f>IFERROR(SMALL(BI5:BI44,ROW()-ROW($BJ$5)+1),"")</f>
        <v>0</v>
      </c>
      <c r="BL38">
        <f>IFERROR(SUM(BJ5:BJ38),"")</f>
        <v>0</v>
      </c>
      <c r="BM38">
        <f>IF(INDIRECT(ADDRESS($D38+2,BM$2+1,,,"Instances"))="","",INDIRECT(ADDRESS($D38+2,BM$2+1,,,"Instances")))</f>
        <v>0</v>
      </c>
      <c r="BN38">
        <f>IFERROR(SMALL(BM5:BM44,ROW()-ROW($BN$5)+1),"")</f>
        <v>0</v>
      </c>
      <c r="BP38">
        <f>IFERROR(SUM(BN5:BN38),"")</f>
        <v>0</v>
      </c>
      <c r="BR38">
        <v>34</v>
      </c>
      <c r="BS38" cm="1">
        <f t="array" ref="BS38">_xlfn.SWITCH(Charts!$B$3,"average", AVERAGE(INDIRECT(ADDRESS(33+3,BS$2+1,,,"Instances") &amp; ":" &amp; ADDRESS(33+3,BS$2+1))),"median", MEDIAN(INDIRECT(ADDRESS(33+3,BS$2+1,,,"Instances") &amp; ":" &amp; ADDRESS(33+3,BS$2+1))),"min", MIN(INDIRECT(ADDRESS(33+3,BS$2+1,,,"Instances") &amp; ":" &amp; ADDRESS(33+3,BS$2+1))),"max", MAX(INDIRECT(ADDRESS(33+3,BS$2+1,,,"Instances") &amp; ":" &amp; ADDRESS(33+3,BS$2+1))),"diff", MAX(INDIRECT(ADDRESS(33+3,BS$2+1,,,"Instances") &amp; ":" &amp; ADDRESS(33+3,BS$2+1)))-MIN(INDIRECT(ADDRESS(33+3,BS$2+1,,,"Instances") &amp; ":" &amp; ADDRESS(33+3,BS$2+1))))</f>
        <v>0</v>
      </c>
      <c r="BT38">
        <f>IFERROR(SMALL(BS5:BS44,ROW()-ROW($BT$5)+1),"")</f>
        <v>0</v>
      </c>
      <c r="BV38">
        <f>IFERROR(SUM(BT5:BT38),"")</f>
        <v>0</v>
      </c>
      <c r="BW38" cm="1">
        <f t="array" ref="BW38">_xlfn.SWITCH(Charts!$B$3,"average", AVERAGE(INDIRECT(ADDRESS(33+3,BW$2+1,,,"Instances") &amp; ":" &amp; ADDRESS(33+3,BW$2+1))),"median", MEDIAN(INDIRECT(ADDRESS(33+3,BW$2+1,,,"Instances") &amp; ":" &amp; ADDRESS(33+3,BW$2+1))),"min", MIN(INDIRECT(ADDRESS(33+3,BW$2+1,,,"Instances") &amp; ":" &amp; ADDRESS(33+3,BW$2+1))),"max", MAX(INDIRECT(ADDRESS(33+3,BW$2+1,,,"Instances") &amp; ":" &amp; ADDRESS(33+3,BW$2+1))),"diff", MAX(INDIRECT(ADDRESS(33+3,BW$2+1,,,"Instances") &amp; ":" &amp; ADDRESS(33+3,BW$2+1)))-MIN(INDIRECT(ADDRESS(33+3,BW$2+1,,,"Instances") &amp; ":" &amp; ADDRESS(33+3,BW$2+1))))</f>
        <v>0</v>
      </c>
      <c r="BX38">
        <f>IFERROR(SMALL(BW5:BW44,ROW()-ROW($BX$5)+1),"")</f>
        <v>0</v>
      </c>
      <c r="BZ38">
        <f>IFERROR(SUM(BX5:BX38),"")</f>
        <v>0</v>
      </c>
      <c r="CA38" cm="1">
        <f t="array" ref="CA38">_xlfn.SWITCH(Charts!$B$3,"average", AVERAGE(INDIRECT(ADDRESS(33+3,CA$2+1,,,"Instances") &amp; ":" &amp; ADDRESS(33+3,CA$2+1))),"median", MEDIAN(INDIRECT(ADDRESS(33+3,CA$2+1,,,"Instances") &amp; ":" &amp; ADDRESS(33+3,CA$2+1))),"min", MIN(INDIRECT(ADDRESS(33+3,CA$2+1,,,"Instances") &amp; ":" &amp; ADDRESS(33+3,CA$2+1))),"max", MAX(INDIRECT(ADDRESS(33+3,CA$2+1,,,"Instances") &amp; ":" &amp; ADDRESS(33+3,CA$2+1))),"diff", MAX(INDIRECT(ADDRESS(33+3,CA$2+1,,,"Instances") &amp; ":" &amp; ADDRESS(33+3,CA$2+1)))-MIN(INDIRECT(ADDRESS(33+3,CA$2+1,,,"Instances") &amp; ":" &amp; ADDRESS(33+3,CA$2+1))))</f>
        <v>0</v>
      </c>
      <c r="CB38">
        <f>IFERROR(SMALL(CA5:CA44,ROW()-ROW($CB$5)+1),"")</f>
        <v>0</v>
      </c>
      <c r="CD38">
        <f>IFERROR(SUM(CB5:CB38),"")</f>
        <v>0</v>
      </c>
      <c r="CE38" cm="1">
        <f t="array" ref="CE38">_xlfn.SWITCH(Charts!$B$3,"average", AVERAGE(INDIRECT(ADDRESS(33+3,CE$2+1,,,"Instances") &amp; ":" &amp; ADDRESS(33+3,CE$2+1))),"median", MEDIAN(INDIRECT(ADDRESS(33+3,CE$2+1,,,"Instances") &amp; ":" &amp; ADDRESS(33+3,CE$2+1))),"min", MIN(INDIRECT(ADDRESS(33+3,CE$2+1,,,"Instances") &amp; ":" &amp; ADDRESS(33+3,CE$2+1))),"max", MAX(INDIRECT(ADDRESS(33+3,CE$2+1,,,"Instances") &amp; ":" &amp; ADDRESS(33+3,CE$2+1))),"diff", MAX(INDIRECT(ADDRESS(33+3,CE$2+1,,,"Instances") &amp; ":" &amp; ADDRESS(33+3,CE$2+1)))-MIN(INDIRECT(ADDRESS(33+3,CE$2+1,,,"Instances") &amp; ":" &amp; ADDRESS(33+3,CE$2+1))))</f>
        <v>0</v>
      </c>
      <c r="CF38">
        <f>IFERROR(SMALL(CE5:CE44,ROW()-ROW($CF$5)+1),"")</f>
        <v>0</v>
      </c>
      <c r="CH38">
        <f>IFERROR(SUM(CF5:CF38),"")</f>
        <v>0</v>
      </c>
      <c r="CI38" cm="1">
        <f t="array" ref="CI38">_xlfn.SWITCH(Charts!$B$3,"average", AVERAGE(INDIRECT(ADDRESS(33+3,CI$2+1,,,"Instances") &amp; ":" &amp; ADDRESS(33+3,CI$2+1))),"median", MEDIAN(INDIRECT(ADDRESS(33+3,CI$2+1,,,"Instances") &amp; ":" &amp; ADDRESS(33+3,CI$2+1))),"min", MIN(INDIRECT(ADDRESS(33+3,CI$2+1,,,"Instances") &amp; ":" &amp; ADDRESS(33+3,CI$2+1))),"max", MAX(INDIRECT(ADDRESS(33+3,CI$2+1,,,"Instances") &amp; ":" &amp; ADDRESS(33+3,CI$2+1))),"diff", MAX(INDIRECT(ADDRESS(33+3,CI$2+1,,,"Instances") &amp; ":" &amp; ADDRESS(33+3,CI$2+1)))-MIN(INDIRECT(ADDRESS(33+3,CI$2+1,,,"Instances") &amp; ":" &amp; ADDRESS(33+3,CI$2+1))))</f>
        <v>0</v>
      </c>
      <c r="CJ38">
        <f>IFERROR(SMALL(CI5:CI44,ROW()-ROW($CJ$5)+1),"")</f>
        <v>0</v>
      </c>
      <c r="CL38">
        <f>IFERROR(SUM(CJ5:CJ38),"")</f>
        <v>0</v>
      </c>
      <c r="CM38" cm="1">
        <f t="array" ref="CM38">_xlfn.SWITCH(Charts!$B$3,"average", AVERAGE(INDIRECT(ADDRESS(33+3,CM$2+1,,,"Instances") &amp; ":" &amp; ADDRESS(33+3,CM$2+1))),"median", MEDIAN(INDIRECT(ADDRESS(33+3,CM$2+1,,,"Instances") &amp; ":" &amp; ADDRESS(33+3,CM$2+1))),"min", MIN(INDIRECT(ADDRESS(33+3,CM$2+1,,,"Instances") &amp; ":" &amp; ADDRESS(33+3,CM$2+1))),"max", MAX(INDIRECT(ADDRESS(33+3,CM$2+1,,,"Instances") &amp; ":" &amp; ADDRESS(33+3,CM$2+1))),"diff", MAX(INDIRECT(ADDRESS(33+3,CM$2+1,,,"Instances") &amp; ":" &amp; ADDRESS(33+3,CM$2+1)))-MIN(INDIRECT(ADDRESS(33+3,CM$2+1,,,"Instances") &amp; ":" &amp; ADDRESS(33+3,CM$2+1))))</f>
        <v>0</v>
      </c>
      <c r="CN38">
        <f>IFERROR(SMALL(CM5:CM44,ROW()-ROW($CN$5)+1),"")</f>
        <v>0</v>
      </c>
      <c r="CP38">
        <f>IFERROR(SUM(CN5:CN38),"")</f>
        <v>0</v>
      </c>
      <c r="CQ38" cm="1">
        <f t="array" ref="CQ38">_xlfn.SWITCH(Charts!$B$3,"average", AVERAGE(INDIRECT(ADDRESS(33+3,CQ$2+1,,,"Instances") &amp; ":" &amp; ADDRESS(33+3,CQ$2+1))),"median", MEDIAN(INDIRECT(ADDRESS(33+3,CQ$2+1,,,"Instances") &amp; ":" &amp; ADDRESS(33+3,CQ$2+1))),"min", MIN(INDIRECT(ADDRESS(33+3,CQ$2+1,,,"Instances") &amp; ":" &amp; ADDRESS(33+3,CQ$2+1))),"max", MAX(INDIRECT(ADDRESS(33+3,CQ$2+1,,,"Instances") &amp; ":" &amp; ADDRESS(33+3,CQ$2+1))),"diff", MAX(INDIRECT(ADDRESS(33+3,CQ$2+1,,,"Instances") &amp; ":" &amp; ADDRESS(33+3,CQ$2+1)))-MIN(INDIRECT(ADDRESS(33+3,CQ$2+1,,,"Instances") &amp; ":" &amp; ADDRESS(33+3,CQ$2+1))))</f>
        <v>0</v>
      </c>
      <c r="CR38">
        <f>IFERROR(SMALL(CQ5:CQ44,ROW()-ROW($CR$5)+1),"")</f>
        <v>0</v>
      </c>
      <c r="CT38">
        <f>IFERROR(SUM(CR5:CR38),"")</f>
        <v>0</v>
      </c>
      <c r="CU38" cm="1">
        <f t="array" ref="CU38">_xlfn.SWITCH(Charts!$B$3,"average", AVERAGE(INDIRECT(ADDRESS(33+3,CU$2+1,,,"Instances") &amp; ":" &amp; ADDRESS(33+3,CU$2+1))),"median", MEDIAN(INDIRECT(ADDRESS(33+3,CU$2+1,,,"Instances") &amp; ":" &amp; ADDRESS(33+3,CU$2+1))),"min", MIN(INDIRECT(ADDRESS(33+3,CU$2+1,,,"Instances") &amp; ":" &amp; ADDRESS(33+3,CU$2+1))),"max", MAX(INDIRECT(ADDRESS(33+3,CU$2+1,,,"Instances") &amp; ":" &amp; ADDRESS(33+3,CU$2+1))),"diff", MAX(INDIRECT(ADDRESS(33+3,CU$2+1,,,"Instances") &amp; ":" &amp; ADDRESS(33+3,CU$2+1)))-MIN(INDIRECT(ADDRESS(33+3,CU$2+1,,,"Instances") &amp; ":" &amp; ADDRESS(33+3,CU$2+1))))</f>
        <v>0</v>
      </c>
      <c r="CV38">
        <f>IFERROR(SMALL(CU5:CU44,ROW()-ROW($CV$5)+1),"")</f>
        <v>0</v>
      </c>
      <c r="CX38">
        <f>IFERROR(SUM(CV5:CV38),"")</f>
        <v>0</v>
      </c>
      <c r="CY38" cm="1">
        <f t="array" ref="CY38">_xlfn.SWITCH(Charts!$B$3,"average", AVERAGE(INDIRECT(ADDRESS(33+3,CY$2+1,,,"Instances") &amp; ":" &amp; ADDRESS(33+3,CY$2+1))),"median", MEDIAN(INDIRECT(ADDRESS(33+3,CY$2+1,,,"Instances") &amp; ":" &amp; ADDRESS(33+3,CY$2+1))),"min", MIN(INDIRECT(ADDRESS(33+3,CY$2+1,,,"Instances") &amp; ":" &amp; ADDRESS(33+3,CY$2+1))),"max", MAX(INDIRECT(ADDRESS(33+3,CY$2+1,,,"Instances") &amp; ":" &amp; ADDRESS(33+3,CY$2+1))),"diff", MAX(INDIRECT(ADDRESS(33+3,CY$2+1,,,"Instances") &amp; ":" &amp; ADDRESS(33+3,CY$2+1)))-MIN(INDIRECT(ADDRESS(33+3,CY$2+1,,,"Instances") &amp; ":" &amp; ADDRESS(33+3,CY$2+1))))</f>
        <v>0</v>
      </c>
      <c r="CZ38">
        <f>IFERROR(SMALL(CY5:CY44,ROW()-ROW($CZ$5)+1),"")</f>
        <v>0</v>
      </c>
      <c r="DB38">
        <f>IFERROR(SUM(CZ5:CZ38),"")</f>
        <v>0</v>
      </c>
      <c r="DC38" cm="1">
        <f t="array" ref="DC38">_xlfn.SWITCH(Charts!$B$3,"average", AVERAGE(INDIRECT(ADDRESS(33+3,DC$2+1,,,"Instances") &amp; ":" &amp; ADDRESS(33+3,DC$2+1))),"median", MEDIAN(INDIRECT(ADDRESS(33+3,DC$2+1,,,"Instances") &amp; ":" &amp; ADDRESS(33+3,DC$2+1))),"min", MIN(INDIRECT(ADDRESS(33+3,DC$2+1,,,"Instances") &amp; ":" &amp; ADDRESS(33+3,DC$2+1))),"max", MAX(INDIRECT(ADDRESS(33+3,DC$2+1,,,"Instances") &amp; ":" &amp; ADDRESS(33+3,DC$2+1))),"diff", MAX(INDIRECT(ADDRESS(33+3,DC$2+1,,,"Instances") &amp; ":" &amp; ADDRESS(33+3,DC$2+1)))-MIN(INDIRECT(ADDRESS(33+3,DC$2+1,,,"Instances") &amp; ":" &amp; ADDRESS(33+3,DC$2+1))))</f>
        <v>0</v>
      </c>
      <c r="DD38">
        <f>IFERROR(SMALL(DC5:DC44,ROW()-ROW($DD$5)+1),"")</f>
        <v>0</v>
      </c>
      <c r="DF38">
        <f>IFERROR(SUM(DD5:DD38),"")</f>
        <v>0</v>
      </c>
      <c r="DG38" cm="1">
        <f t="array" ref="DG38">_xlfn.SWITCH(Charts!$B$3,"average", AVERAGE(INDIRECT(ADDRESS(33+3,DG$2+1,,,"Instances") &amp; ":" &amp; ADDRESS(33+3,DG$2+1))),"median", MEDIAN(INDIRECT(ADDRESS(33+3,DG$2+1,,,"Instances") &amp; ":" &amp; ADDRESS(33+3,DG$2+1))),"min", MIN(INDIRECT(ADDRESS(33+3,DG$2+1,,,"Instances") &amp; ":" &amp; ADDRESS(33+3,DG$2+1))),"max", MAX(INDIRECT(ADDRESS(33+3,DG$2+1,,,"Instances") &amp; ":" &amp; ADDRESS(33+3,DG$2+1))),"diff", MAX(INDIRECT(ADDRESS(33+3,DG$2+1,,,"Instances") &amp; ":" &amp; ADDRESS(33+3,DG$2+1)))-MIN(INDIRECT(ADDRESS(33+3,DG$2+1,,,"Instances") &amp; ":" &amp; ADDRESS(33+3,DG$2+1))))</f>
        <v>0</v>
      </c>
      <c r="DH38">
        <f>IFERROR(SMALL(DG5:DG44,ROW()-ROW($DH$5)+1),"")</f>
        <v>0</v>
      </c>
      <c r="DJ38">
        <f>IFERROR(SUM(DH5:DH38),"")</f>
        <v>0</v>
      </c>
      <c r="DK38" cm="1">
        <f t="array" ref="DK38">_xlfn.SWITCH(Charts!$B$3,"average", AVERAGE(INDIRECT(ADDRESS(33+3,DK$2+1,,,"Instances") &amp; ":" &amp; ADDRESS(33+3,DK$2+1))),"median", MEDIAN(INDIRECT(ADDRESS(33+3,DK$2+1,,,"Instances") &amp; ":" &amp; ADDRESS(33+3,DK$2+1))),"min", MIN(INDIRECT(ADDRESS(33+3,DK$2+1,,,"Instances") &amp; ":" &amp; ADDRESS(33+3,DK$2+1))),"max", MAX(INDIRECT(ADDRESS(33+3,DK$2+1,,,"Instances") &amp; ":" &amp; ADDRESS(33+3,DK$2+1))),"diff", MAX(INDIRECT(ADDRESS(33+3,DK$2+1,,,"Instances") &amp; ":" &amp; ADDRESS(33+3,DK$2+1)))-MIN(INDIRECT(ADDRESS(33+3,DK$2+1,,,"Instances") &amp; ":" &amp; ADDRESS(33+3,DK$2+1))))</f>
        <v>0</v>
      </c>
      <c r="DL38">
        <f>IFERROR(SMALL(DK5:DK44,ROW()-ROW($DL$5)+1),"")</f>
        <v>0</v>
      </c>
      <c r="DN38">
        <f>IFERROR(SUM(DL5:DL38),"")</f>
        <v>0</v>
      </c>
      <c r="DO38" cm="1">
        <f t="array" ref="DO38">_xlfn.SWITCH(Charts!$B$3,"average", AVERAGE(INDIRECT(ADDRESS(33+3,DO$2+1,,,"Instances") &amp; ":" &amp; ADDRESS(33+3,DO$2+1))),"median", MEDIAN(INDIRECT(ADDRESS(33+3,DO$2+1,,,"Instances") &amp; ":" &amp; ADDRESS(33+3,DO$2+1))),"min", MIN(INDIRECT(ADDRESS(33+3,DO$2+1,,,"Instances") &amp; ":" &amp; ADDRESS(33+3,DO$2+1))),"max", MAX(INDIRECT(ADDRESS(33+3,DO$2+1,,,"Instances") &amp; ":" &amp; ADDRESS(33+3,DO$2+1))),"diff", MAX(INDIRECT(ADDRESS(33+3,DO$2+1,,,"Instances") &amp; ":" &amp; ADDRESS(33+3,DO$2+1)))-MIN(INDIRECT(ADDRESS(33+3,DO$2+1,,,"Instances") &amp; ":" &amp; ADDRESS(33+3,DO$2+1))))</f>
        <v>0</v>
      </c>
      <c r="DP38">
        <f>IFERROR(SMALL(DO5:DO44,ROW()-ROW($DP$5)+1),"")</f>
        <v>0</v>
      </c>
      <c r="DR38">
        <f>IFERROR(SUM(DP5:DP38),"")</f>
        <v>0</v>
      </c>
      <c r="DS38" cm="1">
        <f t="array" ref="DS38">_xlfn.SWITCH(Charts!$B$3,"average", AVERAGE(INDIRECT(ADDRESS(33+3,DS$2+1,,,"Instances") &amp; ":" &amp; ADDRESS(33+3,DS$2+1))),"median", MEDIAN(INDIRECT(ADDRESS(33+3,DS$2+1,,,"Instances") &amp; ":" &amp; ADDRESS(33+3,DS$2+1))),"min", MIN(INDIRECT(ADDRESS(33+3,DS$2+1,,,"Instances") &amp; ":" &amp; ADDRESS(33+3,DS$2+1))),"max", MAX(INDIRECT(ADDRESS(33+3,DS$2+1,,,"Instances") &amp; ":" &amp; ADDRESS(33+3,DS$2+1))),"diff", MAX(INDIRECT(ADDRESS(33+3,DS$2+1,,,"Instances") &amp; ":" &amp; ADDRESS(33+3,DS$2+1)))-MIN(INDIRECT(ADDRESS(33+3,DS$2+1,,,"Instances") &amp; ":" &amp; ADDRESS(33+3,DS$2+1))))</f>
        <v>0</v>
      </c>
      <c r="DT38">
        <f>IFERROR(SMALL(DS5:DS44,ROW()-ROW($DT$5)+1),"")</f>
        <v>0</v>
      </c>
      <c r="DV38">
        <f>IFERROR(SUM(DT5:DT38),"")</f>
        <v>0</v>
      </c>
      <c r="DW38" cm="1">
        <f t="array" ref="DW38">_xlfn.SWITCH(Charts!$B$3,"average", AVERAGE(INDIRECT(ADDRESS(33+3,DW$2+1,,,"Instances") &amp; ":" &amp; ADDRESS(33+3,DW$2+1))),"median", MEDIAN(INDIRECT(ADDRESS(33+3,DW$2+1,,,"Instances") &amp; ":" &amp; ADDRESS(33+3,DW$2+1))),"min", MIN(INDIRECT(ADDRESS(33+3,DW$2+1,,,"Instances") &amp; ":" &amp; ADDRESS(33+3,DW$2+1))),"max", MAX(INDIRECT(ADDRESS(33+3,DW$2+1,,,"Instances") &amp; ":" &amp; ADDRESS(33+3,DW$2+1))),"diff", MAX(INDIRECT(ADDRESS(33+3,DW$2+1,,,"Instances") &amp; ":" &amp; ADDRESS(33+3,DW$2+1)))-MIN(INDIRECT(ADDRESS(33+3,DW$2+1,,,"Instances") &amp; ":" &amp; ADDRESS(33+3,DW$2+1))))</f>
        <v>0</v>
      </c>
      <c r="DX38">
        <f>IFERROR(SMALL(DW5:DW44,ROW()-ROW($DX$5)+1),"")</f>
        <v>0</v>
      </c>
      <c r="DZ38">
        <f>IFERROR(SUM(DX5:DX38),"")</f>
        <v>0</v>
      </c>
      <c r="EA38" cm="1">
        <f t="array" ref="EA38">_xlfn.SWITCH(Charts!$B$3,"average", AVERAGE(INDIRECT(ADDRESS(33+3,EA$2+1,,,"Instances") &amp; ":" &amp; ADDRESS(33+3,EA$2+1))),"median", MEDIAN(INDIRECT(ADDRESS(33+3,EA$2+1,,,"Instances") &amp; ":" &amp; ADDRESS(33+3,EA$2+1))),"min", MIN(INDIRECT(ADDRESS(33+3,EA$2+1,,,"Instances") &amp; ":" &amp; ADDRESS(33+3,EA$2+1))),"max", MAX(INDIRECT(ADDRESS(33+3,EA$2+1,,,"Instances") &amp; ":" &amp; ADDRESS(33+3,EA$2+1))),"diff", MAX(INDIRECT(ADDRESS(33+3,EA$2+1,,,"Instances") &amp; ":" &amp; ADDRESS(33+3,EA$2+1)))-MIN(INDIRECT(ADDRESS(33+3,EA$2+1,,,"Instances") &amp; ":" &amp; ADDRESS(33+3,EA$2+1))))</f>
        <v>0</v>
      </c>
      <c r="EB38">
        <f>IFERROR(SMALL(EA5:EA44,ROW()-ROW($EB$5)+1),"")</f>
        <v>0</v>
      </c>
      <c r="ED38">
        <f>IFERROR(SUM(EB5:EB38),"")</f>
        <v>0</v>
      </c>
      <c r="EG38">
        <f>IF(Charts!$B$3="none",E245,IF(BS245="",NA(),BS245))</f>
        <v>0</v>
      </c>
      <c r="EH38">
        <f>IF(Charts!$B$3="none",F245,IF(BT245="",NA(),BT245))</f>
        <v>0</v>
      </c>
      <c r="EI38">
        <f>IF(Charts!$B$3="none",G245,IF(BU245="",NA(),BU245))</f>
        <v>0</v>
      </c>
      <c r="EJ38">
        <f>IF(Charts!$B$3="none",H245,IF(BV245="",NA(),BV245))</f>
        <v>0</v>
      </c>
      <c r="EK38">
        <f>IF(Charts!$B$3="none",I245,IF(BW245="",NA(),BW245))</f>
        <v>0</v>
      </c>
      <c r="EL38">
        <f>IF(Charts!$B$3="none",J245,IF(BX245="",NA(),BX245))</f>
        <v>0</v>
      </c>
      <c r="EM38">
        <f>IF(Charts!$B$3="none",K245,IF(BY245="",NA(),BY245))</f>
        <v>0</v>
      </c>
      <c r="EN38">
        <f>IF(Charts!$B$3="none",L245,IF(BZ245="",NA(),BZ245))</f>
        <v>0</v>
      </c>
      <c r="EO38">
        <f>IF(Charts!$B$3="none",M245,IF(CA245="",NA(),CA245))</f>
        <v>0</v>
      </c>
      <c r="EP38">
        <f>IF(Charts!$B$3="none",N245,IF(CB245="",NA(),CB245))</f>
        <v>0</v>
      </c>
      <c r="EQ38">
        <f>IF(Charts!$B$3="none",O245,IF(CC245="",NA(),CC245))</f>
        <v>0</v>
      </c>
      <c r="ER38">
        <f>IF(Charts!$B$3="none",P245,IF(CD245="",NA(),CD245))</f>
        <v>0</v>
      </c>
      <c r="ES38">
        <f>IF(Charts!$B$3="none",Q245,IF(CE245="",NA(),CE245))</f>
        <v>0</v>
      </c>
      <c r="ET38">
        <f>IF(Charts!$B$3="none",R245,IF(CF245="",NA(),CF245))</f>
        <v>0</v>
      </c>
      <c r="EU38">
        <f>IF(Charts!$B$3="none",S245,IF(CG245="",NA(),CG245))</f>
        <v>0</v>
      </c>
      <c r="EV38">
        <f>IF(Charts!$B$3="none",T245,IF(CH245="",NA(),CH245))</f>
        <v>0</v>
      </c>
      <c r="EW38">
        <f>IF(Charts!$B$3="none",U245,IF(CI245="",NA(),CI245))</f>
        <v>0</v>
      </c>
      <c r="EX38">
        <f>IF(Charts!$B$3="none",V245,IF(CJ245="",NA(),CJ245))</f>
        <v>0</v>
      </c>
      <c r="EY38">
        <f>IF(Charts!$B$3="none",W245,IF(CK245="",NA(),CK245))</f>
        <v>0</v>
      </c>
      <c r="EZ38">
        <f>IF(Charts!$B$3="none",X245,IF(CL245="",NA(),CL245))</f>
        <v>0</v>
      </c>
      <c r="FA38">
        <f>IF(Charts!$B$3="none",Y245,IF(CM245="",NA(),CM245))</f>
        <v>0</v>
      </c>
      <c r="FB38">
        <f>IF(Charts!$B$3="none",Z245,IF(CN245="",NA(),CN245))</f>
        <v>0</v>
      </c>
      <c r="FC38">
        <f>IF(Charts!$B$3="none",AA245,IF(CO245="",NA(),CO245))</f>
        <v>0</v>
      </c>
      <c r="FD38">
        <f>IF(Charts!$B$3="none",AB245,IF(CP245="",NA(),CP245))</f>
        <v>0</v>
      </c>
      <c r="FE38">
        <f>IF(Charts!$B$3="none",AC245,IF(CQ245="",NA(),CQ245))</f>
        <v>0</v>
      </c>
      <c r="FF38">
        <f>IF(Charts!$B$3="none",AD245,IF(CR245="",NA(),CR245))</f>
        <v>0</v>
      </c>
      <c r="FG38">
        <f>IF(Charts!$B$3="none",AE245,IF(CS245="",NA(),CS245))</f>
        <v>0</v>
      </c>
      <c r="FH38">
        <f>IF(Charts!$B$3="none",AF245,IF(CT245="",NA(),CT245))</f>
        <v>0</v>
      </c>
      <c r="FI38">
        <f>IF(Charts!$B$3="none",AG245,IF(CU245="",NA(),CU245))</f>
        <v>0</v>
      </c>
      <c r="FJ38">
        <f>IF(Charts!$B$3="none",AH245,IF(CV245="",NA(),CV245))</f>
        <v>0</v>
      </c>
      <c r="FK38">
        <f>IF(Charts!$B$3="none",AI245,IF(CW245="",NA(),CW245))</f>
        <v>0</v>
      </c>
      <c r="FL38">
        <f>IF(Charts!$B$3="none",AJ245,IF(CX245="",NA(),CX245))</f>
        <v>0</v>
      </c>
      <c r="FM38">
        <f>IF(Charts!$B$3="none",AK245,IF(CY245="",NA(),CY245))</f>
        <v>0</v>
      </c>
      <c r="FN38">
        <f>IF(Charts!$B$3="none",AL245,IF(CZ245="",NA(),CZ245))</f>
        <v>0</v>
      </c>
      <c r="FO38">
        <f>IF(Charts!$B$3="none",AM245,IF(DA245="",NA(),DA245))</f>
        <v>0</v>
      </c>
      <c r="FP38">
        <f>IF(Charts!$B$3="none",AN245,IF(DB245="",NA(),DB245))</f>
        <v>0</v>
      </c>
      <c r="FQ38">
        <f>IF(Charts!$B$3="none",AO245,IF(DC245="",NA(),DC245))</f>
        <v>0</v>
      </c>
      <c r="FR38">
        <f>IF(Charts!$B$3="none",AP245,IF(DD245="",NA(),DD245))</f>
        <v>0</v>
      </c>
      <c r="FS38">
        <f>IF(Charts!$B$3="none",AQ245,IF(DE245="",NA(),DE245))</f>
        <v>0</v>
      </c>
      <c r="FT38">
        <f>IF(Charts!$B$3="none",AR245,IF(DF245="",NA(),DF245))</f>
        <v>0</v>
      </c>
      <c r="FU38">
        <f>IF(Charts!$B$3="none",AS245,IF(DG245="",NA(),DG245))</f>
        <v>0</v>
      </c>
      <c r="FV38">
        <f>IF(Charts!$B$3="none",AT245,IF(DH245="",NA(),DH245))</f>
        <v>0</v>
      </c>
      <c r="FW38">
        <f>IF(Charts!$B$3="none",AU245,IF(DI245="",NA(),DI245))</f>
        <v>0</v>
      </c>
      <c r="FX38">
        <f>IF(Charts!$B$3="none",AV245,IF(DJ245="",NA(),DJ245))</f>
        <v>0</v>
      </c>
      <c r="FY38">
        <f>IF(Charts!$B$3="none",AW245,IF(DK245="",NA(),DK245))</f>
        <v>0</v>
      </c>
      <c r="FZ38">
        <f>IF(Charts!$B$3="none",AX245,IF(DL245="",NA(),DL245))</f>
        <v>0</v>
      </c>
      <c r="GA38">
        <f>IF(Charts!$B$3="none",AY245,IF(DM245="",NA(),DM245))</f>
        <v>0</v>
      </c>
      <c r="GB38">
        <f>IF(Charts!$B$3="none",AZ245,IF(DN245="",NA(),DN245))</f>
        <v>0</v>
      </c>
      <c r="GC38">
        <f>IF(Charts!$B$3="none",BA245,IF(DO245="",NA(),DO245))</f>
        <v>0</v>
      </c>
      <c r="GD38">
        <f>IF(Charts!$B$3="none",BB245,IF(DP245="",NA(),DP245))</f>
        <v>0</v>
      </c>
      <c r="GE38">
        <f>IF(Charts!$B$3="none",BC245,IF(DQ245="",NA(),DQ245))</f>
        <v>0</v>
      </c>
      <c r="GF38">
        <f>IF(Charts!$B$3="none",BD245,IF(DR245="",NA(),DR245))</f>
        <v>0</v>
      </c>
      <c r="GG38">
        <f>IF(Charts!$B$3="none",BE245,IF(DS245="",NA(),DS245))</f>
        <v>0</v>
      </c>
      <c r="GH38">
        <f>IF(Charts!$B$3="none",BF245,IF(DT245="",NA(),DT245))</f>
        <v>0</v>
      </c>
      <c r="GI38">
        <f>IF(Charts!$B$3="none",BG245,IF(DU245="",NA(),DU245))</f>
        <v>0</v>
      </c>
      <c r="GJ38">
        <f>IF(Charts!$B$3="none",BH245,IF(DV245="",NA(),DV245))</f>
        <v>0</v>
      </c>
      <c r="GK38">
        <f>IF(Charts!$B$3="none",BI245,IF(DW245="",NA(),DW245))</f>
        <v>0</v>
      </c>
      <c r="GL38">
        <f>IF(Charts!$B$3="none",BJ245,IF(DX245="",NA(),DX245))</f>
        <v>0</v>
      </c>
      <c r="GM38">
        <f>IF(Charts!$B$3="none",BK245,IF(DY245="",NA(),DY245))</f>
        <v>0</v>
      </c>
      <c r="GN38">
        <f>IF(Charts!$B$3="none",BL245,IF(DZ245="",NA(),DZ245))</f>
        <v>0</v>
      </c>
      <c r="GO38">
        <f>IF(Charts!$B$3="none",BM245,IF(EA245="",NA(),EA245))</f>
        <v>0</v>
      </c>
      <c r="GP38">
        <f>IF(Charts!$B$3="none",BN245,IF(EB245="",NA(),EB245))</f>
        <v>0</v>
      </c>
      <c r="GQ38">
        <f>IF(Charts!$B$3="none",BO245,IF(EC245="",NA(),EC245))</f>
        <v>0</v>
      </c>
      <c r="GR38">
        <f>IF(Charts!$B$3="none",BP245,IF(ED245="",NA(),ED245))</f>
        <v>0</v>
      </c>
    </row>
    <row r="39" spans="4:200">
      <c r="D39">
        <v>35</v>
      </c>
      <c r="E39">
        <f>IF(INDIRECT(ADDRESS($D39+2,E$2+1,,,"Instances"))="","",INDIRECT(ADDRESS($D39+2,E$2+1,,,"Instances")))</f>
        <v>0</v>
      </c>
      <c r="F39">
        <f>IFERROR(SMALL(E5:E44,ROW()-ROW($F$5)+1),"")</f>
        <v>0</v>
      </c>
      <c r="H39">
        <f>IFERROR(SUM(F5:F39),"")</f>
        <v>0</v>
      </c>
      <c r="I39">
        <f>IF(INDIRECT(ADDRESS($D39+2,I$2+1,,,"Instances"))="","",INDIRECT(ADDRESS($D39+2,I$2+1,,,"Instances")))</f>
        <v>0</v>
      </c>
      <c r="J39">
        <f>IFERROR(SMALL(I5:I44,ROW()-ROW($J$5)+1),"")</f>
        <v>0</v>
      </c>
      <c r="L39">
        <f>IFERROR(SUM(J5:J39),"")</f>
        <v>0</v>
      </c>
      <c r="M39">
        <f>IF(INDIRECT(ADDRESS($D39+2,M$2+1,,,"Instances"))="","",INDIRECT(ADDRESS($D39+2,M$2+1,,,"Instances")))</f>
        <v>0</v>
      </c>
      <c r="N39">
        <f>IFERROR(SMALL(M5:M44,ROW()-ROW($N$5)+1),"")</f>
        <v>0</v>
      </c>
      <c r="P39">
        <f>IFERROR(SUM(N5:N39),"")</f>
        <v>0</v>
      </c>
      <c r="Q39">
        <f>IF(INDIRECT(ADDRESS($D39+2,Q$2+1,,,"Instances"))="","",INDIRECT(ADDRESS($D39+2,Q$2+1,,,"Instances")))</f>
        <v>0</v>
      </c>
      <c r="R39">
        <f>IFERROR(SMALL(Q5:Q44,ROW()-ROW($R$5)+1),"")</f>
        <v>0</v>
      </c>
      <c r="T39">
        <f>IFERROR(SUM(R5:R39),"")</f>
        <v>0</v>
      </c>
      <c r="U39">
        <f>IF(INDIRECT(ADDRESS($D39+2,U$2+1,,,"Instances"))="","",INDIRECT(ADDRESS($D39+2,U$2+1,,,"Instances")))</f>
        <v>0</v>
      </c>
      <c r="V39">
        <f>IFERROR(SMALL(U5:U44,ROW()-ROW($V$5)+1),"")</f>
        <v>0</v>
      </c>
      <c r="X39">
        <f>IFERROR(SUM(V5:V39),"")</f>
        <v>0</v>
      </c>
      <c r="Y39">
        <f>IF(INDIRECT(ADDRESS($D39+2,Y$2+1,,,"Instances"))="","",INDIRECT(ADDRESS($D39+2,Y$2+1,,,"Instances")))</f>
        <v>0</v>
      </c>
      <c r="Z39">
        <f>IFERROR(SMALL(Y5:Y44,ROW()-ROW($Z$5)+1),"")</f>
        <v>0</v>
      </c>
      <c r="AB39">
        <f>IFERROR(SUM(Z5:Z39),"")</f>
        <v>0</v>
      </c>
      <c r="AC39">
        <f>IF(INDIRECT(ADDRESS($D39+2,AC$2+1,,,"Instances"))="","",INDIRECT(ADDRESS($D39+2,AC$2+1,,,"Instances")))</f>
        <v>0</v>
      </c>
      <c r="AD39">
        <f>IFERROR(SMALL(AC5:AC44,ROW()-ROW($AD$5)+1),"")</f>
        <v>0</v>
      </c>
      <c r="AF39">
        <f>IFERROR(SUM(AD5:AD39),"")</f>
        <v>0</v>
      </c>
      <c r="AG39">
        <f>IF(INDIRECT(ADDRESS($D39+2,AG$2+1,,,"Instances"))="","",INDIRECT(ADDRESS($D39+2,AG$2+1,,,"Instances")))</f>
        <v>0</v>
      </c>
      <c r="AH39">
        <f>IFERROR(SMALL(AG5:AG44,ROW()-ROW($AH$5)+1),"")</f>
        <v>0</v>
      </c>
      <c r="AJ39">
        <f>IFERROR(SUM(AH5:AH39),"")</f>
        <v>0</v>
      </c>
      <c r="AK39">
        <f>IF(INDIRECT(ADDRESS($D39+2,AK$2+1,,,"Instances"))="","",INDIRECT(ADDRESS($D39+2,AK$2+1,,,"Instances")))</f>
        <v>0</v>
      </c>
      <c r="AL39">
        <f>IFERROR(SMALL(AK5:AK44,ROW()-ROW($AL$5)+1),"")</f>
        <v>0</v>
      </c>
      <c r="AN39">
        <f>IFERROR(SUM(AL5:AL39),"")</f>
        <v>0</v>
      </c>
      <c r="AO39">
        <f>IF(INDIRECT(ADDRESS($D39+2,AO$2+1,,,"Instances"))="","",INDIRECT(ADDRESS($D39+2,AO$2+1,,,"Instances")))</f>
        <v>0</v>
      </c>
      <c r="AP39">
        <f>IFERROR(SMALL(AO5:AO44,ROW()-ROW($AP$5)+1),"")</f>
        <v>0</v>
      </c>
      <c r="AR39">
        <f>IFERROR(SUM(AP5:AP39),"")</f>
        <v>0</v>
      </c>
      <c r="AS39">
        <f>IF(INDIRECT(ADDRESS($D39+2,AS$2+1,,,"Instances"))="","",INDIRECT(ADDRESS($D39+2,AS$2+1,,,"Instances")))</f>
        <v>0</v>
      </c>
      <c r="AT39">
        <f>IFERROR(SMALL(AS5:AS44,ROW()-ROW($AT$5)+1),"")</f>
        <v>0</v>
      </c>
      <c r="AV39">
        <f>IFERROR(SUM(AT5:AT39),"")</f>
        <v>0</v>
      </c>
      <c r="AW39">
        <f>IF(INDIRECT(ADDRESS($D39+2,AW$2+1,,,"Instances"))="","",INDIRECT(ADDRESS($D39+2,AW$2+1,,,"Instances")))</f>
        <v>0</v>
      </c>
      <c r="AX39">
        <f>IFERROR(SMALL(AW5:AW44,ROW()-ROW($AX$5)+1),"")</f>
        <v>0</v>
      </c>
      <c r="AZ39">
        <f>IFERROR(SUM(AX5:AX39),"")</f>
        <v>0</v>
      </c>
      <c r="BA39">
        <f>IF(INDIRECT(ADDRESS($D39+2,BA$2+1,,,"Instances"))="","",INDIRECT(ADDRESS($D39+2,BA$2+1,,,"Instances")))</f>
        <v>0</v>
      </c>
      <c r="BB39">
        <f>IFERROR(SMALL(BA5:BA44,ROW()-ROW($BB$5)+1),"")</f>
        <v>0</v>
      </c>
      <c r="BD39">
        <f>IFERROR(SUM(BB5:BB39),"")</f>
        <v>0</v>
      </c>
      <c r="BE39">
        <f>IF(INDIRECT(ADDRESS($D39+2,BE$2+1,,,"Instances"))="","",INDIRECT(ADDRESS($D39+2,BE$2+1,,,"Instances")))</f>
        <v>0</v>
      </c>
      <c r="BF39">
        <f>IFERROR(SMALL(BE5:BE44,ROW()-ROW($BF$5)+1),"")</f>
        <v>0</v>
      </c>
      <c r="BH39">
        <f>IFERROR(SUM(BF5:BF39),"")</f>
        <v>0</v>
      </c>
      <c r="BI39">
        <f>IF(INDIRECT(ADDRESS($D39+2,BI$2+1,,,"Instances"))="","",INDIRECT(ADDRESS($D39+2,BI$2+1,,,"Instances")))</f>
        <v>0</v>
      </c>
      <c r="BJ39">
        <f>IFERROR(SMALL(BI5:BI44,ROW()-ROW($BJ$5)+1),"")</f>
        <v>0</v>
      </c>
      <c r="BL39">
        <f>IFERROR(SUM(BJ5:BJ39),"")</f>
        <v>0</v>
      </c>
      <c r="BM39">
        <f>IF(INDIRECT(ADDRESS($D39+2,BM$2+1,,,"Instances"))="","",INDIRECT(ADDRESS($D39+2,BM$2+1,,,"Instances")))</f>
        <v>0</v>
      </c>
      <c r="BN39">
        <f>IFERROR(SMALL(BM5:BM44,ROW()-ROW($BN$5)+1),"")</f>
        <v>0</v>
      </c>
      <c r="BP39">
        <f>IFERROR(SUM(BN5:BN39),"")</f>
        <v>0</v>
      </c>
      <c r="BR39">
        <v>35</v>
      </c>
      <c r="BS39" cm="1">
        <f t="array" ref="BS39">_xlfn.SWITCH(Charts!$B$3,"average", AVERAGE(INDIRECT(ADDRESS(34+3,BS$2+1,,,"Instances") &amp; ":" &amp; ADDRESS(34+3,BS$2+1))),"median", MEDIAN(INDIRECT(ADDRESS(34+3,BS$2+1,,,"Instances") &amp; ":" &amp; ADDRESS(34+3,BS$2+1))),"min", MIN(INDIRECT(ADDRESS(34+3,BS$2+1,,,"Instances") &amp; ":" &amp; ADDRESS(34+3,BS$2+1))),"max", MAX(INDIRECT(ADDRESS(34+3,BS$2+1,,,"Instances") &amp; ":" &amp; ADDRESS(34+3,BS$2+1))),"diff", MAX(INDIRECT(ADDRESS(34+3,BS$2+1,,,"Instances") &amp; ":" &amp; ADDRESS(34+3,BS$2+1)))-MIN(INDIRECT(ADDRESS(34+3,BS$2+1,,,"Instances") &amp; ":" &amp; ADDRESS(34+3,BS$2+1))))</f>
        <v>0</v>
      </c>
      <c r="BT39">
        <f>IFERROR(SMALL(BS5:BS44,ROW()-ROW($BT$5)+1),"")</f>
        <v>0</v>
      </c>
      <c r="BV39">
        <f>IFERROR(SUM(BT5:BT39),"")</f>
        <v>0</v>
      </c>
      <c r="BW39" cm="1">
        <f t="array" ref="BW39">_xlfn.SWITCH(Charts!$B$3,"average", AVERAGE(INDIRECT(ADDRESS(34+3,BW$2+1,,,"Instances") &amp; ":" &amp; ADDRESS(34+3,BW$2+1))),"median", MEDIAN(INDIRECT(ADDRESS(34+3,BW$2+1,,,"Instances") &amp; ":" &amp; ADDRESS(34+3,BW$2+1))),"min", MIN(INDIRECT(ADDRESS(34+3,BW$2+1,,,"Instances") &amp; ":" &amp; ADDRESS(34+3,BW$2+1))),"max", MAX(INDIRECT(ADDRESS(34+3,BW$2+1,,,"Instances") &amp; ":" &amp; ADDRESS(34+3,BW$2+1))),"diff", MAX(INDIRECT(ADDRESS(34+3,BW$2+1,,,"Instances") &amp; ":" &amp; ADDRESS(34+3,BW$2+1)))-MIN(INDIRECT(ADDRESS(34+3,BW$2+1,,,"Instances") &amp; ":" &amp; ADDRESS(34+3,BW$2+1))))</f>
        <v>0</v>
      </c>
      <c r="BX39">
        <f>IFERROR(SMALL(BW5:BW44,ROW()-ROW($BX$5)+1),"")</f>
        <v>0</v>
      </c>
      <c r="BZ39">
        <f>IFERROR(SUM(BX5:BX39),"")</f>
        <v>0</v>
      </c>
      <c r="CA39" cm="1">
        <f t="array" ref="CA39">_xlfn.SWITCH(Charts!$B$3,"average", AVERAGE(INDIRECT(ADDRESS(34+3,CA$2+1,,,"Instances") &amp; ":" &amp; ADDRESS(34+3,CA$2+1))),"median", MEDIAN(INDIRECT(ADDRESS(34+3,CA$2+1,,,"Instances") &amp; ":" &amp; ADDRESS(34+3,CA$2+1))),"min", MIN(INDIRECT(ADDRESS(34+3,CA$2+1,,,"Instances") &amp; ":" &amp; ADDRESS(34+3,CA$2+1))),"max", MAX(INDIRECT(ADDRESS(34+3,CA$2+1,,,"Instances") &amp; ":" &amp; ADDRESS(34+3,CA$2+1))),"diff", MAX(INDIRECT(ADDRESS(34+3,CA$2+1,,,"Instances") &amp; ":" &amp; ADDRESS(34+3,CA$2+1)))-MIN(INDIRECT(ADDRESS(34+3,CA$2+1,,,"Instances") &amp; ":" &amp; ADDRESS(34+3,CA$2+1))))</f>
        <v>0</v>
      </c>
      <c r="CB39">
        <f>IFERROR(SMALL(CA5:CA44,ROW()-ROW($CB$5)+1),"")</f>
        <v>0</v>
      </c>
      <c r="CD39">
        <f>IFERROR(SUM(CB5:CB39),"")</f>
        <v>0</v>
      </c>
      <c r="CE39" cm="1">
        <f t="array" ref="CE39">_xlfn.SWITCH(Charts!$B$3,"average", AVERAGE(INDIRECT(ADDRESS(34+3,CE$2+1,,,"Instances") &amp; ":" &amp; ADDRESS(34+3,CE$2+1))),"median", MEDIAN(INDIRECT(ADDRESS(34+3,CE$2+1,,,"Instances") &amp; ":" &amp; ADDRESS(34+3,CE$2+1))),"min", MIN(INDIRECT(ADDRESS(34+3,CE$2+1,,,"Instances") &amp; ":" &amp; ADDRESS(34+3,CE$2+1))),"max", MAX(INDIRECT(ADDRESS(34+3,CE$2+1,,,"Instances") &amp; ":" &amp; ADDRESS(34+3,CE$2+1))),"diff", MAX(INDIRECT(ADDRESS(34+3,CE$2+1,,,"Instances") &amp; ":" &amp; ADDRESS(34+3,CE$2+1)))-MIN(INDIRECT(ADDRESS(34+3,CE$2+1,,,"Instances") &amp; ":" &amp; ADDRESS(34+3,CE$2+1))))</f>
        <v>0</v>
      </c>
      <c r="CF39">
        <f>IFERROR(SMALL(CE5:CE44,ROW()-ROW($CF$5)+1),"")</f>
        <v>0</v>
      </c>
      <c r="CH39">
        <f>IFERROR(SUM(CF5:CF39),"")</f>
        <v>0</v>
      </c>
      <c r="CI39" cm="1">
        <f t="array" ref="CI39">_xlfn.SWITCH(Charts!$B$3,"average", AVERAGE(INDIRECT(ADDRESS(34+3,CI$2+1,,,"Instances") &amp; ":" &amp; ADDRESS(34+3,CI$2+1))),"median", MEDIAN(INDIRECT(ADDRESS(34+3,CI$2+1,,,"Instances") &amp; ":" &amp; ADDRESS(34+3,CI$2+1))),"min", MIN(INDIRECT(ADDRESS(34+3,CI$2+1,,,"Instances") &amp; ":" &amp; ADDRESS(34+3,CI$2+1))),"max", MAX(INDIRECT(ADDRESS(34+3,CI$2+1,,,"Instances") &amp; ":" &amp; ADDRESS(34+3,CI$2+1))),"diff", MAX(INDIRECT(ADDRESS(34+3,CI$2+1,,,"Instances") &amp; ":" &amp; ADDRESS(34+3,CI$2+1)))-MIN(INDIRECT(ADDRESS(34+3,CI$2+1,,,"Instances") &amp; ":" &amp; ADDRESS(34+3,CI$2+1))))</f>
        <v>0</v>
      </c>
      <c r="CJ39">
        <f>IFERROR(SMALL(CI5:CI44,ROW()-ROW($CJ$5)+1),"")</f>
        <v>0</v>
      </c>
      <c r="CL39">
        <f>IFERROR(SUM(CJ5:CJ39),"")</f>
        <v>0</v>
      </c>
      <c r="CM39" cm="1">
        <f t="array" ref="CM39">_xlfn.SWITCH(Charts!$B$3,"average", AVERAGE(INDIRECT(ADDRESS(34+3,CM$2+1,,,"Instances") &amp; ":" &amp; ADDRESS(34+3,CM$2+1))),"median", MEDIAN(INDIRECT(ADDRESS(34+3,CM$2+1,,,"Instances") &amp; ":" &amp; ADDRESS(34+3,CM$2+1))),"min", MIN(INDIRECT(ADDRESS(34+3,CM$2+1,,,"Instances") &amp; ":" &amp; ADDRESS(34+3,CM$2+1))),"max", MAX(INDIRECT(ADDRESS(34+3,CM$2+1,,,"Instances") &amp; ":" &amp; ADDRESS(34+3,CM$2+1))),"diff", MAX(INDIRECT(ADDRESS(34+3,CM$2+1,,,"Instances") &amp; ":" &amp; ADDRESS(34+3,CM$2+1)))-MIN(INDIRECT(ADDRESS(34+3,CM$2+1,,,"Instances") &amp; ":" &amp; ADDRESS(34+3,CM$2+1))))</f>
        <v>0</v>
      </c>
      <c r="CN39">
        <f>IFERROR(SMALL(CM5:CM44,ROW()-ROW($CN$5)+1),"")</f>
        <v>0</v>
      </c>
      <c r="CP39">
        <f>IFERROR(SUM(CN5:CN39),"")</f>
        <v>0</v>
      </c>
      <c r="CQ39" cm="1">
        <f t="array" ref="CQ39">_xlfn.SWITCH(Charts!$B$3,"average", AVERAGE(INDIRECT(ADDRESS(34+3,CQ$2+1,,,"Instances") &amp; ":" &amp; ADDRESS(34+3,CQ$2+1))),"median", MEDIAN(INDIRECT(ADDRESS(34+3,CQ$2+1,,,"Instances") &amp; ":" &amp; ADDRESS(34+3,CQ$2+1))),"min", MIN(INDIRECT(ADDRESS(34+3,CQ$2+1,,,"Instances") &amp; ":" &amp; ADDRESS(34+3,CQ$2+1))),"max", MAX(INDIRECT(ADDRESS(34+3,CQ$2+1,,,"Instances") &amp; ":" &amp; ADDRESS(34+3,CQ$2+1))),"diff", MAX(INDIRECT(ADDRESS(34+3,CQ$2+1,,,"Instances") &amp; ":" &amp; ADDRESS(34+3,CQ$2+1)))-MIN(INDIRECT(ADDRESS(34+3,CQ$2+1,,,"Instances") &amp; ":" &amp; ADDRESS(34+3,CQ$2+1))))</f>
        <v>0</v>
      </c>
      <c r="CR39">
        <f>IFERROR(SMALL(CQ5:CQ44,ROW()-ROW($CR$5)+1),"")</f>
        <v>0</v>
      </c>
      <c r="CT39">
        <f>IFERROR(SUM(CR5:CR39),"")</f>
        <v>0</v>
      </c>
      <c r="CU39" cm="1">
        <f t="array" ref="CU39">_xlfn.SWITCH(Charts!$B$3,"average", AVERAGE(INDIRECT(ADDRESS(34+3,CU$2+1,,,"Instances") &amp; ":" &amp; ADDRESS(34+3,CU$2+1))),"median", MEDIAN(INDIRECT(ADDRESS(34+3,CU$2+1,,,"Instances") &amp; ":" &amp; ADDRESS(34+3,CU$2+1))),"min", MIN(INDIRECT(ADDRESS(34+3,CU$2+1,,,"Instances") &amp; ":" &amp; ADDRESS(34+3,CU$2+1))),"max", MAX(INDIRECT(ADDRESS(34+3,CU$2+1,,,"Instances") &amp; ":" &amp; ADDRESS(34+3,CU$2+1))),"diff", MAX(INDIRECT(ADDRESS(34+3,CU$2+1,,,"Instances") &amp; ":" &amp; ADDRESS(34+3,CU$2+1)))-MIN(INDIRECT(ADDRESS(34+3,CU$2+1,,,"Instances") &amp; ":" &amp; ADDRESS(34+3,CU$2+1))))</f>
        <v>0</v>
      </c>
      <c r="CV39">
        <f>IFERROR(SMALL(CU5:CU44,ROW()-ROW($CV$5)+1),"")</f>
        <v>0</v>
      </c>
      <c r="CX39">
        <f>IFERROR(SUM(CV5:CV39),"")</f>
        <v>0</v>
      </c>
      <c r="CY39" cm="1">
        <f t="array" ref="CY39">_xlfn.SWITCH(Charts!$B$3,"average", AVERAGE(INDIRECT(ADDRESS(34+3,CY$2+1,,,"Instances") &amp; ":" &amp; ADDRESS(34+3,CY$2+1))),"median", MEDIAN(INDIRECT(ADDRESS(34+3,CY$2+1,,,"Instances") &amp; ":" &amp; ADDRESS(34+3,CY$2+1))),"min", MIN(INDIRECT(ADDRESS(34+3,CY$2+1,,,"Instances") &amp; ":" &amp; ADDRESS(34+3,CY$2+1))),"max", MAX(INDIRECT(ADDRESS(34+3,CY$2+1,,,"Instances") &amp; ":" &amp; ADDRESS(34+3,CY$2+1))),"diff", MAX(INDIRECT(ADDRESS(34+3,CY$2+1,,,"Instances") &amp; ":" &amp; ADDRESS(34+3,CY$2+1)))-MIN(INDIRECT(ADDRESS(34+3,CY$2+1,,,"Instances") &amp; ":" &amp; ADDRESS(34+3,CY$2+1))))</f>
        <v>0</v>
      </c>
      <c r="CZ39">
        <f>IFERROR(SMALL(CY5:CY44,ROW()-ROW($CZ$5)+1),"")</f>
        <v>0</v>
      </c>
      <c r="DB39">
        <f>IFERROR(SUM(CZ5:CZ39),"")</f>
        <v>0</v>
      </c>
      <c r="DC39" cm="1">
        <f t="array" ref="DC39">_xlfn.SWITCH(Charts!$B$3,"average", AVERAGE(INDIRECT(ADDRESS(34+3,DC$2+1,,,"Instances") &amp; ":" &amp; ADDRESS(34+3,DC$2+1))),"median", MEDIAN(INDIRECT(ADDRESS(34+3,DC$2+1,,,"Instances") &amp; ":" &amp; ADDRESS(34+3,DC$2+1))),"min", MIN(INDIRECT(ADDRESS(34+3,DC$2+1,,,"Instances") &amp; ":" &amp; ADDRESS(34+3,DC$2+1))),"max", MAX(INDIRECT(ADDRESS(34+3,DC$2+1,,,"Instances") &amp; ":" &amp; ADDRESS(34+3,DC$2+1))),"diff", MAX(INDIRECT(ADDRESS(34+3,DC$2+1,,,"Instances") &amp; ":" &amp; ADDRESS(34+3,DC$2+1)))-MIN(INDIRECT(ADDRESS(34+3,DC$2+1,,,"Instances") &amp; ":" &amp; ADDRESS(34+3,DC$2+1))))</f>
        <v>0</v>
      </c>
      <c r="DD39">
        <f>IFERROR(SMALL(DC5:DC44,ROW()-ROW($DD$5)+1),"")</f>
        <v>0</v>
      </c>
      <c r="DF39">
        <f>IFERROR(SUM(DD5:DD39),"")</f>
        <v>0</v>
      </c>
      <c r="DG39" cm="1">
        <f t="array" ref="DG39">_xlfn.SWITCH(Charts!$B$3,"average", AVERAGE(INDIRECT(ADDRESS(34+3,DG$2+1,,,"Instances") &amp; ":" &amp; ADDRESS(34+3,DG$2+1))),"median", MEDIAN(INDIRECT(ADDRESS(34+3,DG$2+1,,,"Instances") &amp; ":" &amp; ADDRESS(34+3,DG$2+1))),"min", MIN(INDIRECT(ADDRESS(34+3,DG$2+1,,,"Instances") &amp; ":" &amp; ADDRESS(34+3,DG$2+1))),"max", MAX(INDIRECT(ADDRESS(34+3,DG$2+1,,,"Instances") &amp; ":" &amp; ADDRESS(34+3,DG$2+1))),"diff", MAX(INDIRECT(ADDRESS(34+3,DG$2+1,,,"Instances") &amp; ":" &amp; ADDRESS(34+3,DG$2+1)))-MIN(INDIRECT(ADDRESS(34+3,DG$2+1,,,"Instances") &amp; ":" &amp; ADDRESS(34+3,DG$2+1))))</f>
        <v>0</v>
      </c>
      <c r="DH39">
        <f>IFERROR(SMALL(DG5:DG44,ROW()-ROW($DH$5)+1),"")</f>
        <v>0</v>
      </c>
      <c r="DJ39">
        <f>IFERROR(SUM(DH5:DH39),"")</f>
        <v>0</v>
      </c>
      <c r="DK39" cm="1">
        <f t="array" ref="DK39">_xlfn.SWITCH(Charts!$B$3,"average", AVERAGE(INDIRECT(ADDRESS(34+3,DK$2+1,,,"Instances") &amp; ":" &amp; ADDRESS(34+3,DK$2+1))),"median", MEDIAN(INDIRECT(ADDRESS(34+3,DK$2+1,,,"Instances") &amp; ":" &amp; ADDRESS(34+3,DK$2+1))),"min", MIN(INDIRECT(ADDRESS(34+3,DK$2+1,,,"Instances") &amp; ":" &amp; ADDRESS(34+3,DK$2+1))),"max", MAX(INDIRECT(ADDRESS(34+3,DK$2+1,,,"Instances") &amp; ":" &amp; ADDRESS(34+3,DK$2+1))),"diff", MAX(INDIRECT(ADDRESS(34+3,DK$2+1,,,"Instances") &amp; ":" &amp; ADDRESS(34+3,DK$2+1)))-MIN(INDIRECT(ADDRESS(34+3,DK$2+1,,,"Instances") &amp; ":" &amp; ADDRESS(34+3,DK$2+1))))</f>
        <v>0</v>
      </c>
      <c r="DL39">
        <f>IFERROR(SMALL(DK5:DK44,ROW()-ROW($DL$5)+1),"")</f>
        <v>0</v>
      </c>
      <c r="DN39">
        <f>IFERROR(SUM(DL5:DL39),"")</f>
        <v>0</v>
      </c>
      <c r="DO39" cm="1">
        <f t="array" ref="DO39">_xlfn.SWITCH(Charts!$B$3,"average", AVERAGE(INDIRECT(ADDRESS(34+3,DO$2+1,,,"Instances") &amp; ":" &amp; ADDRESS(34+3,DO$2+1))),"median", MEDIAN(INDIRECT(ADDRESS(34+3,DO$2+1,,,"Instances") &amp; ":" &amp; ADDRESS(34+3,DO$2+1))),"min", MIN(INDIRECT(ADDRESS(34+3,DO$2+1,,,"Instances") &amp; ":" &amp; ADDRESS(34+3,DO$2+1))),"max", MAX(INDIRECT(ADDRESS(34+3,DO$2+1,,,"Instances") &amp; ":" &amp; ADDRESS(34+3,DO$2+1))),"diff", MAX(INDIRECT(ADDRESS(34+3,DO$2+1,,,"Instances") &amp; ":" &amp; ADDRESS(34+3,DO$2+1)))-MIN(INDIRECT(ADDRESS(34+3,DO$2+1,,,"Instances") &amp; ":" &amp; ADDRESS(34+3,DO$2+1))))</f>
        <v>0</v>
      </c>
      <c r="DP39">
        <f>IFERROR(SMALL(DO5:DO44,ROW()-ROW($DP$5)+1),"")</f>
        <v>0</v>
      </c>
      <c r="DR39">
        <f>IFERROR(SUM(DP5:DP39),"")</f>
        <v>0</v>
      </c>
      <c r="DS39" cm="1">
        <f t="array" ref="DS39">_xlfn.SWITCH(Charts!$B$3,"average", AVERAGE(INDIRECT(ADDRESS(34+3,DS$2+1,,,"Instances") &amp; ":" &amp; ADDRESS(34+3,DS$2+1))),"median", MEDIAN(INDIRECT(ADDRESS(34+3,DS$2+1,,,"Instances") &amp; ":" &amp; ADDRESS(34+3,DS$2+1))),"min", MIN(INDIRECT(ADDRESS(34+3,DS$2+1,,,"Instances") &amp; ":" &amp; ADDRESS(34+3,DS$2+1))),"max", MAX(INDIRECT(ADDRESS(34+3,DS$2+1,,,"Instances") &amp; ":" &amp; ADDRESS(34+3,DS$2+1))),"diff", MAX(INDIRECT(ADDRESS(34+3,DS$2+1,,,"Instances") &amp; ":" &amp; ADDRESS(34+3,DS$2+1)))-MIN(INDIRECT(ADDRESS(34+3,DS$2+1,,,"Instances") &amp; ":" &amp; ADDRESS(34+3,DS$2+1))))</f>
        <v>0</v>
      </c>
      <c r="DT39">
        <f>IFERROR(SMALL(DS5:DS44,ROW()-ROW($DT$5)+1),"")</f>
        <v>0</v>
      </c>
      <c r="DV39">
        <f>IFERROR(SUM(DT5:DT39),"")</f>
        <v>0</v>
      </c>
      <c r="DW39" cm="1">
        <f t="array" ref="DW39">_xlfn.SWITCH(Charts!$B$3,"average", AVERAGE(INDIRECT(ADDRESS(34+3,DW$2+1,,,"Instances") &amp; ":" &amp; ADDRESS(34+3,DW$2+1))),"median", MEDIAN(INDIRECT(ADDRESS(34+3,DW$2+1,,,"Instances") &amp; ":" &amp; ADDRESS(34+3,DW$2+1))),"min", MIN(INDIRECT(ADDRESS(34+3,DW$2+1,,,"Instances") &amp; ":" &amp; ADDRESS(34+3,DW$2+1))),"max", MAX(INDIRECT(ADDRESS(34+3,DW$2+1,,,"Instances") &amp; ":" &amp; ADDRESS(34+3,DW$2+1))),"diff", MAX(INDIRECT(ADDRESS(34+3,DW$2+1,,,"Instances") &amp; ":" &amp; ADDRESS(34+3,DW$2+1)))-MIN(INDIRECT(ADDRESS(34+3,DW$2+1,,,"Instances") &amp; ":" &amp; ADDRESS(34+3,DW$2+1))))</f>
        <v>0</v>
      </c>
      <c r="DX39">
        <f>IFERROR(SMALL(DW5:DW44,ROW()-ROW($DX$5)+1),"")</f>
        <v>0</v>
      </c>
      <c r="DZ39">
        <f>IFERROR(SUM(DX5:DX39),"")</f>
        <v>0</v>
      </c>
      <c r="EA39" cm="1">
        <f t="array" ref="EA39">_xlfn.SWITCH(Charts!$B$3,"average", AVERAGE(INDIRECT(ADDRESS(34+3,EA$2+1,,,"Instances") &amp; ":" &amp; ADDRESS(34+3,EA$2+1))),"median", MEDIAN(INDIRECT(ADDRESS(34+3,EA$2+1,,,"Instances") &amp; ":" &amp; ADDRESS(34+3,EA$2+1))),"min", MIN(INDIRECT(ADDRESS(34+3,EA$2+1,,,"Instances") &amp; ":" &amp; ADDRESS(34+3,EA$2+1))),"max", MAX(INDIRECT(ADDRESS(34+3,EA$2+1,,,"Instances") &amp; ":" &amp; ADDRESS(34+3,EA$2+1))),"diff", MAX(INDIRECT(ADDRESS(34+3,EA$2+1,,,"Instances") &amp; ":" &amp; ADDRESS(34+3,EA$2+1)))-MIN(INDIRECT(ADDRESS(34+3,EA$2+1,,,"Instances") &amp; ":" &amp; ADDRESS(34+3,EA$2+1))))</f>
        <v>0</v>
      </c>
      <c r="EB39">
        <f>IFERROR(SMALL(EA5:EA44,ROW()-ROW($EB$5)+1),"")</f>
        <v>0</v>
      </c>
      <c r="ED39">
        <f>IFERROR(SUM(EB5:EB39),"")</f>
        <v>0</v>
      </c>
      <c r="EG39">
        <f>IF(Charts!$B$3="none",E246,IF(BS246="",NA(),BS246))</f>
        <v>0</v>
      </c>
      <c r="EH39">
        <f>IF(Charts!$B$3="none",F246,IF(BT246="",NA(),BT246))</f>
        <v>0</v>
      </c>
      <c r="EI39">
        <f>IF(Charts!$B$3="none",G246,IF(BU246="",NA(),BU246))</f>
        <v>0</v>
      </c>
      <c r="EJ39">
        <f>IF(Charts!$B$3="none",H246,IF(BV246="",NA(),BV246))</f>
        <v>0</v>
      </c>
      <c r="EK39">
        <f>IF(Charts!$B$3="none",I246,IF(BW246="",NA(),BW246))</f>
        <v>0</v>
      </c>
      <c r="EL39">
        <f>IF(Charts!$B$3="none",J246,IF(BX246="",NA(),BX246))</f>
        <v>0</v>
      </c>
      <c r="EM39">
        <f>IF(Charts!$B$3="none",K246,IF(BY246="",NA(),BY246))</f>
        <v>0</v>
      </c>
      <c r="EN39">
        <f>IF(Charts!$B$3="none",L246,IF(BZ246="",NA(),BZ246))</f>
        <v>0</v>
      </c>
      <c r="EO39">
        <f>IF(Charts!$B$3="none",M246,IF(CA246="",NA(),CA246))</f>
        <v>0</v>
      </c>
      <c r="EP39">
        <f>IF(Charts!$B$3="none",N246,IF(CB246="",NA(),CB246))</f>
        <v>0</v>
      </c>
      <c r="EQ39">
        <f>IF(Charts!$B$3="none",O246,IF(CC246="",NA(),CC246))</f>
        <v>0</v>
      </c>
      <c r="ER39">
        <f>IF(Charts!$B$3="none",P246,IF(CD246="",NA(),CD246))</f>
        <v>0</v>
      </c>
      <c r="ES39">
        <f>IF(Charts!$B$3="none",Q246,IF(CE246="",NA(),CE246))</f>
        <v>0</v>
      </c>
      <c r="ET39">
        <f>IF(Charts!$B$3="none",R246,IF(CF246="",NA(),CF246))</f>
        <v>0</v>
      </c>
      <c r="EU39">
        <f>IF(Charts!$B$3="none",S246,IF(CG246="",NA(),CG246))</f>
        <v>0</v>
      </c>
      <c r="EV39">
        <f>IF(Charts!$B$3="none",T246,IF(CH246="",NA(),CH246))</f>
        <v>0</v>
      </c>
      <c r="EW39">
        <f>IF(Charts!$B$3="none",U246,IF(CI246="",NA(),CI246))</f>
        <v>0</v>
      </c>
      <c r="EX39">
        <f>IF(Charts!$B$3="none",V246,IF(CJ246="",NA(),CJ246))</f>
        <v>0</v>
      </c>
      <c r="EY39">
        <f>IF(Charts!$B$3="none",W246,IF(CK246="",NA(),CK246))</f>
        <v>0</v>
      </c>
      <c r="EZ39">
        <f>IF(Charts!$B$3="none",X246,IF(CL246="",NA(),CL246))</f>
        <v>0</v>
      </c>
      <c r="FA39">
        <f>IF(Charts!$B$3="none",Y246,IF(CM246="",NA(),CM246))</f>
        <v>0</v>
      </c>
      <c r="FB39">
        <f>IF(Charts!$B$3="none",Z246,IF(CN246="",NA(),CN246))</f>
        <v>0</v>
      </c>
      <c r="FC39">
        <f>IF(Charts!$B$3="none",AA246,IF(CO246="",NA(),CO246))</f>
        <v>0</v>
      </c>
      <c r="FD39">
        <f>IF(Charts!$B$3="none",AB246,IF(CP246="",NA(),CP246))</f>
        <v>0</v>
      </c>
      <c r="FE39">
        <f>IF(Charts!$B$3="none",AC246,IF(CQ246="",NA(),CQ246))</f>
        <v>0</v>
      </c>
      <c r="FF39">
        <f>IF(Charts!$B$3="none",AD246,IF(CR246="",NA(),CR246))</f>
        <v>0</v>
      </c>
      <c r="FG39">
        <f>IF(Charts!$B$3="none",AE246,IF(CS246="",NA(),CS246))</f>
        <v>0</v>
      </c>
      <c r="FH39">
        <f>IF(Charts!$B$3="none",AF246,IF(CT246="",NA(),CT246))</f>
        <v>0</v>
      </c>
      <c r="FI39">
        <f>IF(Charts!$B$3="none",AG246,IF(CU246="",NA(),CU246))</f>
        <v>0</v>
      </c>
      <c r="FJ39">
        <f>IF(Charts!$B$3="none",AH246,IF(CV246="",NA(),CV246))</f>
        <v>0</v>
      </c>
      <c r="FK39">
        <f>IF(Charts!$B$3="none",AI246,IF(CW246="",NA(),CW246))</f>
        <v>0</v>
      </c>
      <c r="FL39">
        <f>IF(Charts!$B$3="none",AJ246,IF(CX246="",NA(),CX246))</f>
        <v>0</v>
      </c>
      <c r="FM39">
        <f>IF(Charts!$B$3="none",AK246,IF(CY246="",NA(),CY246))</f>
        <v>0</v>
      </c>
      <c r="FN39">
        <f>IF(Charts!$B$3="none",AL246,IF(CZ246="",NA(),CZ246))</f>
        <v>0</v>
      </c>
      <c r="FO39">
        <f>IF(Charts!$B$3="none",AM246,IF(DA246="",NA(),DA246))</f>
        <v>0</v>
      </c>
      <c r="FP39">
        <f>IF(Charts!$B$3="none",AN246,IF(DB246="",NA(),DB246))</f>
        <v>0</v>
      </c>
      <c r="FQ39">
        <f>IF(Charts!$B$3="none",AO246,IF(DC246="",NA(),DC246))</f>
        <v>0</v>
      </c>
      <c r="FR39">
        <f>IF(Charts!$B$3="none",AP246,IF(DD246="",NA(),DD246))</f>
        <v>0</v>
      </c>
      <c r="FS39">
        <f>IF(Charts!$B$3="none",AQ246,IF(DE246="",NA(),DE246))</f>
        <v>0</v>
      </c>
      <c r="FT39">
        <f>IF(Charts!$B$3="none",AR246,IF(DF246="",NA(),DF246))</f>
        <v>0</v>
      </c>
      <c r="FU39">
        <f>IF(Charts!$B$3="none",AS246,IF(DG246="",NA(),DG246))</f>
        <v>0</v>
      </c>
      <c r="FV39">
        <f>IF(Charts!$B$3="none",AT246,IF(DH246="",NA(),DH246))</f>
        <v>0</v>
      </c>
      <c r="FW39">
        <f>IF(Charts!$B$3="none",AU246,IF(DI246="",NA(),DI246))</f>
        <v>0</v>
      </c>
      <c r="FX39">
        <f>IF(Charts!$B$3="none",AV246,IF(DJ246="",NA(),DJ246))</f>
        <v>0</v>
      </c>
      <c r="FY39">
        <f>IF(Charts!$B$3="none",AW246,IF(DK246="",NA(),DK246))</f>
        <v>0</v>
      </c>
      <c r="FZ39">
        <f>IF(Charts!$B$3="none",AX246,IF(DL246="",NA(),DL246))</f>
        <v>0</v>
      </c>
      <c r="GA39">
        <f>IF(Charts!$B$3="none",AY246,IF(DM246="",NA(),DM246))</f>
        <v>0</v>
      </c>
      <c r="GB39">
        <f>IF(Charts!$B$3="none",AZ246,IF(DN246="",NA(),DN246))</f>
        <v>0</v>
      </c>
      <c r="GC39">
        <f>IF(Charts!$B$3="none",BA246,IF(DO246="",NA(),DO246))</f>
        <v>0</v>
      </c>
      <c r="GD39">
        <f>IF(Charts!$B$3="none",BB246,IF(DP246="",NA(),DP246))</f>
        <v>0</v>
      </c>
      <c r="GE39">
        <f>IF(Charts!$B$3="none",BC246,IF(DQ246="",NA(),DQ246))</f>
        <v>0</v>
      </c>
      <c r="GF39">
        <f>IF(Charts!$B$3="none",BD246,IF(DR246="",NA(),DR246))</f>
        <v>0</v>
      </c>
      <c r="GG39">
        <f>IF(Charts!$B$3="none",BE246,IF(DS246="",NA(),DS246))</f>
        <v>0</v>
      </c>
      <c r="GH39">
        <f>IF(Charts!$B$3="none",BF246,IF(DT246="",NA(),DT246))</f>
        <v>0</v>
      </c>
      <c r="GI39">
        <f>IF(Charts!$B$3="none",BG246,IF(DU246="",NA(),DU246))</f>
        <v>0</v>
      </c>
      <c r="GJ39">
        <f>IF(Charts!$B$3="none",BH246,IF(DV246="",NA(),DV246))</f>
        <v>0</v>
      </c>
      <c r="GK39">
        <f>IF(Charts!$B$3="none",BI246,IF(DW246="",NA(),DW246))</f>
        <v>0</v>
      </c>
      <c r="GL39">
        <f>IF(Charts!$B$3="none",BJ246,IF(DX246="",NA(),DX246))</f>
        <v>0</v>
      </c>
      <c r="GM39">
        <f>IF(Charts!$B$3="none",BK246,IF(DY246="",NA(),DY246))</f>
        <v>0</v>
      </c>
      <c r="GN39">
        <f>IF(Charts!$B$3="none",BL246,IF(DZ246="",NA(),DZ246))</f>
        <v>0</v>
      </c>
      <c r="GO39">
        <f>IF(Charts!$B$3="none",BM246,IF(EA246="",NA(),EA246))</f>
        <v>0</v>
      </c>
      <c r="GP39">
        <f>IF(Charts!$B$3="none",BN246,IF(EB246="",NA(),EB246))</f>
        <v>0</v>
      </c>
      <c r="GQ39">
        <f>IF(Charts!$B$3="none",BO246,IF(EC246="",NA(),EC246))</f>
        <v>0</v>
      </c>
      <c r="GR39">
        <f>IF(Charts!$B$3="none",BP246,IF(ED246="",NA(),ED246))</f>
        <v>0</v>
      </c>
    </row>
    <row r="40" spans="4:200">
      <c r="D40">
        <v>36</v>
      </c>
      <c r="E40">
        <f>IF(INDIRECT(ADDRESS($D40+2,E$2+1,,,"Instances"))="","",INDIRECT(ADDRESS($D40+2,E$2+1,,,"Instances")))</f>
        <v>0</v>
      </c>
      <c r="F40">
        <f>IFERROR(SMALL(E5:E44,ROW()-ROW($F$5)+1),"")</f>
        <v>0</v>
      </c>
      <c r="H40">
        <f>IFERROR(SUM(F5:F40),"")</f>
        <v>0</v>
      </c>
      <c r="I40">
        <f>IF(INDIRECT(ADDRESS($D40+2,I$2+1,,,"Instances"))="","",INDIRECT(ADDRESS($D40+2,I$2+1,,,"Instances")))</f>
        <v>0</v>
      </c>
      <c r="J40">
        <f>IFERROR(SMALL(I5:I44,ROW()-ROW($J$5)+1),"")</f>
        <v>0</v>
      </c>
      <c r="L40">
        <f>IFERROR(SUM(J5:J40),"")</f>
        <v>0</v>
      </c>
      <c r="M40">
        <f>IF(INDIRECT(ADDRESS($D40+2,M$2+1,,,"Instances"))="","",INDIRECT(ADDRESS($D40+2,M$2+1,,,"Instances")))</f>
        <v>0</v>
      </c>
      <c r="N40">
        <f>IFERROR(SMALL(M5:M44,ROW()-ROW($N$5)+1),"")</f>
        <v>0</v>
      </c>
      <c r="P40">
        <f>IFERROR(SUM(N5:N40),"")</f>
        <v>0</v>
      </c>
      <c r="Q40">
        <f>IF(INDIRECT(ADDRESS($D40+2,Q$2+1,,,"Instances"))="","",INDIRECT(ADDRESS($D40+2,Q$2+1,,,"Instances")))</f>
        <v>0</v>
      </c>
      <c r="R40">
        <f>IFERROR(SMALL(Q5:Q44,ROW()-ROW($R$5)+1),"")</f>
        <v>0</v>
      </c>
      <c r="T40">
        <f>IFERROR(SUM(R5:R40),"")</f>
        <v>0</v>
      </c>
      <c r="U40">
        <f>IF(INDIRECT(ADDRESS($D40+2,U$2+1,,,"Instances"))="","",INDIRECT(ADDRESS($D40+2,U$2+1,,,"Instances")))</f>
        <v>0</v>
      </c>
      <c r="V40">
        <f>IFERROR(SMALL(U5:U44,ROW()-ROW($V$5)+1),"")</f>
        <v>0</v>
      </c>
      <c r="X40">
        <f>IFERROR(SUM(V5:V40),"")</f>
        <v>0</v>
      </c>
      <c r="Y40">
        <f>IF(INDIRECT(ADDRESS($D40+2,Y$2+1,,,"Instances"))="","",INDIRECT(ADDRESS($D40+2,Y$2+1,,,"Instances")))</f>
        <v>0</v>
      </c>
      <c r="Z40">
        <f>IFERROR(SMALL(Y5:Y44,ROW()-ROW($Z$5)+1),"")</f>
        <v>0</v>
      </c>
      <c r="AB40">
        <f>IFERROR(SUM(Z5:Z40),"")</f>
        <v>0</v>
      </c>
      <c r="AC40">
        <f>IF(INDIRECT(ADDRESS($D40+2,AC$2+1,,,"Instances"))="","",INDIRECT(ADDRESS($D40+2,AC$2+1,,,"Instances")))</f>
        <v>0</v>
      </c>
      <c r="AD40">
        <f>IFERROR(SMALL(AC5:AC44,ROW()-ROW($AD$5)+1),"")</f>
        <v>0</v>
      </c>
      <c r="AF40">
        <f>IFERROR(SUM(AD5:AD40),"")</f>
        <v>0</v>
      </c>
      <c r="AG40">
        <f>IF(INDIRECT(ADDRESS($D40+2,AG$2+1,,,"Instances"))="","",INDIRECT(ADDRESS($D40+2,AG$2+1,,,"Instances")))</f>
        <v>0</v>
      </c>
      <c r="AH40">
        <f>IFERROR(SMALL(AG5:AG44,ROW()-ROW($AH$5)+1),"")</f>
        <v>0</v>
      </c>
      <c r="AJ40">
        <f>IFERROR(SUM(AH5:AH40),"")</f>
        <v>0</v>
      </c>
      <c r="AK40">
        <f>IF(INDIRECT(ADDRESS($D40+2,AK$2+1,,,"Instances"))="","",INDIRECT(ADDRESS($D40+2,AK$2+1,,,"Instances")))</f>
        <v>0</v>
      </c>
      <c r="AL40">
        <f>IFERROR(SMALL(AK5:AK44,ROW()-ROW($AL$5)+1),"")</f>
        <v>0</v>
      </c>
      <c r="AN40">
        <f>IFERROR(SUM(AL5:AL40),"")</f>
        <v>0</v>
      </c>
      <c r="AO40">
        <f>IF(INDIRECT(ADDRESS($D40+2,AO$2+1,,,"Instances"))="","",INDIRECT(ADDRESS($D40+2,AO$2+1,,,"Instances")))</f>
        <v>0</v>
      </c>
      <c r="AP40">
        <f>IFERROR(SMALL(AO5:AO44,ROW()-ROW($AP$5)+1),"")</f>
        <v>0</v>
      </c>
      <c r="AR40">
        <f>IFERROR(SUM(AP5:AP40),"")</f>
        <v>0</v>
      </c>
      <c r="AS40">
        <f>IF(INDIRECT(ADDRESS($D40+2,AS$2+1,,,"Instances"))="","",INDIRECT(ADDRESS($D40+2,AS$2+1,,,"Instances")))</f>
        <v>0</v>
      </c>
      <c r="AT40">
        <f>IFERROR(SMALL(AS5:AS44,ROW()-ROW($AT$5)+1),"")</f>
        <v>0</v>
      </c>
      <c r="AV40">
        <f>IFERROR(SUM(AT5:AT40),"")</f>
        <v>0</v>
      </c>
      <c r="AW40">
        <f>IF(INDIRECT(ADDRESS($D40+2,AW$2+1,,,"Instances"))="","",INDIRECT(ADDRESS($D40+2,AW$2+1,,,"Instances")))</f>
        <v>0</v>
      </c>
      <c r="AX40">
        <f>IFERROR(SMALL(AW5:AW44,ROW()-ROW($AX$5)+1),"")</f>
        <v>0</v>
      </c>
      <c r="AZ40">
        <f>IFERROR(SUM(AX5:AX40),"")</f>
        <v>0</v>
      </c>
      <c r="BA40">
        <f>IF(INDIRECT(ADDRESS($D40+2,BA$2+1,,,"Instances"))="","",INDIRECT(ADDRESS($D40+2,BA$2+1,,,"Instances")))</f>
        <v>0</v>
      </c>
      <c r="BB40">
        <f>IFERROR(SMALL(BA5:BA44,ROW()-ROW($BB$5)+1),"")</f>
        <v>0</v>
      </c>
      <c r="BD40">
        <f>IFERROR(SUM(BB5:BB40),"")</f>
        <v>0</v>
      </c>
      <c r="BE40">
        <f>IF(INDIRECT(ADDRESS($D40+2,BE$2+1,,,"Instances"))="","",INDIRECT(ADDRESS($D40+2,BE$2+1,,,"Instances")))</f>
        <v>0</v>
      </c>
      <c r="BF40">
        <f>IFERROR(SMALL(BE5:BE44,ROW()-ROW($BF$5)+1),"")</f>
        <v>0</v>
      </c>
      <c r="BH40">
        <f>IFERROR(SUM(BF5:BF40),"")</f>
        <v>0</v>
      </c>
      <c r="BI40">
        <f>IF(INDIRECT(ADDRESS($D40+2,BI$2+1,,,"Instances"))="","",INDIRECT(ADDRESS($D40+2,BI$2+1,,,"Instances")))</f>
        <v>0</v>
      </c>
      <c r="BJ40">
        <f>IFERROR(SMALL(BI5:BI44,ROW()-ROW($BJ$5)+1),"")</f>
        <v>0</v>
      </c>
      <c r="BL40">
        <f>IFERROR(SUM(BJ5:BJ40),"")</f>
        <v>0</v>
      </c>
      <c r="BM40">
        <f>IF(INDIRECT(ADDRESS($D40+2,BM$2+1,,,"Instances"))="","",INDIRECT(ADDRESS($D40+2,BM$2+1,,,"Instances")))</f>
        <v>0</v>
      </c>
      <c r="BN40">
        <f>IFERROR(SMALL(BM5:BM44,ROW()-ROW($BN$5)+1),"")</f>
        <v>0</v>
      </c>
      <c r="BP40">
        <f>IFERROR(SUM(BN5:BN40),"")</f>
        <v>0</v>
      </c>
      <c r="BR40">
        <v>36</v>
      </c>
      <c r="BS40" cm="1">
        <f t="array" ref="BS40">_xlfn.SWITCH(Charts!$B$3,"average", AVERAGE(INDIRECT(ADDRESS(35+3,BS$2+1,,,"Instances") &amp; ":" &amp; ADDRESS(35+3,BS$2+1))),"median", MEDIAN(INDIRECT(ADDRESS(35+3,BS$2+1,,,"Instances") &amp; ":" &amp; ADDRESS(35+3,BS$2+1))),"min", MIN(INDIRECT(ADDRESS(35+3,BS$2+1,,,"Instances") &amp; ":" &amp; ADDRESS(35+3,BS$2+1))),"max", MAX(INDIRECT(ADDRESS(35+3,BS$2+1,,,"Instances") &amp; ":" &amp; ADDRESS(35+3,BS$2+1))),"diff", MAX(INDIRECT(ADDRESS(35+3,BS$2+1,,,"Instances") &amp; ":" &amp; ADDRESS(35+3,BS$2+1)))-MIN(INDIRECT(ADDRESS(35+3,BS$2+1,,,"Instances") &amp; ":" &amp; ADDRESS(35+3,BS$2+1))))</f>
        <v>0</v>
      </c>
      <c r="BT40">
        <f>IFERROR(SMALL(BS5:BS44,ROW()-ROW($BT$5)+1),"")</f>
        <v>0</v>
      </c>
      <c r="BV40">
        <f>IFERROR(SUM(BT5:BT40),"")</f>
        <v>0</v>
      </c>
      <c r="BW40" cm="1">
        <f t="array" ref="BW40">_xlfn.SWITCH(Charts!$B$3,"average", AVERAGE(INDIRECT(ADDRESS(35+3,BW$2+1,,,"Instances") &amp; ":" &amp; ADDRESS(35+3,BW$2+1))),"median", MEDIAN(INDIRECT(ADDRESS(35+3,BW$2+1,,,"Instances") &amp; ":" &amp; ADDRESS(35+3,BW$2+1))),"min", MIN(INDIRECT(ADDRESS(35+3,BW$2+1,,,"Instances") &amp; ":" &amp; ADDRESS(35+3,BW$2+1))),"max", MAX(INDIRECT(ADDRESS(35+3,BW$2+1,,,"Instances") &amp; ":" &amp; ADDRESS(35+3,BW$2+1))),"diff", MAX(INDIRECT(ADDRESS(35+3,BW$2+1,,,"Instances") &amp; ":" &amp; ADDRESS(35+3,BW$2+1)))-MIN(INDIRECT(ADDRESS(35+3,BW$2+1,,,"Instances") &amp; ":" &amp; ADDRESS(35+3,BW$2+1))))</f>
        <v>0</v>
      </c>
      <c r="BX40">
        <f>IFERROR(SMALL(BW5:BW44,ROW()-ROW($BX$5)+1),"")</f>
        <v>0</v>
      </c>
      <c r="BZ40">
        <f>IFERROR(SUM(BX5:BX40),"")</f>
        <v>0</v>
      </c>
      <c r="CA40" cm="1">
        <f t="array" ref="CA40">_xlfn.SWITCH(Charts!$B$3,"average", AVERAGE(INDIRECT(ADDRESS(35+3,CA$2+1,,,"Instances") &amp; ":" &amp; ADDRESS(35+3,CA$2+1))),"median", MEDIAN(INDIRECT(ADDRESS(35+3,CA$2+1,,,"Instances") &amp; ":" &amp; ADDRESS(35+3,CA$2+1))),"min", MIN(INDIRECT(ADDRESS(35+3,CA$2+1,,,"Instances") &amp; ":" &amp; ADDRESS(35+3,CA$2+1))),"max", MAX(INDIRECT(ADDRESS(35+3,CA$2+1,,,"Instances") &amp; ":" &amp; ADDRESS(35+3,CA$2+1))),"diff", MAX(INDIRECT(ADDRESS(35+3,CA$2+1,,,"Instances") &amp; ":" &amp; ADDRESS(35+3,CA$2+1)))-MIN(INDIRECT(ADDRESS(35+3,CA$2+1,,,"Instances") &amp; ":" &amp; ADDRESS(35+3,CA$2+1))))</f>
        <v>0</v>
      </c>
      <c r="CB40">
        <f>IFERROR(SMALL(CA5:CA44,ROW()-ROW($CB$5)+1),"")</f>
        <v>0</v>
      </c>
      <c r="CD40">
        <f>IFERROR(SUM(CB5:CB40),"")</f>
        <v>0</v>
      </c>
      <c r="CE40" cm="1">
        <f t="array" ref="CE40">_xlfn.SWITCH(Charts!$B$3,"average", AVERAGE(INDIRECT(ADDRESS(35+3,CE$2+1,,,"Instances") &amp; ":" &amp; ADDRESS(35+3,CE$2+1))),"median", MEDIAN(INDIRECT(ADDRESS(35+3,CE$2+1,,,"Instances") &amp; ":" &amp; ADDRESS(35+3,CE$2+1))),"min", MIN(INDIRECT(ADDRESS(35+3,CE$2+1,,,"Instances") &amp; ":" &amp; ADDRESS(35+3,CE$2+1))),"max", MAX(INDIRECT(ADDRESS(35+3,CE$2+1,,,"Instances") &amp; ":" &amp; ADDRESS(35+3,CE$2+1))),"diff", MAX(INDIRECT(ADDRESS(35+3,CE$2+1,,,"Instances") &amp; ":" &amp; ADDRESS(35+3,CE$2+1)))-MIN(INDIRECT(ADDRESS(35+3,CE$2+1,,,"Instances") &amp; ":" &amp; ADDRESS(35+3,CE$2+1))))</f>
        <v>0</v>
      </c>
      <c r="CF40">
        <f>IFERROR(SMALL(CE5:CE44,ROW()-ROW($CF$5)+1),"")</f>
        <v>0</v>
      </c>
      <c r="CH40">
        <f>IFERROR(SUM(CF5:CF40),"")</f>
        <v>0</v>
      </c>
      <c r="CI40" cm="1">
        <f t="array" ref="CI40">_xlfn.SWITCH(Charts!$B$3,"average", AVERAGE(INDIRECT(ADDRESS(35+3,CI$2+1,,,"Instances") &amp; ":" &amp; ADDRESS(35+3,CI$2+1))),"median", MEDIAN(INDIRECT(ADDRESS(35+3,CI$2+1,,,"Instances") &amp; ":" &amp; ADDRESS(35+3,CI$2+1))),"min", MIN(INDIRECT(ADDRESS(35+3,CI$2+1,,,"Instances") &amp; ":" &amp; ADDRESS(35+3,CI$2+1))),"max", MAX(INDIRECT(ADDRESS(35+3,CI$2+1,,,"Instances") &amp; ":" &amp; ADDRESS(35+3,CI$2+1))),"diff", MAX(INDIRECT(ADDRESS(35+3,CI$2+1,,,"Instances") &amp; ":" &amp; ADDRESS(35+3,CI$2+1)))-MIN(INDIRECT(ADDRESS(35+3,CI$2+1,,,"Instances") &amp; ":" &amp; ADDRESS(35+3,CI$2+1))))</f>
        <v>0</v>
      </c>
      <c r="CJ40">
        <f>IFERROR(SMALL(CI5:CI44,ROW()-ROW($CJ$5)+1),"")</f>
        <v>0</v>
      </c>
      <c r="CL40">
        <f>IFERROR(SUM(CJ5:CJ40),"")</f>
        <v>0</v>
      </c>
      <c r="CM40" cm="1">
        <f t="array" ref="CM40">_xlfn.SWITCH(Charts!$B$3,"average", AVERAGE(INDIRECT(ADDRESS(35+3,CM$2+1,,,"Instances") &amp; ":" &amp; ADDRESS(35+3,CM$2+1))),"median", MEDIAN(INDIRECT(ADDRESS(35+3,CM$2+1,,,"Instances") &amp; ":" &amp; ADDRESS(35+3,CM$2+1))),"min", MIN(INDIRECT(ADDRESS(35+3,CM$2+1,,,"Instances") &amp; ":" &amp; ADDRESS(35+3,CM$2+1))),"max", MAX(INDIRECT(ADDRESS(35+3,CM$2+1,,,"Instances") &amp; ":" &amp; ADDRESS(35+3,CM$2+1))),"diff", MAX(INDIRECT(ADDRESS(35+3,CM$2+1,,,"Instances") &amp; ":" &amp; ADDRESS(35+3,CM$2+1)))-MIN(INDIRECT(ADDRESS(35+3,CM$2+1,,,"Instances") &amp; ":" &amp; ADDRESS(35+3,CM$2+1))))</f>
        <v>0</v>
      </c>
      <c r="CN40">
        <f>IFERROR(SMALL(CM5:CM44,ROW()-ROW($CN$5)+1),"")</f>
        <v>0</v>
      </c>
      <c r="CP40">
        <f>IFERROR(SUM(CN5:CN40),"")</f>
        <v>0</v>
      </c>
      <c r="CQ40" cm="1">
        <f t="array" ref="CQ40">_xlfn.SWITCH(Charts!$B$3,"average", AVERAGE(INDIRECT(ADDRESS(35+3,CQ$2+1,,,"Instances") &amp; ":" &amp; ADDRESS(35+3,CQ$2+1))),"median", MEDIAN(INDIRECT(ADDRESS(35+3,CQ$2+1,,,"Instances") &amp; ":" &amp; ADDRESS(35+3,CQ$2+1))),"min", MIN(INDIRECT(ADDRESS(35+3,CQ$2+1,,,"Instances") &amp; ":" &amp; ADDRESS(35+3,CQ$2+1))),"max", MAX(INDIRECT(ADDRESS(35+3,CQ$2+1,,,"Instances") &amp; ":" &amp; ADDRESS(35+3,CQ$2+1))),"diff", MAX(INDIRECT(ADDRESS(35+3,CQ$2+1,,,"Instances") &amp; ":" &amp; ADDRESS(35+3,CQ$2+1)))-MIN(INDIRECT(ADDRESS(35+3,CQ$2+1,,,"Instances") &amp; ":" &amp; ADDRESS(35+3,CQ$2+1))))</f>
        <v>0</v>
      </c>
      <c r="CR40">
        <f>IFERROR(SMALL(CQ5:CQ44,ROW()-ROW($CR$5)+1),"")</f>
        <v>0</v>
      </c>
      <c r="CT40">
        <f>IFERROR(SUM(CR5:CR40),"")</f>
        <v>0</v>
      </c>
      <c r="CU40" cm="1">
        <f t="array" ref="CU40">_xlfn.SWITCH(Charts!$B$3,"average", AVERAGE(INDIRECT(ADDRESS(35+3,CU$2+1,,,"Instances") &amp; ":" &amp; ADDRESS(35+3,CU$2+1))),"median", MEDIAN(INDIRECT(ADDRESS(35+3,CU$2+1,,,"Instances") &amp; ":" &amp; ADDRESS(35+3,CU$2+1))),"min", MIN(INDIRECT(ADDRESS(35+3,CU$2+1,,,"Instances") &amp; ":" &amp; ADDRESS(35+3,CU$2+1))),"max", MAX(INDIRECT(ADDRESS(35+3,CU$2+1,,,"Instances") &amp; ":" &amp; ADDRESS(35+3,CU$2+1))),"diff", MAX(INDIRECT(ADDRESS(35+3,CU$2+1,,,"Instances") &amp; ":" &amp; ADDRESS(35+3,CU$2+1)))-MIN(INDIRECT(ADDRESS(35+3,CU$2+1,,,"Instances") &amp; ":" &amp; ADDRESS(35+3,CU$2+1))))</f>
        <v>0</v>
      </c>
      <c r="CV40">
        <f>IFERROR(SMALL(CU5:CU44,ROW()-ROW($CV$5)+1),"")</f>
        <v>0</v>
      </c>
      <c r="CX40">
        <f>IFERROR(SUM(CV5:CV40),"")</f>
        <v>0</v>
      </c>
      <c r="CY40" cm="1">
        <f t="array" ref="CY40">_xlfn.SWITCH(Charts!$B$3,"average", AVERAGE(INDIRECT(ADDRESS(35+3,CY$2+1,,,"Instances") &amp; ":" &amp; ADDRESS(35+3,CY$2+1))),"median", MEDIAN(INDIRECT(ADDRESS(35+3,CY$2+1,,,"Instances") &amp; ":" &amp; ADDRESS(35+3,CY$2+1))),"min", MIN(INDIRECT(ADDRESS(35+3,CY$2+1,,,"Instances") &amp; ":" &amp; ADDRESS(35+3,CY$2+1))),"max", MAX(INDIRECT(ADDRESS(35+3,CY$2+1,,,"Instances") &amp; ":" &amp; ADDRESS(35+3,CY$2+1))),"diff", MAX(INDIRECT(ADDRESS(35+3,CY$2+1,,,"Instances") &amp; ":" &amp; ADDRESS(35+3,CY$2+1)))-MIN(INDIRECT(ADDRESS(35+3,CY$2+1,,,"Instances") &amp; ":" &amp; ADDRESS(35+3,CY$2+1))))</f>
        <v>0</v>
      </c>
      <c r="CZ40">
        <f>IFERROR(SMALL(CY5:CY44,ROW()-ROW($CZ$5)+1),"")</f>
        <v>0</v>
      </c>
      <c r="DB40">
        <f>IFERROR(SUM(CZ5:CZ40),"")</f>
        <v>0</v>
      </c>
      <c r="DC40" cm="1">
        <f t="array" ref="DC40">_xlfn.SWITCH(Charts!$B$3,"average", AVERAGE(INDIRECT(ADDRESS(35+3,DC$2+1,,,"Instances") &amp; ":" &amp; ADDRESS(35+3,DC$2+1))),"median", MEDIAN(INDIRECT(ADDRESS(35+3,DC$2+1,,,"Instances") &amp; ":" &amp; ADDRESS(35+3,DC$2+1))),"min", MIN(INDIRECT(ADDRESS(35+3,DC$2+1,,,"Instances") &amp; ":" &amp; ADDRESS(35+3,DC$2+1))),"max", MAX(INDIRECT(ADDRESS(35+3,DC$2+1,,,"Instances") &amp; ":" &amp; ADDRESS(35+3,DC$2+1))),"diff", MAX(INDIRECT(ADDRESS(35+3,DC$2+1,,,"Instances") &amp; ":" &amp; ADDRESS(35+3,DC$2+1)))-MIN(INDIRECT(ADDRESS(35+3,DC$2+1,,,"Instances") &amp; ":" &amp; ADDRESS(35+3,DC$2+1))))</f>
        <v>0</v>
      </c>
      <c r="DD40">
        <f>IFERROR(SMALL(DC5:DC44,ROW()-ROW($DD$5)+1),"")</f>
        <v>0</v>
      </c>
      <c r="DF40">
        <f>IFERROR(SUM(DD5:DD40),"")</f>
        <v>0</v>
      </c>
      <c r="DG40" cm="1">
        <f t="array" ref="DG40">_xlfn.SWITCH(Charts!$B$3,"average", AVERAGE(INDIRECT(ADDRESS(35+3,DG$2+1,,,"Instances") &amp; ":" &amp; ADDRESS(35+3,DG$2+1))),"median", MEDIAN(INDIRECT(ADDRESS(35+3,DG$2+1,,,"Instances") &amp; ":" &amp; ADDRESS(35+3,DG$2+1))),"min", MIN(INDIRECT(ADDRESS(35+3,DG$2+1,,,"Instances") &amp; ":" &amp; ADDRESS(35+3,DG$2+1))),"max", MAX(INDIRECT(ADDRESS(35+3,DG$2+1,,,"Instances") &amp; ":" &amp; ADDRESS(35+3,DG$2+1))),"diff", MAX(INDIRECT(ADDRESS(35+3,DG$2+1,,,"Instances") &amp; ":" &amp; ADDRESS(35+3,DG$2+1)))-MIN(INDIRECT(ADDRESS(35+3,DG$2+1,,,"Instances") &amp; ":" &amp; ADDRESS(35+3,DG$2+1))))</f>
        <v>0</v>
      </c>
      <c r="DH40">
        <f>IFERROR(SMALL(DG5:DG44,ROW()-ROW($DH$5)+1),"")</f>
        <v>0</v>
      </c>
      <c r="DJ40">
        <f>IFERROR(SUM(DH5:DH40),"")</f>
        <v>0</v>
      </c>
      <c r="DK40" cm="1">
        <f t="array" ref="DK40">_xlfn.SWITCH(Charts!$B$3,"average", AVERAGE(INDIRECT(ADDRESS(35+3,DK$2+1,,,"Instances") &amp; ":" &amp; ADDRESS(35+3,DK$2+1))),"median", MEDIAN(INDIRECT(ADDRESS(35+3,DK$2+1,,,"Instances") &amp; ":" &amp; ADDRESS(35+3,DK$2+1))),"min", MIN(INDIRECT(ADDRESS(35+3,DK$2+1,,,"Instances") &amp; ":" &amp; ADDRESS(35+3,DK$2+1))),"max", MAX(INDIRECT(ADDRESS(35+3,DK$2+1,,,"Instances") &amp; ":" &amp; ADDRESS(35+3,DK$2+1))),"diff", MAX(INDIRECT(ADDRESS(35+3,DK$2+1,,,"Instances") &amp; ":" &amp; ADDRESS(35+3,DK$2+1)))-MIN(INDIRECT(ADDRESS(35+3,DK$2+1,,,"Instances") &amp; ":" &amp; ADDRESS(35+3,DK$2+1))))</f>
        <v>0</v>
      </c>
      <c r="DL40">
        <f>IFERROR(SMALL(DK5:DK44,ROW()-ROW($DL$5)+1),"")</f>
        <v>0</v>
      </c>
      <c r="DN40">
        <f>IFERROR(SUM(DL5:DL40),"")</f>
        <v>0</v>
      </c>
      <c r="DO40" cm="1">
        <f t="array" ref="DO40">_xlfn.SWITCH(Charts!$B$3,"average", AVERAGE(INDIRECT(ADDRESS(35+3,DO$2+1,,,"Instances") &amp; ":" &amp; ADDRESS(35+3,DO$2+1))),"median", MEDIAN(INDIRECT(ADDRESS(35+3,DO$2+1,,,"Instances") &amp; ":" &amp; ADDRESS(35+3,DO$2+1))),"min", MIN(INDIRECT(ADDRESS(35+3,DO$2+1,,,"Instances") &amp; ":" &amp; ADDRESS(35+3,DO$2+1))),"max", MAX(INDIRECT(ADDRESS(35+3,DO$2+1,,,"Instances") &amp; ":" &amp; ADDRESS(35+3,DO$2+1))),"diff", MAX(INDIRECT(ADDRESS(35+3,DO$2+1,,,"Instances") &amp; ":" &amp; ADDRESS(35+3,DO$2+1)))-MIN(INDIRECT(ADDRESS(35+3,DO$2+1,,,"Instances") &amp; ":" &amp; ADDRESS(35+3,DO$2+1))))</f>
        <v>0</v>
      </c>
      <c r="DP40">
        <f>IFERROR(SMALL(DO5:DO44,ROW()-ROW($DP$5)+1),"")</f>
        <v>0</v>
      </c>
      <c r="DR40">
        <f>IFERROR(SUM(DP5:DP40),"")</f>
        <v>0</v>
      </c>
      <c r="DS40" cm="1">
        <f t="array" ref="DS40">_xlfn.SWITCH(Charts!$B$3,"average", AVERAGE(INDIRECT(ADDRESS(35+3,DS$2+1,,,"Instances") &amp; ":" &amp; ADDRESS(35+3,DS$2+1))),"median", MEDIAN(INDIRECT(ADDRESS(35+3,DS$2+1,,,"Instances") &amp; ":" &amp; ADDRESS(35+3,DS$2+1))),"min", MIN(INDIRECT(ADDRESS(35+3,DS$2+1,,,"Instances") &amp; ":" &amp; ADDRESS(35+3,DS$2+1))),"max", MAX(INDIRECT(ADDRESS(35+3,DS$2+1,,,"Instances") &amp; ":" &amp; ADDRESS(35+3,DS$2+1))),"diff", MAX(INDIRECT(ADDRESS(35+3,DS$2+1,,,"Instances") &amp; ":" &amp; ADDRESS(35+3,DS$2+1)))-MIN(INDIRECT(ADDRESS(35+3,DS$2+1,,,"Instances") &amp; ":" &amp; ADDRESS(35+3,DS$2+1))))</f>
        <v>0</v>
      </c>
      <c r="DT40">
        <f>IFERROR(SMALL(DS5:DS44,ROW()-ROW($DT$5)+1),"")</f>
        <v>0</v>
      </c>
      <c r="DV40">
        <f>IFERROR(SUM(DT5:DT40),"")</f>
        <v>0</v>
      </c>
      <c r="DW40" cm="1">
        <f t="array" ref="DW40">_xlfn.SWITCH(Charts!$B$3,"average", AVERAGE(INDIRECT(ADDRESS(35+3,DW$2+1,,,"Instances") &amp; ":" &amp; ADDRESS(35+3,DW$2+1))),"median", MEDIAN(INDIRECT(ADDRESS(35+3,DW$2+1,,,"Instances") &amp; ":" &amp; ADDRESS(35+3,DW$2+1))),"min", MIN(INDIRECT(ADDRESS(35+3,DW$2+1,,,"Instances") &amp; ":" &amp; ADDRESS(35+3,DW$2+1))),"max", MAX(INDIRECT(ADDRESS(35+3,DW$2+1,,,"Instances") &amp; ":" &amp; ADDRESS(35+3,DW$2+1))),"diff", MAX(INDIRECT(ADDRESS(35+3,DW$2+1,,,"Instances") &amp; ":" &amp; ADDRESS(35+3,DW$2+1)))-MIN(INDIRECT(ADDRESS(35+3,DW$2+1,,,"Instances") &amp; ":" &amp; ADDRESS(35+3,DW$2+1))))</f>
        <v>0</v>
      </c>
      <c r="DX40">
        <f>IFERROR(SMALL(DW5:DW44,ROW()-ROW($DX$5)+1),"")</f>
        <v>0</v>
      </c>
      <c r="DZ40">
        <f>IFERROR(SUM(DX5:DX40),"")</f>
        <v>0</v>
      </c>
      <c r="EA40" cm="1">
        <f t="array" ref="EA40">_xlfn.SWITCH(Charts!$B$3,"average", AVERAGE(INDIRECT(ADDRESS(35+3,EA$2+1,,,"Instances") &amp; ":" &amp; ADDRESS(35+3,EA$2+1))),"median", MEDIAN(INDIRECT(ADDRESS(35+3,EA$2+1,,,"Instances") &amp; ":" &amp; ADDRESS(35+3,EA$2+1))),"min", MIN(INDIRECT(ADDRESS(35+3,EA$2+1,,,"Instances") &amp; ":" &amp; ADDRESS(35+3,EA$2+1))),"max", MAX(INDIRECT(ADDRESS(35+3,EA$2+1,,,"Instances") &amp; ":" &amp; ADDRESS(35+3,EA$2+1))),"diff", MAX(INDIRECT(ADDRESS(35+3,EA$2+1,,,"Instances") &amp; ":" &amp; ADDRESS(35+3,EA$2+1)))-MIN(INDIRECT(ADDRESS(35+3,EA$2+1,,,"Instances") &amp; ":" &amp; ADDRESS(35+3,EA$2+1))))</f>
        <v>0</v>
      </c>
      <c r="EB40">
        <f>IFERROR(SMALL(EA5:EA44,ROW()-ROW($EB$5)+1),"")</f>
        <v>0</v>
      </c>
      <c r="ED40">
        <f>IFERROR(SUM(EB5:EB40),"")</f>
        <v>0</v>
      </c>
      <c r="EG40">
        <f>IF(Charts!$B$3="none",E247,IF(BS247="",NA(),BS247))</f>
        <v>0</v>
      </c>
      <c r="EH40">
        <f>IF(Charts!$B$3="none",F247,IF(BT247="",NA(),BT247))</f>
        <v>0</v>
      </c>
      <c r="EI40">
        <f>IF(Charts!$B$3="none",G247,IF(BU247="",NA(),BU247))</f>
        <v>0</v>
      </c>
      <c r="EJ40">
        <f>IF(Charts!$B$3="none",H247,IF(BV247="",NA(),BV247))</f>
        <v>0</v>
      </c>
      <c r="EK40">
        <f>IF(Charts!$B$3="none",I247,IF(BW247="",NA(),BW247))</f>
        <v>0</v>
      </c>
      <c r="EL40">
        <f>IF(Charts!$B$3="none",J247,IF(BX247="",NA(),BX247))</f>
        <v>0</v>
      </c>
      <c r="EM40">
        <f>IF(Charts!$B$3="none",K247,IF(BY247="",NA(),BY247))</f>
        <v>0</v>
      </c>
      <c r="EN40">
        <f>IF(Charts!$B$3="none",L247,IF(BZ247="",NA(),BZ247))</f>
        <v>0</v>
      </c>
      <c r="EO40">
        <f>IF(Charts!$B$3="none",M247,IF(CA247="",NA(),CA247))</f>
        <v>0</v>
      </c>
      <c r="EP40">
        <f>IF(Charts!$B$3="none",N247,IF(CB247="",NA(),CB247))</f>
        <v>0</v>
      </c>
      <c r="EQ40">
        <f>IF(Charts!$B$3="none",O247,IF(CC247="",NA(),CC247))</f>
        <v>0</v>
      </c>
      <c r="ER40">
        <f>IF(Charts!$B$3="none",P247,IF(CD247="",NA(),CD247))</f>
        <v>0</v>
      </c>
      <c r="ES40">
        <f>IF(Charts!$B$3="none",Q247,IF(CE247="",NA(),CE247))</f>
        <v>0</v>
      </c>
      <c r="ET40">
        <f>IF(Charts!$B$3="none",R247,IF(CF247="",NA(),CF247))</f>
        <v>0</v>
      </c>
      <c r="EU40">
        <f>IF(Charts!$B$3="none",S247,IF(CG247="",NA(),CG247))</f>
        <v>0</v>
      </c>
      <c r="EV40">
        <f>IF(Charts!$B$3="none",T247,IF(CH247="",NA(),CH247))</f>
        <v>0</v>
      </c>
      <c r="EW40">
        <f>IF(Charts!$B$3="none",U247,IF(CI247="",NA(),CI247))</f>
        <v>0</v>
      </c>
      <c r="EX40">
        <f>IF(Charts!$B$3="none",V247,IF(CJ247="",NA(),CJ247))</f>
        <v>0</v>
      </c>
      <c r="EY40">
        <f>IF(Charts!$B$3="none",W247,IF(CK247="",NA(),CK247))</f>
        <v>0</v>
      </c>
      <c r="EZ40">
        <f>IF(Charts!$B$3="none",X247,IF(CL247="",NA(),CL247))</f>
        <v>0</v>
      </c>
      <c r="FA40">
        <f>IF(Charts!$B$3="none",Y247,IF(CM247="",NA(),CM247))</f>
        <v>0</v>
      </c>
      <c r="FB40">
        <f>IF(Charts!$B$3="none",Z247,IF(CN247="",NA(),CN247))</f>
        <v>0</v>
      </c>
      <c r="FC40">
        <f>IF(Charts!$B$3="none",AA247,IF(CO247="",NA(),CO247))</f>
        <v>0</v>
      </c>
      <c r="FD40">
        <f>IF(Charts!$B$3="none",AB247,IF(CP247="",NA(),CP247))</f>
        <v>0</v>
      </c>
      <c r="FE40">
        <f>IF(Charts!$B$3="none",AC247,IF(CQ247="",NA(),CQ247))</f>
        <v>0</v>
      </c>
      <c r="FF40">
        <f>IF(Charts!$B$3="none",AD247,IF(CR247="",NA(),CR247))</f>
        <v>0</v>
      </c>
      <c r="FG40">
        <f>IF(Charts!$B$3="none",AE247,IF(CS247="",NA(),CS247))</f>
        <v>0</v>
      </c>
      <c r="FH40">
        <f>IF(Charts!$B$3="none",AF247,IF(CT247="",NA(),CT247))</f>
        <v>0</v>
      </c>
      <c r="FI40">
        <f>IF(Charts!$B$3="none",AG247,IF(CU247="",NA(),CU247))</f>
        <v>0</v>
      </c>
      <c r="FJ40">
        <f>IF(Charts!$B$3="none",AH247,IF(CV247="",NA(),CV247))</f>
        <v>0</v>
      </c>
      <c r="FK40">
        <f>IF(Charts!$B$3="none",AI247,IF(CW247="",NA(),CW247))</f>
        <v>0</v>
      </c>
      <c r="FL40">
        <f>IF(Charts!$B$3="none",AJ247,IF(CX247="",NA(),CX247))</f>
        <v>0</v>
      </c>
      <c r="FM40">
        <f>IF(Charts!$B$3="none",AK247,IF(CY247="",NA(),CY247))</f>
        <v>0</v>
      </c>
      <c r="FN40">
        <f>IF(Charts!$B$3="none",AL247,IF(CZ247="",NA(),CZ247))</f>
        <v>0</v>
      </c>
      <c r="FO40">
        <f>IF(Charts!$B$3="none",AM247,IF(DA247="",NA(),DA247))</f>
        <v>0</v>
      </c>
      <c r="FP40">
        <f>IF(Charts!$B$3="none",AN247,IF(DB247="",NA(),DB247))</f>
        <v>0</v>
      </c>
      <c r="FQ40">
        <f>IF(Charts!$B$3="none",AO247,IF(DC247="",NA(),DC247))</f>
        <v>0</v>
      </c>
      <c r="FR40">
        <f>IF(Charts!$B$3="none",AP247,IF(DD247="",NA(),DD247))</f>
        <v>0</v>
      </c>
      <c r="FS40">
        <f>IF(Charts!$B$3="none",AQ247,IF(DE247="",NA(),DE247))</f>
        <v>0</v>
      </c>
      <c r="FT40">
        <f>IF(Charts!$B$3="none",AR247,IF(DF247="",NA(),DF247))</f>
        <v>0</v>
      </c>
      <c r="FU40">
        <f>IF(Charts!$B$3="none",AS247,IF(DG247="",NA(),DG247))</f>
        <v>0</v>
      </c>
      <c r="FV40">
        <f>IF(Charts!$B$3="none",AT247,IF(DH247="",NA(),DH247))</f>
        <v>0</v>
      </c>
      <c r="FW40">
        <f>IF(Charts!$B$3="none",AU247,IF(DI247="",NA(),DI247))</f>
        <v>0</v>
      </c>
      <c r="FX40">
        <f>IF(Charts!$B$3="none",AV247,IF(DJ247="",NA(),DJ247))</f>
        <v>0</v>
      </c>
      <c r="FY40">
        <f>IF(Charts!$B$3="none",AW247,IF(DK247="",NA(),DK247))</f>
        <v>0</v>
      </c>
      <c r="FZ40">
        <f>IF(Charts!$B$3="none",AX247,IF(DL247="",NA(),DL247))</f>
        <v>0</v>
      </c>
      <c r="GA40">
        <f>IF(Charts!$B$3="none",AY247,IF(DM247="",NA(),DM247))</f>
        <v>0</v>
      </c>
      <c r="GB40">
        <f>IF(Charts!$B$3="none",AZ247,IF(DN247="",NA(),DN247))</f>
        <v>0</v>
      </c>
      <c r="GC40">
        <f>IF(Charts!$B$3="none",BA247,IF(DO247="",NA(),DO247))</f>
        <v>0</v>
      </c>
      <c r="GD40">
        <f>IF(Charts!$B$3="none",BB247,IF(DP247="",NA(),DP247))</f>
        <v>0</v>
      </c>
      <c r="GE40">
        <f>IF(Charts!$B$3="none",BC247,IF(DQ247="",NA(),DQ247))</f>
        <v>0</v>
      </c>
      <c r="GF40">
        <f>IF(Charts!$B$3="none",BD247,IF(DR247="",NA(),DR247))</f>
        <v>0</v>
      </c>
      <c r="GG40">
        <f>IF(Charts!$B$3="none",BE247,IF(DS247="",NA(),DS247))</f>
        <v>0</v>
      </c>
      <c r="GH40">
        <f>IF(Charts!$B$3="none",BF247,IF(DT247="",NA(),DT247))</f>
        <v>0</v>
      </c>
      <c r="GI40">
        <f>IF(Charts!$B$3="none",BG247,IF(DU247="",NA(),DU247))</f>
        <v>0</v>
      </c>
      <c r="GJ40">
        <f>IF(Charts!$B$3="none",BH247,IF(DV247="",NA(),DV247))</f>
        <v>0</v>
      </c>
      <c r="GK40">
        <f>IF(Charts!$B$3="none",BI247,IF(DW247="",NA(),DW247))</f>
        <v>0</v>
      </c>
      <c r="GL40">
        <f>IF(Charts!$B$3="none",BJ247,IF(DX247="",NA(),DX247))</f>
        <v>0</v>
      </c>
      <c r="GM40">
        <f>IF(Charts!$B$3="none",BK247,IF(DY247="",NA(),DY247))</f>
        <v>0</v>
      </c>
      <c r="GN40">
        <f>IF(Charts!$B$3="none",BL247,IF(DZ247="",NA(),DZ247))</f>
        <v>0</v>
      </c>
      <c r="GO40">
        <f>IF(Charts!$B$3="none",BM247,IF(EA247="",NA(),EA247))</f>
        <v>0</v>
      </c>
      <c r="GP40">
        <f>IF(Charts!$B$3="none",BN247,IF(EB247="",NA(),EB247))</f>
        <v>0</v>
      </c>
      <c r="GQ40">
        <f>IF(Charts!$B$3="none",BO247,IF(EC247="",NA(),EC247))</f>
        <v>0</v>
      </c>
      <c r="GR40">
        <f>IF(Charts!$B$3="none",BP247,IF(ED247="",NA(),ED247))</f>
        <v>0</v>
      </c>
    </row>
    <row r="41" spans="4:200">
      <c r="D41">
        <v>37</v>
      </c>
      <c r="E41">
        <f>IF(INDIRECT(ADDRESS($D41+2,E$2+1,,,"Instances"))="","",INDIRECT(ADDRESS($D41+2,E$2+1,,,"Instances")))</f>
        <v>0</v>
      </c>
      <c r="F41">
        <f>IFERROR(SMALL(E5:E44,ROW()-ROW($F$5)+1),"")</f>
        <v>0</v>
      </c>
      <c r="H41">
        <f>IFERROR(SUM(F5:F41),"")</f>
        <v>0</v>
      </c>
      <c r="I41">
        <f>IF(INDIRECT(ADDRESS($D41+2,I$2+1,,,"Instances"))="","",INDIRECT(ADDRESS($D41+2,I$2+1,,,"Instances")))</f>
        <v>0</v>
      </c>
      <c r="J41">
        <f>IFERROR(SMALL(I5:I44,ROW()-ROW($J$5)+1),"")</f>
        <v>0</v>
      </c>
      <c r="L41">
        <f>IFERROR(SUM(J5:J41),"")</f>
        <v>0</v>
      </c>
      <c r="M41">
        <f>IF(INDIRECT(ADDRESS($D41+2,M$2+1,,,"Instances"))="","",INDIRECT(ADDRESS($D41+2,M$2+1,,,"Instances")))</f>
        <v>0</v>
      </c>
      <c r="N41">
        <f>IFERROR(SMALL(M5:M44,ROW()-ROW($N$5)+1),"")</f>
        <v>0</v>
      </c>
      <c r="P41">
        <f>IFERROR(SUM(N5:N41),"")</f>
        <v>0</v>
      </c>
      <c r="Q41">
        <f>IF(INDIRECT(ADDRESS($D41+2,Q$2+1,,,"Instances"))="","",INDIRECT(ADDRESS($D41+2,Q$2+1,,,"Instances")))</f>
        <v>0</v>
      </c>
      <c r="R41">
        <f>IFERROR(SMALL(Q5:Q44,ROW()-ROW($R$5)+1),"")</f>
        <v>0</v>
      </c>
      <c r="T41">
        <f>IFERROR(SUM(R5:R41),"")</f>
        <v>0</v>
      </c>
      <c r="U41">
        <f>IF(INDIRECT(ADDRESS($D41+2,U$2+1,,,"Instances"))="","",INDIRECT(ADDRESS($D41+2,U$2+1,,,"Instances")))</f>
        <v>0</v>
      </c>
      <c r="V41">
        <f>IFERROR(SMALL(U5:U44,ROW()-ROW($V$5)+1),"")</f>
        <v>0</v>
      </c>
      <c r="X41">
        <f>IFERROR(SUM(V5:V41),"")</f>
        <v>0</v>
      </c>
      <c r="Y41">
        <f>IF(INDIRECT(ADDRESS($D41+2,Y$2+1,,,"Instances"))="","",INDIRECT(ADDRESS($D41+2,Y$2+1,,,"Instances")))</f>
        <v>0</v>
      </c>
      <c r="Z41">
        <f>IFERROR(SMALL(Y5:Y44,ROW()-ROW($Z$5)+1),"")</f>
        <v>0</v>
      </c>
      <c r="AB41">
        <f>IFERROR(SUM(Z5:Z41),"")</f>
        <v>0</v>
      </c>
      <c r="AC41">
        <f>IF(INDIRECT(ADDRESS($D41+2,AC$2+1,,,"Instances"))="","",INDIRECT(ADDRESS($D41+2,AC$2+1,,,"Instances")))</f>
        <v>0</v>
      </c>
      <c r="AD41">
        <f>IFERROR(SMALL(AC5:AC44,ROW()-ROW($AD$5)+1),"")</f>
        <v>0</v>
      </c>
      <c r="AF41">
        <f>IFERROR(SUM(AD5:AD41),"")</f>
        <v>0</v>
      </c>
      <c r="AG41">
        <f>IF(INDIRECT(ADDRESS($D41+2,AG$2+1,,,"Instances"))="","",INDIRECT(ADDRESS($D41+2,AG$2+1,,,"Instances")))</f>
        <v>0</v>
      </c>
      <c r="AH41">
        <f>IFERROR(SMALL(AG5:AG44,ROW()-ROW($AH$5)+1),"")</f>
        <v>0</v>
      </c>
      <c r="AJ41">
        <f>IFERROR(SUM(AH5:AH41),"")</f>
        <v>0</v>
      </c>
      <c r="AK41">
        <f>IF(INDIRECT(ADDRESS($D41+2,AK$2+1,,,"Instances"))="","",INDIRECT(ADDRESS($D41+2,AK$2+1,,,"Instances")))</f>
        <v>0</v>
      </c>
      <c r="AL41">
        <f>IFERROR(SMALL(AK5:AK44,ROW()-ROW($AL$5)+1),"")</f>
        <v>0</v>
      </c>
      <c r="AN41">
        <f>IFERROR(SUM(AL5:AL41),"")</f>
        <v>0</v>
      </c>
      <c r="AO41">
        <f>IF(INDIRECT(ADDRESS($D41+2,AO$2+1,,,"Instances"))="","",INDIRECT(ADDRESS($D41+2,AO$2+1,,,"Instances")))</f>
        <v>0</v>
      </c>
      <c r="AP41">
        <f>IFERROR(SMALL(AO5:AO44,ROW()-ROW($AP$5)+1),"")</f>
        <v>0</v>
      </c>
      <c r="AR41">
        <f>IFERROR(SUM(AP5:AP41),"")</f>
        <v>0</v>
      </c>
      <c r="AS41">
        <f>IF(INDIRECT(ADDRESS($D41+2,AS$2+1,,,"Instances"))="","",INDIRECT(ADDRESS($D41+2,AS$2+1,,,"Instances")))</f>
        <v>0</v>
      </c>
      <c r="AT41">
        <f>IFERROR(SMALL(AS5:AS44,ROW()-ROW($AT$5)+1),"")</f>
        <v>0</v>
      </c>
      <c r="AV41">
        <f>IFERROR(SUM(AT5:AT41),"")</f>
        <v>0</v>
      </c>
      <c r="AW41">
        <f>IF(INDIRECT(ADDRESS($D41+2,AW$2+1,,,"Instances"))="","",INDIRECT(ADDRESS($D41+2,AW$2+1,,,"Instances")))</f>
        <v>0</v>
      </c>
      <c r="AX41">
        <f>IFERROR(SMALL(AW5:AW44,ROW()-ROW($AX$5)+1),"")</f>
        <v>0</v>
      </c>
      <c r="AZ41">
        <f>IFERROR(SUM(AX5:AX41),"")</f>
        <v>0</v>
      </c>
      <c r="BA41">
        <f>IF(INDIRECT(ADDRESS($D41+2,BA$2+1,,,"Instances"))="","",INDIRECT(ADDRESS($D41+2,BA$2+1,,,"Instances")))</f>
        <v>0</v>
      </c>
      <c r="BB41">
        <f>IFERROR(SMALL(BA5:BA44,ROW()-ROW($BB$5)+1),"")</f>
        <v>0</v>
      </c>
      <c r="BD41">
        <f>IFERROR(SUM(BB5:BB41),"")</f>
        <v>0</v>
      </c>
      <c r="BE41">
        <f>IF(INDIRECT(ADDRESS($D41+2,BE$2+1,,,"Instances"))="","",INDIRECT(ADDRESS($D41+2,BE$2+1,,,"Instances")))</f>
        <v>0</v>
      </c>
      <c r="BF41">
        <f>IFERROR(SMALL(BE5:BE44,ROW()-ROW($BF$5)+1),"")</f>
        <v>0</v>
      </c>
      <c r="BH41">
        <f>IFERROR(SUM(BF5:BF41),"")</f>
        <v>0</v>
      </c>
      <c r="BI41">
        <f>IF(INDIRECT(ADDRESS($D41+2,BI$2+1,,,"Instances"))="","",INDIRECT(ADDRESS($D41+2,BI$2+1,,,"Instances")))</f>
        <v>0</v>
      </c>
      <c r="BJ41">
        <f>IFERROR(SMALL(BI5:BI44,ROW()-ROW($BJ$5)+1),"")</f>
        <v>0</v>
      </c>
      <c r="BL41">
        <f>IFERROR(SUM(BJ5:BJ41),"")</f>
        <v>0</v>
      </c>
      <c r="BM41">
        <f>IF(INDIRECT(ADDRESS($D41+2,BM$2+1,,,"Instances"))="","",INDIRECT(ADDRESS($D41+2,BM$2+1,,,"Instances")))</f>
        <v>0</v>
      </c>
      <c r="BN41">
        <f>IFERROR(SMALL(BM5:BM44,ROW()-ROW($BN$5)+1),"")</f>
        <v>0</v>
      </c>
      <c r="BP41">
        <f>IFERROR(SUM(BN5:BN41),"")</f>
        <v>0</v>
      </c>
      <c r="BR41">
        <v>37</v>
      </c>
      <c r="BS41" cm="1">
        <f t="array" ref="BS41">_xlfn.SWITCH(Charts!$B$3,"average", AVERAGE(INDIRECT(ADDRESS(36+3,BS$2+1,,,"Instances") &amp; ":" &amp; ADDRESS(36+3,BS$2+1))),"median", MEDIAN(INDIRECT(ADDRESS(36+3,BS$2+1,,,"Instances") &amp; ":" &amp; ADDRESS(36+3,BS$2+1))),"min", MIN(INDIRECT(ADDRESS(36+3,BS$2+1,,,"Instances") &amp; ":" &amp; ADDRESS(36+3,BS$2+1))),"max", MAX(INDIRECT(ADDRESS(36+3,BS$2+1,,,"Instances") &amp; ":" &amp; ADDRESS(36+3,BS$2+1))),"diff", MAX(INDIRECT(ADDRESS(36+3,BS$2+1,,,"Instances") &amp; ":" &amp; ADDRESS(36+3,BS$2+1)))-MIN(INDIRECT(ADDRESS(36+3,BS$2+1,,,"Instances") &amp; ":" &amp; ADDRESS(36+3,BS$2+1))))</f>
        <v>0</v>
      </c>
      <c r="BT41">
        <f>IFERROR(SMALL(BS5:BS44,ROW()-ROW($BT$5)+1),"")</f>
        <v>0</v>
      </c>
      <c r="BV41">
        <f>IFERROR(SUM(BT5:BT41),"")</f>
        <v>0</v>
      </c>
      <c r="BW41" cm="1">
        <f t="array" ref="BW41">_xlfn.SWITCH(Charts!$B$3,"average", AVERAGE(INDIRECT(ADDRESS(36+3,BW$2+1,,,"Instances") &amp; ":" &amp; ADDRESS(36+3,BW$2+1))),"median", MEDIAN(INDIRECT(ADDRESS(36+3,BW$2+1,,,"Instances") &amp; ":" &amp; ADDRESS(36+3,BW$2+1))),"min", MIN(INDIRECT(ADDRESS(36+3,BW$2+1,,,"Instances") &amp; ":" &amp; ADDRESS(36+3,BW$2+1))),"max", MAX(INDIRECT(ADDRESS(36+3,BW$2+1,,,"Instances") &amp; ":" &amp; ADDRESS(36+3,BW$2+1))),"diff", MAX(INDIRECT(ADDRESS(36+3,BW$2+1,,,"Instances") &amp; ":" &amp; ADDRESS(36+3,BW$2+1)))-MIN(INDIRECT(ADDRESS(36+3,BW$2+1,,,"Instances") &amp; ":" &amp; ADDRESS(36+3,BW$2+1))))</f>
        <v>0</v>
      </c>
      <c r="BX41">
        <f>IFERROR(SMALL(BW5:BW44,ROW()-ROW($BX$5)+1),"")</f>
        <v>0</v>
      </c>
      <c r="BZ41">
        <f>IFERROR(SUM(BX5:BX41),"")</f>
        <v>0</v>
      </c>
      <c r="CA41" cm="1">
        <f t="array" ref="CA41">_xlfn.SWITCH(Charts!$B$3,"average", AVERAGE(INDIRECT(ADDRESS(36+3,CA$2+1,,,"Instances") &amp; ":" &amp; ADDRESS(36+3,CA$2+1))),"median", MEDIAN(INDIRECT(ADDRESS(36+3,CA$2+1,,,"Instances") &amp; ":" &amp; ADDRESS(36+3,CA$2+1))),"min", MIN(INDIRECT(ADDRESS(36+3,CA$2+1,,,"Instances") &amp; ":" &amp; ADDRESS(36+3,CA$2+1))),"max", MAX(INDIRECT(ADDRESS(36+3,CA$2+1,,,"Instances") &amp; ":" &amp; ADDRESS(36+3,CA$2+1))),"diff", MAX(INDIRECT(ADDRESS(36+3,CA$2+1,,,"Instances") &amp; ":" &amp; ADDRESS(36+3,CA$2+1)))-MIN(INDIRECT(ADDRESS(36+3,CA$2+1,,,"Instances") &amp; ":" &amp; ADDRESS(36+3,CA$2+1))))</f>
        <v>0</v>
      </c>
      <c r="CB41">
        <f>IFERROR(SMALL(CA5:CA44,ROW()-ROW($CB$5)+1),"")</f>
        <v>0</v>
      </c>
      <c r="CD41">
        <f>IFERROR(SUM(CB5:CB41),"")</f>
        <v>0</v>
      </c>
      <c r="CE41" cm="1">
        <f t="array" ref="CE41">_xlfn.SWITCH(Charts!$B$3,"average", AVERAGE(INDIRECT(ADDRESS(36+3,CE$2+1,,,"Instances") &amp; ":" &amp; ADDRESS(36+3,CE$2+1))),"median", MEDIAN(INDIRECT(ADDRESS(36+3,CE$2+1,,,"Instances") &amp; ":" &amp; ADDRESS(36+3,CE$2+1))),"min", MIN(INDIRECT(ADDRESS(36+3,CE$2+1,,,"Instances") &amp; ":" &amp; ADDRESS(36+3,CE$2+1))),"max", MAX(INDIRECT(ADDRESS(36+3,CE$2+1,,,"Instances") &amp; ":" &amp; ADDRESS(36+3,CE$2+1))),"diff", MAX(INDIRECT(ADDRESS(36+3,CE$2+1,,,"Instances") &amp; ":" &amp; ADDRESS(36+3,CE$2+1)))-MIN(INDIRECT(ADDRESS(36+3,CE$2+1,,,"Instances") &amp; ":" &amp; ADDRESS(36+3,CE$2+1))))</f>
        <v>0</v>
      </c>
      <c r="CF41">
        <f>IFERROR(SMALL(CE5:CE44,ROW()-ROW($CF$5)+1),"")</f>
        <v>0</v>
      </c>
      <c r="CH41">
        <f>IFERROR(SUM(CF5:CF41),"")</f>
        <v>0</v>
      </c>
      <c r="CI41" cm="1">
        <f t="array" ref="CI41">_xlfn.SWITCH(Charts!$B$3,"average", AVERAGE(INDIRECT(ADDRESS(36+3,CI$2+1,,,"Instances") &amp; ":" &amp; ADDRESS(36+3,CI$2+1))),"median", MEDIAN(INDIRECT(ADDRESS(36+3,CI$2+1,,,"Instances") &amp; ":" &amp; ADDRESS(36+3,CI$2+1))),"min", MIN(INDIRECT(ADDRESS(36+3,CI$2+1,,,"Instances") &amp; ":" &amp; ADDRESS(36+3,CI$2+1))),"max", MAX(INDIRECT(ADDRESS(36+3,CI$2+1,,,"Instances") &amp; ":" &amp; ADDRESS(36+3,CI$2+1))),"diff", MAX(INDIRECT(ADDRESS(36+3,CI$2+1,,,"Instances") &amp; ":" &amp; ADDRESS(36+3,CI$2+1)))-MIN(INDIRECT(ADDRESS(36+3,CI$2+1,,,"Instances") &amp; ":" &amp; ADDRESS(36+3,CI$2+1))))</f>
        <v>0</v>
      </c>
      <c r="CJ41">
        <f>IFERROR(SMALL(CI5:CI44,ROW()-ROW($CJ$5)+1),"")</f>
        <v>0</v>
      </c>
      <c r="CL41">
        <f>IFERROR(SUM(CJ5:CJ41),"")</f>
        <v>0</v>
      </c>
      <c r="CM41" cm="1">
        <f t="array" ref="CM41">_xlfn.SWITCH(Charts!$B$3,"average", AVERAGE(INDIRECT(ADDRESS(36+3,CM$2+1,,,"Instances") &amp; ":" &amp; ADDRESS(36+3,CM$2+1))),"median", MEDIAN(INDIRECT(ADDRESS(36+3,CM$2+1,,,"Instances") &amp; ":" &amp; ADDRESS(36+3,CM$2+1))),"min", MIN(INDIRECT(ADDRESS(36+3,CM$2+1,,,"Instances") &amp; ":" &amp; ADDRESS(36+3,CM$2+1))),"max", MAX(INDIRECT(ADDRESS(36+3,CM$2+1,,,"Instances") &amp; ":" &amp; ADDRESS(36+3,CM$2+1))),"diff", MAX(INDIRECT(ADDRESS(36+3,CM$2+1,,,"Instances") &amp; ":" &amp; ADDRESS(36+3,CM$2+1)))-MIN(INDIRECT(ADDRESS(36+3,CM$2+1,,,"Instances") &amp; ":" &amp; ADDRESS(36+3,CM$2+1))))</f>
        <v>0</v>
      </c>
      <c r="CN41">
        <f>IFERROR(SMALL(CM5:CM44,ROW()-ROW($CN$5)+1),"")</f>
        <v>0</v>
      </c>
      <c r="CP41">
        <f>IFERROR(SUM(CN5:CN41),"")</f>
        <v>0</v>
      </c>
      <c r="CQ41" cm="1">
        <f t="array" ref="CQ41">_xlfn.SWITCH(Charts!$B$3,"average", AVERAGE(INDIRECT(ADDRESS(36+3,CQ$2+1,,,"Instances") &amp; ":" &amp; ADDRESS(36+3,CQ$2+1))),"median", MEDIAN(INDIRECT(ADDRESS(36+3,CQ$2+1,,,"Instances") &amp; ":" &amp; ADDRESS(36+3,CQ$2+1))),"min", MIN(INDIRECT(ADDRESS(36+3,CQ$2+1,,,"Instances") &amp; ":" &amp; ADDRESS(36+3,CQ$2+1))),"max", MAX(INDIRECT(ADDRESS(36+3,CQ$2+1,,,"Instances") &amp; ":" &amp; ADDRESS(36+3,CQ$2+1))),"diff", MAX(INDIRECT(ADDRESS(36+3,CQ$2+1,,,"Instances") &amp; ":" &amp; ADDRESS(36+3,CQ$2+1)))-MIN(INDIRECT(ADDRESS(36+3,CQ$2+1,,,"Instances") &amp; ":" &amp; ADDRESS(36+3,CQ$2+1))))</f>
        <v>0</v>
      </c>
      <c r="CR41">
        <f>IFERROR(SMALL(CQ5:CQ44,ROW()-ROW($CR$5)+1),"")</f>
        <v>0</v>
      </c>
      <c r="CT41">
        <f>IFERROR(SUM(CR5:CR41),"")</f>
        <v>0</v>
      </c>
      <c r="CU41" cm="1">
        <f t="array" ref="CU41">_xlfn.SWITCH(Charts!$B$3,"average", AVERAGE(INDIRECT(ADDRESS(36+3,CU$2+1,,,"Instances") &amp; ":" &amp; ADDRESS(36+3,CU$2+1))),"median", MEDIAN(INDIRECT(ADDRESS(36+3,CU$2+1,,,"Instances") &amp; ":" &amp; ADDRESS(36+3,CU$2+1))),"min", MIN(INDIRECT(ADDRESS(36+3,CU$2+1,,,"Instances") &amp; ":" &amp; ADDRESS(36+3,CU$2+1))),"max", MAX(INDIRECT(ADDRESS(36+3,CU$2+1,,,"Instances") &amp; ":" &amp; ADDRESS(36+3,CU$2+1))),"diff", MAX(INDIRECT(ADDRESS(36+3,CU$2+1,,,"Instances") &amp; ":" &amp; ADDRESS(36+3,CU$2+1)))-MIN(INDIRECT(ADDRESS(36+3,CU$2+1,,,"Instances") &amp; ":" &amp; ADDRESS(36+3,CU$2+1))))</f>
        <v>0</v>
      </c>
      <c r="CV41">
        <f>IFERROR(SMALL(CU5:CU44,ROW()-ROW($CV$5)+1),"")</f>
        <v>0</v>
      </c>
      <c r="CX41">
        <f>IFERROR(SUM(CV5:CV41),"")</f>
        <v>0</v>
      </c>
      <c r="CY41" cm="1">
        <f t="array" ref="CY41">_xlfn.SWITCH(Charts!$B$3,"average", AVERAGE(INDIRECT(ADDRESS(36+3,CY$2+1,,,"Instances") &amp; ":" &amp; ADDRESS(36+3,CY$2+1))),"median", MEDIAN(INDIRECT(ADDRESS(36+3,CY$2+1,,,"Instances") &amp; ":" &amp; ADDRESS(36+3,CY$2+1))),"min", MIN(INDIRECT(ADDRESS(36+3,CY$2+1,,,"Instances") &amp; ":" &amp; ADDRESS(36+3,CY$2+1))),"max", MAX(INDIRECT(ADDRESS(36+3,CY$2+1,,,"Instances") &amp; ":" &amp; ADDRESS(36+3,CY$2+1))),"diff", MAX(INDIRECT(ADDRESS(36+3,CY$2+1,,,"Instances") &amp; ":" &amp; ADDRESS(36+3,CY$2+1)))-MIN(INDIRECT(ADDRESS(36+3,CY$2+1,,,"Instances") &amp; ":" &amp; ADDRESS(36+3,CY$2+1))))</f>
        <v>0</v>
      </c>
      <c r="CZ41">
        <f>IFERROR(SMALL(CY5:CY44,ROW()-ROW($CZ$5)+1),"")</f>
        <v>0</v>
      </c>
      <c r="DB41">
        <f>IFERROR(SUM(CZ5:CZ41),"")</f>
        <v>0</v>
      </c>
      <c r="DC41" cm="1">
        <f t="array" ref="DC41">_xlfn.SWITCH(Charts!$B$3,"average", AVERAGE(INDIRECT(ADDRESS(36+3,DC$2+1,,,"Instances") &amp; ":" &amp; ADDRESS(36+3,DC$2+1))),"median", MEDIAN(INDIRECT(ADDRESS(36+3,DC$2+1,,,"Instances") &amp; ":" &amp; ADDRESS(36+3,DC$2+1))),"min", MIN(INDIRECT(ADDRESS(36+3,DC$2+1,,,"Instances") &amp; ":" &amp; ADDRESS(36+3,DC$2+1))),"max", MAX(INDIRECT(ADDRESS(36+3,DC$2+1,,,"Instances") &amp; ":" &amp; ADDRESS(36+3,DC$2+1))),"diff", MAX(INDIRECT(ADDRESS(36+3,DC$2+1,,,"Instances") &amp; ":" &amp; ADDRESS(36+3,DC$2+1)))-MIN(INDIRECT(ADDRESS(36+3,DC$2+1,,,"Instances") &amp; ":" &amp; ADDRESS(36+3,DC$2+1))))</f>
        <v>0</v>
      </c>
      <c r="DD41">
        <f>IFERROR(SMALL(DC5:DC44,ROW()-ROW($DD$5)+1),"")</f>
        <v>0</v>
      </c>
      <c r="DF41">
        <f>IFERROR(SUM(DD5:DD41),"")</f>
        <v>0</v>
      </c>
      <c r="DG41" cm="1">
        <f t="array" ref="DG41">_xlfn.SWITCH(Charts!$B$3,"average", AVERAGE(INDIRECT(ADDRESS(36+3,DG$2+1,,,"Instances") &amp; ":" &amp; ADDRESS(36+3,DG$2+1))),"median", MEDIAN(INDIRECT(ADDRESS(36+3,DG$2+1,,,"Instances") &amp; ":" &amp; ADDRESS(36+3,DG$2+1))),"min", MIN(INDIRECT(ADDRESS(36+3,DG$2+1,,,"Instances") &amp; ":" &amp; ADDRESS(36+3,DG$2+1))),"max", MAX(INDIRECT(ADDRESS(36+3,DG$2+1,,,"Instances") &amp; ":" &amp; ADDRESS(36+3,DG$2+1))),"diff", MAX(INDIRECT(ADDRESS(36+3,DG$2+1,,,"Instances") &amp; ":" &amp; ADDRESS(36+3,DG$2+1)))-MIN(INDIRECT(ADDRESS(36+3,DG$2+1,,,"Instances") &amp; ":" &amp; ADDRESS(36+3,DG$2+1))))</f>
        <v>0</v>
      </c>
      <c r="DH41">
        <f>IFERROR(SMALL(DG5:DG44,ROW()-ROW($DH$5)+1),"")</f>
        <v>0</v>
      </c>
      <c r="DJ41">
        <f>IFERROR(SUM(DH5:DH41),"")</f>
        <v>0</v>
      </c>
      <c r="DK41" cm="1">
        <f t="array" ref="DK41">_xlfn.SWITCH(Charts!$B$3,"average", AVERAGE(INDIRECT(ADDRESS(36+3,DK$2+1,,,"Instances") &amp; ":" &amp; ADDRESS(36+3,DK$2+1))),"median", MEDIAN(INDIRECT(ADDRESS(36+3,DK$2+1,,,"Instances") &amp; ":" &amp; ADDRESS(36+3,DK$2+1))),"min", MIN(INDIRECT(ADDRESS(36+3,DK$2+1,,,"Instances") &amp; ":" &amp; ADDRESS(36+3,DK$2+1))),"max", MAX(INDIRECT(ADDRESS(36+3,DK$2+1,,,"Instances") &amp; ":" &amp; ADDRESS(36+3,DK$2+1))),"diff", MAX(INDIRECT(ADDRESS(36+3,DK$2+1,,,"Instances") &amp; ":" &amp; ADDRESS(36+3,DK$2+1)))-MIN(INDIRECT(ADDRESS(36+3,DK$2+1,,,"Instances") &amp; ":" &amp; ADDRESS(36+3,DK$2+1))))</f>
        <v>0</v>
      </c>
      <c r="DL41">
        <f>IFERROR(SMALL(DK5:DK44,ROW()-ROW($DL$5)+1),"")</f>
        <v>0</v>
      </c>
      <c r="DN41">
        <f>IFERROR(SUM(DL5:DL41),"")</f>
        <v>0</v>
      </c>
      <c r="DO41" cm="1">
        <f t="array" ref="DO41">_xlfn.SWITCH(Charts!$B$3,"average", AVERAGE(INDIRECT(ADDRESS(36+3,DO$2+1,,,"Instances") &amp; ":" &amp; ADDRESS(36+3,DO$2+1))),"median", MEDIAN(INDIRECT(ADDRESS(36+3,DO$2+1,,,"Instances") &amp; ":" &amp; ADDRESS(36+3,DO$2+1))),"min", MIN(INDIRECT(ADDRESS(36+3,DO$2+1,,,"Instances") &amp; ":" &amp; ADDRESS(36+3,DO$2+1))),"max", MAX(INDIRECT(ADDRESS(36+3,DO$2+1,,,"Instances") &amp; ":" &amp; ADDRESS(36+3,DO$2+1))),"diff", MAX(INDIRECT(ADDRESS(36+3,DO$2+1,,,"Instances") &amp; ":" &amp; ADDRESS(36+3,DO$2+1)))-MIN(INDIRECT(ADDRESS(36+3,DO$2+1,,,"Instances") &amp; ":" &amp; ADDRESS(36+3,DO$2+1))))</f>
        <v>0</v>
      </c>
      <c r="DP41">
        <f>IFERROR(SMALL(DO5:DO44,ROW()-ROW($DP$5)+1),"")</f>
        <v>0</v>
      </c>
      <c r="DR41">
        <f>IFERROR(SUM(DP5:DP41),"")</f>
        <v>0</v>
      </c>
      <c r="DS41" cm="1">
        <f t="array" ref="DS41">_xlfn.SWITCH(Charts!$B$3,"average", AVERAGE(INDIRECT(ADDRESS(36+3,DS$2+1,,,"Instances") &amp; ":" &amp; ADDRESS(36+3,DS$2+1))),"median", MEDIAN(INDIRECT(ADDRESS(36+3,DS$2+1,,,"Instances") &amp; ":" &amp; ADDRESS(36+3,DS$2+1))),"min", MIN(INDIRECT(ADDRESS(36+3,DS$2+1,,,"Instances") &amp; ":" &amp; ADDRESS(36+3,DS$2+1))),"max", MAX(INDIRECT(ADDRESS(36+3,DS$2+1,,,"Instances") &amp; ":" &amp; ADDRESS(36+3,DS$2+1))),"diff", MAX(INDIRECT(ADDRESS(36+3,DS$2+1,,,"Instances") &amp; ":" &amp; ADDRESS(36+3,DS$2+1)))-MIN(INDIRECT(ADDRESS(36+3,DS$2+1,,,"Instances") &amp; ":" &amp; ADDRESS(36+3,DS$2+1))))</f>
        <v>0</v>
      </c>
      <c r="DT41">
        <f>IFERROR(SMALL(DS5:DS44,ROW()-ROW($DT$5)+1),"")</f>
        <v>0</v>
      </c>
      <c r="DV41">
        <f>IFERROR(SUM(DT5:DT41),"")</f>
        <v>0</v>
      </c>
      <c r="DW41" cm="1">
        <f t="array" ref="DW41">_xlfn.SWITCH(Charts!$B$3,"average", AVERAGE(INDIRECT(ADDRESS(36+3,DW$2+1,,,"Instances") &amp; ":" &amp; ADDRESS(36+3,DW$2+1))),"median", MEDIAN(INDIRECT(ADDRESS(36+3,DW$2+1,,,"Instances") &amp; ":" &amp; ADDRESS(36+3,DW$2+1))),"min", MIN(INDIRECT(ADDRESS(36+3,DW$2+1,,,"Instances") &amp; ":" &amp; ADDRESS(36+3,DW$2+1))),"max", MAX(INDIRECT(ADDRESS(36+3,DW$2+1,,,"Instances") &amp; ":" &amp; ADDRESS(36+3,DW$2+1))),"diff", MAX(INDIRECT(ADDRESS(36+3,DW$2+1,,,"Instances") &amp; ":" &amp; ADDRESS(36+3,DW$2+1)))-MIN(INDIRECT(ADDRESS(36+3,DW$2+1,,,"Instances") &amp; ":" &amp; ADDRESS(36+3,DW$2+1))))</f>
        <v>0</v>
      </c>
      <c r="DX41">
        <f>IFERROR(SMALL(DW5:DW44,ROW()-ROW($DX$5)+1),"")</f>
        <v>0</v>
      </c>
      <c r="DZ41">
        <f>IFERROR(SUM(DX5:DX41),"")</f>
        <v>0</v>
      </c>
      <c r="EA41" cm="1">
        <f t="array" ref="EA41">_xlfn.SWITCH(Charts!$B$3,"average", AVERAGE(INDIRECT(ADDRESS(36+3,EA$2+1,,,"Instances") &amp; ":" &amp; ADDRESS(36+3,EA$2+1))),"median", MEDIAN(INDIRECT(ADDRESS(36+3,EA$2+1,,,"Instances") &amp; ":" &amp; ADDRESS(36+3,EA$2+1))),"min", MIN(INDIRECT(ADDRESS(36+3,EA$2+1,,,"Instances") &amp; ":" &amp; ADDRESS(36+3,EA$2+1))),"max", MAX(INDIRECT(ADDRESS(36+3,EA$2+1,,,"Instances") &amp; ":" &amp; ADDRESS(36+3,EA$2+1))),"diff", MAX(INDIRECT(ADDRESS(36+3,EA$2+1,,,"Instances") &amp; ":" &amp; ADDRESS(36+3,EA$2+1)))-MIN(INDIRECT(ADDRESS(36+3,EA$2+1,,,"Instances") &amp; ":" &amp; ADDRESS(36+3,EA$2+1))))</f>
        <v>0</v>
      </c>
      <c r="EB41">
        <f>IFERROR(SMALL(EA5:EA44,ROW()-ROW($EB$5)+1),"")</f>
        <v>0</v>
      </c>
      <c r="ED41">
        <f>IFERROR(SUM(EB5:EB41),"")</f>
        <v>0</v>
      </c>
      <c r="EG41">
        <f>IF(Charts!$B$3="none",E248,IF(BS248="",NA(),BS248))</f>
        <v>0</v>
      </c>
      <c r="EH41">
        <f>IF(Charts!$B$3="none",F248,IF(BT248="",NA(),BT248))</f>
        <v>0</v>
      </c>
      <c r="EI41">
        <f>IF(Charts!$B$3="none",G248,IF(BU248="",NA(),BU248))</f>
        <v>0</v>
      </c>
      <c r="EJ41">
        <f>IF(Charts!$B$3="none",H248,IF(BV248="",NA(),BV248))</f>
        <v>0</v>
      </c>
      <c r="EK41">
        <f>IF(Charts!$B$3="none",I248,IF(BW248="",NA(),BW248))</f>
        <v>0</v>
      </c>
      <c r="EL41">
        <f>IF(Charts!$B$3="none",J248,IF(BX248="",NA(),BX248))</f>
        <v>0</v>
      </c>
      <c r="EM41">
        <f>IF(Charts!$B$3="none",K248,IF(BY248="",NA(),BY248))</f>
        <v>0</v>
      </c>
      <c r="EN41">
        <f>IF(Charts!$B$3="none",L248,IF(BZ248="",NA(),BZ248))</f>
        <v>0</v>
      </c>
      <c r="EO41">
        <f>IF(Charts!$B$3="none",M248,IF(CA248="",NA(),CA248))</f>
        <v>0</v>
      </c>
      <c r="EP41">
        <f>IF(Charts!$B$3="none",N248,IF(CB248="",NA(),CB248))</f>
        <v>0</v>
      </c>
      <c r="EQ41">
        <f>IF(Charts!$B$3="none",O248,IF(CC248="",NA(),CC248))</f>
        <v>0</v>
      </c>
      <c r="ER41">
        <f>IF(Charts!$B$3="none",P248,IF(CD248="",NA(),CD248))</f>
        <v>0</v>
      </c>
      <c r="ES41">
        <f>IF(Charts!$B$3="none",Q248,IF(CE248="",NA(),CE248))</f>
        <v>0</v>
      </c>
      <c r="ET41">
        <f>IF(Charts!$B$3="none",R248,IF(CF248="",NA(),CF248))</f>
        <v>0</v>
      </c>
      <c r="EU41">
        <f>IF(Charts!$B$3="none",S248,IF(CG248="",NA(),CG248))</f>
        <v>0</v>
      </c>
      <c r="EV41">
        <f>IF(Charts!$B$3="none",T248,IF(CH248="",NA(),CH248))</f>
        <v>0</v>
      </c>
      <c r="EW41">
        <f>IF(Charts!$B$3="none",U248,IF(CI248="",NA(),CI248))</f>
        <v>0</v>
      </c>
      <c r="EX41">
        <f>IF(Charts!$B$3="none",V248,IF(CJ248="",NA(),CJ248))</f>
        <v>0</v>
      </c>
      <c r="EY41">
        <f>IF(Charts!$B$3="none",W248,IF(CK248="",NA(),CK248))</f>
        <v>0</v>
      </c>
      <c r="EZ41">
        <f>IF(Charts!$B$3="none",X248,IF(CL248="",NA(),CL248))</f>
        <v>0</v>
      </c>
      <c r="FA41">
        <f>IF(Charts!$B$3="none",Y248,IF(CM248="",NA(),CM248))</f>
        <v>0</v>
      </c>
      <c r="FB41">
        <f>IF(Charts!$B$3="none",Z248,IF(CN248="",NA(),CN248))</f>
        <v>0</v>
      </c>
      <c r="FC41">
        <f>IF(Charts!$B$3="none",AA248,IF(CO248="",NA(),CO248))</f>
        <v>0</v>
      </c>
      <c r="FD41">
        <f>IF(Charts!$B$3="none",AB248,IF(CP248="",NA(),CP248))</f>
        <v>0</v>
      </c>
      <c r="FE41">
        <f>IF(Charts!$B$3="none",AC248,IF(CQ248="",NA(),CQ248))</f>
        <v>0</v>
      </c>
      <c r="FF41">
        <f>IF(Charts!$B$3="none",AD248,IF(CR248="",NA(),CR248))</f>
        <v>0</v>
      </c>
      <c r="FG41">
        <f>IF(Charts!$B$3="none",AE248,IF(CS248="",NA(),CS248))</f>
        <v>0</v>
      </c>
      <c r="FH41">
        <f>IF(Charts!$B$3="none",AF248,IF(CT248="",NA(),CT248))</f>
        <v>0</v>
      </c>
      <c r="FI41">
        <f>IF(Charts!$B$3="none",AG248,IF(CU248="",NA(),CU248))</f>
        <v>0</v>
      </c>
      <c r="FJ41">
        <f>IF(Charts!$B$3="none",AH248,IF(CV248="",NA(),CV248))</f>
        <v>0</v>
      </c>
      <c r="FK41">
        <f>IF(Charts!$B$3="none",AI248,IF(CW248="",NA(),CW248))</f>
        <v>0</v>
      </c>
      <c r="FL41">
        <f>IF(Charts!$B$3="none",AJ248,IF(CX248="",NA(),CX248))</f>
        <v>0</v>
      </c>
      <c r="FM41">
        <f>IF(Charts!$B$3="none",AK248,IF(CY248="",NA(),CY248))</f>
        <v>0</v>
      </c>
      <c r="FN41">
        <f>IF(Charts!$B$3="none",AL248,IF(CZ248="",NA(),CZ248))</f>
        <v>0</v>
      </c>
      <c r="FO41">
        <f>IF(Charts!$B$3="none",AM248,IF(DA248="",NA(),DA248))</f>
        <v>0</v>
      </c>
      <c r="FP41">
        <f>IF(Charts!$B$3="none",AN248,IF(DB248="",NA(),DB248))</f>
        <v>0</v>
      </c>
      <c r="FQ41">
        <f>IF(Charts!$B$3="none",AO248,IF(DC248="",NA(),DC248))</f>
        <v>0</v>
      </c>
      <c r="FR41">
        <f>IF(Charts!$B$3="none",AP248,IF(DD248="",NA(),DD248))</f>
        <v>0</v>
      </c>
      <c r="FS41">
        <f>IF(Charts!$B$3="none",AQ248,IF(DE248="",NA(),DE248))</f>
        <v>0</v>
      </c>
      <c r="FT41">
        <f>IF(Charts!$B$3="none",AR248,IF(DF248="",NA(),DF248))</f>
        <v>0</v>
      </c>
      <c r="FU41">
        <f>IF(Charts!$B$3="none",AS248,IF(DG248="",NA(),DG248))</f>
        <v>0</v>
      </c>
      <c r="FV41">
        <f>IF(Charts!$B$3="none",AT248,IF(DH248="",NA(),DH248))</f>
        <v>0</v>
      </c>
      <c r="FW41">
        <f>IF(Charts!$B$3="none",AU248,IF(DI248="",NA(),DI248))</f>
        <v>0</v>
      </c>
      <c r="FX41">
        <f>IF(Charts!$B$3="none",AV248,IF(DJ248="",NA(),DJ248))</f>
        <v>0</v>
      </c>
      <c r="FY41">
        <f>IF(Charts!$B$3="none",AW248,IF(DK248="",NA(),DK248))</f>
        <v>0</v>
      </c>
      <c r="FZ41">
        <f>IF(Charts!$B$3="none",AX248,IF(DL248="",NA(),DL248))</f>
        <v>0</v>
      </c>
      <c r="GA41">
        <f>IF(Charts!$B$3="none",AY248,IF(DM248="",NA(),DM248))</f>
        <v>0</v>
      </c>
      <c r="GB41">
        <f>IF(Charts!$B$3="none",AZ248,IF(DN248="",NA(),DN248))</f>
        <v>0</v>
      </c>
      <c r="GC41">
        <f>IF(Charts!$B$3="none",BA248,IF(DO248="",NA(),DO248))</f>
        <v>0</v>
      </c>
      <c r="GD41">
        <f>IF(Charts!$B$3="none",BB248,IF(DP248="",NA(),DP248))</f>
        <v>0</v>
      </c>
      <c r="GE41">
        <f>IF(Charts!$B$3="none",BC248,IF(DQ248="",NA(),DQ248))</f>
        <v>0</v>
      </c>
      <c r="GF41">
        <f>IF(Charts!$B$3="none",BD248,IF(DR248="",NA(),DR248))</f>
        <v>0</v>
      </c>
      <c r="GG41">
        <f>IF(Charts!$B$3="none",BE248,IF(DS248="",NA(),DS248))</f>
        <v>0</v>
      </c>
      <c r="GH41">
        <f>IF(Charts!$B$3="none",BF248,IF(DT248="",NA(),DT248))</f>
        <v>0</v>
      </c>
      <c r="GI41">
        <f>IF(Charts!$B$3="none",BG248,IF(DU248="",NA(),DU248))</f>
        <v>0</v>
      </c>
      <c r="GJ41">
        <f>IF(Charts!$B$3="none",BH248,IF(DV248="",NA(),DV248))</f>
        <v>0</v>
      </c>
      <c r="GK41">
        <f>IF(Charts!$B$3="none",BI248,IF(DW248="",NA(),DW248))</f>
        <v>0</v>
      </c>
      <c r="GL41">
        <f>IF(Charts!$B$3="none",BJ248,IF(DX248="",NA(),DX248))</f>
        <v>0</v>
      </c>
      <c r="GM41">
        <f>IF(Charts!$B$3="none",BK248,IF(DY248="",NA(),DY248))</f>
        <v>0</v>
      </c>
      <c r="GN41">
        <f>IF(Charts!$B$3="none",BL248,IF(DZ248="",NA(),DZ248))</f>
        <v>0</v>
      </c>
      <c r="GO41">
        <f>IF(Charts!$B$3="none",BM248,IF(EA248="",NA(),EA248))</f>
        <v>0</v>
      </c>
      <c r="GP41">
        <f>IF(Charts!$B$3="none",BN248,IF(EB248="",NA(),EB248))</f>
        <v>0</v>
      </c>
      <c r="GQ41">
        <f>IF(Charts!$B$3="none",BO248,IF(EC248="",NA(),EC248))</f>
        <v>0</v>
      </c>
      <c r="GR41">
        <f>IF(Charts!$B$3="none",BP248,IF(ED248="",NA(),ED248))</f>
        <v>0</v>
      </c>
    </row>
    <row r="42" spans="4:200">
      <c r="D42">
        <v>38</v>
      </c>
      <c r="E42">
        <f>IF(INDIRECT(ADDRESS($D42+2,E$2+1,,,"Instances"))="","",INDIRECT(ADDRESS($D42+2,E$2+1,,,"Instances")))</f>
        <v>0</v>
      </c>
      <c r="F42">
        <f>IFERROR(SMALL(E5:E44,ROW()-ROW($F$5)+1),"")</f>
        <v>0</v>
      </c>
      <c r="H42">
        <f>IFERROR(SUM(F5:F42),"")</f>
        <v>0</v>
      </c>
      <c r="I42">
        <f>IF(INDIRECT(ADDRESS($D42+2,I$2+1,,,"Instances"))="","",INDIRECT(ADDRESS($D42+2,I$2+1,,,"Instances")))</f>
        <v>0</v>
      </c>
      <c r="J42">
        <f>IFERROR(SMALL(I5:I44,ROW()-ROW($J$5)+1),"")</f>
        <v>0</v>
      </c>
      <c r="L42">
        <f>IFERROR(SUM(J5:J42),"")</f>
        <v>0</v>
      </c>
      <c r="M42">
        <f>IF(INDIRECT(ADDRESS($D42+2,M$2+1,,,"Instances"))="","",INDIRECT(ADDRESS($D42+2,M$2+1,,,"Instances")))</f>
        <v>0</v>
      </c>
      <c r="N42">
        <f>IFERROR(SMALL(M5:M44,ROW()-ROW($N$5)+1),"")</f>
        <v>0</v>
      </c>
      <c r="P42">
        <f>IFERROR(SUM(N5:N42),"")</f>
        <v>0</v>
      </c>
      <c r="Q42">
        <f>IF(INDIRECT(ADDRESS($D42+2,Q$2+1,,,"Instances"))="","",INDIRECT(ADDRESS($D42+2,Q$2+1,,,"Instances")))</f>
        <v>0</v>
      </c>
      <c r="R42">
        <f>IFERROR(SMALL(Q5:Q44,ROW()-ROW($R$5)+1),"")</f>
        <v>0</v>
      </c>
      <c r="T42">
        <f>IFERROR(SUM(R5:R42),"")</f>
        <v>0</v>
      </c>
      <c r="U42">
        <f>IF(INDIRECT(ADDRESS($D42+2,U$2+1,,,"Instances"))="","",INDIRECT(ADDRESS($D42+2,U$2+1,,,"Instances")))</f>
        <v>0</v>
      </c>
      <c r="V42">
        <f>IFERROR(SMALL(U5:U44,ROW()-ROW($V$5)+1),"")</f>
        <v>0</v>
      </c>
      <c r="X42">
        <f>IFERROR(SUM(V5:V42),"")</f>
        <v>0</v>
      </c>
      <c r="Y42">
        <f>IF(INDIRECT(ADDRESS($D42+2,Y$2+1,,,"Instances"))="","",INDIRECT(ADDRESS($D42+2,Y$2+1,,,"Instances")))</f>
        <v>0</v>
      </c>
      <c r="Z42">
        <f>IFERROR(SMALL(Y5:Y44,ROW()-ROW($Z$5)+1),"")</f>
        <v>0</v>
      </c>
      <c r="AB42">
        <f>IFERROR(SUM(Z5:Z42),"")</f>
        <v>0</v>
      </c>
      <c r="AC42">
        <f>IF(INDIRECT(ADDRESS($D42+2,AC$2+1,,,"Instances"))="","",INDIRECT(ADDRESS($D42+2,AC$2+1,,,"Instances")))</f>
        <v>0</v>
      </c>
      <c r="AD42">
        <f>IFERROR(SMALL(AC5:AC44,ROW()-ROW($AD$5)+1),"")</f>
        <v>0</v>
      </c>
      <c r="AF42">
        <f>IFERROR(SUM(AD5:AD42),"")</f>
        <v>0</v>
      </c>
      <c r="AG42">
        <f>IF(INDIRECT(ADDRESS($D42+2,AG$2+1,,,"Instances"))="","",INDIRECT(ADDRESS($D42+2,AG$2+1,,,"Instances")))</f>
        <v>0</v>
      </c>
      <c r="AH42">
        <f>IFERROR(SMALL(AG5:AG44,ROW()-ROW($AH$5)+1),"")</f>
        <v>0</v>
      </c>
      <c r="AJ42">
        <f>IFERROR(SUM(AH5:AH42),"")</f>
        <v>0</v>
      </c>
      <c r="AK42">
        <f>IF(INDIRECT(ADDRESS($D42+2,AK$2+1,,,"Instances"))="","",INDIRECT(ADDRESS($D42+2,AK$2+1,,,"Instances")))</f>
        <v>0</v>
      </c>
      <c r="AL42">
        <f>IFERROR(SMALL(AK5:AK44,ROW()-ROW($AL$5)+1),"")</f>
        <v>0</v>
      </c>
      <c r="AN42">
        <f>IFERROR(SUM(AL5:AL42),"")</f>
        <v>0</v>
      </c>
      <c r="AO42">
        <f>IF(INDIRECT(ADDRESS($D42+2,AO$2+1,,,"Instances"))="","",INDIRECT(ADDRESS($D42+2,AO$2+1,,,"Instances")))</f>
        <v>0</v>
      </c>
      <c r="AP42">
        <f>IFERROR(SMALL(AO5:AO44,ROW()-ROW($AP$5)+1),"")</f>
        <v>0</v>
      </c>
      <c r="AR42">
        <f>IFERROR(SUM(AP5:AP42),"")</f>
        <v>0</v>
      </c>
      <c r="AS42">
        <f>IF(INDIRECT(ADDRESS($D42+2,AS$2+1,,,"Instances"))="","",INDIRECT(ADDRESS($D42+2,AS$2+1,,,"Instances")))</f>
        <v>0</v>
      </c>
      <c r="AT42">
        <f>IFERROR(SMALL(AS5:AS44,ROW()-ROW($AT$5)+1),"")</f>
        <v>0</v>
      </c>
      <c r="AV42">
        <f>IFERROR(SUM(AT5:AT42),"")</f>
        <v>0</v>
      </c>
      <c r="AW42">
        <f>IF(INDIRECT(ADDRESS($D42+2,AW$2+1,,,"Instances"))="","",INDIRECT(ADDRESS($D42+2,AW$2+1,,,"Instances")))</f>
        <v>0</v>
      </c>
      <c r="AX42">
        <f>IFERROR(SMALL(AW5:AW44,ROW()-ROW($AX$5)+1),"")</f>
        <v>0</v>
      </c>
      <c r="AZ42">
        <f>IFERROR(SUM(AX5:AX42),"")</f>
        <v>0</v>
      </c>
      <c r="BA42">
        <f>IF(INDIRECT(ADDRESS($D42+2,BA$2+1,,,"Instances"))="","",INDIRECT(ADDRESS($D42+2,BA$2+1,,,"Instances")))</f>
        <v>0</v>
      </c>
      <c r="BB42">
        <f>IFERROR(SMALL(BA5:BA44,ROW()-ROW($BB$5)+1),"")</f>
        <v>0</v>
      </c>
      <c r="BD42">
        <f>IFERROR(SUM(BB5:BB42),"")</f>
        <v>0</v>
      </c>
      <c r="BE42">
        <f>IF(INDIRECT(ADDRESS($D42+2,BE$2+1,,,"Instances"))="","",INDIRECT(ADDRESS($D42+2,BE$2+1,,,"Instances")))</f>
        <v>0</v>
      </c>
      <c r="BF42">
        <f>IFERROR(SMALL(BE5:BE44,ROW()-ROW($BF$5)+1),"")</f>
        <v>0</v>
      </c>
      <c r="BH42">
        <f>IFERROR(SUM(BF5:BF42),"")</f>
        <v>0</v>
      </c>
      <c r="BI42">
        <f>IF(INDIRECT(ADDRESS($D42+2,BI$2+1,,,"Instances"))="","",INDIRECT(ADDRESS($D42+2,BI$2+1,,,"Instances")))</f>
        <v>0</v>
      </c>
      <c r="BJ42">
        <f>IFERROR(SMALL(BI5:BI44,ROW()-ROW($BJ$5)+1),"")</f>
        <v>0</v>
      </c>
      <c r="BL42">
        <f>IFERROR(SUM(BJ5:BJ42),"")</f>
        <v>0</v>
      </c>
      <c r="BM42">
        <f>IF(INDIRECT(ADDRESS($D42+2,BM$2+1,,,"Instances"))="","",INDIRECT(ADDRESS($D42+2,BM$2+1,,,"Instances")))</f>
        <v>0</v>
      </c>
      <c r="BN42">
        <f>IFERROR(SMALL(BM5:BM44,ROW()-ROW($BN$5)+1),"")</f>
        <v>0</v>
      </c>
      <c r="BP42">
        <f>IFERROR(SUM(BN5:BN42),"")</f>
        <v>0</v>
      </c>
      <c r="BR42">
        <v>38</v>
      </c>
      <c r="BS42" cm="1">
        <f t="array" ref="BS42">_xlfn.SWITCH(Charts!$B$3,"average", AVERAGE(INDIRECT(ADDRESS(37+3,BS$2+1,,,"Instances") &amp; ":" &amp; ADDRESS(37+3,BS$2+1))),"median", MEDIAN(INDIRECT(ADDRESS(37+3,BS$2+1,,,"Instances") &amp; ":" &amp; ADDRESS(37+3,BS$2+1))),"min", MIN(INDIRECT(ADDRESS(37+3,BS$2+1,,,"Instances") &amp; ":" &amp; ADDRESS(37+3,BS$2+1))),"max", MAX(INDIRECT(ADDRESS(37+3,BS$2+1,,,"Instances") &amp; ":" &amp; ADDRESS(37+3,BS$2+1))),"diff", MAX(INDIRECT(ADDRESS(37+3,BS$2+1,,,"Instances") &amp; ":" &amp; ADDRESS(37+3,BS$2+1)))-MIN(INDIRECT(ADDRESS(37+3,BS$2+1,,,"Instances") &amp; ":" &amp; ADDRESS(37+3,BS$2+1))))</f>
        <v>0</v>
      </c>
      <c r="BT42">
        <f>IFERROR(SMALL(BS5:BS44,ROW()-ROW($BT$5)+1),"")</f>
        <v>0</v>
      </c>
      <c r="BV42">
        <f>IFERROR(SUM(BT5:BT42),"")</f>
        <v>0</v>
      </c>
      <c r="BW42" cm="1">
        <f t="array" ref="BW42">_xlfn.SWITCH(Charts!$B$3,"average", AVERAGE(INDIRECT(ADDRESS(37+3,BW$2+1,,,"Instances") &amp; ":" &amp; ADDRESS(37+3,BW$2+1))),"median", MEDIAN(INDIRECT(ADDRESS(37+3,BW$2+1,,,"Instances") &amp; ":" &amp; ADDRESS(37+3,BW$2+1))),"min", MIN(INDIRECT(ADDRESS(37+3,BW$2+1,,,"Instances") &amp; ":" &amp; ADDRESS(37+3,BW$2+1))),"max", MAX(INDIRECT(ADDRESS(37+3,BW$2+1,,,"Instances") &amp; ":" &amp; ADDRESS(37+3,BW$2+1))),"diff", MAX(INDIRECT(ADDRESS(37+3,BW$2+1,,,"Instances") &amp; ":" &amp; ADDRESS(37+3,BW$2+1)))-MIN(INDIRECT(ADDRESS(37+3,BW$2+1,,,"Instances") &amp; ":" &amp; ADDRESS(37+3,BW$2+1))))</f>
        <v>0</v>
      </c>
      <c r="BX42">
        <f>IFERROR(SMALL(BW5:BW44,ROW()-ROW($BX$5)+1),"")</f>
        <v>0</v>
      </c>
      <c r="BZ42">
        <f>IFERROR(SUM(BX5:BX42),"")</f>
        <v>0</v>
      </c>
      <c r="CA42" cm="1">
        <f t="array" ref="CA42">_xlfn.SWITCH(Charts!$B$3,"average", AVERAGE(INDIRECT(ADDRESS(37+3,CA$2+1,,,"Instances") &amp; ":" &amp; ADDRESS(37+3,CA$2+1))),"median", MEDIAN(INDIRECT(ADDRESS(37+3,CA$2+1,,,"Instances") &amp; ":" &amp; ADDRESS(37+3,CA$2+1))),"min", MIN(INDIRECT(ADDRESS(37+3,CA$2+1,,,"Instances") &amp; ":" &amp; ADDRESS(37+3,CA$2+1))),"max", MAX(INDIRECT(ADDRESS(37+3,CA$2+1,,,"Instances") &amp; ":" &amp; ADDRESS(37+3,CA$2+1))),"diff", MAX(INDIRECT(ADDRESS(37+3,CA$2+1,,,"Instances") &amp; ":" &amp; ADDRESS(37+3,CA$2+1)))-MIN(INDIRECT(ADDRESS(37+3,CA$2+1,,,"Instances") &amp; ":" &amp; ADDRESS(37+3,CA$2+1))))</f>
        <v>0</v>
      </c>
      <c r="CB42">
        <f>IFERROR(SMALL(CA5:CA44,ROW()-ROW($CB$5)+1),"")</f>
        <v>0</v>
      </c>
      <c r="CD42">
        <f>IFERROR(SUM(CB5:CB42),"")</f>
        <v>0</v>
      </c>
      <c r="CE42" cm="1">
        <f t="array" ref="CE42">_xlfn.SWITCH(Charts!$B$3,"average", AVERAGE(INDIRECT(ADDRESS(37+3,CE$2+1,,,"Instances") &amp; ":" &amp; ADDRESS(37+3,CE$2+1))),"median", MEDIAN(INDIRECT(ADDRESS(37+3,CE$2+1,,,"Instances") &amp; ":" &amp; ADDRESS(37+3,CE$2+1))),"min", MIN(INDIRECT(ADDRESS(37+3,CE$2+1,,,"Instances") &amp; ":" &amp; ADDRESS(37+3,CE$2+1))),"max", MAX(INDIRECT(ADDRESS(37+3,CE$2+1,,,"Instances") &amp; ":" &amp; ADDRESS(37+3,CE$2+1))),"diff", MAX(INDIRECT(ADDRESS(37+3,CE$2+1,,,"Instances") &amp; ":" &amp; ADDRESS(37+3,CE$2+1)))-MIN(INDIRECT(ADDRESS(37+3,CE$2+1,,,"Instances") &amp; ":" &amp; ADDRESS(37+3,CE$2+1))))</f>
        <v>0</v>
      </c>
      <c r="CF42">
        <f>IFERROR(SMALL(CE5:CE44,ROW()-ROW($CF$5)+1),"")</f>
        <v>0</v>
      </c>
      <c r="CH42">
        <f>IFERROR(SUM(CF5:CF42),"")</f>
        <v>0</v>
      </c>
      <c r="CI42" cm="1">
        <f t="array" ref="CI42">_xlfn.SWITCH(Charts!$B$3,"average", AVERAGE(INDIRECT(ADDRESS(37+3,CI$2+1,,,"Instances") &amp; ":" &amp; ADDRESS(37+3,CI$2+1))),"median", MEDIAN(INDIRECT(ADDRESS(37+3,CI$2+1,,,"Instances") &amp; ":" &amp; ADDRESS(37+3,CI$2+1))),"min", MIN(INDIRECT(ADDRESS(37+3,CI$2+1,,,"Instances") &amp; ":" &amp; ADDRESS(37+3,CI$2+1))),"max", MAX(INDIRECT(ADDRESS(37+3,CI$2+1,,,"Instances") &amp; ":" &amp; ADDRESS(37+3,CI$2+1))),"diff", MAX(INDIRECT(ADDRESS(37+3,CI$2+1,,,"Instances") &amp; ":" &amp; ADDRESS(37+3,CI$2+1)))-MIN(INDIRECT(ADDRESS(37+3,CI$2+1,,,"Instances") &amp; ":" &amp; ADDRESS(37+3,CI$2+1))))</f>
        <v>0</v>
      </c>
      <c r="CJ42">
        <f>IFERROR(SMALL(CI5:CI44,ROW()-ROW($CJ$5)+1),"")</f>
        <v>0</v>
      </c>
      <c r="CL42">
        <f>IFERROR(SUM(CJ5:CJ42),"")</f>
        <v>0</v>
      </c>
      <c r="CM42" cm="1">
        <f t="array" ref="CM42">_xlfn.SWITCH(Charts!$B$3,"average", AVERAGE(INDIRECT(ADDRESS(37+3,CM$2+1,,,"Instances") &amp; ":" &amp; ADDRESS(37+3,CM$2+1))),"median", MEDIAN(INDIRECT(ADDRESS(37+3,CM$2+1,,,"Instances") &amp; ":" &amp; ADDRESS(37+3,CM$2+1))),"min", MIN(INDIRECT(ADDRESS(37+3,CM$2+1,,,"Instances") &amp; ":" &amp; ADDRESS(37+3,CM$2+1))),"max", MAX(INDIRECT(ADDRESS(37+3,CM$2+1,,,"Instances") &amp; ":" &amp; ADDRESS(37+3,CM$2+1))),"diff", MAX(INDIRECT(ADDRESS(37+3,CM$2+1,,,"Instances") &amp; ":" &amp; ADDRESS(37+3,CM$2+1)))-MIN(INDIRECT(ADDRESS(37+3,CM$2+1,,,"Instances") &amp; ":" &amp; ADDRESS(37+3,CM$2+1))))</f>
        <v>0</v>
      </c>
      <c r="CN42">
        <f>IFERROR(SMALL(CM5:CM44,ROW()-ROW($CN$5)+1),"")</f>
        <v>0</v>
      </c>
      <c r="CP42">
        <f>IFERROR(SUM(CN5:CN42),"")</f>
        <v>0</v>
      </c>
      <c r="CQ42" cm="1">
        <f t="array" ref="CQ42">_xlfn.SWITCH(Charts!$B$3,"average", AVERAGE(INDIRECT(ADDRESS(37+3,CQ$2+1,,,"Instances") &amp; ":" &amp; ADDRESS(37+3,CQ$2+1))),"median", MEDIAN(INDIRECT(ADDRESS(37+3,CQ$2+1,,,"Instances") &amp; ":" &amp; ADDRESS(37+3,CQ$2+1))),"min", MIN(INDIRECT(ADDRESS(37+3,CQ$2+1,,,"Instances") &amp; ":" &amp; ADDRESS(37+3,CQ$2+1))),"max", MAX(INDIRECT(ADDRESS(37+3,CQ$2+1,,,"Instances") &amp; ":" &amp; ADDRESS(37+3,CQ$2+1))),"diff", MAX(INDIRECT(ADDRESS(37+3,CQ$2+1,,,"Instances") &amp; ":" &amp; ADDRESS(37+3,CQ$2+1)))-MIN(INDIRECT(ADDRESS(37+3,CQ$2+1,,,"Instances") &amp; ":" &amp; ADDRESS(37+3,CQ$2+1))))</f>
        <v>0</v>
      </c>
      <c r="CR42">
        <f>IFERROR(SMALL(CQ5:CQ44,ROW()-ROW($CR$5)+1),"")</f>
        <v>0</v>
      </c>
      <c r="CT42">
        <f>IFERROR(SUM(CR5:CR42),"")</f>
        <v>0</v>
      </c>
      <c r="CU42" cm="1">
        <f t="array" ref="CU42">_xlfn.SWITCH(Charts!$B$3,"average", AVERAGE(INDIRECT(ADDRESS(37+3,CU$2+1,,,"Instances") &amp; ":" &amp; ADDRESS(37+3,CU$2+1))),"median", MEDIAN(INDIRECT(ADDRESS(37+3,CU$2+1,,,"Instances") &amp; ":" &amp; ADDRESS(37+3,CU$2+1))),"min", MIN(INDIRECT(ADDRESS(37+3,CU$2+1,,,"Instances") &amp; ":" &amp; ADDRESS(37+3,CU$2+1))),"max", MAX(INDIRECT(ADDRESS(37+3,CU$2+1,,,"Instances") &amp; ":" &amp; ADDRESS(37+3,CU$2+1))),"diff", MAX(INDIRECT(ADDRESS(37+3,CU$2+1,,,"Instances") &amp; ":" &amp; ADDRESS(37+3,CU$2+1)))-MIN(INDIRECT(ADDRESS(37+3,CU$2+1,,,"Instances") &amp; ":" &amp; ADDRESS(37+3,CU$2+1))))</f>
        <v>0</v>
      </c>
      <c r="CV42">
        <f>IFERROR(SMALL(CU5:CU44,ROW()-ROW($CV$5)+1),"")</f>
        <v>0</v>
      </c>
      <c r="CX42">
        <f>IFERROR(SUM(CV5:CV42),"")</f>
        <v>0</v>
      </c>
      <c r="CY42" cm="1">
        <f t="array" ref="CY42">_xlfn.SWITCH(Charts!$B$3,"average", AVERAGE(INDIRECT(ADDRESS(37+3,CY$2+1,,,"Instances") &amp; ":" &amp; ADDRESS(37+3,CY$2+1))),"median", MEDIAN(INDIRECT(ADDRESS(37+3,CY$2+1,,,"Instances") &amp; ":" &amp; ADDRESS(37+3,CY$2+1))),"min", MIN(INDIRECT(ADDRESS(37+3,CY$2+1,,,"Instances") &amp; ":" &amp; ADDRESS(37+3,CY$2+1))),"max", MAX(INDIRECT(ADDRESS(37+3,CY$2+1,,,"Instances") &amp; ":" &amp; ADDRESS(37+3,CY$2+1))),"diff", MAX(INDIRECT(ADDRESS(37+3,CY$2+1,,,"Instances") &amp; ":" &amp; ADDRESS(37+3,CY$2+1)))-MIN(INDIRECT(ADDRESS(37+3,CY$2+1,,,"Instances") &amp; ":" &amp; ADDRESS(37+3,CY$2+1))))</f>
        <v>0</v>
      </c>
      <c r="CZ42">
        <f>IFERROR(SMALL(CY5:CY44,ROW()-ROW($CZ$5)+1),"")</f>
        <v>0</v>
      </c>
      <c r="DB42">
        <f>IFERROR(SUM(CZ5:CZ42),"")</f>
        <v>0</v>
      </c>
      <c r="DC42" cm="1">
        <f t="array" ref="DC42">_xlfn.SWITCH(Charts!$B$3,"average", AVERAGE(INDIRECT(ADDRESS(37+3,DC$2+1,,,"Instances") &amp; ":" &amp; ADDRESS(37+3,DC$2+1))),"median", MEDIAN(INDIRECT(ADDRESS(37+3,DC$2+1,,,"Instances") &amp; ":" &amp; ADDRESS(37+3,DC$2+1))),"min", MIN(INDIRECT(ADDRESS(37+3,DC$2+1,,,"Instances") &amp; ":" &amp; ADDRESS(37+3,DC$2+1))),"max", MAX(INDIRECT(ADDRESS(37+3,DC$2+1,,,"Instances") &amp; ":" &amp; ADDRESS(37+3,DC$2+1))),"diff", MAX(INDIRECT(ADDRESS(37+3,DC$2+1,,,"Instances") &amp; ":" &amp; ADDRESS(37+3,DC$2+1)))-MIN(INDIRECT(ADDRESS(37+3,DC$2+1,,,"Instances") &amp; ":" &amp; ADDRESS(37+3,DC$2+1))))</f>
        <v>0</v>
      </c>
      <c r="DD42">
        <f>IFERROR(SMALL(DC5:DC44,ROW()-ROW($DD$5)+1),"")</f>
        <v>0</v>
      </c>
      <c r="DF42">
        <f>IFERROR(SUM(DD5:DD42),"")</f>
        <v>0</v>
      </c>
      <c r="DG42" cm="1">
        <f t="array" ref="DG42">_xlfn.SWITCH(Charts!$B$3,"average", AVERAGE(INDIRECT(ADDRESS(37+3,DG$2+1,,,"Instances") &amp; ":" &amp; ADDRESS(37+3,DG$2+1))),"median", MEDIAN(INDIRECT(ADDRESS(37+3,DG$2+1,,,"Instances") &amp; ":" &amp; ADDRESS(37+3,DG$2+1))),"min", MIN(INDIRECT(ADDRESS(37+3,DG$2+1,,,"Instances") &amp; ":" &amp; ADDRESS(37+3,DG$2+1))),"max", MAX(INDIRECT(ADDRESS(37+3,DG$2+1,,,"Instances") &amp; ":" &amp; ADDRESS(37+3,DG$2+1))),"diff", MAX(INDIRECT(ADDRESS(37+3,DG$2+1,,,"Instances") &amp; ":" &amp; ADDRESS(37+3,DG$2+1)))-MIN(INDIRECT(ADDRESS(37+3,DG$2+1,,,"Instances") &amp; ":" &amp; ADDRESS(37+3,DG$2+1))))</f>
        <v>0</v>
      </c>
      <c r="DH42">
        <f>IFERROR(SMALL(DG5:DG44,ROW()-ROW($DH$5)+1),"")</f>
        <v>0</v>
      </c>
      <c r="DJ42">
        <f>IFERROR(SUM(DH5:DH42),"")</f>
        <v>0</v>
      </c>
      <c r="DK42" cm="1">
        <f t="array" ref="DK42">_xlfn.SWITCH(Charts!$B$3,"average", AVERAGE(INDIRECT(ADDRESS(37+3,DK$2+1,,,"Instances") &amp; ":" &amp; ADDRESS(37+3,DK$2+1))),"median", MEDIAN(INDIRECT(ADDRESS(37+3,DK$2+1,,,"Instances") &amp; ":" &amp; ADDRESS(37+3,DK$2+1))),"min", MIN(INDIRECT(ADDRESS(37+3,DK$2+1,,,"Instances") &amp; ":" &amp; ADDRESS(37+3,DK$2+1))),"max", MAX(INDIRECT(ADDRESS(37+3,DK$2+1,,,"Instances") &amp; ":" &amp; ADDRESS(37+3,DK$2+1))),"diff", MAX(INDIRECT(ADDRESS(37+3,DK$2+1,,,"Instances") &amp; ":" &amp; ADDRESS(37+3,DK$2+1)))-MIN(INDIRECT(ADDRESS(37+3,DK$2+1,,,"Instances") &amp; ":" &amp; ADDRESS(37+3,DK$2+1))))</f>
        <v>0</v>
      </c>
      <c r="DL42">
        <f>IFERROR(SMALL(DK5:DK44,ROW()-ROW($DL$5)+1),"")</f>
        <v>0</v>
      </c>
      <c r="DN42">
        <f>IFERROR(SUM(DL5:DL42),"")</f>
        <v>0</v>
      </c>
      <c r="DO42" cm="1">
        <f t="array" ref="DO42">_xlfn.SWITCH(Charts!$B$3,"average", AVERAGE(INDIRECT(ADDRESS(37+3,DO$2+1,,,"Instances") &amp; ":" &amp; ADDRESS(37+3,DO$2+1))),"median", MEDIAN(INDIRECT(ADDRESS(37+3,DO$2+1,,,"Instances") &amp; ":" &amp; ADDRESS(37+3,DO$2+1))),"min", MIN(INDIRECT(ADDRESS(37+3,DO$2+1,,,"Instances") &amp; ":" &amp; ADDRESS(37+3,DO$2+1))),"max", MAX(INDIRECT(ADDRESS(37+3,DO$2+1,,,"Instances") &amp; ":" &amp; ADDRESS(37+3,DO$2+1))),"diff", MAX(INDIRECT(ADDRESS(37+3,DO$2+1,,,"Instances") &amp; ":" &amp; ADDRESS(37+3,DO$2+1)))-MIN(INDIRECT(ADDRESS(37+3,DO$2+1,,,"Instances") &amp; ":" &amp; ADDRESS(37+3,DO$2+1))))</f>
        <v>0</v>
      </c>
      <c r="DP42">
        <f>IFERROR(SMALL(DO5:DO44,ROW()-ROW($DP$5)+1),"")</f>
        <v>0</v>
      </c>
      <c r="DR42">
        <f>IFERROR(SUM(DP5:DP42),"")</f>
        <v>0</v>
      </c>
      <c r="DS42" cm="1">
        <f t="array" ref="DS42">_xlfn.SWITCH(Charts!$B$3,"average", AVERAGE(INDIRECT(ADDRESS(37+3,DS$2+1,,,"Instances") &amp; ":" &amp; ADDRESS(37+3,DS$2+1))),"median", MEDIAN(INDIRECT(ADDRESS(37+3,DS$2+1,,,"Instances") &amp; ":" &amp; ADDRESS(37+3,DS$2+1))),"min", MIN(INDIRECT(ADDRESS(37+3,DS$2+1,,,"Instances") &amp; ":" &amp; ADDRESS(37+3,DS$2+1))),"max", MAX(INDIRECT(ADDRESS(37+3,DS$2+1,,,"Instances") &amp; ":" &amp; ADDRESS(37+3,DS$2+1))),"diff", MAX(INDIRECT(ADDRESS(37+3,DS$2+1,,,"Instances") &amp; ":" &amp; ADDRESS(37+3,DS$2+1)))-MIN(INDIRECT(ADDRESS(37+3,DS$2+1,,,"Instances") &amp; ":" &amp; ADDRESS(37+3,DS$2+1))))</f>
        <v>0</v>
      </c>
      <c r="DT42">
        <f>IFERROR(SMALL(DS5:DS44,ROW()-ROW($DT$5)+1),"")</f>
        <v>0</v>
      </c>
      <c r="DV42">
        <f>IFERROR(SUM(DT5:DT42),"")</f>
        <v>0</v>
      </c>
      <c r="DW42" cm="1">
        <f t="array" ref="DW42">_xlfn.SWITCH(Charts!$B$3,"average", AVERAGE(INDIRECT(ADDRESS(37+3,DW$2+1,,,"Instances") &amp; ":" &amp; ADDRESS(37+3,DW$2+1))),"median", MEDIAN(INDIRECT(ADDRESS(37+3,DW$2+1,,,"Instances") &amp; ":" &amp; ADDRESS(37+3,DW$2+1))),"min", MIN(INDIRECT(ADDRESS(37+3,DW$2+1,,,"Instances") &amp; ":" &amp; ADDRESS(37+3,DW$2+1))),"max", MAX(INDIRECT(ADDRESS(37+3,DW$2+1,,,"Instances") &amp; ":" &amp; ADDRESS(37+3,DW$2+1))),"diff", MAX(INDIRECT(ADDRESS(37+3,DW$2+1,,,"Instances") &amp; ":" &amp; ADDRESS(37+3,DW$2+1)))-MIN(INDIRECT(ADDRESS(37+3,DW$2+1,,,"Instances") &amp; ":" &amp; ADDRESS(37+3,DW$2+1))))</f>
        <v>0</v>
      </c>
      <c r="DX42">
        <f>IFERROR(SMALL(DW5:DW44,ROW()-ROW($DX$5)+1),"")</f>
        <v>0</v>
      </c>
      <c r="DZ42">
        <f>IFERROR(SUM(DX5:DX42),"")</f>
        <v>0</v>
      </c>
      <c r="EA42" cm="1">
        <f t="array" ref="EA42">_xlfn.SWITCH(Charts!$B$3,"average", AVERAGE(INDIRECT(ADDRESS(37+3,EA$2+1,,,"Instances") &amp; ":" &amp; ADDRESS(37+3,EA$2+1))),"median", MEDIAN(INDIRECT(ADDRESS(37+3,EA$2+1,,,"Instances") &amp; ":" &amp; ADDRESS(37+3,EA$2+1))),"min", MIN(INDIRECT(ADDRESS(37+3,EA$2+1,,,"Instances") &amp; ":" &amp; ADDRESS(37+3,EA$2+1))),"max", MAX(INDIRECT(ADDRESS(37+3,EA$2+1,,,"Instances") &amp; ":" &amp; ADDRESS(37+3,EA$2+1))),"diff", MAX(INDIRECT(ADDRESS(37+3,EA$2+1,,,"Instances") &amp; ":" &amp; ADDRESS(37+3,EA$2+1)))-MIN(INDIRECT(ADDRESS(37+3,EA$2+1,,,"Instances") &amp; ":" &amp; ADDRESS(37+3,EA$2+1))))</f>
        <v>0</v>
      </c>
      <c r="EB42">
        <f>IFERROR(SMALL(EA5:EA44,ROW()-ROW($EB$5)+1),"")</f>
        <v>0</v>
      </c>
      <c r="ED42">
        <f>IFERROR(SUM(EB5:EB42),"")</f>
        <v>0</v>
      </c>
      <c r="EG42">
        <f>IF(Charts!$B$3="none",E249,IF(BS249="",NA(),BS249))</f>
        <v>0</v>
      </c>
      <c r="EH42">
        <f>IF(Charts!$B$3="none",F249,IF(BT249="",NA(),BT249))</f>
        <v>0</v>
      </c>
      <c r="EI42">
        <f>IF(Charts!$B$3="none",G249,IF(BU249="",NA(),BU249))</f>
        <v>0</v>
      </c>
      <c r="EJ42">
        <f>IF(Charts!$B$3="none",H249,IF(BV249="",NA(),BV249))</f>
        <v>0</v>
      </c>
      <c r="EK42">
        <f>IF(Charts!$B$3="none",I249,IF(BW249="",NA(),BW249))</f>
        <v>0</v>
      </c>
      <c r="EL42">
        <f>IF(Charts!$B$3="none",J249,IF(BX249="",NA(),BX249))</f>
        <v>0</v>
      </c>
      <c r="EM42">
        <f>IF(Charts!$B$3="none",K249,IF(BY249="",NA(),BY249))</f>
        <v>0</v>
      </c>
      <c r="EN42">
        <f>IF(Charts!$B$3="none",L249,IF(BZ249="",NA(),BZ249))</f>
        <v>0</v>
      </c>
      <c r="EO42">
        <f>IF(Charts!$B$3="none",M249,IF(CA249="",NA(),CA249))</f>
        <v>0</v>
      </c>
      <c r="EP42">
        <f>IF(Charts!$B$3="none",N249,IF(CB249="",NA(),CB249))</f>
        <v>0</v>
      </c>
      <c r="EQ42">
        <f>IF(Charts!$B$3="none",O249,IF(CC249="",NA(),CC249))</f>
        <v>0</v>
      </c>
      <c r="ER42">
        <f>IF(Charts!$B$3="none",P249,IF(CD249="",NA(),CD249))</f>
        <v>0</v>
      </c>
      <c r="ES42">
        <f>IF(Charts!$B$3="none",Q249,IF(CE249="",NA(),CE249))</f>
        <v>0</v>
      </c>
      <c r="ET42">
        <f>IF(Charts!$B$3="none",R249,IF(CF249="",NA(),CF249))</f>
        <v>0</v>
      </c>
      <c r="EU42">
        <f>IF(Charts!$B$3="none",S249,IF(CG249="",NA(),CG249))</f>
        <v>0</v>
      </c>
      <c r="EV42">
        <f>IF(Charts!$B$3="none",T249,IF(CH249="",NA(),CH249))</f>
        <v>0</v>
      </c>
      <c r="EW42">
        <f>IF(Charts!$B$3="none",U249,IF(CI249="",NA(),CI249))</f>
        <v>0</v>
      </c>
      <c r="EX42">
        <f>IF(Charts!$B$3="none",V249,IF(CJ249="",NA(),CJ249))</f>
        <v>0</v>
      </c>
      <c r="EY42">
        <f>IF(Charts!$B$3="none",W249,IF(CK249="",NA(),CK249))</f>
        <v>0</v>
      </c>
      <c r="EZ42">
        <f>IF(Charts!$B$3="none",X249,IF(CL249="",NA(),CL249))</f>
        <v>0</v>
      </c>
      <c r="FA42">
        <f>IF(Charts!$B$3="none",Y249,IF(CM249="",NA(),CM249))</f>
        <v>0</v>
      </c>
      <c r="FB42">
        <f>IF(Charts!$B$3="none",Z249,IF(CN249="",NA(),CN249))</f>
        <v>0</v>
      </c>
      <c r="FC42">
        <f>IF(Charts!$B$3="none",AA249,IF(CO249="",NA(),CO249))</f>
        <v>0</v>
      </c>
      <c r="FD42">
        <f>IF(Charts!$B$3="none",AB249,IF(CP249="",NA(),CP249))</f>
        <v>0</v>
      </c>
      <c r="FE42">
        <f>IF(Charts!$B$3="none",AC249,IF(CQ249="",NA(),CQ249))</f>
        <v>0</v>
      </c>
      <c r="FF42">
        <f>IF(Charts!$B$3="none",AD249,IF(CR249="",NA(),CR249))</f>
        <v>0</v>
      </c>
      <c r="FG42">
        <f>IF(Charts!$B$3="none",AE249,IF(CS249="",NA(),CS249))</f>
        <v>0</v>
      </c>
      <c r="FH42">
        <f>IF(Charts!$B$3="none",AF249,IF(CT249="",NA(),CT249))</f>
        <v>0</v>
      </c>
      <c r="FI42">
        <f>IF(Charts!$B$3="none",AG249,IF(CU249="",NA(),CU249))</f>
        <v>0</v>
      </c>
      <c r="FJ42">
        <f>IF(Charts!$B$3="none",AH249,IF(CV249="",NA(),CV249))</f>
        <v>0</v>
      </c>
      <c r="FK42">
        <f>IF(Charts!$B$3="none",AI249,IF(CW249="",NA(),CW249))</f>
        <v>0</v>
      </c>
      <c r="FL42">
        <f>IF(Charts!$B$3="none",AJ249,IF(CX249="",NA(),CX249))</f>
        <v>0</v>
      </c>
      <c r="FM42">
        <f>IF(Charts!$B$3="none",AK249,IF(CY249="",NA(),CY249))</f>
        <v>0</v>
      </c>
      <c r="FN42">
        <f>IF(Charts!$B$3="none",AL249,IF(CZ249="",NA(),CZ249))</f>
        <v>0</v>
      </c>
      <c r="FO42">
        <f>IF(Charts!$B$3="none",AM249,IF(DA249="",NA(),DA249))</f>
        <v>0</v>
      </c>
      <c r="FP42">
        <f>IF(Charts!$B$3="none",AN249,IF(DB249="",NA(),DB249))</f>
        <v>0</v>
      </c>
      <c r="FQ42">
        <f>IF(Charts!$B$3="none",AO249,IF(DC249="",NA(),DC249))</f>
        <v>0</v>
      </c>
      <c r="FR42">
        <f>IF(Charts!$B$3="none",AP249,IF(DD249="",NA(),DD249))</f>
        <v>0</v>
      </c>
      <c r="FS42">
        <f>IF(Charts!$B$3="none",AQ249,IF(DE249="",NA(),DE249))</f>
        <v>0</v>
      </c>
      <c r="FT42">
        <f>IF(Charts!$B$3="none",AR249,IF(DF249="",NA(),DF249))</f>
        <v>0</v>
      </c>
      <c r="FU42">
        <f>IF(Charts!$B$3="none",AS249,IF(DG249="",NA(),DG249))</f>
        <v>0</v>
      </c>
      <c r="FV42">
        <f>IF(Charts!$B$3="none",AT249,IF(DH249="",NA(),DH249))</f>
        <v>0</v>
      </c>
      <c r="FW42">
        <f>IF(Charts!$B$3="none",AU249,IF(DI249="",NA(),DI249))</f>
        <v>0</v>
      </c>
      <c r="FX42">
        <f>IF(Charts!$B$3="none",AV249,IF(DJ249="",NA(),DJ249))</f>
        <v>0</v>
      </c>
      <c r="FY42">
        <f>IF(Charts!$B$3="none",AW249,IF(DK249="",NA(),DK249))</f>
        <v>0</v>
      </c>
      <c r="FZ42">
        <f>IF(Charts!$B$3="none",AX249,IF(DL249="",NA(),DL249))</f>
        <v>0</v>
      </c>
      <c r="GA42">
        <f>IF(Charts!$B$3="none",AY249,IF(DM249="",NA(),DM249))</f>
        <v>0</v>
      </c>
      <c r="GB42">
        <f>IF(Charts!$B$3="none",AZ249,IF(DN249="",NA(),DN249))</f>
        <v>0</v>
      </c>
      <c r="GC42">
        <f>IF(Charts!$B$3="none",BA249,IF(DO249="",NA(),DO249))</f>
        <v>0</v>
      </c>
      <c r="GD42">
        <f>IF(Charts!$B$3="none",BB249,IF(DP249="",NA(),DP249))</f>
        <v>0</v>
      </c>
      <c r="GE42">
        <f>IF(Charts!$B$3="none",BC249,IF(DQ249="",NA(),DQ249))</f>
        <v>0</v>
      </c>
      <c r="GF42">
        <f>IF(Charts!$B$3="none",BD249,IF(DR249="",NA(),DR249))</f>
        <v>0</v>
      </c>
      <c r="GG42">
        <f>IF(Charts!$B$3="none",BE249,IF(DS249="",NA(),DS249))</f>
        <v>0</v>
      </c>
      <c r="GH42">
        <f>IF(Charts!$B$3="none",BF249,IF(DT249="",NA(),DT249))</f>
        <v>0</v>
      </c>
      <c r="GI42">
        <f>IF(Charts!$B$3="none",BG249,IF(DU249="",NA(),DU249))</f>
        <v>0</v>
      </c>
      <c r="GJ42">
        <f>IF(Charts!$B$3="none",BH249,IF(DV249="",NA(),DV249))</f>
        <v>0</v>
      </c>
      <c r="GK42">
        <f>IF(Charts!$B$3="none",BI249,IF(DW249="",NA(),DW249))</f>
        <v>0</v>
      </c>
      <c r="GL42">
        <f>IF(Charts!$B$3="none",BJ249,IF(DX249="",NA(),DX249))</f>
        <v>0</v>
      </c>
      <c r="GM42">
        <f>IF(Charts!$B$3="none",BK249,IF(DY249="",NA(),DY249))</f>
        <v>0</v>
      </c>
      <c r="GN42">
        <f>IF(Charts!$B$3="none",BL249,IF(DZ249="",NA(),DZ249))</f>
        <v>0</v>
      </c>
      <c r="GO42">
        <f>IF(Charts!$B$3="none",BM249,IF(EA249="",NA(),EA249))</f>
        <v>0</v>
      </c>
      <c r="GP42">
        <f>IF(Charts!$B$3="none",BN249,IF(EB249="",NA(),EB249))</f>
        <v>0</v>
      </c>
      <c r="GQ42">
        <f>IF(Charts!$B$3="none",BO249,IF(EC249="",NA(),EC249))</f>
        <v>0</v>
      </c>
      <c r="GR42">
        <f>IF(Charts!$B$3="none",BP249,IF(ED249="",NA(),ED249))</f>
        <v>0</v>
      </c>
    </row>
    <row r="43" spans="4:200">
      <c r="D43">
        <v>39</v>
      </c>
      <c r="E43">
        <f>IF(INDIRECT(ADDRESS($D43+2,E$2+1,,,"Instances"))="","",INDIRECT(ADDRESS($D43+2,E$2+1,,,"Instances")))</f>
        <v>0</v>
      </c>
      <c r="F43">
        <f>IFERROR(SMALL(E5:E44,ROW()-ROW($F$5)+1),"")</f>
        <v>0</v>
      </c>
      <c r="H43">
        <f>IFERROR(SUM(F5:F43),"")</f>
        <v>0</v>
      </c>
      <c r="I43">
        <f>IF(INDIRECT(ADDRESS($D43+2,I$2+1,,,"Instances"))="","",INDIRECT(ADDRESS($D43+2,I$2+1,,,"Instances")))</f>
        <v>0</v>
      </c>
      <c r="J43">
        <f>IFERROR(SMALL(I5:I44,ROW()-ROW($J$5)+1),"")</f>
        <v>0</v>
      </c>
      <c r="L43">
        <f>IFERROR(SUM(J5:J43),"")</f>
        <v>0</v>
      </c>
      <c r="M43">
        <f>IF(INDIRECT(ADDRESS($D43+2,M$2+1,,,"Instances"))="","",INDIRECT(ADDRESS($D43+2,M$2+1,,,"Instances")))</f>
        <v>0</v>
      </c>
      <c r="N43">
        <f>IFERROR(SMALL(M5:M44,ROW()-ROW($N$5)+1),"")</f>
        <v>0</v>
      </c>
      <c r="P43">
        <f>IFERROR(SUM(N5:N43),"")</f>
        <v>0</v>
      </c>
      <c r="Q43">
        <f>IF(INDIRECT(ADDRESS($D43+2,Q$2+1,,,"Instances"))="","",INDIRECT(ADDRESS($D43+2,Q$2+1,,,"Instances")))</f>
        <v>0</v>
      </c>
      <c r="R43">
        <f>IFERROR(SMALL(Q5:Q44,ROW()-ROW($R$5)+1),"")</f>
        <v>0</v>
      </c>
      <c r="T43">
        <f>IFERROR(SUM(R5:R43),"")</f>
        <v>0</v>
      </c>
      <c r="U43">
        <f>IF(INDIRECT(ADDRESS($D43+2,U$2+1,,,"Instances"))="","",INDIRECT(ADDRESS($D43+2,U$2+1,,,"Instances")))</f>
        <v>0</v>
      </c>
      <c r="V43">
        <f>IFERROR(SMALL(U5:U44,ROW()-ROW($V$5)+1),"")</f>
        <v>0</v>
      </c>
      <c r="X43">
        <f>IFERROR(SUM(V5:V43),"")</f>
        <v>0</v>
      </c>
      <c r="Y43">
        <f>IF(INDIRECT(ADDRESS($D43+2,Y$2+1,,,"Instances"))="","",INDIRECT(ADDRESS($D43+2,Y$2+1,,,"Instances")))</f>
        <v>0</v>
      </c>
      <c r="Z43">
        <f>IFERROR(SMALL(Y5:Y44,ROW()-ROW($Z$5)+1),"")</f>
        <v>0</v>
      </c>
      <c r="AB43">
        <f>IFERROR(SUM(Z5:Z43),"")</f>
        <v>0</v>
      </c>
      <c r="AC43">
        <f>IF(INDIRECT(ADDRESS($D43+2,AC$2+1,,,"Instances"))="","",INDIRECT(ADDRESS($D43+2,AC$2+1,,,"Instances")))</f>
        <v>0</v>
      </c>
      <c r="AD43">
        <f>IFERROR(SMALL(AC5:AC44,ROW()-ROW($AD$5)+1),"")</f>
        <v>0</v>
      </c>
      <c r="AF43">
        <f>IFERROR(SUM(AD5:AD43),"")</f>
        <v>0</v>
      </c>
      <c r="AG43">
        <f>IF(INDIRECT(ADDRESS($D43+2,AG$2+1,,,"Instances"))="","",INDIRECT(ADDRESS($D43+2,AG$2+1,,,"Instances")))</f>
        <v>0</v>
      </c>
      <c r="AH43">
        <f>IFERROR(SMALL(AG5:AG44,ROW()-ROW($AH$5)+1),"")</f>
        <v>0</v>
      </c>
      <c r="AJ43">
        <f>IFERROR(SUM(AH5:AH43),"")</f>
        <v>0</v>
      </c>
      <c r="AK43">
        <f>IF(INDIRECT(ADDRESS($D43+2,AK$2+1,,,"Instances"))="","",INDIRECT(ADDRESS($D43+2,AK$2+1,,,"Instances")))</f>
        <v>0</v>
      </c>
      <c r="AL43">
        <f>IFERROR(SMALL(AK5:AK44,ROW()-ROW($AL$5)+1),"")</f>
        <v>0</v>
      </c>
      <c r="AN43">
        <f>IFERROR(SUM(AL5:AL43),"")</f>
        <v>0</v>
      </c>
      <c r="AO43">
        <f>IF(INDIRECT(ADDRESS($D43+2,AO$2+1,,,"Instances"))="","",INDIRECT(ADDRESS($D43+2,AO$2+1,,,"Instances")))</f>
        <v>0</v>
      </c>
      <c r="AP43">
        <f>IFERROR(SMALL(AO5:AO44,ROW()-ROW($AP$5)+1),"")</f>
        <v>0</v>
      </c>
      <c r="AR43">
        <f>IFERROR(SUM(AP5:AP43),"")</f>
        <v>0</v>
      </c>
      <c r="AS43">
        <f>IF(INDIRECT(ADDRESS($D43+2,AS$2+1,,,"Instances"))="","",INDIRECT(ADDRESS($D43+2,AS$2+1,,,"Instances")))</f>
        <v>0</v>
      </c>
      <c r="AT43">
        <f>IFERROR(SMALL(AS5:AS44,ROW()-ROW($AT$5)+1),"")</f>
        <v>0</v>
      </c>
      <c r="AV43">
        <f>IFERROR(SUM(AT5:AT43),"")</f>
        <v>0</v>
      </c>
      <c r="AW43">
        <f>IF(INDIRECT(ADDRESS($D43+2,AW$2+1,,,"Instances"))="","",INDIRECT(ADDRESS($D43+2,AW$2+1,,,"Instances")))</f>
        <v>0</v>
      </c>
      <c r="AX43">
        <f>IFERROR(SMALL(AW5:AW44,ROW()-ROW($AX$5)+1),"")</f>
        <v>0</v>
      </c>
      <c r="AZ43">
        <f>IFERROR(SUM(AX5:AX43),"")</f>
        <v>0</v>
      </c>
      <c r="BA43">
        <f>IF(INDIRECT(ADDRESS($D43+2,BA$2+1,,,"Instances"))="","",INDIRECT(ADDRESS($D43+2,BA$2+1,,,"Instances")))</f>
        <v>0</v>
      </c>
      <c r="BB43">
        <f>IFERROR(SMALL(BA5:BA44,ROW()-ROW($BB$5)+1),"")</f>
        <v>0</v>
      </c>
      <c r="BD43">
        <f>IFERROR(SUM(BB5:BB43),"")</f>
        <v>0</v>
      </c>
      <c r="BE43">
        <f>IF(INDIRECT(ADDRESS($D43+2,BE$2+1,,,"Instances"))="","",INDIRECT(ADDRESS($D43+2,BE$2+1,,,"Instances")))</f>
        <v>0</v>
      </c>
      <c r="BF43">
        <f>IFERROR(SMALL(BE5:BE44,ROW()-ROW($BF$5)+1),"")</f>
        <v>0</v>
      </c>
      <c r="BH43">
        <f>IFERROR(SUM(BF5:BF43),"")</f>
        <v>0</v>
      </c>
      <c r="BI43">
        <f>IF(INDIRECT(ADDRESS($D43+2,BI$2+1,,,"Instances"))="","",INDIRECT(ADDRESS($D43+2,BI$2+1,,,"Instances")))</f>
        <v>0</v>
      </c>
      <c r="BJ43">
        <f>IFERROR(SMALL(BI5:BI44,ROW()-ROW($BJ$5)+1),"")</f>
        <v>0</v>
      </c>
      <c r="BL43">
        <f>IFERROR(SUM(BJ5:BJ43),"")</f>
        <v>0</v>
      </c>
      <c r="BM43">
        <f>IF(INDIRECT(ADDRESS($D43+2,BM$2+1,,,"Instances"))="","",INDIRECT(ADDRESS($D43+2,BM$2+1,,,"Instances")))</f>
        <v>0</v>
      </c>
      <c r="BN43">
        <f>IFERROR(SMALL(BM5:BM44,ROW()-ROW($BN$5)+1),"")</f>
        <v>0</v>
      </c>
      <c r="BP43">
        <f>IFERROR(SUM(BN5:BN43),"")</f>
        <v>0</v>
      </c>
      <c r="BR43">
        <v>39</v>
      </c>
      <c r="BS43" cm="1">
        <f t="array" ref="BS43">_xlfn.SWITCH(Charts!$B$3,"average", AVERAGE(INDIRECT(ADDRESS(38+3,BS$2+1,,,"Instances") &amp; ":" &amp; ADDRESS(38+3,BS$2+1))),"median", MEDIAN(INDIRECT(ADDRESS(38+3,BS$2+1,,,"Instances") &amp; ":" &amp; ADDRESS(38+3,BS$2+1))),"min", MIN(INDIRECT(ADDRESS(38+3,BS$2+1,,,"Instances") &amp; ":" &amp; ADDRESS(38+3,BS$2+1))),"max", MAX(INDIRECT(ADDRESS(38+3,BS$2+1,,,"Instances") &amp; ":" &amp; ADDRESS(38+3,BS$2+1))),"diff", MAX(INDIRECT(ADDRESS(38+3,BS$2+1,,,"Instances") &amp; ":" &amp; ADDRESS(38+3,BS$2+1)))-MIN(INDIRECT(ADDRESS(38+3,BS$2+1,,,"Instances") &amp; ":" &amp; ADDRESS(38+3,BS$2+1))))</f>
        <v>0</v>
      </c>
      <c r="BT43">
        <f>IFERROR(SMALL(BS5:BS44,ROW()-ROW($BT$5)+1),"")</f>
        <v>0</v>
      </c>
      <c r="BV43">
        <f>IFERROR(SUM(BT5:BT43),"")</f>
        <v>0</v>
      </c>
      <c r="BW43" cm="1">
        <f t="array" ref="BW43">_xlfn.SWITCH(Charts!$B$3,"average", AVERAGE(INDIRECT(ADDRESS(38+3,BW$2+1,,,"Instances") &amp; ":" &amp; ADDRESS(38+3,BW$2+1))),"median", MEDIAN(INDIRECT(ADDRESS(38+3,BW$2+1,,,"Instances") &amp; ":" &amp; ADDRESS(38+3,BW$2+1))),"min", MIN(INDIRECT(ADDRESS(38+3,BW$2+1,,,"Instances") &amp; ":" &amp; ADDRESS(38+3,BW$2+1))),"max", MAX(INDIRECT(ADDRESS(38+3,BW$2+1,,,"Instances") &amp; ":" &amp; ADDRESS(38+3,BW$2+1))),"diff", MAX(INDIRECT(ADDRESS(38+3,BW$2+1,,,"Instances") &amp; ":" &amp; ADDRESS(38+3,BW$2+1)))-MIN(INDIRECT(ADDRESS(38+3,BW$2+1,,,"Instances") &amp; ":" &amp; ADDRESS(38+3,BW$2+1))))</f>
        <v>0</v>
      </c>
      <c r="BX43">
        <f>IFERROR(SMALL(BW5:BW44,ROW()-ROW($BX$5)+1),"")</f>
        <v>0</v>
      </c>
      <c r="BZ43">
        <f>IFERROR(SUM(BX5:BX43),"")</f>
        <v>0</v>
      </c>
      <c r="CA43" cm="1">
        <f t="array" ref="CA43">_xlfn.SWITCH(Charts!$B$3,"average", AVERAGE(INDIRECT(ADDRESS(38+3,CA$2+1,,,"Instances") &amp; ":" &amp; ADDRESS(38+3,CA$2+1))),"median", MEDIAN(INDIRECT(ADDRESS(38+3,CA$2+1,,,"Instances") &amp; ":" &amp; ADDRESS(38+3,CA$2+1))),"min", MIN(INDIRECT(ADDRESS(38+3,CA$2+1,,,"Instances") &amp; ":" &amp; ADDRESS(38+3,CA$2+1))),"max", MAX(INDIRECT(ADDRESS(38+3,CA$2+1,,,"Instances") &amp; ":" &amp; ADDRESS(38+3,CA$2+1))),"diff", MAX(INDIRECT(ADDRESS(38+3,CA$2+1,,,"Instances") &amp; ":" &amp; ADDRESS(38+3,CA$2+1)))-MIN(INDIRECT(ADDRESS(38+3,CA$2+1,,,"Instances") &amp; ":" &amp; ADDRESS(38+3,CA$2+1))))</f>
        <v>0</v>
      </c>
      <c r="CB43">
        <f>IFERROR(SMALL(CA5:CA44,ROW()-ROW($CB$5)+1),"")</f>
        <v>0</v>
      </c>
      <c r="CD43">
        <f>IFERROR(SUM(CB5:CB43),"")</f>
        <v>0</v>
      </c>
      <c r="CE43" cm="1">
        <f t="array" ref="CE43">_xlfn.SWITCH(Charts!$B$3,"average", AVERAGE(INDIRECT(ADDRESS(38+3,CE$2+1,,,"Instances") &amp; ":" &amp; ADDRESS(38+3,CE$2+1))),"median", MEDIAN(INDIRECT(ADDRESS(38+3,CE$2+1,,,"Instances") &amp; ":" &amp; ADDRESS(38+3,CE$2+1))),"min", MIN(INDIRECT(ADDRESS(38+3,CE$2+1,,,"Instances") &amp; ":" &amp; ADDRESS(38+3,CE$2+1))),"max", MAX(INDIRECT(ADDRESS(38+3,CE$2+1,,,"Instances") &amp; ":" &amp; ADDRESS(38+3,CE$2+1))),"diff", MAX(INDIRECT(ADDRESS(38+3,CE$2+1,,,"Instances") &amp; ":" &amp; ADDRESS(38+3,CE$2+1)))-MIN(INDIRECT(ADDRESS(38+3,CE$2+1,,,"Instances") &amp; ":" &amp; ADDRESS(38+3,CE$2+1))))</f>
        <v>0</v>
      </c>
      <c r="CF43">
        <f>IFERROR(SMALL(CE5:CE44,ROW()-ROW($CF$5)+1),"")</f>
        <v>0</v>
      </c>
      <c r="CH43">
        <f>IFERROR(SUM(CF5:CF43),"")</f>
        <v>0</v>
      </c>
      <c r="CI43" cm="1">
        <f t="array" ref="CI43">_xlfn.SWITCH(Charts!$B$3,"average", AVERAGE(INDIRECT(ADDRESS(38+3,CI$2+1,,,"Instances") &amp; ":" &amp; ADDRESS(38+3,CI$2+1))),"median", MEDIAN(INDIRECT(ADDRESS(38+3,CI$2+1,,,"Instances") &amp; ":" &amp; ADDRESS(38+3,CI$2+1))),"min", MIN(INDIRECT(ADDRESS(38+3,CI$2+1,,,"Instances") &amp; ":" &amp; ADDRESS(38+3,CI$2+1))),"max", MAX(INDIRECT(ADDRESS(38+3,CI$2+1,,,"Instances") &amp; ":" &amp; ADDRESS(38+3,CI$2+1))),"diff", MAX(INDIRECT(ADDRESS(38+3,CI$2+1,,,"Instances") &amp; ":" &amp; ADDRESS(38+3,CI$2+1)))-MIN(INDIRECT(ADDRESS(38+3,CI$2+1,,,"Instances") &amp; ":" &amp; ADDRESS(38+3,CI$2+1))))</f>
        <v>0</v>
      </c>
      <c r="CJ43">
        <f>IFERROR(SMALL(CI5:CI44,ROW()-ROW($CJ$5)+1),"")</f>
        <v>0</v>
      </c>
      <c r="CL43">
        <f>IFERROR(SUM(CJ5:CJ43),"")</f>
        <v>0</v>
      </c>
      <c r="CM43" cm="1">
        <f t="array" ref="CM43">_xlfn.SWITCH(Charts!$B$3,"average", AVERAGE(INDIRECT(ADDRESS(38+3,CM$2+1,,,"Instances") &amp; ":" &amp; ADDRESS(38+3,CM$2+1))),"median", MEDIAN(INDIRECT(ADDRESS(38+3,CM$2+1,,,"Instances") &amp; ":" &amp; ADDRESS(38+3,CM$2+1))),"min", MIN(INDIRECT(ADDRESS(38+3,CM$2+1,,,"Instances") &amp; ":" &amp; ADDRESS(38+3,CM$2+1))),"max", MAX(INDIRECT(ADDRESS(38+3,CM$2+1,,,"Instances") &amp; ":" &amp; ADDRESS(38+3,CM$2+1))),"diff", MAX(INDIRECT(ADDRESS(38+3,CM$2+1,,,"Instances") &amp; ":" &amp; ADDRESS(38+3,CM$2+1)))-MIN(INDIRECT(ADDRESS(38+3,CM$2+1,,,"Instances") &amp; ":" &amp; ADDRESS(38+3,CM$2+1))))</f>
        <v>0</v>
      </c>
      <c r="CN43">
        <f>IFERROR(SMALL(CM5:CM44,ROW()-ROW($CN$5)+1),"")</f>
        <v>0</v>
      </c>
      <c r="CP43">
        <f>IFERROR(SUM(CN5:CN43),"")</f>
        <v>0</v>
      </c>
      <c r="CQ43" cm="1">
        <f t="array" ref="CQ43">_xlfn.SWITCH(Charts!$B$3,"average", AVERAGE(INDIRECT(ADDRESS(38+3,CQ$2+1,,,"Instances") &amp; ":" &amp; ADDRESS(38+3,CQ$2+1))),"median", MEDIAN(INDIRECT(ADDRESS(38+3,CQ$2+1,,,"Instances") &amp; ":" &amp; ADDRESS(38+3,CQ$2+1))),"min", MIN(INDIRECT(ADDRESS(38+3,CQ$2+1,,,"Instances") &amp; ":" &amp; ADDRESS(38+3,CQ$2+1))),"max", MAX(INDIRECT(ADDRESS(38+3,CQ$2+1,,,"Instances") &amp; ":" &amp; ADDRESS(38+3,CQ$2+1))),"diff", MAX(INDIRECT(ADDRESS(38+3,CQ$2+1,,,"Instances") &amp; ":" &amp; ADDRESS(38+3,CQ$2+1)))-MIN(INDIRECT(ADDRESS(38+3,CQ$2+1,,,"Instances") &amp; ":" &amp; ADDRESS(38+3,CQ$2+1))))</f>
        <v>0</v>
      </c>
      <c r="CR43">
        <f>IFERROR(SMALL(CQ5:CQ44,ROW()-ROW($CR$5)+1),"")</f>
        <v>0</v>
      </c>
      <c r="CT43">
        <f>IFERROR(SUM(CR5:CR43),"")</f>
        <v>0</v>
      </c>
      <c r="CU43" cm="1">
        <f t="array" ref="CU43">_xlfn.SWITCH(Charts!$B$3,"average", AVERAGE(INDIRECT(ADDRESS(38+3,CU$2+1,,,"Instances") &amp; ":" &amp; ADDRESS(38+3,CU$2+1))),"median", MEDIAN(INDIRECT(ADDRESS(38+3,CU$2+1,,,"Instances") &amp; ":" &amp; ADDRESS(38+3,CU$2+1))),"min", MIN(INDIRECT(ADDRESS(38+3,CU$2+1,,,"Instances") &amp; ":" &amp; ADDRESS(38+3,CU$2+1))),"max", MAX(INDIRECT(ADDRESS(38+3,CU$2+1,,,"Instances") &amp; ":" &amp; ADDRESS(38+3,CU$2+1))),"diff", MAX(INDIRECT(ADDRESS(38+3,CU$2+1,,,"Instances") &amp; ":" &amp; ADDRESS(38+3,CU$2+1)))-MIN(INDIRECT(ADDRESS(38+3,CU$2+1,,,"Instances") &amp; ":" &amp; ADDRESS(38+3,CU$2+1))))</f>
        <v>0</v>
      </c>
      <c r="CV43">
        <f>IFERROR(SMALL(CU5:CU44,ROW()-ROW($CV$5)+1),"")</f>
        <v>0</v>
      </c>
      <c r="CX43">
        <f>IFERROR(SUM(CV5:CV43),"")</f>
        <v>0</v>
      </c>
      <c r="CY43" cm="1">
        <f t="array" ref="CY43">_xlfn.SWITCH(Charts!$B$3,"average", AVERAGE(INDIRECT(ADDRESS(38+3,CY$2+1,,,"Instances") &amp; ":" &amp; ADDRESS(38+3,CY$2+1))),"median", MEDIAN(INDIRECT(ADDRESS(38+3,CY$2+1,,,"Instances") &amp; ":" &amp; ADDRESS(38+3,CY$2+1))),"min", MIN(INDIRECT(ADDRESS(38+3,CY$2+1,,,"Instances") &amp; ":" &amp; ADDRESS(38+3,CY$2+1))),"max", MAX(INDIRECT(ADDRESS(38+3,CY$2+1,,,"Instances") &amp; ":" &amp; ADDRESS(38+3,CY$2+1))),"diff", MAX(INDIRECT(ADDRESS(38+3,CY$2+1,,,"Instances") &amp; ":" &amp; ADDRESS(38+3,CY$2+1)))-MIN(INDIRECT(ADDRESS(38+3,CY$2+1,,,"Instances") &amp; ":" &amp; ADDRESS(38+3,CY$2+1))))</f>
        <v>0</v>
      </c>
      <c r="CZ43">
        <f>IFERROR(SMALL(CY5:CY44,ROW()-ROW($CZ$5)+1),"")</f>
        <v>0</v>
      </c>
      <c r="DB43">
        <f>IFERROR(SUM(CZ5:CZ43),"")</f>
        <v>0</v>
      </c>
      <c r="DC43" cm="1">
        <f t="array" ref="DC43">_xlfn.SWITCH(Charts!$B$3,"average", AVERAGE(INDIRECT(ADDRESS(38+3,DC$2+1,,,"Instances") &amp; ":" &amp; ADDRESS(38+3,DC$2+1))),"median", MEDIAN(INDIRECT(ADDRESS(38+3,DC$2+1,,,"Instances") &amp; ":" &amp; ADDRESS(38+3,DC$2+1))),"min", MIN(INDIRECT(ADDRESS(38+3,DC$2+1,,,"Instances") &amp; ":" &amp; ADDRESS(38+3,DC$2+1))),"max", MAX(INDIRECT(ADDRESS(38+3,DC$2+1,,,"Instances") &amp; ":" &amp; ADDRESS(38+3,DC$2+1))),"diff", MAX(INDIRECT(ADDRESS(38+3,DC$2+1,,,"Instances") &amp; ":" &amp; ADDRESS(38+3,DC$2+1)))-MIN(INDIRECT(ADDRESS(38+3,DC$2+1,,,"Instances") &amp; ":" &amp; ADDRESS(38+3,DC$2+1))))</f>
        <v>0</v>
      </c>
      <c r="DD43">
        <f>IFERROR(SMALL(DC5:DC44,ROW()-ROW($DD$5)+1),"")</f>
        <v>0</v>
      </c>
      <c r="DF43">
        <f>IFERROR(SUM(DD5:DD43),"")</f>
        <v>0</v>
      </c>
      <c r="DG43" cm="1">
        <f t="array" ref="DG43">_xlfn.SWITCH(Charts!$B$3,"average", AVERAGE(INDIRECT(ADDRESS(38+3,DG$2+1,,,"Instances") &amp; ":" &amp; ADDRESS(38+3,DG$2+1))),"median", MEDIAN(INDIRECT(ADDRESS(38+3,DG$2+1,,,"Instances") &amp; ":" &amp; ADDRESS(38+3,DG$2+1))),"min", MIN(INDIRECT(ADDRESS(38+3,DG$2+1,,,"Instances") &amp; ":" &amp; ADDRESS(38+3,DG$2+1))),"max", MAX(INDIRECT(ADDRESS(38+3,DG$2+1,,,"Instances") &amp; ":" &amp; ADDRESS(38+3,DG$2+1))),"diff", MAX(INDIRECT(ADDRESS(38+3,DG$2+1,,,"Instances") &amp; ":" &amp; ADDRESS(38+3,DG$2+1)))-MIN(INDIRECT(ADDRESS(38+3,DG$2+1,,,"Instances") &amp; ":" &amp; ADDRESS(38+3,DG$2+1))))</f>
        <v>0</v>
      </c>
      <c r="DH43">
        <f>IFERROR(SMALL(DG5:DG44,ROW()-ROW($DH$5)+1),"")</f>
        <v>0</v>
      </c>
      <c r="DJ43">
        <f>IFERROR(SUM(DH5:DH43),"")</f>
        <v>0</v>
      </c>
      <c r="DK43" cm="1">
        <f t="array" ref="DK43">_xlfn.SWITCH(Charts!$B$3,"average", AVERAGE(INDIRECT(ADDRESS(38+3,DK$2+1,,,"Instances") &amp; ":" &amp; ADDRESS(38+3,DK$2+1))),"median", MEDIAN(INDIRECT(ADDRESS(38+3,DK$2+1,,,"Instances") &amp; ":" &amp; ADDRESS(38+3,DK$2+1))),"min", MIN(INDIRECT(ADDRESS(38+3,DK$2+1,,,"Instances") &amp; ":" &amp; ADDRESS(38+3,DK$2+1))),"max", MAX(INDIRECT(ADDRESS(38+3,DK$2+1,,,"Instances") &amp; ":" &amp; ADDRESS(38+3,DK$2+1))),"diff", MAX(INDIRECT(ADDRESS(38+3,DK$2+1,,,"Instances") &amp; ":" &amp; ADDRESS(38+3,DK$2+1)))-MIN(INDIRECT(ADDRESS(38+3,DK$2+1,,,"Instances") &amp; ":" &amp; ADDRESS(38+3,DK$2+1))))</f>
        <v>0</v>
      </c>
      <c r="DL43">
        <f>IFERROR(SMALL(DK5:DK44,ROW()-ROW($DL$5)+1),"")</f>
        <v>0</v>
      </c>
      <c r="DN43">
        <f>IFERROR(SUM(DL5:DL43),"")</f>
        <v>0</v>
      </c>
      <c r="DO43" cm="1">
        <f t="array" ref="DO43">_xlfn.SWITCH(Charts!$B$3,"average", AVERAGE(INDIRECT(ADDRESS(38+3,DO$2+1,,,"Instances") &amp; ":" &amp; ADDRESS(38+3,DO$2+1))),"median", MEDIAN(INDIRECT(ADDRESS(38+3,DO$2+1,,,"Instances") &amp; ":" &amp; ADDRESS(38+3,DO$2+1))),"min", MIN(INDIRECT(ADDRESS(38+3,DO$2+1,,,"Instances") &amp; ":" &amp; ADDRESS(38+3,DO$2+1))),"max", MAX(INDIRECT(ADDRESS(38+3,DO$2+1,,,"Instances") &amp; ":" &amp; ADDRESS(38+3,DO$2+1))),"diff", MAX(INDIRECT(ADDRESS(38+3,DO$2+1,,,"Instances") &amp; ":" &amp; ADDRESS(38+3,DO$2+1)))-MIN(INDIRECT(ADDRESS(38+3,DO$2+1,,,"Instances") &amp; ":" &amp; ADDRESS(38+3,DO$2+1))))</f>
        <v>0</v>
      </c>
      <c r="DP43">
        <f>IFERROR(SMALL(DO5:DO44,ROW()-ROW($DP$5)+1),"")</f>
        <v>0</v>
      </c>
      <c r="DR43">
        <f>IFERROR(SUM(DP5:DP43),"")</f>
        <v>0</v>
      </c>
      <c r="DS43" cm="1">
        <f t="array" ref="DS43">_xlfn.SWITCH(Charts!$B$3,"average", AVERAGE(INDIRECT(ADDRESS(38+3,DS$2+1,,,"Instances") &amp; ":" &amp; ADDRESS(38+3,DS$2+1))),"median", MEDIAN(INDIRECT(ADDRESS(38+3,DS$2+1,,,"Instances") &amp; ":" &amp; ADDRESS(38+3,DS$2+1))),"min", MIN(INDIRECT(ADDRESS(38+3,DS$2+1,,,"Instances") &amp; ":" &amp; ADDRESS(38+3,DS$2+1))),"max", MAX(INDIRECT(ADDRESS(38+3,DS$2+1,,,"Instances") &amp; ":" &amp; ADDRESS(38+3,DS$2+1))),"diff", MAX(INDIRECT(ADDRESS(38+3,DS$2+1,,,"Instances") &amp; ":" &amp; ADDRESS(38+3,DS$2+1)))-MIN(INDIRECT(ADDRESS(38+3,DS$2+1,,,"Instances") &amp; ":" &amp; ADDRESS(38+3,DS$2+1))))</f>
        <v>0</v>
      </c>
      <c r="DT43">
        <f>IFERROR(SMALL(DS5:DS44,ROW()-ROW($DT$5)+1),"")</f>
        <v>0</v>
      </c>
      <c r="DV43">
        <f>IFERROR(SUM(DT5:DT43),"")</f>
        <v>0</v>
      </c>
      <c r="DW43" cm="1">
        <f t="array" ref="DW43">_xlfn.SWITCH(Charts!$B$3,"average", AVERAGE(INDIRECT(ADDRESS(38+3,DW$2+1,,,"Instances") &amp; ":" &amp; ADDRESS(38+3,DW$2+1))),"median", MEDIAN(INDIRECT(ADDRESS(38+3,DW$2+1,,,"Instances") &amp; ":" &amp; ADDRESS(38+3,DW$2+1))),"min", MIN(INDIRECT(ADDRESS(38+3,DW$2+1,,,"Instances") &amp; ":" &amp; ADDRESS(38+3,DW$2+1))),"max", MAX(INDIRECT(ADDRESS(38+3,DW$2+1,,,"Instances") &amp; ":" &amp; ADDRESS(38+3,DW$2+1))),"diff", MAX(INDIRECT(ADDRESS(38+3,DW$2+1,,,"Instances") &amp; ":" &amp; ADDRESS(38+3,DW$2+1)))-MIN(INDIRECT(ADDRESS(38+3,DW$2+1,,,"Instances") &amp; ":" &amp; ADDRESS(38+3,DW$2+1))))</f>
        <v>0</v>
      </c>
      <c r="DX43">
        <f>IFERROR(SMALL(DW5:DW44,ROW()-ROW($DX$5)+1),"")</f>
        <v>0</v>
      </c>
      <c r="DZ43">
        <f>IFERROR(SUM(DX5:DX43),"")</f>
        <v>0</v>
      </c>
      <c r="EA43" cm="1">
        <f t="array" ref="EA43">_xlfn.SWITCH(Charts!$B$3,"average", AVERAGE(INDIRECT(ADDRESS(38+3,EA$2+1,,,"Instances") &amp; ":" &amp; ADDRESS(38+3,EA$2+1))),"median", MEDIAN(INDIRECT(ADDRESS(38+3,EA$2+1,,,"Instances") &amp; ":" &amp; ADDRESS(38+3,EA$2+1))),"min", MIN(INDIRECT(ADDRESS(38+3,EA$2+1,,,"Instances") &amp; ":" &amp; ADDRESS(38+3,EA$2+1))),"max", MAX(INDIRECT(ADDRESS(38+3,EA$2+1,,,"Instances") &amp; ":" &amp; ADDRESS(38+3,EA$2+1))),"diff", MAX(INDIRECT(ADDRESS(38+3,EA$2+1,,,"Instances") &amp; ":" &amp; ADDRESS(38+3,EA$2+1)))-MIN(INDIRECT(ADDRESS(38+3,EA$2+1,,,"Instances") &amp; ":" &amp; ADDRESS(38+3,EA$2+1))))</f>
        <v>0</v>
      </c>
      <c r="EB43">
        <f>IFERROR(SMALL(EA5:EA44,ROW()-ROW($EB$5)+1),"")</f>
        <v>0</v>
      </c>
      <c r="ED43">
        <f>IFERROR(SUM(EB5:EB43),"")</f>
        <v>0</v>
      </c>
      <c r="EG43">
        <f>IF(Charts!$B$3="none",E250,IF(BS250="",NA(),BS250))</f>
        <v>0</v>
      </c>
      <c r="EH43">
        <f>IF(Charts!$B$3="none",F250,IF(BT250="",NA(),BT250))</f>
        <v>0</v>
      </c>
      <c r="EI43">
        <f>IF(Charts!$B$3="none",G250,IF(BU250="",NA(),BU250))</f>
        <v>0</v>
      </c>
      <c r="EJ43">
        <f>IF(Charts!$B$3="none",H250,IF(BV250="",NA(),BV250))</f>
        <v>0</v>
      </c>
      <c r="EK43">
        <f>IF(Charts!$B$3="none",I250,IF(BW250="",NA(),BW250))</f>
        <v>0</v>
      </c>
      <c r="EL43">
        <f>IF(Charts!$B$3="none",J250,IF(BX250="",NA(),BX250))</f>
        <v>0</v>
      </c>
      <c r="EM43">
        <f>IF(Charts!$B$3="none",K250,IF(BY250="",NA(),BY250))</f>
        <v>0</v>
      </c>
      <c r="EN43">
        <f>IF(Charts!$B$3="none",L250,IF(BZ250="",NA(),BZ250))</f>
        <v>0</v>
      </c>
      <c r="EO43">
        <f>IF(Charts!$B$3="none",M250,IF(CA250="",NA(),CA250))</f>
        <v>0</v>
      </c>
      <c r="EP43">
        <f>IF(Charts!$B$3="none",N250,IF(CB250="",NA(),CB250))</f>
        <v>0</v>
      </c>
      <c r="EQ43">
        <f>IF(Charts!$B$3="none",O250,IF(CC250="",NA(),CC250))</f>
        <v>0</v>
      </c>
      <c r="ER43">
        <f>IF(Charts!$B$3="none",P250,IF(CD250="",NA(),CD250))</f>
        <v>0</v>
      </c>
      <c r="ES43">
        <f>IF(Charts!$B$3="none",Q250,IF(CE250="",NA(),CE250))</f>
        <v>0</v>
      </c>
      <c r="ET43">
        <f>IF(Charts!$B$3="none",R250,IF(CF250="",NA(),CF250))</f>
        <v>0</v>
      </c>
      <c r="EU43">
        <f>IF(Charts!$B$3="none",S250,IF(CG250="",NA(),CG250))</f>
        <v>0</v>
      </c>
      <c r="EV43">
        <f>IF(Charts!$B$3="none",T250,IF(CH250="",NA(),CH250))</f>
        <v>0</v>
      </c>
      <c r="EW43">
        <f>IF(Charts!$B$3="none",U250,IF(CI250="",NA(),CI250))</f>
        <v>0</v>
      </c>
      <c r="EX43">
        <f>IF(Charts!$B$3="none",V250,IF(CJ250="",NA(),CJ250))</f>
        <v>0</v>
      </c>
      <c r="EY43">
        <f>IF(Charts!$B$3="none",W250,IF(CK250="",NA(),CK250))</f>
        <v>0</v>
      </c>
      <c r="EZ43">
        <f>IF(Charts!$B$3="none",X250,IF(CL250="",NA(),CL250))</f>
        <v>0</v>
      </c>
      <c r="FA43">
        <f>IF(Charts!$B$3="none",Y250,IF(CM250="",NA(),CM250))</f>
        <v>0</v>
      </c>
      <c r="FB43">
        <f>IF(Charts!$B$3="none",Z250,IF(CN250="",NA(),CN250))</f>
        <v>0</v>
      </c>
      <c r="FC43">
        <f>IF(Charts!$B$3="none",AA250,IF(CO250="",NA(),CO250))</f>
        <v>0</v>
      </c>
      <c r="FD43">
        <f>IF(Charts!$B$3="none",AB250,IF(CP250="",NA(),CP250))</f>
        <v>0</v>
      </c>
      <c r="FE43">
        <f>IF(Charts!$B$3="none",AC250,IF(CQ250="",NA(),CQ250))</f>
        <v>0</v>
      </c>
      <c r="FF43">
        <f>IF(Charts!$B$3="none",AD250,IF(CR250="",NA(),CR250))</f>
        <v>0</v>
      </c>
      <c r="FG43">
        <f>IF(Charts!$B$3="none",AE250,IF(CS250="",NA(),CS250))</f>
        <v>0</v>
      </c>
      <c r="FH43">
        <f>IF(Charts!$B$3="none",AF250,IF(CT250="",NA(),CT250))</f>
        <v>0</v>
      </c>
      <c r="FI43">
        <f>IF(Charts!$B$3="none",AG250,IF(CU250="",NA(),CU250))</f>
        <v>0</v>
      </c>
      <c r="FJ43">
        <f>IF(Charts!$B$3="none",AH250,IF(CV250="",NA(),CV250))</f>
        <v>0</v>
      </c>
      <c r="FK43">
        <f>IF(Charts!$B$3="none",AI250,IF(CW250="",NA(),CW250))</f>
        <v>0</v>
      </c>
      <c r="FL43">
        <f>IF(Charts!$B$3="none",AJ250,IF(CX250="",NA(),CX250))</f>
        <v>0</v>
      </c>
      <c r="FM43">
        <f>IF(Charts!$B$3="none",AK250,IF(CY250="",NA(),CY250))</f>
        <v>0</v>
      </c>
      <c r="FN43">
        <f>IF(Charts!$B$3="none",AL250,IF(CZ250="",NA(),CZ250))</f>
        <v>0</v>
      </c>
      <c r="FO43">
        <f>IF(Charts!$B$3="none",AM250,IF(DA250="",NA(),DA250))</f>
        <v>0</v>
      </c>
      <c r="FP43">
        <f>IF(Charts!$B$3="none",AN250,IF(DB250="",NA(),DB250))</f>
        <v>0</v>
      </c>
      <c r="FQ43">
        <f>IF(Charts!$B$3="none",AO250,IF(DC250="",NA(),DC250))</f>
        <v>0</v>
      </c>
      <c r="FR43">
        <f>IF(Charts!$B$3="none",AP250,IF(DD250="",NA(),DD250))</f>
        <v>0</v>
      </c>
      <c r="FS43">
        <f>IF(Charts!$B$3="none",AQ250,IF(DE250="",NA(),DE250))</f>
        <v>0</v>
      </c>
      <c r="FT43">
        <f>IF(Charts!$B$3="none",AR250,IF(DF250="",NA(),DF250))</f>
        <v>0</v>
      </c>
      <c r="FU43">
        <f>IF(Charts!$B$3="none",AS250,IF(DG250="",NA(),DG250))</f>
        <v>0</v>
      </c>
      <c r="FV43">
        <f>IF(Charts!$B$3="none",AT250,IF(DH250="",NA(),DH250))</f>
        <v>0</v>
      </c>
      <c r="FW43">
        <f>IF(Charts!$B$3="none",AU250,IF(DI250="",NA(),DI250))</f>
        <v>0</v>
      </c>
      <c r="FX43">
        <f>IF(Charts!$B$3="none",AV250,IF(DJ250="",NA(),DJ250))</f>
        <v>0</v>
      </c>
      <c r="FY43">
        <f>IF(Charts!$B$3="none",AW250,IF(DK250="",NA(),DK250))</f>
        <v>0</v>
      </c>
      <c r="FZ43">
        <f>IF(Charts!$B$3="none",AX250,IF(DL250="",NA(),DL250))</f>
        <v>0</v>
      </c>
      <c r="GA43">
        <f>IF(Charts!$B$3="none",AY250,IF(DM250="",NA(),DM250))</f>
        <v>0</v>
      </c>
      <c r="GB43">
        <f>IF(Charts!$B$3="none",AZ250,IF(DN250="",NA(),DN250))</f>
        <v>0</v>
      </c>
      <c r="GC43">
        <f>IF(Charts!$B$3="none",BA250,IF(DO250="",NA(),DO250))</f>
        <v>0</v>
      </c>
      <c r="GD43">
        <f>IF(Charts!$B$3="none",BB250,IF(DP250="",NA(),DP250))</f>
        <v>0</v>
      </c>
      <c r="GE43">
        <f>IF(Charts!$B$3="none",BC250,IF(DQ250="",NA(),DQ250))</f>
        <v>0</v>
      </c>
      <c r="GF43">
        <f>IF(Charts!$B$3="none",BD250,IF(DR250="",NA(),DR250))</f>
        <v>0</v>
      </c>
      <c r="GG43">
        <f>IF(Charts!$B$3="none",BE250,IF(DS250="",NA(),DS250))</f>
        <v>0</v>
      </c>
      <c r="GH43">
        <f>IF(Charts!$B$3="none",BF250,IF(DT250="",NA(),DT250))</f>
        <v>0</v>
      </c>
      <c r="GI43">
        <f>IF(Charts!$B$3="none",BG250,IF(DU250="",NA(),DU250))</f>
        <v>0</v>
      </c>
      <c r="GJ43">
        <f>IF(Charts!$B$3="none",BH250,IF(DV250="",NA(),DV250))</f>
        <v>0</v>
      </c>
      <c r="GK43">
        <f>IF(Charts!$B$3="none",BI250,IF(DW250="",NA(),DW250))</f>
        <v>0</v>
      </c>
      <c r="GL43">
        <f>IF(Charts!$B$3="none",BJ250,IF(DX250="",NA(),DX250))</f>
        <v>0</v>
      </c>
      <c r="GM43">
        <f>IF(Charts!$B$3="none",BK250,IF(DY250="",NA(),DY250))</f>
        <v>0</v>
      </c>
      <c r="GN43">
        <f>IF(Charts!$B$3="none",BL250,IF(DZ250="",NA(),DZ250))</f>
        <v>0</v>
      </c>
      <c r="GO43">
        <f>IF(Charts!$B$3="none",BM250,IF(EA250="",NA(),EA250))</f>
        <v>0</v>
      </c>
      <c r="GP43">
        <f>IF(Charts!$B$3="none",BN250,IF(EB250="",NA(),EB250))</f>
        <v>0</v>
      </c>
      <c r="GQ43">
        <f>IF(Charts!$B$3="none",BO250,IF(EC250="",NA(),EC250))</f>
        <v>0</v>
      </c>
      <c r="GR43">
        <f>IF(Charts!$B$3="none",BP250,IF(ED250="",NA(),ED250))</f>
        <v>0</v>
      </c>
    </row>
    <row r="44" spans="4:200">
      <c r="D44">
        <v>40</v>
      </c>
      <c r="E44">
        <f>IF(INDIRECT(ADDRESS($D44+2,E$2+1,,,"Instances"))="","",INDIRECT(ADDRESS($D44+2,E$2+1,,,"Instances")))</f>
        <v>0</v>
      </c>
      <c r="F44">
        <f>IFERROR(SMALL(E5:E44,ROW()-ROW($F$5)+1),"")</f>
        <v>0</v>
      </c>
      <c r="H44">
        <f>IFERROR(SUM(F5:F44),"")</f>
        <v>0</v>
      </c>
      <c r="I44">
        <f>IF(INDIRECT(ADDRESS($D44+2,I$2+1,,,"Instances"))="","",INDIRECT(ADDRESS($D44+2,I$2+1,,,"Instances")))</f>
        <v>0</v>
      </c>
      <c r="J44">
        <f>IFERROR(SMALL(I5:I44,ROW()-ROW($J$5)+1),"")</f>
        <v>0</v>
      </c>
      <c r="L44">
        <f>IFERROR(SUM(J5:J44),"")</f>
        <v>0</v>
      </c>
      <c r="M44">
        <f>IF(INDIRECT(ADDRESS($D44+2,M$2+1,,,"Instances"))="","",INDIRECT(ADDRESS($D44+2,M$2+1,,,"Instances")))</f>
        <v>0</v>
      </c>
      <c r="N44">
        <f>IFERROR(SMALL(M5:M44,ROW()-ROW($N$5)+1),"")</f>
        <v>0</v>
      </c>
      <c r="P44">
        <f>IFERROR(SUM(N5:N44),"")</f>
        <v>0</v>
      </c>
      <c r="Q44">
        <f>IF(INDIRECT(ADDRESS($D44+2,Q$2+1,,,"Instances"))="","",INDIRECT(ADDRESS($D44+2,Q$2+1,,,"Instances")))</f>
        <v>0</v>
      </c>
      <c r="R44">
        <f>IFERROR(SMALL(Q5:Q44,ROW()-ROW($R$5)+1),"")</f>
        <v>0</v>
      </c>
      <c r="T44">
        <f>IFERROR(SUM(R5:R44),"")</f>
        <v>0</v>
      </c>
      <c r="U44">
        <f>IF(INDIRECT(ADDRESS($D44+2,U$2+1,,,"Instances"))="","",INDIRECT(ADDRESS($D44+2,U$2+1,,,"Instances")))</f>
        <v>0</v>
      </c>
      <c r="V44">
        <f>IFERROR(SMALL(U5:U44,ROW()-ROW($V$5)+1),"")</f>
        <v>0</v>
      </c>
      <c r="X44">
        <f>IFERROR(SUM(V5:V44),"")</f>
        <v>0</v>
      </c>
      <c r="Y44">
        <f>IF(INDIRECT(ADDRESS($D44+2,Y$2+1,,,"Instances"))="","",INDIRECT(ADDRESS($D44+2,Y$2+1,,,"Instances")))</f>
        <v>0</v>
      </c>
      <c r="Z44">
        <f>IFERROR(SMALL(Y5:Y44,ROW()-ROW($Z$5)+1),"")</f>
        <v>0</v>
      </c>
      <c r="AB44">
        <f>IFERROR(SUM(Z5:Z44),"")</f>
        <v>0</v>
      </c>
      <c r="AC44">
        <f>IF(INDIRECT(ADDRESS($D44+2,AC$2+1,,,"Instances"))="","",INDIRECT(ADDRESS($D44+2,AC$2+1,,,"Instances")))</f>
        <v>0</v>
      </c>
      <c r="AD44">
        <f>IFERROR(SMALL(AC5:AC44,ROW()-ROW($AD$5)+1),"")</f>
        <v>0</v>
      </c>
      <c r="AF44">
        <f>IFERROR(SUM(AD5:AD44),"")</f>
        <v>0</v>
      </c>
      <c r="AG44">
        <f>IF(INDIRECT(ADDRESS($D44+2,AG$2+1,,,"Instances"))="","",INDIRECT(ADDRESS($D44+2,AG$2+1,,,"Instances")))</f>
        <v>0</v>
      </c>
      <c r="AH44">
        <f>IFERROR(SMALL(AG5:AG44,ROW()-ROW($AH$5)+1),"")</f>
        <v>0</v>
      </c>
      <c r="AJ44">
        <f>IFERROR(SUM(AH5:AH44),"")</f>
        <v>0</v>
      </c>
      <c r="AK44">
        <f>IF(INDIRECT(ADDRESS($D44+2,AK$2+1,,,"Instances"))="","",INDIRECT(ADDRESS($D44+2,AK$2+1,,,"Instances")))</f>
        <v>0</v>
      </c>
      <c r="AL44">
        <f>IFERROR(SMALL(AK5:AK44,ROW()-ROW($AL$5)+1),"")</f>
        <v>0</v>
      </c>
      <c r="AN44">
        <f>IFERROR(SUM(AL5:AL44),"")</f>
        <v>0</v>
      </c>
      <c r="AO44">
        <f>IF(INDIRECT(ADDRESS($D44+2,AO$2+1,,,"Instances"))="","",INDIRECT(ADDRESS($D44+2,AO$2+1,,,"Instances")))</f>
        <v>0</v>
      </c>
      <c r="AP44">
        <f>IFERROR(SMALL(AO5:AO44,ROW()-ROW($AP$5)+1),"")</f>
        <v>0</v>
      </c>
      <c r="AR44">
        <f>IFERROR(SUM(AP5:AP44),"")</f>
        <v>0</v>
      </c>
      <c r="AS44">
        <f>IF(INDIRECT(ADDRESS($D44+2,AS$2+1,,,"Instances"))="","",INDIRECT(ADDRESS($D44+2,AS$2+1,,,"Instances")))</f>
        <v>0</v>
      </c>
      <c r="AT44">
        <f>IFERROR(SMALL(AS5:AS44,ROW()-ROW($AT$5)+1),"")</f>
        <v>0</v>
      </c>
      <c r="AV44">
        <f>IFERROR(SUM(AT5:AT44),"")</f>
        <v>0</v>
      </c>
      <c r="AW44">
        <f>IF(INDIRECT(ADDRESS($D44+2,AW$2+1,,,"Instances"))="","",INDIRECT(ADDRESS($D44+2,AW$2+1,,,"Instances")))</f>
        <v>0</v>
      </c>
      <c r="AX44">
        <f>IFERROR(SMALL(AW5:AW44,ROW()-ROW($AX$5)+1),"")</f>
        <v>0</v>
      </c>
      <c r="AZ44">
        <f>IFERROR(SUM(AX5:AX44),"")</f>
        <v>0</v>
      </c>
      <c r="BA44">
        <f>IF(INDIRECT(ADDRESS($D44+2,BA$2+1,,,"Instances"))="","",INDIRECT(ADDRESS($D44+2,BA$2+1,,,"Instances")))</f>
        <v>0</v>
      </c>
      <c r="BB44">
        <f>IFERROR(SMALL(BA5:BA44,ROW()-ROW($BB$5)+1),"")</f>
        <v>0</v>
      </c>
      <c r="BD44">
        <f>IFERROR(SUM(BB5:BB44),"")</f>
        <v>0</v>
      </c>
      <c r="BE44">
        <f>IF(INDIRECT(ADDRESS($D44+2,BE$2+1,,,"Instances"))="","",INDIRECT(ADDRESS($D44+2,BE$2+1,,,"Instances")))</f>
        <v>0</v>
      </c>
      <c r="BF44">
        <f>IFERROR(SMALL(BE5:BE44,ROW()-ROW($BF$5)+1),"")</f>
        <v>0</v>
      </c>
      <c r="BH44">
        <f>IFERROR(SUM(BF5:BF44),"")</f>
        <v>0</v>
      </c>
      <c r="BI44">
        <f>IF(INDIRECT(ADDRESS($D44+2,BI$2+1,,,"Instances"))="","",INDIRECT(ADDRESS($D44+2,BI$2+1,,,"Instances")))</f>
        <v>0</v>
      </c>
      <c r="BJ44">
        <f>IFERROR(SMALL(BI5:BI44,ROW()-ROW($BJ$5)+1),"")</f>
        <v>0</v>
      </c>
      <c r="BL44">
        <f>IFERROR(SUM(BJ5:BJ44),"")</f>
        <v>0</v>
      </c>
      <c r="BM44">
        <f>IF(INDIRECT(ADDRESS($D44+2,BM$2+1,,,"Instances"))="","",INDIRECT(ADDRESS($D44+2,BM$2+1,,,"Instances")))</f>
        <v>0</v>
      </c>
      <c r="BN44">
        <f>IFERROR(SMALL(BM5:BM44,ROW()-ROW($BN$5)+1),"")</f>
        <v>0</v>
      </c>
      <c r="BP44">
        <f>IFERROR(SUM(BN5:BN44),"")</f>
        <v>0</v>
      </c>
      <c r="BR44">
        <v>40</v>
      </c>
      <c r="BS44" cm="1">
        <f t="array" ref="BS44">_xlfn.SWITCH(Charts!$B$3,"average", AVERAGE(INDIRECT(ADDRESS(39+3,BS$2+1,,,"Instances") &amp; ":" &amp; ADDRESS(39+3,BS$2+1))),"median", MEDIAN(INDIRECT(ADDRESS(39+3,BS$2+1,,,"Instances") &amp; ":" &amp; ADDRESS(39+3,BS$2+1))),"min", MIN(INDIRECT(ADDRESS(39+3,BS$2+1,,,"Instances") &amp; ":" &amp; ADDRESS(39+3,BS$2+1))),"max", MAX(INDIRECT(ADDRESS(39+3,BS$2+1,,,"Instances") &amp; ":" &amp; ADDRESS(39+3,BS$2+1))),"diff", MAX(INDIRECT(ADDRESS(39+3,BS$2+1,,,"Instances") &amp; ":" &amp; ADDRESS(39+3,BS$2+1)))-MIN(INDIRECT(ADDRESS(39+3,BS$2+1,,,"Instances") &amp; ":" &amp; ADDRESS(39+3,BS$2+1))))</f>
        <v>0</v>
      </c>
      <c r="BT44">
        <f>IFERROR(SMALL(BS5:BS44,ROW()-ROW($BT$5)+1),"")</f>
        <v>0</v>
      </c>
      <c r="BV44">
        <f>IFERROR(SUM(BT5:BT44),"")</f>
        <v>0</v>
      </c>
      <c r="BW44" cm="1">
        <f t="array" ref="BW44">_xlfn.SWITCH(Charts!$B$3,"average", AVERAGE(INDIRECT(ADDRESS(39+3,BW$2+1,,,"Instances") &amp; ":" &amp; ADDRESS(39+3,BW$2+1))),"median", MEDIAN(INDIRECT(ADDRESS(39+3,BW$2+1,,,"Instances") &amp; ":" &amp; ADDRESS(39+3,BW$2+1))),"min", MIN(INDIRECT(ADDRESS(39+3,BW$2+1,,,"Instances") &amp; ":" &amp; ADDRESS(39+3,BW$2+1))),"max", MAX(INDIRECT(ADDRESS(39+3,BW$2+1,,,"Instances") &amp; ":" &amp; ADDRESS(39+3,BW$2+1))),"diff", MAX(INDIRECT(ADDRESS(39+3,BW$2+1,,,"Instances") &amp; ":" &amp; ADDRESS(39+3,BW$2+1)))-MIN(INDIRECT(ADDRESS(39+3,BW$2+1,,,"Instances") &amp; ":" &amp; ADDRESS(39+3,BW$2+1))))</f>
        <v>0</v>
      </c>
      <c r="BX44">
        <f>IFERROR(SMALL(BW5:BW44,ROW()-ROW($BX$5)+1),"")</f>
        <v>0</v>
      </c>
      <c r="BZ44">
        <f>IFERROR(SUM(BX5:BX44),"")</f>
        <v>0</v>
      </c>
      <c r="CA44" cm="1">
        <f t="array" ref="CA44">_xlfn.SWITCH(Charts!$B$3,"average", AVERAGE(INDIRECT(ADDRESS(39+3,CA$2+1,,,"Instances") &amp; ":" &amp; ADDRESS(39+3,CA$2+1))),"median", MEDIAN(INDIRECT(ADDRESS(39+3,CA$2+1,,,"Instances") &amp; ":" &amp; ADDRESS(39+3,CA$2+1))),"min", MIN(INDIRECT(ADDRESS(39+3,CA$2+1,,,"Instances") &amp; ":" &amp; ADDRESS(39+3,CA$2+1))),"max", MAX(INDIRECT(ADDRESS(39+3,CA$2+1,,,"Instances") &amp; ":" &amp; ADDRESS(39+3,CA$2+1))),"diff", MAX(INDIRECT(ADDRESS(39+3,CA$2+1,,,"Instances") &amp; ":" &amp; ADDRESS(39+3,CA$2+1)))-MIN(INDIRECT(ADDRESS(39+3,CA$2+1,,,"Instances") &amp; ":" &amp; ADDRESS(39+3,CA$2+1))))</f>
        <v>0</v>
      </c>
      <c r="CB44">
        <f>IFERROR(SMALL(CA5:CA44,ROW()-ROW($CB$5)+1),"")</f>
        <v>0</v>
      </c>
      <c r="CD44">
        <f>IFERROR(SUM(CB5:CB44),"")</f>
        <v>0</v>
      </c>
      <c r="CE44" cm="1">
        <f t="array" ref="CE44">_xlfn.SWITCH(Charts!$B$3,"average", AVERAGE(INDIRECT(ADDRESS(39+3,CE$2+1,,,"Instances") &amp; ":" &amp; ADDRESS(39+3,CE$2+1))),"median", MEDIAN(INDIRECT(ADDRESS(39+3,CE$2+1,,,"Instances") &amp; ":" &amp; ADDRESS(39+3,CE$2+1))),"min", MIN(INDIRECT(ADDRESS(39+3,CE$2+1,,,"Instances") &amp; ":" &amp; ADDRESS(39+3,CE$2+1))),"max", MAX(INDIRECT(ADDRESS(39+3,CE$2+1,,,"Instances") &amp; ":" &amp; ADDRESS(39+3,CE$2+1))),"diff", MAX(INDIRECT(ADDRESS(39+3,CE$2+1,,,"Instances") &amp; ":" &amp; ADDRESS(39+3,CE$2+1)))-MIN(INDIRECT(ADDRESS(39+3,CE$2+1,,,"Instances") &amp; ":" &amp; ADDRESS(39+3,CE$2+1))))</f>
        <v>0</v>
      </c>
      <c r="CF44">
        <f>IFERROR(SMALL(CE5:CE44,ROW()-ROW($CF$5)+1),"")</f>
        <v>0</v>
      </c>
      <c r="CH44">
        <f>IFERROR(SUM(CF5:CF44),"")</f>
        <v>0</v>
      </c>
      <c r="CI44" cm="1">
        <f t="array" ref="CI44">_xlfn.SWITCH(Charts!$B$3,"average", AVERAGE(INDIRECT(ADDRESS(39+3,CI$2+1,,,"Instances") &amp; ":" &amp; ADDRESS(39+3,CI$2+1))),"median", MEDIAN(INDIRECT(ADDRESS(39+3,CI$2+1,,,"Instances") &amp; ":" &amp; ADDRESS(39+3,CI$2+1))),"min", MIN(INDIRECT(ADDRESS(39+3,CI$2+1,,,"Instances") &amp; ":" &amp; ADDRESS(39+3,CI$2+1))),"max", MAX(INDIRECT(ADDRESS(39+3,CI$2+1,,,"Instances") &amp; ":" &amp; ADDRESS(39+3,CI$2+1))),"diff", MAX(INDIRECT(ADDRESS(39+3,CI$2+1,,,"Instances") &amp; ":" &amp; ADDRESS(39+3,CI$2+1)))-MIN(INDIRECT(ADDRESS(39+3,CI$2+1,,,"Instances") &amp; ":" &amp; ADDRESS(39+3,CI$2+1))))</f>
        <v>0</v>
      </c>
      <c r="CJ44">
        <f>IFERROR(SMALL(CI5:CI44,ROW()-ROW($CJ$5)+1),"")</f>
        <v>0</v>
      </c>
      <c r="CL44">
        <f>IFERROR(SUM(CJ5:CJ44),"")</f>
        <v>0</v>
      </c>
      <c r="CM44" cm="1">
        <f t="array" ref="CM44">_xlfn.SWITCH(Charts!$B$3,"average", AVERAGE(INDIRECT(ADDRESS(39+3,CM$2+1,,,"Instances") &amp; ":" &amp; ADDRESS(39+3,CM$2+1))),"median", MEDIAN(INDIRECT(ADDRESS(39+3,CM$2+1,,,"Instances") &amp; ":" &amp; ADDRESS(39+3,CM$2+1))),"min", MIN(INDIRECT(ADDRESS(39+3,CM$2+1,,,"Instances") &amp; ":" &amp; ADDRESS(39+3,CM$2+1))),"max", MAX(INDIRECT(ADDRESS(39+3,CM$2+1,,,"Instances") &amp; ":" &amp; ADDRESS(39+3,CM$2+1))),"diff", MAX(INDIRECT(ADDRESS(39+3,CM$2+1,,,"Instances") &amp; ":" &amp; ADDRESS(39+3,CM$2+1)))-MIN(INDIRECT(ADDRESS(39+3,CM$2+1,,,"Instances") &amp; ":" &amp; ADDRESS(39+3,CM$2+1))))</f>
        <v>0</v>
      </c>
      <c r="CN44">
        <f>IFERROR(SMALL(CM5:CM44,ROW()-ROW($CN$5)+1),"")</f>
        <v>0</v>
      </c>
      <c r="CP44">
        <f>IFERROR(SUM(CN5:CN44),"")</f>
        <v>0</v>
      </c>
      <c r="CQ44" cm="1">
        <f t="array" ref="CQ44">_xlfn.SWITCH(Charts!$B$3,"average", AVERAGE(INDIRECT(ADDRESS(39+3,CQ$2+1,,,"Instances") &amp; ":" &amp; ADDRESS(39+3,CQ$2+1))),"median", MEDIAN(INDIRECT(ADDRESS(39+3,CQ$2+1,,,"Instances") &amp; ":" &amp; ADDRESS(39+3,CQ$2+1))),"min", MIN(INDIRECT(ADDRESS(39+3,CQ$2+1,,,"Instances") &amp; ":" &amp; ADDRESS(39+3,CQ$2+1))),"max", MAX(INDIRECT(ADDRESS(39+3,CQ$2+1,,,"Instances") &amp; ":" &amp; ADDRESS(39+3,CQ$2+1))),"diff", MAX(INDIRECT(ADDRESS(39+3,CQ$2+1,,,"Instances") &amp; ":" &amp; ADDRESS(39+3,CQ$2+1)))-MIN(INDIRECT(ADDRESS(39+3,CQ$2+1,,,"Instances") &amp; ":" &amp; ADDRESS(39+3,CQ$2+1))))</f>
        <v>0</v>
      </c>
      <c r="CR44">
        <f>IFERROR(SMALL(CQ5:CQ44,ROW()-ROW($CR$5)+1),"")</f>
        <v>0</v>
      </c>
      <c r="CT44">
        <f>IFERROR(SUM(CR5:CR44),"")</f>
        <v>0</v>
      </c>
      <c r="CU44" cm="1">
        <f t="array" ref="CU44">_xlfn.SWITCH(Charts!$B$3,"average", AVERAGE(INDIRECT(ADDRESS(39+3,CU$2+1,,,"Instances") &amp; ":" &amp; ADDRESS(39+3,CU$2+1))),"median", MEDIAN(INDIRECT(ADDRESS(39+3,CU$2+1,,,"Instances") &amp; ":" &amp; ADDRESS(39+3,CU$2+1))),"min", MIN(INDIRECT(ADDRESS(39+3,CU$2+1,,,"Instances") &amp; ":" &amp; ADDRESS(39+3,CU$2+1))),"max", MAX(INDIRECT(ADDRESS(39+3,CU$2+1,,,"Instances") &amp; ":" &amp; ADDRESS(39+3,CU$2+1))),"diff", MAX(INDIRECT(ADDRESS(39+3,CU$2+1,,,"Instances") &amp; ":" &amp; ADDRESS(39+3,CU$2+1)))-MIN(INDIRECT(ADDRESS(39+3,CU$2+1,,,"Instances") &amp; ":" &amp; ADDRESS(39+3,CU$2+1))))</f>
        <v>0</v>
      </c>
      <c r="CV44">
        <f>IFERROR(SMALL(CU5:CU44,ROW()-ROW($CV$5)+1),"")</f>
        <v>0</v>
      </c>
      <c r="CX44">
        <f>IFERROR(SUM(CV5:CV44),"")</f>
        <v>0</v>
      </c>
      <c r="CY44" cm="1">
        <f t="array" ref="CY44">_xlfn.SWITCH(Charts!$B$3,"average", AVERAGE(INDIRECT(ADDRESS(39+3,CY$2+1,,,"Instances") &amp; ":" &amp; ADDRESS(39+3,CY$2+1))),"median", MEDIAN(INDIRECT(ADDRESS(39+3,CY$2+1,,,"Instances") &amp; ":" &amp; ADDRESS(39+3,CY$2+1))),"min", MIN(INDIRECT(ADDRESS(39+3,CY$2+1,,,"Instances") &amp; ":" &amp; ADDRESS(39+3,CY$2+1))),"max", MAX(INDIRECT(ADDRESS(39+3,CY$2+1,,,"Instances") &amp; ":" &amp; ADDRESS(39+3,CY$2+1))),"diff", MAX(INDIRECT(ADDRESS(39+3,CY$2+1,,,"Instances") &amp; ":" &amp; ADDRESS(39+3,CY$2+1)))-MIN(INDIRECT(ADDRESS(39+3,CY$2+1,,,"Instances") &amp; ":" &amp; ADDRESS(39+3,CY$2+1))))</f>
        <v>0</v>
      </c>
      <c r="CZ44">
        <f>IFERROR(SMALL(CY5:CY44,ROW()-ROW($CZ$5)+1),"")</f>
        <v>0</v>
      </c>
      <c r="DB44">
        <f>IFERROR(SUM(CZ5:CZ44),"")</f>
        <v>0</v>
      </c>
      <c r="DC44" cm="1">
        <f t="array" ref="DC44">_xlfn.SWITCH(Charts!$B$3,"average", AVERAGE(INDIRECT(ADDRESS(39+3,DC$2+1,,,"Instances") &amp; ":" &amp; ADDRESS(39+3,DC$2+1))),"median", MEDIAN(INDIRECT(ADDRESS(39+3,DC$2+1,,,"Instances") &amp; ":" &amp; ADDRESS(39+3,DC$2+1))),"min", MIN(INDIRECT(ADDRESS(39+3,DC$2+1,,,"Instances") &amp; ":" &amp; ADDRESS(39+3,DC$2+1))),"max", MAX(INDIRECT(ADDRESS(39+3,DC$2+1,,,"Instances") &amp; ":" &amp; ADDRESS(39+3,DC$2+1))),"diff", MAX(INDIRECT(ADDRESS(39+3,DC$2+1,,,"Instances") &amp; ":" &amp; ADDRESS(39+3,DC$2+1)))-MIN(INDIRECT(ADDRESS(39+3,DC$2+1,,,"Instances") &amp; ":" &amp; ADDRESS(39+3,DC$2+1))))</f>
        <v>0</v>
      </c>
      <c r="DD44">
        <f>IFERROR(SMALL(DC5:DC44,ROW()-ROW($DD$5)+1),"")</f>
        <v>0</v>
      </c>
      <c r="DF44">
        <f>IFERROR(SUM(DD5:DD44),"")</f>
        <v>0</v>
      </c>
      <c r="DG44" cm="1">
        <f t="array" ref="DG44">_xlfn.SWITCH(Charts!$B$3,"average", AVERAGE(INDIRECT(ADDRESS(39+3,DG$2+1,,,"Instances") &amp; ":" &amp; ADDRESS(39+3,DG$2+1))),"median", MEDIAN(INDIRECT(ADDRESS(39+3,DG$2+1,,,"Instances") &amp; ":" &amp; ADDRESS(39+3,DG$2+1))),"min", MIN(INDIRECT(ADDRESS(39+3,DG$2+1,,,"Instances") &amp; ":" &amp; ADDRESS(39+3,DG$2+1))),"max", MAX(INDIRECT(ADDRESS(39+3,DG$2+1,,,"Instances") &amp; ":" &amp; ADDRESS(39+3,DG$2+1))),"diff", MAX(INDIRECT(ADDRESS(39+3,DG$2+1,,,"Instances") &amp; ":" &amp; ADDRESS(39+3,DG$2+1)))-MIN(INDIRECT(ADDRESS(39+3,DG$2+1,,,"Instances") &amp; ":" &amp; ADDRESS(39+3,DG$2+1))))</f>
        <v>0</v>
      </c>
      <c r="DH44">
        <f>IFERROR(SMALL(DG5:DG44,ROW()-ROW($DH$5)+1),"")</f>
        <v>0</v>
      </c>
      <c r="DJ44">
        <f>IFERROR(SUM(DH5:DH44),"")</f>
        <v>0</v>
      </c>
      <c r="DK44" cm="1">
        <f t="array" ref="DK44">_xlfn.SWITCH(Charts!$B$3,"average", AVERAGE(INDIRECT(ADDRESS(39+3,DK$2+1,,,"Instances") &amp; ":" &amp; ADDRESS(39+3,DK$2+1))),"median", MEDIAN(INDIRECT(ADDRESS(39+3,DK$2+1,,,"Instances") &amp; ":" &amp; ADDRESS(39+3,DK$2+1))),"min", MIN(INDIRECT(ADDRESS(39+3,DK$2+1,,,"Instances") &amp; ":" &amp; ADDRESS(39+3,DK$2+1))),"max", MAX(INDIRECT(ADDRESS(39+3,DK$2+1,,,"Instances") &amp; ":" &amp; ADDRESS(39+3,DK$2+1))),"diff", MAX(INDIRECT(ADDRESS(39+3,DK$2+1,,,"Instances") &amp; ":" &amp; ADDRESS(39+3,DK$2+1)))-MIN(INDIRECT(ADDRESS(39+3,DK$2+1,,,"Instances") &amp; ":" &amp; ADDRESS(39+3,DK$2+1))))</f>
        <v>0</v>
      </c>
      <c r="DL44">
        <f>IFERROR(SMALL(DK5:DK44,ROW()-ROW($DL$5)+1),"")</f>
        <v>0</v>
      </c>
      <c r="DN44">
        <f>IFERROR(SUM(DL5:DL44),"")</f>
        <v>0</v>
      </c>
      <c r="DO44" cm="1">
        <f t="array" ref="DO44">_xlfn.SWITCH(Charts!$B$3,"average", AVERAGE(INDIRECT(ADDRESS(39+3,DO$2+1,,,"Instances") &amp; ":" &amp; ADDRESS(39+3,DO$2+1))),"median", MEDIAN(INDIRECT(ADDRESS(39+3,DO$2+1,,,"Instances") &amp; ":" &amp; ADDRESS(39+3,DO$2+1))),"min", MIN(INDIRECT(ADDRESS(39+3,DO$2+1,,,"Instances") &amp; ":" &amp; ADDRESS(39+3,DO$2+1))),"max", MAX(INDIRECT(ADDRESS(39+3,DO$2+1,,,"Instances") &amp; ":" &amp; ADDRESS(39+3,DO$2+1))),"diff", MAX(INDIRECT(ADDRESS(39+3,DO$2+1,,,"Instances") &amp; ":" &amp; ADDRESS(39+3,DO$2+1)))-MIN(INDIRECT(ADDRESS(39+3,DO$2+1,,,"Instances") &amp; ":" &amp; ADDRESS(39+3,DO$2+1))))</f>
        <v>0</v>
      </c>
      <c r="DP44">
        <f>IFERROR(SMALL(DO5:DO44,ROW()-ROW($DP$5)+1),"")</f>
        <v>0</v>
      </c>
      <c r="DR44">
        <f>IFERROR(SUM(DP5:DP44),"")</f>
        <v>0</v>
      </c>
      <c r="DS44" cm="1">
        <f t="array" ref="DS44">_xlfn.SWITCH(Charts!$B$3,"average", AVERAGE(INDIRECT(ADDRESS(39+3,DS$2+1,,,"Instances") &amp; ":" &amp; ADDRESS(39+3,DS$2+1))),"median", MEDIAN(INDIRECT(ADDRESS(39+3,DS$2+1,,,"Instances") &amp; ":" &amp; ADDRESS(39+3,DS$2+1))),"min", MIN(INDIRECT(ADDRESS(39+3,DS$2+1,,,"Instances") &amp; ":" &amp; ADDRESS(39+3,DS$2+1))),"max", MAX(INDIRECT(ADDRESS(39+3,DS$2+1,,,"Instances") &amp; ":" &amp; ADDRESS(39+3,DS$2+1))),"diff", MAX(INDIRECT(ADDRESS(39+3,DS$2+1,,,"Instances") &amp; ":" &amp; ADDRESS(39+3,DS$2+1)))-MIN(INDIRECT(ADDRESS(39+3,DS$2+1,,,"Instances") &amp; ":" &amp; ADDRESS(39+3,DS$2+1))))</f>
        <v>0</v>
      </c>
      <c r="DT44">
        <f>IFERROR(SMALL(DS5:DS44,ROW()-ROW($DT$5)+1),"")</f>
        <v>0</v>
      </c>
      <c r="DV44">
        <f>IFERROR(SUM(DT5:DT44),"")</f>
        <v>0</v>
      </c>
      <c r="DW44" cm="1">
        <f t="array" ref="DW44">_xlfn.SWITCH(Charts!$B$3,"average", AVERAGE(INDIRECT(ADDRESS(39+3,DW$2+1,,,"Instances") &amp; ":" &amp; ADDRESS(39+3,DW$2+1))),"median", MEDIAN(INDIRECT(ADDRESS(39+3,DW$2+1,,,"Instances") &amp; ":" &amp; ADDRESS(39+3,DW$2+1))),"min", MIN(INDIRECT(ADDRESS(39+3,DW$2+1,,,"Instances") &amp; ":" &amp; ADDRESS(39+3,DW$2+1))),"max", MAX(INDIRECT(ADDRESS(39+3,DW$2+1,,,"Instances") &amp; ":" &amp; ADDRESS(39+3,DW$2+1))),"diff", MAX(INDIRECT(ADDRESS(39+3,DW$2+1,,,"Instances") &amp; ":" &amp; ADDRESS(39+3,DW$2+1)))-MIN(INDIRECT(ADDRESS(39+3,DW$2+1,,,"Instances") &amp; ":" &amp; ADDRESS(39+3,DW$2+1))))</f>
        <v>0</v>
      </c>
      <c r="DX44">
        <f>IFERROR(SMALL(DW5:DW44,ROW()-ROW($DX$5)+1),"")</f>
        <v>0</v>
      </c>
      <c r="DZ44">
        <f>IFERROR(SUM(DX5:DX44),"")</f>
        <v>0</v>
      </c>
      <c r="EA44" cm="1">
        <f t="array" ref="EA44">_xlfn.SWITCH(Charts!$B$3,"average", AVERAGE(INDIRECT(ADDRESS(39+3,EA$2+1,,,"Instances") &amp; ":" &amp; ADDRESS(39+3,EA$2+1))),"median", MEDIAN(INDIRECT(ADDRESS(39+3,EA$2+1,,,"Instances") &amp; ":" &amp; ADDRESS(39+3,EA$2+1))),"min", MIN(INDIRECT(ADDRESS(39+3,EA$2+1,,,"Instances") &amp; ":" &amp; ADDRESS(39+3,EA$2+1))),"max", MAX(INDIRECT(ADDRESS(39+3,EA$2+1,,,"Instances") &amp; ":" &amp; ADDRESS(39+3,EA$2+1))),"diff", MAX(INDIRECT(ADDRESS(39+3,EA$2+1,,,"Instances") &amp; ":" &amp; ADDRESS(39+3,EA$2+1)))-MIN(INDIRECT(ADDRESS(39+3,EA$2+1,,,"Instances") &amp; ":" &amp; ADDRESS(39+3,EA$2+1))))</f>
        <v>0</v>
      </c>
      <c r="EB44">
        <f>IFERROR(SMALL(EA5:EA44,ROW()-ROW($EB$5)+1),"")</f>
        <v>0</v>
      </c>
      <c r="ED44">
        <f>IFERROR(SUM(EB5:EB44),"")</f>
        <v>0</v>
      </c>
      <c r="EG44">
        <f>IF(Charts!$B$3="none",E251,IF(BS251="",NA(),BS251))</f>
        <v>0</v>
      </c>
      <c r="EH44">
        <f>IF(Charts!$B$3="none",F251,IF(BT251="",NA(),BT251))</f>
        <v>0</v>
      </c>
      <c r="EI44">
        <f>IF(Charts!$B$3="none",G251,IF(BU251="",NA(),BU251))</f>
        <v>0</v>
      </c>
      <c r="EJ44">
        <f>IF(Charts!$B$3="none",H251,IF(BV251="",NA(),BV251))</f>
        <v>0</v>
      </c>
      <c r="EK44">
        <f>IF(Charts!$B$3="none",I251,IF(BW251="",NA(),BW251))</f>
        <v>0</v>
      </c>
      <c r="EL44">
        <f>IF(Charts!$B$3="none",J251,IF(BX251="",NA(),BX251))</f>
        <v>0</v>
      </c>
      <c r="EM44">
        <f>IF(Charts!$B$3="none",K251,IF(BY251="",NA(),BY251))</f>
        <v>0</v>
      </c>
      <c r="EN44">
        <f>IF(Charts!$B$3="none",L251,IF(BZ251="",NA(),BZ251))</f>
        <v>0</v>
      </c>
      <c r="EO44">
        <f>IF(Charts!$B$3="none",M251,IF(CA251="",NA(),CA251))</f>
        <v>0</v>
      </c>
      <c r="EP44">
        <f>IF(Charts!$B$3="none",N251,IF(CB251="",NA(),CB251))</f>
        <v>0</v>
      </c>
      <c r="EQ44">
        <f>IF(Charts!$B$3="none",O251,IF(CC251="",NA(),CC251))</f>
        <v>0</v>
      </c>
      <c r="ER44">
        <f>IF(Charts!$B$3="none",P251,IF(CD251="",NA(),CD251))</f>
        <v>0</v>
      </c>
      <c r="ES44">
        <f>IF(Charts!$B$3="none",Q251,IF(CE251="",NA(),CE251))</f>
        <v>0</v>
      </c>
      <c r="ET44">
        <f>IF(Charts!$B$3="none",R251,IF(CF251="",NA(),CF251))</f>
        <v>0</v>
      </c>
      <c r="EU44">
        <f>IF(Charts!$B$3="none",S251,IF(CG251="",NA(),CG251))</f>
        <v>0</v>
      </c>
      <c r="EV44">
        <f>IF(Charts!$B$3="none",T251,IF(CH251="",NA(),CH251))</f>
        <v>0</v>
      </c>
      <c r="EW44">
        <f>IF(Charts!$B$3="none",U251,IF(CI251="",NA(),CI251))</f>
        <v>0</v>
      </c>
      <c r="EX44">
        <f>IF(Charts!$B$3="none",V251,IF(CJ251="",NA(),CJ251))</f>
        <v>0</v>
      </c>
      <c r="EY44">
        <f>IF(Charts!$B$3="none",W251,IF(CK251="",NA(),CK251))</f>
        <v>0</v>
      </c>
      <c r="EZ44">
        <f>IF(Charts!$B$3="none",X251,IF(CL251="",NA(),CL251))</f>
        <v>0</v>
      </c>
      <c r="FA44">
        <f>IF(Charts!$B$3="none",Y251,IF(CM251="",NA(),CM251))</f>
        <v>0</v>
      </c>
      <c r="FB44">
        <f>IF(Charts!$B$3="none",Z251,IF(CN251="",NA(),CN251))</f>
        <v>0</v>
      </c>
      <c r="FC44">
        <f>IF(Charts!$B$3="none",AA251,IF(CO251="",NA(),CO251))</f>
        <v>0</v>
      </c>
      <c r="FD44">
        <f>IF(Charts!$B$3="none",AB251,IF(CP251="",NA(),CP251))</f>
        <v>0</v>
      </c>
      <c r="FE44">
        <f>IF(Charts!$B$3="none",AC251,IF(CQ251="",NA(),CQ251))</f>
        <v>0</v>
      </c>
      <c r="FF44">
        <f>IF(Charts!$B$3="none",AD251,IF(CR251="",NA(),CR251))</f>
        <v>0</v>
      </c>
      <c r="FG44">
        <f>IF(Charts!$B$3="none",AE251,IF(CS251="",NA(),CS251))</f>
        <v>0</v>
      </c>
      <c r="FH44">
        <f>IF(Charts!$B$3="none",AF251,IF(CT251="",NA(),CT251))</f>
        <v>0</v>
      </c>
      <c r="FI44">
        <f>IF(Charts!$B$3="none",AG251,IF(CU251="",NA(),CU251))</f>
        <v>0</v>
      </c>
      <c r="FJ44">
        <f>IF(Charts!$B$3="none",AH251,IF(CV251="",NA(),CV251))</f>
        <v>0</v>
      </c>
      <c r="FK44">
        <f>IF(Charts!$B$3="none",AI251,IF(CW251="",NA(),CW251))</f>
        <v>0</v>
      </c>
      <c r="FL44">
        <f>IF(Charts!$B$3="none",AJ251,IF(CX251="",NA(),CX251))</f>
        <v>0</v>
      </c>
      <c r="FM44">
        <f>IF(Charts!$B$3="none",AK251,IF(CY251="",NA(),CY251))</f>
        <v>0</v>
      </c>
      <c r="FN44">
        <f>IF(Charts!$B$3="none",AL251,IF(CZ251="",NA(),CZ251))</f>
        <v>0</v>
      </c>
      <c r="FO44">
        <f>IF(Charts!$B$3="none",AM251,IF(DA251="",NA(),DA251))</f>
        <v>0</v>
      </c>
      <c r="FP44">
        <f>IF(Charts!$B$3="none",AN251,IF(DB251="",NA(),DB251))</f>
        <v>0</v>
      </c>
      <c r="FQ44">
        <f>IF(Charts!$B$3="none",AO251,IF(DC251="",NA(),DC251))</f>
        <v>0</v>
      </c>
      <c r="FR44">
        <f>IF(Charts!$B$3="none",AP251,IF(DD251="",NA(),DD251))</f>
        <v>0</v>
      </c>
      <c r="FS44">
        <f>IF(Charts!$B$3="none",AQ251,IF(DE251="",NA(),DE251))</f>
        <v>0</v>
      </c>
      <c r="FT44">
        <f>IF(Charts!$B$3="none",AR251,IF(DF251="",NA(),DF251))</f>
        <v>0</v>
      </c>
      <c r="FU44">
        <f>IF(Charts!$B$3="none",AS251,IF(DG251="",NA(),DG251))</f>
        <v>0</v>
      </c>
      <c r="FV44">
        <f>IF(Charts!$B$3="none",AT251,IF(DH251="",NA(),DH251))</f>
        <v>0</v>
      </c>
      <c r="FW44">
        <f>IF(Charts!$B$3="none",AU251,IF(DI251="",NA(),DI251))</f>
        <v>0</v>
      </c>
      <c r="FX44">
        <f>IF(Charts!$B$3="none",AV251,IF(DJ251="",NA(),DJ251))</f>
        <v>0</v>
      </c>
      <c r="FY44">
        <f>IF(Charts!$B$3="none",AW251,IF(DK251="",NA(),DK251))</f>
        <v>0</v>
      </c>
      <c r="FZ44">
        <f>IF(Charts!$B$3="none",AX251,IF(DL251="",NA(),DL251))</f>
        <v>0</v>
      </c>
      <c r="GA44">
        <f>IF(Charts!$B$3="none",AY251,IF(DM251="",NA(),DM251))</f>
        <v>0</v>
      </c>
      <c r="GB44">
        <f>IF(Charts!$B$3="none",AZ251,IF(DN251="",NA(),DN251))</f>
        <v>0</v>
      </c>
      <c r="GC44">
        <f>IF(Charts!$B$3="none",BA251,IF(DO251="",NA(),DO251))</f>
        <v>0</v>
      </c>
      <c r="GD44">
        <f>IF(Charts!$B$3="none",BB251,IF(DP251="",NA(),DP251))</f>
        <v>0</v>
      </c>
      <c r="GE44">
        <f>IF(Charts!$B$3="none",BC251,IF(DQ251="",NA(),DQ251))</f>
        <v>0</v>
      </c>
      <c r="GF44">
        <f>IF(Charts!$B$3="none",BD251,IF(DR251="",NA(),DR251))</f>
        <v>0</v>
      </c>
      <c r="GG44">
        <f>IF(Charts!$B$3="none",BE251,IF(DS251="",NA(),DS251))</f>
        <v>0</v>
      </c>
      <c r="GH44">
        <f>IF(Charts!$B$3="none",BF251,IF(DT251="",NA(),DT251))</f>
        <v>0</v>
      </c>
      <c r="GI44">
        <f>IF(Charts!$B$3="none",BG251,IF(DU251="",NA(),DU251))</f>
        <v>0</v>
      </c>
      <c r="GJ44">
        <f>IF(Charts!$B$3="none",BH251,IF(DV251="",NA(),DV251))</f>
        <v>0</v>
      </c>
      <c r="GK44">
        <f>IF(Charts!$B$3="none",BI251,IF(DW251="",NA(),DW251))</f>
        <v>0</v>
      </c>
      <c r="GL44">
        <f>IF(Charts!$B$3="none",BJ251,IF(DX251="",NA(),DX251))</f>
        <v>0</v>
      </c>
      <c r="GM44">
        <f>IF(Charts!$B$3="none",BK251,IF(DY251="",NA(),DY251))</f>
        <v>0</v>
      </c>
      <c r="GN44">
        <f>IF(Charts!$B$3="none",BL251,IF(DZ251="",NA(),DZ251))</f>
        <v>0</v>
      </c>
      <c r="GO44">
        <f>IF(Charts!$B$3="none",BM251,IF(EA251="",NA(),EA251))</f>
        <v>0</v>
      </c>
      <c r="GP44">
        <f>IF(Charts!$B$3="none",BN251,IF(EB251="",NA(),EB251))</f>
        <v>0</v>
      </c>
      <c r="GQ44">
        <f>IF(Charts!$B$3="none",BO251,IF(EC251="",NA(),EC251))</f>
        <v>0</v>
      </c>
      <c r="GR44">
        <f>IF(Charts!$B$3="none",BP251,IF(ED251="",NA(),ED251))</f>
        <v>0</v>
      </c>
    </row>
    <row r="45" spans="4:200">
      <c r="EG45">
        <f>IF(Charts!$B$3="none",E252,IF(BS252="",NA(),BS252))</f>
        <v>0</v>
      </c>
      <c r="EH45">
        <f>IF(Charts!$B$3="none",F252,IF(BT252="",NA(),BT252))</f>
        <v>0</v>
      </c>
      <c r="EI45">
        <f>IF(Charts!$B$3="none",G252,IF(BU252="",NA(),BU252))</f>
        <v>0</v>
      </c>
      <c r="EJ45">
        <f>IF(Charts!$B$3="none",H252,IF(BV252="",NA(),BV252))</f>
        <v>0</v>
      </c>
      <c r="EK45">
        <f>IF(Charts!$B$3="none",I252,IF(BW252="",NA(),BW252))</f>
        <v>0</v>
      </c>
      <c r="EL45">
        <f>IF(Charts!$B$3="none",J252,IF(BX252="",NA(),BX252))</f>
        <v>0</v>
      </c>
      <c r="EM45">
        <f>IF(Charts!$B$3="none",K252,IF(BY252="",NA(),BY252))</f>
        <v>0</v>
      </c>
      <c r="EN45">
        <f>IF(Charts!$B$3="none",L252,IF(BZ252="",NA(),BZ252))</f>
        <v>0</v>
      </c>
      <c r="EO45">
        <f>IF(Charts!$B$3="none",M252,IF(CA252="",NA(),CA252))</f>
        <v>0</v>
      </c>
      <c r="EP45">
        <f>IF(Charts!$B$3="none",N252,IF(CB252="",NA(),CB252))</f>
        <v>0</v>
      </c>
      <c r="EQ45">
        <f>IF(Charts!$B$3="none",O252,IF(CC252="",NA(),CC252))</f>
        <v>0</v>
      </c>
      <c r="ER45">
        <f>IF(Charts!$B$3="none",P252,IF(CD252="",NA(),CD252))</f>
        <v>0</v>
      </c>
      <c r="ES45">
        <f>IF(Charts!$B$3="none",Q252,IF(CE252="",NA(),CE252))</f>
        <v>0</v>
      </c>
      <c r="ET45">
        <f>IF(Charts!$B$3="none",R252,IF(CF252="",NA(),CF252))</f>
        <v>0</v>
      </c>
      <c r="EU45">
        <f>IF(Charts!$B$3="none",S252,IF(CG252="",NA(),CG252))</f>
        <v>0</v>
      </c>
      <c r="EV45">
        <f>IF(Charts!$B$3="none",T252,IF(CH252="",NA(),CH252))</f>
        <v>0</v>
      </c>
      <c r="EW45">
        <f>IF(Charts!$B$3="none",U252,IF(CI252="",NA(),CI252))</f>
        <v>0</v>
      </c>
      <c r="EX45">
        <f>IF(Charts!$B$3="none",V252,IF(CJ252="",NA(),CJ252))</f>
        <v>0</v>
      </c>
      <c r="EY45">
        <f>IF(Charts!$B$3="none",W252,IF(CK252="",NA(),CK252))</f>
        <v>0</v>
      </c>
      <c r="EZ45">
        <f>IF(Charts!$B$3="none",X252,IF(CL252="",NA(),CL252))</f>
        <v>0</v>
      </c>
      <c r="FA45">
        <f>IF(Charts!$B$3="none",Y252,IF(CM252="",NA(),CM252))</f>
        <v>0</v>
      </c>
      <c r="FB45">
        <f>IF(Charts!$B$3="none",Z252,IF(CN252="",NA(),CN252))</f>
        <v>0</v>
      </c>
      <c r="FC45">
        <f>IF(Charts!$B$3="none",AA252,IF(CO252="",NA(),CO252))</f>
        <v>0</v>
      </c>
      <c r="FD45">
        <f>IF(Charts!$B$3="none",AB252,IF(CP252="",NA(),CP252))</f>
        <v>0</v>
      </c>
      <c r="FE45">
        <f>IF(Charts!$B$3="none",AC252,IF(CQ252="",NA(),CQ252))</f>
        <v>0</v>
      </c>
      <c r="FF45">
        <f>IF(Charts!$B$3="none",AD252,IF(CR252="",NA(),CR252))</f>
        <v>0</v>
      </c>
      <c r="FG45">
        <f>IF(Charts!$B$3="none",AE252,IF(CS252="",NA(),CS252))</f>
        <v>0</v>
      </c>
      <c r="FH45">
        <f>IF(Charts!$B$3="none",AF252,IF(CT252="",NA(),CT252))</f>
        <v>0</v>
      </c>
      <c r="FI45">
        <f>IF(Charts!$B$3="none",AG252,IF(CU252="",NA(),CU252))</f>
        <v>0</v>
      </c>
      <c r="FJ45">
        <f>IF(Charts!$B$3="none",AH252,IF(CV252="",NA(),CV252))</f>
        <v>0</v>
      </c>
      <c r="FK45">
        <f>IF(Charts!$B$3="none",AI252,IF(CW252="",NA(),CW252))</f>
        <v>0</v>
      </c>
      <c r="FL45">
        <f>IF(Charts!$B$3="none",AJ252,IF(CX252="",NA(),CX252))</f>
        <v>0</v>
      </c>
      <c r="FM45">
        <f>IF(Charts!$B$3="none",AK252,IF(CY252="",NA(),CY252))</f>
        <v>0</v>
      </c>
      <c r="FN45">
        <f>IF(Charts!$B$3="none",AL252,IF(CZ252="",NA(),CZ252))</f>
        <v>0</v>
      </c>
      <c r="FO45">
        <f>IF(Charts!$B$3="none",AM252,IF(DA252="",NA(),DA252))</f>
        <v>0</v>
      </c>
      <c r="FP45">
        <f>IF(Charts!$B$3="none",AN252,IF(DB252="",NA(),DB252))</f>
        <v>0</v>
      </c>
      <c r="FQ45">
        <f>IF(Charts!$B$3="none",AO252,IF(DC252="",NA(),DC252))</f>
        <v>0</v>
      </c>
      <c r="FR45">
        <f>IF(Charts!$B$3="none",AP252,IF(DD252="",NA(),DD252))</f>
        <v>0</v>
      </c>
      <c r="FS45">
        <f>IF(Charts!$B$3="none",AQ252,IF(DE252="",NA(),DE252))</f>
        <v>0</v>
      </c>
      <c r="FT45">
        <f>IF(Charts!$B$3="none",AR252,IF(DF252="",NA(),DF252))</f>
        <v>0</v>
      </c>
      <c r="FU45">
        <f>IF(Charts!$B$3="none",AS252,IF(DG252="",NA(),DG252))</f>
        <v>0</v>
      </c>
      <c r="FV45">
        <f>IF(Charts!$B$3="none",AT252,IF(DH252="",NA(),DH252))</f>
        <v>0</v>
      </c>
      <c r="FW45">
        <f>IF(Charts!$B$3="none",AU252,IF(DI252="",NA(),DI252))</f>
        <v>0</v>
      </c>
      <c r="FX45">
        <f>IF(Charts!$B$3="none",AV252,IF(DJ252="",NA(),DJ252))</f>
        <v>0</v>
      </c>
      <c r="FY45">
        <f>IF(Charts!$B$3="none",AW252,IF(DK252="",NA(),DK252))</f>
        <v>0</v>
      </c>
      <c r="FZ45">
        <f>IF(Charts!$B$3="none",AX252,IF(DL252="",NA(),DL252))</f>
        <v>0</v>
      </c>
      <c r="GA45">
        <f>IF(Charts!$B$3="none",AY252,IF(DM252="",NA(),DM252))</f>
        <v>0</v>
      </c>
      <c r="GB45">
        <f>IF(Charts!$B$3="none",AZ252,IF(DN252="",NA(),DN252))</f>
        <v>0</v>
      </c>
      <c r="GC45">
        <f>IF(Charts!$B$3="none",BA252,IF(DO252="",NA(),DO252))</f>
        <v>0</v>
      </c>
      <c r="GD45">
        <f>IF(Charts!$B$3="none",BB252,IF(DP252="",NA(),DP252))</f>
        <v>0</v>
      </c>
      <c r="GE45">
        <f>IF(Charts!$B$3="none",BC252,IF(DQ252="",NA(),DQ252))</f>
        <v>0</v>
      </c>
      <c r="GF45">
        <f>IF(Charts!$B$3="none",BD252,IF(DR252="",NA(),DR252))</f>
        <v>0</v>
      </c>
      <c r="GG45">
        <f>IF(Charts!$B$3="none",BE252,IF(DS252="",NA(),DS252))</f>
        <v>0</v>
      </c>
      <c r="GH45">
        <f>IF(Charts!$B$3="none",BF252,IF(DT252="",NA(),DT252))</f>
        <v>0</v>
      </c>
      <c r="GI45">
        <f>IF(Charts!$B$3="none",BG252,IF(DU252="",NA(),DU252))</f>
        <v>0</v>
      </c>
      <c r="GJ45">
        <f>IF(Charts!$B$3="none",BH252,IF(DV252="",NA(),DV252))</f>
        <v>0</v>
      </c>
      <c r="GK45">
        <f>IF(Charts!$B$3="none",BI252,IF(DW252="",NA(),DW252))</f>
        <v>0</v>
      </c>
      <c r="GL45">
        <f>IF(Charts!$B$3="none",BJ252,IF(DX252="",NA(),DX252))</f>
        <v>0</v>
      </c>
      <c r="GM45">
        <f>IF(Charts!$B$3="none",BK252,IF(DY252="",NA(),DY252))</f>
        <v>0</v>
      </c>
      <c r="GN45">
        <f>IF(Charts!$B$3="none",BL252,IF(DZ252="",NA(),DZ252))</f>
        <v>0</v>
      </c>
      <c r="GO45">
        <f>IF(Charts!$B$3="none",BM252,IF(EA252="",NA(),EA252))</f>
        <v>0</v>
      </c>
      <c r="GP45">
        <f>IF(Charts!$B$3="none",BN252,IF(EB252="",NA(),EB252))</f>
        <v>0</v>
      </c>
      <c r="GQ45">
        <f>IF(Charts!$B$3="none",BO252,IF(EC252="",NA(),EC252))</f>
        <v>0</v>
      </c>
      <c r="GR45">
        <f>IF(Charts!$B$3="none",BP252,IF(ED252="",NA(),ED252))</f>
        <v>0</v>
      </c>
    </row>
    <row r="46" spans="4:200">
      <c r="D46" t="s">
        <v>91</v>
      </c>
      <c r="E46" t="s">
        <v>90</v>
      </c>
      <c r="F46" t="s">
        <v>95</v>
      </c>
      <c r="G46" t="s">
        <v>90</v>
      </c>
      <c r="H46" t="s">
        <v>96</v>
      </c>
      <c r="I46" t="s">
        <v>90</v>
      </c>
      <c r="J46" t="s">
        <v>95</v>
      </c>
      <c r="K46" t="s">
        <v>90</v>
      </c>
      <c r="L46" t="s">
        <v>96</v>
      </c>
      <c r="M46" t="s">
        <v>90</v>
      </c>
      <c r="N46" t="s">
        <v>95</v>
      </c>
      <c r="O46" t="s">
        <v>90</v>
      </c>
      <c r="P46" t="s">
        <v>96</v>
      </c>
      <c r="Q46" t="s">
        <v>90</v>
      </c>
      <c r="R46" t="s">
        <v>95</v>
      </c>
      <c r="S46" t="s">
        <v>90</v>
      </c>
      <c r="T46" t="s">
        <v>96</v>
      </c>
      <c r="U46" t="s">
        <v>90</v>
      </c>
      <c r="V46" t="s">
        <v>95</v>
      </c>
      <c r="W46" t="s">
        <v>90</v>
      </c>
      <c r="X46" t="s">
        <v>96</v>
      </c>
      <c r="Y46" t="s">
        <v>90</v>
      </c>
      <c r="Z46" t="s">
        <v>95</v>
      </c>
      <c r="AA46" t="s">
        <v>90</v>
      </c>
      <c r="AB46" t="s">
        <v>96</v>
      </c>
      <c r="AC46" t="s">
        <v>90</v>
      </c>
      <c r="AD46" t="s">
        <v>95</v>
      </c>
      <c r="AE46" t="s">
        <v>90</v>
      </c>
      <c r="AF46" t="s">
        <v>96</v>
      </c>
      <c r="AG46" t="s">
        <v>90</v>
      </c>
      <c r="AH46" t="s">
        <v>95</v>
      </c>
      <c r="AI46" t="s">
        <v>90</v>
      </c>
      <c r="AJ46" t="s">
        <v>96</v>
      </c>
      <c r="AK46" t="s">
        <v>90</v>
      </c>
      <c r="AL46" t="s">
        <v>95</v>
      </c>
      <c r="AM46" t="s">
        <v>90</v>
      </c>
      <c r="AN46" t="s">
        <v>96</v>
      </c>
      <c r="AO46" t="s">
        <v>90</v>
      </c>
      <c r="AP46" t="s">
        <v>95</v>
      </c>
      <c r="AQ46" t="s">
        <v>90</v>
      </c>
      <c r="AR46" t="s">
        <v>96</v>
      </c>
      <c r="AS46" t="s">
        <v>90</v>
      </c>
      <c r="AT46" t="s">
        <v>95</v>
      </c>
      <c r="AU46" t="s">
        <v>90</v>
      </c>
      <c r="AV46" t="s">
        <v>96</v>
      </c>
      <c r="AW46" t="s">
        <v>90</v>
      </c>
      <c r="AX46" t="s">
        <v>95</v>
      </c>
      <c r="AY46" t="s">
        <v>90</v>
      </c>
      <c r="AZ46" t="s">
        <v>96</v>
      </c>
      <c r="BA46" t="s">
        <v>90</v>
      </c>
      <c r="BB46" t="s">
        <v>95</v>
      </c>
      <c r="BC46" t="s">
        <v>90</v>
      </c>
      <c r="BD46" t="s">
        <v>96</v>
      </c>
      <c r="BE46" t="s">
        <v>90</v>
      </c>
      <c r="BF46" t="s">
        <v>95</v>
      </c>
      <c r="BG46" t="s">
        <v>90</v>
      </c>
      <c r="BH46" t="s">
        <v>96</v>
      </c>
      <c r="BI46" t="s">
        <v>90</v>
      </c>
      <c r="BJ46" t="s">
        <v>95</v>
      </c>
      <c r="BK46" t="s">
        <v>90</v>
      </c>
      <c r="BL46" t="s">
        <v>96</v>
      </c>
      <c r="BM46" t="s">
        <v>90</v>
      </c>
      <c r="BN46" t="s">
        <v>95</v>
      </c>
      <c r="BO46" t="s">
        <v>90</v>
      </c>
      <c r="BP46" t="s">
        <v>96</v>
      </c>
      <c r="BR46" t="s">
        <v>91</v>
      </c>
      <c r="BS46" t="s">
        <v>90</v>
      </c>
      <c r="BT46" t="s">
        <v>95</v>
      </c>
      <c r="BU46" t="s">
        <v>90</v>
      </c>
      <c r="BV46" t="s">
        <v>96</v>
      </c>
      <c r="BW46" t="s">
        <v>90</v>
      </c>
      <c r="BX46" t="s">
        <v>95</v>
      </c>
      <c r="BY46" t="s">
        <v>90</v>
      </c>
      <c r="BZ46" t="s">
        <v>96</v>
      </c>
      <c r="CA46" t="s">
        <v>90</v>
      </c>
      <c r="CB46" t="s">
        <v>95</v>
      </c>
      <c r="CC46" t="s">
        <v>90</v>
      </c>
      <c r="CD46" t="s">
        <v>96</v>
      </c>
      <c r="CE46" t="s">
        <v>90</v>
      </c>
      <c r="CF46" t="s">
        <v>95</v>
      </c>
      <c r="CG46" t="s">
        <v>90</v>
      </c>
      <c r="CH46" t="s">
        <v>96</v>
      </c>
      <c r="CI46" t="s">
        <v>90</v>
      </c>
      <c r="CJ46" t="s">
        <v>95</v>
      </c>
      <c r="CK46" t="s">
        <v>90</v>
      </c>
      <c r="CL46" t="s">
        <v>96</v>
      </c>
      <c r="CM46" t="s">
        <v>90</v>
      </c>
      <c r="CN46" t="s">
        <v>95</v>
      </c>
      <c r="CO46" t="s">
        <v>90</v>
      </c>
      <c r="CP46" t="s">
        <v>96</v>
      </c>
      <c r="CQ46" t="s">
        <v>90</v>
      </c>
      <c r="CR46" t="s">
        <v>95</v>
      </c>
      <c r="CS46" t="s">
        <v>90</v>
      </c>
      <c r="CT46" t="s">
        <v>96</v>
      </c>
      <c r="CU46" t="s">
        <v>90</v>
      </c>
      <c r="CV46" t="s">
        <v>95</v>
      </c>
      <c r="CW46" t="s">
        <v>90</v>
      </c>
      <c r="CX46" t="s">
        <v>96</v>
      </c>
      <c r="CY46" t="s">
        <v>90</v>
      </c>
      <c r="CZ46" t="s">
        <v>95</v>
      </c>
      <c r="DA46" t="s">
        <v>90</v>
      </c>
      <c r="DB46" t="s">
        <v>96</v>
      </c>
      <c r="DC46" t="s">
        <v>90</v>
      </c>
      <c r="DD46" t="s">
        <v>95</v>
      </c>
      <c r="DE46" t="s">
        <v>90</v>
      </c>
      <c r="DF46" t="s">
        <v>96</v>
      </c>
      <c r="DG46" t="s">
        <v>90</v>
      </c>
      <c r="DH46" t="s">
        <v>95</v>
      </c>
      <c r="DI46" t="s">
        <v>90</v>
      </c>
      <c r="DJ46" t="s">
        <v>96</v>
      </c>
      <c r="DK46" t="s">
        <v>90</v>
      </c>
      <c r="DL46" t="s">
        <v>95</v>
      </c>
      <c r="DM46" t="s">
        <v>90</v>
      </c>
      <c r="DN46" t="s">
        <v>96</v>
      </c>
      <c r="DO46" t="s">
        <v>90</v>
      </c>
      <c r="DP46" t="s">
        <v>95</v>
      </c>
      <c r="DQ46" t="s">
        <v>90</v>
      </c>
      <c r="DR46" t="s">
        <v>96</v>
      </c>
      <c r="DS46" t="s">
        <v>90</v>
      </c>
      <c r="DT46" t="s">
        <v>95</v>
      </c>
      <c r="DU46" t="s">
        <v>90</v>
      </c>
      <c r="DV46" t="s">
        <v>96</v>
      </c>
      <c r="DW46" t="s">
        <v>90</v>
      </c>
      <c r="DX46" t="s">
        <v>95</v>
      </c>
      <c r="DY46" t="s">
        <v>90</v>
      </c>
      <c r="DZ46" t="s">
        <v>96</v>
      </c>
      <c r="EA46" t="s">
        <v>90</v>
      </c>
      <c r="EB46" t="s">
        <v>95</v>
      </c>
      <c r="EC46" t="s">
        <v>90</v>
      </c>
      <c r="ED46" t="s">
        <v>96</v>
      </c>
      <c r="EG46">
        <f>IF(Charts!$B$3="none",E253,IF(BS253="",NA(),BS253))</f>
        <v>0</v>
      </c>
      <c r="EH46">
        <f>IF(Charts!$B$3="none",F253,IF(BT253="",NA(),BT253))</f>
        <v>0</v>
      </c>
      <c r="EI46">
        <f>IF(Charts!$B$3="none",G253,IF(BU253="",NA(),BU253))</f>
        <v>0</v>
      </c>
      <c r="EJ46">
        <f>IF(Charts!$B$3="none",H253,IF(BV253="",NA(),BV253))</f>
        <v>0</v>
      </c>
      <c r="EK46">
        <f>IF(Charts!$B$3="none",I253,IF(BW253="",NA(),BW253))</f>
        <v>0</v>
      </c>
      <c r="EL46">
        <f>IF(Charts!$B$3="none",J253,IF(BX253="",NA(),BX253))</f>
        <v>0</v>
      </c>
      <c r="EM46">
        <f>IF(Charts!$B$3="none",K253,IF(BY253="",NA(),BY253))</f>
        <v>0</v>
      </c>
      <c r="EN46">
        <f>IF(Charts!$B$3="none",L253,IF(BZ253="",NA(),BZ253))</f>
        <v>0</v>
      </c>
      <c r="EO46">
        <f>IF(Charts!$B$3="none",M253,IF(CA253="",NA(),CA253))</f>
        <v>0</v>
      </c>
      <c r="EP46">
        <f>IF(Charts!$B$3="none",N253,IF(CB253="",NA(),CB253))</f>
        <v>0</v>
      </c>
      <c r="EQ46">
        <f>IF(Charts!$B$3="none",O253,IF(CC253="",NA(),CC253))</f>
        <v>0</v>
      </c>
      <c r="ER46">
        <f>IF(Charts!$B$3="none",P253,IF(CD253="",NA(),CD253))</f>
        <v>0</v>
      </c>
      <c r="ES46">
        <f>IF(Charts!$B$3="none",Q253,IF(CE253="",NA(),CE253))</f>
        <v>0</v>
      </c>
      <c r="ET46">
        <f>IF(Charts!$B$3="none",R253,IF(CF253="",NA(),CF253))</f>
        <v>0</v>
      </c>
      <c r="EU46">
        <f>IF(Charts!$B$3="none",S253,IF(CG253="",NA(),CG253))</f>
        <v>0</v>
      </c>
      <c r="EV46">
        <f>IF(Charts!$B$3="none",T253,IF(CH253="",NA(),CH253))</f>
        <v>0</v>
      </c>
      <c r="EW46">
        <f>IF(Charts!$B$3="none",U253,IF(CI253="",NA(),CI253))</f>
        <v>0</v>
      </c>
      <c r="EX46">
        <f>IF(Charts!$B$3="none",V253,IF(CJ253="",NA(),CJ253))</f>
        <v>0</v>
      </c>
      <c r="EY46">
        <f>IF(Charts!$B$3="none",W253,IF(CK253="",NA(),CK253))</f>
        <v>0</v>
      </c>
      <c r="EZ46">
        <f>IF(Charts!$B$3="none",X253,IF(CL253="",NA(),CL253))</f>
        <v>0</v>
      </c>
      <c r="FA46">
        <f>IF(Charts!$B$3="none",Y253,IF(CM253="",NA(),CM253))</f>
        <v>0</v>
      </c>
      <c r="FB46">
        <f>IF(Charts!$B$3="none",Z253,IF(CN253="",NA(),CN253))</f>
        <v>0</v>
      </c>
      <c r="FC46">
        <f>IF(Charts!$B$3="none",AA253,IF(CO253="",NA(),CO253))</f>
        <v>0</v>
      </c>
      <c r="FD46">
        <f>IF(Charts!$B$3="none",AB253,IF(CP253="",NA(),CP253))</f>
        <v>0</v>
      </c>
      <c r="FE46">
        <f>IF(Charts!$B$3="none",AC253,IF(CQ253="",NA(),CQ253))</f>
        <v>0</v>
      </c>
      <c r="FF46">
        <f>IF(Charts!$B$3="none",AD253,IF(CR253="",NA(),CR253))</f>
        <v>0</v>
      </c>
      <c r="FG46">
        <f>IF(Charts!$B$3="none",AE253,IF(CS253="",NA(),CS253))</f>
        <v>0</v>
      </c>
      <c r="FH46">
        <f>IF(Charts!$B$3="none",AF253,IF(CT253="",NA(),CT253))</f>
        <v>0</v>
      </c>
      <c r="FI46">
        <f>IF(Charts!$B$3="none",AG253,IF(CU253="",NA(),CU253))</f>
        <v>0</v>
      </c>
      <c r="FJ46">
        <f>IF(Charts!$B$3="none",AH253,IF(CV253="",NA(),CV253))</f>
        <v>0</v>
      </c>
      <c r="FK46">
        <f>IF(Charts!$B$3="none",AI253,IF(CW253="",NA(),CW253))</f>
        <v>0</v>
      </c>
      <c r="FL46">
        <f>IF(Charts!$B$3="none",AJ253,IF(CX253="",NA(),CX253))</f>
        <v>0</v>
      </c>
      <c r="FM46">
        <f>IF(Charts!$B$3="none",AK253,IF(CY253="",NA(),CY253))</f>
        <v>0</v>
      </c>
      <c r="FN46">
        <f>IF(Charts!$B$3="none",AL253,IF(CZ253="",NA(),CZ253))</f>
        <v>0</v>
      </c>
      <c r="FO46">
        <f>IF(Charts!$B$3="none",AM253,IF(DA253="",NA(),DA253))</f>
        <v>0</v>
      </c>
      <c r="FP46">
        <f>IF(Charts!$B$3="none",AN253,IF(DB253="",NA(),DB253))</f>
        <v>0</v>
      </c>
      <c r="FQ46">
        <f>IF(Charts!$B$3="none",AO253,IF(DC253="",NA(),DC253))</f>
        <v>0</v>
      </c>
      <c r="FR46">
        <f>IF(Charts!$B$3="none",AP253,IF(DD253="",NA(),DD253))</f>
        <v>0</v>
      </c>
      <c r="FS46">
        <f>IF(Charts!$B$3="none",AQ253,IF(DE253="",NA(),DE253))</f>
        <v>0</v>
      </c>
      <c r="FT46">
        <f>IF(Charts!$B$3="none",AR253,IF(DF253="",NA(),DF253))</f>
        <v>0</v>
      </c>
      <c r="FU46">
        <f>IF(Charts!$B$3="none",AS253,IF(DG253="",NA(),DG253))</f>
        <v>0</v>
      </c>
      <c r="FV46">
        <f>IF(Charts!$B$3="none",AT253,IF(DH253="",NA(),DH253))</f>
        <v>0</v>
      </c>
      <c r="FW46">
        <f>IF(Charts!$B$3="none",AU253,IF(DI253="",NA(),DI253))</f>
        <v>0</v>
      </c>
      <c r="FX46">
        <f>IF(Charts!$B$3="none",AV253,IF(DJ253="",NA(),DJ253))</f>
        <v>0</v>
      </c>
      <c r="FY46">
        <f>IF(Charts!$B$3="none",AW253,IF(DK253="",NA(),DK253))</f>
        <v>0</v>
      </c>
      <c r="FZ46">
        <f>IF(Charts!$B$3="none",AX253,IF(DL253="",NA(),DL253))</f>
        <v>0</v>
      </c>
      <c r="GA46">
        <f>IF(Charts!$B$3="none",AY253,IF(DM253="",NA(),DM253))</f>
        <v>0</v>
      </c>
      <c r="GB46">
        <f>IF(Charts!$B$3="none",AZ253,IF(DN253="",NA(),DN253))</f>
        <v>0</v>
      </c>
      <c r="GC46">
        <f>IF(Charts!$B$3="none",BA253,IF(DO253="",NA(),DO253))</f>
        <v>0</v>
      </c>
      <c r="GD46">
        <f>IF(Charts!$B$3="none",BB253,IF(DP253="",NA(),DP253))</f>
        <v>0</v>
      </c>
      <c r="GE46">
        <f>IF(Charts!$B$3="none",BC253,IF(DQ253="",NA(),DQ253))</f>
        <v>0</v>
      </c>
      <c r="GF46">
        <f>IF(Charts!$B$3="none",BD253,IF(DR253="",NA(),DR253))</f>
        <v>0</v>
      </c>
      <c r="GG46">
        <f>IF(Charts!$B$3="none",BE253,IF(DS253="",NA(),DS253))</f>
        <v>0</v>
      </c>
      <c r="GH46">
        <f>IF(Charts!$B$3="none",BF253,IF(DT253="",NA(),DT253))</f>
        <v>0</v>
      </c>
      <c r="GI46">
        <f>IF(Charts!$B$3="none",BG253,IF(DU253="",NA(),DU253))</f>
        <v>0</v>
      </c>
      <c r="GJ46">
        <f>IF(Charts!$B$3="none",BH253,IF(DV253="",NA(),DV253))</f>
        <v>0</v>
      </c>
      <c r="GK46">
        <f>IF(Charts!$B$3="none",BI253,IF(DW253="",NA(),DW253))</f>
        <v>0</v>
      </c>
      <c r="GL46">
        <f>IF(Charts!$B$3="none",BJ253,IF(DX253="",NA(),DX253))</f>
        <v>0</v>
      </c>
      <c r="GM46">
        <f>IF(Charts!$B$3="none",BK253,IF(DY253="",NA(),DY253))</f>
        <v>0</v>
      </c>
      <c r="GN46">
        <f>IF(Charts!$B$3="none",BL253,IF(DZ253="",NA(),DZ253))</f>
        <v>0</v>
      </c>
      <c r="GO46">
        <f>IF(Charts!$B$3="none",BM253,IF(EA253="",NA(),EA253))</f>
        <v>0</v>
      </c>
      <c r="GP46">
        <f>IF(Charts!$B$3="none",BN253,IF(EB253="",NA(),EB253))</f>
        <v>0</v>
      </c>
      <c r="GQ46">
        <f>IF(Charts!$B$3="none",BO253,IF(EC253="",NA(),EC253))</f>
        <v>0</v>
      </c>
      <c r="GR46">
        <f>IF(Charts!$B$3="none",BP253,IF(ED253="",NA(),ED253))</f>
        <v>0</v>
      </c>
    </row>
    <row r="47" spans="4:200">
      <c r="E47">
        <v>1</v>
      </c>
      <c r="F47">
        <f>F5</f>
        <v>0</v>
      </c>
      <c r="G47">
        <v>1</v>
      </c>
      <c r="H47">
        <f>H5</f>
        <v>0</v>
      </c>
      <c r="I47">
        <v>1</v>
      </c>
      <c r="J47">
        <f>J5</f>
        <v>0</v>
      </c>
      <c r="K47">
        <v>1</v>
      </c>
      <c r="L47">
        <f>L5</f>
        <v>0</v>
      </c>
      <c r="M47">
        <v>1</v>
      </c>
      <c r="N47">
        <f>N5</f>
        <v>0</v>
      </c>
      <c r="O47">
        <v>1</v>
      </c>
      <c r="P47">
        <f>P5</f>
        <v>0</v>
      </c>
      <c r="Q47">
        <v>1</v>
      </c>
      <c r="R47">
        <f>R5</f>
        <v>0</v>
      </c>
      <c r="S47">
        <v>1</v>
      </c>
      <c r="T47">
        <f>T5</f>
        <v>0</v>
      </c>
      <c r="U47">
        <v>1</v>
      </c>
      <c r="V47">
        <f>V5</f>
        <v>0</v>
      </c>
      <c r="W47">
        <v>1</v>
      </c>
      <c r="X47">
        <f>X5</f>
        <v>0</v>
      </c>
      <c r="Y47">
        <v>1</v>
      </c>
      <c r="Z47">
        <f>Z5</f>
        <v>0</v>
      </c>
      <c r="AA47">
        <v>1</v>
      </c>
      <c r="AB47">
        <f>AB5</f>
        <v>0</v>
      </c>
      <c r="AC47">
        <v>1</v>
      </c>
      <c r="AD47">
        <f>AD5</f>
        <v>0</v>
      </c>
      <c r="AE47">
        <v>1</v>
      </c>
      <c r="AF47">
        <f>AF5</f>
        <v>0</v>
      </c>
      <c r="AG47">
        <v>1</v>
      </c>
      <c r="AH47">
        <f>AH5</f>
        <v>0</v>
      </c>
      <c r="AI47">
        <v>1</v>
      </c>
      <c r="AJ47">
        <f>AJ5</f>
        <v>0</v>
      </c>
      <c r="AK47">
        <v>1</v>
      </c>
      <c r="AL47">
        <f>AL5</f>
        <v>0</v>
      </c>
      <c r="AM47">
        <v>1</v>
      </c>
      <c r="AN47">
        <f>AN5</f>
        <v>0</v>
      </c>
      <c r="AO47">
        <v>1</v>
      </c>
      <c r="AP47">
        <f>AP5</f>
        <v>0</v>
      </c>
      <c r="AQ47">
        <v>1</v>
      </c>
      <c r="AR47">
        <f>AR5</f>
        <v>0</v>
      </c>
      <c r="AS47">
        <v>1</v>
      </c>
      <c r="AT47">
        <f>AT5</f>
        <v>0</v>
      </c>
      <c r="AU47">
        <v>1</v>
      </c>
      <c r="AV47">
        <f>AV5</f>
        <v>0</v>
      </c>
      <c r="AW47">
        <v>1</v>
      </c>
      <c r="AX47">
        <f>AX5</f>
        <v>0</v>
      </c>
      <c r="AY47">
        <v>1</v>
      </c>
      <c r="AZ47">
        <f>AZ5</f>
        <v>0</v>
      </c>
      <c r="BA47">
        <v>1</v>
      </c>
      <c r="BB47">
        <f>BB5</f>
        <v>0</v>
      </c>
      <c r="BC47">
        <v>1</v>
      </c>
      <c r="BD47">
        <f>BD5</f>
        <v>0</v>
      </c>
      <c r="BE47">
        <v>1</v>
      </c>
      <c r="BF47">
        <f>BF5</f>
        <v>0</v>
      </c>
      <c r="BG47">
        <v>1</v>
      </c>
      <c r="BH47">
        <f>BH5</f>
        <v>0</v>
      </c>
      <c r="BI47">
        <v>1</v>
      </c>
      <c r="BJ47">
        <f>BJ5</f>
        <v>0</v>
      </c>
      <c r="BK47">
        <v>1</v>
      </c>
      <c r="BL47">
        <f>BL5</f>
        <v>0</v>
      </c>
      <c r="BM47">
        <v>1</v>
      </c>
      <c r="BN47">
        <f>BN5</f>
        <v>0</v>
      </c>
      <c r="BO47">
        <v>1</v>
      </c>
      <c r="BP47">
        <f>BP5</f>
        <v>0</v>
      </c>
      <c r="BS47">
        <v>1</v>
      </c>
      <c r="BT47">
        <f>BT5</f>
        <v>0</v>
      </c>
      <c r="BU47">
        <v>1</v>
      </c>
      <c r="BV47">
        <f>BV5</f>
        <v>0</v>
      </c>
      <c r="BW47">
        <v>1</v>
      </c>
      <c r="BX47">
        <f>BX5</f>
        <v>0</v>
      </c>
      <c r="BY47">
        <v>1</v>
      </c>
      <c r="BZ47">
        <f>BZ5</f>
        <v>0</v>
      </c>
      <c r="CA47">
        <v>1</v>
      </c>
      <c r="CB47">
        <f>CB5</f>
        <v>0</v>
      </c>
      <c r="CC47">
        <v>1</v>
      </c>
      <c r="CD47">
        <f>CD5</f>
        <v>0</v>
      </c>
      <c r="CE47">
        <v>1</v>
      </c>
      <c r="CF47">
        <f>CF5</f>
        <v>0</v>
      </c>
      <c r="CG47">
        <v>1</v>
      </c>
      <c r="CH47">
        <f>CH5</f>
        <v>0</v>
      </c>
      <c r="CI47">
        <v>1</v>
      </c>
      <c r="CJ47">
        <f>CJ5</f>
        <v>0</v>
      </c>
      <c r="CK47">
        <v>1</v>
      </c>
      <c r="CL47">
        <f>CL5</f>
        <v>0</v>
      </c>
      <c r="CM47">
        <v>1</v>
      </c>
      <c r="CN47">
        <f>CN5</f>
        <v>0</v>
      </c>
      <c r="CO47">
        <v>1</v>
      </c>
      <c r="CP47">
        <f>CP5</f>
        <v>0</v>
      </c>
      <c r="CQ47">
        <v>1</v>
      </c>
      <c r="CR47">
        <f>CR5</f>
        <v>0</v>
      </c>
      <c r="CS47">
        <v>1</v>
      </c>
      <c r="CT47">
        <f>CT5</f>
        <v>0</v>
      </c>
      <c r="CU47">
        <v>1</v>
      </c>
      <c r="CV47">
        <f>CV5</f>
        <v>0</v>
      </c>
      <c r="CW47">
        <v>1</v>
      </c>
      <c r="CX47">
        <f>CX5</f>
        <v>0</v>
      </c>
      <c r="CY47">
        <v>1</v>
      </c>
      <c r="CZ47">
        <f>CZ5</f>
        <v>0</v>
      </c>
      <c r="DA47">
        <v>1</v>
      </c>
      <c r="DB47">
        <f>DB5</f>
        <v>0</v>
      </c>
      <c r="DC47">
        <v>1</v>
      </c>
      <c r="DD47">
        <f>DD5</f>
        <v>0</v>
      </c>
      <c r="DE47">
        <v>1</v>
      </c>
      <c r="DF47">
        <f>DF5</f>
        <v>0</v>
      </c>
      <c r="DG47">
        <v>1</v>
      </c>
      <c r="DH47">
        <f>DH5</f>
        <v>0</v>
      </c>
      <c r="DI47">
        <v>1</v>
      </c>
      <c r="DJ47">
        <f>DJ5</f>
        <v>0</v>
      </c>
      <c r="DK47">
        <v>1</v>
      </c>
      <c r="DL47">
        <f>DL5</f>
        <v>0</v>
      </c>
      <c r="DM47">
        <v>1</v>
      </c>
      <c r="DN47">
        <f>DN5</f>
        <v>0</v>
      </c>
      <c r="DO47">
        <v>1</v>
      </c>
      <c r="DP47">
        <f>DP5</f>
        <v>0</v>
      </c>
      <c r="DQ47">
        <v>1</v>
      </c>
      <c r="DR47">
        <f>DR5</f>
        <v>0</v>
      </c>
      <c r="DS47">
        <v>1</v>
      </c>
      <c r="DT47">
        <f>DT5</f>
        <v>0</v>
      </c>
      <c r="DU47">
        <v>1</v>
      </c>
      <c r="DV47">
        <f>DV5</f>
        <v>0</v>
      </c>
      <c r="DW47">
        <v>1</v>
      </c>
      <c r="DX47">
        <f>DX5</f>
        <v>0</v>
      </c>
      <c r="DY47">
        <v>1</v>
      </c>
      <c r="DZ47">
        <f>DZ5</f>
        <v>0</v>
      </c>
      <c r="EA47">
        <v>1</v>
      </c>
      <c r="EB47">
        <f>EB5</f>
        <v>0</v>
      </c>
      <c r="EC47">
        <v>1</v>
      </c>
      <c r="ED47">
        <f>ED5</f>
        <v>0</v>
      </c>
      <c r="EG47">
        <f>IF(Charts!$B$3="none",E254,IF(BS254="",NA(),BS254))</f>
        <v>0</v>
      </c>
      <c r="EH47">
        <f>IF(Charts!$B$3="none",F254,IF(BT254="",NA(),BT254))</f>
        <v>0</v>
      </c>
      <c r="EI47">
        <f>IF(Charts!$B$3="none",G254,IF(BU254="",NA(),BU254))</f>
        <v>0</v>
      </c>
      <c r="EJ47">
        <f>IF(Charts!$B$3="none",H254,IF(BV254="",NA(),BV254))</f>
        <v>0</v>
      </c>
      <c r="EK47">
        <f>IF(Charts!$B$3="none",I254,IF(BW254="",NA(),BW254))</f>
        <v>0</v>
      </c>
      <c r="EL47">
        <f>IF(Charts!$B$3="none",J254,IF(BX254="",NA(),BX254))</f>
        <v>0</v>
      </c>
      <c r="EM47">
        <f>IF(Charts!$B$3="none",K254,IF(BY254="",NA(),BY254))</f>
        <v>0</v>
      </c>
      <c r="EN47">
        <f>IF(Charts!$B$3="none",L254,IF(BZ254="",NA(),BZ254))</f>
        <v>0</v>
      </c>
      <c r="EO47">
        <f>IF(Charts!$B$3="none",M254,IF(CA254="",NA(),CA254))</f>
        <v>0</v>
      </c>
      <c r="EP47">
        <f>IF(Charts!$B$3="none",N254,IF(CB254="",NA(),CB254))</f>
        <v>0</v>
      </c>
      <c r="EQ47">
        <f>IF(Charts!$B$3="none",O254,IF(CC254="",NA(),CC254))</f>
        <v>0</v>
      </c>
      <c r="ER47">
        <f>IF(Charts!$B$3="none",P254,IF(CD254="",NA(),CD254))</f>
        <v>0</v>
      </c>
      <c r="ES47">
        <f>IF(Charts!$B$3="none",Q254,IF(CE254="",NA(),CE254))</f>
        <v>0</v>
      </c>
      <c r="ET47">
        <f>IF(Charts!$B$3="none",R254,IF(CF254="",NA(),CF254))</f>
        <v>0</v>
      </c>
      <c r="EU47">
        <f>IF(Charts!$B$3="none",S254,IF(CG254="",NA(),CG254))</f>
        <v>0</v>
      </c>
      <c r="EV47">
        <f>IF(Charts!$B$3="none",T254,IF(CH254="",NA(),CH254))</f>
        <v>0</v>
      </c>
      <c r="EW47">
        <f>IF(Charts!$B$3="none",U254,IF(CI254="",NA(),CI254))</f>
        <v>0</v>
      </c>
      <c r="EX47">
        <f>IF(Charts!$B$3="none",V254,IF(CJ254="",NA(),CJ254))</f>
        <v>0</v>
      </c>
      <c r="EY47">
        <f>IF(Charts!$B$3="none",W254,IF(CK254="",NA(),CK254))</f>
        <v>0</v>
      </c>
      <c r="EZ47">
        <f>IF(Charts!$B$3="none",X254,IF(CL254="",NA(),CL254))</f>
        <v>0</v>
      </c>
      <c r="FA47">
        <f>IF(Charts!$B$3="none",Y254,IF(CM254="",NA(),CM254))</f>
        <v>0</v>
      </c>
      <c r="FB47">
        <f>IF(Charts!$B$3="none",Z254,IF(CN254="",NA(),CN254))</f>
        <v>0</v>
      </c>
      <c r="FC47">
        <f>IF(Charts!$B$3="none",AA254,IF(CO254="",NA(),CO254))</f>
        <v>0</v>
      </c>
      <c r="FD47">
        <f>IF(Charts!$B$3="none",AB254,IF(CP254="",NA(),CP254))</f>
        <v>0</v>
      </c>
      <c r="FE47">
        <f>IF(Charts!$B$3="none",AC254,IF(CQ254="",NA(),CQ254))</f>
        <v>0</v>
      </c>
      <c r="FF47">
        <f>IF(Charts!$B$3="none",AD254,IF(CR254="",NA(),CR254))</f>
        <v>0</v>
      </c>
      <c r="FG47">
        <f>IF(Charts!$B$3="none",AE254,IF(CS254="",NA(),CS254))</f>
        <v>0</v>
      </c>
      <c r="FH47">
        <f>IF(Charts!$B$3="none",AF254,IF(CT254="",NA(),CT254))</f>
        <v>0</v>
      </c>
      <c r="FI47">
        <f>IF(Charts!$B$3="none",AG254,IF(CU254="",NA(),CU254))</f>
        <v>0</v>
      </c>
      <c r="FJ47">
        <f>IF(Charts!$B$3="none",AH254,IF(CV254="",NA(),CV254))</f>
        <v>0</v>
      </c>
      <c r="FK47">
        <f>IF(Charts!$B$3="none",AI254,IF(CW254="",NA(),CW254))</f>
        <v>0</v>
      </c>
      <c r="FL47">
        <f>IF(Charts!$B$3="none",AJ254,IF(CX254="",NA(),CX254))</f>
        <v>0</v>
      </c>
      <c r="FM47">
        <f>IF(Charts!$B$3="none",AK254,IF(CY254="",NA(),CY254))</f>
        <v>0</v>
      </c>
      <c r="FN47">
        <f>IF(Charts!$B$3="none",AL254,IF(CZ254="",NA(),CZ254))</f>
        <v>0</v>
      </c>
      <c r="FO47">
        <f>IF(Charts!$B$3="none",AM254,IF(DA254="",NA(),DA254))</f>
        <v>0</v>
      </c>
      <c r="FP47">
        <f>IF(Charts!$B$3="none",AN254,IF(DB254="",NA(),DB254))</f>
        <v>0</v>
      </c>
      <c r="FQ47">
        <f>IF(Charts!$B$3="none",AO254,IF(DC254="",NA(),DC254))</f>
        <v>0</v>
      </c>
      <c r="FR47">
        <f>IF(Charts!$B$3="none",AP254,IF(DD254="",NA(),DD254))</f>
        <v>0</v>
      </c>
      <c r="FS47">
        <f>IF(Charts!$B$3="none",AQ254,IF(DE254="",NA(),DE254))</f>
        <v>0</v>
      </c>
      <c r="FT47">
        <f>IF(Charts!$B$3="none",AR254,IF(DF254="",NA(),DF254))</f>
        <v>0</v>
      </c>
      <c r="FU47">
        <f>IF(Charts!$B$3="none",AS254,IF(DG254="",NA(),DG254))</f>
        <v>0</v>
      </c>
      <c r="FV47">
        <f>IF(Charts!$B$3="none",AT254,IF(DH254="",NA(),DH254))</f>
        <v>0</v>
      </c>
      <c r="FW47">
        <f>IF(Charts!$B$3="none",AU254,IF(DI254="",NA(),DI254))</f>
        <v>0</v>
      </c>
      <c r="FX47">
        <f>IF(Charts!$B$3="none",AV254,IF(DJ254="",NA(),DJ254))</f>
        <v>0</v>
      </c>
      <c r="FY47">
        <f>IF(Charts!$B$3="none",AW254,IF(DK254="",NA(),DK254))</f>
        <v>0</v>
      </c>
      <c r="FZ47">
        <f>IF(Charts!$B$3="none",AX254,IF(DL254="",NA(),DL254))</f>
        <v>0</v>
      </c>
      <c r="GA47">
        <f>IF(Charts!$B$3="none",AY254,IF(DM254="",NA(),DM254))</f>
        <v>0</v>
      </c>
      <c r="GB47">
        <f>IF(Charts!$B$3="none",AZ254,IF(DN254="",NA(),DN254))</f>
        <v>0</v>
      </c>
      <c r="GC47">
        <f>IF(Charts!$B$3="none",BA254,IF(DO254="",NA(),DO254))</f>
        <v>0</v>
      </c>
      <c r="GD47">
        <f>IF(Charts!$B$3="none",BB254,IF(DP254="",NA(),DP254))</f>
        <v>0</v>
      </c>
      <c r="GE47">
        <f>IF(Charts!$B$3="none",BC254,IF(DQ254="",NA(),DQ254))</f>
        <v>0</v>
      </c>
      <c r="GF47">
        <f>IF(Charts!$B$3="none",BD254,IF(DR254="",NA(),DR254))</f>
        <v>0</v>
      </c>
      <c r="GG47">
        <f>IF(Charts!$B$3="none",BE254,IF(DS254="",NA(),DS254))</f>
        <v>0</v>
      </c>
      <c r="GH47">
        <f>IF(Charts!$B$3="none",BF254,IF(DT254="",NA(),DT254))</f>
        <v>0</v>
      </c>
      <c r="GI47">
        <f>IF(Charts!$B$3="none",BG254,IF(DU254="",NA(),DU254))</f>
        <v>0</v>
      </c>
      <c r="GJ47">
        <f>IF(Charts!$B$3="none",BH254,IF(DV254="",NA(),DV254))</f>
        <v>0</v>
      </c>
      <c r="GK47">
        <f>IF(Charts!$B$3="none",BI254,IF(DW254="",NA(),DW254))</f>
        <v>0</v>
      </c>
      <c r="GL47">
        <f>IF(Charts!$B$3="none",BJ254,IF(DX254="",NA(),DX254))</f>
        <v>0</v>
      </c>
      <c r="GM47">
        <f>IF(Charts!$B$3="none",BK254,IF(DY254="",NA(),DY254))</f>
        <v>0</v>
      </c>
      <c r="GN47">
        <f>IF(Charts!$B$3="none",BL254,IF(DZ254="",NA(),DZ254))</f>
        <v>0</v>
      </c>
      <c r="GO47">
        <f>IF(Charts!$B$3="none",BM254,IF(EA254="",NA(),EA254))</f>
        <v>0</v>
      </c>
      <c r="GP47">
        <f>IF(Charts!$B$3="none",BN254,IF(EB254="",NA(),EB254))</f>
        <v>0</v>
      </c>
      <c r="GQ47">
        <f>IF(Charts!$B$3="none",BO254,IF(EC254="",NA(),EC254))</f>
        <v>0</v>
      </c>
      <c r="GR47">
        <f>IF(Charts!$B$3="none",BP254,IF(ED254="",NA(),ED254))</f>
        <v>0</v>
      </c>
    </row>
    <row r="48" spans="4:200">
      <c r="E48">
        <v>2</v>
      </c>
      <c r="F48">
        <f>F6</f>
        <v>0</v>
      </c>
      <c r="G48">
        <v>2</v>
      </c>
      <c r="H48">
        <f>H6</f>
        <v>0</v>
      </c>
      <c r="I48">
        <v>2</v>
      </c>
      <c r="J48">
        <f>J6</f>
        <v>0</v>
      </c>
      <c r="K48">
        <v>2</v>
      </c>
      <c r="L48">
        <f>L6</f>
        <v>0</v>
      </c>
      <c r="M48">
        <v>2</v>
      </c>
      <c r="N48">
        <f>N6</f>
        <v>0</v>
      </c>
      <c r="O48">
        <v>2</v>
      </c>
      <c r="P48">
        <f>P6</f>
        <v>0</v>
      </c>
      <c r="Q48">
        <v>2</v>
      </c>
      <c r="R48">
        <f>R6</f>
        <v>0</v>
      </c>
      <c r="S48">
        <v>2</v>
      </c>
      <c r="T48">
        <f>T6</f>
        <v>0</v>
      </c>
      <c r="U48">
        <v>2</v>
      </c>
      <c r="V48">
        <f>V6</f>
        <v>0</v>
      </c>
      <c r="W48">
        <v>2</v>
      </c>
      <c r="X48">
        <f>X6</f>
        <v>0</v>
      </c>
      <c r="Y48">
        <v>2</v>
      </c>
      <c r="Z48">
        <f>Z6</f>
        <v>0</v>
      </c>
      <c r="AA48">
        <v>2</v>
      </c>
      <c r="AB48">
        <f>AB6</f>
        <v>0</v>
      </c>
      <c r="AC48">
        <v>2</v>
      </c>
      <c r="AD48">
        <f>AD6</f>
        <v>0</v>
      </c>
      <c r="AE48">
        <v>2</v>
      </c>
      <c r="AF48">
        <f>AF6</f>
        <v>0</v>
      </c>
      <c r="AG48">
        <v>2</v>
      </c>
      <c r="AH48">
        <f>AH6</f>
        <v>0</v>
      </c>
      <c r="AI48">
        <v>2</v>
      </c>
      <c r="AJ48">
        <f>AJ6</f>
        <v>0</v>
      </c>
      <c r="AK48">
        <v>2</v>
      </c>
      <c r="AL48">
        <f>AL6</f>
        <v>0</v>
      </c>
      <c r="AM48">
        <v>2</v>
      </c>
      <c r="AN48">
        <f>AN6</f>
        <v>0</v>
      </c>
      <c r="AO48">
        <v>2</v>
      </c>
      <c r="AP48">
        <f>AP6</f>
        <v>0</v>
      </c>
      <c r="AQ48">
        <v>2</v>
      </c>
      <c r="AR48">
        <f>AR6</f>
        <v>0</v>
      </c>
      <c r="AS48">
        <v>2</v>
      </c>
      <c r="AT48">
        <f>AT6</f>
        <v>0</v>
      </c>
      <c r="AU48">
        <v>2</v>
      </c>
      <c r="AV48">
        <f>AV6</f>
        <v>0</v>
      </c>
      <c r="AW48">
        <v>2</v>
      </c>
      <c r="AX48">
        <f>AX6</f>
        <v>0</v>
      </c>
      <c r="AY48">
        <v>2</v>
      </c>
      <c r="AZ48">
        <f>AZ6</f>
        <v>0</v>
      </c>
      <c r="BA48">
        <v>2</v>
      </c>
      <c r="BB48">
        <f>BB6</f>
        <v>0</v>
      </c>
      <c r="BC48">
        <v>2</v>
      </c>
      <c r="BD48">
        <f>BD6</f>
        <v>0</v>
      </c>
      <c r="BE48">
        <v>2</v>
      </c>
      <c r="BF48">
        <f>BF6</f>
        <v>0</v>
      </c>
      <c r="BG48">
        <v>2</v>
      </c>
      <c r="BH48">
        <f>BH6</f>
        <v>0</v>
      </c>
      <c r="BI48">
        <v>2</v>
      </c>
      <c r="BJ48">
        <f>BJ6</f>
        <v>0</v>
      </c>
      <c r="BK48">
        <v>2</v>
      </c>
      <c r="BL48">
        <f>BL6</f>
        <v>0</v>
      </c>
      <c r="BM48">
        <v>2</v>
      </c>
      <c r="BN48">
        <f>BN6</f>
        <v>0</v>
      </c>
      <c r="BO48">
        <v>2</v>
      </c>
      <c r="BP48">
        <f>BP6</f>
        <v>0</v>
      </c>
      <c r="BS48">
        <v>2</v>
      </c>
      <c r="BT48">
        <f>BT6</f>
        <v>0</v>
      </c>
      <c r="BU48">
        <v>2</v>
      </c>
      <c r="BV48">
        <f>BV6</f>
        <v>0</v>
      </c>
      <c r="BW48">
        <v>2</v>
      </c>
      <c r="BX48">
        <f>BX6</f>
        <v>0</v>
      </c>
      <c r="BY48">
        <v>2</v>
      </c>
      <c r="BZ48">
        <f>BZ6</f>
        <v>0</v>
      </c>
      <c r="CA48">
        <v>2</v>
      </c>
      <c r="CB48">
        <f>CB6</f>
        <v>0</v>
      </c>
      <c r="CC48">
        <v>2</v>
      </c>
      <c r="CD48">
        <f>CD6</f>
        <v>0</v>
      </c>
      <c r="CE48">
        <v>2</v>
      </c>
      <c r="CF48">
        <f>CF6</f>
        <v>0</v>
      </c>
      <c r="CG48">
        <v>2</v>
      </c>
      <c r="CH48">
        <f>CH6</f>
        <v>0</v>
      </c>
      <c r="CI48">
        <v>2</v>
      </c>
      <c r="CJ48">
        <f>CJ6</f>
        <v>0</v>
      </c>
      <c r="CK48">
        <v>2</v>
      </c>
      <c r="CL48">
        <f>CL6</f>
        <v>0</v>
      </c>
      <c r="CM48">
        <v>2</v>
      </c>
      <c r="CN48">
        <f>CN6</f>
        <v>0</v>
      </c>
      <c r="CO48">
        <v>2</v>
      </c>
      <c r="CP48">
        <f>CP6</f>
        <v>0</v>
      </c>
      <c r="CQ48">
        <v>2</v>
      </c>
      <c r="CR48">
        <f>CR6</f>
        <v>0</v>
      </c>
      <c r="CS48">
        <v>2</v>
      </c>
      <c r="CT48">
        <f>CT6</f>
        <v>0</v>
      </c>
      <c r="CU48">
        <v>2</v>
      </c>
      <c r="CV48">
        <f>CV6</f>
        <v>0</v>
      </c>
      <c r="CW48">
        <v>2</v>
      </c>
      <c r="CX48">
        <f>CX6</f>
        <v>0</v>
      </c>
      <c r="CY48">
        <v>2</v>
      </c>
      <c r="CZ48">
        <f>CZ6</f>
        <v>0</v>
      </c>
      <c r="DA48">
        <v>2</v>
      </c>
      <c r="DB48">
        <f>DB6</f>
        <v>0</v>
      </c>
      <c r="DC48">
        <v>2</v>
      </c>
      <c r="DD48">
        <f>DD6</f>
        <v>0</v>
      </c>
      <c r="DE48">
        <v>2</v>
      </c>
      <c r="DF48">
        <f>DF6</f>
        <v>0</v>
      </c>
      <c r="DG48">
        <v>2</v>
      </c>
      <c r="DH48">
        <f>DH6</f>
        <v>0</v>
      </c>
      <c r="DI48">
        <v>2</v>
      </c>
      <c r="DJ48">
        <f>DJ6</f>
        <v>0</v>
      </c>
      <c r="DK48">
        <v>2</v>
      </c>
      <c r="DL48">
        <f>DL6</f>
        <v>0</v>
      </c>
      <c r="DM48">
        <v>2</v>
      </c>
      <c r="DN48">
        <f>DN6</f>
        <v>0</v>
      </c>
      <c r="DO48">
        <v>2</v>
      </c>
      <c r="DP48">
        <f>DP6</f>
        <v>0</v>
      </c>
      <c r="DQ48">
        <v>2</v>
      </c>
      <c r="DR48">
        <f>DR6</f>
        <v>0</v>
      </c>
      <c r="DS48">
        <v>2</v>
      </c>
      <c r="DT48">
        <f>DT6</f>
        <v>0</v>
      </c>
      <c r="DU48">
        <v>2</v>
      </c>
      <c r="DV48">
        <f>DV6</f>
        <v>0</v>
      </c>
      <c r="DW48">
        <v>2</v>
      </c>
      <c r="DX48">
        <f>DX6</f>
        <v>0</v>
      </c>
      <c r="DY48">
        <v>2</v>
      </c>
      <c r="DZ48">
        <f>DZ6</f>
        <v>0</v>
      </c>
      <c r="EA48">
        <v>2</v>
      </c>
      <c r="EB48">
        <f>EB6</f>
        <v>0</v>
      </c>
      <c r="EC48">
        <v>2</v>
      </c>
      <c r="ED48">
        <f>ED6</f>
        <v>0</v>
      </c>
      <c r="EG48">
        <f>IF(Charts!$B$3="none",E255,IF(BS255="",NA(),BS255))</f>
        <v>0</v>
      </c>
      <c r="EH48">
        <f>IF(Charts!$B$3="none",F255,IF(BT255="",NA(),BT255))</f>
        <v>0</v>
      </c>
      <c r="EI48">
        <f>IF(Charts!$B$3="none",G255,IF(BU255="",NA(),BU255))</f>
        <v>0</v>
      </c>
      <c r="EJ48">
        <f>IF(Charts!$B$3="none",H255,IF(BV255="",NA(),BV255))</f>
        <v>0</v>
      </c>
      <c r="EK48">
        <f>IF(Charts!$B$3="none",I255,IF(BW255="",NA(),BW255))</f>
        <v>0</v>
      </c>
      <c r="EL48">
        <f>IF(Charts!$B$3="none",J255,IF(BX255="",NA(),BX255))</f>
        <v>0</v>
      </c>
      <c r="EM48">
        <f>IF(Charts!$B$3="none",K255,IF(BY255="",NA(),BY255))</f>
        <v>0</v>
      </c>
      <c r="EN48">
        <f>IF(Charts!$B$3="none",L255,IF(BZ255="",NA(),BZ255))</f>
        <v>0</v>
      </c>
      <c r="EO48">
        <f>IF(Charts!$B$3="none",M255,IF(CA255="",NA(),CA255))</f>
        <v>0</v>
      </c>
      <c r="EP48">
        <f>IF(Charts!$B$3="none",N255,IF(CB255="",NA(),CB255))</f>
        <v>0</v>
      </c>
      <c r="EQ48">
        <f>IF(Charts!$B$3="none",O255,IF(CC255="",NA(),CC255))</f>
        <v>0</v>
      </c>
      <c r="ER48">
        <f>IF(Charts!$B$3="none",P255,IF(CD255="",NA(),CD255))</f>
        <v>0</v>
      </c>
      <c r="ES48">
        <f>IF(Charts!$B$3="none",Q255,IF(CE255="",NA(),CE255))</f>
        <v>0</v>
      </c>
      <c r="ET48">
        <f>IF(Charts!$B$3="none",R255,IF(CF255="",NA(),CF255))</f>
        <v>0</v>
      </c>
      <c r="EU48">
        <f>IF(Charts!$B$3="none",S255,IF(CG255="",NA(),CG255))</f>
        <v>0</v>
      </c>
      <c r="EV48">
        <f>IF(Charts!$B$3="none",T255,IF(CH255="",NA(),CH255))</f>
        <v>0</v>
      </c>
      <c r="EW48">
        <f>IF(Charts!$B$3="none",U255,IF(CI255="",NA(),CI255))</f>
        <v>0</v>
      </c>
      <c r="EX48">
        <f>IF(Charts!$B$3="none",V255,IF(CJ255="",NA(),CJ255))</f>
        <v>0</v>
      </c>
      <c r="EY48">
        <f>IF(Charts!$B$3="none",W255,IF(CK255="",NA(),CK255))</f>
        <v>0</v>
      </c>
      <c r="EZ48">
        <f>IF(Charts!$B$3="none",X255,IF(CL255="",NA(),CL255))</f>
        <v>0</v>
      </c>
      <c r="FA48">
        <f>IF(Charts!$B$3="none",Y255,IF(CM255="",NA(),CM255))</f>
        <v>0</v>
      </c>
      <c r="FB48">
        <f>IF(Charts!$B$3="none",Z255,IF(CN255="",NA(),CN255))</f>
        <v>0</v>
      </c>
      <c r="FC48">
        <f>IF(Charts!$B$3="none",AA255,IF(CO255="",NA(),CO255))</f>
        <v>0</v>
      </c>
      <c r="FD48">
        <f>IF(Charts!$B$3="none",AB255,IF(CP255="",NA(),CP255))</f>
        <v>0</v>
      </c>
      <c r="FE48">
        <f>IF(Charts!$B$3="none",AC255,IF(CQ255="",NA(),CQ255))</f>
        <v>0</v>
      </c>
      <c r="FF48">
        <f>IF(Charts!$B$3="none",AD255,IF(CR255="",NA(),CR255))</f>
        <v>0</v>
      </c>
      <c r="FG48">
        <f>IF(Charts!$B$3="none",AE255,IF(CS255="",NA(),CS255))</f>
        <v>0</v>
      </c>
      <c r="FH48">
        <f>IF(Charts!$B$3="none",AF255,IF(CT255="",NA(),CT255))</f>
        <v>0</v>
      </c>
      <c r="FI48">
        <f>IF(Charts!$B$3="none",AG255,IF(CU255="",NA(),CU255))</f>
        <v>0</v>
      </c>
      <c r="FJ48">
        <f>IF(Charts!$B$3="none",AH255,IF(CV255="",NA(),CV255))</f>
        <v>0</v>
      </c>
      <c r="FK48">
        <f>IF(Charts!$B$3="none",AI255,IF(CW255="",NA(),CW255))</f>
        <v>0</v>
      </c>
      <c r="FL48">
        <f>IF(Charts!$B$3="none",AJ255,IF(CX255="",NA(),CX255))</f>
        <v>0</v>
      </c>
      <c r="FM48">
        <f>IF(Charts!$B$3="none",AK255,IF(CY255="",NA(),CY255))</f>
        <v>0</v>
      </c>
      <c r="FN48">
        <f>IF(Charts!$B$3="none",AL255,IF(CZ255="",NA(),CZ255))</f>
        <v>0</v>
      </c>
      <c r="FO48">
        <f>IF(Charts!$B$3="none",AM255,IF(DA255="",NA(),DA255))</f>
        <v>0</v>
      </c>
      <c r="FP48">
        <f>IF(Charts!$B$3="none",AN255,IF(DB255="",NA(),DB255))</f>
        <v>0</v>
      </c>
      <c r="FQ48">
        <f>IF(Charts!$B$3="none",AO255,IF(DC255="",NA(),DC255))</f>
        <v>0</v>
      </c>
      <c r="FR48">
        <f>IF(Charts!$B$3="none",AP255,IF(DD255="",NA(),DD255))</f>
        <v>0</v>
      </c>
      <c r="FS48">
        <f>IF(Charts!$B$3="none",AQ255,IF(DE255="",NA(),DE255))</f>
        <v>0</v>
      </c>
      <c r="FT48">
        <f>IF(Charts!$B$3="none",AR255,IF(DF255="",NA(),DF255))</f>
        <v>0</v>
      </c>
      <c r="FU48">
        <f>IF(Charts!$B$3="none",AS255,IF(DG255="",NA(),DG255))</f>
        <v>0</v>
      </c>
      <c r="FV48">
        <f>IF(Charts!$B$3="none",AT255,IF(DH255="",NA(),DH255))</f>
        <v>0</v>
      </c>
      <c r="FW48">
        <f>IF(Charts!$B$3="none",AU255,IF(DI255="",NA(),DI255))</f>
        <v>0</v>
      </c>
      <c r="FX48">
        <f>IF(Charts!$B$3="none",AV255,IF(DJ255="",NA(),DJ255))</f>
        <v>0</v>
      </c>
      <c r="FY48">
        <f>IF(Charts!$B$3="none",AW255,IF(DK255="",NA(),DK255))</f>
        <v>0</v>
      </c>
      <c r="FZ48">
        <f>IF(Charts!$B$3="none",AX255,IF(DL255="",NA(),DL255))</f>
        <v>0</v>
      </c>
      <c r="GA48">
        <f>IF(Charts!$B$3="none",AY255,IF(DM255="",NA(),DM255))</f>
        <v>0</v>
      </c>
      <c r="GB48">
        <f>IF(Charts!$B$3="none",AZ255,IF(DN255="",NA(),DN255))</f>
        <v>0</v>
      </c>
      <c r="GC48">
        <f>IF(Charts!$B$3="none",BA255,IF(DO255="",NA(),DO255))</f>
        <v>0</v>
      </c>
      <c r="GD48">
        <f>IF(Charts!$B$3="none",BB255,IF(DP255="",NA(),DP255))</f>
        <v>0</v>
      </c>
      <c r="GE48">
        <f>IF(Charts!$B$3="none",BC255,IF(DQ255="",NA(),DQ255))</f>
        <v>0</v>
      </c>
      <c r="GF48">
        <f>IF(Charts!$B$3="none",BD255,IF(DR255="",NA(),DR255))</f>
        <v>0</v>
      </c>
      <c r="GG48">
        <f>IF(Charts!$B$3="none",BE255,IF(DS255="",NA(),DS255))</f>
        <v>0</v>
      </c>
      <c r="GH48">
        <f>IF(Charts!$B$3="none",BF255,IF(DT255="",NA(),DT255))</f>
        <v>0</v>
      </c>
      <c r="GI48">
        <f>IF(Charts!$B$3="none",BG255,IF(DU255="",NA(),DU255))</f>
        <v>0</v>
      </c>
      <c r="GJ48">
        <f>IF(Charts!$B$3="none",BH255,IF(DV255="",NA(),DV255))</f>
        <v>0</v>
      </c>
      <c r="GK48">
        <f>IF(Charts!$B$3="none",BI255,IF(DW255="",NA(),DW255))</f>
        <v>0</v>
      </c>
      <c r="GL48">
        <f>IF(Charts!$B$3="none",BJ255,IF(DX255="",NA(),DX255))</f>
        <v>0</v>
      </c>
      <c r="GM48">
        <f>IF(Charts!$B$3="none",BK255,IF(DY255="",NA(),DY255))</f>
        <v>0</v>
      </c>
      <c r="GN48">
        <f>IF(Charts!$B$3="none",BL255,IF(DZ255="",NA(),DZ255))</f>
        <v>0</v>
      </c>
      <c r="GO48">
        <f>IF(Charts!$B$3="none",BM255,IF(EA255="",NA(),EA255))</f>
        <v>0</v>
      </c>
      <c r="GP48">
        <f>IF(Charts!$B$3="none",BN255,IF(EB255="",NA(),EB255))</f>
        <v>0</v>
      </c>
      <c r="GQ48">
        <f>IF(Charts!$B$3="none",BO255,IF(EC255="",NA(),EC255))</f>
        <v>0</v>
      </c>
      <c r="GR48">
        <f>IF(Charts!$B$3="none",BP255,IF(ED255="",NA(),ED255))</f>
        <v>0</v>
      </c>
    </row>
    <row r="49" spans="5:200">
      <c r="E49">
        <v>3</v>
      </c>
      <c r="F49">
        <f>F7</f>
        <v>0</v>
      </c>
      <c r="G49">
        <v>3</v>
      </c>
      <c r="H49">
        <f>H7</f>
        <v>0</v>
      </c>
      <c r="I49">
        <v>3</v>
      </c>
      <c r="J49">
        <f>J7</f>
        <v>0</v>
      </c>
      <c r="K49">
        <v>3</v>
      </c>
      <c r="L49">
        <f>L7</f>
        <v>0</v>
      </c>
      <c r="M49">
        <v>3</v>
      </c>
      <c r="N49">
        <f>N7</f>
        <v>0</v>
      </c>
      <c r="O49">
        <v>3</v>
      </c>
      <c r="P49">
        <f>P7</f>
        <v>0</v>
      </c>
      <c r="Q49">
        <v>3</v>
      </c>
      <c r="R49">
        <f>R7</f>
        <v>0</v>
      </c>
      <c r="S49">
        <v>3</v>
      </c>
      <c r="T49">
        <f>T7</f>
        <v>0</v>
      </c>
      <c r="U49">
        <v>3</v>
      </c>
      <c r="V49">
        <f>V7</f>
        <v>0</v>
      </c>
      <c r="W49">
        <v>3</v>
      </c>
      <c r="X49">
        <f>X7</f>
        <v>0</v>
      </c>
      <c r="Y49">
        <v>3</v>
      </c>
      <c r="Z49">
        <f>Z7</f>
        <v>0</v>
      </c>
      <c r="AA49">
        <v>3</v>
      </c>
      <c r="AB49">
        <f>AB7</f>
        <v>0</v>
      </c>
      <c r="AC49">
        <v>3</v>
      </c>
      <c r="AD49">
        <f>AD7</f>
        <v>0</v>
      </c>
      <c r="AE49">
        <v>3</v>
      </c>
      <c r="AF49">
        <f>AF7</f>
        <v>0</v>
      </c>
      <c r="AG49">
        <v>3</v>
      </c>
      <c r="AH49">
        <f>AH7</f>
        <v>0</v>
      </c>
      <c r="AI49">
        <v>3</v>
      </c>
      <c r="AJ49">
        <f>AJ7</f>
        <v>0</v>
      </c>
      <c r="AK49">
        <v>3</v>
      </c>
      <c r="AL49">
        <f>AL7</f>
        <v>0</v>
      </c>
      <c r="AM49">
        <v>3</v>
      </c>
      <c r="AN49">
        <f>AN7</f>
        <v>0</v>
      </c>
      <c r="AO49">
        <v>3</v>
      </c>
      <c r="AP49">
        <f>AP7</f>
        <v>0</v>
      </c>
      <c r="AQ49">
        <v>3</v>
      </c>
      <c r="AR49">
        <f>AR7</f>
        <v>0</v>
      </c>
      <c r="AS49">
        <v>3</v>
      </c>
      <c r="AT49">
        <f>AT7</f>
        <v>0</v>
      </c>
      <c r="AU49">
        <v>3</v>
      </c>
      <c r="AV49">
        <f>AV7</f>
        <v>0</v>
      </c>
      <c r="AW49">
        <v>3</v>
      </c>
      <c r="AX49">
        <f>AX7</f>
        <v>0</v>
      </c>
      <c r="AY49">
        <v>3</v>
      </c>
      <c r="AZ49">
        <f>AZ7</f>
        <v>0</v>
      </c>
      <c r="BA49">
        <v>3</v>
      </c>
      <c r="BB49">
        <f>BB7</f>
        <v>0</v>
      </c>
      <c r="BC49">
        <v>3</v>
      </c>
      <c r="BD49">
        <f>BD7</f>
        <v>0</v>
      </c>
      <c r="BE49">
        <v>3</v>
      </c>
      <c r="BF49">
        <f>BF7</f>
        <v>0</v>
      </c>
      <c r="BG49">
        <v>3</v>
      </c>
      <c r="BH49">
        <f>BH7</f>
        <v>0</v>
      </c>
      <c r="BI49">
        <v>3</v>
      </c>
      <c r="BJ49">
        <f>BJ7</f>
        <v>0</v>
      </c>
      <c r="BK49">
        <v>3</v>
      </c>
      <c r="BL49">
        <f>BL7</f>
        <v>0</v>
      </c>
      <c r="BM49">
        <v>3</v>
      </c>
      <c r="BN49">
        <f>BN7</f>
        <v>0</v>
      </c>
      <c r="BO49">
        <v>3</v>
      </c>
      <c r="BP49">
        <f>BP7</f>
        <v>0</v>
      </c>
      <c r="BS49">
        <v>3</v>
      </c>
      <c r="BT49">
        <f>BT7</f>
        <v>0</v>
      </c>
      <c r="BU49">
        <v>3</v>
      </c>
      <c r="BV49">
        <f>BV7</f>
        <v>0</v>
      </c>
      <c r="BW49">
        <v>3</v>
      </c>
      <c r="BX49">
        <f>BX7</f>
        <v>0</v>
      </c>
      <c r="BY49">
        <v>3</v>
      </c>
      <c r="BZ49">
        <f>BZ7</f>
        <v>0</v>
      </c>
      <c r="CA49">
        <v>3</v>
      </c>
      <c r="CB49">
        <f>CB7</f>
        <v>0</v>
      </c>
      <c r="CC49">
        <v>3</v>
      </c>
      <c r="CD49">
        <f>CD7</f>
        <v>0</v>
      </c>
      <c r="CE49">
        <v>3</v>
      </c>
      <c r="CF49">
        <f>CF7</f>
        <v>0</v>
      </c>
      <c r="CG49">
        <v>3</v>
      </c>
      <c r="CH49">
        <f>CH7</f>
        <v>0</v>
      </c>
      <c r="CI49">
        <v>3</v>
      </c>
      <c r="CJ49">
        <f>CJ7</f>
        <v>0</v>
      </c>
      <c r="CK49">
        <v>3</v>
      </c>
      <c r="CL49">
        <f>CL7</f>
        <v>0</v>
      </c>
      <c r="CM49">
        <v>3</v>
      </c>
      <c r="CN49">
        <f>CN7</f>
        <v>0</v>
      </c>
      <c r="CO49">
        <v>3</v>
      </c>
      <c r="CP49">
        <f>CP7</f>
        <v>0</v>
      </c>
      <c r="CQ49">
        <v>3</v>
      </c>
      <c r="CR49">
        <f>CR7</f>
        <v>0</v>
      </c>
      <c r="CS49">
        <v>3</v>
      </c>
      <c r="CT49">
        <f>CT7</f>
        <v>0</v>
      </c>
      <c r="CU49">
        <v>3</v>
      </c>
      <c r="CV49">
        <f>CV7</f>
        <v>0</v>
      </c>
      <c r="CW49">
        <v>3</v>
      </c>
      <c r="CX49">
        <f>CX7</f>
        <v>0</v>
      </c>
      <c r="CY49">
        <v>3</v>
      </c>
      <c r="CZ49">
        <f>CZ7</f>
        <v>0</v>
      </c>
      <c r="DA49">
        <v>3</v>
      </c>
      <c r="DB49">
        <f>DB7</f>
        <v>0</v>
      </c>
      <c r="DC49">
        <v>3</v>
      </c>
      <c r="DD49">
        <f>DD7</f>
        <v>0</v>
      </c>
      <c r="DE49">
        <v>3</v>
      </c>
      <c r="DF49">
        <f>DF7</f>
        <v>0</v>
      </c>
      <c r="DG49">
        <v>3</v>
      </c>
      <c r="DH49">
        <f>DH7</f>
        <v>0</v>
      </c>
      <c r="DI49">
        <v>3</v>
      </c>
      <c r="DJ49">
        <f>DJ7</f>
        <v>0</v>
      </c>
      <c r="DK49">
        <v>3</v>
      </c>
      <c r="DL49">
        <f>DL7</f>
        <v>0</v>
      </c>
      <c r="DM49">
        <v>3</v>
      </c>
      <c r="DN49">
        <f>DN7</f>
        <v>0</v>
      </c>
      <c r="DO49">
        <v>3</v>
      </c>
      <c r="DP49">
        <f>DP7</f>
        <v>0</v>
      </c>
      <c r="DQ49">
        <v>3</v>
      </c>
      <c r="DR49">
        <f>DR7</f>
        <v>0</v>
      </c>
      <c r="DS49">
        <v>3</v>
      </c>
      <c r="DT49">
        <f>DT7</f>
        <v>0</v>
      </c>
      <c r="DU49">
        <v>3</v>
      </c>
      <c r="DV49">
        <f>DV7</f>
        <v>0</v>
      </c>
      <c r="DW49">
        <v>3</v>
      </c>
      <c r="DX49">
        <f>DX7</f>
        <v>0</v>
      </c>
      <c r="DY49">
        <v>3</v>
      </c>
      <c r="DZ49">
        <f>DZ7</f>
        <v>0</v>
      </c>
      <c r="EA49">
        <v>3</v>
      </c>
      <c r="EB49">
        <f>EB7</f>
        <v>0</v>
      </c>
      <c r="EC49">
        <v>3</v>
      </c>
      <c r="ED49">
        <f>ED7</f>
        <v>0</v>
      </c>
      <c r="EG49">
        <f>IF(Charts!$B$3="none",E256,IF(BS256="",NA(),BS256))</f>
        <v>0</v>
      </c>
      <c r="EH49">
        <f>IF(Charts!$B$3="none",F256,IF(BT256="",NA(),BT256))</f>
        <v>0</v>
      </c>
      <c r="EI49">
        <f>IF(Charts!$B$3="none",G256,IF(BU256="",NA(),BU256))</f>
        <v>0</v>
      </c>
      <c r="EJ49">
        <f>IF(Charts!$B$3="none",H256,IF(BV256="",NA(),BV256))</f>
        <v>0</v>
      </c>
      <c r="EK49">
        <f>IF(Charts!$B$3="none",I256,IF(BW256="",NA(),BW256))</f>
        <v>0</v>
      </c>
      <c r="EL49">
        <f>IF(Charts!$B$3="none",J256,IF(BX256="",NA(),BX256))</f>
        <v>0</v>
      </c>
      <c r="EM49">
        <f>IF(Charts!$B$3="none",K256,IF(BY256="",NA(),BY256))</f>
        <v>0</v>
      </c>
      <c r="EN49">
        <f>IF(Charts!$B$3="none",L256,IF(BZ256="",NA(),BZ256))</f>
        <v>0</v>
      </c>
      <c r="EO49">
        <f>IF(Charts!$B$3="none",M256,IF(CA256="",NA(),CA256))</f>
        <v>0</v>
      </c>
      <c r="EP49">
        <f>IF(Charts!$B$3="none",N256,IF(CB256="",NA(),CB256))</f>
        <v>0</v>
      </c>
      <c r="EQ49">
        <f>IF(Charts!$B$3="none",O256,IF(CC256="",NA(),CC256))</f>
        <v>0</v>
      </c>
      <c r="ER49">
        <f>IF(Charts!$B$3="none",P256,IF(CD256="",NA(),CD256))</f>
        <v>0</v>
      </c>
      <c r="ES49">
        <f>IF(Charts!$B$3="none",Q256,IF(CE256="",NA(),CE256))</f>
        <v>0</v>
      </c>
      <c r="ET49">
        <f>IF(Charts!$B$3="none",R256,IF(CF256="",NA(),CF256))</f>
        <v>0</v>
      </c>
      <c r="EU49">
        <f>IF(Charts!$B$3="none",S256,IF(CG256="",NA(),CG256))</f>
        <v>0</v>
      </c>
      <c r="EV49">
        <f>IF(Charts!$B$3="none",T256,IF(CH256="",NA(),CH256))</f>
        <v>0</v>
      </c>
      <c r="EW49">
        <f>IF(Charts!$B$3="none",U256,IF(CI256="",NA(),CI256))</f>
        <v>0</v>
      </c>
      <c r="EX49">
        <f>IF(Charts!$B$3="none",V256,IF(CJ256="",NA(),CJ256))</f>
        <v>0</v>
      </c>
      <c r="EY49">
        <f>IF(Charts!$B$3="none",W256,IF(CK256="",NA(),CK256))</f>
        <v>0</v>
      </c>
      <c r="EZ49">
        <f>IF(Charts!$B$3="none",X256,IF(CL256="",NA(),CL256))</f>
        <v>0</v>
      </c>
      <c r="FA49">
        <f>IF(Charts!$B$3="none",Y256,IF(CM256="",NA(),CM256))</f>
        <v>0</v>
      </c>
      <c r="FB49">
        <f>IF(Charts!$B$3="none",Z256,IF(CN256="",NA(),CN256))</f>
        <v>0</v>
      </c>
      <c r="FC49">
        <f>IF(Charts!$B$3="none",AA256,IF(CO256="",NA(),CO256))</f>
        <v>0</v>
      </c>
      <c r="FD49">
        <f>IF(Charts!$B$3="none",AB256,IF(CP256="",NA(),CP256))</f>
        <v>0</v>
      </c>
      <c r="FE49">
        <f>IF(Charts!$B$3="none",AC256,IF(CQ256="",NA(),CQ256))</f>
        <v>0</v>
      </c>
      <c r="FF49">
        <f>IF(Charts!$B$3="none",AD256,IF(CR256="",NA(),CR256))</f>
        <v>0</v>
      </c>
      <c r="FG49">
        <f>IF(Charts!$B$3="none",AE256,IF(CS256="",NA(),CS256))</f>
        <v>0</v>
      </c>
      <c r="FH49">
        <f>IF(Charts!$B$3="none",AF256,IF(CT256="",NA(),CT256))</f>
        <v>0</v>
      </c>
      <c r="FI49">
        <f>IF(Charts!$B$3="none",AG256,IF(CU256="",NA(),CU256))</f>
        <v>0</v>
      </c>
      <c r="FJ49">
        <f>IF(Charts!$B$3="none",AH256,IF(CV256="",NA(),CV256))</f>
        <v>0</v>
      </c>
      <c r="FK49">
        <f>IF(Charts!$B$3="none",AI256,IF(CW256="",NA(),CW256))</f>
        <v>0</v>
      </c>
      <c r="FL49">
        <f>IF(Charts!$B$3="none",AJ256,IF(CX256="",NA(),CX256))</f>
        <v>0</v>
      </c>
      <c r="FM49">
        <f>IF(Charts!$B$3="none",AK256,IF(CY256="",NA(),CY256))</f>
        <v>0</v>
      </c>
      <c r="FN49">
        <f>IF(Charts!$B$3="none",AL256,IF(CZ256="",NA(),CZ256))</f>
        <v>0</v>
      </c>
      <c r="FO49">
        <f>IF(Charts!$B$3="none",AM256,IF(DA256="",NA(),DA256))</f>
        <v>0</v>
      </c>
      <c r="FP49">
        <f>IF(Charts!$B$3="none",AN256,IF(DB256="",NA(),DB256))</f>
        <v>0</v>
      </c>
      <c r="FQ49">
        <f>IF(Charts!$B$3="none",AO256,IF(DC256="",NA(),DC256))</f>
        <v>0</v>
      </c>
      <c r="FR49">
        <f>IF(Charts!$B$3="none",AP256,IF(DD256="",NA(),DD256))</f>
        <v>0</v>
      </c>
      <c r="FS49">
        <f>IF(Charts!$B$3="none",AQ256,IF(DE256="",NA(),DE256))</f>
        <v>0</v>
      </c>
      <c r="FT49">
        <f>IF(Charts!$B$3="none",AR256,IF(DF256="",NA(),DF256))</f>
        <v>0</v>
      </c>
      <c r="FU49">
        <f>IF(Charts!$B$3="none",AS256,IF(DG256="",NA(),DG256))</f>
        <v>0</v>
      </c>
      <c r="FV49">
        <f>IF(Charts!$B$3="none",AT256,IF(DH256="",NA(),DH256))</f>
        <v>0</v>
      </c>
      <c r="FW49">
        <f>IF(Charts!$B$3="none",AU256,IF(DI256="",NA(),DI256))</f>
        <v>0</v>
      </c>
      <c r="FX49">
        <f>IF(Charts!$B$3="none",AV256,IF(DJ256="",NA(),DJ256))</f>
        <v>0</v>
      </c>
      <c r="FY49">
        <f>IF(Charts!$B$3="none",AW256,IF(DK256="",NA(),DK256))</f>
        <v>0</v>
      </c>
      <c r="FZ49">
        <f>IF(Charts!$B$3="none",AX256,IF(DL256="",NA(),DL256))</f>
        <v>0</v>
      </c>
      <c r="GA49">
        <f>IF(Charts!$B$3="none",AY256,IF(DM256="",NA(),DM256))</f>
        <v>0</v>
      </c>
      <c r="GB49">
        <f>IF(Charts!$B$3="none",AZ256,IF(DN256="",NA(),DN256))</f>
        <v>0</v>
      </c>
      <c r="GC49">
        <f>IF(Charts!$B$3="none",BA256,IF(DO256="",NA(),DO256))</f>
        <v>0</v>
      </c>
      <c r="GD49">
        <f>IF(Charts!$B$3="none",BB256,IF(DP256="",NA(),DP256))</f>
        <v>0</v>
      </c>
      <c r="GE49">
        <f>IF(Charts!$B$3="none",BC256,IF(DQ256="",NA(),DQ256))</f>
        <v>0</v>
      </c>
      <c r="GF49">
        <f>IF(Charts!$B$3="none",BD256,IF(DR256="",NA(),DR256))</f>
        <v>0</v>
      </c>
      <c r="GG49">
        <f>IF(Charts!$B$3="none",BE256,IF(DS256="",NA(),DS256))</f>
        <v>0</v>
      </c>
      <c r="GH49">
        <f>IF(Charts!$B$3="none",BF256,IF(DT256="",NA(),DT256))</f>
        <v>0</v>
      </c>
      <c r="GI49">
        <f>IF(Charts!$B$3="none",BG256,IF(DU256="",NA(),DU256))</f>
        <v>0</v>
      </c>
      <c r="GJ49">
        <f>IF(Charts!$B$3="none",BH256,IF(DV256="",NA(),DV256))</f>
        <v>0</v>
      </c>
      <c r="GK49">
        <f>IF(Charts!$B$3="none",BI256,IF(DW256="",NA(),DW256))</f>
        <v>0</v>
      </c>
      <c r="GL49">
        <f>IF(Charts!$B$3="none",BJ256,IF(DX256="",NA(),DX256))</f>
        <v>0</v>
      </c>
      <c r="GM49">
        <f>IF(Charts!$B$3="none",BK256,IF(DY256="",NA(),DY256))</f>
        <v>0</v>
      </c>
      <c r="GN49">
        <f>IF(Charts!$B$3="none",BL256,IF(DZ256="",NA(),DZ256))</f>
        <v>0</v>
      </c>
      <c r="GO49">
        <f>IF(Charts!$B$3="none",BM256,IF(EA256="",NA(),EA256))</f>
        <v>0</v>
      </c>
      <c r="GP49">
        <f>IF(Charts!$B$3="none",BN256,IF(EB256="",NA(),EB256))</f>
        <v>0</v>
      </c>
      <c r="GQ49">
        <f>IF(Charts!$B$3="none",BO256,IF(EC256="",NA(),EC256))</f>
        <v>0</v>
      </c>
      <c r="GR49">
        <f>IF(Charts!$B$3="none",BP256,IF(ED256="",NA(),ED256))</f>
        <v>0</v>
      </c>
    </row>
    <row r="50" spans="5:200">
      <c r="E50">
        <v>4</v>
      </c>
      <c r="F50">
        <f>F8</f>
        <v>0</v>
      </c>
      <c r="G50">
        <v>4</v>
      </c>
      <c r="H50">
        <f>H8</f>
        <v>0</v>
      </c>
      <c r="I50">
        <v>4</v>
      </c>
      <c r="J50">
        <f>J8</f>
        <v>0</v>
      </c>
      <c r="K50">
        <v>4</v>
      </c>
      <c r="L50">
        <f>L8</f>
        <v>0</v>
      </c>
      <c r="M50">
        <v>4</v>
      </c>
      <c r="N50">
        <f>N8</f>
        <v>0</v>
      </c>
      <c r="O50">
        <v>4</v>
      </c>
      <c r="P50">
        <f>P8</f>
        <v>0</v>
      </c>
      <c r="Q50">
        <v>4</v>
      </c>
      <c r="R50">
        <f>R8</f>
        <v>0</v>
      </c>
      <c r="S50">
        <v>4</v>
      </c>
      <c r="T50">
        <f>T8</f>
        <v>0</v>
      </c>
      <c r="U50">
        <v>4</v>
      </c>
      <c r="V50">
        <f>V8</f>
        <v>0</v>
      </c>
      <c r="W50">
        <v>4</v>
      </c>
      <c r="X50">
        <f>X8</f>
        <v>0</v>
      </c>
      <c r="Y50">
        <v>4</v>
      </c>
      <c r="Z50">
        <f>Z8</f>
        <v>0</v>
      </c>
      <c r="AA50">
        <v>4</v>
      </c>
      <c r="AB50">
        <f>AB8</f>
        <v>0</v>
      </c>
      <c r="AC50">
        <v>4</v>
      </c>
      <c r="AD50">
        <f>AD8</f>
        <v>0</v>
      </c>
      <c r="AE50">
        <v>4</v>
      </c>
      <c r="AF50">
        <f>AF8</f>
        <v>0</v>
      </c>
      <c r="AG50">
        <v>4</v>
      </c>
      <c r="AH50">
        <f>AH8</f>
        <v>0</v>
      </c>
      <c r="AI50">
        <v>4</v>
      </c>
      <c r="AJ50">
        <f>AJ8</f>
        <v>0</v>
      </c>
      <c r="AK50">
        <v>4</v>
      </c>
      <c r="AL50">
        <f>AL8</f>
        <v>0</v>
      </c>
      <c r="AM50">
        <v>4</v>
      </c>
      <c r="AN50">
        <f>AN8</f>
        <v>0</v>
      </c>
      <c r="AO50">
        <v>4</v>
      </c>
      <c r="AP50">
        <f>AP8</f>
        <v>0</v>
      </c>
      <c r="AQ50">
        <v>4</v>
      </c>
      <c r="AR50">
        <f>AR8</f>
        <v>0</v>
      </c>
      <c r="AS50">
        <v>4</v>
      </c>
      <c r="AT50">
        <f>AT8</f>
        <v>0</v>
      </c>
      <c r="AU50">
        <v>4</v>
      </c>
      <c r="AV50">
        <f>AV8</f>
        <v>0</v>
      </c>
      <c r="AW50">
        <v>4</v>
      </c>
      <c r="AX50">
        <f>AX8</f>
        <v>0</v>
      </c>
      <c r="AY50">
        <v>4</v>
      </c>
      <c r="AZ50">
        <f>AZ8</f>
        <v>0</v>
      </c>
      <c r="BA50">
        <v>4</v>
      </c>
      <c r="BB50">
        <f>BB8</f>
        <v>0</v>
      </c>
      <c r="BC50">
        <v>4</v>
      </c>
      <c r="BD50">
        <f>BD8</f>
        <v>0</v>
      </c>
      <c r="BE50">
        <v>4</v>
      </c>
      <c r="BF50">
        <f>BF8</f>
        <v>0</v>
      </c>
      <c r="BG50">
        <v>4</v>
      </c>
      <c r="BH50">
        <f>BH8</f>
        <v>0</v>
      </c>
      <c r="BI50">
        <v>4</v>
      </c>
      <c r="BJ50">
        <f>BJ8</f>
        <v>0</v>
      </c>
      <c r="BK50">
        <v>4</v>
      </c>
      <c r="BL50">
        <f>BL8</f>
        <v>0</v>
      </c>
      <c r="BM50">
        <v>4</v>
      </c>
      <c r="BN50">
        <f>BN8</f>
        <v>0</v>
      </c>
      <c r="BO50">
        <v>4</v>
      </c>
      <c r="BP50">
        <f>BP8</f>
        <v>0</v>
      </c>
      <c r="BS50">
        <v>4</v>
      </c>
      <c r="BT50">
        <f>BT8</f>
        <v>0</v>
      </c>
      <c r="BU50">
        <v>4</v>
      </c>
      <c r="BV50">
        <f>BV8</f>
        <v>0</v>
      </c>
      <c r="BW50">
        <v>4</v>
      </c>
      <c r="BX50">
        <f>BX8</f>
        <v>0</v>
      </c>
      <c r="BY50">
        <v>4</v>
      </c>
      <c r="BZ50">
        <f>BZ8</f>
        <v>0</v>
      </c>
      <c r="CA50">
        <v>4</v>
      </c>
      <c r="CB50">
        <f>CB8</f>
        <v>0</v>
      </c>
      <c r="CC50">
        <v>4</v>
      </c>
      <c r="CD50">
        <f>CD8</f>
        <v>0</v>
      </c>
      <c r="CE50">
        <v>4</v>
      </c>
      <c r="CF50">
        <f>CF8</f>
        <v>0</v>
      </c>
      <c r="CG50">
        <v>4</v>
      </c>
      <c r="CH50">
        <f>CH8</f>
        <v>0</v>
      </c>
      <c r="CI50">
        <v>4</v>
      </c>
      <c r="CJ50">
        <f>CJ8</f>
        <v>0</v>
      </c>
      <c r="CK50">
        <v>4</v>
      </c>
      <c r="CL50">
        <f>CL8</f>
        <v>0</v>
      </c>
      <c r="CM50">
        <v>4</v>
      </c>
      <c r="CN50">
        <f>CN8</f>
        <v>0</v>
      </c>
      <c r="CO50">
        <v>4</v>
      </c>
      <c r="CP50">
        <f>CP8</f>
        <v>0</v>
      </c>
      <c r="CQ50">
        <v>4</v>
      </c>
      <c r="CR50">
        <f>CR8</f>
        <v>0</v>
      </c>
      <c r="CS50">
        <v>4</v>
      </c>
      <c r="CT50">
        <f>CT8</f>
        <v>0</v>
      </c>
      <c r="CU50">
        <v>4</v>
      </c>
      <c r="CV50">
        <f>CV8</f>
        <v>0</v>
      </c>
      <c r="CW50">
        <v>4</v>
      </c>
      <c r="CX50">
        <f>CX8</f>
        <v>0</v>
      </c>
      <c r="CY50">
        <v>4</v>
      </c>
      <c r="CZ50">
        <f>CZ8</f>
        <v>0</v>
      </c>
      <c r="DA50">
        <v>4</v>
      </c>
      <c r="DB50">
        <f>DB8</f>
        <v>0</v>
      </c>
      <c r="DC50">
        <v>4</v>
      </c>
      <c r="DD50">
        <f>DD8</f>
        <v>0</v>
      </c>
      <c r="DE50">
        <v>4</v>
      </c>
      <c r="DF50">
        <f>DF8</f>
        <v>0</v>
      </c>
      <c r="DG50">
        <v>4</v>
      </c>
      <c r="DH50">
        <f>DH8</f>
        <v>0</v>
      </c>
      <c r="DI50">
        <v>4</v>
      </c>
      <c r="DJ50">
        <f>DJ8</f>
        <v>0</v>
      </c>
      <c r="DK50">
        <v>4</v>
      </c>
      <c r="DL50">
        <f>DL8</f>
        <v>0</v>
      </c>
      <c r="DM50">
        <v>4</v>
      </c>
      <c r="DN50">
        <f>DN8</f>
        <v>0</v>
      </c>
      <c r="DO50">
        <v>4</v>
      </c>
      <c r="DP50">
        <f>DP8</f>
        <v>0</v>
      </c>
      <c r="DQ50">
        <v>4</v>
      </c>
      <c r="DR50">
        <f>DR8</f>
        <v>0</v>
      </c>
      <c r="DS50">
        <v>4</v>
      </c>
      <c r="DT50">
        <f>DT8</f>
        <v>0</v>
      </c>
      <c r="DU50">
        <v>4</v>
      </c>
      <c r="DV50">
        <f>DV8</f>
        <v>0</v>
      </c>
      <c r="DW50">
        <v>4</v>
      </c>
      <c r="DX50">
        <f>DX8</f>
        <v>0</v>
      </c>
      <c r="DY50">
        <v>4</v>
      </c>
      <c r="DZ50">
        <f>DZ8</f>
        <v>0</v>
      </c>
      <c r="EA50">
        <v>4</v>
      </c>
      <c r="EB50">
        <f>EB8</f>
        <v>0</v>
      </c>
      <c r="EC50">
        <v>4</v>
      </c>
      <c r="ED50">
        <f>ED8</f>
        <v>0</v>
      </c>
      <c r="EG50">
        <f>IF(Charts!$B$3="none",E257,IF(BS257="",NA(),BS257))</f>
        <v>0</v>
      </c>
      <c r="EH50">
        <f>IF(Charts!$B$3="none",F257,IF(BT257="",NA(),BT257))</f>
        <v>0</v>
      </c>
      <c r="EI50">
        <f>IF(Charts!$B$3="none",G257,IF(BU257="",NA(),BU257))</f>
        <v>0</v>
      </c>
      <c r="EJ50">
        <f>IF(Charts!$B$3="none",H257,IF(BV257="",NA(),BV257))</f>
        <v>0</v>
      </c>
      <c r="EK50">
        <f>IF(Charts!$B$3="none",I257,IF(BW257="",NA(),BW257))</f>
        <v>0</v>
      </c>
      <c r="EL50">
        <f>IF(Charts!$B$3="none",J257,IF(BX257="",NA(),BX257))</f>
        <v>0</v>
      </c>
      <c r="EM50">
        <f>IF(Charts!$B$3="none",K257,IF(BY257="",NA(),BY257))</f>
        <v>0</v>
      </c>
      <c r="EN50">
        <f>IF(Charts!$B$3="none",L257,IF(BZ257="",NA(),BZ257))</f>
        <v>0</v>
      </c>
      <c r="EO50">
        <f>IF(Charts!$B$3="none",M257,IF(CA257="",NA(),CA257))</f>
        <v>0</v>
      </c>
      <c r="EP50">
        <f>IF(Charts!$B$3="none",N257,IF(CB257="",NA(),CB257))</f>
        <v>0</v>
      </c>
      <c r="EQ50">
        <f>IF(Charts!$B$3="none",O257,IF(CC257="",NA(),CC257))</f>
        <v>0</v>
      </c>
      <c r="ER50">
        <f>IF(Charts!$B$3="none",P257,IF(CD257="",NA(),CD257))</f>
        <v>0</v>
      </c>
      <c r="ES50">
        <f>IF(Charts!$B$3="none",Q257,IF(CE257="",NA(),CE257))</f>
        <v>0</v>
      </c>
      <c r="ET50">
        <f>IF(Charts!$B$3="none",R257,IF(CF257="",NA(),CF257))</f>
        <v>0</v>
      </c>
      <c r="EU50">
        <f>IF(Charts!$B$3="none",S257,IF(CG257="",NA(),CG257))</f>
        <v>0</v>
      </c>
      <c r="EV50">
        <f>IF(Charts!$B$3="none",T257,IF(CH257="",NA(),CH257))</f>
        <v>0</v>
      </c>
      <c r="EW50">
        <f>IF(Charts!$B$3="none",U257,IF(CI257="",NA(),CI257))</f>
        <v>0</v>
      </c>
      <c r="EX50">
        <f>IF(Charts!$B$3="none",V257,IF(CJ257="",NA(),CJ257))</f>
        <v>0</v>
      </c>
      <c r="EY50">
        <f>IF(Charts!$B$3="none",W257,IF(CK257="",NA(),CK257))</f>
        <v>0</v>
      </c>
      <c r="EZ50">
        <f>IF(Charts!$B$3="none",X257,IF(CL257="",NA(),CL257))</f>
        <v>0</v>
      </c>
      <c r="FA50">
        <f>IF(Charts!$B$3="none",Y257,IF(CM257="",NA(),CM257))</f>
        <v>0</v>
      </c>
      <c r="FB50">
        <f>IF(Charts!$B$3="none",Z257,IF(CN257="",NA(),CN257))</f>
        <v>0</v>
      </c>
      <c r="FC50">
        <f>IF(Charts!$B$3="none",AA257,IF(CO257="",NA(),CO257))</f>
        <v>0</v>
      </c>
      <c r="FD50">
        <f>IF(Charts!$B$3="none",AB257,IF(CP257="",NA(),CP257))</f>
        <v>0</v>
      </c>
      <c r="FE50">
        <f>IF(Charts!$B$3="none",AC257,IF(CQ257="",NA(),CQ257))</f>
        <v>0</v>
      </c>
      <c r="FF50">
        <f>IF(Charts!$B$3="none",AD257,IF(CR257="",NA(),CR257))</f>
        <v>0</v>
      </c>
      <c r="FG50">
        <f>IF(Charts!$B$3="none",AE257,IF(CS257="",NA(),CS257))</f>
        <v>0</v>
      </c>
      <c r="FH50">
        <f>IF(Charts!$B$3="none",AF257,IF(CT257="",NA(),CT257))</f>
        <v>0</v>
      </c>
      <c r="FI50">
        <f>IF(Charts!$B$3="none",AG257,IF(CU257="",NA(),CU257))</f>
        <v>0</v>
      </c>
      <c r="FJ50">
        <f>IF(Charts!$B$3="none",AH257,IF(CV257="",NA(),CV257))</f>
        <v>0</v>
      </c>
      <c r="FK50">
        <f>IF(Charts!$B$3="none",AI257,IF(CW257="",NA(),CW257))</f>
        <v>0</v>
      </c>
      <c r="FL50">
        <f>IF(Charts!$B$3="none",AJ257,IF(CX257="",NA(),CX257))</f>
        <v>0</v>
      </c>
      <c r="FM50">
        <f>IF(Charts!$B$3="none",AK257,IF(CY257="",NA(),CY257))</f>
        <v>0</v>
      </c>
      <c r="FN50">
        <f>IF(Charts!$B$3="none",AL257,IF(CZ257="",NA(),CZ257))</f>
        <v>0</v>
      </c>
      <c r="FO50">
        <f>IF(Charts!$B$3="none",AM257,IF(DA257="",NA(),DA257))</f>
        <v>0</v>
      </c>
      <c r="FP50">
        <f>IF(Charts!$B$3="none",AN257,IF(DB257="",NA(),DB257))</f>
        <v>0</v>
      </c>
      <c r="FQ50">
        <f>IF(Charts!$B$3="none",AO257,IF(DC257="",NA(),DC257))</f>
        <v>0</v>
      </c>
      <c r="FR50">
        <f>IF(Charts!$B$3="none",AP257,IF(DD257="",NA(),DD257))</f>
        <v>0</v>
      </c>
      <c r="FS50">
        <f>IF(Charts!$B$3="none",AQ257,IF(DE257="",NA(),DE257))</f>
        <v>0</v>
      </c>
      <c r="FT50">
        <f>IF(Charts!$B$3="none",AR257,IF(DF257="",NA(),DF257))</f>
        <v>0</v>
      </c>
      <c r="FU50">
        <f>IF(Charts!$B$3="none",AS257,IF(DG257="",NA(),DG257))</f>
        <v>0</v>
      </c>
      <c r="FV50">
        <f>IF(Charts!$B$3="none",AT257,IF(DH257="",NA(),DH257))</f>
        <v>0</v>
      </c>
      <c r="FW50">
        <f>IF(Charts!$B$3="none",AU257,IF(DI257="",NA(),DI257))</f>
        <v>0</v>
      </c>
      <c r="FX50">
        <f>IF(Charts!$B$3="none",AV257,IF(DJ257="",NA(),DJ257))</f>
        <v>0</v>
      </c>
      <c r="FY50">
        <f>IF(Charts!$B$3="none",AW257,IF(DK257="",NA(),DK257))</f>
        <v>0</v>
      </c>
      <c r="FZ50">
        <f>IF(Charts!$B$3="none",AX257,IF(DL257="",NA(),DL257))</f>
        <v>0</v>
      </c>
      <c r="GA50">
        <f>IF(Charts!$B$3="none",AY257,IF(DM257="",NA(),DM257))</f>
        <v>0</v>
      </c>
      <c r="GB50">
        <f>IF(Charts!$B$3="none",AZ257,IF(DN257="",NA(),DN257))</f>
        <v>0</v>
      </c>
      <c r="GC50">
        <f>IF(Charts!$B$3="none",BA257,IF(DO257="",NA(),DO257))</f>
        <v>0</v>
      </c>
      <c r="GD50">
        <f>IF(Charts!$B$3="none",BB257,IF(DP257="",NA(),DP257))</f>
        <v>0</v>
      </c>
      <c r="GE50">
        <f>IF(Charts!$B$3="none",BC257,IF(DQ257="",NA(),DQ257))</f>
        <v>0</v>
      </c>
      <c r="GF50">
        <f>IF(Charts!$B$3="none",BD257,IF(DR257="",NA(),DR257))</f>
        <v>0</v>
      </c>
      <c r="GG50">
        <f>IF(Charts!$B$3="none",BE257,IF(DS257="",NA(),DS257))</f>
        <v>0</v>
      </c>
      <c r="GH50">
        <f>IF(Charts!$B$3="none",BF257,IF(DT257="",NA(),DT257))</f>
        <v>0</v>
      </c>
      <c r="GI50">
        <f>IF(Charts!$B$3="none",BG257,IF(DU257="",NA(),DU257))</f>
        <v>0</v>
      </c>
      <c r="GJ50">
        <f>IF(Charts!$B$3="none",BH257,IF(DV257="",NA(),DV257))</f>
        <v>0</v>
      </c>
      <c r="GK50">
        <f>IF(Charts!$B$3="none",BI257,IF(DW257="",NA(),DW257))</f>
        <v>0</v>
      </c>
      <c r="GL50">
        <f>IF(Charts!$B$3="none",BJ257,IF(DX257="",NA(),DX257))</f>
        <v>0</v>
      </c>
      <c r="GM50">
        <f>IF(Charts!$B$3="none",BK257,IF(DY257="",NA(),DY257))</f>
        <v>0</v>
      </c>
      <c r="GN50">
        <f>IF(Charts!$B$3="none",BL257,IF(DZ257="",NA(),DZ257))</f>
        <v>0</v>
      </c>
      <c r="GO50">
        <f>IF(Charts!$B$3="none",BM257,IF(EA257="",NA(),EA257))</f>
        <v>0</v>
      </c>
      <c r="GP50">
        <f>IF(Charts!$B$3="none",BN257,IF(EB257="",NA(),EB257))</f>
        <v>0</v>
      </c>
      <c r="GQ50">
        <f>IF(Charts!$B$3="none",BO257,IF(EC257="",NA(),EC257))</f>
        <v>0</v>
      </c>
      <c r="GR50">
        <f>IF(Charts!$B$3="none",BP257,IF(ED257="",NA(),ED257))</f>
        <v>0</v>
      </c>
    </row>
    <row r="51" spans="5:200">
      <c r="E51">
        <v>5</v>
      </c>
      <c r="F51">
        <f>F9</f>
        <v>0</v>
      </c>
      <c r="G51">
        <v>5</v>
      </c>
      <c r="H51">
        <f>H9</f>
        <v>0</v>
      </c>
      <c r="I51">
        <v>5</v>
      </c>
      <c r="J51">
        <f>J9</f>
        <v>0</v>
      </c>
      <c r="K51">
        <v>5</v>
      </c>
      <c r="L51">
        <f>L9</f>
        <v>0</v>
      </c>
      <c r="M51">
        <v>5</v>
      </c>
      <c r="N51">
        <f>N9</f>
        <v>0</v>
      </c>
      <c r="O51">
        <v>5</v>
      </c>
      <c r="P51">
        <f>P9</f>
        <v>0</v>
      </c>
      <c r="Q51">
        <v>5</v>
      </c>
      <c r="R51">
        <f>R9</f>
        <v>0</v>
      </c>
      <c r="S51">
        <v>5</v>
      </c>
      <c r="T51">
        <f>T9</f>
        <v>0</v>
      </c>
      <c r="U51">
        <v>5</v>
      </c>
      <c r="V51">
        <f>V9</f>
        <v>0</v>
      </c>
      <c r="W51">
        <v>5</v>
      </c>
      <c r="X51">
        <f>X9</f>
        <v>0</v>
      </c>
      <c r="Y51">
        <v>5</v>
      </c>
      <c r="Z51">
        <f>Z9</f>
        <v>0</v>
      </c>
      <c r="AA51">
        <v>5</v>
      </c>
      <c r="AB51">
        <f>AB9</f>
        <v>0</v>
      </c>
      <c r="AC51">
        <v>5</v>
      </c>
      <c r="AD51">
        <f>AD9</f>
        <v>0</v>
      </c>
      <c r="AE51">
        <v>5</v>
      </c>
      <c r="AF51">
        <f>AF9</f>
        <v>0</v>
      </c>
      <c r="AG51">
        <v>5</v>
      </c>
      <c r="AH51">
        <f>AH9</f>
        <v>0</v>
      </c>
      <c r="AI51">
        <v>5</v>
      </c>
      <c r="AJ51">
        <f>AJ9</f>
        <v>0</v>
      </c>
      <c r="AK51">
        <v>5</v>
      </c>
      <c r="AL51">
        <f>AL9</f>
        <v>0</v>
      </c>
      <c r="AM51">
        <v>5</v>
      </c>
      <c r="AN51">
        <f>AN9</f>
        <v>0</v>
      </c>
      <c r="AO51">
        <v>5</v>
      </c>
      <c r="AP51">
        <f>AP9</f>
        <v>0</v>
      </c>
      <c r="AQ51">
        <v>5</v>
      </c>
      <c r="AR51">
        <f>AR9</f>
        <v>0</v>
      </c>
      <c r="AS51">
        <v>5</v>
      </c>
      <c r="AT51">
        <f>AT9</f>
        <v>0</v>
      </c>
      <c r="AU51">
        <v>5</v>
      </c>
      <c r="AV51">
        <f>AV9</f>
        <v>0</v>
      </c>
      <c r="AW51">
        <v>5</v>
      </c>
      <c r="AX51">
        <f>AX9</f>
        <v>0</v>
      </c>
      <c r="AY51">
        <v>5</v>
      </c>
      <c r="AZ51">
        <f>AZ9</f>
        <v>0</v>
      </c>
      <c r="BA51">
        <v>5</v>
      </c>
      <c r="BB51">
        <f>BB9</f>
        <v>0</v>
      </c>
      <c r="BC51">
        <v>5</v>
      </c>
      <c r="BD51">
        <f>BD9</f>
        <v>0</v>
      </c>
      <c r="BE51">
        <v>5</v>
      </c>
      <c r="BF51">
        <f>BF9</f>
        <v>0</v>
      </c>
      <c r="BG51">
        <v>5</v>
      </c>
      <c r="BH51">
        <f>BH9</f>
        <v>0</v>
      </c>
      <c r="BI51">
        <v>5</v>
      </c>
      <c r="BJ51">
        <f>BJ9</f>
        <v>0</v>
      </c>
      <c r="BK51">
        <v>5</v>
      </c>
      <c r="BL51">
        <f>BL9</f>
        <v>0</v>
      </c>
      <c r="BM51">
        <v>5</v>
      </c>
      <c r="BN51">
        <f>BN9</f>
        <v>0</v>
      </c>
      <c r="BO51">
        <v>5</v>
      </c>
      <c r="BP51">
        <f>BP9</f>
        <v>0</v>
      </c>
      <c r="BS51">
        <v>5</v>
      </c>
      <c r="BT51">
        <f>BT9</f>
        <v>0</v>
      </c>
      <c r="BU51">
        <v>5</v>
      </c>
      <c r="BV51">
        <f>BV9</f>
        <v>0</v>
      </c>
      <c r="BW51">
        <v>5</v>
      </c>
      <c r="BX51">
        <f>BX9</f>
        <v>0</v>
      </c>
      <c r="BY51">
        <v>5</v>
      </c>
      <c r="BZ51">
        <f>BZ9</f>
        <v>0</v>
      </c>
      <c r="CA51">
        <v>5</v>
      </c>
      <c r="CB51">
        <f>CB9</f>
        <v>0</v>
      </c>
      <c r="CC51">
        <v>5</v>
      </c>
      <c r="CD51">
        <f>CD9</f>
        <v>0</v>
      </c>
      <c r="CE51">
        <v>5</v>
      </c>
      <c r="CF51">
        <f>CF9</f>
        <v>0</v>
      </c>
      <c r="CG51">
        <v>5</v>
      </c>
      <c r="CH51">
        <f>CH9</f>
        <v>0</v>
      </c>
      <c r="CI51">
        <v>5</v>
      </c>
      <c r="CJ51">
        <f>CJ9</f>
        <v>0</v>
      </c>
      <c r="CK51">
        <v>5</v>
      </c>
      <c r="CL51">
        <f>CL9</f>
        <v>0</v>
      </c>
      <c r="CM51">
        <v>5</v>
      </c>
      <c r="CN51">
        <f>CN9</f>
        <v>0</v>
      </c>
      <c r="CO51">
        <v>5</v>
      </c>
      <c r="CP51">
        <f>CP9</f>
        <v>0</v>
      </c>
      <c r="CQ51">
        <v>5</v>
      </c>
      <c r="CR51">
        <f>CR9</f>
        <v>0</v>
      </c>
      <c r="CS51">
        <v>5</v>
      </c>
      <c r="CT51">
        <f>CT9</f>
        <v>0</v>
      </c>
      <c r="CU51">
        <v>5</v>
      </c>
      <c r="CV51">
        <f>CV9</f>
        <v>0</v>
      </c>
      <c r="CW51">
        <v>5</v>
      </c>
      <c r="CX51">
        <f>CX9</f>
        <v>0</v>
      </c>
      <c r="CY51">
        <v>5</v>
      </c>
      <c r="CZ51">
        <f>CZ9</f>
        <v>0</v>
      </c>
      <c r="DA51">
        <v>5</v>
      </c>
      <c r="DB51">
        <f>DB9</f>
        <v>0</v>
      </c>
      <c r="DC51">
        <v>5</v>
      </c>
      <c r="DD51">
        <f>DD9</f>
        <v>0</v>
      </c>
      <c r="DE51">
        <v>5</v>
      </c>
      <c r="DF51">
        <f>DF9</f>
        <v>0</v>
      </c>
      <c r="DG51">
        <v>5</v>
      </c>
      <c r="DH51">
        <f>DH9</f>
        <v>0</v>
      </c>
      <c r="DI51">
        <v>5</v>
      </c>
      <c r="DJ51">
        <f>DJ9</f>
        <v>0</v>
      </c>
      <c r="DK51">
        <v>5</v>
      </c>
      <c r="DL51">
        <f>DL9</f>
        <v>0</v>
      </c>
      <c r="DM51">
        <v>5</v>
      </c>
      <c r="DN51">
        <f>DN9</f>
        <v>0</v>
      </c>
      <c r="DO51">
        <v>5</v>
      </c>
      <c r="DP51">
        <f>DP9</f>
        <v>0</v>
      </c>
      <c r="DQ51">
        <v>5</v>
      </c>
      <c r="DR51">
        <f>DR9</f>
        <v>0</v>
      </c>
      <c r="DS51">
        <v>5</v>
      </c>
      <c r="DT51">
        <f>DT9</f>
        <v>0</v>
      </c>
      <c r="DU51">
        <v>5</v>
      </c>
      <c r="DV51">
        <f>DV9</f>
        <v>0</v>
      </c>
      <c r="DW51">
        <v>5</v>
      </c>
      <c r="DX51">
        <f>DX9</f>
        <v>0</v>
      </c>
      <c r="DY51">
        <v>5</v>
      </c>
      <c r="DZ51">
        <f>DZ9</f>
        <v>0</v>
      </c>
      <c r="EA51">
        <v>5</v>
      </c>
      <c r="EB51">
        <f>EB9</f>
        <v>0</v>
      </c>
      <c r="EC51">
        <v>5</v>
      </c>
      <c r="ED51">
        <f>ED9</f>
        <v>0</v>
      </c>
      <c r="EG51">
        <f>IF(Charts!$B$3="none",E258,IF(BS258="",NA(),BS258))</f>
        <v>0</v>
      </c>
      <c r="EH51">
        <f>IF(Charts!$B$3="none",F258,IF(BT258="",NA(),BT258))</f>
        <v>0</v>
      </c>
      <c r="EI51">
        <f>IF(Charts!$B$3="none",G258,IF(BU258="",NA(),BU258))</f>
        <v>0</v>
      </c>
      <c r="EJ51">
        <f>IF(Charts!$B$3="none",H258,IF(BV258="",NA(),BV258))</f>
        <v>0</v>
      </c>
      <c r="EK51">
        <f>IF(Charts!$B$3="none",I258,IF(BW258="",NA(),BW258))</f>
        <v>0</v>
      </c>
      <c r="EL51">
        <f>IF(Charts!$B$3="none",J258,IF(BX258="",NA(),BX258))</f>
        <v>0</v>
      </c>
      <c r="EM51">
        <f>IF(Charts!$B$3="none",K258,IF(BY258="",NA(),BY258))</f>
        <v>0</v>
      </c>
      <c r="EN51">
        <f>IF(Charts!$B$3="none",L258,IF(BZ258="",NA(),BZ258))</f>
        <v>0</v>
      </c>
      <c r="EO51">
        <f>IF(Charts!$B$3="none",M258,IF(CA258="",NA(),CA258))</f>
        <v>0</v>
      </c>
      <c r="EP51">
        <f>IF(Charts!$B$3="none",N258,IF(CB258="",NA(),CB258))</f>
        <v>0</v>
      </c>
      <c r="EQ51">
        <f>IF(Charts!$B$3="none",O258,IF(CC258="",NA(),CC258))</f>
        <v>0</v>
      </c>
      <c r="ER51">
        <f>IF(Charts!$B$3="none",P258,IF(CD258="",NA(),CD258))</f>
        <v>0</v>
      </c>
      <c r="ES51">
        <f>IF(Charts!$B$3="none",Q258,IF(CE258="",NA(),CE258))</f>
        <v>0</v>
      </c>
      <c r="ET51">
        <f>IF(Charts!$B$3="none",R258,IF(CF258="",NA(),CF258))</f>
        <v>0</v>
      </c>
      <c r="EU51">
        <f>IF(Charts!$B$3="none",S258,IF(CG258="",NA(),CG258))</f>
        <v>0</v>
      </c>
      <c r="EV51">
        <f>IF(Charts!$B$3="none",T258,IF(CH258="",NA(),CH258))</f>
        <v>0</v>
      </c>
      <c r="EW51">
        <f>IF(Charts!$B$3="none",U258,IF(CI258="",NA(),CI258))</f>
        <v>0</v>
      </c>
      <c r="EX51">
        <f>IF(Charts!$B$3="none",V258,IF(CJ258="",NA(),CJ258))</f>
        <v>0</v>
      </c>
      <c r="EY51">
        <f>IF(Charts!$B$3="none",W258,IF(CK258="",NA(),CK258))</f>
        <v>0</v>
      </c>
      <c r="EZ51">
        <f>IF(Charts!$B$3="none",X258,IF(CL258="",NA(),CL258))</f>
        <v>0</v>
      </c>
      <c r="FA51">
        <f>IF(Charts!$B$3="none",Y258,IF(CM258="",NA(),CM258))</f>
        <v>0</v>
      </c>
      <c r="FB51">
        <f>IF(Charts!$B$3="none",Z258,IF(CN258="",NA(),CN258))</f>
        <v>0</v>
      </c>
      <c r="FC51">
        <f>IF(Charts!$B$3="none",AA258,IF(CO258="",NA(),CO258))</f>
        <v>0</v>
      </c>
      <c r="FD51">
        <f>IF(Charts!$B$3="none",AB258,IF(CP258="",NA(),CP258))</f>
        <v>0</v>
      </c>
      <c r="FE51">
        <f>IF(Charts!$B$3="none",AC258,IF(CQ258="",NA(),CQ258))</f>
        <v>0</v>
      </c>
      <c r="FF51">
        <f>IF(Charts!$B$3="none",AD258,IF(CR258="",NA(),CR258))</f>
        <v>0</v>
      </c>
      <c r="FG51">
        <f>IF(Charts!$B$3="none",AE258,IF(CS258="",NA(),CS258))</f>
        <v>0</v>
      </c>
      <c r="FH51">
        <f>IF(Charts!$B$3="none",AF258,IF(CT258="",NA(),CT258))</f>
        <v>0</v>
      </c>
      <c r="FI51">
        <f>IF(Charts!$B$3="none",AG258,IF(CU258="",NA(),CU258))</f>
        <v>0</v>
      </c>
      <c r="FJ51">
        <f>IF(Charts!$B$3="none",AH258,IF(CV258="",NA(),CV258))</f>
        <v>0</v>
      </c>
      <c r="FK51">
        <f>IF(Charts!$B$3="none",AI258,IF(CW258="",NA(),CW258))</f>
        <v>0</v>
      </c>
      <c r="FL51">
        <f>IF(Charts!$B$3="none",AJ258,IF(CX258="",NA(),CX258))</f>
        <v>0</v>
      </c>
      <c r="FM51">
        <f>IF(Charts!$B$3="none",AK258,IF(CY258="",NA(),CY258))</f>
        <v>0</v>
      </c>
      <c r="FN51">
        <f>IF(Charts!$B$3="none",AL258,IF(CZ258="",NA(),CZ258))</f>
        <v>0</v>
      </c>
      <c r="FO51">
        <f>IF(Charts!$B$3="none",AM258,IF(DA258="",NA(),DA258))</f>
        <v>0</v>
      </c>
      <c r="FP51">
        <f>IF(Charts!$B$3="none",AN258,IF(DB258="",NA(),DB258))</f>
        <v>0</v>
      </c>
      <c r="FQ51">
        <f>IF(Charts!$B$3="none",AO258,IF(DC258="",NA(),DC258))</f>
        <v>0</v>
      </c>
      <c r="FR51">
        <f>IF(Charts!$B$3="none",AP258,IF(DD258="",NA(),DD258))</f>
        <v>0</v>
      </c>
      <c r="FS51">
        <f>IF(Charts!$B$3="none",AQ258,IF(DE258="",NA(),DE258))</f>
        <v>0</v>
      </c>
      <c r="FT51">
        <f>IF(Charts!$B$3="none",AR258,IF(DF258="",NA(),DF258))</f>
        <v>0</v>
      </c>
      <c r="FU51">
        <f>IF(Charts!$B$3="none",AS258,IF(DG258="",NA(),DG258))</f>
        <v>0</v>
      </c>
      <c r="FV51">
        <f>IF(Charts!$B$3="none",AT258,IF(DH258="",NA(),DH258))</f>
        <v>0</v>
      </c>
      <c r="FW51">
        <f>IF(Charts!$B$3="none",AU258,IF(DI258="",NA(),DI258))</f>
        <v>0</v>
      </c>
      <c r="FX51">
        <f>IF(Charts!$B$3="none",AV258,IF(DJ258="",NA(),DJ258))</f>
        <v>0</v>
      </c>
      <c r="FY51">
        <f>IF(Charts!$B$3="none",AW258,IF(DK258="",NA(),DK258))</f>
        <v>0</v>
      </c>
      <c r="FZ51">
        <f>IF(Charts!$B$3="none",AX258,IF(DL258="",NA(),DL258))</f>
        <v>0</v>
      </c>
      <c r="GA51">
        <f>IF(Charts!$B$3="none",AY258,IF(DM258="",NA(),DM258))</f>
        <v>0</v>
      </c>
      <c r="GB51">
        <f>IF(Charts!$B$3="none",AZ258,IF(DN258="",NA(),DN258))</f>
        <v>0</v>
      </c>
      <c r="GC51">
        <f>IF(Charts!$B$3="none",BA258,IF(DO258="",NA(),DO258))</f>
        <v>0</v>
      </c>
      <c r="GD51">
        <f>IF(Charts!$B$3="none",BB258,IF(DP258="",NA(),DP258))</f>
        <v>0</v>
      </c>
      <c r="GE51">
        <f>IF(Charts!$B$3="none",BC258,IF(DQ258="",NA(),DQ258))</f>
        <v>0</v>
      </c>
      <c r="GF51">
        <f>IF(Charts!$B$3="none",BD258,IF(DR258="",NA(),DR258))</f>
        <v>0</v>
      </c>
      <c r="GG51">
        <f>IF(Charts!$B$3="none",BE258,IF(DS258="",NA(),DS258))</f>
        <v>0</v>
      </c>
      <c r="GH51">
        <f>IF(Charts!$B$3="none",BF258,IF(DT258="",NA(),DT258))</f>
        <v>0</v>
      </c>
      <c r="GI51">
        <f>IF(Charts!$B$3="none",BG258,IF(DU258="",NA(),DU258))</f>
        <v>0</v>
      </c>
      <c r="GJ51">
        <f>IF(Charts!$B$3="none",BH258,IF(DV258="",NA(),DV258))</f>
        <v>0</v>
      </c>
      <c r="GK51">
        <f>IF(Charts!$B$3="none",BI258,IF(DW258="",NA(),DW258))</f>
        <v>0</v>
      </c>
      <c r="GL51">
        <f>IF(Charts!$B$3="none",BJ258,IF(DX258="",NA(),DX258))</f>
        <v>0</v>
      </c>
      <c r="GM51">
        <f>IF(Charts!$B$3="none",BK258,IF(DY258="",NA(),DY258))</f>
        <v>0</v>
      </c>
      <c r="GN51">
        <f>IF(Charts!$B$3="none",BL258,IF(DZ258="",NA(),DZ258))</f>
        <v>0</v>
      </c>
      <c r="GO51">
        <f>IF(Charts!$B$3="none",BM258,IF(EA258="",NA(),EA258))</f>
        <v>0</v>
      </c>
      <c r="GP51">
        <f>IF(Charts!$B$3="none",BN258,IF(EB258="",NA(),EB258))</f>
        <v>0</v>
      </c>
      <c r="GQ51">
        <f>IF(Charts!$B$3="none",BO258,IF(EC258="",NA(),EC258))</f>
        <v>0</v>
      </c>
      <c r="GR51">
        <f>IF(Charts!$B$3="none",BP258,IF(ED258="",NA(),ED258))</f>
        <v>0</v>
      </c>
    </row>
    <row r="52" spans="5:200">
      <c r="E52">
        <v>6</v>
      </c>
      <c r="F52">
        <f>F10</f>
        <v>0</v>
      </c>
      <c r="G52">
        <v>6</v>
      </c>
      <c r="H52">
        <f>H10</f>
        <v>0</v>
      </c>
      <c r="I52">
        <v>6</v>
      </c>
      <c r="J52">
        <f>J10</f>
        <v>0</v>
      </c>
      <c r="K52">
        <v>6</v>
      </c>
      <c r="L52">
        <f>L10</f>
        <v>0</v>
      </c>
      <c r="M52">
        <v>6</v>
      </c>
      <c r="N52">
        <f>N10</f>
        <v>0</v>
      </c>
      <c r="O52">
        <v>6</v>
      </c>
      <c r="P52">
        <f>P10</f>
        <v>0</v>
      </c>
      <c r="Q52">
        <v>6</v>
      </c>
      <c r="R52">
        <f>R10</f>
        <v>0</v>
      </c>
      <c r="S52">
        <v>6</v>
      </c>
      <c r="T52">
        <f>T10</f>
        <v>0</v>
      </c>
      <c r="U52">
        <v>6</v>
      </c>
      <c r="V52">
        <f>V10</f>
        <v>0</v>
      </c>
      <c r="W52">
        <v>6</v>
      </c>
      <c r="X52">
        <f>X10</f>
        <v>0</v>
      </c>
      <c r="Y52">
        <v>6</v>
      </c>
      <c r="Z52">
        <f>Z10</f>
        <v>0</v>
      </c>
      <c r="AA52">
        <v>6</v>
      </c>
      <c r="AB52">
        <f>AB10</f>
        <v>0</v>
      </c>
      <c r="AC52">
        <v>6</v>
      </c>
      <c r="AD52">
        <f>AD10</f>
        <v>0</v>
      </c>
      <c r="AE52">
        <v>6</v>
      </c>
      <c r="AF52">
        <f>AF10</f>
        <v>0</v>
      </c>
      <c r="AG52">
        <v>6</v>
      </c>
      <c r="AH52">
        <f>AH10</f>
        <v>0</v>
      </c>
      <c r="AI52">
        <v>6</v>
      </c>
      <c r="AJ52">
        <f>AJ10</f>
        <v>0</v>
      </c>
      <c r="AK52">
        <v>6</v>
      </c>
      <c r="AL52">
        <f>AL10</f>
        <v>0</v>
      </c>
      <c r="AM52">
        <v>6</v>
      </c>
      <c r="AN52">
        <f>AN10</f>
        <v>0</v>
      </c>
      <c r="AO52">
        <v>6</v>
      </c>
      <c r="AP52">
        <f>AP10</f>
        <v>0</v>
      </c>
      <c r="AQ52">
        <v>6</v>
      </c>
      <c r="AR52">
        <f>AR10</f>
        <v>0</v>
      </c>
      <c r="AS52">
        <v>6</v>
      </c>
      <c r="AT52">
        <f>AT10</f>
        <v>0</v>
      </c>
      <c r="AU52">
        <v>6</v>
      </c>
      <c r="AV52">
        <f>AV10</f>
        <v>0</v>
      </c>
      <c r="AW52">
        <v>6</v>
      </c>
      <c r="AX52">
        <f>AX10</f>
        <v>0</v>
      </c>
      <c r="AY52">
        <v>6</v>
      </c>
      <c r="AZ52">
        <f>AZ10</f>
        <v>0</v>
      </c>
      <c r="BA52">
        <v>6</v>
      </c>
      <c r="BB52">
        <f>BB10</f>
        <v>0</v>
      </c>
      <c r="BC52">
        <v>6</v>
      </c>
      <c r="BD52">
        <f>BD10</f>
        <v>0</v>
      </c>
      <c r="BE52">
        <v>6</v>
      </c>
      <c r="BF52">
        <f>BF10</f>
        <v>0</v>
      </c>
      <c r="BG52">
        <v>6</v>
      </c>
      <c r="BH52">
        <f>BH10</f>
        <v>0</v>
      </c>
      <c r="BI52">
        <v>6</v>
      </c>
      <c r="BJ52">
        <f>BJ10</f>
        <v>0</v>
      </c>
      <c r="BK52">
        <v>6</v>
      </c>
      <c r="BL52">
        <f>BL10</f>
        <v>0</v>
      </c>
      <c r="BM52">
        <v>6</v>
      </c>
      <c r="BN52">
        <f>BN10</f>
        <v>0</v>
      </c>
      <c r="BO52">
        <v>6</v>
      </c>
      <c r="BP52">
        <f>BP10</f>
        <v>0</v>
      </c>
      <c r="BS52">
        <v>6</v>
      </c>
      <c r="BT52">
        <f>BT10</f>
        <v>0</v>
      </c>
      <c r="BU52">
        <v>6</v>
      </c>
      <c r="BV52">
        <f>BV10</f>
        <v>0</v>
      </c>
      <c r="BW52">
        <v>6</v>
      </c>
      <c r="BX52">
        <f>BX10</f>
        <v>0</v>
      </c>
      <c r="BY52">
        <v>6</v>
      </c>
      <c r="BZ52">
        <f>BZ10</f>
        <v>0</v>
      </c>
      <c r="CA52">
        <v>6</v>
      </c>
      <c r="CB52">
        <f>CB10</f>
        <v>0</v>
      </c>
      <c r="CC52">
        <v>6</v>
      </c>
      <c r="CD52">
        <f>CD10</f>
        <v>0</v>
      </c>
      <c r="CE52">
        <v>6</v>
      </c>
      <c r="CF52">
        <f>CF10</f>
        <v>0</v>
      </c>
      <c r="CG52">
        <v>6</v>
      </c>
      <c r="CH52">
        <f>CH10</f>
        <v>0</v>
      </c>
      <c r="CI52">
        <v>6</v>
      </c>
      <c r="CJ52">
        <f>CJ10</f>
        <v>0</v>
      </c>
      <c r="CK52">
        <v>6</v>
      </c>
      <c r="CL52">
        <f>CL10</f>
        <v>0</v>
      </c>
      <c r="CM52">
        <v>6</v>
      </c>
      <c r="CN52">
        <f>CN10</f>
        <v>0</v>
      </c>
      <c r="CO52">
        <v>6</v>
      </c>
      <c r="CP52">
        <f>CP10</f>
        <v>0</v>
      </c>
      <c r="CQ52">
        <v>6</v>
      </c>
      <c r="CR52">
        <f>CR10</f>
        <v>0</v>
      </c>
      <c r="CS52">
        <v>6</v>
      </c>
      <c r="CT52">
        <f>CT10</f>
        <v>0</v>
      </c>
      <c r="CU52">
        <v>6</v>
      </c>
      <c r="CV52">
        <f>CV10</f>
        <v>0</v>
      </c>
      <c r="CW52">
        <v>6</v>
      </c>
      <c r="CX52">
        <f>CX10</f>
        <v>0</v>
      </c>
      <c r="CY52">
        <v>6</v>
      </c>
      <c r="CZ52">
        <f>CZ10</f>
        <v>0</v>
      </c>
      <c r="DA52">
        <v>6</v>
      </c>
      <c r="DB52">
        <f>DB10</f>
        <v>0</v>
      </c>
      <c r="DC52">
        <v>6</v>
      </c>
      <c r="DD52">
        <f>DD10</f>
        <v>0</v>
      </c>
      <c r="DE52">
        <v>6</v>
      </c>
      <c r="DF52">
        <f>DF10</f>
        <v>0</v>
      </c>
      <c r="DG52">
        <v>6</v>
      </c>
      <c r="DH52">
        <f>DH10</f>
        <v>0</v>
      </c>
      <c r="DI52">
        <v>6</v>
      </c>
      <c r="DJ52">
        <f>DJ10</f>
        <v>0</v>
      </c>
      <c r="DK52">
        <v>6</v>
      </c>
      <c r="DL52">
        <f>DL10</f>
        <v>0</v>
      </c>
      <c r="DM52">
        <v>6</v>
      </c>
      <c r="DN52">
        <f>DN10</f>
        <v>0</v>
      </c>
      <c r="DO52">
        <v>6</v>
      </c>
      <c r="DP52">
        <f>DP10</f>
        <v>0</v>
      </c>
      <c r="DQ52">
        <v>6</v>
      </c>
      <c r="DR52">
        <f>DR10</f>
        <v>0</v>
      </c>
      <c r="DS52">
        <v>6</v>
      </c>
      <c r="DT52">
        <f>DT10</f>
        <v>0</v>
      </c>
      <c r="DU52">
        <v>6</v>
      </c>
      <c r="DV52">
        <f>DV10</f>
        <v>0</v>
      </c>
      <c r="DW52">
        <v>6</v>
      </c>
      <c r="DX52">
        <f>DX10</f>
        <v>0</v>
      </c>
      <c r="DY52">
        <v>6</v>
      </c>
      <c r="DZ52">
        <f>DZ10</f>
        <v>0</v>
      </c>
      <c r="EA52">
        <v>6</v>
      </c>
      <c r="EB52">
        <f>EB10</f>
        <v>0</v>
      </c>
      <c r="EC52">
        <v>6</v>
      </c>
      <c r="ED52">
        <f>ED10</f>
        <v>0</v>
      </c>
      <c r="EG52">
        <f>IF(Charts!$B$3="none",E259,IF(BS259="",NA(),BS259))</f>
        <v>0</v>
      </c>
      <c r="EH52">
        <f>IF(Charts!$B$3="none",F259,IF(BT259="",NA(),BT259))</f>
        <v>0</v>
      </c>
      <c r="EI52">
        <f>IF(Charts!$B$3="none",G259,IF(BU259="",NA(),BU259))</f>
        <v>0</v>
      </c>
      <c r="EJ52">
        <f>IF(Charts!$B$3="none",H259,IF(BV259="",NA(),BV259))</f>
        <v>0</v>
      </c>
      <c r="EK52">
        <f>IF(Charts!$B$3="none",I259,IF(BW259="",NA(),BW259))</f>
        <v>0</v>
      </c>
      <c r="EL52">
        <f>IF(Charts!$B$3="none",J259,IF(BX259="",NA(),BX259))</f>
        <v>0</v>
      </c>
      <c r="EM52">
        <f>IF(Charts!$B$3="none",K259,IF(BY259="",NA(),BY259))</f>
        <v>0</v>
      </c>
      <c r="EN52">
        <f>IF(Charts!$B$3="none",L259,IF(BZ259="",NA(),BZ259))</f>
        <v>0</v>
      </c>
      <c r="EO52">
        <f>IF(Charts!$B$3="none",M259,IF(CA259="",NA(),CA259))</f>
        <v>0</v>
      </c>
      <c r="EP52">
        <f>IF(Charts!$B$3="none",N259,IF(CB259="",NA(),CB259))</f>
        <v>0</v>
      </c>
      <c r="EQ52">
        <f>IF(Charts!$B$3="none",O259,IF(CC259="",NA(),CC259))</f>
        <v>0</v>
      </c>
      <c r="ER52">
        <f>IF(Charts!$B$3="none",P259,IF(CD259="",NA(),CD259))</f>
        <v>0</v>
      </c>
      <c r="ES52">
        <f>IF(Charts!$B$3="none",Q259,IF(CE259="",NA(),CE259))</f>
        <v>0</v>
      </c>
      <c r="ET52">
        <f>IF(Charts!$B$3="none",R259,IF(CF259="",NA(),CF259))</f>
        <v>0</v>
      </c>
      <c r="EU52">
        <f>IF(Charts!$B$3="none",S259,IF(CG259="",NA(),CG259))</f>
        <v>0</v>
      </c>
      <c r="EV52">
        <f>IF(Charts!$B$3="none",T259,IF(CH259="",NA(),CH259))</f>
        <v>0</v>
      </c>
      <c r="EW52">
        <f>IF(Charts!$B$3="none",U259,IF(CI259="",NA(),CI259))</f>
        <v>0</v>
      </c>
      <c r="EX52">
        <f>IF(Charts!$B$3="none",V259,IF(CJ259="",NA(),CJ259))</f>
        <v>0</v>
      </c>
      <c r="EY52">
        <f>IF(Charts!$B$3="none",W259,IF(CK259="",NA(),CK259))</f>
        <v>0</v>
      </c>
      <c r="EZ52">
        <f>IF(Charts!$B$3="none",X259,IF(CL259="",NA(),CL259))</f>
        <v>0</v>
      </c>
      <c r="FA52">
        <f>IF(Charts!$B$3="none",Y259,IF(CM259="",NA(),CM259))</f>
        <v>0</v>
      </c>
      <c r="FB52">
        <f>IF(Charts!$B$3="none",Z259,IF(CN259="",NA(),CN259))</f>
        <v>0</v>
      </c>
      <c r="FC52">
        <f>IF(Charts!$B$3="none",AA259,IF(CO259="",NA(),CO259))</f>
        <v>0</v>
      </c>
      <c r="FD52">
        <f>IF(Charts!$B$3="none",AB259,IF(CP259="",NA(),CP259))</f>
        <v>0</v>
      </c>
      <c r="FE52">
        <f>IF(Charts!$B$3="none",AC259,IF(CQ259="",NA(),CQ259))</f>
        <v>0</v>
      </c>
      <c r="FF52">
        <f>IF(Charts!$B$3="none",AD259,IF(CR259="",NA(),CR259))</f>
        <v>0</v>
      </c>
      <c r="FG52">
        <f>IF(Charts!$B$3="none",AE259,IF(CS259="",NA(),CS259))</f>
        <v>0</v>
      </c>
      <c r="FH52">
        <f>IF(Charts!$B$3="none",AF259,IF(CT259="",NA(),CT259))</f>
        <v>0</v>
      </c>
      <c r="FI52">
        <f>IF(Charts!$B$3="none",AG259,IF(CU259="",NA(),CU259))</f>
        <v>0</v>
      </c>
      <c r="FJ52">
        <f>IF(Charts!$B$3="none",AH259,IF(CV259="",NA(),CV259))</f>
        <v>0</v>
      </c>
      <c r="FK52">
        <f>IF(Charts!$B$3="none",AI259,IF(CW259="",NA(),CW259))</f>
        <v>0</v>
      </c>
      <c r="FL52">
        <f>IF(Charts!$B$3="none",AJ259,IF(CX259="",NA(),CX259))</f>
        <v>0</v>
      </c>
      <c r="FM52">
        <f>IF(Charts!$B$3="none",AK259,IF(CY259="",NA(),CY259))</f>
        <v>0</v>
      </c>
      <c r="FN52">
        <f>IF(Charts!$B$3="none",AL259,IF(CZ259="",NA(),CZ259))</f>
        <v>0</v>
      </c>
      <c r="FO52">
        <f>IF(Charts!$B$3="none",AM259,IF(DA259="",NA(),DA259))</f>
        <v>0</v>
      </c>
      <c r="FP52">
        <f>IF(Charts!$B$3="none",AN259,IF(DB259="",NA(),DB259))</f>
        <v>0</v>
      </c>
      <c r="FQ52">
        <f>IF(Charts!$B$3="none",AO259,IF(DC259="",NA(),DC259))</f>
        <v>0</v>
      </c>
      <c r="FR52">
        <f>IF(Charts!$B$3="none",AP259,IF(DD259="",NA(),DD259))</f>
        <v>0</v>
      </c>
      <c r="FS52">
        <f>IF(Charts!$B$3="none",AQ259,IF(DE259="",NA(),DE259))</f>
        <v>0</v>
      </c>
      <c r="FT52">
        <f>IF(Charts!$B$3="none",AR259,IF(DF259="",NA(),DF259))</f>
        <v>0</v>
      </c>
      <c r="FU52">
        <f>IF(Charts!$B$3="none",AS259,IF(DG259="",NA(),DG259))</f>
        <v>0</v>
      </c>
      <c r="FV52">
        <f>IF(Charts!$B$3="none",AT259,IF(DH259="",NA(),DH259))</f>
        <v>0</v>
      </c>
      <c r="FW52">
        <f>IF(Charts!$B$3="none",AU259,IF(DI259="",NA(),DI259))</f>
        <v>0</v>
      </c>
      <c r="FX52">
        <f>IF(Charts!$B$3="none",AV259,IF(DJ259="",NA(),DJ259))</f>
        <v>0</v>
      </c>
      <c r="FY52">
        <f>IF(Charts!$B$3="none",AW259,IF(DK259="",NA(),DK259))</f>
        <v>0</v>
      </c>
      <c r="FZ52">
        <f>IF(Charts!$B$3="none",AX259,IF(DL259="",NA(),DL259))</f>
        <v>0</v>
      </c>
      <c r="GA52">
        <f>IF(Charts!$B$3="none",AY259,IF(DM259="",NA(),DM259))</f>
        <v>0</v>
      </c>
      <c r="GB52">
        <f>IF(Charts!$B$3="none",AZ259,IF(DN259="",NA(),DN259))</f>
        <v>0</v>
      </c>
      <c r="GC52">
        <f>IF(Charts!$B$3="none",BA259,IF(DO259="",NA(),DO259))</f>
        <v>0</v>
      </c>
      <c r="GD52">
        <f>IF(Charts!$B$3="none",BB259,IF(DP259="",NA(),DP259))</f>
        <v>0</v>
      </c>
      <c r="GE52">
        <f>IF(Charts!$B$3="none",BC259,IF(DQ259="",NA(),DQ259))</f>
        <v>0</v>
      </c>
      <c r="GF52">
        <f>IF(Charts!$B$3="none",BD259,IF(DR259="",NA(),DR259))</f>
        <v>0</v>
      </c>
      <c r="GG52">
        <f>IF(Charts!$B$3="none",BE259,IF(DS259="",NA(),DS259))</f>
        <v>0</v>
      </c>
      <c r="GH52">
        <f>IF(Charts!$B$3="none",BF259,IF(DT259="",NA(),DT259))</f>
        <v>0</v>
      </c>
      <c r="GI52">
        <f>IF(Charts!$B$3="none",BG259,IF(DU259="",NA(),DU259))</f>
        <v>0</v>
      </c>
      <c r="GJ52">
        <f>IF(Charts!$B$3="none",BH259,IF(DV259="",NA(),DV259))</f>
        <v>0</v>
      </c>
      <c r="GK52">
        <f>IF(Charts!$B$3="none",BI259,IF(DW259="",NA(),DW259))</f>
        <v>0</v>
      </c>
      <c r="GL52">
        <f>IF(Charts!$B$3="none",BJ259,IF(DX259="",NA(),DX259))</f>
        <v>0</v>
      </c>
      <c r="GM52">
        <f>IF(Charts!$B$3="none",BK259,IF(DY259="",NA(),DY259))</f>
        <v>0</v>
      </c>
      <c r="GN52">
        <f>IF(Charts!$B$3="none",BL259,IF(DZ259="",NA(),DZ259))</f>
        <v>0</v>
      </c>
      <c r="GO52">
        <f>IF(Charts!$B$3="none",BM259,IF(EA259="",NA(),EA259))</f>
        <v>0</v>
      </c>
      <c r="GP52">
        <f>IF(Charts!$B$3="none",BN259,IF(EB259="",NA(),EB259))</f>
        <v>0</v>
      </c>
      <c r="GQ52">
        <f>IF(Charts!$B$3="none",BO259,IF(EC259="",NA(),EC259))</f>
        <v>0</v>
      </c>
      <c r="GR52">
        <f>IF(Charts!$B$3="none",BP259,IF(ED259="",NA(),ED259))</f>
        <v>0</v>
      </c>
    </row>
    <row r="53" spans="5:200">
      <c r="E53">
        <v>7</v>
      </c>
      <c r="F53">
        <f>F11</f>
        <v>0</v>
      </c>
      <c r="G53">
        <v>7</v>
      </c>
      <c r="H53">
        <f>H11</f>
        <v>0</v>
      </c>
      <c r="I53">
        <v>7</v>
      </c>
      <c r="J53">
        <f>J11</f>
        <v>0</v>
      </c>
      <c r="K53">
        <v>7</v>
      </c>
      <c r="L53">
        <f>L11</f>
        <v>0</v>
      </c>
      <c r="M53">
        <v>7</v>
      </c>
      <c r="N53">
        <f>N11</f>
        <v>0</v>
      </c>
      <c r="O53">
        <v>7</v>
      </c>
      <c r="P53">
        <f>P11</f>
        <v>0</v>
      </c>
      <c r="Q53">
        <v>7</v>
      </c>
      <c r="R53">
        <f>R11</f>
        <v>0</v>
      </c>
      <c r="S53">
        <v>7</v>
      </c>
      <c r="T53">
        <f>T11</f>
        <v>0</v>
      </c>
      <c r="U53">
        <v>7</v>
      </c>
      <c r="V53">
        <f>V11</f>
        <v>0</v>
      </c>
      <c r="W53">
        <v>7</v>
      </c>
      <c r="X53">
        <f>X11</f>
        <v>0</v>
      </c>
      <c r="Y53">
        <v>7</v>
      </c>
      <c r="Z53">
        <f>Z11</f>
        <v>0</v>
      </c>
      <c r="AA53">
        <v>7</v>
      </c>
      <c r="AB53">
        <f>AB11</f>
        <v>0</v>
      </c>
      <c r="AC53">
        <v>7</v>
      </c>
      <c r="AD53">
        <f>AD11</f>
        <v>0</v>
      </c>
      <c r="AE53">
        <v>7</v>
      </c>
      <c r="AF53">
        <f>AF11</f>
        <v>0</v>
      </c>
      <c r="AG53">
        <v>7</v>
      </c>
      <c r="AH53">
        <f>AH11</f>
        <v>0</v>
      </c>
      <c r="AI53">
        <v>7</v>
      </c>
      <c r="AJ53">
        <f>AJ11</f>
        <v>0</v>
      </c>
      <c r="AK53">
        <v>7</v>
      </c>
      <c r="AL53">
        <f>AL11</f>
        <v>0</v>
      </c>
      <c r="AM53">
        <v>7</v>
      </c>
      <c r="AN53">
        <f>AN11</f>
        <v>0</v>
      </c>
      <c r="AO53">
        <v>7</v>
      </c>
      <c r="AP53">
        <f>AP11</f>
        <v>0</v>
      </c>
      <c r="AQ53">
        <v>7</v>
      </c>
      <c r="AR53">
        <f>AR11</f>
        <v>0</v>
      </c>
      <c r="AS53">
        <v>7</v>
      </c>
      <c r="AT53">
        <f>AT11</f>
        <v>0</v>
      </c>
      <c r="AU53">
        <v>7</v>
      </c>
      <c r="AV53">
        <f>AV11</f>
        <v>0</v>
      </c>
      <c r="AW53">
        <v>7</v>
      </c>
      <c r="AX53">
        <f>AX11</f>
        <v>0</v>
      </c>
      <c r="AY53">
        <v>7</v>
      </c>
      <c r="AZ53">
        <f>AZ11</f>
        <v>0</v>
      </c>
      <c r="BA53">
        <v>7</v>
      </c>
      <c r="BB53">
        <f>BB11</f>
        <v>0</v>
      </c>
      <c r="BC53">
        <v>7</v>
      </c>
      <c r="BD53">
        <f>BD11</f>
        <v>0</v>
      </c>
      <c r="BE53">
        <v>7</v>
      </c>
      <c r="BF53">
        <f>BF11</f>
        <v>0</v>
      </c>
      <c r="BG53">
        <v>7</v>
      </c>
      <c r="BH53">
        <f>BH11</f>
        <v>0</v>
      </c>
      <c r="BI53">
        <v>7</v>
      </c>
      <c r="BJ53">
        <f>BJ11</f>
        <v>0</v>
      </c>
      <c r="BK53">
        <v>7</v>
      </c>
      <c r="BL53">
        <f>BL11</f>
        <v>0</v>
      </c>
      <c r="BM53">
        <v>7</v>
      </c>
      <c r="BN53">
        <f>BN11</f>
        <v>0</v>
      </c>
      <c r="BO53">
        <v>7</v>
      </c>
      <c r="BP53">
        <f>BP11</f>
        <v>0</v>
      </c>
      <c r="BS53">
        <v>7</v>
      </c>
      <c r="BT53">
        <f>BT11</f>
        <v>0</v>
      </c>
      <c r="BU53">
        <v>7</v>
      </c>
      <c r="BV53">
        <f>BV11</f>
        <v>0</v>
      </c>
      <c r="BW53">
        <v>7</v>
      </c>
      <c r="BX53">
        <f>BX11</f>
        <v>0</v>
      </c>
      <c r="BY53">
        <v>7</v>
      </c>
      <c r="BZ53">
        <f>BZ11</f>
        <v>0</v>
      </c>
      <c r="CA53">
        <v>7</v>
      </c>
      <c r="CB53">
        <f>CB11</f>
        <v>0</v>
      </c>
      <c r="CC53">
        <v>7</v>
      </c>
      <c r="CD53">
        <f>CD11</f>
        <v>0</v>
      </c>
      <c r="CE53">
        <v>7</v>
      </c>
      <c r="CF53">
        <f>CF11</f>
        <v>0</v>
      </c>
      <c r="CG53">
        <v>7</v>
      </c>
      <c r="CH53">
        <f>CH11</f>
        <v>0</v>
      </c>
      <c r="CI53">
        <v>7</v>
      </c>
      <c r="CJ53">
        <f>CJ11</f>
        <v>0</v>
      </c>
      <c r="CK53">
        <v>7</v>
      </c>
      <c r="CL53">
        <f>CL11</f>
        <v>0</v>
      </c>
      <c r="CM53">
        <v>7</v>
      </c>
      <c r="CN53">
        <f>CN11</f>
        <v>0</v>
      </c>
      <c r="CO53">
        <v>7</v>
      </c>
      <c r="CP53">
        <f>CP11</f>
        <v>0</v>
      </c>
      <c r="CQ53">
        <v>7</v>
      </c>
      <c r="CR53">
        <f>CR11</f>
        <v>0</v>
      </c>
      <c r="CS53">
        <v>7</v>
      </c>
      <c r="CT53">
        <f>CT11</f>
        <v>0</v>
      </c>
      <c r="CU53">
        <v>7</v>
      </c>
      <c r="CV53">
        <f>CV11</f>
        <v>0</v>
      </c>
      <c r="CW53">
        <v>7</v>
      </c>
      <c r="CX53">
        <f>CX11</f>
        <v>0</v>
      </c>
      <c r="CY53">
        <v>7</v>
      </c>
      <c r="CZ53">
        <f>CZ11</f>
        <v>0</v>
      </c>
      <c r="DA53">
        <v>7</v>
      </c>
      <c r="DB53">
        <f>DB11</f>
        <v>0</v>
      </c>
      <c r="DC53">
        <v>7</v>
      </c>
      <c r="DD53">
        <f>DD11</f>
        <v>0</v>
      </c>
      <c r="DE53">
        <v>7</v>
      </c>
      <c r="DF53">
        <f>DF11</f>
        <v>0</v>
      </c>
      <c r="DG53">
        <v>7</v>
      </c>
      <c r="DH53">
        <f>DH11</f>
        <v>0</v>
      </c>
      <c r="DI53">
        <v>7</v>
      </c>
      <c r="DJ53">
        <f>DJ11</f>
        <v>0</v>
      </c>
      <c r="DK53">
        <v>7</v>
      </c>
      <c r="DL53">
        <f>DL11</f>
        <v>0</v>
      </c>
      <c r="DM53">
        <v>7</v>
      </c>
      <c r="DN53">
        <f>DN11</f>
        <v>0</v>
      </c>
      <c r="DO53">
        <v>7</v>
      </c>
      <c r="DP53">
        <f>DP11</f>
        <v>0</v>
      </c>
      <c r="DQ53">
        <v>7</v>
      </c>
      <c r="DR53">
        <f>DR11</f>
        <v>0</v>
      </c>
      <c r="DS53">
        <v>7</v>
      </c>
      <c r="DT53">
        <f>DT11</f>
        <v>0</v>
      </c>
      <c r="DU53">
        <v>7</v>
      </c>
      <c r="DV53">
        <f>DV11</f>
        <v>0</v>
      </c>
      <c r="DW53">
        <v>7</v>
      </c>
      <c r="DX53">
        <f>DX11</f>
        <v>0</v>
      </c>
      <c r="DY53">
        <v>7</v>
      </c>
      <c r="DZ53">
        <f>DZ11</f>
        <v>0</v>
      </c>
      <c r="EA53">
        <v>7</v>
      </c>
      <c r="EB53">
        <f>EB11</f>
        <v>0</v>
      </c>
      <c r="EC53">
        <v>7</v>
      </c>
      <c r="ED53">
        <f>ED11</f>
        <v>0</v>
      </c>
      <c r="EG53">
        <f>IF(Charts!$B$3="none",E260,IF(BS260="",NA(),BS260))</f>
        <v>0</v>
      </c>
      <c r="EH53">
        <f>IF(Charts!$B$3="none",F260,IF(BT260="",NA(),BT260))</f>
        <v>0</v>
      </c>
      <c r="EI53">
        <f>IF(Charts!$B$3="none",G260,IF(BU260="",NA(),BU260))</f>
        <v>0</v>
      </c>
      <c r="EJ53">
        <f>IF(Charts!$B$3="none",H260,IF(BV260="",NA(),BV260))</f>
        <v>0</v>
      </c>
      <c r="EK53">
        <f>IF(Charts!$B$3="none",I260,IF(BW260="",NA(),BW260))</f>
        <v>0</v>
      </c>
      <c r="EL53">
        <f>IF(Charts!$B$3="none",J260,IF(BX260="",NA(),BX260))</f>
        <v>0</v>
      </c>
      <c r="EM53">
        <f>IF(Charts!$B$3="none",K260,IF(BY260="",NA(),BY260))</f>
        <v>0</v>
      </c>
      <c r="EN53">
        <f>IF(Charts!$B$3="none",L260,IF(BZ260="",NA(),BZ260))</f>
        <v>0</v>
      </c>
      <c r="EO53">
        <f>IF(Charts!$B$3="none",M260,IF(CA260="",NA(),CA260))</f>
        <v>0</v>
      </c>
      <c r="EP53">
        <f>IF(Charts!$B$3="none",N260,IF(CB260="",NA(),CB260))</f>
        <v>0</v>
      </c>
      <c r="EQ53">
        <f>IF(Charts!$B$3="none",O260,IF(CC260="",NA(),CC260))</f>
        <v>0</v>
      </c>
      <c r="ER53">
        <f>IF(Charts!$B$3="none",P260,IF(CD260="",NA(),CD260))</f>
        <v>0</v>
      </c>
      <c r="ES53">
        <f>IF(Charts!$B$3="none",Q260,IF(CE260="",NA(),CE260))</f>
        <v>0</v>
      </c>
      <c r="ET53">
        <f>IF(Charts!$B$3="none",R260,IF(CF260="",NA(),CF260))</f>
        <v>0</v>
      </c>
      <c r="EU53">
        <f>IF(Charts!$B$3="none",S260,IF(CG260="",NA(),CG260))</f>
        <v>0</v>
      </c>
      <c r="EV53">
        <f>IF(Charts!$B$3="none",T260,IF(CH260="",NA(),CH260))</f>
        <v>0</v>
      </c>
      <c r="EW53">
        <f>IF(Charts!$B$3="none",U260,IF(CI260="",NA(),CI260))</f>
        <v>0</v>
      </c>
      <c r="EX53">
        <f>IF(Charts!$B$3="none",V260,IF(CJ260="",NA(),CJ260))</f>
        <v>0</v>
      </c>
      <c r="EY53">
        <f>IF(Charts!$B$3="none",W260,IF(CK260="",NA(),CK260))</f>
        <v>0</v>
      </c>
      <c r="EZ53">
        <f>IF(Charts!$B$3="none",X260,IF(CL260="",NA(),CL260))</f>
        <v>0</v>
      </c>
      <c r="FA53">
        <f>IF(Charts!$B$3="none",Y260,IF(CM260="",NA(),CM260))</f>
        <v>0</v>
      </c>
      <c r="FB53">
        <f>IF(Charts!$B$3="none",Z260,IF(CN260="",NA(),CN260))</f>
        <v>0</v>
      </c>
      <c r="FC53">
        <f>IF(Charts!$B$3="none",AA260,IF(CO260="",NA(),CO260))</f>
        <v>0</v>
      </c>
      <c r="FD53">
        <f>IF(Charts!$B$3="none",AB260,IF(CP260="",NA(),CP260))</f>
        <v>0</v>
      </c>
      <c r="FE53">
        <f>IF(Charts!$B$3="none",AC260,IF(CQ260="",NA(),CQ260))</f>
        <v>0</v>
      </c>
      <c r="FF53">
        <f>IF(Charts!$B$3="none",AD260,IF(CR260="",NA(),CR260))</f>
        <v>0</v>
      </c>
      <c r="FG53">
        <f>IF(Charts!$B$3="none",AE260,IF(CS260="",NA(),CS260))</f>
        <v>0</v>
      </c>
      <c r="FH53">
        <f>IF(Charts!$B$3="none",AF260,IF(CT260="",NA(),CT260))</f>
        <v>0</v>
      </c>
      <c r="FI53">
        <f>IF(Charts!$B$3="none",AG260,IF(CU260="",NA(),CU260))</f>
        <v>0</v>
      </c>
      <c r="FJ53">
        <f>IF(Charts!$B$3="none",AH260,IF(CV260="",NA(),CV260))</f>
        <v>0</v>
      </c>
      <c r="FK53">
        <f>IF(Charts!$B$3="none",AI260,IF(CW260="",NA(),CW260))</f>
        <v>0</v>
      </c>
      <c r="FL53">
        <f>IF(Charts!$B$3="none",AJ260,IF(CX260="",NA(),CX260))</f>
        <v>0</v>
      </c>
      <c r="FM53">
        <f>IF(Charts!$B$3="none",AK260,IF(CY260="",NA(),CY260))</f>
        <v>0</v>
      </c>
      <c r="FN53">
        <f>IF(Charts!$B$3="none",AL260,IF(CZ260="",NA(),CZ260))</f>
        <v>0</v>
      </c>
      <c r="FO53">
        <f>IF(Charts!$B$3="none",AM260,IF(DA260="",NA(),DA260))</f>
        <v>0</v>
      </c>
      <c r="FP53">
        <f>IF(Charts!$B$3="none",AN260,IF(DB260="",NA(),DB260))</f>
        <v>0</v>
      </c>
      <c r="FQ53">
        <f>IF(Charts!$B$3="none",AO260,IF(DC260="",NA(),DC260))</f>
        <v>0</v>
      </c>
      <c r="FR53">
        <f>IF(Charts!$B$3="none",AP260,IF(DD260="",NA(),DD260))</f>
        <v>0</v>
      </c>
      <c r="FS53">
        <f>IF(Charts!$B$3="none",AQ260,IF(DE260="",NA(),DE260))</f>
        <v>0</v>
      </c>
      <c r="FT53">
        <f>IF(Charts!$B$3="none",AR260,IF(DF260="",NA(),DF260))</f>
        <v>0</v>
      </c>
      <c r="FU53">
        <f>IF(Charts!$B$3="none",AS260,IF(DG260="",NA(),DG260))</f>
        <v>0</v>
      </c>
      <c r="FV53">
        <f>IF(Charts!$B$3="none",AT260,IF(DH260="",NA(),DH260))</f>
        <v>0</v>
      </c>
      <c r="FW53">
        <f>IF(Charts!$B$3="none",AU260,IF(DI260="",NA(),DI260))</f>
        <v>0</v>
      </c>
      <c r="FX53">
        <f>IF(Charts!$B$3="none",AV260,IF(DJ260="",NA(),DJ260))</f>
        <v>0</v>
      </c>
      <c r="FY53">
        <f>IF(Charts!$B$3="none",AW260,IF(DK260="",NA(),DK260))</f>
        <v>0</v>
      </c>
      <c r="FZ53">
        <f>IF(Charts!$B$3="none",AX260,IF(DL260="",NA(),DL260))</f>
        <v>0</v>
      </c>
      <c r="GA53">
        <f>IF(Charts!$B$3="none",AY260,IF(DM260="",NA(),DM260))</f>
        <v>0</v>
      </c>
      <c r="GB53">
        <f>IF(Charts!$B$3="none",AZ260,IF(DN260="",NA(),DN260))</f>
        <v>0</v>
      </c>
      <c r="GC53">
        <f>IF(Charts!$B$3="none",BA260,IF(DO260="",NA(),DO260))</f>
        <v>0</v>
      </c>
      <c r="GD53">
        <f>IF(Charts!$B$3="none",BB260,IF(DP260="",NA(),DP260))</f>
        <v>0</v>
      </c>
      <c r="GE53">
        <f>IF(Charts!$B$3="none",BC260,IF(DQ260="",NA(),DQ260))</f>
        <v>0</v>
      </c>
      <c r="GF53">
        <f>IF(Charts!$B$3="none",BD260,IF(DR260="",NA(),DR260))</f>
        <v>0</v>
      </c>
      <c r="GG53">
        <f>IF(Charts!$B$3="none",BE260,IF(DS260="",NA(),DS260))</f>
        <v>0</v>
      </c>
      <c r="GH53">
        <f>IF(Charts!$B$3="none",BF260,IF(DT260="",NA(),DT260))</f>
        <v>0</v>
      </c>
      <c r="GI53">
        <f>IF(Charts!$B$3="none",BG260,IF(DU260="",NA(),DU260))</f>
        <v>0</v>
      </c>
      <c r="GJ53">
        <f>IF(Charts!$B$3="none",BH260,IF(DV260="",NA(),DV260))</f>
        <v>0</v>
      </c>
      <c r="GK53">
        <f>IF(Charts!$B$3="none",BI260,IF(DW260="",NA(),DW260))</f>
        <v>0</v>
      </c>
      <c r="GL53">
        <f>IF(Charts!$B$3="none",BJ260,IF(DX260="",NA(),DX260))</f>
        <v>0</v>
      </c>
      <c r="GM53">
        <f>IF(Charts!$B$3="none",BK260,IF(DY260="",NA(),DY260))</f>
        <v>0</v>
      </c>
      <c r="GN53">
        <f>IF(Charts!$B$3="none",BL260,IF(DZ260="",NA(),DZ260))</f>
        <v>0</v>
      </c>
      <c r="GO53">
        <f>IF(Charts!$B$3="none",BM260,IF(EA260="",NA(),EA260))</f>
        <v>0</v>
      </c>
      <c r="GP53">
        <f>IF(Charts!$B$3="none",BN260,IF(EB260="",NA(),EB260))</f>
        <v>0</v>
      </c>
      <c r="GQ53">
        <f>IF(Charts!$B$3="none",BO260,IF(EC260="",NA(),EC260))</f>
        <v>0</v>
      </c>
      <c r="GR53">
        <f>IF(Charts!$B$3="none",BP260,IF(ED260="",NA(),ED260))</f>
        <v>0</v>
      </c>
    </row>
    <row r="54" spans="5:200">
      <c r="E54">
        <v>8</v>
      </c>
      <c r="F54">
        <f>F12</f>
        <v>0</v>
      </c>
      <c r="G54">
        <v>8</v>
      </c>
      <c r="H54">
        <f>H12</f>
        <v>0</v>
      </c>
      <c r="I54">
        <v>8</v>
      </c>
      <c r="J54">
        <f>J12</f>
        <v>0</v>
      </c>
      <c r="K54">
        <v>8</v>
      </c>
      <c r="L54">
        <f>L12</f>
        <v>0</v>
      </c>
      <c r="M54">
        <v>8</v>
      </c>
      <c r="N54">
        <f>N12</f>
        <v>0</v>
      </c>
      <c r="O54">
        <v>8</v>
      </c>
      <c r="P54">
        <f>P12</f>
        <v>0</v>
      </c>
      <c r="Q54">
        <v>8</v>
      </c>
      <c r="R54">
        <f>R12</f>
        <v>0</v>
      </c>
      <c r="S54">
        <v>8</v>
      </c>
      <c r="T54">
        <f>T12</f>
        <v>0</v>
      </c>
      <c r="U54">
        <v>8</v>
      </c>
      <c r="V54">
        <f>V12</f>
        <v>0</v>
      </c>
      <c r="W54">
        <v>8</v>
      </c>
      <c r="X54">
        <f>X12</f>
        <v>0</v>
      </c>
      <c r="Y54">
        <v>8</v>
      </c>
      <c r="Z54">
        <f>Z12</f>
        <v>0</v>
      </c>
      <c r="AA54">
        <v>8</v>
      </c>
      <c r="AB54">
        <f>AB12</f>
        <v>0</v>
      </c>
      <c r="AC54">
        <v>8</v>
      </c>
      <c r="AD54">
        <f>AD12</f>
        <v>0</v>
      </c>
      <c r="AE54">
        <v>8</v>
      </c>
      <c r="AF54">
        <f>AF12</f>
        <v>0</v>
      </c>
      <c r="AG54">
        <v>8</v>
      </c>
      <c r="AH54">
        <f>AH12</f>
        <v>0</v>
      </c>
      <c r="AI54">
        <v>8</v>
      </c>
      <c r="AJ54">
        <f>AJ12</f>
        <v>0</v>
      </c>
      <c r="AK54">
        <v>8</v>
      </c>
      <c r="AL54">
        <f>AL12</f>
        <v>0</v>
      </c>
      <c r="AM54">
        <v>8</v>
      </c>
      <c r="AN54">
        <f>AN12</f>
        <v>0</v>
      </c>
      <c r="AO54">
        <v>8</v>
      </c>
      <c r="AP54">
        <f>AP12</f>
        <v>0</v>
      </c>
      <c r="AQ54">
        <v>8</v>
      </c>
      <c r="AR54">
        <f>AR12</f>
        <v>0</v>
      </c>
      <c r="AS54">
        <v>8</v>
      </c>
      <c r="AT54">
        <f>AT12</f>
        <v>0</v>
      </c>
      <c r="AU54">
        <v>8</v>
      </c>
      <c r="AV54">
        <f>AV12</f>
        <v>0</v>
      </c>
      <c r="AW54">
        <v>8</v>
      </c>
      <c r="AX54">
        <f>AX12</f>
        <v>0</v>
      </c>
      <c r="AY54">
        <v>8</v>
      </c>
      <c r="AZ54">
        <f>AZ12</f>
        <v>0</v>
      </c>
      <c r="BA54">
        <v>8</v>
      </c>
      <c r="BB54">
        <f>BB12</f>
        <v>0</v>
      </c>
      <c r="BC54">
        <v>8</v>
      </c>
      <c r="BD54">
        <f>BD12</f>
        <v>0</v>
      </c>
      <c r="BE54">
        <v>8</v>
      </c>
      <c r="BF54">
        <f>BF12</f>
        <v>0</v>
      </c>
      <c r="BG54">
        <v>8</v>
      </c>
      <c r="BH54">
        <f>BH12</f>
        <v>0</v>
      </c>
      <c r="BI54">
        <v>8</v>
      </c>
      <c r="BJ54">
        <f>BJ12</f>
        <v>0</v>
      </c>
      <c r="BK54">
        <v>8</v>
      </c>
      <c r="BL54">
        <f>BL12</f>
        <v>0</v>
      </c>
      <c r="BM54">
        <v>8</v>
      </c>
      <c r="BN54">
        <f>BN12</f>
        <v>0</v>
      </c>
      <c r="BO54">
        <v>8</v>
      </c>
      <c r="BP54">
        <f>BP12</f>
        <v>0</v>
      </c>
      <c r="BS54">
        <v>8</v>
      </c>
      <c r="BT54">
        <f>BT12</f>
        <v>0</v>
      </c>
      <c r="BU54">
        <v>8</v>
      </c>
      <c r="BV54">
        <f>BV12</f>
        <v>0</v>
      </c>
      <c r="BW54">
        <v>8</v>
      </c>
      <c r="BX54">
        <f>BX12</f>
        <v>0</v>
      </c>
      <c r="BY54">
        <v>8</v>
      </c>
      <c r="BZ54">
        <f>BZ12</f>
        <v>0</v>
      </c>
      <c r="CA54">
        <v>8</v>
      </c>
      <c r="CB54">
        <f>CB12</f>
        <v>0</v>
      </c>
      <c r="CC54">
        <v>8</v>
      </c>
      <c r="CD54">
        <f>CD12</f>
        <v>0</v>
      </c>
      <c r="CE54">
        <v>8</v>
      </c>
      <c r="CF54">
        <f>CF12</f>
        <v>0</v>
      </c>
      <c r="CG54">
        <v>8</v>
      </c>
      <c r="CH54">
        <f>CH12</f>
        <v>0</v>
      </c>
      <c r="CI54">
        <v>8</v>
      </c>
      <c r="CJ54">
        <f>CJ12</f>
        <v>0</v>
      </c>
      <c r="CK54">
        <v>8</v>
      </c>
      <c r="CL54">
        <f>CL12</f>
        <v>0</v>
      </c>
      <c r="CM54">
        <v>8</v>
      </c>
      <c r="CN54">
        <f>CN12</f>
        <v>0</v>
      </c>
      <c r="CO54">
        <v>8</v>
      </c>
      <c r="CP54">
        <f>CP12</f>
        <v>0</v>
      </c>
      <c r="CQ54">
        <v>8</v>
      </c>
      <c r="CR54">
        <f>CR12</f>
        <v>0</v>
      </c>
      <c r="CS54">
        <v>8</v>
      </c>
      <c r="CT54">
        <f>CT12</f>
        <v>0</v>
      </c>
      <c r="CU54">
        <v>8</v>
      </c>
      <c r="CV54">
        <f>CV12</f>
        <v>0</v>
      </c>
      <c r="CW54">
        <v>8</v>
      </c>
      <c r="CX54">
        <f>CX12</f>
        <v>0</v>
      </c>
      <c r="CY54">
        <v>8</v>
      </c>
      <c r="CZ54">
        <f>CZ12</f>
        <v>0</v>
      </c>
      <c r="DA54">
        <v>8</v>
      </c>
      <c r="DB54">
        <f>DB12</f>
        <v>0</v>
      </c>
      <c r="DC54">
        <v>8</v>
      </c>
      <c r="DD54">
        <f>DD12</f>
        <v>0</v>
      </c>
      <c r="DE54">
        <v>8</v>
      </c>
      <c r="DF54">
        <f>DF12</f>
        <v>0</v>
      </c>
      <c r="DG54">
        <v>8</v>
      </c>
      <c r="DH54">
        <f>DH12</f>
        <v>0</v>
      </c>
      <c r="DI54">
        <v>8</v>
      </c>
      <c r="DJ54">
        <f>DJ12</f>
        <v>0</v>
      </c>
      <c r="DK54">
        <v>8</v>
      </c>
      <c r="DL54">
        <f>DL12</f>
        <v>0</v>
      </c>
      <c r="DM54">
        <v>8</v>
      </c>
      <c r="DN54">
        <f>DN12</f>
        <v>0</v>
      </c>
      <c r="DO54">
        <v>8</v>
      </c>
      <c r="DP54">
        <f>DP12</f>
        <v>0</v>
      </c>
      <c r="DQ54">
        <v>8</v>
      </c>
      <c r="DR54">
        <f>DR12</f>
        <v>0</v>
      </c>
      <c r="DS54">
        <v>8</v>
      </c>
      <c r="DT54">
        <f>DT12</f>
        <v>0</v>
      </c>
      <c r="DU54">
        <v>8</v>
      </c>
      <c r="DV54">
        <f>DV12</f>
        <v>0</v>
      </c>
      <c r="DW54">
        <v>8</v>
      </c>
      <c r="DX54">
        <f>DX12</f>
        <v>0</v>
      </c>
      <c r="DY54">
        <v>8</v>
      </c>
      <c r="DZ54">
        <f>DZ12</f>
        <v>0</v>
      </c>
      <c r="EA54">
        <v>8</v>
      </c>
      <c r="EB54">
        <f>EB12</f>
        <v>0</v>
      </c>
      <c r="EC54">
        <v>8</v>
      </c>
      <c r="ED54">
        <f>ED12</f>
        <v>0</v>
      </c>
      <c r="EG54">
        <f>IF(Charts!$B$3="none",E261,IF(BS261="",NA(),BS261))</f>
        <v>0</v>
      </c>
      <c r="EH54">
        <f>IF(Charts!$B$3="none",F261,IF(BT261="",NA(),BT261))</f>
        <v>0</v>
      </c>
      <c r="EI54">
        <f>IF(Charts!$B$3="none",G261,IF(BU261="",NA(),BU261))</f>
        <v>0</v>
      </c>
      <c r="EJ54">
        <f>IF(Charts!$B$3="none",H261,IF(BV261="",NA(),BV261))</f>
        <v>0</v>
      </c>
      <c r="EK54">
        <f>IF(Charts!$B$3="none",I261,IF(BW261="",NA(),BW261))</f>
        <v>0</v>
      </c>
      <c r="EL54">
        <f>IF(Charts!$B$3="none",J261,IF(BX261="",NA(),BX261))</f>
        <v>0</v>
      </c>
      <c r="EM54">
        <f>IF(Charts!$B$3="none",K261,IF(BY261="",NA(),BY261))</f>
        <v>0</v>
      </c>
      <c r="EN54">
        <f>IF(Charts!$B$3="none",L261,IF(BZ261="",NA(),BZ261))</f>
        <v>0</v>
      </c>
      <c r="EO54">
        <f>IF(Charts!$B$3="none",M261,IF(CA261="",NA(),CA261))</f>
        <v>0</v>
      </c>
      <c r="EP54">
        <f>IF(Charts!$B$3="none",N261,IF(CB261="",NA(),CB261))</f>
        <v>0</v>
      </c>
      <c r="EQ54">
        <f>IF(Charts!$B$3="none",O261,IF(CC261="",NA(),CC261))</f>
        <v>0</v>
      </c>
      <c r="ER54">
        <f>IF(Charts!$B$3="none",P261,IF(CD261="",NA(),CD261))</f>
        <v>0</v>
      </c>
      <c r="ES54">
        <f>IF(Charts!$B$3="none",Q261,IF(CE261="",NA(),CE261))</f>
        <v>0</v>
      </c>
      <c r="ET54">
        <f>IF(Charts!$B$3="none",R261,IF(CF261="",NA(),CF261))</f>
        <v>0</v>
      </c>
      <c r="EU54">
        <f>IF(Charts!$B$3="none",S261,IF(CG261="",NA(),CG261))</f>
        <v>0</v>
      </c>
      <c r="EV54">
        <f>IF(Charts!$B$3="none",T261,IF(CH261="",NA(),CH261))</f>
        <v>0</v>
      </c>
      <c r="EW54">
        <f>IF(Charts!$B$3="none",U261,IF(CI261="",NA(),CI261))</f>
        <v>0</v>
      </c>
      <c r="EX54">
        <f>IF(Charts!$B$3="none",V261,IF(CJ261="",NA(),CJ261))</f>
        <v>0</v>
      </c>
      <c r="EY54">
        <f>IF(Charts!$B$3="none",W261,IF(CK261="",NA(),CK261))</f>
        <v>0</v>
      </c>
      <c r="EZ54">
        <f>IF(Charts!$B$3="none",X261,IF(CL261="",NA(),CL261))</f>
        <v>0</v>
      </c>
      <c r="FA54">
        <f>IF(Charts!$B$3="none",Y261,IF(CM261="",NA(),CM261))</f>
        <v>0</v>
      </c>
      <c r="FB54">
        <f>IF(Charts!$B$3="none",Z261,IF(CN261="",NA(),CN261))</f>
        <v>0</v>
      </c>
      <c r="FC54">
        <f>IF(Charts!$B$3="none",AA261,IF(CO261="",NA(),CO261))</f>
        <v>0</v>
      </c>
      <c r="FD54">
        <f>IF(Charts!$B$3="none",AB261,IF(CP261="",NA(),CP261))</f>
        <v>0</v>
      </c>
      <c r="FE54">
        <f>IF(Charts!$B$3="none",AC261,IF(CQ261="",NA(),CQ261))</f>
        <v>0</v>
      </c>
      <c r="FF54">
        <f>IF(Charts!$B$3="none",AD261,IF(CR261="",NA(),CR261))</f>
        <v>0</v>
      </c>
      <c r="FG54">
        <f>IF(Charts!$B$3="none",AE261,IF(CS261="",NA(),CS261))</f>
        <v>0</v>
      </c>
      <c r="FH54">
        <f>IF(Charts!$B$3="none",AF261,IF(CT261="",NA(),CT261))</f>
        <v>0</v>
      </c>
      <c r="FI54">
        <f>IF(Charts!$B$3="none",AG261,IF(CU261="",NA(),CU261))</f>
        <v>0</v>
      </c>
      <c r="FJ54">
        <f>IF(Charts!$B$3="none",AH261,IF(CV261="",NA(),CV261))</f>
        <v>0</v>
      </c>
      <c r="FK54">
        <f>IF(Charts!$B$3="none",AI261,IF(CW261="",NA(),CW261))</f>
        <v>0</v>
      </c>
      <c r="FL54">
        <f>IF(Charts!$B$3="none",AJ261,IF(CX261="",NA(),CX261))</f>
        <v>0</v>
      </c>
      <c r="FM54">
        <f>IF(Charts!$B$3="none",AK261,IF(CY261="",NA(),CY261))</f>
        <v>0</v>
      </c>
      <c r="FN54">
        <f>IF(Charts!$B$3="none",AL261,IF(CZ261="",NA(),CZ261))</f>
        <v>0</v>
      </c>
      <c r="FO54">
        <f>IF(Charts!$B$3="none",AM261,IF(DA261="",NA(),DA261))</f>
        <v>0</v>
      </c>
      <c r="FP54">
        <f>IF(Charts!$B$3="none",AN261,IF(DB261="",NA(),DB261))</f>
        <v>0</v>
      </c>
      <c r="FQ54">
        <f>IF(Charts!$B$3="none",AO261,IF(DC261="",NA(),DC261))</f>
        <v>0</v>
      </c>
      <c r="FR54">
        <f>IF(Charts!$B$3="none",AP261,IF(DD261="",NA(),DD261))</f>
        <v>0</v>
      </c>
      <c r="FS54">
        <f>IF(Charts!$B$3="none",AQ261,IF(DE261="",NA(),DE261))</f>
        <v>0</v>
      </c>
      <c r="FT54">
        <f>IF(Charts!$B$3="none",AR261,IF(DF261="",NA(),DF261))</f>
        <v>0</v>
      </c>
      <c r="FU54">
        <f>IF(Charts!$B$3="none",AS261,IF(DG261="",NA(),DG261))</f>
        <v>0</v>
      </c>
      <c r="FV54">
        <f>IF(Charts!$B$3="none",AT261,IF(DH261="",NA(),DH261))</f>
        <v>0</v>
      </c>
      <c r="FW54">
        <f>IF(Charts!$B$3="none",AU261,IF(DI261="",NA(),DI261))</f>
        <v>0</v>
      </c>
      <c r="FX54">
        <f>IF(Charts!$B$3="none",AV261,IF(DJ261="",NA(),DJ261))</f>
        <v>0</v>
      </c>
      <c r="FY54">
        <f>IF(Charts!$B$3="none",AW261,IF(DK261="",NA(),DK261))</f>
        <v>0</v>
      </c>
      <c r="FZ54">
        <f>IF(Charts!$B$3="none",AX261,IF(DL261="",NA(),DL261))</f>
        <v>0</v>
      </c>
      <c r="GA54">
        <f>IF(Charts!$B$3="none",AY261,IF(DM261="",NA(),DM261))</f>
        <v>0</v>
      </c>
      <c r="GB54">
        <f>IF(Charts!$B$3="none",AZ261,IF(DN261="",NA(),DN261))</f>
        <v>0</v>
      </c>
      <c r="GC54">
        <f>IF(Charts!$B$3="none",BA261,IF(DO261="",NA(),DO261))</f>
        <v>0</v>
      </c>
      <c r="GD54">
        <f>IF(Charts!$B$3="none",BB261,IF(DP261="",NA(),DP261))</f>
        <v>0</v>
      </c>
      <c r="GE54">
        <f>IF(Charts!$B$3="none",BC261,IF(DQ261="",NA(),DQ261))</f>
        <v>0</v>
      </c>
      <c r="GF54">
        <f>IF(Charts!$B$3="none",BD261,IF(DR261="",NA(),DR261))</f>
        <v>0</v>
      </c>
      <c r="GG54">
        <f>IF(Charts!$B$3="none",BE261,IF(DS261="",NA(),DS261))</f>
        <v>0</v>
      </c>
      <c r="GH54">
        <f>IF(Charts!$B$3="none",BF261,IF(DT261="",NA(),DT261))</f>
        <v>0</v>
      </c>
      <c r="GI54">
        <f>IF(Charts!$B$3="none",BG261,IF(DU261="",NA(),DU261))</f>
        <v>0</v>
      </c>
      <c r="GJ54">
        <f>IF(Charts!$B$3="none",BH261,IF(DV261="",NA(),DV261))</f>
        <v>0</v>
      </c>
      <c r="GK54">
        <f>IF(Charts!$B$3="none",BI261,IF(DW261="",NA(),DW261))</f>
        <v>0</v>
      </c>
      <c r="GL54">
        <f>IF(Charts!$B$3="none",BJ261,IF(DX261="",NA(),DX261))</f>
        <v>0</v>
      </c>
      <c r="GM54">
        <f>IF(Charts!$B$3="none",BK261,IF(DY261="",NA(),DY261))</f>
        <v>0</v>
      </c>
      <c r="GN54">
        <f>IF(Charts!$B$3="none",BL261,IF(DZ261="",NA(),DZ261))</f>
        <v>0</v>
      </c>
      <c r="GO54">
        <f>IF(Charts!$B$3="none",BM261,IF(EA261="",NA(),EA261))</f>
        <v>0</v>
      </c>
      <c r="GP54">
        <f>IF(Charts!$B$3="none",BN261,IF(EB261="",NA(),EB261))</f>
        <v>0</v>
      </c>
      <c r="GQ54">
        <f>IF(Charts!$B$3="none",BO261,IF(EC261="",NA(),EC261))</f>
        <v>0</v>
      </c>
      <c r="GR54">
        <f>IF(Charts!$B$3="none",BP261,IF(ED261="",NA(),ED261))</f>
        <v>0</v>
      </c>
    </row>
    <row r="55" spans="5:200">
      <c r="E55">
        <v>9</v>
      </c>
      <c r="F55">
        <f>F13</f>
        <v>0</v>
      </c>
      <c r="G55">
        <v>9</v>
      </c>
      <c r="H55">
        <f>H13</f>
        <v>0</v>
      </c>
      <c r="I55">
        <v>9</v>
      </c>
      <c r="J55">
        <f>J13</f>
        <v>0</v>
      </c>
      <c r="K55">
        <v>9</v>
      </c>
      <c r="L55">
        <f>L13</f>
        <v>0</v>
      </c>
      <c r="M55">
        <v>9</v>
      </c>
      <c r="N55">
        <f>N13</f>
        <v>0</v>
      </c>
      <c r="O55">
        <v>9</v>
      </c>
      <c r="P55">
        <f>P13</f>
        <v>0</v>
      </c>
      <c r="Q55">
        <v>9</v>
      </c>
      <c r="R55">
        <f>R13</f>
        <v>0</v>
      </c>
      <c r="S55">
        <v>9</v>
      </c>
      <c r="T55">
        <f>T13</f>
        <v>0</v>
      </c>
      <c r="U55">
        <v>9</v>
      </c>
      <c r="V55">
        <f>V13</f>
        <v>0</v>
      </c>
      <c r="W55">
        <v>9</v>
      </c>
      <c r="X55">
        <f>X13</f>
        <v>0</v>
      </c>
      <c r="Y55">
        <v>9</v>
      </c>
      <c r="Z55">
        <f>Z13</f>
        <v>0</v>
      </c>
      <c r="AA55">
        <v>9</v>
      </c>
      <c r="AB55">
        <f>AB13</f>
        <v>0</v>
      </c>
      <c r="AC55">
        <v>9</v>
      </c>
      <c r="AD55">
        <f>AD13</f>
        <v>0</v>
      </c>
      <c r="AE55">
        <v>9</v>
      </c>
      <c r="AF55">
        <f>AF13</f>
        <v>0</v>
      </c>
      <c r="AG55">
        <v>9</v>
      </c>
      <c r="AH55">
        <f>AH13</f>
        <v>0</v>
      </c>
      <c r="AI55">
        <v>9</v>
      </c>
      <c r="AJ55">
        <f>AJ13</f>
        <v>0</v>
      </c>
      <c r="AK55">
        <v>9</v>
      </c>
      <c r="AL55">
        <f>AL13</f>
        <v>0</v>
      </c>
      <c r="AM55">
        <v>9</v>
      </c>
      <c r="AN55">
        <f>AN13</f>
        <v>0</v>
      </c>
      <c r="AO55">
        <v>9</v>
      </c>
      <c r="AP55">
        <f>AP13</f>
        <v>0</v>
      </c>
      <c r="AQ55">
        <v>9</v>
      </c>
      <c r="AR55">
        <f>AR13</f>
        <v>0</v>
      </c>
      <c r="AS55">
        <v>9</v>
      </c>
      <c r="AT55">
        <f>AT13</f>
        <v>0</v>
      </c>
      <c r="AU55">
        <v>9</v>
      </c>
      <c r="AV55">
        <f>AV13</f>
        <v>0</v>
      </c>
      <c r="AW55">
        <v>9</v>
      </c>
      <c r="AX55">
        <f>AX13</f>
        <v>0</v>
      </c>
      <c r="AY55">
        <v>9</v>
      </c>
      <c r="AZ55">
        <f>AZ13</f>
        <v>0</v>
      </c>
      <c r="BA55">
        <v>9</v>
      </c>
      <c r="BB55">
        <f>BB13</f>
        <v>0</v>
      </c>
      <c r="BC55">
        <v>9</v>
      </c>
      <c r="BD55">
        <f>BD13</f>
        <v>0</v>
      </c>
      <c r="BE55">
        <v>9</v>
      </c>
      <c r="BF55">
        <f>BF13</f>
        <v>0</v>
      </c>
      <c r="BG55">
        <v>9</v>
      </c>
      <c r="BH55">
        <f>BH13</f>
        <v>0</v>
      </c>
      <c r="BI55">
        <v>9</v>
      </c>
      <c r="BJ55">
        <f>BJ13</f>
        <v>0</v>
      </c>
      <c r="BK55">
        <v>9</v>
      </c>
      <c r="BL55">
        <f>BL13</f>
        <v>0</v>
      </c>
      <c r="BM55">
        <v>9</v>
      </c>
      <c r="BN55">
        <f>BN13</f>
        <v>0</v>
      </c>
      <c r="BO55">
        <v>9</v>
      </c>
      <c r="BP55">
        <f>BP13</f>
        <v>0</v>
      </c>
      <c r="BS55">
        <v>9</v>
      </c>
      <c r="BT55">
        <f>BT13</f>
        <v>0</v>
      </c>
      <c r="BU55">
        <v>9</v>
      </c>
      <c r="BV55">
        <f>BV13</f>
        <v>0</v>
      </c>
      <c r="BW55">
        <v>9</v>
      </c>
      <c r="BX55">
        <f>BX13</f>
        <v>0</v>
      </c>
      <c r="BY55">
        <v>9</v>
      </c>
      <c r="BZ55">
        <f>BZ13</f>
        <v>0</v>
      </c>
      <c r="CA55">
        <v>9</v>
      </c>
      <c r="CB55">
        <f>CB13</f>
        <v>0</v>
      </c>
      <c r="CC55">
        <v>9</v>
      </c>
      <c r="CD55">
        <f>CD13</f>
        <v>0</v>
      </c>
      <c r="CE55">
        <v>9</v>
      </c>
      <c r="CF55">
        <f>CF13</f>
        <v>0</v>
      </c>
      <c r="CG55">
        <v>9</v>
      </c>
      <c r="CH55">
        <f>CH13</f>
        <v>0</v>
      </c>
      <c r="CI55">
        <v>9</v>
      </c>
      <c r="CJ55">
        <f>CJ13</f>
        <v>0</v>
      </c>
      <c r="CK55">
        <v>9</v>
      </c>
      <c r="CL55">
        <f>CL13</f>
        <v>0</v>
      </c>
      <c r="CM55">
        <v>9</v>
      </c>
      <c r="CN55">
        <f>CN13</f>
        <v>0</v>
      </c>
      <c r="CO55">
        <v>9</v>
      </c>
      <c r="CP55">
        <f>CP13</f>
        <v>0</v>
      </c>
      <c r="CQ55">
        <v>9</v>
      </c>
      <c r="CR55">
        <f>CR13</f>
        <v>0</v>
      </c>
      <c r="CS55">
        <v>9</v>
      </c>
      <c r="CT55">
        <f>CT13</f>
        <v>0</v>
      </c>
      <c r="CU55">
        <v>9</v>
      </c>
      <c r="CV55">
        <f>CV13</f>
        <v>0</v>
      </c>
      <c r="CW55">
        <v>9</v>
      </c>
      <c r="CX55">
        <f>CX13</f>
        <v>0</v>
      </c>
      <c r="CY55">
        <v>9</v>
      </c>
      <c r="CZ55">
        <f>CZ13</f>
        <v>0</v>
      </c>
      <c r="DA55">
        <v>9</v>
      </c>
      <c r="DB55">
        <f>DB13</f>
        <v>0</v>
      </c>
      <c r="DC55">
        <v>9</v>
      </c>
      <c r="DD55">
        <f>DD13</f>
        <v>0</v>
      </c>
      <c r="DE55">
        <v>9</v>
      </c>
      <c r="DF55">
        <f>DF13</f>
        <v>0</v>
      </c>
      <c r="DG55">
        <v>9</v>
      </c>
      <c r="DH55">
        <f>DH13</f>
        <v>0</v>
      </c>
      <c r="DI55">
        <v>9</v>
      </c>
      <c r="DJ55">
        <f>DJ13</f>
        <v>0</v>
      </c>
      <c r="DK55">
        <v>9</v>
      </c>
      <c r="DL55">
        <f>DL13</f>
        <v>0</v>
      </c>
      <c r="DM55">
        <v>9</v>
      </c>
      <c r="DN55">
        <f>DN13</f>
        <v>0</v>
      </c>
      <c r="DO55">
        <v>9</v>
      </c>
      <c r="DP55">
        <f>DP13</f>
        <v>0</v>
      </c>
      <c r="DQ55">
        <v>9</v>
      </c>
      <c r="DR55">
        <f>DR13</f>
        <v>0</v>
      </c>
      <c r="DS55">
        <v>9</v>
      </c>
      <c r="DT55">
        <f>DT13</f>
        <v>0</v>
      </c>
      <c r="DU55">
        <v>9</v>
      </c>
      <c r="DV55">
        <f>DV13</f>
        <v>0</v>
      </c>
      <c r="DW55">
        <v>9</v>
      </c>
      <c r="DX55">
        <f>DX13</f>
        <v>0</v>
      </c>
      <c r="DY55">
        <v>9</v>
      </c>
      <c r="DZ55">
        <f>DZ13</f>
        <v>0</v>
      </c>
      <c r="EA55">
        <v>9</v>
      </c>
      <c r="EB55">
        <f>EB13</f>
        <v>0</v>
      </c>
      <c r="EC55">
        <v>9</v>
      </c>
      <c r="ED55">
        <f>ED13</f>
        <v>0</v>
      </c>
      <c r="EG55">
        <f>IF(Charts!$B$3="none",E262,IF(BS262="",NA(),BS262))</f>
        <v>0</v>
      </c>
      <c r="EH55">
        <f>IF(Charts!$B$3="none",F262,IF(BT262="",NA(),BT262))</f>
        <v>0</v>
      </c>
      <c r="EI55">
        <f>IF(Charts!$B$3="none",G262,IF(BU262="",NA(),BU262))</f>
        <v>0</v>
      </c>
      <c r="EJ55">
        <f>IF(Charts!$B$3="none",H262,IF(BV262="",NA(),BV262))</f>
        <v>0</v>
      </c>
      <c r="EK55">
        <f>IF(Charts!$B$3="none",I262,IF(BW262="",NA(),BW262))</f>
        <v>0</v>
      </c>
      <c r="EL55">
        <f>IF(Charts!$B$3="none",J262,IF(BX262="",NA(),BX262))</f>
        <v>0</v>
      </c>
      <c r="EM55">
        <f>IF(Charts!$B$3="none",K262,IF(BY262="",NA(),BY262))</f>
        <v>0</v>
      </c>
      <c r="EN55">
        <f>IF(Charts!$B$3="none",L262,IF(BZ262="",NA(),BZ262))</f>
        <v>0</v>
      </c>
      <c r="EO55">
        <f>IF(Charts!$B$3="none",M262,IF(CA262="",NA(),CA262))</f>
        <v>0</v>
      </c>
      <c r="EP55">
        <f>IF(Charts!$B$3="none",N262,IF(CB262="",NA(),CB262))</f>
        <v>0</v>
      </c>
      <c r="EQ55">
        <f>IF(Charts!$B$3="none",O262,IF(CC262="",NA(),CC262))</f>
        <v>0</v>
      </c>
      <c r="ER55">
        <f>IF(Charts!$B$3="none",P262,IF(CD262="",NA(),CD262))</f>
        <v>0</v>
      </c>
      <c r="ES55">
        <f>IF(Charts!$B$3="none",Q262,IF(CE262="",NA(),CE262))</f>
        <v>0</v>
      </c>
      <c r="ET55">
        <f>IF(Charts!$B$3="none",R262,IF(CF262="",NA(),CF262))</f>
        <v>0</v>
      </c>
      <c r="EU55">
        <f>IF(Charts!$B$3="none",S262,IF(CG262="",NA(),CG262))</f>
        <v>0</v>
      </c>
      <c r="EV55">
        <f>IF(Charts!$B$3="none",T262,IF(CH262="",NA(),CH262))</f>
        <v>0</v>
      </c>
      <c r="EW55">
        <f>IF(Charts!$B$3="none",U262,IF(CI262="",NA(),CI262))</f>
        <v>0</v>
      </c>
      <c r="EX55">
        <f>IF(Charts!$B$3="none",V262,IF(CJ262="",NA(),CJ262))</f>
        <v>0</v>
      </c>
      <c r="EY55">
        <f>IF(Charts!$B$3="none",W262,IF(CK262="",NA(),CK262))</f>
        <v>0</v>
      </c>
      <c r="EZ55">
        <f>IF(Charts!$B$3="none",X262,IF(CL262="",NA(),CL262))</f>
        <v>0</v>
      </c>
      <c r="FA55">
        <f>IF(Charts!$B$3="none",Y262,IF(CM262="",NA(),CM262))</f>
        <v>0</v>
      </c>
      <c r="FB55">
        <f>IF(Charts!$B$3="none",Z262,IF(CN262="",NA(),CN262))</f>
        <v>0</v>
      </c>
      <c r="FC55">
        <f>IF(Charts!$B$3="none",AA262,IF(CO262="",NA(),CO262))</f>
        <v>0</v>
      </c>
      <c r="FD55">
        <f>IF(Charts!$B$3="none",AB262,IF(CP262="",NA(),CP262))</f>
        <v>0</v>
      </c>
      <c r="FE55">
        <f>IF(Charts!$B$3="none",AC262,IF(CQ262="",NA(),CQ262))</f>
        <v>0</v>
      </c>
      <c r="FF55">
        <f>IF(Charts!$B$3="none",AD262,IF(CR262="",NA(),CR262))</f>
        <v>0</v>
      </c>
      <c r="FG55">
        <f>IF(Charts!$B$3="none",AE262,IF(CS262="",NA(),CS262))</f>
        <v>0</v>
      </c>
      <c r="FH55">
        <f>IF(Charts!$B$3="none",AF262,IF(CT262="",NA(),CT262))</f>
        <v>0</v>
      </c>
      <c r="FI55">
        <f>IF(Charts!$B$3="none",AG262,IF(CU262="",NA(),CU262))</f>
        <v>0</v>
      </c>
      <c r="FJ55">
        <f>IF(Charts!$B$3="none",AH262,IF(CV262="",NA(),CV262))</f>
        <v>0</v>
      </c>
      <c r="FK55">
        <f>IF(Charts!$B$3="none",AI262,IF(CW262="",NA(),CW262))</f>
        <v>0</v>
      </c>
      <c r="FL55">
        <f>IF(Charts!$B$3="none",AJ262,IF(CX262="",NA(),CX262))</f>
        <v>0</v>
      </c>
      <c r="FM55">
        <f>IF(Charts!$B$3="none",AK262,IF(CY262="",NA(),CY262))</f>
        <v>0</v>
      </c>
      <c r="FN55">
        <f>IF(Charts!$B$3="none",AL262,IF(CZ262="",NA(),CZ262))</f>
        <v>0</v>
      </c>
      <c r="FO55">
        <f>IF(Charts!$B$3="none",AM262,IF(DA262="",NA(),DA262))</f>
        <v>0</v>
      </c>
      <c r="FP55">
        <f>IF(Charts!$B$3="none",AN262,IF(DB262="",NA(),DB262))</f>
        <v>0</v>
      </c>
      <c r="FQ55">
        <f>IF(Charts!$B$3="none",AO262,IF(DC262="",NA(),DC262))</f>
        <v>0</v>
      </c>
      <c r="FR55">
        <f>IF(Charts!$B$3="none",AP262,IF(DD262="",NA(),DD262))</f>
        <v>0</v>
      </c>
      <c r="FS55">
        <f>IF(Charts!$B$3="none",AQ262,IF(DE262="",NA(),DE262))</f>
        <v>0</v>
      </c>
      <c r="FT55">
        <f>IF(Charts!$B$3="none",AR262,IF(DF262="",NA(),DF262))</f>
        <v>0</v>
      </c>
      <c r="FU55">
        <f>IF(Charts!$B$3="none",AS262,IF(DG262="",NA(),DG262))</f>
        <v>0</v>
      </c>
      <c r="FV55">
        <f>IF(Charts!$B$3="none",AT262,IF(DH262="",NA(),DH262))</f>
        <v>0</v>
      </c>
      <c r="FW55">
        <f>IF(Charts!$B$3="none",AU262,IF(DI262="",NA(),DI262))</f>
        <v>0</v>
      </c>
      <c r="FX55">
        <f>IF(Charts!$B$3="none",AV262,IF(DJ262="",NA(),DJ262))</f>
        <v>0</v>
      </c>
      <c r="FY55">
        <f>IF(Charts!$B$3="none",AW262,IF(DK262="",NA(),DK262))</f>
        <v>0</v>
      </c>
      <c r="FZ55">
        <f>IF(Charts!$B$3="none",AX262,IF(DL262="",NA(),DL262))</f>
        <v>0</v>
      </c>
      <c r="GA55">
        <f>IF(Charts!$B$3="none",AY262,IF(DM262="",NA(),DM262))</f>
        <v>0</v>
      </c>
      <c r="GB55">
        <f>IF(Charts!$B$3="none",AZ262,IF(DN262="",NA(),DN262))</f>
        <v>0</v>
      </c>
      <c r="GC55">
        <f>IF(Charts!$B$3="none",BA262,IF(DO262="",NA(),DO262))</f>
        <v>0</v>
      </c>
      <c r="GD55">
        <f>IF(Charts!$B$3="none",BB262,IF(DP262="",NA(),DP262))</f>
        <v>0</v>
      </c>
      <c r="GE55">
        <f>IF(Charts!$B$3="none",BC262,IF(DQ262="",NA(),DQ262))</f>
        <v>0</v>
      </c>
      <c r="GF55">
        <f>IF(Charts!$B$3="none",BD262,IF(DR262="",NA(),DR262))</f>
        <v>0</v>
      </c>
      <c r="GG55">
        <f>IF(Charts!$B$3="none",BE262,IF(DS262="",NA(),DS262))</f>
        <v>0</v>
      </c>
      <c r="GH55">
        <f>IF(Charts!$B$3="none",BF262,IF(DT262="",NA(),DT262))</f>
        <v>0</v>
      </c>
      <c r="GI55">
        <f>IF(Charts!$B$3="none",BG262,IF(DU262="",NA(),DU262))</f>
        <v>0</v>
      </c>
      <c r="GJ55">
        <f>IF(Charts!$B$3="none",BH262,IF(DV262="",NA(),DV262))</f>
        <v>0</v>
      </c>
      <c r="GK55">
        <f>IF(Charts!$B$3="none",BI262,IF(DW262="",NA(),DW262))</f>
        <v>0</v>
      </c>
      <c r="GL55">
        <f>IF(Charts!$B$3="none",BJ262,IF(DX262="",NA(),DX262))</f>
        <v>0</v>
      </c>
      <c r="GM55">
        <f>IF(Charts!$B$3="none",BK262,IF(DY262="",NA(),DY262))</f>
        <v>0</v>
      </c>
      <c r="GN55">
        <f>IF(Charts!$B$3="none",BL262,IF(DZ262="",NA(),DZ262))</f>
        <v>0</v>
      </c>
      <c r="GO55">
        <f>IF(Charts!$B$3="none",BM262,IF(EA262="",NA(),EA262))</f>
        <v>0</v>
      </c>
      <c r="GP55">
        <f>IF(Charts!$B$3="none",BN262,IF(EB262="",NA(),EB262))</f>
        <v>0</v>
      </c>
      <c r="GQ55">
        <f>IF(Charts!$B$3="none",BO262,IF(EC262="",NA(),EC262))</f>
        <v>0</v>
      </c>
      <c r="GR55">
        <f>IF(Charts!$B$3="none",BP262,IF(ED262="",NA(),ED262))</f>
        <v>0</v>
      </c>
    </row>
    <row r="56" spans="5:200">
      <c r="E56">
        <v>10</v>
      </c>
      <c r="F56">
        <f>F14</f>
        <v>0</v>
      </c>
      <c r="G56">
        <v>10</v>
      </c>
      <c r="H56">
        <f>H14</f>
        <v>0</v>
      </c>
      <c r="I56">
        <v>10</v>
      </c>
      <c r="J56">
        <f>J14</f>
        <v>0</v>
      </c>
      <c r="K56">
        <v>10</v>
      </c>
      <c r="L56">
        <f>L14</f>
        <v>0</v>
      </c>
      <c r="M56">
        <v>10</v>
      </c>
      <c r="N56">
        <f>N14</f>
        <v>0</v>
      </c>
      <c r="O56">
        <v>10</v>
      </c>
      <c r="P56">
        <f>P14</f>
        <v>0</v>
      </c>
      <c r="Q56">
        <v>10</v>
      </c>
      <c r="R56">
        <f>R14</f>
        <v>0</v>
      </c>
      <c r="S56">
        <v>10</v>
      </c>
      <c r="T56">
        <f>T14</f>
        <v>0</v>
      </c>
      <c r="U56">
        <v>10</v>
      </c>
      <c r="V56">
        <f>V14</f>
        <v>0</v>
      </c>
      <c r="W56">
        <v>10</v>
      </c>
      <c r="X56">
        <f>X14</f>
        <v>0</v>
      </c>
      <c r="Y56">
        <v>10</v>
      </c>
      <c r="Z56">
        <f>Z14</f>
        <v>0</v>
      </c>
      <c r="AA56">
        <v>10</v>
      </c>
      <c r="AB56">
        <f>AB14</f>
        <v>0</v>
      </c>
      <c r="AC56">
        <v>10</v>
      </c>
      <c r="AD56">
        <f>AD14</f>
        <v>0</v>
      </c>
      <c r="AE56">
        <v>10</v>
      </c>
      <c r="AF56">
        <f>AF14</f>
        <v>0</v>
      </c>
      <c r="AG56">
        <v>10</v>
      </c>
      <c r="AH56">
        <f>AH14</f>
        <v>0</v>
      </c>
      <c r="AI56">
        <v>10</v>
      </c>
      <c r="AJ56">
        <f>AJ14</f>
        <v>0</v>
      </c>
      <c r="AK56">
        <v>10</v>
      </c>
      <c r="AL56">
        <f>AL14</f>
        <v>0</v>
      </c>
      <c r="AM56">
        <v>10</v>
      </c>
      <c r="AN56">
        <f>AN14</f>
        <v>0</v>
      </c>
      <c r="AO56">
        <v>10</v>
      </c>
      <c r="AP56">
        <f>AP14</f>
        <v>0</v>
      </c>
      <c r="AQ56">
        <v>10</v>
      </c>
      <c r="AR56">
        <f>AR14</f>
        <v>0</v>
      </c>
      <c r="AS56">
        <v>10</v>
      </c>
      <c r="AT56">
        <f>AT14</f>
        <v>0</v>
      </c>
      <c r="AU56">
        <v>10</v>
      </c>
      <c r="AV56">
        <f>AV14</f>
        <v>0</v>
      </c>
      <c r="AW56">
        <v>10</v>
      </c>
      <c r="AX56">
        <f>AX14</f>
        <v>0</v>
      </c>
      <c r="AY56">
        <v>10</v>
      </c>
      <c r="AZ56">
        <f>AZ14</f>
        <v>0</v>
      </c>
      <c r="BA56">
        <v>10</v>
      </c>
      <c r="BB56">
        <f>BB14</f>
        <v>0</v>
      </c>
      <c r="BC56">
        <v>10</v>
      </c>
      <c r="BD56">
        <f>BD14</f>
        <v>0</v>
      </c>
      <c r="BE56">
        <v>10</v>
      </c>
      <c r="BF56">
        <f>BF14</f>
        <v>0</v>
      </c>
      <c r="BG56">
        <v>10</v>
      </c>
      <c r="BH56">
        <f>BH14</f>
        <v>0</v>
      </c>
      <c r="BI56">
        <v>10</v>
      </c>
      <c r="BJ56">
        <f>BJ14</f>
        <v>0</v>
      </c>
      <c r="BK56">
        <v>10</v>
      </c>
      <c r="BL56">
        <f>BL14</f>
        <v>0</v>
      </c>
      <c r="BM56">
        <v>10</v>
      </c>
      <c r="BN56">
        <f>BN14</f>
        <v>0</v>
      </c>
      <c r="BO56">
        <v>10</v>
      </c>
      <c r="BP56">
        <f>BP14</f>
        <v>0</v>
      </c>
      <c r="BS56">
        <v>10</v>
      </c>
      <c r="BT56">
        <f>BT14</f>
        <v>0</v>
      </c>
      <c r="BU56">
        <v>10</v>
      </c>
      <c r="BV56">
        <f>BV14</f>
        <v>0</v>
      </c>
      <c r="BW56">
        <v>10</v>
      </c>
      <c r="BX56">
        <f>BX14</f>
        <v>0</v>
      </c>
      <c r="BY56">
        <v>10</v>
      </c>
      <c r="BZ56">
        <f>BZ14</f>
        <v>0</v>
      </c>
      <c r="CA56">
        <v>10</v>
      </c>
      <c r="CB56">
        <f>CB14</f>
        <v>0</v>
      </c>
      <c r="CC56">
        <v>10</v>
      </c>
      <c r="CD56">
        <f>CD14</f>
        <v>0</v>
      </c>
      <c r="CE56">
        <v>10</v>
      </c>
      <c r="CF56">
        <f>CF14</f>
        <v>0</v>
      </c>
      <c r="CG56">
        <v>10</v>
      </c>
      <c r="CH56">
        <f>CH14</f>
        <v>0</v>
      </c>
      <c r="CI56">
        <v>10</v>
      </c>
      <c r="CJ56">
        <f>CJ14</f>
        <v>0</v>
      </c>
      <c r="CK56">
        <v>10</v>
      </c>
      <c r="CL56">
        <f>CL14</f>
        <v>0</v>
      </c>
      <c r="CM56">
        <v>10</v>
      </c>
      <c r="CN56">
        <f>CN14</f>
        <v>0</v>
      </c>
      <c r="CO56">
        <v>10</v>
      </c>
      <c r="CP56">
        <f>CP14</f>
        <v>0</v>
      </c>
      <c r="CQ56">
        <v>10</v>
      </c>
      <c r="CR56">
        <f>CR14</f>
        <v>0</v>
      </c>
      <c r="CS56">
        <v>10</v>
      </c>
      <c r="CT56">
        <f>CT14</f>
        <v>0</v>
      </c>
      <c r="CU56">
        <v>10</v>
      </c>
      <c r="CV56">
        <f>CV14</f>
        <v>0</v>
      </c>
      <c r="CW56">
        <v>10</v>
      </c>
      <c r="CX56">
        <f>CX14</f>
        <v>0</v>
      </c>
      <c r="CY56">
        <v>10</v>
      </c>
      <c r="CZ56">
        <f>CZ14</f>
        <v>0</v>
      </c>
      <c r="DA56">
        <v>10</v>
      </c>
      <c r="DB56">
        <f>DB14</f>
        <v>0</v>
      </c>
      <c r="DC56">
        <v>10</v>
      </c>
      <c r="DD56">
        <f>DD14</f>
        <v>0</v>
      </c>
      <c r="DE56">
        <v>10</v>
      </c>
      <c r="DF56">
        <f>DF14</f>
        <v>0</v>
      </c>
      <c r="DG56">
        <v>10</v>
      </c>
      <c r="DH56">
        <f>DH14</f>
        <v>0</v>
      </c>
      <c r="DI56">
        <v>10</v>
      </c>
      <c r="DJ56">
        <f>DJ14</f>
        <v>0</v>
      </c>
      <c r="DK56">
        <v>10</v>
      </c>
      <c r="DL56">
        <f>DL14</f>
        <v>0</v>
      </c>
      <c r="DM56">
        <v>10</v>
      </c>
      <c r="DN56">
        <f>DN14</f>
        <v>0</v>
      </c>
      <c r="DO56">
        <v>10</v>
      </c>
      <c r="DP56">
        <f>DP14</f>
        <v>0</v>
      </c>
      <c r="DQ56">
        <v>10</v>
      </c>
      <c r="DR56">
        <f>DR14</f>
        <v>0</v>
      </c>
      <c r="DS56">
        <v>10</v>
      </c>
      <c r="DT56">
        <f>DT14</f>
        <v>0</v>
      </c>
      <c r="DU56">
        <v>10</v>
      </c>
      <c r="DV56">
        <f>DV14</f>
        <v>0</v>
      </c>
      <c r="DW56">
        <v>10</v>
      </c>
      <c r="DX56">
        <f>DX14</f>
        <v>0</v>
      </c>
      <c r="DY56">
        <v>10</v>
      </c>
      <c r="DZ56">
        <f>DZ14</f>
        <v>0</v>
      </c>
      <c r="EA56">
        <v>10</v>
      </c>
      <c r="EB56">
        <f>EB14</f>
        <v>0</v>
      </c>
      <c r="EC56">
        <v>10</v>
      </c>
      <c r="ED56">
        <f>ED14</f>
        <v>0</v>
      </c>
      <c r="EG56">
        <f>IF(Charts!$B$3="none",E263,IF(BS263="",NA(),BS263))</f>
        <v>0</v>
      </c>
      <c r="EH56">
        <f>IF(Charts!$B$3="none",F263,IF(BT263="",NA(),BT263))</f>
        <v>0</v>
      </c>
      <c r="EI56">
        <f>IF(Charts!$B$3="none",G263,IF(BU263="",NA(),BU263))</f>
        <v>0</v>
      </c>
      <c r="EJ56">
        <f>IF(Charts!$B$3="none",H263,IF(BV263="",NA(),BV263))</f>
        <v>0</v>
      </c>
      <c r="EK56">
        <f>IF(Charts!$B$3="none",I263,IF(BW263="",NA(),BW263))</f>
        <v>0</v>
      </c>
      <c r="EL56">
        <f>IF(Charts!$B$3="none",J263,IF(BX263="",NA(),BX263))</f>
        <v>0</v>
      </c>
      <c r="EM56">
        <f>IF(Charts!$B$3="none",K263,IF(BY263="",NA(),BY263))</f>
        <v>0</v>
      </c>
      <c r="EN56">
        <f>IF(Charts!$B$3="none",L263,IF(BZ263="",NA(),BZ263))</f>
        <v>0</v>
      </c>
      <c r="EO56">
        <f>IF(Charts!$B$3="none",M263,IF(CA263="",NA(),CA263))</f>
        <v>0</v>
      </c>
      <c r="EP56">
        <f>IF(Charts!$B$3="none",N263,IF(CB263="",NA(),CB263))</f>
        <v>0</v>
      </c>
      <c r="EQ56">
        <f>IF(Charts!$B$3="none",O263,IF(CC263="",NA(),CC263))</f>
        <v>0</v>
      </c>
      <c r="ER56">
        <f>IF(Charts!$B$3="none",P263,IF(CD263="",NA(),CD263))</f>
        <v>0</v>
      </c>
      <c r="ES56">
        <f>IF(Charts!$B$3="none",Q263,IF(CE263="",NA(),CE263))</f>
        <v>0</v>
      </c>
      <c r="ET56">
        <f>IF(Charts!$B$3="none",R263,IF(CF263="",NA(),CF263))</f>
        <v>0</v>
      </c>
      <c r="EU56">
        <f>IF(Charts!$B$3="none",S263,IF(CG263="",NA(),CG263))</f>
        <v>0</v>
      </c>
      <c r="EV56">
        <f>IF(Charts!$B$3="none",T263,IF(CH263="",NA(),CH263))</f>
        <v>0</v>
      </c>
      <c r="EW56">
        <f>IF(Charts!$B$3="none",U263,IF(CI263="",NA(),CI263))</f>
        <v>0</v>
      </c>
      <c r="EX56">
        <f>IF(Charts!$B$3="none",V263,IF(CJ263="",NA(),CJ263))</f>
        <v>0</v>
      </c>
      <c r="EY56">
        <f>IF(Charts!$B$3="none",W263,IF(CK263="",NA(),CK263))</f>
        <v>0</v>
      </c>
      <c r="EZ56">
        <f>IF(Charts!$B$3="none",X263,IF(CL263="",NA(),CL263))</f>
        <v>0</v>
      </c>
      <c r="FA56">
        <f>IF(Charts!$B$3="none",Y263,IF(CM263="",NA(),CM263))</f>
        <v>0</v>
      </c>
      <c r="FB56">
        <f>IF(Charts!$B$3="none",Z263,IF(CN263="",NA(),CN263))</f>
        <v>0</v>
      </c>
      <c r="FC56">
        <f>IF(Charts!$B$3="none",AA263,IF(CO263="",NA(),CO263))</f>
        <v>0</v>
      </c>
      <c r="FD56">
        <f>IF(Charts!$B$3="none",AB263,IF(CP263="",NA(),CP263))</f>
        <v>0</v>
      </c>
      <c r="FE56">
        <f>IF(Charts!$B$3="none",AC263,IF(CQ263="",NA(),CQ263))</f>
        <v>0</v>
      </c>
      <c r="FF56">
        <f>IF(Charts!$B$3="none",AD263,IF(CR263="",NA(),CR263))</f>
        <v>0</v>
      </c>
      <c r="FG56">
        <f>IF(Charts!$B$3="none",AE263,IF(CS263="",NA(),CS263))</f>
        <v>0</v>
      </c>
      <c r="FH56">
        <f>IF(Charts!$B$3="none",AF263,IF(CT263="",NA(),CT263))</f>
        <v>0</v>
      </c>
      <c r="FI56">
        <f>IF(Charts!$B$3="none",AG263,IF(CU263="",NA(),CU263))</f>
        <v>0</v>
      </c>
      <c r="FJ56">
        <f>IF(Charts!$B$3="none",AH263,IF(CV263="",NA(),CV263))</f>
        <v>0</v>
      </c>
      <c r="FK56">
        <f>IF(Charts!$B$3="none",AI263,IF(CW263="",NA(),CW263))</f>
        <v>0</v>
      </c>
      <c r="FL56">
        <f>IF(Charts!$B$3="none",AJ263,IF(CX263="",NA(),CX263))</f>
        <v>0</v>
      </c>
      <c r="FM56">
        <f>IF(Charts!$B$3="none",AK263,IF(CY263="",NA(),CY263))</f>
        <v>0</v>
      </c>
      <c r="FN56">
        <f>IF(Charts!$B$3="none",AL263,IF(CZ263="",NA(),CZ263))</f>
        <v>0</v>
      </c>
      <c r="FO56">
        <f>IF(Charts!$B$3="none",AM263,IF(DA263="",NA(),DA263))</f>
        <v>0</v>
      </c>
      <c r="FP56">
        <f>IF(Charts!$B$3="none",AN263,IF(DB263="",NA(),DB263))</f>
        <v>0</v>
      </c>
      <c r="FQ56">
        <f>IF(Charts!$B$3="none",AO263,IF(DC263="",NA(),DC263))</f>
        <v>0</v>
      </c>
      <c r="FR56">
        <f>IF(Charts!$B$3="none",AP263,IF(DD263="",NA(),DD263))</f>
        <v>0</v>
      </c>
      <c r="FS56">
        <f>IF(Charts!$B$3="none",AQ263,IF(DE263="",NA(),DE263))</f>
        <v>0</v>
      </c>
      <c r="FT56">
        <f>IF(Charts!$B$3="none",AR263,IF(DF263="",NA(),DF263))</f>
        <v>0</v>
      </c>
      <c r="FU56">
        <f>IF(Charts!$B$3="none",AS263,IF(DG263="",NA(),DG263))</f>
        <v>0</v>
      </c>
      <c r="FV56">
        <f>IF(Charts!$B$3="none",AT263,IF(DH263="",NA(),DH263))</f>
        <v>0</v>
      </c>
      <c r="FW56">
        <f>IF(Charts!$B$3="none",AU263,IF(DI263="",NA(),DI263))</f>
        <v>0</v>
      </c>
      <c r="FX56">
        <f>IF(Charts!$B$3="none",AV263,IF(DJ263="",NA(),DJ263))</f>
        <v>0</v>
      </c>
      <c r="FY56">
        <f>IF(Charts!$B$3="none",AW263,IF(DK263="",NA(),DK263))</f>
        <v>0</v>
      </c>
      <c r="FZ56">
        <f>IF(Charts!$B$3="none",AX263,IF(DL263="",NA(),DL263))</f>
        <v>0</v>
      </c>
      <c r="GA56">
        <f>IF(Charts!$B$3="none",AY263,IF(DM263="",NA(),DM263))</f>
        <v>0</v>
      </c>
      <c r="GB56">
        <f>IF(Charts!$B$3="none",AZ263,IF(DN263="",NA(),DN263))</f>
        <v>0</v>
      </c>
      <c r="GC56">
        <f>IF(Charts!$B$3="none",BA263,IF(DO263="",NA(),DO263))</f>
        <v>0</v>
      </c>
      <c r="GD56">
        <f>IF(Charts!$B$3="none",BB263,IF(DP263="",NA(),DP263))</f>
        <v>0</v>
      </c>
      <c r="GE56">
        <f>IF(Charts!$B$3="none",BC263,IF(DQ263="",NA(),DQ263))</f>
        <v>0</v>
      </c>
      <c r="GF56">
        <f>IF(Charts!$B$3="none",BD263,IF(DR263="",NA(),DR263))</f>
        <v>0</v>
      </c>
      <c r="GG56">
        <f>IF(Charts!$B$3="none",BE263,IF(DS263="",NA(),DS263))</f>
        <v>0</v>
      </c>
      <c r="GH56">
        <f>IF(Charts!$B$3="none",BF263,IF(DT263="",NA(),DT263))</f>
        <v>0</v>
      </c>
      <c r="GI56">
        <f>IF(Charts!$B$3="none",BG263,IF(DU263="",NA(),DU263))</f>
        <v>0</v>
      </c>
      <c r="GJ56">
        <f>IF(Charts!$B$3="none",BH263,IF(DV263="",NA(),DV263))</f>
        <v>0</v>
      </c>
      <c r="GK56">
        <f>IF(Charts!$B$3="none",BI263,IF(DW263="",NA(),DW263))</f>
        <v>0</v>
      </c>
      <c r="GL56">
        <f>IF(Charts!$B$3="none",BJ263,IF(DX263="",NA(),DX263))</f>
        <v>0</v>
      </c>
      <c r="GM56">
        <f>IF(Charts!$B$3="none",BK263,IF(DY263="",NA(),DY263))</f>
        <v>0</v>
      </c>
      <c r="GN56">
        <f>IF(Charts!$B$3="none",BL263,IF(DZ263="",NA(),DZ263))</f>
        <v>0</v>
      </c>
      <c r="GO56">
        <f>IF(Charts!$B$3="none",BM263,IF(EA263="",NA(),EA263))</f>
        <v>0</v>
      </c>
      <c r="GP56">
        <f>IF(Charts!$B$3="none",BN263,IF(EB263="",NA(),EB263))</f>
        <v>0</v>
      </c>
      <c r="GQ56">
        <f>IF(Charts!$B$3="none",BO263,IF(EC263="",NA(),EC263))</f>
        <v>0</v>
      </c>
      <c r="GR56">
        <f>IF(Charts!$B$3="none",BP263,IF(ED263="",NA(),ED263))</f>
        <v>0</v>
      </c>
    </row>
    <row r="57" spans="5:200">
      <c r="E57">
        <v>11</v>
      </c>
      <c r="F57">
        <f>F15</f>
        <v>0</v>
      </c>
      <c r="G57">
        <v>11</v>
      </c>
      <c r="H57">
        <f>H15</f>
        <v>0</v>
      </c>
      <c r="I57">
        <v>11</v>
      </c>
      <c r="J57">
        <f>J15</f>
        <v>0</v>
      </c>
      <c r="K57">
        <v>11</v>
      </c>
      <c r="L57">
        <f>L15</f>
        <v>0</v>
      </c>
      <c r="M57">
        <v>11</v>
      </c>
      <c r="N57">
        <f>N15</f>
        <v>0</v>
      </c>
      <c r="O57">
        <v>11</v>
      </c>
      <c r="P57">
        <f>P15</f>
        <v>0</v>
      </c>
      <c r="Q57">
        <v>11</v>
      </c>
      <c r="R57">
        <f>R15</f>
        <v>0</v>
      </c>
      <c r="S57">
        <v>11</v>
      </c>
      <c r="T57">
        <f>T15</f>
        <v>0</v>
      </c>
      <c r="U57">
        <v>11</v>
      </c>
      <c r="V57">
        <f>V15</f>
        <v>0</v>
      </c>
      <c r="W57">
        <v>11</v>
      </c>
      <c r="X57">
        <f>X15</f>
        <v>0</v>
      </c>
      <c r="Y57">
        <v>11</v>
      </c>
      <c r="Z57">
        <f>Z15</f>
        <v>0</v>
      </c>
      <c r="AA57">
        <v>11</v>
      </c>
      <c r="AB57">
        <f>AB15</f>
        <v>0</v>
      </c>
      <c r="AC57">
        <v>11</v>
      </c>
      <c r="AD57">
        <f>AD15</f>
        <v>0</v>
      </c>
      <c r="AE57">
        <v>11</v>
      </c>
      <c r="AF57">
        <f>AF15</f>
        <v>0</v>
      </c>
      <c r="AG57">
        <v>11</v>
      </c>
      <c r="AH57">
        <f>AH15</f>
        <v>0</v>
      </c>
      <c r="AI57">
        <v>11</v>
      </c>
      <c r="AJ57">
        <f>AJ15</f>
        <v>0</v>
      </c>
      <c r="AK57">
        <v>11</v>
      </c>
      <c r="AL57">
        <f>AL15</f>
        <v>0</v>
      </c>
      <c r="AM57">
        <v>11</v>
      </c>
      <c r="AN57">
        <f>AN15</f>
        <v>0</v>
      </c>
      <c r="AO57">
        <v>11</v>
      </c>
      <c r="AP57">
        <f>AP15</f>
        <v>0</v>
      </c>
      <c r="AQ57">
        <v>11</v>
      </c>
      <c r="AR57">
        <f>AR15</f>
        <v>0</v>
      </c>
      <c r="AS57">
        <v>11</v>
      </c>
      <c r="AT57">
        <f>AT15</f>
        <v>0</v>
      </c>
      <c r="AU57">
        <v>11</v>
      </c>
      <c r="AV57">
        <f>AV15</f>
        <v>0</v>
      </c>
      <c r="AW57">
        <v>11</v>
      </c>
      <c r="AX57">
        <f>AX15</f>
        <v>0</v>
      </c>
      <c r="AY57">
        <v>11</v>
      </c>
      <c r="AZ57">
        <f>AZ15</f>
        <v>0</v>
      </c>
      <c r="BA57">
        <v>11</v>
      </c>
      <c r="BB57">
        <f>BB15</f>
        <v>0</v>
      </c>
      <c r="BC57">
        <v>11</v>
      </c>
      <c r="BD57">
        <f>BD15</f>
        <v>0</v>
      </c>
      <c r="BE57">
        <v>11</v>
      </c>
      <c r="BF57">
        <f>BF15</f>
        <v>0</v>
      </c>
      <c r="BG57">
        <v>11</v>
      </c>
      <c r="BH57">
        <f>BH15</f>
        <v>0</v>
      </c>
      <c r="BI57">
        <v>11</v>
      </c>
      <c r="BJ57">
        <f>BJ15</f>
        <v>0</v>
      </c>
      <c r="BK57">
        <v>11</v>
      </c>
      <c r="BL57">
        <f>BL15</f>
        <v>0</v>
      </c>
      <c r="BM57">
        <v>11</v>
      </c>
      <c r="BN57">
        <f>BN15</f>
        <v>0</v>
      </c>
      <c r="BO57">
        <v>11</v>
      </c>
      <c r="BP57">
        <f>BP15</f>
        <v>0</v>
      </c>
      <c r="BS57">
        <v>11</v>
      </c>
      <c r="BT57">
        <f>BT15</f>
        <v>0</v>
      </c>
      <c r="BU57">
        <v>11</v>
      </c>
      <c r="BV57">
        <f>BV15</f>
        <v>0</v>
      </c>
      <c r="BW57">
        <v>11</v>
      </c>
      <c r="BX57">
        <f>BX15</f>
        <v>0</v>
      </c>
      <c r="BY57">
        <v>11</v>
      </c>
      <c r="BZ57">
        <f>BZ15</f>
        <v>0</v>
      </c>
      <c r="CA57">
        <v>11</v>
      </c>
      <c r="CB57">
        <f>CB15</f>
        <v>0</v>
      </c>
      <c r="CC57">
        <v>11</v>
      </c>
      <c r="CD57">
        <f>CD15</f>
        <v>0</v>
      </c>
      <c r="CE57">
        <v>11</v>
      </c>
      <c r="CF57">
        <f>CF15</f>
        <v>0</v>
      </c>
      <c r="CG57">
        <v>11</v>
      </c>
      <c r="CH57">
        <f>CH15</f>
        <v>0</v>
      </c>
      <c r="CI57">
        <v>11</v>
      </c>
      <c r="CJ57">
        <f>CJ15</f>
        <v>0</v>
      </c>
      <c r="CK57">
        <v>11</v>
      </c>
      <c r="CL57">
        <f>CL15</f>
        <v>0</v>
      </c>
      <c r="CM57">
        <v>11</v>
      </c>
      <c r="CN57">
        <f>CN15</f>
        <v>0</v>
      </c>
      <c r="CO57">
        <v>11</v>
      </c>
      <c r="CP57">
        <f>CP15</f>
        <v>0</v>
      </c>
      <c r="CQ57">
        <v>11</v>
      </c>
      <c r="CR57">
        <f>CR15</f>
        <v>0</v>
      </c>
      <c r="CS57">
        <v>11</v>
      </c>
      <c r="CT57">
        <f>CT15</f>
        <v>0</v>
      </c>
      <c r="CU57">
        <v>11</v>
      </c>
      <c r="CV57">
        <f>CV15</f>
        <v>0</v>
      </c>
      <c r="CW57">
        <v>11</v>
      </c>
      <c r="CX57">
        <f>CX15</f>
        <v>0</v>
      </c>
      <c r="CY57">
        <v>11</v>
      </c>
      <c r="CZ57">
        <f>CZ15</f>
        <v>0</v>
      </c>
      <c r="DA57">
        <v>11</v>
      </c>
      <c r="DB57">
        <f>DB15</f>
        <v>0</v>
      </c>
      <c r="DC57">
        <v>11</v>
      </c>
      <c r="DD57">
        <f>DD15</f>
        <v>0</v>
      </c>
      <c r="DE57">
        <v>11</v>
      </c>
      <c r="DF57">
        <f>DF15</f>
        <v>0</v>
      </c>
      <c r="DG57">
        <v>11</v>
      </c>
      <c r="DH57">
        <f>DH15</f>
        <v>0</v>
      </c>
      <c r="DI57">
        <v>11</v>
      </c>
      <c r="DJ57">
        <f>DJ15</f>
        <v>0</v>
      </c>
      <c r="DK57">
        <v>11</v>
      </c>
      <c r="DL57">
        <f>DL15</f>
        <v>0</v>
      </c>
      <c r="DM57">
        <v>11</v>
      </c>
      <c r="DN57">
        <f>DN15</f>
        <v>0</v>
      </c>
      <c r="DO57">
        <v>11</v>
      </c>
      <c r="DP57">
        <f>DP15</f>
        <v>0</v>
      </c>
      <c r="DQ57">
        <v>11</v>
      </c>
      <c r="DR57">
        <f>DR15</f>
        <v>0</v>
      </c>
      <c r="DS57">
        <v>11</v>
      </c>
      <c r="DT57">
        <f>DT15</f>
        <v>0</v>
      </c>
      <c r="DU57">
        <v>11</v>
      </c>
      <c r="DV57">
        <f>DV15</f>
        <v>0</v>
      </c>
      <c r="DW57">
        <v>11</v>
      </c>
      <c r="DX57">
        <f>DX15</f>
        <v>0</v>
      </c>
      <c r="DY57">
        <v>11</v>
      </c>
      <c r="DZ57">
        <f>DZ15</f>
        <v>0</v>
      </c>
      <c r="EA57">
        <v>11</v>
      </c>
      <c r="EB57">
        <f>EB15</f>
        <v>0</v>
      </c>
      <c r="EC57">
        <v>11</v>
      </c>
      <c r="ED57">
        <f>ED15</f>
        <v>0</v>
      </c>
      <c r="EG57">
        <f>IF(Charts!$B$3="none",E264,IF(BS264="",NA(),BS264))</f>
        <v>0</v>
      </c>
      <c r="EH57">
        <f>IF(Charts!$B$3="none",F264,IF(BT264="",NA(),BT264))</f>
        <v>0</v>
      </c>
      <c r="EI57">
        <f>IF(Charts!$B$3="none",G264,IF(BU264="",NA(),BU264))</f>
        <v>0</v>
      </c>
      <c r="EJ57">
        <f>IF(Charts!$B$3="none",H264,IF(BV264="",NA(),BV264))</f>
        <v>0</v>
      </c>
      <c r="EK57">
        <f>IF(Charts!$B$3="none",I264,IF(BW264="",NA(),BW264))</f>
        <v>0</v>
      </c>
      <c r="EL57">
        <f>IF(Charts!$B$3="none",J264,IF(BX264="",NA(),BX264))</f>
        <v>0</v>
      </c>
      <c r="EM57">
        <f>IF(Charts!$B$3="none",K264,IF(BY264="",NA(),BY264))</f>
        <v>0</v>
      </c>
      <c r="EN57">
        <f>IF(Charts!$B$3="none",L264,IF(BZ264="",NA(),BZ264))</f>
        <v>0</v>
      </c>
      <c r="EO57">
        <f>IF(Charts!$B$3="none",M264,IF(CA264="",NA(),CA264))</f>
        <v>0</v>
      </c>
      <c r="EP57">
        <f>IF(Charts!$B$3="none",N264,IF(CB264="",NA(),CB264))</f>
        <v>0</v>
      </c>
      <c r="EQ57">
        <f>IF(Charts!$B$3="none",O264,IF(CC264="",NA(),CC264))</f>
        <v>0</v>
      </c>
      <c r="ER57">
        <f>IF(Charts!$B$3="none",P264,IF(CD264="",NA(),CD264))</f>
        <v>0</v>
      </c>
      <c r="ES57">
        <f>IF(Charts!$B$3="none",Q264,IF(CE264="",NA(),CE264))</f>
        <v>0</v>
      </c>
      <c r="ET57">
        <f>IF(Charts!$B$3="none",R264,IF(CF264="",NA(),CF264))</f>
        <v>0</v>
      </c>
      <c r="EU57">
        <f>IF(Charts!$B$3="none",S264,IF(CG264="",NA(),CG264))</f>
        <v>0</v>
      </c>
      <c r="EV57">
        <f>IF(Charts!$B$3="none",T264,IF(CH264="",NA(),CH264))</f>
        <v>0</v>
      </c>
      <c r="EW57">
        <f>IF(Charts!$B$3="none",U264,IF(CI264="",NA(),CI264))</f>
        <v>0</v>
      </c>
      <c r="EX57">
        <f>IF(Charts!$B$3="none",V264,IF(CJ264="",NA(),CJ264))</f>
        <v>0</v>
      </c>
      <c r="EY57">
        <f>IF(Charts!$B$3="none",W264,IF(CK264="",NA(),CK264))</f>
        <v>0</v>
      </c>
      <c r="EZ57">
        <f>IF(Charts!$B$3="none",X264,IF(CL264="",NA(),CL264))</f>
        <v>0</v>
      </c>
      <c r="FA57">
        <f>IF(Charts!$B$3="none",Y264,IF(CM264="",NA(),CM264))</f>
        <v>0</v>
      </c>
      <c r="FB57">
        <f>IF(Charts!$B$3="none",Z264,IF(CN264="",NA(),CN264))</f>
        <v>0</v>
      </c>
      <c r="FC57">
        <f>IF(Charts!$B$3="none",AA264,IF(CO264="",NA(),CO264))</f>
        <v>0</v>
      </c>
      <c r="FD57">
        <f>IF(Charts!$B$3="none",AB264,IF(CP264="",NA(),CP264))</f>
        <v>0</v>
      </c>
      <c r="FE57">
        <f>IF(Charts!$B$3="none",AC264,IF(CQ264="",NA(),CQ264))</f>
        <v>0</v>
      </c>
      <c r="FF57">
        <f>IF(Charts!$B$3="none",AD264,IF(CR264="",NA(),CR264))</f>
        <v>0</v>
      </c>
      <c r="FG57">
        <f>IF(Charts!$B$3="none",AE264,IF(CS264="",NA(),CS264))</f>
        <v>0</v>
      </c>
      <c r="FH57">
        <f>IF(Charts!$B$3="none",AF264,IF(CT264="",NA(),CT264))</f>
        <v>0</v>
      </c>
      <c r="FI57">
        <f>IF(Charts!$B$3="none",AG264,IF(CU264="",NA(),CU264))</f>
        <v>0</v>
      </c>
      <c r="FJ57">
        <f>IF(Charts!$B$3="none",AH264,IF(CV264="",NA(),CV264))</f>
        <v>0</v>
      </c>
      <c r="FK57">
        <f>IF(Charts!$B$3="none",AI264,IF(CW264="",NA(),CW264))</f>
        <v>0</v>
      </c>
      <c r="FL57">
        <f>IF(Charts!$B$3="none",AJ264,IF(CX264="",NA(),CX264))</f>
        <v>0</v>
      </c>
      <c r="FM57">
        <f>IF(Charts!$B$3="none",AK264,IF(CY264="",NA(),CY264))</f>
        <v>0</v>
      </c>
      <c r="FN57">
        <f>IF(Charts!$B$3="none",AL264,IF(CZ264="",NA(),CZ264))</f>
        <v>0</v>
      </c>
      <c r="FO57">
        <f>IF(Charts!$B$3="none",AM264,IF(DA264="",NA(),DA264))</f>
        <v>0</v>
      </c>
      <c r="FP57">
        <f>IF(Charts!$B$3="none",AN264,IF(DB264="",NA(),DB264))</f>
        <v>0</v>
      </c>
      <c r="FQ57">
        <f>IF(Charts!$B$3="none",AO264,IF(DC264="",NA(),DC264))</f>
        <v>0</v>
      </c>
      <c r="FR57">
        <f>IF(Charts!$B$3="none",AP264,IF(DD264="",NA(),DD264))</f>
        <v>0</v>
      </c>
      <c r="FS57">
        <f>IF(Charts!$B$3="none",AQ264,IF(DE264="",NA(),DE264))</f>
        <v>0</v>
      </c>
      <c r="FT57">
        <f>IF(Charts!$B$3="none",AR264,IF(DF264="",NA(),DF264))</f>
        <v>0</v>
      </c>
      <c r="FU57">
        <f>IF(Charts!$B$3="none",AS264,IF(DG264="",NA(),DG264))</f>
        <v>0</v>
      </c>
      <c r="FV57">
        <f>IF(Charts!$B$3="none",AT264,IF(DH264="",NA(),DH264))</f>
        <v>0</v>
      </c>
      <c r="FW57">
        <f>IF(Charts!$B$3="none",AU264,IF(DI264="",NA(),DI264))</f>
        <v>0</v>
      </c>
      <c r="FX57">
        <f>IF(Charts!$B$3="none",AV264,IF(DJ264="",NA(),DJ264))</f>
        <v>0</v>
      </c>
      <c r="FY57">
        <f>IF(Charts!$B$3="none",AW264,IF(DK264="",NA(),DK264))</f>
        <v>0</v>
      </c>
      <c r="FZ57">
        <f>IF(Charts!$B$3="none",AX264,IF(DL264="",NA(),DL264))</f>
        <v>0</v>
      </c>
      <c r="GA57">
        <f>IF(Charts!$B$3="none",AY264,IF(DM264="",NA(),DM264))</f>
        <v>0</v>
      </c>
      <c r="GB57">
        <f>IF(Charts!$B$3="none",AZ264,IF(DN264="",NA(),DN264))</f>
        <v>0</v>
      </c>
      <c r="GC57">
        <f>IF(Charts!$B$3="none",BA264,IF(DO264="",NA(),DO264))</f>
        <v>0</v>
      </c>
      <c r="GD57">
        <f>IF(Charts!$B$3="none",BB264,IF(DP264="",NA(),DP264))</f>
        <v>0</v>
      </c>
      <c r="GE57">
        <f>IF(Charts!$B$3="none",BC264,IF(DQ264="",NA(),DQ264))</f>
        <v>0</v>
      </c>
      <c r="GF57">
        <f>IF(Charts!$B$3="none",BD264,IF(DR264="",NA(),DR264))</f>
        <v>0</v>
      </c>
      <c r="GG57">
        <f>IF(Charts!$B$3="none",BE264,IF(DS264="",NA(),DS264))</f>
        <v>0</v>
      </c>
      <c r="GH57">
        <f>IF(Charts!$B$3="none",BF264,IF(DT264="",NA(),DT264))</f>
        <v>0</v>
      </c>
      <c r="GI57">
        <f>IF(Charts!$B$3="none",BG264,IF(DU264="",NA(),DU264))</f>
        <v>0</v>
      </c>
      <c r="GJ57">
        <f>IF(Charts!$B$3="none",BH264,IF(DV264="",NA(),DV264))</f>
        <v>0</v>
      </c>
      <c r="GK57">
        <f>IF(Charts!$B$3="none",BI264,IF(DW264="",NA(),DW264))</f>
        <v>0</v>
      </c>
      <c r="GL57">
        <f>IF(Charts!$B$3="none",BJ264,IF(DX264="",NA(),DX264))</f>
        <v>0</v>
      </c>
      <c r="GM57">
        <f>IF(Charts!$B$3="none",BK264,IF(DY264="",NA(),DY264))</f>
        <v>0</v>
      </c>
      <c r="GN57">
        <f>IF(Charts!$B$3="none",BL264,IF(DZ264="",NA(),DZ264))</f>
        <v>0</v>
      </c>
      <c r="GO57">
        <f>IF(Charts!$B$3="none",BM264,IF(EA264="",NA(),EA264))</f>
        <v>0</v>
      </c>
      <c r="GP57">
        <f>IF(Charts!$B$3="none",BN264,IF(EB264="",NA(),EB264))</f>
        <v>0</v>
      </c>
      <c r="GQ57">
        <f>IF(Charts!$B$3="none",BO264,IF(EC264="",NA(),EC264))</f>
        <v>0</v>
      </c>
      <c r="GR57">
        <f>IF(Charts!$B$3="none",BP264,IF(ED264="",NA(),ED264))</f>
        <v>0</v>
      </c>
    </row>
    <row r="58" spans="5:200">
      <c r="E58">
        <v>12</v>
      </c>
      <c r="F58">
        <f>F16</f>
        <v>0</v>
      </c>
      <c r="G58">
        <v>12</v>
      </c>
      <c r="H58">
        <f>H16</f>
        <v>0</v>
      </c>
      <c r="I58">
        <v>12</v>
      </c>
      <c r="J58">
        <f>J16</f>
        <v>0</v>
      </c>
      <c r="K58">
        <v>12</v>
      </c>
      <c r="L58">
        <f>L16</f>
        <v>0</v>
      </c>
      <c r="M58">
        <v>12</v>
      </c>
      <c r="N58">
        <f>N16</f>
        <v>0</v>
      </c>
      <c r="O58">
        <v>12</v>
      </c>
      <c r="P58">
        <f>P16</f>
        <v>0</v>
      </c>
      <c r="Q58">
        <v>12</v>
      </c>
      <c r="R58">
        <f>R16</f>
        <v>0</v>
      </c>
      <c r="S58">
        <v>12</v>
      </c>
      <c r="T58">
        <f>T16</f>
        <v>0</v>
      </c>
      <c r="U58">
        <v>12</v>
      </c>
      <c r="V58">
        <f>V16</f>
        <v>0</v>
      </c>
      <c r="W58">
        <v>12</v>
      </c>
      <c r="X58">
        <f>X16</f>
        <v>0</v>
      </c>
      <c r="Y58">
        <v>12</v>
      </c>
      <c r="Z58">
        <f>Z16</f>
        <v>0</v>
      </c>
      <c r="AA58">
        <v>12</v>
      </c>
      <c r="AB58">
        <f>AB16</f>
        <v>0</v>
      </c>
      <c r="AC58">
        <v>12</v>
      </c>
      <c r="AD58">
        <f>AD16</f>
        <v>0</v>
      </c>
      <c r="AE58">
        <v>12</v>
      </c>
      <c r="AF58">
        <f>AF16</f>
        <v>0</v>
      </c>
      <c r="AG58">
        <v>12</v>
      </c>
      <c r="AH58">
        <f>AH16</f>
        <v>0</v>
      </c>
      <c r="AI58">
        <v>12</v>
      </c>
      <c r="AJ58">
        <f>AJ16</f>
        <v>0</v>
      </c>
      <c r="AK58">
        <v>12</v>
      </c>
      <c r="AL58">
        <f>AL16</f>
        <v>0</v>
      </c>
      <c r="AM58">
        <v>12</v>
      </c>
      <c r="AN58">
        <f>AN16</f>
        <v>0</v>
      </c>
      <c r="AO58">
        <v>12</v>
      </c>
      <c r="AP58">
        <f>AP16</f>
        <v>0</v>
      </c>
      <c r="AQ58">
        <v>12</v>
      </c>
      <c r="AR58">
        <f>AR16</f>
        <v>0</v>
      </c>
      <c r="AS58">
        <v>12</v>
      </c>
      <c r="AT58">
        <f>AT16</f>
        <v>0</v>
      </c>
      <c r="AU58">
        <v>12</v>
      </c>
      <c r="AV58">
        <f>AV16</f>
        <v>0</v>
      </c>
      <c r="AW58">
        <v>12</v>
      </c>
      <c r="AX58">
        <f>AX16</f>
        <v>0</v>
      </c>
      <c r="AY58">
        <v>12</v>
      </c>
      <c r="AZ58">
        <f>AZ16</f>
        <v>0</v>
      </c>
      <c r="BA58">
        <v>12</v>
      </c>
      <c r="BB58">
        <f>BB16</f>
        <v>0</v>
      </c>
      <c r="BC58">
        <v>12</v>
      </c>
      <c r="BD58">
        <f>BD16</f>
        <v>0</v>
      </c>
      <c r="BE58">
        <v>12</v>
      </c>
      <c r="BF58">
        <f>BF16</f>
        <v>0</v>
      </c>
      <c r="BG58">
        <v>12</v>
      </c>
      <c r="BH58">
        <f>BH16</f>
        <v>0</v>
      </c>
      <c r="BI58">
        <v>12</v>
      </c>
      <c r="BJ58">
        <f>BJ16</f>
        <v>0</v>
      </c>
      <c r="BK58">
        <v>12</v>
      </c>
      <c r="BL58">
        <f>BL16</f>
        <v>0</v>
      </c>
      <c r="BM58">
        <v>12</v>
      </c>
      <c r="BN58">
        <f>BN16</f>
        <v>0</v>
      </c>
      <c r="BO58">
        <v>12</v>
      </c>
      <c r="BP58">
        <f>BP16</f>
        <v>0</v>
      </c>
      <c r="BS58">
        <v>12</v>
      </c>
      <c r="BT58">
        <f>BT16</f>
        <v>0</v>
      </c>
      <c r="BU58">
        <v>12</v>
      </c>
      <c r="BV58">
        <f>BV16</f>
        <v>0</v>
      </c>
      <c r="BW58">
        <v>12</v>
      </c>
      <c r="BX58">
        <f>BX16</f>
        <v>0</v>
      </c>
      <c r="BY58">
        <v>12</v>
      </c>
      <c r="BZ58">
        <f>BZ16</f>
        <v>0</v>
      </c>
      <c r="CA58">
        <v>12</v>
      </c>
      <c r="CB58">
        <f>CB16</f>
        <v>0</v>
      </c>
      <c r="CC58">
        <v>12</v>
      </c>
      <c r="CD58">
        <f>CD16</f>
        <v>0</v>
      </c>
      <c r="CE58">
        <v>12</v>
      </c>
      <c r="CF58">
        <f>CF16</f>
        <v>0</v>
      </c>
      <c r="CG58">
        <v>12</v>
      </c>
      <c r="CH58">
        <f>CH16</f>
        <v>0</v>
      </c>
      <c r="CI58">
        <v>12</v>
      </c>
      <c r="CJ58">
        <f>CJ16</f>
        <v>0</v>
      </c>
      <c r="CK58">
        <v>12</v>
      </c>
      <c r="CL58">
        <f>CL16</f>
        <v>0</v>
      </c>
      <c r="CM58">
        <v>12</v>
      </c>
      <c r="CN58">
        <f>CN16</f>
        <v>0</v>
      </c>
      <c r="CO58">
        <v>12</v>
      </c>
      <c r="CP58">
        <f>CP16</f>
        <v>0</v>
      </c>
      <c r="CQ58">
        <v>12</v>
      </c>
      <c r="CR58">
        <f>CR16</f>
        <v>0</v>
      </c>
      <c r="CS58">
        <v>12</v>
      </c>
      <c r="CT58">
        <f>CT16</f>
        <v>0</v>
      </c>
      <c r="CU58">
        <v>12</v>
      </c>
      <c r="CV58">
        <f>CV16</f>
        <v>0</v>
      </c>
      <c r="CW58">
        <v>12</v>
      </c>
      <c r="CX58">
        <f>CX16</f>
        <v>0</v>
      </c>
      <c r="CY58">
        <v>12</v>
      </c>
      <c r="CZ58">
        <f>CZ16</f>
        <v>0</v>
      </c>
      <c r="DA58">
        <v>12</v>
      </c>
      <c r="DB58">
        <f>DB16</f>
        <v>0</v>
      </c>
      <c r="DC58">
        <v>12</v>
      </c>
      <c r="DD58">
        <f>DD16</f>
        <v>0</v>
      </c>
      <c r="DE58">
        <v>12</v>
      </c>
      <c r="DF58">
        <f>DF16</f>
        <v>0</v>
      </c>
      <c r="DG58">
        <v>12</v>
      </c>
      <c r="DH58">
        <f>DH16</f>
        <v>0</v>
      </c>
      <c r="DI58">
        <v>12</v>
      </c>
      <c r="DJ58">
        <f>DJ16</f>
        <v>0</v>
      </c>
      <c r="DK58">
        <v>12</v>
      </c>
      <c r="DL58">
        <f>DL16</f>
        <v>0</v>
      </c>
      <c r="DM58">
        <v>12</v>
      </c>
      <c r="DN58">
        <f>DN16</f>
        <v>0</v>
      </c>
      <c r="DO58">
        <v>12</v>
      </c>
      <c r="DP58">
        <f>DP16</f>
        <v>0</v>
      </c>
      <c r="DQ58">
        <v>12</v>
      </c>
      <c r="DR58">
        <f>DR16</f>
        <v>0</v>
      </c>
      <c r="DS58">
        <v>12</v>
      </c>
      <c r="DT58">
        <f>DT16</f>
        <v>0</v>
      </c>
      <c r="DU58">
        <v>12</v>
      </c>
      <c r="DV58">
        <f>DV16</f>
        <v>0</v>
      </c>
      <c r="DW58">
        <v>12</v>
      </c>
      <c r="DX58">
        <f>DX16</f>
        <v>0</v>
      </c>
      <c r="DY58">
        <v>12</v>
      </c>
      <c r="DZ58">
        <f>DZ16</f>
        <v>0</v>
      </c>
      <c r="EA58">
        <v>12</v>
      </c>
      <c r="EB58">
        <f>EB16</f>
        <v>0</v>
      </c>
      <c r="EC58">
        <v>12</v>
      </c>
      <c r="ED58">
        <f>ED16</f>
        <v>0</v>
      </c>
      <c r="EG58">
        <f>IF(Charts!$B$3="none",E265,IF(BS265="",NA(),BS265))</f>
        <v>0</v>
      </c>
      <c r="EH58">
        <f>IF(Charts!$B$3="none",F265,IF(BT265="",NA(),BT265))</f>
        <v>0</v>
      </c>
      <c r="EI58">
        <f>IF(Charts!$B$3="none",G265,IF(BU265="",NA(),BU265))</f>
        <v>0</v>
      </c>
      <c r="EJ58">
        <f>IF(Charts!$B$3="none",H265,IF(BV265="",NA(),BV265))</f>
        <v>0</v>
      </c>
      <c r="EK58">
        <f>IF(Charts!$B$3="none",I265,IF(BW265="",NA(),BW265))</f>
        <v>0</v>
      </c>
      <c r="EL58">
        <f>IF(Charts!$B$3="none",J265,IF(BX265="",NA(),BX265))</f>
        <v>0</v>
      </c>
      <c r="EM58">
        <f>IF(Charts!$B$3="none",K265,IF(BY265="",NA(),BY265))</f>
        <v>0</v>
      </c>
      <c r="EN58">
        <f>IF(Charts!$B$3="none",L265,IF(BZ265="",NA(),BZ265))</f>
        <v>0</v>
      </c>
      <c r="EO58">
        <f>IF(Charts!$B$3="none",M265,IF(CA265="",NA(),CA265))</f>
        <v>0</v>
      </c>
      <c r="EP58">
        <f>IF(Charts!$B$3="none",N265,IF(CB265="",NA(),CB265))</f>
        <v>0</v>
      </c>
      <c r="EQ58">
        <f>IF(Charts!$B$3="none",O265,IF(CC265="",NA(),CC265))</f>
        <v>0</v>
      </c>
      <c r="ER58">
        <f>IF(Charts!$B$3="none",P265,IF(CD265="",NA(),CD265))</f>
        <v>0</v>
      </c>
      <c r="ES58">
        <f>IF(Charts!$B$3="none",Q265,IF(CE265="",NA(),CE265))</f>
        <v>0</v>
      </c>
      <c r="ET58">
        <f>IF(Charts!$B$3="none",R265,IF(CF265="",NA(),CF265))</f>
        <v>0</v>
      </c>
      <c r="EU58">
        <f>IF(Charts!$B$3="none",S265,IF(CG265="",NA(),CG265))</f>
        <v>0</v>
      </c>
      <c r="EV58">
        <f>IF(Charts!$B$3="none",T265,IF(CH265="",NA(),CH265))</f>
        <v>0</v>
      </c>
      <c r="EW58">
        <f>IF(Charts!$B$3="none",U265,IF(CI265="",NA(),CI265))</f>
        <v>0</v>
      </c>
      <c r="EX58">
        <f>IF(Charts!$B$3="none",V265,IF(CJ265="",NA(),CJ265))</f>
        <v>0</v>
      </c>
      <c r="EY58">
        <f>IF(Charts!$B$3="none",W265,IF(CK265="",NA(),CK265))</f>
        <v>0</v>
      </c>
      <c r="EZ58">
        <f>IF(Charts!$B$3="none",X265,IF(CL265="",NA(),CL265))</f>
        <v>0</v>
      </c>
      <c r="FA58">
        <f>IF(Charts!$B$3="none",Y265,IF(CM265="",NA(),CM265))</f>
        <v>0</v>
      </c>
      <c r="FB58">
        <f>IF(Charts!$B$3="none",Z265,IF(CN265="",NA(),CN265))</f>
        <v>0</v>
      </c>
      <c r="FC58">
        <f>IF(Charts!$B$3="none",AA265,IF(CO265="",NA(),CO265))</f>
        <v>0</v>
      </c>
      <c r="FD58">
        <f>IF(Charts!$B$3="none",AB265,IF(CP265="",NA(),CP265))</f>
        <v>0</v>
      </c>
      <c r="FE58">
        <f>IF(Charts!$B$3="none",AC265,IF(CQ265="",NA(),CQ265))</f>
        <v>0</v>
      </c>
      <c r="FF58">
        <f>IF(Charts!$B$3="none",AD265,IF(CR265="",NA(),CR265))</f>
        <v>0</v>
      </c>
      <c r="FG58">
        <f>IF(Charts!$B$3="none",AE265,IF(CS265="",NA(),CS265))</f>
        <v>0</v>
      </c>
      <c r="FH58">
        <f>IF(Charts!$B$3="none",AF265,IF(CT265="",NA(),CT265))</f>
        <v>0</v>
      </c>
      <c r="FI58">
        <f>IF(Charts!$B$3="none",AG265,IF(CU265="",NA(),CU265))</f>
        <v>0</v>
      </c>
      <c r="FJ58">
        <f>IF(Charts!$B$3="none",AH265,IF(CV265="",NA(),CV265))</f>
        <v>0</v>
      </c>
      <c r="FK58">
        <f>IF(Charts!$B$3="none",AI265,IF(CW265="",NA(),CW265))</f>
        <v>0</v>
      </c>
      <c r="FL58">
        <f>IF(Charts!$B$3="none",AJ265,IF(CX265="",NA(),CX265))</f>
        <v>0</v>
      </c>
      <c r="FM58">
        <f>IF(Charts!$B$3="none",AK265,IF(CY265="",NA(),CY265))</f>
        <v>0</v>
      </c>
      <c r="FN58">
        <f>IF(Charts!$B$3="none",AL265,IF(CZ265="",NA(),CZ265))</f>
        <v>0</v>
      </c>
      <c r="FO58">
        <f>IF(Charts!$B$3="none",AM265,IF(DA265="",NA(),DA265))</f>
        <v>0</v>
      </c>
      <c r="FP58">
        <f>IF(Charts!$B$3="none",AN265,IF(DB265="",NA(),DB265))</f>
        <v>0</v>
      </c>
      <c r="FQ58">
        <f>IF(Charts!$B$3="none",AO265,IF(DC265="",NA(),DC265))</f>
        <v>0</v>
      </c>
      <c r="FR58">
        <f>IF(Charts!$B$3="none",AP265,IF(DD265="",NA(),DD265))</f>
        <v>0</v>
      </c>
      <c r="FS58">
        <f>IF(Charts!$B$3="none",AQ265,IF(DE265="",NA(),DE265))</f>
        <v>0</v>
      </c>
      <c r="FT58">
        <f>IF(Charts!$B$3="none",AR265,IF(DF265="",NA(),DF265))</f>
        <v>0</v>
      </c>
      <c r="FU58">
        <f>IF(Charts!$B$3="none",AS265,IF(DG265="",NA(),DG265))</f>
        <v>0</v>
      </c>
      <c r="FV58">
        <f>IF(Charts!$B$3="none",AT265,IF(DH265="",NA(),DH265))</f>
        <v>0</v>
      </c>
      <c r="FW58">
        <f>IF(Charts!$B$3="none",AU265,IF(DI265="",NA(),DI265))</f>
        <v>0</v>
      </c>
      <c r="FX58">
        <f>IF(Charts!$B$3="none",AV265,IF(DJ265="",NA(),DJ265))</f>
        <v>0</v>
      </c>
      <c r="FY58">
        <f>IF(Charts!$B$3="none",AW265,IF(DK265="",NA(),DK265))</f>
        <v>0</v>
      </c>
      <c r="FZ58">
        <f>IF(Charts!$B$3="none",AX265,IF(DL265="",NA(),DL265))</f>
        <v>0</v>
      </c>
      <c r="GA58">
        <f>IF(Charts!$B$3="none",AY265,IF(DM265="",NA(),DM265))</f>
        <v>0</v>
      </c>
      <c r="GB58">
        <f>IF(Charts!$B$3="none",AZ265,IF(DN265="",NA(),DN265))</f>
        <v>0</v>
      </c>
      <c r="GC58">
        <f>IF(Charts!$B$3="none",BA265,IF(DO265="",NA(),DO265))</f>
        <v>0</v>
      </c>
      <c r="GD58">
        <f>IF(Charts!$B$3="none",BB265,IF(DP265="",NA(),DP265))</f>
        <v>0</v>
      </c>
      <c r="GE58">
        <f>IF(Charts!$B$3="none",BC265,IF(DQ265="",NA(),DQ265))</f>
        <v>0</v>
      </c>
      <c r="GF58">
        <f>IF(Charts!$B$3="none",BD265,IF(DR265="",NA(),DR265))</f>
        <v>0</v>
      </c>
      <c r="GG58">
        <f>IF(Charts!$B$3="none",BE265,IF(DS265="",NA(),DS265))</f>
        <v>0</v>
      </c>
      <c r="GH58">
        <f>IF(Charts!$B$3="none",BF265,IF(DT265="",NA(),DT265))</f>
        <v>0</v>
      </c>
      <c r="GI58">
        <f>IF(Charts!$B$3="none",BG265,IF(DU265="",NA(),DU265))</f>
        <v>0</v>
      </c>
      <c r="GJ58">
        <f>IF(Charts!$B$3="none",BH265,IF(DV265="",NA(),DV265))</f>
        <v>0</v>
      </c>
      <c r="GK58">
        <f>IF(Charts!$B$3="none",BI265,IF(DW265="",NA(),DW265))</f>
        <v>0</v>
      </c>
      <c r="GL58">
        <f>IF(Charts!$B$3="none",BJ265,IF(DX265="",NA(),DX265))</f>
        <v>0</v>
      </c>
      <c r="GM58">
        <f>IF(Charts!$B$3="none",BK265,IF(DY265="",NA(),DY265))</f>
        <v>0</v>
      </c>
      <c r="GN58">
        <f>IF(Charts!$B$3="none",BL265,IF(DZ265="",NA(),DZ265))</f>
        <v>0</v>
      </c>
      <c r="GO58">
        <f>IF(Charts!$B$3="none",BM265,IF(EA265="",NA(),EA265))</f>
        <v>0</v>
      </c>
      <c r="GP58">
        <f>IF(Charts!$B$3="none",BN265,IF(EB265="",NA(),EB265))</f>
        <v>0</v>
      </c>
      <c r="GQ58">
        <f>IF(Charts!$B$3="none",BO265,IF(EC265="",NA(),EC265))</f>
        <v>0</v>
      </c>
      <c r="GR58">
        <f>IF(Charts!$B$3="none",BP265,IF(ED265="",NA(),ED265))</f>
        <v>0</v>
      </c>
    </row>
    <row r="59" spans="5:200">
      <c r="E59">
        <v>13</v>
      </c>
      <c r="F59">
        <f>F17</f>
        <v>0</v>
      </c>
      <c r="G59">
        <v>13</v>
      </c>
      <c r="H59">
        <f>H17</f>
        <v>0</v>
      </c>
      <c r="I59">
        <v>13</v>
      </c>
      <c r="J59">
        <f>J17</f>
        <v>0</v>
      </c>
      <c r="K59">
        <v>13</v>
      </c>
      <c r="L59">
        <f>L17</f>
        <v>0</v>
      </c>
      <c r="M59">
        <v>13</v>
      </c>
      <c r="N59">
        <f>N17</f>
        <v>0</v>
      </c>
      <c r="O59">
        <v>13</v>
      </c>
      <c r="P59">
        <f>P17</f>
        <v>0</v>
      </c>
      <c r="Q59">
        <v>13</v>
      </c>
      <c r="R59">
        <f>R17</f>
        <v>0</v>
      </c>
      <c r="S59">
        <v>13</v>
      </c>
      <c r="T59">
        <f>T17</f>
        <v>0</v>
      </c>
      <c r="U59">
        <v>13</v>
      </c>
      <c r="V59">
        <f>V17</f>
        <v>0</v>
      </c>
      <c r="W59">
        <v>13</v>
      </c>
      <c r="X59">
        <f>X17</f>
        <v>0</v>
      </c>
      <c r="Y59">
        <v>13</v>
      </c>
      <c r="Z59">
        <f>Z17</f>
        <v>0</v>
      </c>
      <c r="AA59">
        <v>13</v>
      </c>
      <c r="AB59">
        <f>AB17</f>
        <v>0</v>
      </c>
      <c r="AC59">
        <v>13</v>
      </c>
      <c r="AD59">
        <f>AD17</f>
        <v>0</v>
      </c>
      <c r="AE59">
        <v>13</v>
      </c>
      <c r="AF59">
        <f>AF17</f>
        <v>0</v>
      </c>
      <c r="AG59">
        <v>13</v>
      </c>
      <c r="AH59">
        <f>AH17</f>
        <v>0</v>
      </c>
      <c r="AI59">
        <v>13</v>
      </c>
      <c r="AJ59">
        <f>AJ17</f>
        <v>0</v>
      </c>
      <c r="AK59">
        <v>13</v>
      </c>
      <c r="AL59">
        <f>AL17</f>
        <v>0</v>
      </c>
      <c r="AM59">
        <v>13</v>
      </c>
      <c r="AN59">
        <f>AN17</f>
        <v>0</v>
      </c>
      <c r="AO59">
        <v>13</v>
      </c>
      <c r="AP59">
        <f>AP17</f>
        <v>0</v>
      </c>
      <c r="AQ59">
        <v>13</v>
      </c>
      <c r="AR59">
        <f>AR17</f>
        <v>0</v>
      </c>
      <c r="AS59">
        <v>13</v>
      </c>
      <c r="AT59">
        <f>AT17</f>
        <v>0</v>
      </c>
      <c r="AU59">
        <v>13</v>
      </c>
      <c r="AV59">
        <f>AV17</f>
        <v>0</v>
      </c>
      <c r="AW59">
        <v>13</v>
      </c>
      <c r="AX59">
        <f>AX17</f>
        <v>0</v>
      </c>
      <c r="AY59">
        <v>13</v>
      </c>
      <c r="AZ59">
        <f>AZ17</f>
        <v>0</v>
      </c>
      <c r="BA59">
        <v>13</v>
      </c>
      <c r="BB59">
        <f>BB17</f>
        <v>0</v>
      </c>
      <c r="BC59">
        <v>13</v>
      </c>
      <c r="BD59">
        <f>BD17</f>
        <v>0</v>
      </c>
      <c r="BE59">
        <v>13</v>
      </c>
      <c r="BF59">
        <f>BF17</f>
        <v>0</v>
      </c>
      <c r="BG59">
        <v>13</v>
      </c>
      <c r="BH59">
        <f>BH17</f>
        <v>0</v>
      </c>
      <c r="BI59">
        <v>13</v>
      </c>
      <c r="BJ59">
        <f>BJ17</f>
        <v>0</v>
      </c>
      <c r="BK59">
        <v>13</v>
      </c>
      <c r="BL59">
        <f>BL17</f>
        <v>0</v>
      </c>
      <c r="BM59">
        <v>13</v>
      </c>
      <c r="BN59">
        <f>BN17</f>
        <v>0</v>
      </c>
      <c r="BO59">
        <v>13</v>
      </c>
      <c r="BP59">
        <f>BP17</f>
        <v>0</v>
      </c>
      <c r="BS59">
        <v>13</v>
      </c>
      <c r="BT59">
        <f>BT17</f>
        <v>0</v>
      </c>
      <c r="BU59">
        <v>13</v>
      </c>
      <c r="BV59">
        <f>BV17</f>
        <v>0</v>
      </c>
      <c r="BW59">
        <v>13</v>
      </c>
      <c r="BX59">
        <f>BX17</f>
        <v>0</v>
      </c>
      <c r="BY59">
        <v>13</v>
      </c>
      <c r="BZ59">
        <f>BZ17</f>
        <v>0</v>
      </c>
      <c r="CA59">
        <v>13</v>
      </c>
      <c r="CB59">
        <f>CB17</f>
        <v>0</v>
      </c>
      <c r="CC59">
        <v>13</v>
      </c>
      <c r="CD59">
        <f>CD17</f>
        <v>0</v>
      </c>
      <c r="CE59">
        <v>13</v>
      </c>
      <c r="CF59">
        <f>CF17</f>
        <v>0</v>
      </c>
      <c r="CG59">
        <v>13</v>
      </c>
      <c r="CH59">
        <f>CH17</f>
        <v>0</v>
      </c>
      <c r="CI59">
        <v>13</v>
      </c>
      <c r="CJ59">
        <f>CJ17</f>
        <v>0</v>
      </c>
      <c r="CK59">
        <v>13</v>
      </c>
      <c r="CL59">
        <f>CL17</f>
        <v>0</v>
      </c>
      <c r="CM59">
        <v>13</v>
      </c>
      <c r="CN59">
        <f>CN17</f>
        <v>0</v>
      </c>
      <c r="CO59">
        <v>13</v>
      </c>
      <c r="CP59">
        <f>CP17</f>
        <v>0</v>
      </c>
      <c r="CQ59">
        <v>13</v>
      </c>
      <c r="CR59">
        <f>CR17</f>
        <v>0</v>
      </c>
      <c r="CS59">
        <v>13</v>
      </c>
      <c r="CT59">
        <f>CT17</f>
        <v>0</v>
      </c>
      <c r="CU59">
        <v>13</v>
      </c>
      <c r="CV59">
        <f>CV17</f>
        <v>0</v>
      </c>
      <c r="CW59">
        <v>13</v>
      </c>
      <c r="CX59">
        <f>CX17</f>
        <v>0</v>
      </c>
      <c r="CY59">
        <v>13</v>
      </c>
      <c r="CZ59">
        <f>CZ17</f>
        <v>0</v>
      </c>
      <c r="DA59">
        <v>13</v>
      </c>
      <c r="DB59">
        <f>DB17</f>
        <v>0</v>
      </c>
      <c r="DC59">
        <v>13</v>
      </c>
      <c r="DD59">
        <f>DD17</f>
        <v>0</v>
      </c>
      <c r="DE59">
        <v>13</v>
      </c>
      <c r="DF59">
        <f>DF17</f>
        <v>0</v>
      </c>
      <c r="DG59">
        <v>13</v>
      </c>
      <c r="DH59">
        <f>DH17</f>
        <v>0</v>
      </c>
      <c r="DI59">
        <v>13</v>
      </c>
      <c r="DJ59">
        <f>DJ17</f>
        <v>0</v>
      </c>
      <c r="DK59">
        <v>13</v>
      </c>
      <c r="DL59">
        <f>DL17</f>
        <v>0</v>
      </c>
      <c r="DM59">
        <v>13</v>
      </c>
      <c r="DN59">
        <f>DN17</f>
        <v>0</v>
      </c>
      <c r="DO59">
        <v>13</v>
      </c>
      <c r="DP59">
        <f>DP17</f>
        <v>0</v>
      </c>
      <c r="DQ59">
        <v>13</v>
      </c>
      <c r="DR59">
        <f>DR17</f>
        <v>0</v>
      </c>
      <c r="DS59">
        <v>13</v>
      </c>
      <c r="DT59">
        <f>DT17</f>
        <v>0</v>
      </c>
      <c r="DU59">
        <v>13</v>
      </c>
      <c r="DV59">
        <f>DV17</f>
        <v>0</v>
      </c>
      <c r="DW59">
        <v>13</v>
      </c>
      <c r="DX59">
        <f>DX17</f>
        <v>0</v>
      </c>
      <c r="DY59">
        <v>13</v>
      </c>
      <c r="DZ59">
        <f>DZ17</f>
        <v>0</v>
      </c>
      <c r="EA59">
        <v>13</v>
      </c>
      <c r="EB59">
        <f>EB17</f>
        <v>0</v>
      </c>
      <c r="EC59">
        <v>13</v>
      </c>
      <c r="ED59">
        <f>ED17</f>
        <v>0</v>
      </c>
      <c r="EG59">
        <f>IF(Charts!$B$3="none",E266,IF(BS266="",NA(),BS266))</f>
        <v>0</v>
      </c>
      <c r="EH59">
        <f>IF(Charts!$B$3="none",F266,IF(BT266="",NA(),BT266))</f>
        <v>0</v>
      </c>
      <c r="EI59">
        <f>IF(Charts!$B$3="none",G266,IF(BU266="",NA(),BU266))</f>
        <v>0</v>
      </c>
      <c r="EJ59">
        <f>IF(Charts!$B$3="none",H266,IF(BV266="",NA(),BV266))</f>
        <v>0</v>
      </c>
      <c r="EK59">
        <f>IF(Charts!$B$3="none",I266,IF(BW266="",NA(),BW266))</f>
        <v>0</v>
      </c>
      <c r="EL59">
        <f>IF(Charts!$B$3="none",J266,IF(BX266="",NA(),BX266))</f>
        <v>0</v>
      </c>
      <c r="EM59">
        <f>IF(Charts!$B$3="none",K266,IF(BY266="",NA(),BY266))</f>
        <v>0</v>
      </c>
      <c r="EN59">
        <f>IF(Charts!$B$3="none",L266,IF(BZ266="",NA(),BZ266))</f>
        <v>0</v>
      </c>
      <c r="EO59">
        <f>IF(Charts!$B$3="none",M266,IF(CA266="",NA(),CA266))</f>
        <v>0</v>
      </c>
      <c r="EP59">
        <f>IF(Charts!$B$3="none",N266,IF(CB266="",NA(),CB266))</f>
        <v>0</v>
      </c>
      <c r="EQ59">
        <f>IF(Charts!$B$3="none",O266,IF(CC266="",NA(),CC266))</f>
        <v>0</v>
      </c>
      <c r="ER59">
        <f>IF(Charts!$B$3="none",P266,IF(CD266="",NA(),CD266))</f>
        <v>0</v>
      </c>
      <c r="ES59">
        <f>IF(Charts!$B$3="none",Q266,IF(CE266="",NA(),CE266))</f>
        <v>0</v>
      </c>
      <c r="ET59">
        <f>IF(Charts!$B$3="none",R266,IF(CF266="",NA(),CF266))</f>
        <v>0</v>
      </c>
      <c r="EU59">
        <f>IF(Charts!$B$3="none",S266,IF(CG266="",NA(),CG266))</f>
        <v>0</v>
      </c>
      <c r="EV59">
        <f>IF(Charts!$B$3="none",T266,IF(CH266="",NA(),CH266))</f>
        <v>0</v>
      </c>
      <c r="EW59">
        <f>IF(Charts!$B$3="none",U266,IF(CI266="",NA(),CI266))</f>
        <v>0</v>
      </c>
      <c r="EX59">
        <f>IF(Charts!$B$3="none",V266,IF(CJ266="",NA(),CJ266))</f>
        <v>0</v>
      </c>
      <c r="EY59">
        <f>IF(Charts!$B$3="none",W266,IF(CK266="",NA(),CK266))</f>
        <v>0</v>
      </c>
      <c r="EZ59">
        <f>IF(Charts!$B$3="none",X266,IF(CL266="",NA(),CL266))</f>
        <v>0</v>
      </c>
      <c r="FA59">
        <f>IF(Charts!$B$3="none",Y266,IF(CM266="",NA(),CM266))</f>
        <v>0</v>
      </c>
      <c r="FB59">
        <f>IF(Charts!$B$3="none",Z266,IF(CN266="",NA(),CN266))</f>
        <v>0</v>
      </c>
      <c r="FC59">
        <f>IF(Charts!$B$3="none",AA266,IF(CO266="",NA(),CO266))</f>
        <v>0</v>
      </c>
      <c r="FD59">
        <f>IF(Charts!$B$3="none",AB266,IF(CP266="",NA(),CP266))</f>
        <v>0</v>
      </c>
      <c r="FE59">
        <f>IF(Charts!$B$3="none",AC266,IF(CQ266="",NA(),CQ266))</f>
        <v>0</v>
      </c>
      <c r="FF59">
        <f>IF(Charts!$B$3="none",AD266,IF(CR266="",NA(),CR266))</f>
        <v>0</v>
      </c>
      <c r="FG59">
        <f>IF(Charts!$B$3="none",AE266,IF(CS266="",NA(),CS266))</f>
        <v>0</v>
      </c>
      <c r="FH59">
        <f>IF(Charts!$B$3="none",AF266,IF(CT266="",NA(),CT266))</f>
        <v>0</v>
      </c>
      <c r="FI59">
        <f>IF(Charts!$B$3="none",AG266,IF(CU266="",NA(),CU266))</f>
        <v>0</v>
      </c>
      <c r="FJ59">
        <f>IF(Charts!$B$3="none",AH266,IF(CV266="",NA(),CV266))</f>
        <v>0</v>
      </c>
      <c r="FK59">
        <f>IF(Charts!$B$3="none",AI266,IF(CW266="",NA(),CW266))</f>
        <v>0</v>
      </c>
      <c r="FL59">
        <f>IF(Charts!$B$3="none",AJ266,IF(CX266="",NA(),CX266))</f>
        <v>0</v>
      </c>
      <c r="FM59">
        <f>IF(Charts!$B$3="none",AK266,IF(CY266="",NA(),CY266))</f>
        <v>0</v>
      </c>
      <c r="FN59">
        <f>IF(Charts!$B$3="none",AL266,IF(CZ266="",NA(),CZ266))</f>
        <v>0</v>
      </c>
      <c r="FO59">
        <f>IF(Charts!$B$3="none",AM266,IF(DA266="",NA(),DA266))</f>
        <v>0</v>
      </c>
      <c r="FP59">
        <f>IF(Charts!$B$3="none",AN266,IF(DB266="",NA(),DB266))</f>
        <v>0</v>
      </c>
      <c r="FQ59">
        <f>IF(Charts!$B$3="none",AO266,IF(DC266="",NA(),DC266))</f>
        <v>0</v>
      </c>
      <c r="FR59">
        <f>IF(Charts!$B$3="none",AP266,IF(DD266="",NA(),DD266))</f>
        <v>0</v>
      </c>
      <c r="FS59">
        <f>IF(Charts!$B$3="none",AQ266,IF(DE266="",NA(),DE266))</f>
        <v>0</v>
      </c>
      <c r="FT59">
        <f>IF(Charts!$B$3="none",AR266,IF(DF266="",NA(),DF266))</f>
        <v>0</v>
      </c>
      <c r="FU59">
        <f>IF(Charts!$B$3="none",AS266,IF(DG266="",NA(),DG266))</f>
        <v>0</v>
      </c>
      <c r="FV59">
        <f>IF(Charts!$B$3="none",AT266,IF(DH266="",NA(),DH266))</f>
        <v>0</v>
      </c>
      <c r="FW59">
        <f>IF(Charts!$B$3="none",AU266,IF(DI266="",NA(),DI266))</f>
        <v>0</v>
      </c>
      <c r="FX59">
        <f>IF(Charts!$B$3="none",AV266,IF(DJ266="",NA(),DJ266))</f>
        <v>0</v>
      </c>
      <c r="FY59">
        <f>IF(Charts!$B$3="none",AW266,IF(DK266="",NA(),DK266))</f>
        <v>0</v>
      </c>
      <c r="FZ59">
        <f>IF(Charts!$B$3="none",AX266,IF(DL266="",NA(),DL266))</f>
        <v>0</v>
      </c>
      <c r="GA59">
        <f>IF(Charts!$B$3="none",AY266,IF(DM266="",NA(),DM266))</f>
        <v>0</v>
      </c>
      <c r="GB59">
        <f>IF(Charts!$B$3="none",AZ266,IF(DN266="",NA(),DN266))</f>
        <v>0</v>
      </c>
      <c r="GC59">
        <f>IF(Charts!$B$3="none",BA266,IF(DO266="",NA(),DO266))</f>
        <v>0</v>
      </c>
      <c r="GD59">
        <f>IF(Charts!$B$3="none",BB266,IF(DP266="",NA(),DP266))</f>
        <v>0</v>
      </c>
      <c r="GE59">
        <f>IF(Charts!$B$3="none",BC266,IF(DQ266="",NA(),DQ266))</f>
        <v>0</v>
      </c>
      <c r="GF59">
        <f>IF(Charts!$B$3="none",BD266,IF(DR266="",NA(),DR266))</f>
        <v>0</v>
      </c>
      <c r="GG59">
        <f>IF(Charts!$B$3="none",BE266,IF(DS266="",NA(),DS266))</f>
        <v>0</v>
      </c>
      <c r="GH59">
        <f>IF(Charts!$B$3="none",BF266,IF(DT266="",NA(),DT266))</f>
        <v>0</v>
      </c>
      <c r="GI59">
        <f>IF(Charts!$B$3="none",BG266,IF(DU266="",NA(),DU266))</f>
        <v>0</v>
      </c>
      <c r="GJ59">
        <f>IF(Charts!$B$3="none",BH266,IF(DV266="",NA(),DV266))</f>
        <v>0</v>
      </c>
      <c r="GK59">
        <f>IF(Charts!$B$3="none",BI266,IF(DW266="",NA(),DW266))</f>
        <v>0</v>
      </c>
      <c r="GL59">
        <f>IF(Charts!$B$3="none",BJ266,IF(DX266="",NA(),DX266))</f>
        <v>0</v>
      </c>
      <c r="GM59">
        <f>IF(Charts!$B$3="none",BK266,IF(DY266="",NA(),DY266))</f>
        <v>0</v>
      </c>
      <c r="GN59">
        <f>IF(Charts!$B$3="none",BL266,IF(DZ266="",NA(),DZ266))</f>
        <v>0</v>
      </c>
      <c r="GO59">
        <f>IF(Charts!$B$3="none",BM266,IF(EA266="",NA(),EA266))</f>
        <v>0</v>
      </c>
      <c r="GP59">
        <f>IF(Charts!$B$3="none",BN266,IF(EB266="",NA(),EB266))</f>
        <v>0</v>
      </c>
      <c r="GQ59">
        <f>IF(Charts!$B$3="none",BO266,IF(EC266="",NA(),EC266))</f>
        <v>0</v>
      </c>
      <c r="GR59">
        <f>IF(Charts!$B$3="none",BP266,IF(ED266="",NA(),ED266))</f>
        <v>0</v>
      </c>
    </row>
    <row r="60" spans="5:200">
      <c r="E60">
        <v>14</v>
      </c>
      <c r="F60">
        <f>F18</f>
        <v>0</v>
      </c>
      <c r="G60">
        <v>14</v>
      </c>
      <c r="H60">
        <f>H18</f>
        <v>0</v>
      </c>
      <c r="I60">
        <v>14</v>
      </c>
      <c r="J60">
        <f>J18</f>
        <v>0</v>
      </c>
      <c r="K60">
        <v>14</v>
      </c>
      <c r="L60">
        <f>L18</f>
        <v>0</v>
      </c>
      <c r="M60">
        <v>14</v>
      </c>
      <c r="N60">
        <f>N18</f>
        <v>0</v>
      </c>
      <c r="O60">
        <v>14</v>
      </c>
      <c r="P60">
        <f>P18</f>
        <v>0</v>
      </c>
      <c r="Q60">
        <v>14</v>
      </c>
      <c r="R60">
        <f>R18</f>
        <v>0</v>
      </c>
      <c r="S60">
        <v>14</v>
      </c>
      <c r="T60">
        <f>T18</f>
        <v>0</v>
      </c>
      <c r="U60">
        <v>14</v>
      </c>
      <c r="V60">
        <f>V18</f>
        <v>0</v>
      </c>
      <c r="W60">
        <v>14</v>
      </c>
      <c r="X60">
        <f>X18</f>
        <v>0</v>
      </c>
      <c r="Y60">
        <v>14</v>
      </c>
      <c r="Z60">
        <f>Z18</f>
        <v>0</v>
      </c>
      <c r="AA60">
        <v>14</v>
      </c>
      <c r="AB60">
        <f>AB18</f>
        <v>0</v>
      </c>
      <c r="AC60">
        <v>14</v>
      </c>
      <c r="AD60">
        <f>AD18</f>
        <v>0</v>
      </c>
      <c r="AE60">
        <v>14</v>
      </c>
      <c r="AF60">
        <f>AF18</f>
        <v>0</v>
      </c>
      <c r="AG60">
        <v>14</v>
      </c>
      <c r="AH60">
        <f>AH18</f>
        <v>0</v>
      </c>
      <c r="AI60">
        <v>14</v>
      </c>
      <c r="AJ60">
        <f>AJ18</f>
        <v>0</v>
      </c>
      <c r="AK60">
        <v>14</v>
      </c>
      <c r="AL60">
        <f>AL18</f>
        <v>0</v>
      </c>
      <c r="AM60">
        <v>14</v>
      </c>
      <c r="AN60">
        <f>AN18</f>
        <v>0</v>
      </c>
      <c r="AO60">
        <v>14</v>
      </c>
      <c r="AP60">
        <f>AP18</f>
        <v>0</v>
      </c>
      <c r="AQ60">
        <v>14</v>
      </c>
      <c r="AR60">
        <f>AR18</f>
        <v>0</v>
      </c>
      <c r="AS60">
        <v>14</v>
      </c>
      <c r="AT60">
        <f>AT18</f>
        <v>0</v>
      </c>
      <c r="AU60">
        <v>14</v>
      </c>
      <c r="AV60">
        <f>AV18</f>
        <v>0</v>
      </c>
      <c r="AW60">
        <v>14</v>
      </c>
      <c r="AX60">
        <f>AX18</f>
        <v>0</v>
      </c>
      <c r="AY60">
        <v>14</v>
      </c>
      <c r="AZ60">
        <f>AZ18</f>
        <v>0</v>
      </c>
      <c r="BA60">
        <v>14</v>
      </c>
      <c r="BB60">
        <f>BB18</f>
        <v>0</v>
      </c>
      <c r="BC60">
        <v>14</v>
      </c>
      <c r="BD60">
        <f>BD18</f>
        <v>0</v>
      </c>
      <c r="BE60">
        <v>14</v>
      </c>
      <c r="BF60">
        <f>BF18</f>
        <v>0</v>
      </c>
      <c r="BG60">
        <v>14</v>
      </c>
      <c r="BH60">
        <f>BH18</f>
        <v>0</v>
      </c>
      <c r="BI60">
        <v>14</v>
      </c>
      <c r="BJ60">
        <f>BJ18</f>
        <v>0</v>
      </c>
      <c r="BK60">
        <v>14</v>
      </c>
      <c r="BL60">
        <f>BL18</f>
        <v>0</v>
      </c>
      <c r="BM60">
        <v>14</v>
      </c>
      <c r="BN60">
        <f>BN18</f>
        <v>0</v>
      </c>
      <c r="BO60">
        <v>14</v>
      </c>
      <c r="BP60">
        <f>BP18</f>
        <v>0</v>
      </c>
      <c r="BS60">
        <v>14</v>
      </c>
      <c r="BT60">
        <f>BT18</f>
        <v>0</v>
      </c>
      <c r="BU60">
        <v>14</v>
      </c>
      <c r="BV60">
        <f>BV18</f>
        <v>0</v>
      </c>
      <c r="BW60">
        <v>14</v>
      </c>
      <c r="BX60">
        <f>BX18</f>
        <v>0</v>
      </c>
      <c r="BY60">
        <v>14</v>
      </c>
      <c r="BZ60">
        <f>BZ18</f>
        <v>0</v>
      </c>
      <c r="CA60">
        <v>14</v>
      </c>
      <c r="CB60">
        <f>CB18</f>
        <v>0</v>
      </c>
      <c r="CC60">
        <v>14</v>
      </c>
      <c r="CD60">
        <f>CD18</f>
        <v>0</v>
      </c>
      <c r="CE60">
        <v>14</v>
      </c>
      <c r="CF60">
        <f>CF18</f>
        <v>0</v>
      </c>
      <c r="CG60">
        <v>14</v>
      </c>
      <c r="CH60">
        <f>CH18</f>
        <v>0</v>
      </c>
      <c r="CI60">
        <v>14</v>
      </c>
      <c r="CJ60">
        <f>CJ18</f>
        <v>0</v>
      </c>
      <c r="CK60">
        <v>14</v>
      </c>
      <c r="CL60">
        <f>CL18</f>
        <v>0</v>
      </c>
      <c r="CM60">
        <v>14</v>
      </c>
      <c r="CN60">
        <f>CN18</f>
        <v>0</v>
      </c>
      <c r="CO60">
        <v>14</v>
      </c>
      <c r="CP60">
        <f>CP18</f>
        <v>0</v>
      </c>
      <c r="CQ60">
        <v>14</v>
      </c>
      <c r="CR60">
        <f>CR18</f>
        <v>0</v>
      </c>
      <c r="CS60">
        <v>14</v>
      </c>
      <c r="CT60">
        <f>CT18</f>
        <v>0</v>
      </c>
      <c r="CU60">
        <v>14</v>
      </c>
      <c r="CV60">
        <f>CV18</f>
        <v>0</v>
      </c>
      <c r="CW60">
        <v>14</v>
      </c>
      <c r="CX60">
        <f>CX18</f>
        <v>0</v>
      </c>
      <c r="CY60">
        <v>14</v>
      </c>
      <c r="CZ60">
        <f>CZ18</f>
        <v>0</v>
      </c>
      <c r="DA60">
        <v>14</v>
      </c>
      <c r="DB60">
        <f>DB18</f>
        <v>0</v>
      </c>
      <c r="DC60">
        <v>14</v>
      </c>
      <c r="DD60">
        <f>DD18</f>
        <v>0</v>
      </c>
      <c r="DE60">
        <v>14</v>
      </c>
      <c r="DF60">
        <f>DF18</f>
        <v>0</v>
      </c>
      <c r="DG60">
        <v>14</v>
      </c>
      <c r="DH60">
        <f>DH18</f>
        <v>0</v>
      </c>
      <c r="DI60">
        <v>14</v>
      </c>
      <c r="DJ60">
        <f>DJ18</f>
        <v>0</v>
      </c>
      <c r="DK60">
        <v>14</v>
      </c>
      <c r="DL60">
        <f>DL18</f>
        <v>0</v>
      </c>
      <c r="DM60">
        <v>14</v>
      </c>
      <c r="DN60">
        <f>DN18</f>
        <v>0</v>
      </c>
      <c r="DO60">
        <v>14</v>
      </c>
      <c r="DP60">
        <f>DP18</f>
        <v>0</v>
      </c>
      <c r="DQ60">
        <v>14</v>
      </c>
      <c r="DR60">
        <f>DR18</f>
        <v>0</v>
      </c>
      <c r="DS60">
        <v>14</v>
      </c>
      <c r="DT60">
        <f>DT18</f>
        <v>0</v>
      </c>
      <c r="DU60">
        <v>14</v>
      </c>
      <c r="DV60">
        <f>DV18</f>
        <v>0</v>
      </c>
      <c r="DW60">
        <v>14</v>
      </c>
      <c r="DX60">
        <f>DX18</f>
        <v>0</v>
      </c>
      <c r="DY60">
        <v>14</v>
      </c>
      <c r="DZ60">
        <f>DZ18</f>
        <v>0</v>
      </c>
      <c r="EA60">
        <v>14</v>
      </c>
      <c r="EB60">
        <f>EB18</f>
        <v>0</v>
      </c>
      <c r="EC60">
        <v>14</v>
      </c>
      <c r="ED60">
        <f>ED18</f>
        <v>0</v>
      </c>
      <c r="EG60">
        <f>IF(Charts!$B$3="none",E267,IF(BS267="",NA(),BS267))</f>
        <v>0</v>
      </c>
      <c r="EH60">
        <f>IF(Charts!$B$3="none",F267,IF(BT267="",NA(),BT267))</f>
        <v>0</v>
      </c>
      <c r="EI60">
        <f>IF(Charts!$B$3="none",G267,IF(BU267="",NA(),BU267))</f>
        <v>0</v>
      </c>
      <c r="EJ60">
        <f>IF(Charts!$B$3="none",H267,IF(BV267="",NA(),BV267))</f>
        <v>0</v>
      </c>
      <c r="EK60">
        <f>IF(Charts!$B$3="none",I267,IF(BW267="",NA(),BW267))</f>
        <v>0</v>
      </c>
      <c r="EL60">
        <f>IF(Charts!$B$3="none",J267,IF(BX267="",NA(),BX267))</f>
        <v>0</v>
      </c>
      <c r="EM60">
        <f>IF(Charts!$B$3="none",K267,IF(BY267="",NA(),BY267))</f>
        <v>0</v>
      </c>
      <c r="EN60">
        <f>IF(Charts!$B$3="none",L267,IF(BZ267="",NA(),BZ267))</f>
        <v>0</v>
      </c>
      <c r="EO60">
        <f>IF(Charts!$B$3="none",M267,IF(CA267="",NA(),CA267))</f>
        <v>0</v>
      </c>
      <c r="EP60">
        <f>IF(Charts!$B$3="none",N267,IF(CB267="",NA(),CB267))</f>
        <v>0</v>
      </c>
      <c r="EQ60">
        <f>IF(Charts!$B$3="none",O267,IF(CC267="",NA(),CC267))</f>
        <v>0</v>
      </c>
      <c r="ER60">
        <f>IF(Charts!$B$3="none",P267,IF(CD267="",NA(),CD267))</f>
        <v>0</v>
      </c>
      <c r="ES60">
        <f>IF(Charts!$B$3="none",Q267,IF(CE267="",NA(),CE267))</f>
        <v>0</v>
      </c>
      <c r="ET60">
        <f>IF(Charts!$B$3="none",R267,IF(CF267="",NA(),CF267))</f>
        <v>0</v>
      </c>
      <c r="EU60">
        <f>IF(Charts!$B$3="none",S267,IF(CG267="",NA(),CG267))</f>
        <v>0</v>
      </c>
      <c r="EV60">
        <f>IF(Charts!$B$3="none",T267,IF(CH267="",NA(),CH267))</f>
        <v>0</v>
      </c>
      <c r="EW60">
        <f>IF(Charts!$B$3="none",U267,IF(CI267="",NA(),CI267))</f>
        <v>0</v>
      </c>
      <c r="EX60">
        <f>IF(Charts!$B$3="none",V267,IF(CJ267="",NA(),CJ267))</f>
        <v>0</v>
      </c>
      <c r="EY60">
        <f>IF(Charts!$B$3="none",W267,IF(CK267="",NA(),CK267))</f>
        <v>0</v>
      </c>
      <c r="EZ60">
        <f>IF(Charts!$B$3="none",X267,IF(CL267="",NA(),CL267))</f>
        <v>0</v>
      </c>
      <c r="FA60">
        <f>IF(Charts!$B$3="none",Y267,IF(CM267="",NA(),CM267))</f>
        <v>0</v>
      </c>
      <c r="FB60">
        <f>IF(Charts!$B$3="none",Z267,IF(CN267="",NA(),CN267))</f>
        <v>0</v>
      </c>
      <c r="FC60">
        <f>IF(Charts!$B$3="none",AA267,IF(CO267="",NA(),CO267))</f>
        <v>0</v>
      </c>
      <c r="FD60">
        <f>IF(Charts!$B$3="none",AB267,IF(CP267="",NA(),CP267))</f>
        <v>0</v>
      </c>
      <c r="FE60">
        <f>IF(Charts!$B$3="none",AC267,IF(CQ267="",NA(),CQ267))</f>
        <v>0</v>
      </c>
      <c r="FF60">
        <f>IF(Charts!$B$3="none",AD267,IF(CR267="",NA(),CR267))</f>
        <v>0</v>
      </c>
      <c r="FG60">
        <f>IF(Charts!$B$3="none",AE267,IF(CS267="",NA(),CS267))</f>
        <v>0</v>
      </c>
      <c r="FH60">
        <f>IF(Charts!$B$3="none",AF267,IF(CT267="",NA(),CT267))</f>
        <v>0</v>
      </c>
      <c r="FI60">
        <f>IF(Charts!$B$3="none",AG267,IF(CU267="",NA(),CU267))</f>
        <v>0</v>
      </c>
      <c r="FJ60">
        <f>IF(Charts!$B$3="none",AH267,IF(CV267="",NA(),CV267))</f>
        <v>0</v>
      </c>
      <c r="FK60">
        <f>IF(Charts!$B$3="none",AI267,IF(CW267="",NA(),CW267))</f>
        <v>0</v>
      </c>
      <c r="FL60">
        <f>IF(Charts!$B$3="none",AJ267,IF(CX267="",NA(),CX267))</f>
        <v>0</v>
      </c>
      <c r="FM60">
        <f>IF(Charts!$B$3="none",AK267,IF(CY267="",NA(),CY267))</f>
        <v>0</v>
      </c>
      <c r="FN60">
        <f>IF(Charts!$B$3="none",AL267,IF(CZ267="",NA(),CZ267))</f>
        <v>0</v>
      </c>
      <c r="FO60">
        <f>IF(Charts!$B$3="none",AM267,IF(DA267="",NA(),DA267))</f>
        <v>0</v>
      </c>
      <c r="FP60">
        <f>IF(Charts!$B$3="none",AN267,IF(DB267="",NA(),DB267))</f>
        <v>0</v>
      </c>
      <c r="FQ60">
        <f>IF(Charts!$B$3="none",AO267,IF(DC267="",NA(),DC267))</f>
        <v>0</v>
      </c>
      <c r="FR60">
        <f>IF(Charts!$B$3="none",AP267,IF(DD267="",NA(),DD267))</f>
        <v>0</v>
      </c>
      <c r="FS60">
        <f>IF(Charts!$B$3="none",AQ267,IF(DE267="",NA(),DE267))</f>
        <v>0</v>
      </c>
      <c r="FT60">
        <f>IF(Charts!$B$3="none",AR267,IF(DF267="",NA(),DF267))</f>
        <v>0</v>
      </c>
      <c r="FU60">
        <f>IF(Charts!$B$3="none",AS267,IF(DG267="",NA(),DG267))</f>
        <v>0</v>
      </c>
      <c r="FV60">
        <f>IF(Charts!$B$3="none",AT267,IF(DH267="",NA(),DH267))</f>
        <v>0</v>
      </c>
      <c r="FW60">
        <f>IF(Charts!$B$3="none",AU267,IF(DI267="",NA(),DI267))</f>
        <v>0</v>
      </c>
      <c r="FX60">
        <f>IF(Charts!$B$3="none",AV267,IF(DJ267="",NA(),DJ267))</f>
        <v>0</v>
      </c>
      <c r="FY60">
        <f>IF(Charts!$B$3="none",AW267,IF(DK267="",NA(),DK267))</f>
        <v>0</v>
      </c>
      <c r="FZ60">
        <f>IF(Charts!$B$3="none",AX267,IF(DL267="",NA(),DL267))</f>
        <v>0</v>
      </c>
      <c r="GA60">
        <f>IF(Charts!$B$3="none",AY267,IF(DM267="",NA(),DM267))</f>
        <v>0</v>
      </c>
      <c r="GB60">
        <f>IF(Charts!$B$3="none",AZ267,IF(DN267="",NA(),DN267))</f>
        <v>0</v>
      </c>
      <c r="GC60">
        <f>IF(Charts!$B$3="none",BA267,IF(DO267="",NA(),DO267))</f>
        <v>0</v>
      </c>
      <c r="GD60">
        <f>IF(Charts!$B$3="none",BB267,IF(DP267="",NA(),DP267))</f>
        <v>0</v>
      </c>
      <c r="GE60">
        <f>IF(Charts!$B$3="none",BC267,IF(DQ267="",NA(),DQ267))</f>
        <v>0</v>
      </c>
      <c r="GF60">
        <f>IF(Charts!$B$3="none",BD267,IF(DR267="",NA(),DR267))</f>
        <v>0</v>
      </c>
      <c r="GG60">
        <f>IF(Charts!$B$3="none",BE267,IF(DS267="",NA(),DS267))</f>
        <v>0</v>
      </c>
      <c r="GH60">
        <f>IF(Charts!$B$3="none",BF267,IF(DT267="",NA(),DT267))</f>
        <v>0</v>
      </c>
      <c r="GI60">
        <f>IF(Charts!$B$3="none",BG267,IF(DU267="",NA(),DU267))</f>
        <v>0</v>
      </c>
      <c r="GJ60">
        <f>IF(Charts!$B$3="none",BH267,IF(DV267="",NA(),DV267))</f>
        <v>0</v>
      </c>
      <c r="GK60">
        <f>IF(Charts!$B$3="none",BI267,IF(DW267="",NA(),DW267))</f>
        <v>0</v>
      </c>
      <c r="GL60">
        <f>IF(Charts!$B$3="none",BJ267,IF(DX267="",NA(),DX267))</f>
        <v>0</v>
      </c>
      <c r="GM60">
        <f>IF(Charts!$B$3="none",BK267,IF(DY267="",NA(),DY267))</f>
        <v>0</v>
      </c>
      <c r="GN60">
        <f>IF(Charts!$B$3="none",BL267,IF(DZ267="",NA(),DZ267))</f>
        <v>0</v>
      </c>
      <c r="GO60">
        <f>IF(Charts!$B$3="none",BM267,IF(EA267="",NA(),EA267))</f>
        <v>0</v>
      </c>
      <c r="GP60">
        <f>IF(Charts!$B$3="none",BN267,IF(EB267="",NA(),EB267))</f>
        <v>0</v>
      </c>
      <c r="GQ60">
        <f>IF(Charts!$B$3="none",BO267,IF(EC267="",NA(),EC267))</f>
        <v>0</v>
      </c>
      <c r="GR60">
        <f>IF(Charts!$B$3="none",BP267,IF(ED267="",NA(),ED267))</f>
        <v>0</v>
      </c>
    </row>
    <row r="61" spans="5:200">
      <c r="E61">
        <v>15</v>
      </c>
      <c r="F61">
        <f>F19</f>
        <v>0</v>
      </c>
      <c r="G61">
        <v>15</v>
      </c>
      <c r="H61">
        <f>H19</f>
        <v>0</v>
      </c>
      <c r="I61">
        <v>15</v>
      </c>
      <c r="J61">
        <f>J19</f>
        <v>0</v>
      </c>
      <c r="K61">
        <v>15</v>
      </c>
      <c r="L61">
        <f>L19</f>
        <v>0</v>
      </c>
      <c r="M61">
        <v>15</v>
      </c>
      <c r="N61">
        <f>N19</f>
        <v>0</v>
      </c>
      <c r="O61">
        <v>15</v>
      </c>
      <c r="P61">
        <f>P19</f>
        <v>0</v>
      </c>
      <c r="Q61">
        <v>15</v>
      </c>
      <c r="R61">
        <f>R19</f>
        <v>0</v>
      </c>
      <c r="S61">
        <v>15</v>
      </c>
      <c r="T61">
        <f>T19</f>
        <v>0</v>
      </c>
      <c r="U61">
        <v>15</v>
      </c>
      <c r="V61">
        <f>V19</f>
        <v>0</v>
      </c>
      <c r="W61">
        <v>15</v>
      </c>
      <c r="X61">
        <f>X19</f>
        <v>0</v>
      </c>
      <c r="Y61">
        <v>15</v>
      </c>
      <c r="Z61">
        <f>Z19</f>
        <v>0</v>
      </c>
      <c r="AA61">
        <v>15</v>
      </c>
      <c r="AB61">
        <f>AB19</f>
        <v>0</v>
      </c>
      <c r="AC61">
        <v>15</v>
      </c>
      <c r="AD61">
        <f>AD19</f>
        <v>0</v>
      </c>
      <c r="AE61">
        <v>15</v>
      </c>
      <c r="AF61">
        <f>AF19</f>
        <v>0</v>
      </c>
      <c r="AG61">
        <v>15</v>
      </c>
      <c r="AH61">
        <f>AH19</f>
        <v>0</v>
      </c>
      <c r="AI61">
        <v>15</v>
      </c>
      <c r="AJ61">
        <f>AJ19</f>
        <v>0</v>
      </c>
      <c r="AK61">
        <v>15</v>
      </c>
      <c r="AL61">
        <f>AL19</f>
        <v>0</v>
      </c>
      <c r="AM61">
        <v>15</v>
      </c>
      <c r="AN61">
        <f>AN19</f>
        <v>0</v>
      </c>
      <c r="AO61">
        <v>15</v>
      </c>
      <c r="AP61">
        <f>AP19</f>
        <v>0</v>
      </c>
      <c r="AQ61">
        <v>15</v>
      </c>
      <c r="AR61">
        <f>AR19</f>
        <v>0</v>
      </c>
      <c r="AS61">
        <v>15</v>
      </c>
      <c r="AT61">
        <f>AT19</f>
        <v>0</v>
      </c>
      <c r="AU61">
        <v>15</v>
      </c>
      <c r="AV61">
        <f>AV19</f>
        <v>0</v>
      </c>
      <c r="AW61">
        <v>15</v>
      </c>
      <c r="AX61">
        <f>AX19</f>
        <v>0</v>
      </c>
      <c r="AY61">
        <v>15</v>
      </c>
      <c r="AZ61">
        <f>AZ19</f>
        <v>0</v>
      </c>
      <c r="BA61">
        <v>15</v>
      </c>
      <c r="BB61">
        <f>BB19</f>
        <v>0</v>
      </c>
      <c r="BC61">
        <v>15</v>
      </c>
      <c r="BD61">
        <f>BD19</f>
        <v>0</v>
      </c>
      <c r="BE61">
        <v>15</v>
      </c>
      <c r="BF61">
        <f>BF19</f>
        <v>0</v>
      </c>
      <c r="BG61">
        <v>15</v>
      </c>
      <c r="BH61">
        <f>BH19</f>
        <v>0</v>
      </c>
      <c r="BI61">
        <v>15</v>
      </c>
      <c r="BJ61">
        <f>BJ19</f>
        <v>0</v>
      </c>
      <c r="BK61">
        <v>15</v>
      </c>
      <c r="BL61">
        <f>BL19</f>
        <v>0</v>
      </c>
      <c r="BM61">
        <v>15</v>
      </c>
      <c r="BN61">
        <f>BN19</f>
        <v>0</v>
      </c>
      <c r="BO61">
        <v>15</v>
      </c>
      <c r="BP61">
        <f>BP19</f>
        <v>0</v>
      </c>
      <c r="BS61">
        <v>15</v>
      </c>
      <c r="BT61">
        <f>BT19</f>
        <v>0</v>
      </c>
      <c r="BU61">
        <v>15</v>
      </c>
      <c r="BV61">
        <f>BV19</f>
        <v>0</v>
      </c>
      <c r="BW61">
        <v>15</v>
      </c>
      <c r="BX61">
        <f>BX19</f>
        <v>0</v>
      </c>
      <c r="BY61">
        <v>15</v>
      </c>
      <c r="BZ61">
        <f>BZ19</f>
        <v>0</v>
      </c>
      <c r="CA61">
        <v>15</v>
      </c>
      <c r="CB61">
        <f>CB19</f>
        <v>0</v>
      </c>
      <c r="CC61">
        <v>15</v>
      </c>
      <c r="CD61">
        <f>CD19</f>
        <v>0</v>
      </c>
      <c r="CE61">
        <v>15</v>
      </c>
      <c r="CF61">
        <f>CF19</f>
        <v>0</v>
      </c>
      <c r="CG61">
        <v>15</v>
      </c>
      <c r="CH61">
        <f>CH19</f>
        <v>0</v>
      </c>
      <c r="CI61">
        <v>15</v>
      </c>
      <c r="CJ61">
        <f>CJ19</f>
        <v>0</v>
      </c>
      <c r="CK61">
        <v>15</v>
      </c>
      <c r="CL61">
        <f>CL19</f>
        <v>0</v>
      </c>
      <c r="CM61">
        <v>15</v>
      </c>
      <c r="CN61">
        <f>CN19</f>
        <v>0</v>
      </c>
      <c r="CO61">
        <v>15</v>
      </c>
      <c r="CP61">
        <f>CP19</f>
        <v>0</v>
      </c>
      <c r="CQ61">
        <v>15</v>
      </c>
      <c r="CR61">
        <f>CR19</f>
        <v>0</v>
      </c>
      <c r="CS61">
        <v>15</v>
      </c>
      <c r="CT61">
        <f>CT19</f>
        <v>0</v>
      </c>
      <c r="CU61">
        <v>15</v>
      </c>
      <c r="CV61">
        <f>CV19</f>
        <v>0</v>
      </c>
      <c r="CW61">
        <v>15</v>
      </c>
      <c r="CX61">
        <f>CX19</f>
        <v>0</v>
      </c>
      <c r="CY61">
        <v>15</v>
      </c>
      <c r="CZ61">
        <f>CZ19</f>
        <v>0</v>
      </c>
      <c r="DA61">
        <v>15</v>
      </c>
      <c r="DB61">
        <f>DB19</f>
        <v>0</v>
      </c>
      <c r="DC61">
        <v>15</v>
      </c>
      <c r="DD61">
        <f>DD19</f>
        <v>0</v>
      </c>
      <c r="DE61">
        <v>15</v>
      </c>
      <c r="DF61">
        <f>DF19</f>
        <v>0</v>
      </c>
      <c r="DG61">
        <v>15</v>
      </c>
      <c r="DH61">
        <f>DH19</f>
        <v>0</v>
      </c>
      <c r="DI61">
        <v>15</v>
      </c>
      <c r="DJ61">
        <f>DJ19</f>
        <v>0</v>
      </c>
      <c r="DK61">
        <v>15</v>
      </c>
      <c r="DL61">
        <f>DL19</f>
        <v>0</v>
      </c>
      <c r="DM61">
        <v>15</v>
      </c>
      <c r="DN61">
        <f>DN19</f>
        <v>0</v>
      </c>
      <c r="DO61">
        <v>15</v>
      </c>
      <c r="DP61">
        <f>DP19</f>
        <v>0</v>
      </c>
      <c r="DQ61">
        <v>15</v>
      </c>
      <c r="DR61">
        <f>DR19</f>
        <v>0</v>
      </c>
      <c r="DS61">
        <v>15</v>
      </c>
      <c r="DT61">
        <f>DT19</f>
        <v>0</v>
      </c>
      <c r="DU61">
        <v>15</v>
      </c>
      <c r="DV61">
        <f>DV19</f>
        <v>0</v>
      </c>
      <c r="DW61">
        <v>15</v>
      </c>
      <c r="DX61">
        <f>DX19</f>
        <v>0</v>
      </c>
      <c r="DY61">
        <v>15</v>
      </c>
      <c r="DZ61">
        <f>DZ19</f>
        <v>0</v>
      </c>
      <c r="EA61">
        <v>15</v>
      </c>
      <c r="EB61">
        <f>EB19</f>
        <v>0</v>
      </c>
      <c r="EC61">
        <v>15</v>
      </c>
      <c r="ED61">
        <f>ED19</f>
        <v>0</v>
      </c>
      <c r="EG61">
        <f>IF(Charts!$B$3="none",E268,IF(BS268="",NA(),BS268))</f>
        <v>0</v>
      </c>
      <c r="EH61">
        <f>IF(Charts!$B$3="none",F268,IF(BT268="",NA(),BT268))</f>
        <v>0</v>
      </c>
      <c r="EI61">
        <f>IF(Charts!$B$3="none",G268,IF(BU268="",NA(),BU268))</f>
        <v>0</v>
      </c>
      <c r="EJ61">
        <f>IF(Charts!$B$3="none",H268,IF(BV268="",NA(),BV268))</f>
        <v>0</v>
      </c>
      <c r="EK61">
        <f>IF(Charts!$B$3="none",I268,IF(BW268="",NA(),BW268))</f>
        <v>0</v>
      </c>
      <c r="EL61">
        <f>IF(Charts!$B$3="none",J268,IF(BX268="",NA(),BX268))</f>
        <v>0</v>
      </c>
      <c r="EM61">
        <f>IF(Charts!$B$3="none",K268,IF(BY268="",NA(),BY268))</f>
        <v>0</v>
      </c>
      <c r="EN61">
        <f>IF(Charts!$B$3="none",L268,IF(BZ268="",NA(),BZ268))</f>
        <v>0</v>
      </c>
      <c r="EO61">
        <f>IF(Charts!$B$3="none",M268,IF(CA268="",NA(),CA268))</f>
        <v>0</v>
      </c>
      <c r="EP61">
        <f>IF(Charts!$B$3="none",N268,IF(CB268="",NA(),CB268))</f>
        <v>0</v>
      </c>
      <c r="EQ61">
        <f>IF(Charts!$B$3="none",O268,IF(CC268="",NA(),CC268))</f>
        <v>0</v>
      </c>
      <c r="ER61">
        <f>IF(Charts!$B$3="none",P268,IF(CD268="",NA(),CD268))</f>
        <v>0</v>
      </c>
      <c r="ES61">
        <f>IF(Charts!$B$3="none",Q268,IF(CE268="",NA(),CE268))</f>
        <v>0</v>
      </c>
      <c r="ET61">
        <f>IF(Charts!$B$3="none",R268,IF(CF268="",NA(),CF268))</f>
        <v>0</v>
      </c>
      <c r="EU61">
        <f>IF(Charts!$B$3="none",S268,IF(CG268="",NA(),CG268))</f>
        <v>0</v>
      </c>
      <c r="EV61">
        <f>IF(Charts!$B$3="none",T268,IF(CH268="",NA(),CH268))</f>
        <v>0</v>
      </c>
      <c r="EW61">
        <f>IF(Charts!$B$3="none",U268,IF(CI268="",NA(),CI268))</f>
        <v>0</v>
      </c>
      <c r="EX61">
        <f>IF(Charts!$B$3="none",V268,IF(CJ268="",NA(),CJ268))</f>
        <v>0</v>
      </c>
      <c r="EY61">
        <f>IF(Charts!$B$3="none",W268,IF(CK268="",NA(),CK268))</f>
        <v>0</v>
      </c>
      <c r="EZ61">
        <f>IF(Charts!$B$3="none",X268,IF(CL268="",NA(),CL268))</f>
        <v>0</v>
      </c>
      <c r="FA61">
        <f>IF(Charts!$B$3="none",Y268,IF(CM268="",NA(),CM268))</f>
        <v>0</v>
      </c>
      <c r="FB61">
        <f>IF(Charts!$B$3="none",Z268,IF(CN268="",NA(),CN268))</f>
        <v>0</v>
      </c>
      <c r="FC61">
        <f>IF(Charts!$B$3="none",AA268,IF(CO268="",NA(),CO268))</f>
        <v>0</v>
      </c>
      <c r="FD61">
        <f>IF(Charts!$B$3="none",AB268,IF(CP268="",NA(),CP268))</f>
        <v>0</v>
      </c>
      <c r="FE61">
        <f>IF(Charts!$B$3="none",AC268,IF(CQ268="",NA(),CQ268))</f>
        <v>0</v>
      </c>
      <c r="FF61">
        <f>IF(Charts!$B$3="none",AD268,IF(CR268="",NA(),CR268))</f>
        <v>0</v>
      </c>
      <c r="FG61">
        <f>IF(Charts!$B$3="none",AE268,IF(CS268="",NA(),CS268))</f>
        <v>0</v>
      </c>
      <c r="FH61">
        <f>IF(Charts!$B$3="none",AF268,IF(CT268="",NA(),CT268))</f>
        <v>0</v>
      </c>
      <c r="FI61">
        <f>IF(Charts!$B$3="none",AG268,IF(CU268="",NA(),CU268))</f>
        <v>0</v>
      </c>
      <c r="FJ61">
        <f>IF(Charts!$B$3="none",AH268,IF(CV268="",NA(),CV268))</f>
        <v>0</v>
      </c>
      <c r="FK61">
        <f>IF(Charts!$B$3="none",AI268,IF(CW268="",NA(),CW268))</f>
        <v>0</v>
      </c>
      <c r="FL61">
        <f>IF(Charts!$B$3="none",AJ268,IF(CX268="",NA(),CX268))</f>
        <v>0</v>
      </c>
      <c r="FM61">
        <f>IF(Charts!$B$3="none",AK268,IF(CY268="",NA(),CY268))</f>
        <v>0</v>
      </c>
      <c r="FN61">
        <f>IF(Charts!$B$3="none",AL268,IF(CZ268="",NA(),CZ268))</f>
        <v>0</v>
      </c>
      <c r="FO61">
        <f>IF(Charts!$B$3="none",AM268,IF(DA268="",NA(),DA268))</f>
        <v>0</v>
      </c>
      <c r="FP61">
        <f>IF(Charts!$B$3="none",AN268,IF(DB268="",NA(),DB268))</f>
        <v>0</v>
      </c>
      <c r="FQ61">
        <f>IF(Charts!$B$3="none",AO268,IF(DC268="",NA(),DC268))</f>
        <v>0</v>
      </c>
      <c r="FR61">
        <f>IF(Charts!$B$3="none",AP268,IF(DD268="",NA(),DD268))</f>
        <v>0</v>
      </c>
      <c r="FS61">
        <f>IF(Charts!$B$3="none",AQ268,IF(DE268="",NA(),DE268))</f>
        <v>0</v>
      </c>
      <c r="FT61">
        <f>IF(Charts!$B$3="none",AR268,IF(DF268="",NA(),DF268))</f>
        <v>0</v>
      </c>
      <c r="FU61">
        <f>IF(Charts!$B$3="none",AS268,IF(DG268="",NA(),DG268))</f>
        <v>0</v>
      </c>
      <c r="FV61">
        <f>IF(Charts!$B$3="none",AT268,IF(DH268="",NA(),DH268))</f>
        <v>0</v>
      </c>
      <c r="FW61">
        <f>IF(Charts!$B$3="none",AU268,IF(DI268="",NA(),DI268))</f>
        <v>0</v>
      </c>
      <c r="FX61">
        <f>IF(Charts!$B$3="none",AV268,IF(DJ268="",NA(),DJ268))</f>
        <v>0</v>
      </c>
      <c r="FY61">
        <f>IF(Charts!$B$3="none",AW268,IF(DK268="",NA(),DK268))</f>
        <v>0</v>
      </c>
      <c r="FZ61">
        <f>IF(Charts!$B$3="none",AX268,IF(DL268="",NA(),DL268))</f>
        <v>0</v>
      </c>
      <c r="GA61">
        <f>IF(Charts!$B$3="none",AY268,IF(DM268="",NA(),DM268))</f>
        <v>0</v>
      </c>
      <c r="GB61">
        <f>IF(Charts!$B$3="none",AZ268,IF(DN268="",NA(),DN268))</f>
        <v>0</v>
      </c>
      <c r="GC61">
        <f>IF(Charts!$B$3="none",BA268,IF(DO268="",NA(),DO268))</f>
        <v>0</v>
      </c>
      <c r="GD61">
        <f>IF(Charts!$B$3="none",BB268,IF(DP268="",NA(),DP268))</f>
        <v>0</v>
      </c>
      <c r="GE61">
        <f>IF(Charts!$B$3="none",BC268,IF(DQ268="",NA(),DQ268))</f>
        <v>0</v>
      </c>
      <c r="GF61">
        <f>IF(Charts!$B$3="none",BD268,IF(DR268="",NA(),DR268))</f>
        <v>0</v>
      </c>
      <c r="GG61">
        <f>IF(Charts!$B$3="none",BE268,IF(DS268="",NA(),DS268))</f>
        <v>0</v>
      </c>
      <c r="GH61">
        <f>IF(Charts!$B$3="none",BF268,IF(DT268="",NA(),DT268))</f>
        <v>0</v>
      </c>
      <c r="GI61">
        <f>IF(Charts!$B$3="none",BG268,IF(DU268="",NA(),DU268))</f>
        <v>0</v>
      </c>
      <c r="GJ61">
        <f>IF(Charts!$B$3="none",BH268,IF(DV268="",NA(),DV268))</f>
        <v>0</v>
      </c>
      <c r="GK61">
        <f>IF(Charts!$B$3="none",BI268,IF(DW268="",NA(),DW268))</f>
        <v>0</v>
      </c>
      <c r="GL61">
        <f>IF(Charts!$B$3="none",BJ268,IF(DX268="",NA(),DX268))</f>
        <v>0</v>
      </c>
      <c r="GM61">
        <f>IF(Charts!$B$3="none",BK268,IF(DY268="",NA(),DY268))</f>
        <v>0</v>
      </c>
      <c r="GN61">
        <f>IF(Charts!$B$3="none",BL268,IF(DZ268="",NA(),DZ268))</f>
        <v>0</v>
      </c>
      <c r="GO61">
        <f>IF(Charts!$B$3="none",BM268,IF(EA268="",NA(),EA268))</f>
        <v>0</v>
      </c>
      <c r="GP61">
        <f>IF(Charts!$B$3="none",BN268,IF(EB268="",NA(),EB268))</f>
        <v>0</v>
      </c>
      <c r="GQ61">
        <f>IF(Charts!$B$3="none",BO268,IF(EC268="",NA(),EC268))</f>
        <v>0</v>
      </c>
      <c r="GR61">
        <f>IF(Charts!$B$3="none",BP268,IF(ED268="",NA(),ED268))</f>
        <v>0</v>
      </c>
    </row>
    <row r="62" spans="5:200">
      <c r="E62">
        <v>16</v>
      </c>
      <c r="F62">
        <f>F20</f>
        <v>0</v>
      </c>
      <c r="G62">
        <v>16</v>
      </c>
      <c r="H62">
        <f>H20</f>
        <v>0</v>
      </c>
      <c r="I62">
        <v>16</v>
      </c>
      <c r="J62">
        <f>J20</f>
        <v>0</v>
      </c>
      <c r="K62">
        <v>16</v>
      </c>
      <c r="L62">
        <f>L20</f>
        <v>0</v>
      </c>
      <c r="M62">
        <v>16</v>
      </c>
      <c r="N62">
        <f>N20</f>
        <v>0</v>
      </c>
      <c r="O62">
        <v>16</v>
      </c>
      <c r="P62">
        <f>P20</f>
        <v>0</v>
      </c>
      <c r="Q62">
        <v>16</v>
      </c>
      <c r="R62">
        <f>R20</f>
        <v>0</v>
      </c>
      <c r="S62">
        <v>16</v>
      </c>
      <c r="T62">
        <f>T20</f>
        <v>0</v>
      </c>
      <c r="U62">
        <v>16</v>
      </c>
      <c r="V62">
        <f>V20</f>
        <v>0</v>
      </c>
      <c r="W62">
        <v>16</v>
      </c>
      <c r="X62">
        <f>X20</f>
        <v>0</v>
      </c>
      <c r="Y62">
        <v>16</v>
      </c>
      <c r="Z62">
        <f>Z20</f>
        <v>0</v>
      </c>
      <c r="AA62">
        <v>16</v>
      </c>
      <c r="AB62">
        <f>AB20</f>
        <v>0</v>
      </c>
      <c r="AC62">
        <v>16</v>
      </c>
      <c r="AD62">
        <f>AD20</f>
        <v>0</v>
      </c>
      <c r="AE62">
        <v>16</v>
      </c>
      <c r="AF62">
        <f>AF20</f>
        <v>0</v>
      </c>
      <c r="AG62">
        <v>16</v>
      </c>
      <c r="AH62">
        <f>AH20</f>
        <v>0</v>
      </c>
      <c r="AI62">
        <v>16</v>
      </c>
      <c r="AJ62">
        <f>AJ20</f>
        <v>0</v>
      </c>
      <c r="AK62">
        <v>16</v>
      </c>
      <c r="AL62">
        <f>AL20</f>
        <v>0</v>
      </c>
      <c r="AM62">
        <v>16</v>
      </c>
      <c r="AN62">
        <f>AN20</f>
        <v>0</v>
      </c>
      <c r="AO62">
        <v>16</v>
      </c>
      <c r="AP62">
        <f>AP20</f>
        <v>0</v>
      </c>
      <c r="AQ62">
        <v>16</v>
      </c>
      <c r="AR62">
        <f>AR20</f>
        <v>0</v>
      </c>
      <c r="AS62">
        <v>16</v>
      </c>
      <c r="AT62">
        <f>AT20</f>
        <v>0</v>
      </c>
      <c r="AU62">
        <v>16</v>
      </c>
      <c r="AV62">
        <f>AV20</f>
        <v>0</v>
      </c>
      <c r="AW62">
        <v>16</v>
      </c>
      <c r="AX62">
        <f>AX20</f>
        <v>0</v>
      </c>
      <c r="AY62">
        <v>16</v>
      </c>
      <c r="AZ62">
        <f>AZ20</f>
        <v>0</v>
      </c>
      <c r="BA62">
        <v>16</v>
      </c>
      <c r="BB62">
        <f>BB20</f>
        <v>0</v>
      </c>
      <c r="BC62">
        <v>16</v>
      </c>
      <c r="BD62">
        <f>BD20</f>
        <v>0</v>
      </c>
      <c r="BE62">
        <v>16</v>
      </c>
      <c r="BF62">
        <f>BF20</f>
        <v>0</v>
      </c>
      <c r="BG62">
        <v>16</v>
      </c>
      <c r="BH62">
        <f>BH20</f>
        <v>0</v>
      </c>
      <c r="BI62">
        <v>16</v>
      </c>
      <c r="BJ62">
        <f>BJ20</f>
        <v>0</v>
      </c>
      <c r="BK62">
        <v>16</v>
      </c>
      <c r="BL62">
        <f>BL20</f>
        <v>0</v>
      </c>
      <c r="BM62">
        <v>16</v>
      </c>
      <c r="BN62">
        <f>BN20</f>
        <v>0</v>
      </c>
      <c r="BO62">
        <v>16</v>
      </c>
      <c r="BP62">
        <f>BP20</f>
        <v>0</v>
      </c>
      <c r="BS62">
        <v>16</v>
      </c>
      <c r="BT62">
        <f>BT20</f>
        <v>0</v>
      </c>
      <c r="BU62">
        <v>16</v>
      </c>
      <c r="BV62">
        <f>BV20</f>
        <v>0</v>
      </c>
      <c r="BW62">
        <v>16</v>
      </c>
      <c r="BX62">
        <f>BX20</f>
        <v>0</v>
      </c>
      <c r="BY62">
        <v>16</v>
      </c>
      <c r="BZ62">
        <f>BZ20</f>
        <v>0</v>
      </c>
      <c r="CA62">
        <v>16</v>
      </c>
      <c r="CB62">
        <f>CB20</f>
        <v>0</v>
      </c>
      <c r="CC62">
        <v>16</v>
      </c>
      <c r="CD62">
        <f>CD20</f>
        <v>0</v>
      </c>
      <c r="CE62">
        <v>16</v>
      </c>
      <c r="CF62">
        <f>CF20</f>
        <v>0</v>
      </c>
      <c r="CG62">
        <v>16</v>
      </c>
      <c r="CH62">
        <f>CH20</f>
        <v>0</v>
      </c>
      <c r="CI62">
        <v>16</v>
      </c>
      <c r="CJ62">
        <f>CJ20</f>
        <v>0</v>
      </c>
      <c r="CK62">
        <v>16</v>
      </c>
      <c r="CL62">
        <f>CL20</f>
        <v>0</v>
      </c>
      <c r="CM62">
        <v>16</v>
      </c>
      <c r="CN62">
        <f>CN20</f>
        <v>0</v>
      </c>
      <c r="CO62">
        <v>16</v>
      </c>
      <c r="CP62">
        <f>CP20</f>
        <v>0</v>
      </c>
      <c r="CQ62">
        <v>16</v>
      </c>
      <c r="CR62">
        <f>CR20</f>
        <v>0</v>
      </c>
      <c r="CS62">
        <v>16</v>
      </c>
      <c r="CT62">
        <f>CT20</f>
        <v>0</v>
      </c>
      <c r="CU62">
        <v>16</v>
      </c>
      <c r="CV62">
        <f>CV20</f>
        <v>0</v>
      </c>
      <c r="CW62">
        <v>16</v>
      </c>
      <c r="CX62">
        <f>CX20</f>
        <v>0</v>
      </c>
      <c r="CY62">
        <v>16</v>
      </c>
      <c r="CZ62">
        <f>CZ20</f>
        <v>0</v>
      </c>
      <c r="DA62">
        <v>16</v>
      </c>
      <c r="DB62">
        <f>DB20</f>
        <v>0</v>
      </c>
      <c r="DC62">
        <v>16</v>
      </c>
      <c r="DD62">
        <f>DD20</f>
        <v>0</v>
      </c>
      <c r="DE62">
        <v>16</v>
      </c>
      <c r="DF62">
        <f>DF20</f>
        <v>0</v>
      </c>
      <c r="DG62">
        <v>16</v>
      </c>
      <c r="DH62">
        <f>DH20</f>
        <v>0</v>
      </c>
      <c r="DI62">
        <v>16</v>
      </c>
      <c r="DJ62">
        <f>DJ20</f>
        <v>0</v>
      </c>
      <c r="DK62">
        <v>16</v>
      </c>
      <c r="DL62">
        <f>DL20</f>
        <v>0</v>
      </c>
      <c r="DM62">
        <v>16</v>
      </c>
      <c r="DN62">
        <f>DN20</f>
        <v>0</v>
      </c>
      <c r="DO62">
        <v>16</v>
      </c>
      <c r="DP62">
        <f>DP20</f>
        <v>0</v>
      </c>
      <c r="DQ62">
        <v>16</v>
      </c>
      <c r="DR62">
        <f>DR20</f>
        <v>0</v>
      </c>
      <c r="DS62">
        <v>16</v>
      </c>
      <c r="DT62">
        <f>DT20</f>
        <v>0</v>
      </c>
      <c r="DU62">
        <v>16</v>
      </c>
      <c r="DV62">
        <f>DV20</f>
        <v>0</v>
      </c>
      <c r="DW62">
        <v>16</v>
      </c>
      <c r="DX62">
        <f>DX20</f>
        <v>0</v>
      </c>
      <c r="DY62">
        <v>16</v>
      </c>
      <c r="DZ62">
        <f>DZ20</f>
        <v>0</v>
      </c>
      <c r="EA62">
        <v>16</v>
      </c>
      <c r="EB62">
        <f>EB20</f>
        <v>0</v>
      </c>
      <c r="EC62">
        <v>16</v>
      </c>
      <c r="ED62">
        <f>ED20</f>
        <v>0</v>
      </c>
      <c r="EG62">
        <f>IF(Charts!$B$3="none",E269,IF(BS269="",NA(),BS269))</f>
        <v>0</v>
      </c>
      <c r="EH62">
        <f>IF(Charts!$B$3="none",F269,IF(BT269="",NA(),BT269))</f>
        <v>0</v>
      </c>
      <c r="EI62">
        <f>IF(Charts!$B$3="none",G269,IF(BU269="",NA(),BU269))</f>
        <v>0</v>
      </c>
      <c r="EJ62">
        <f>IF(Charts!$B$3="none",H269,IF(BV269="",NA(),BV269))</f>
        <v>0</v>
      </c>
      <c r="EK62">
        <f>IF(Charts!$B$3="none",I269,IF(BW269="",NA(),BW269))</f>
        <v>0</v>
      </c>
      <c r="EL62">
        <f>IF(Charts!$B$3="none",J269,IF(BX269="",NA(),BX269))</f>
        <v>0</v>
      </c>
      <c r="EM62">
        <f>IF(Charts!$B$3="none",K269,IF(BY269="",NA(),BY269))</f>
        <v>0</v>
      </c>
      <c r="EN62">
        <f>IF(Charts!$B$3="none",L269,IF(BZ269="",NA(),BZ269))</f>
        <v>0</v>
      </c>
      <c r="EO62">
        <f>IF(Charts!$B$3="none",M269,IF(CA269="",NA(),CA269))</f>
        <v>0</v>
      </c>
      <c r="EP62">
        <f>IF(Charts!$B$3="none",N269,IF(CB269="",NA(),CB269))</f>
        <v>0</v>
      </c>
      <c r="EQ62">
        <f>IF(Charts!$B$3="none",O269,IF(CC269="",NA(),CC269))</f>
        <v>0</v>
      </c>
      <c r="ER62">
        <f>IF(Charts!$B$3="none",P269,IF(CD269="",NA(),CD269))</f>
        <v>0</v>
      </c>
      <c r="ES62">
        <f>IF(Charts!$B$3="none",Q269,IF(CE269="",NA(),CE269))</f>
        <v>0</v>
      </c>
      <c r="ET62">
        <f>IF(Charts!$B$3="none",R269,IF(CF269="",NA(),CF269))</f>
        <v>0</v>
      </c>
      <c r="EU62">
        <f>IF(Charts!$B$3="none",S269,IF(CG269="",NA(),CG269))</f>
        <v>0</v>
      </c>
      <c r="EV62">
        <f>IF(Charts!$B$3="none",T269,IF(CH269="",NA(),CH269))</f>
        <v>0</v>
      </c>
      <c r="EW62">
        <f>IF(Charts!$B$3="none",U269,IF(CI269="",NA(),CI269))</f>
        <v>0</v>
      </c>
      <c r="EX62">
        <f>IF(Charts!$B$3="none",V269,IF(CJ269="",NA(),CJ269))</f>
        <v>0</v>
      </c>
      <c r="EY62">
        <f>IF(Charts!$B$3="none",W269,IF(CK269="",NA(),CK269))</f>
        <v>0</v>
      </c>
      <c r="EZ62">
        <f>IF(Charts!$B$3="none",X269,IF(CL269="",NA(),CL269))</f>
        <v>0</v>
      </c>
      <c r="FA62">
        <f>IF(Charts!$B$3="none",Y269,IF(CM269="",NA(),CM269))</f>
        <v>0</v>
      </c>
      <c r="FB62">
        <f>IF(Charts!$B$3="none",Z269,IF(CN269="",NA(),CN269))</f>
        <v>0</v>
      </c>
      <c r="FC62">
        <f>IF(Charts!$B$3="none",AA269,IF(CO269="",NA(),CO269))</f>
        <v>0</v>
      </c>
      <c r="FD62">
        <f>IF(Charts!$B$3="none",AB269,IF(CP269="",NA(),CP269))</f>
        <v>0</v>
      </c>
      <c r="FE62">
        <f>IF(Charts!$B$3="none",AC269,IF(CQ269="",NA(),CQ269))</f>
        <v>0</v>
      </c>
      <c r="FF62">
        <f>IF(Charts!$B$3="none",AD269,IF(CR269="",NA(),CR269))</f>
        <v>0</v>
      </c>
      <c r="FG62">
        <f>IF(Charts!$B$3="none",AE269,IF(CS269="",NA(),CS269))</f>
        <v>0</v>
      </c>
      <c r="FH62">
        <f>IF(Charts!$B$3="none",AF269,IF(CT269="",NA(),CT269))</f>
        <v>0</v>
      </c>
      <c r="FI62">
        <f>IF(Charts!$B$3="none",AG269,IF(CU269="",NA(),CU269))</f>
        <v>0</v>
      </c>
      <c r="FJ62">
        <f>IF(Charts!$B$3="none",AH269,IF(CV269="",NA(),CV269))</f>
        <v>0</v>
      </c>
      <c r="FK62">
        <f>IF(Charts!$B$3="none",AI269,IF(CW269="",NA(),CW269))</f>
        <v>0</v>
      </c>
      <c r="FL62">
        <f>IF(Charts!$B$3="none",AJ269,IF(CX269="",NA(),CX269))</f>
        <v>0</v>
      </c>
      <c r="FM62">
        <f>IF(Charts!$B$3="none",AK269,IF(CY269="",NA(),CY269))</f>
        <v>0</v>
      </c>
      <c r="FN62">
        <f>IF(Charts!$B$3="none",AL269,IF(CZ269="",NA(),CZ269))</f>
        <v>0</v>
      </c>
      <c r="FO62">
        <f>IF(Charts!$B$3="none",AM269,IF(DA269="",NA(),DA269))</f>
        <v>0</v>
      </c>
      <c r="FP62">
        <f>IF(Charts!$B$3="none",AN269,IF(DB269="",NA(),DB269))</f>
        <v>0</v>
      </c>
      <c r="FQ62">
        <f>IF(Charts!$B$3="none",AO269,IF(DC269="",NA(),DC269))</f>
        <v>0</v>
      </c>
      <c r="FR62">
        <f>IF(Charts!$B$3="none",AP269,IF(DD269="",NA(),DD269))</f>
        <v>0</v>
      </c>
      <c r="FS62">
        <f>IF(Charts!$B$3="none",AQ269,IF(DE269="",NA(),DE269))</f>
        <v>0</v>
      </c>
      <c r="FT62">
        <f>IF(Charts!$B$3="none",AR269,IF(DF269="",NA(),DF269))</f>
        <v>0</v>
      </c>
      <c r="FU62">
        <f>IF(Charts!$B$3="none",AS269,IF(DG269="",NA(),DG269))</f>
        <v>0</v>
      </c>
      <c r="FV62">
        <f>IF(Charts!$B$3="none",AT269,IF(DH269="",NA(),DH269))</f>
        <v>0</v>
      </c>
      <c r="FW62">
        <f>IF(Charts!$B$3="none",AU269,IF(DI269="",NA(),DI269))</f>
        <v>0</v>
      </c>
      <c r="FX62">
        <f>IF(Charts!$B$3="none",AV269,IF(DJ269="",NA(),DJ269))</f>
        <v>0</v>
      </c>
      <c r="FY62">
        <f>IF(Charts!$B$3="none",AW269,IF(DK269="",NA(),DK269))</f>
        <v>0</v>
      </c>
      <c r="FZ62">
        <f>IF(Charts!$B$3="none",AX269,IF(DL269="",NA(),DL269))</f>
        <v>0</v>
      </c>
      <c r="GA62">
        <f>IF(Charts!$B$3="none",AY269,IF(DM269="",NA(),DM269))</f>
        <v>0</v>
      </c>
      <c r="GB62">
        <f>IF(Charts!$B$3="none",AZ269,IF(DN269="",NA(),DN269))</f>
        <v>0</v>
      </c>
      <c r="GC62">
        <f>IF(Charts!$B$3="none",BA269,IF(DO269="",NA(),DO269))</f>
        <v>0</v>
      </c>
      <c r="GD62">
        <f>IF(Charts!$B$3="none",BB269,IF(DP269="",NA(),DP269))</f>
        <v>0</v>
      </c>
      <c r="GE62">
        <f>IF(Charts!$B$3="none",BC269,IF(DQ269="",NA(),DQ269))</f>
        <v>0</v>
      </c>
      <c r="GF62">
        <f>IF(Charts!$B$3="none",BD269,IF(DR269="",NA(),DR269))</f>
        <v>0</v>
      </c>
      <c r="GG62">
        <f>IF(Charts!$B$3="none",BE269,IF(DS269="",NA(),DS269))</f>
        <v>0</v>
      </c>
      <c r="GH62">
        <f>IF(Charts!$B$3="none",BF269,IF(DT269="",NA(),DT269))</f>
        <v>0</v>
      </c>
      <c r="GI62">
        <f>IF(Charts!$B$3="none",BG269,IF(DU269="",NA(),DU269))</f>
        <v>0</v>
      </c>
      <c r="GJ62">
        <f>IF(Charts!$B$3="none",BH269,IF(DV269="",NA(),DV269))</f>
        <v>0</v>
      </c>
      <c r="GK62">
        <f>IF(Charts!$B$3="none",BI269,IF(DW269="",NA(),DW269))</f>
        <v>0</v>
      </c>
      <c r="GL62">
        <f>IF(Charts!$B$3="none",BJ269,IF(DX269="",NA(),DX269))</f>
        <v>0</v>
      </c>
      <c r="GM62">
        <f>IF(Charts!$B$3="none",BK269,IF(DY269="",NA(),DY269))</f>
        <v>0</v>
      </c>
      <c r="GN62">
        <f>IF(Charts!$B$3="none",BL269,IF(DZ269="",NA(),DZ269))</f>
        <v>0</v>
      </c>
      <c r="GO62">
        <f>IF(Charts!$B$3="none",BM269,IF(EA269="",NA(),EA269))</f>
        <v>0</v>
      </c>
      <c r="GP62">
        <f>IF(Charts!$B$3="none",BN269,IF(EB269="",NA(),EB269))</f>
        <v>0</v>
      </c>
      <c r="GQ62">
        <f>IF(Charts!$B$3="none",BO269,IF(EC269="",NA(),EC269))</f>
        <v>0</v>
      </c>
      <c r="GR62">
        <f>IF(Charts!$B$3="none",BP269,IF(ED269="",NA(),ED269))</f>
        <v>0</v>
      </c>
    </row>
    <row r="63" spans="5:200">
      <c r="E63">
        <v>17</v>
      </c>
      <c r="F63">
        <f>F21</f>
        <v>0</v>
      </c>
      <c r="G63">
        <v>17</v>
      </c>
      <c r="H63">
        <f>H21</f>
        <v>0</v>
      </c>
      <c r="I63">
        <v>17</v>
      </c>
      <c r="J63">
        <f>J21</f>
        <v>0</v>
      </c>
      <c r="K63">
        <v>17</v>
      </c>
      <c r="L63">
        <f>L21</f>
        <v>0</v>
      </c>
      <c r="M63">
        <v>17</v>
      </c>
      <c r="N63">
        <f>N21</f>
        <v>0</v>
      </c>
      <c r="O63">
        <v>17</v>
      </c>
      <c r="P63">
        <f>P21</f>
        <v>0</v>
      </c>
      <c r="Q63">
        <v>17</v>
      </c>
      <c r="R63">
        <f>R21</f>
        <v>0</v>
      </c>
      <c r="S63">
        <v>17</v>
      </c>
      <c r="T63">
        <f>T21</f>
        <v>0</v>
      </c>
      <c r="U63">
        <v>17</v>
      </c>
      <c r="V63">
        <f>V21</f>
        <v>0</v>
      </c>
      <c r="W63">
        <v>17</v>
      </c>
      <c r="X63">
        <f>X21</f>
        <v>0</v>
      </c>
      <c r="Y63">
        <v>17</v>
      </c>
      <c r="Z63">
        <f>Z21</f>
        <v>0</v>
      </c>
      <c r="AA63">
        <v>17</v>
      </c>
      <c r="AB63">
        <f>AB21</f>
        <v>0</v>
      </c>
      <c r="AC63">
        <v>17</v>
      </c>
      <c r="AD63">
        <f>AD21</f>
        <v>0</v>
      </c>
      <c r="AE63">
        <v>17</v>
      </c>
      <c r="AF63">
        <f>AF21</f>
        <v>0</v>
      </c>
      <c r="AG63">
        <v>17</v>
      </c>
      <c r="AH63">
        <f>AH21</f>
        <v>0</v>
      </c>
      <c r="AI63">
        <v>17</v>
      </c>
      <c r="AJ63">
        <f>AJ21</f>
        <v>0</v>
      </c>
      <c r="AK63">
        <v>17</v>
      </c>
      <c r="AL63">
        <f>AL21</f>
        <v>0</v>
      </c>
      <c r="AM63">
        <v>17</v>
      </c>
      <c r="AN63">
        <f>AN21</f>
        <v>0</v>
      </c>
      <c r="AO63">
        <v>17</v>
      </c>
      <c r="AP63">
        <f>AP21</f>
        <v>0</v>
      </c>
      <c r="AQ63">
        <v>17</v>
      </c>
      <c r="AR63">
        <f>AR21</f>
        <v>0</v>
      </c>
      <c r="AS63">
        <v>17</v>
      </c>
      <c r="AT63">
        <f>AT21</f>
        <v>0</v>
      </c>
      <c r="AU63">
        <v>17</v>
      </c>
      <c r="AV63">
        <f>AV21</f>
        <v>0</v>
      </c>
      <c r="AW63">
        <v>17</v>
      </c>
      <c r="AX63">
        <f>AX21</f>
        <v>0</v>
      </c>
      <c r="AY63">
        <v>17</v>
      </c>
      <c r="AZ63">
        <f>AZ21</f>
        <v>0</v>
      </c>
      <c r="BA63">
        <v>17</v>
      </c>
      <c r="BB63">
        <f>BB21</f>
        <v>0</v>
      </c>
      <c r="BC63">
        <v>17</v>
      </c>
      <c r="BD63">
        <f>BD21</f>
        <v>0</v>
      </c>
      <c r="BE63">
        <v>17</v>
      </c>
      <c r="BF63">
        <f>BF21</f>
        <v>0</v>
      </c>
      <c r="BG63">
        <v>17</v>
      </c>
      <c r="BH63">
        <f>BH21</f>
        <v>0</v>
      </c>
      <c r="BI63">
        <v>17</v>
      </c>
      <c r="BJ63">
        <f>BJ21</f>
        <v>0</v>
      </c>
      <c r="BK63">
        <v>17</v>
      </c>
      <c r="BL63">
        <f>BL21</f>
        <v>0</v>
      </c>
      <c r="BM63">
        <v>17</v>
      </c>
      <c r="BN63">
        <f>BN21</f>
        <v>0</v>
      </c>
      <c r="BO63">
        <v>17</v>
      </c>
      <c r="BP63">
        <f>BP21</f>
        <v>0</v>
      </c>
      <c r="BS63">
        <v>17</v>
      </c>
      <c r="BT63">
        <f>BT21</f>
        <v>0</v>
      </c>
      <c r="BU63">
        <v>17</v>
      </c>
      <c r="BV63">
        <f>BV21</f>
        <v>0</v>
      </c>
      <c r="BW63">
        <v>17</v>
      </c>
      <c r="BX63">
        <f>BX21</f>
        <v>0</v>
      </c>
      <c r="BY63">
        <v>17</v>
      </c>
      <c r="BZ63">
        <f>BZ21</f>
        <v>0</v>
      </c>
      <c r="CA63">
        <v>17</v>
      </c>
      <c r="CB63">
        <f>CB21</f>
        <v>0</v>
      </c>
      <c r="CC63">
        <v>17</v>
      </c>
      <c r="CD63">
        <f>CD21</f>
        <v>0</v>
      </c>
      <c r="CE63">
        <v>17</v>
      </c>
      <c r="CF63">
        <f>CF21</f>
        <v>0</v>
      </c>
      <c r="CG63">
        <v>17</v>
      </c>
      <c r="CH63">
        <f>CH21</f>
        <v>0</v>
      </c>
      <c r="CI63">
        <v>17</v>
      </c>
      <c r="CJ63">
        <f>CJ21</f>
        <v>0</v>
      </c>
      <c r="CK63">
        <v>17</v>
      </c>
      <c r="CL63">
        <f>CL21</f>
        <v>0</v>
      </c>
      <c r="CM63">
        <v>17</v>
      </c>
      <c r="CN63">
        <f>CN21</f>
        <v>0</v>
      </c>
      <c r="CO63">
        <v>17</v>
      </c>
      <c r="CP63">
        <f>CP21</f>
        <v>0</v>
      </c>
      <c r="CQ63">
        <v>17</v>
      </c>
      <c r="CR63">
        <f>CR21</f>
        <v>0</v>
      </c>
      <c r="CS63">
        <v>17</v>
      </c>
      <c r="CT63">
        <f>CT21</f>
        <v>0</v>
      </c>
      <c r="CU63">
        <v>17</v>
      </c>
      <c r="CV63">
        <f>CV21</f>
        <v>0</v>
      </c>
      <c r="CW63">
        <v>17</v>
      </c>
      <c r="CX63">
        <f>CX21</f>
        <v>0</v>
      </c>
      <c r="CY63">
        <v>17</v>
      </c>
      <c r="CZ63">
        <f>CZ21</f>
        <v>0</v>
      </c>
      <c r="DA63">
        <v>17</v>
      </c>
      <c r="DB63">
        <f>DB21</f>
        <v>0</v>
      </c>
      <c r="DC63">
        <v>17</v>
      </c>
      <c r="DD63">
        <f>DD21</f>
        <v>0</v>
      </c>
      <c r="DE63">
        <v>17</v>
      </c>
      <c r="DF63">
        <f>DF21</f>
        <v>0</v>
      </c>
      <c r="DG63">
        <v>17</v>
      </c>
      <c r="DH63">
        <f>DH21</f>
        <v>0</v>
      </c>
      <c r="DI63">
        <v>17</v>
      </c>
      <c r="DJ63">
        <f>DJ21</f>
        <v>0</v>
      </c>
      <c r="DK63">
        <v>17</v>
      </c>
      <c r="DL63">
        <f>DL21</f>
        <v>0</v>
      </c>
      <c r="DM63">
        <v>17</v>
      </c>
      <c r="DN63">
        <f>DN21</f>
        <v>0</v>
      </c>
      <c r="DO63">
        <v>17</v>
      </c>
      <c r="DP63">
        <f>DP21</f>
        <v>0</v>
      </c>
      <c r="DQ63">
        <v>17</v>
      </c>
      <c r="DR63">
        <f>DR21</f>
        <v>0</v>
      </c>
      <c r="DS63">
        <v>17</v>
      </c>
      <c r="DT63">
        <f>DT21</f>
        <v>0</v>
      </c>
      <c r="DU63">
        <v>17</v>
      </c>
      <c r="DV63">
        <f>DV21</f>
        <v>0</v>
      </c>
      <c r="DW63">
        <v>17</v>
      </c>
      <c r="DX63">
        <f>DX21</f>
        <v>0</v>
      </c>
      <c r="DY63">
        <v>17</v>
      </c>
      <c r="DZ63">
        <f>DZ21</f>
        <v>0</v>
      </c>
      <c r="EA63">
        <v>17</v>
      </c>
      <c r="EB63">
        <f>EB21</f>
        <v>0</v>
      </c>
      <c r="EC63">
        <v>17</v>
      </c>
      <c r="ED63">
        <f>ED21</f>
        <v>0</v>
      </c>
      <c r="EG63">
        <f>IF(Charts!$B$3="none",E270,IF(BS270="",NA(),BS270))</f>
        <v>0</v>
      </c>
      <c r="EH63">
        <f>IF(Charts!$B$3="none",F270,IF(BT270="",NA(),BT270))</f>
        <v>0</v>
      </c>
      <c r="EI63">
        <f>IF(Charts!$B$3="none",G270,IF(BU270="",NA(),BU270))</f>
        <v>0</v>
      </c>
      <c r="EJ63">
        <f>IF(Charts!$B$3="none",H270,IF(BV270="",NA(),BV270))</f>
        <v>0</v>
      </c>
      <c r="EK63">
        <f>IF(Charts!$B$3="none",I270,IF(BW270="",NA(),BW270))</f>
        <v>0</v>
      </c>
      <c r="EL63">
        <f>IF(Charts!$B$3="none",J270,IF(BX270="",NA(),BX270))</f>
        <v>0</v>
      </c>
      <c r="EM63">
        <f>IF(Charts!$B$3="none",K270,IF(BY270="",NA(),BY270))</f>
        <v>0</v>
      </c>
      <c r="EN63">
        <f>IF(Charts!$B$3="none",L270,IF(BZ270="",NA(),BZ270))</f>
        <v>0</v>
      </c>
      <c r="EO63">
        <f>IF(Charts!$B$3="none",M270,IF(CA270="",NA(),CA270))</f>
        <v>0</v>
      </c>
      <c r="EP63">
        <f>IF(Charts!$B$3="none",N270,IF(CB270="",NA(),CB270))</f>
        <v>0</v>
      </c>
      <c r="EQ63">
        <f>IF(Charts!$B$3="none",O270,IF(CC270="",NA(),CC270))</f>
        <v>0</v>
      </c>
      <c r="ER63">
        <f>IF(Charts!$B$3="none",P270,IF(CD270="",NA(),CD270))</f>
        <v>0</v>
      </c>
      <c r="ES63">
        <f>IF(Charts!$B$3="none",Q270,IF(CE270="",NA(),CE270))</f>
        <v>0</v>
      </c>
      <c r="ET63">
        <f>IF(Charts!$B$3="none",R270,IF(CF270="",NA(),CF270))</f>
        <v>0</v>
      </c>
      <c r="EU63">
        <f>IF(Charts!$B$3="none",S270,IF(CG270="",NA(),CG270))</f>
        <v>0</v>
      </c>
      <c r="EV63">
        <f>IF(Charts!$B$3="none",T270,IF(CH270="",NA(),CH270))</f>
        <v>0</v>
      </c>
      <c r="EW63">
        <f>IF(Charts!$B$3="none",U270,IF(CI270="",NA(),CI270))</f>
        <v>0</v>
      </c>
      <c r="EX63">
        <f>IF(Charts!$B$3="none",V270,IF(CJ270="",NA(),CJ270))</f>
        <v>0</v>
      </c>
      <c r="EY63">
        <f>IF(Charts!$B$3="none",W270,IF(CK270="",NA(),CK270))</f>
        <v>0</v>
      </c>
      <c r="EZ63">
        <f>IF(Charts!$B$3="none",X270,IF(CL270="",NA(),CL270))</f>
        <v>0</v>
      </c>
      <c r="FA63">
        <f>IF(Charts!$B$3="none",Y270,IF(CM270="",NA(),CM270))</f>
        <v>0</v>
      </c>
      <c r="FB63">
        <f>IF(Charts!$B$3="none",Z270,IF(CN270="",NA(),CN270))</f>
        <v>0</v>
      </c>
      <c r="FC63">
        <f>IF(Charts!$B$3="none",AA270,IF(CO270="",NA(),CO270))</f>
        <v>0</v>
      </c>
      <c r="FD63">
        <f>IF(Charts!$B$3="none",AB270,IF(CP270="",NA(),CP270))</f>
        <v>0</v>
      </c>
      <c r="FE63">
        <f>IF(Charts!$B$3="none",AC270,IF(CQ270="",NA(),CQ270))</f>
        <v>0</v>
      </c>
      <c r="FF63">
        <f>IF(Charts!$B$3="none",AD270,IF(CR270="",NA(),CR270))</f>
        <v>0</v>
      </c>
      <c r="FG63">
        <f>IF(Charts!$B$3="none",AE270,IF(CS270="",NA(),CS270))</f>
        <v>0</v>
      </c>
      <c r="FH63">
        <f>IF(Charts!$B$3="none",AF270,IF(CT270="",NA(),CT270))</f>
        <v>0</v>
      </c>
      <c r="FI63">
        <f>IF(Charts!$B$3="none",AG270,IF(CU270="",NA(),CU270))</f>
        <v>0</v>
      </c>
      <c r="FJ63">
        <f>IF(Charts!$B$3="none",AH270,IF(CV270="",NA(),CV270))</f>
        <v>0</v>
      </c>
      <c r="FK63">
        <f>IF(Charts!$B$3="none",AI270,IF(CW270="",NA(),CW270))</f>
        <v>0</v>
      </c>
      <c r="FL63">
        <f>IF(Charts!$B$3="none",AJ270,IF(CX270="",NA(),CX270))</f>
        <v>0</v>
      </c>
      <c r="FM63">
        <f>IF(Charts!$B$3="none",AK270,IF(CY270="",NA(),CY270))</f>
        <v>0</v>
      </c>
      <c r="FN63">
        <f>IF(Charts!$B$3="none",AL270,IF(CZ270="",NA(),CZ270))</f>
        <v>0</v>
      </c>
      <c r="FO63">
        <f>IF(Charts!$B$3="none",AM270,IF(DA270="",NA(),DA270))</f>
        <v>0</v>
      </c>
      <c r="FP63">
        <f>IF(Charts!$B$3="none",AN270,IF(DB270="",NA(),DB270))</f>
        <v>0</v>
      </c>
      <c r="FQ63">
        <f>IF(Charts!$B$3="none",AO270,IF(DC270="",NA(),DC270))</f>
        <v>0</v>
      </c>
      <c r="FR63">
        <f>IF(Charts!$B$3="none",AP270,IF(DD270="",NA(),DD270))</f>
        <v>0</v>
      </c>
      <c r="FS63">
        <f>IF(Charts!$B$3="none",AQ270,IF(DE270="",NA(),DE270))</f>
        <v>0</v>
      </c>
      <c r="FT63">
        <f>IF(Charts!$B$3="none",AR270,IF(DF270="",NA(),DF270))</f>
        <v>0</v>
      </c>
      <c r="FU63">
        <f>IF(Charts!$B$3="none",AS270,IF(DG270="",NA(),DG270))</f>
        <v>0</v>
      </c>
      <c r="FV63">
        <f>IF(Charts!$B$3="none",AT270,IF(DH270="",NA(),DH270))</f>
        <v>0</v>
      </c>
      <c r="FW63">
        <f>IF(Charts!$B$3="none",AU270,IF(DI270="",NA(),DI270))</f>
        <v>0</v>
      </c>
      <c r="FX63">
        <f>IF(Charts!$B$3="none",AV270,IF(DJ270="",NA(),DJ270))</f>
        <v>0</v>
      </c>
      <c r="FY63">
        <f>IF(Charts!$B$3="none",AW270,IF(DK270="",NA(),DK270))</f>
        <v>0</v>
      </c>
      <c r="FZ63">
        <f>IF(Charts!$B$3="none",AX270,IF(DL270="",NA(),DL270))</f>
        <v>0</v>
      </c>
      <c r="GA63">
        <f>IF(Charts!$B$3="none",AY270,IF(DM270="",NA(),DM270))</f>
        <v>0</v>
      </c>
      <c r="GB63">
        <f>IF(Charts!$B$3="none",AZ270,IF(DN270="",NA(),DN270))</f>
        <v>0</v>
      </c>
      <c r="GC63">
        <f>IF(Charts!$B$3="none",BA270,IF(DO270="",NA(),DO270))</f>
        <v>0</v>
      </c>
      <c r="GD63">
        <f>IF(Charts!$B$3="none",BB270,IF(DP270="",NA(),DP270))</f>
        <v>0</v>
      </c>
      <c r="GE63">
        <f>IF(Charts!$B$3="none",BC270,IF(DQ270="",NA(),DQ270))</f>
        <v>0</v>
      </c>
      <c r="GF63">
        <f>IF(Charts!$B$3="none",BD270,IF(DR270="",NA(),DR270))</f>
        <v>0</v>
      </c>
      <c r="GG63">
        <f>IF(Charts!$B$3="none",BE270,IF(DS270="",NA(),DS270))</f>
        <v>0</v>
      </c>
      <c r="GH63">
        <f>IF(Charts!$B$3="none",BF270,IF(DT270="",NA(),DT270))</f>
        <v>0</v>
      </c>
      <c r="GI63">
        <f>IF(Charts!$B$3="none",BG270,IF(DU270="",NA(),DU270))</f>
        <v>0</v>
      </c>
      <c r="GJ63">
        <f>IF(Charts!$B$3="none",BH270,IF(DV270="",NA(),DV270))</f>
        <v>0</v>
      </c>
      <c r="GK63">
        <f>IF(Charts!$B$3="none",BI270,IF(DW270="",NA(),DW270))</f>
        <v>0</v>
      </c>
      <c r="GL63">
        <f>IF(Charts!$B$3="none",BJ270,IF(DX270="",NA(),DX270))</f>
        <v>0</v>
      </c>
      <c r="GM63">
        <f>IF(Charts!$B$3="none",BK270,IF(DY270="",NA(),DY270))</f>
        <v>0</v>
      </c>
      <c r="GN63">
        <f>IF(Charts!$B$3="none",BL270,IF(DZ270="",NA(),DZ270))</f>
        <v>0</v>
      </c>
      <c r="GO63">
        <f>IF(Charts!$B$3="none",BM270,IF(EA270="",NA(),EA270))</f>
        <v>0</v>
      </c>
      <c r="GP63">
        <f>IF(Charts!$B$3="none",BN270,IF(EB270="",NA(),EB270))</f>
        <v>0</v>
      </c>
      <c r="GQ63">
        <f>IF(Charts!$B$3="none",BO270,IF(EC270="",NA(),EC270))</f>
        <v>0</v>
      </c>
      <c r="GR63">
        <f>IF(Charts!$B$3="none",BP270,IF(ED270="",NA(),ED270))</f>
        <v>0</v>
      </c>
    </row>
    <row r="64" spans="5:200">
      <c r="E64">
        <v>18</v>
      </c>
      <c r="F64">
        <f>F22</f>
        <v>0</v>
      </c>
      <c r="G64">
        <v>18</v>
      </c>
      <c r="H64">
        <f>H22</f>
        <v>0</v>
      </c>
      <c r="I64">
        <v>18</v>
      </c>
      <c r="J64">
        <f>J22</f>
        <v>0</v>
      </c>
      <c r="K64">
        <v>18</v>
      </c>
      <c r="L64">
        <f>L22</f>
        <v>0</v>
      </c>
      <c r="M64">
        <v>18</v>
      </c>
      <c r="N64">
        <f>N22</f>
        <v>0</v>
      </c>
      <c r="O64">
        <v>18</v>
      </c>
      <c r="P64">
        <f>P22</f>
        <v>0</v>
      </c>
      <c r="Q64">
        <v>18</v>
      </c>
      <c r="R64">
        <f>R22</f>
        <v>0</v>
      </c>
      <c r="S64">
        <v>18</v>
      </c>
      <c r="T64">
        <f>T22</f>
        <v>0</v>
      </c>
      <c r="U64">
        <v>18</v>
      </c>
      <c r="V64">
        <f>V22</f>
        <v>0</v>
      </c>
      <c r="W64">
        <v>18</v>
      </c>
      <c r="X64">
        <f>X22</f>
        <v>0</v>
      </c>
      <c r="Y64">
        <v>18</v>
      </c>
      <c r="Z64">
        <f>Z22</f>
        <v>0</v>
      </c>
      <c r="AA64">
        <v>18</v>
      </c>
      <c r="AB64">
        <f>AB22</f>
        <v>0</v>
      </c>
      <c r="AC64">
        <v>18</v>
      </c>
      <c r="AD64">
        <f>AD22</f>
        <v>0</v>
      </c>
      <c r="AE64">
        <v>18</v>
      </c>
      <c r="AF64">
        <f>AF22</f>
        <v>0</v>
      </c>
      <c r="AG64">
        <v>18</v>
      </c>
      <c r="AH64">
        <f>AH22</f>
        <v>0</v>
      </c>
      <c r="AI64">
        <v>18</v>
      </c>
      <c r="AJ64">
        <f>AJ22</f>
        <v>0</v>
      </c>
      <c r="AK64">
        <v>18</v>
      </c>
      <c r="AL64">
        <f>AL22</f>
        <v>0</v>
      </c>
      <c r="AM64">
        <v>18</v>
      </c>
      <c r="AN64">
        <f>AN22</f>
        <v>0</v>
      </c>
      <c r="AO64">
        <v>18</v>
      </c>
      <c r="AP64">
        <f>AP22</f>
        <v>0</v>
      </c>
      <c r="AQ64">
        <v>18</v>
      </c>
      <c r="AR64">
        <f>AR22</f>
        <v>0</v>
      </c>
      <c r="AS64">
        <v>18</v>
      </c>
      <c r="AT64">
        <f>AT22</f>
        <v>0</v>
      </c>
      <c r="AU64">
        <v>18</v>
      </c>
      <c r="AV64">
        <f>AV22</f>
        <v>0</v>
      </c>
      <c r="AW64">
        <v>18</v>
      </c>
      <c r="AX64">
        <f>AX22</f>
        <v>0</v>
      </c>
      <c r="AY64">
        <v>18</v>
      </c>
      <c r="AZ64">
        <f>AZ22</f>
        <v>0</v>
      </c>
      <c r="BA64">
        <v>18</v>
      </c>
      <c r="BB64">
        <f>BB22</f>
        <v>0</v>
      </c>
      <c r="BC64">
        <v>18</v>
      </c>
      <c r="BD64">
        <f>BD22</f>
        <v>0</v>
      </c>
      <c r="BE64">
        <v>18</v>
      </c>
      <c r="BF64">
        <f>BF22</f>
        <v>0</v>
      </c>
      <c r="BG64">
        <v>18</v>
      </c>
      <c r="BH64">
        <f>BH22</f>
        <v>0</v>
      </c>
      <c r="BI64">
        <v>18</v>
      </c>
      <c r="BJ64">
        <f>BJ22</f>
        <v>0</v>
      </c>
      <c r="BK64">
        <v>18</v>
      </c>
      <c r="BL64">
        <f>BL22</f>
        <v>0</v>
      </c>
      <c r="BM64">
        <v>18</v>
      </c>
      <c r="BN64">
        <f>BN22</f>
        <v>0</v>
      </c>
      <c r="BO64">
        <v>18</v>
      </c>
      <c r="BP64">
        <f>BP22</f>
        <v>0</v>
      </c>
      <c r="BS64">
        <v>18</v>
      </c>
      <c r="BT64">
        <f>BT22</f>
        <v>0</v>
      </c>
      <c r="BU64">
        <v>18</v>
      </c>
      <c r="BV64">
        <f>BV22</f>
        <v>0</v>
      </c>
      <c r="BW64">
        <v>18</v>
      </c>
      <c r="BX64">
        <f>BX22</f>
        <v>0</v>
      </c>
      <c r="BY64">
        <v>18</v>
      </c>
      <c r="BZ64">
        <f>BZ22</f>
        <v>0</v>
      </c>
      <c r="CA64">
        <v>18</v>
      </c>
      <c r="CB64">
        <f>CB22</f>
        <v>0</v>
      </c>
      <c r="CC64">
        <v>18</v>
      </c>
      <c r="CD64">
        <f>CD22</f>
        <v>0</v>
      </c>
      <c r="CE64">
        <v>18</v>
      </c>
      <c r="CF64">
        <f>CF22</f>
        <v>0</v>
      </c>
      <c r="CG64">
        <v>18</v>
      </c>
      <c r="CH64">
        <f>CH22</f>
        <v>0</v>
      </c>
      <c r="CI64">
        <v>18</v>
      </c>
      <c r="CJ64">
        <f>CJ22</f>
        <v>0</v>
      </c>
      <c r="CK64">
        <v>18</v>
      </c>
      <c r="CL64">
        <f>CL22</f>
        <v>0</v>
      </c>
      <c r="CM64">
        <v>18</v>
      </c>
      <c r="CN64">
        <f>CN22</f>
        <v>0</v>
      </c>
      <c r="CO64">
        <v>18</v>
      </c>
      <c r="CP64">
        <f>CP22</f>
        <v>0</v>
      </c>
      <c r="CQ64">
        <v>18</v>
      </c>
      <c r="CR64">
        <f>CR22</f>
        <v>0</v>
      </c>
      <c r="CS64">
        <v>18</v>
      </c>
      <c r="CT64">
        <f>CT22</f>
        <v>0</v>
      </c>
      <c r="CU64">
        <v>18</v>
      </c>
      <c r="CV64">
        <f>CV22</f>
        <v>0</v>
      </c>
      <c r="CW64">
        <v>18</v>
      </c>
      <c r="CX64">
        <f>CX22</f>
        <v>0</v>
      </c>
      <c r="CY64">
        <v>18</v>
      </c>
      <c r="CZ64">
        <f>CZ22</f>
        <v>0</v>
      </c>
      <c r="DA64">
        <v>18</v>
      </c>
      <c r="DB64">
        <f>DB22</f>
        <v>0</v>
      </c>
      <c r="DC64">
        <v>18</v>
      </c>
      <c r="DD64">
        <f>DD22</f>
        <v>0</v>
      </c>
      <c r="DE64">
        <v>18</v>
      </c>
      <c r="DF64">
        <f>DF22</f>
        <v>0</v>
      </c>
      <c r="DG64">
        <v>18</v>
      </c>
      <c r="DH64">
        <f>DH22</f>
        <v>0</v>
      </c>
      <c r="DI64">
        <v>18</v>
      </c>
      <c r="DJ64">
        <f>DJ22</f>
        <v>0</v>
      </c>
      <c r="DK64">
        <v>18</v>
      </c>
      <c r="DL64">
        <f>DL22</f>
        <v>0</v>
      </c>
      <c r="DM64">
        <v>18</v>
      </c>
      <c r="DN64">
        <f>DN22</f>
        <v>0</v>
      </c>
      <c r="DO64">
        <v>18</v>
      </c>
      <c r="DP64">
        <f>DP22</f>
        <v>0</v>
      </c>
      <c r="DQ64">
        <v>18</v>
      </c>
      <c r="DR64">
        <f>DR22</f>
        <v>0</v>
      </c>
      <c r="DS64">
        <v>18</v>
      </c>
      <c r="DT64">
        <f>DT22</f>
        <v>0</v>
      </c>
      <c r="DU64">
        <v>18</v>
      </c>
      <c r="DV64">
        <f>DV22</f>
        <v>0</v>
      </c>
      <c r="DW64">
        <v>18</v>
      </c>
      <c r="DX64">
        <f>DX22</f>
        <v>0</v>
      </c>
      <c r="DY64">
        <v>18</v>
      </c>
      <c r="DZ64">
        <f>DZ22</f>
        <v>0</v>
      </c>
      <c r="EA64">
        <v>18</v>
      </c>
      <c r="EB64">
        <f>EB22</f>
        <v>0</v>
      </c>
      <c r="EC64">
        <v>18</v>
      </c>
      <c r="ED64">
        <f>ED22</f>
        <v>0</v>
      </c>
      <c r="EG64">
        <f>IF(Charts!$B$3="none",E271,IF(BS271="",NA(),BS271))</f>
        <v>0</v>
      </c>
      <c r="EH64">
        <f>IF(Charts!$B$3="none",F271,IF(BT271="",NA(),BT271))</f>
        <v>0</v>
      </c>
      <c r="EI64">
        <f>IF(Charts!$B$3="none",G271,IF(BU271="",NA(),BU271))</f>
        <v>0</v>
      </c>
      <c r="EJ64">
        <f>IF(Charts!$B$3="none",H271,IF(BV271="",NA(),BV271))</f>
        <v>0</v>
      </c>
      <c r="EK64">
        <f>IF(Charts!$B$3="none",I271,IF(BW271="",NA(),BW271))</f>
        <v>0</v>
      </c>
      <c r="EL64">
        <f>IF(Charts!$B$3="none",J271,IF(BX271="",NA(),BX271))</f>
        <v>0</v>
      </c>
      <c r="EM64">
        <f>IF(Charts!$B$3="none",K271,IF(BY271="",NA(),BY271))</f>
        <v>0</v>
      </c>
      <c r="EN64">
        <f>IF(Charts!$B$3="none",L271,IF(BZ271="",NA(),BZ271))</f>
        <v>0</v>
      </c>
      <c r="EO64">
        <f>IF(Charts!$B$3="none",M271,IF(CA271="",NA(),CA271))</f>
        <v>0</v>
      </c>
      <c r="EP64">
        <f>IF(Charts!$B$3="none",N271,IF(CB271="",NA(),CB271))</f>
        <v>0</v>
      </c>
      <c r="EQ64">
        <f>IF(Charts!$B$3="none",O271,IF(CC271="",NA(),CC271))</f>
        <v>0</v>
      </c>
      <c r="ER64">
        <f>IF(Charts!$B$3="none",P271,IF(CD271="",NA(),CD271))</f>
        <v>0</v>
      </c>
      <c r="ES64">
        <f>IF(Charts!$B$3="none",Q271,IF(CE271="",NA(),CE271))</f>
        <v>0</v>
      </c>
      <c r="ET64">
        <f>IF(Charts!$B$3="none",R271,IF(CF271="",NA(),CF271))</f>
        <v>0</v>
      </c>
      <c r="EU64">
        <f>IF(Charts!$B$3="none",S271,IF(CG271="",NA(),CG271))</f>
        <v>0</v>
      </c>
      <c r="EV64">
        <f>IF(Charts!$B$3="none",T271,IF(CH271="",NA(),CH271))</f>
        <v>0</v>
      </c>
      <c r="EW64">
        <f>IF(Charts!$B$3="none",U271,IF(CI271="",NA(),CI271))</f>
        <v>0</v>
      </c>
      <c r="EX64">
        <f>IF(Charts!$B$3="none",V271,IF(CJ271="",NA(),CJ271))</f>
        <v>0</v>
      </c>
      <c r="EY64">
        <f>IF(Charts!$B$3="none",W271,IF(CK271="",NA(),CK271))</f>
        <v>0</v>
      </c>
      <c r="EZ64">
        <f>IF(Charts!$B$3="none",X271,IF(CL271="",NA(),CL271))</f>
        <v>0</v>
      </c>
      <c r="FA64">
        <f>IF(Charts!$B$3="none",Y271,IF(CM271="",NA(),CM271))</f>
        <v>0</v>
      </c>
      <c r="FB64">
        <f>IF(Charts!$B$3="none",Z271,IF(CN271="",NA(),CN271))</f>
        <v>0</v>
      </c>
      <c r="FC64">
        <f>IF(Charts!$B$3="none",AA271,IF(CO271="",NA(),CO271))</f>
        <v>0</v>
      </c>
      <c r="FD64">
        <f>IF(Charts!$B$3="none",AB271,IF(CP271="",NA(),CP271))</f>
        <v>0</v>
      </c>
      <c r="FE64">
        <f>IF(Charts!$B$3="none",AC271,IF(CQ271="",NA(),CQ271))</f>
        <v>0</v>
      </c>
      <c r="FF64">
        <f>IF(Charts!$B$3="none",AD271,IF(CR271="",NA(),CR271))</f>
        <v>0</v>
      </c>
      <c r="FG64">
        <f>IF(Charts!$B$3="none",AE271,IF(CS271="",NA(),CS271))</f>
        <v>0</v>
      </c>
      <c r="FH64">
        <f>IF(Charts!$B$3="none",AF271,IF(CT271="",NA(),CT271))</f>
        <v>0</v>
      </c>
      <c r="FI64">
        <f>IF(Charts!$B$3="none",AG271,IF(CU271="",NA(),CU271))</f>
        <v>0</v>
      </c>
      <c r="FJ64">
        <f>IF(Charts!$B$3="none",AH271,IF(CV271="",NA(),CV271))</f>
        <v>0</v>
      </c>
      <c r="FK64">
        <f>IF(Charts!$B$3="none",AI271,IF(CW271="",NA(),CW271))</f>
        <v>0</v>
      </c>
      <c r="FL64">
        <f>IF(Charts!$B$3="none",AJ271,IF(CX271="",NA(),CX271))</f>
        <v>0</v>
      </c>
      <c r="FM64">
        <f>IF(Charts!$B$3="none",AK271,IF(CY271="",NA(),CY271))</f>
        <v>0</v>
      </c>
      <c r="FN64">
        <f>IF(Charts!$B$3="none",AL271,IF(CZ271="",NA(),CZ271))</f>
        <v>0</v>
      </c>
      <c r="FO64">
        <f>IF(Charts!$B$3="none",AM271,IF(DA271="",NA(),DA271))</f>
        <v>0</v>
      </c>
      <c r="FP64">
        <f>IF(Charts!$B$3="none",AN271,IF(DB271="",NA(),DB271))</f>
        <v>0</v>
      </c>
      <c r="FQ64">
        <f>IF(Charts!$B$3="none",AO271,IF(DC271="",NA(),DC271))</f>
        <v>0</v>
      </c>
      <c r="FR64">
        <f>IF(Charts!$B$3="none",AP271,IF(DD271="",NA(),DD271))</f>
        <v>0</v>
      </c>
      <c r="FS64">
        <f>IF(Charts!$B$3="none",AQ271,IF(DE271="",NA(),DE271))</f>
        <v>0</v>
      </c>
      <c r="FT64">
        <f>IF(Charts!$B$3="none",AR271,IF(DF271="",NA(),DF271))</f>
        <v>0</v>
      </c>
      <c r="FU64">
        <f>IF(Charts!$B$3="none",AS271,IF(DG271="",NA(),DG271))</f>
        <v>0</v>
      </c>
      <c r="FV64">
        <f>IF(Charts!$B$3="none",AT271,IF(DH271="",NA(),DH271))</f>
        <v>0</v>
      </c>
      <c r="FW64">
        <f>IF(Charts!$B$3="none",AU271,IF(DI271="",NA(),DI271))</f>
        <v>0</v>
      </c>
      <c r="FX64">
        <f>IF(Charts!$B$3="none",AV271,IF(DJ271="",NA(),DJ271))</f>
        <v>0</v>
      </c>
      <c r="FY64">
        <f>IF(Charts!$B$3="none",AW271,IF(DK271="",NA(),DK271))</f>
        <v>0</v>
      </c>
      <c r="FZ64">
        <f>IF(Charts!$B$3="none",AX271,IF(DL271="",NA(),DL271))</f>
        <v>0</v>
      </c>
      <c r="GA64">
        <f>IF(Charts!$B$3="none",AY271,IF(DM271="",NA(),DM271))</f>
        <v>0</v>
      </c>
      <c r="GB64">
        <f>IF(Charts!$B$3="none",AZ271,IF(DN271="",NA(),DN271))</f>
        <v>0</v>
      </c>
      <c r="GC64">
        <f>IF(Charts!$B$3="none",BA271,IF(DO271="",NA(),DO271))</f>
        <v>0</v>
      </c>
      <c r="GD64">
        <f>IF(Charts!$B$3="none",BB271,IF(DP271="",NA(),DP271))</f>
        <v>0</v>
      </c>
      <c r="GE64">
        <f>IF(Charts!$B$3="none",BC271,IF(DQ271="",NA(),DQ271))</f>
        <v>0</v>
      </c>
      <c r="GF64">
        <f>IF(Charts!$B$3="none",BD271,IF(DR271="",NA(),DR271))</f>
        <v>0</v>
      </c>
      <c r="GG64">
        <f>IF(Charts!$B$3="none",BE271,IF(DS271="",NA(),DS271))</f>
        <v>0</v>
      </c>
      <c r="GH64">
        <f>IF(Charts!$B$3="none",BF271,IF(DT271="",NA(),DT271))</f>
        <v>0</v>
      </c>
      <c r="GI64">
        <f>IF(Charts!$B$3="none",BG271,IF(DU271="",NA(),DU271))</f>
        <v>0</v>
      </c>
      <c r="GJ64">
        <f>IF(Charts!$B$3="none",BH271,IF(DV271="",NA(),DV271))</f>
        <v>0</v>
      </c>
      <c r="GK64">
        <f>IF(Charts!$B$3="none",BI271,IF(DW271="",NA(),DW271))</f>
        <v>0</v>
      </c>
      <c r="GL64">
        <f>IF(Charts!$B$3="none",BJ271,IF(DX271="",NA(),DX271))</f>
        <v>0</v>
      </c>
      <c r="GM64">
        <f>IF(Charts!$B$3="none",BK271,IF(DY271="",NA(),DY271))</f>
        <v>0</v>
      </c>
      <c r="GN64">
        <f>IF(Charts!$B$3="none",BL271,IF(DZ271="",NA(),DZ271))</f>
        <v>0</v>
      </c>
      <c r="GO64">
        <f>IF(Charts!$B$3="none",BM271,IF(EA271="",NA(),EA271))</f>
        <v>0</v>
      </c>
      <c r="GP64">
        <f>IF(Charts!$B$3="none",BN271,IF(EB271="",NA(),EB271))</f>
        <v>0</v>
      </c>
      <c r="GQ64">
        <f>IF(Charts!$B$3="none",BO271,IF(EC271="",NA(),EC271))</f>
        <v>0</v>
      </c>
      <c r="GR64">
        <f>IF(Charts!$B$3="none",BP271,IF(ED271="",NA(),ED271))</f>
        <v>0</v>
      </c>
    </row>
    <row r="65" spans="5:200">
      <c r="E65">
        <v>19</v>
      </c>
      <c r="F65">
        <f>F23</f>
        <v>0</v>
      </c>
      <c r="G65">
        <v>19</v>
      </c>
      <c r="H65">
        <f>H23</f>
        <v>0</v>
      </c>
      <c r="I65">
        <v>19</v>
      </c>
      <c r="J65">
        <f>J23</f>
        <v>0</v>
      </c>
      <c r="K65">
        <v>19</v>
      </c>
      <c r="L65">
        <f>L23</f>
        <v>0</v>
      </c>
      <c r="M65">
        <v>19</v>
      </c>
      <c r="N65">
        <f>N23</f>
        <v>0</v>
      </c>
      <c r="O65">
        <v>19</v>
      </c>
      <c r="P65">
        <f>P23</f>
        <v>0</v>
      </c>
      <c r="Q65">
        <v>19</v>
      </c>
      <c r="R65">
        <f>R23</f>
        <v>0</v>
      </c>
      <c r="S65">
        <v>19</v>
      </c>
      <c r="T65">
        <f>T23</f>
        <v>0</v>
      </c>
      <c r="U65">
        <v>19</v>
      </c>
      <c r="V65">
        <f>V23</f>
        <v>0</v>
      </c>
      <c r="W65">
        <v>19</v>
      </c>
      <c r="X65">
        <f>X23</f>
        <v>0</v>
      </c>
      <c r="Y65">
        <v>19</v>
      </c>
      <c r="Z65">
        <f>Z23</f>
        <v>0</v>
      </c>
      <c r="AA65">
        <v>19</v>
      </c>
      <c r="AB65">
        <f>AB23</f>
        <v>0</v>
      </c>
      <c r="AC65">
        <v>19</v>
      </c>
      <c r="AD65">
        <f>AD23</f>
        <v>0</v>
      </c>
      <c r="AE65">
        <v>19</v>
      </c>
      <c r="AF65">
        <f>AF23</f>
        <v>0</v>
      </c>
      <c r="AG65">
        <v>19</v>
      </c>
      <c r="AH65">
        <f>AH23</f>
        <v>0</v>
      </c>
      <c r="AI65">
        <v>19</v>
      </c>
      <c r="AJ65">
        <f>AJ23</f>
        <v>0</v>
      </c>
      <c r="AK65">
        <v>19</v>
      </c>
      <c r="AL65">
        <f>AL23</f>
        <v>0</v>
      </c>
      <c r="AM65">
        <v>19</v>
      </c>
      <c r="AN65">
        <f>AN23</f>
        <v>0</v>
      </c>
      <c r="AO65">
        <v>19</v>
      </c>
      <c r="AP65">
        <f>AP23</f>
        <v>0</v>
      </c>
      <c r="AQ65">
        <v>19</v>
      </c>
      <c r="AR65">
        <f>AR23</f>
        <v>0</v>
      </c>
      <c r="AS65">
        <v>19</v>
      </c>
      <c r="AT65">
        <f>AT23</f>
        <v>0</v>
      </c>
      <c r="AU65">
        <v>19</v>
      </c>
      <c r="AV65">
        <f>AV23</f>
        <v>0</v>
      </c>
      <c r="AW65">
        <v>19</v>
      </c>
      <c r="AX65">
        <f>AX23</f>
        <v>0</v>
      </c>
      <c r="AY65">
        <v>19</v>
      </c>
      <c r="AZ65">
        <f>AZ23</f>
        <v>0</v>
      </c>
      <c r="BA65">
        <v>19</v>
      </c>
      <c r="BB65">
        <f>BB23</f>
        <v>0</v>
      </c>
      <c r="BC65">
        <v>19</v>
      </c>
      <c r="BD65">
        <f>BD23</f>
        <v>0</v>
      </c>
      <c r="BE65">
        <v>19</v>
      </c>
      <c r="BF65">
        <f>BF23</f>
        <v>0</v>
      </c>
      <c r="BG65">
        <v>19</v>
      </c>
      <c r="BH65">
        <f>BH23</f>
        <v>0</v>
      </c>
      <c r="BI65">
        <v>19</v>
      </c>
      <c r="BJ65">
        <f>BJ23</f>
        <v>0</v>
      </c>
      <c r="BK65">
        <v>19</v>
      </c>
      <c r="BL65">
        <f>BL23</f>
        <v>0</v>
      </c>
      <c r="BM65">
        <v>19</v>
      </c>
      <c r="BN65">
        <f>BN23</f>
        <v>0</v>
      </c>
      <c r="BO65">
        <v>19</v>
      </c>
      <c r="BP65">
        <f>BP23</f>
        <v>0</v>
      </c>
      <c r="BS65">
        <v>19</v>
      </c>
      <c r="BT65">
        <f>BT23</f>
        <v>0</v>
      </c>
      <c r="BU65">
        <v>19</v>
      </c>
      <c r="BV65">
        <f>BV23</f>
        <v>0</v>
      </c>
      <c r="BW65">
        <v>19</v>
      </c>
      <c r="BX65">
        <f>BX23</f>
        <v>0</v>
      </c>
      <c r="BY65">
        <v>19</v>
      </c>
      <c r="BZ65">
        <f>BZ23</f>
        <v>0</v>
      </c>
      <c r="CA65">
        <v>19</v>
      </c>
      <c r="CB65">
        <f>CB23</f>
        <v>0</v>
      </c>
      <c r="CC65">
        <v>19</v>
      </c>
      <c r="CD65">
        <f>CD23</f>
        <v>0</v>
      </c>
      <c r="CE65">
        <v>19</v>
      </c>
      <c r="CF65">
        <f>CF23</f>
        <v>0</v>
      </c>
      <c r="CG65">
        <v>19</v>
      </c>
      <c r="CH65">
        <f>CH23</f>
        <v>0</v>
      </c>
      <c r="CI65">
        <v>19</v>
      </c>
      <c r="CJ65">
        <f>CJ23</f>
        <v>0</v>
      </c>
      <c r="CK65">
        <v>19</v>
      </c>
      <c r="CL65">
        <f>CL23</f>
        <v>0</v>
      </c>
      <c r="CM65">
        <v>19</v>
      </c>
      <c r="CN65">
        <f>CN23</f>
        <v>0</v>
      </c>
      <c r="CO65">
        <v>19</v>
      </c>
      <c r="CP65">
        <f>CP23</f>
        <v>0</v>
      </c>
      <c r="CQ65">
        <v>19</v>
      </c>
      <c r="CR65">
        <f>CR23</f>
        <v>0</v>
      </c>
      <c r="CS65">
        <v>19</v>
      </c>
      <c r="CT65">
        <f>CT23</f>
        <v>0</v>
      </c>
      <c r="CU65">
        <v>19</v>
      </c>
      <c r="CV65">
        <f>CV23</f>
        <v>0</v>
      </c>
      <c r="CW65">
        <v>19</v>
      </c>
      <c r="CX65">
        <f>CX23</f>
        <v>0</v>
      </c>
      <c r="CY65">
        <v>19</v>
      </c>
      <c r="CZ65">
        <f>CZ23</f>
        <v>0</v>
      </c>
      <c r="DA65">
        <v>19</v>
      </c>
      <c r="DB65">
        <f>DB23</f>
        <v>0</v>
      </c>
      <c r="DC65">
        <v>19</v>
      </c>
      <c r="DD65">
        <f>DD23</f>
        <v>0</v>
      </c>
      <c r="DE65">
        <v>19</v>
      </c>
      <c r="DF65">
        <f>DF23</f>
        <v>0</v>
      </c>
      <c r="DG65">
        <v>19</v>
      </c>
      <c r="DH65">
        <f>DH23</f>
        <v>0</v>
      </c>
      <c r="DI65">
        <v>19</v>
      </c>
      <c r="DJ65">
        <f>DJ23</f>
        <v>0</v>
      </c>
      <c r="DK65">
        <v>19</v>
      </c>
      <c r="DL65">
        <f>DL23</f>
        <v>0</v>
      </c>
      <c r="DM65">
        <v>19</v>
      </c>
      <c r="DN65">
        <f>DN23</f>
        <v>0</v>
      </c>
      <c r="DO65">
        <v>19</v>
      </c>
      <c r="DP65">
        <f>DP23</f>
        <v>0</v>
      </c>
      <c r="DQ65">
        <v>19</v>
      </c>
      <c r="DR65">
        <f>DR23</f>
        <v>0</v>
      </c>
      <c r="DS65">
        <v>19</v>
      </c>
      <c r="DT65">
        <f>DT23</f>
        <v>0</v>
      </c>
      <c r="DU65">
        <v>19</v>
      </c>
      <c r="DV65">
        <f>DV23</f>
        <v>0</v>
      </c>
      <c r="DW65">
        <v>19</v>
      </c>
      <c r="DX65">
        <f>DX23</f>
        <v>0</v>
      </c>
      <c r="DY65">
        <v>19</v>
      </c>
      <c r="DZ65">
        <f>DZ23</f>
        <v>0</v>
      </c>
      <c r="EA65">
        <v>19</v>
      </c>
      <c r="EB65">
        <f>EB23</f>
        <v>0</v>
      </c>
      <c r="EC65">
        <v>19</v>
      </c>
      <c r="ED65">
        <f>ED23</f>
        <v>0</v>
      </c>
      <c r="EG65">
        <f>IF(Charts!$B$3="none",E272,IF(BS272="",NA(),BS272))</f>
        <v>0</v>
      </c>
      <c r="EH65">
        <f>IF(Charts!$B$3="none",F272,IF(BT272="",NA(),BT272))</f>
        <v>0</v>
      </c>
      <c r="EI65">
        <f>IF(Charts!$B$3="none",G272,IF(BU272="",NA(),BU272))</f>
        <v>0</v>
      </c>
      <c r="EJ65">
        <f>IF(Charts!$B$3="none",H272,IF(BV272="",NA(),BV272))</f>
        <v>0</v>
      </c>
      <c r="EK65">
        <f>IF(Charts!$B$3="none",I272,IF(BW272="",NA(),BW272))</f>
        <v>0</v>
      </c>
      <c r="EL65">
        <f>IF(Charts!$B$3="none",J272,IF(BX272="",NA(),BX272))</f>
        <v>0</v>
      </c>
      <c r="EM65">
        <f>IF(Charts!$B$3="none",K272,IF(BY272="",NA(),BY272))</f>
        <v>0</v>
      </c>
      <c r="EN65">
        <f>IF(Charts!$B$3="none",L272,IF(BZ272="",NA(),BZ272))</f>
        <v>0</v>
      </c>
      <c r="EO65">
        <f>IF(Charts!$B$3="none",M272,IF(CA272="",NA(),CA272))</f>
        <v>0</v>
      </c>
      <c r="EP65">
        <f>IF(Charts!$B$3="none",N272,IF(CB272="",NA(),CB272))</f>
        <v>0</v>
      </c>
      <c r="EQ65">
        <f>IF(Charts!$B$3="none",O272,IF(CC272="",NA(),CC272))</f>
        <v>0</v>
      </c>
      <c r="ER65">
        <f>IF(Charts!$B$3="none",P272,IF(CD272="",NA(),CD272))</f>
        <v>0</v>
      </c>
      <c r="ES65">
        <f>IF(Charts!$B$3="none",Q272,IF(CE272="",NA(),CE272))</f>
        <v>0</v>
      </c>
      <c r="ET65">
        <f>IF(Charts!$B$3="none",R272,IF(CF272="",NA(),CF272))</f>
        <v>0</v>
      </c>
      <c r="EU65">
        <f>IF(Charts!$B$3="none",S272,IF(CG272="",NA(),CG272))</f>
        <v>0</v>
      </c>
      <c r="EV65">
        <f>IF(Charts!$B$3="none",T272,IF(CH272="",NA(),CH272))</f>
        <v>0</v>
      </c>
      <c r="EW65">
        <f>IF(Charts!$B$3="none",U272,IF(CI272="",NA(),CI272))</f>
        <v>0</v>
      </c>
      <c r="EX65">
        <f>IF(Charts!$B$3="none",V272,IF(CJ272="",NA(),CJ272))</f>
        <v>0</v>
      </c>
      <c r="EY65">
        <f>IF(Charts!$B$3="none",W272,IF(CK272="",NA(),CK272))</f>
        <v>0</v>
      </c>
      <c r="EZ65">
        <f>IF(Charts!$B$3="none",X272,IF(CL272="",NA(),CL272))</f>
        <v>0</v>
      </c>
      <c r="FA65">
        <f>IF(Charts!$B$3="none",Y272,IF(CM272="",NA(),CM272))</f>
        <v>0</v>
      </c>
      <c r="FB65">
        <f>IF(Charts!$B$3="none",Z272,IF(CN272="",NA(),CN272))</f>
        <v>0</v>
      </c>
      <c r="FC65">
        <f>IF(Charts!$B$3="none",AA272,IF(CO272="",NA(),CO272))</f>
        <v>0</v>
      </c>
      <c r="FD65">
        <f>IF(Charts!$B$3="none",AB272,IF(CP272="",NA(),CP272))</f>
        <v>0</v>
      </c>
      <c r="FE65">
        <f>IF(Charts!$B$3="none",AC272,IF(CQ272="",NA(),CQ272))</f>
        <v>0</v>
      </c>
      <c r="FF65">
        <f>IF(Charts!$B$3="none",AD272,IF(CR272="",NA(),CR272))</f>
        <v>0</v>
      </c>
      <c r="FG65">
        <f>IF(Charts!$B$3="none",AE272,IF(CS272="",NA(),CS272))</f>
        <v>0</v>
      </c>
      <c r="FH65">
        <f>IF(Charts!$B$3="none",AF272,IF(CT272="",NA(),CT272))</f>
        <v>0</v>
      </c>
      <c r="FI65">
        <f>IF(Charts!$B$3="none",AG272,IF(CU272="",NA(),CU272))</f>
        <v>0</v>
      </c>
      <c r="FJ65">
        <f>IF(Charts!$B$3="none",AH272,IF(CV272="",NA(),CV272))</f>
        <v>0</v>
      </c>
      <c r="FK65">
        <f>IF(Charts!$B$3="none",AI272,IF(CW272="",NA(),CW272))</f>
        <v>0</v>
      </c>
      <c r="FL65">
        <f>IF(Charts!$B$3="none",AJ272,IF(CX272="",NA(),CX272))</f>
        <v>0</v>
      </c>
      <c r="FM65">
        <f>IF(Charts!$B$3="none",AK272,IF(CY272="",NA(),CY272))</f>
        <v>0</v>
      </c>
      <c r="FN65">
        <f>IF(Charts!$B$3="none",AL272,IF(CZ272="",NA(),CZ272))</f>
        <v>0</v>
      </c>
      <c r="FO65">
        <f>IF(Charts!$B$3="none",AM272,IF(DA272="",NA(),DA272))</f>
        <v>0</v>
      </c>
      <c r="FP65">
        <f>IF(Charts!$B$3="none",AN272,IF(DB272="",NA(),DB272))</f>
        <v>0</v>
      </c>
      <c r="FQ65">
        <f>IF(Charts!$B$3="none",AO272,IF(DC272="",NA(),DC272))</f>
        <v>0</v>
      </c>
      <c r="FR65">
        <f>IF(Charts!$B$3="none",AP272,IF(DD272="",NA(),DD272))</f>
        <v>0</v>
      </c>
      <c r="FS65">
        <f>IF(Charts!$B$3="none",AQ272,IF(DE272="",NA(),DE272))</f>
        <v>0</v>
      </c>
      <c r="FT65">
        <f>IF(Charts!$B$3="none",AR272,IF(DF272="",NA(),DF272))</f>
        <v>0</v>
      </c>
      <c r="FU65">
        <f>IF(Charts!$B$3="none",AS272,IF(DG272="",NA(),DG272))</f>
        <v>0</v>
      </c>
      <c r="FV65">
        <f>IF(Charts!$B$3="none",AT272,IF(DH272="",NA(),DH272))</f>
        <v>0</v>
      </c>
      <c r="FW65">
        <f>IF(Charts!$B$3="none",AU272,IF(DI272="",NA(),DI272))</f>
        <v>0</v>
      </c>
      <c r="FX65">
        <f>IF(Charts!$B$3="none",AV272,IF(DJ272="",NA(),DJ272))</f>
        <v>0</v>
      </c>
      <c r="FY65">
        <f>IF(Charts!$B$3="none",AW272,IF(DK272="",NA(),DK272))</f>
        <v>0</v>
      </c>
      <c r="FZ65">
        <f>IF(Charts!$B$3="none",AX272,IF(DL272="",NA(),DL272))</f>
        <v>0</v>
      </c>
      <c r="GA65">
        <f>IF(Charts!$B$3="none",AY272,IF(DM272="",NA(),DM272))</f>
        <v>0</v>
      </c>
      <c r="GB65">
        <f>IF(Charts!$B$3="none",AZ272,IF(DN272="",NA(),DN272))</f>
        <v>0</v>
      </c>
      <c r="GC65">
        <f>IF(Charts!$B$3="none",BA272,IF(DO272="",NA(),DO272))</f>
        <v>0</v>
      </c>
      <c r="GD65">
        <f>IF(Charts!$B$3="none",BB272,IF(DP272="",NA(),DP272))</f>
        <v>0</v>
      </c>
      <c r="GE65">
        <f>IF(Charts!$B$3="none",BC272,IF(DQ272="",NA(),DQ272))</f>
        <v>0</v>
      </c>
      <c r="GF65">
        <f>IF(Charts!$B$3="none",BD272,IF(DR272="",NA(),DR272))</f>
        <v>0</v>
      </c>
      <c r="GG65">
        <f>IF(Charts!$B$3="none",BE272,IF(DS272="",NA(),DS272))</f>
        <v>0</v>
      </c>
      <c r="GH65">
        <f>IF(Charts!$B$3="none",BF272,IF(DT272="",NA(),DT272))</f>
        <v>0</v>
      </c>
      <c r="GI65">
        <f>IF(Charts!$B$3="none",BG272,IF(DU272="",NA(),DU272))</f>
        <v>0</v>
      </c>
      <c r="GJ65">
        <f>IF(Charts!$B$3="none",BH272,IF(DV272="",NA(),DV272))</f>
        <v>0</v>
      </c>
      <c r="GK65">
        <f>IF(Charts!$B$3="none",BI272,IF(DW272="",NA(),DW272))</f>
        <v>0</v>
      </c>
      <c r="GL65">
        <f>IF(Charts!$B$3="none",BJ272,IF(DX272="",NA(),DX272))</f>
        <v>0</v>
      </c>
      <c r="GM65">
        <f>IF(Charts!$B$3="none",BK272,IF(DY272="",NA(),DY272))</f>
        <v>0</v>
      </c>
      <c r="GN65">
        <f>IF(Charts!$B$3="none",BL272,IF(DZ272="",NA(),DZ272))</f>
        <v>0</v>
      </c>
      <c r="GO65">
        <f>IF(Charts!$B$3="none",BM272,IF(EA272="",NA(),EA272))</f>
        <v>0</v>
      </c>
      <c r="GP65">
        <f>IF(Charts!$B$3="none",BN272,IF(EB272="",NA(),EB272))</f>
        <v>0</v>
      </c>
      <c r="GQ65">
        <f>IF(Charts!$B$3="none",BO272,IF(EC272="",NA(),EC272))</f>
        <v>0</v>
      </c>
      <c r="GR65">
        <f>IF(Charts!$B$3="none",BP272,IF(ED272="",NA(),ED272))</f>
        <v>0</v>
      </c>
    </row>
    <row r="66" spans="5:200">
      <c r="E66">
        <v>20</v>
      </c>
      <c r="F66">
        <f>F24</f>
        <v>0</v>
      </c>
      <c r="G66">
        <v>20</v>
      </c>
      <c r="H66">
        <f>H24</f>
        <v>0</v>
      </c>
      <c r="I66">
        <v>20</v>
      </c>
      <c r="J66">
        <f>J24</f>
        <v>0</v>
      </c>
      <c r="K66">
        <v>20</v>
      </c>
      <c r="L66">
        <f>L24</f>
        <v>0</v>
      </c>
      <c r="M66">
        <v>20</v>
      </c>
      <c r="N66">
        <f>N24</f>
        <v>0</v>
      </c>
      <c r="O66">
        <v>20</v>
      </c>
      <c r="P66">
        <f>P24</f>
        <v>0</v>
      </c>
      <c r="Q66">
        <v>20</v>
      </c>
      <c r="R66">
        <f>R24</f>
        <v>0</v>
      </c>
      <c r="S66">
        <v>20</v>
      </c>
      <c r="T66">
        <f>T24</f>
        <v>0</v>
      </c>
      <c r="U66">
        <v>20</v>
      </c>
      <c r="V66">
        <f>V24</f>
        <v>0</v>
      </c>
      <c r="W66">
        <v>20</v>
      </c>
      <c r="X66">
        <f>X24</f>
        <v>0</v>
      </c>
      <c r="Y66">
        <v>20</v>
      </c>
      <c r="Z66">
        <f>Z24</f>
        <v>0</v>
      </c>
      <c r="AA66">
        <v>20</v>
      </c>
      <c r="AB66">
        <f>AB24</f>
        <v>0</v>
      </c>
      <c r="AC66">
        <v>20</v>
      </c>
      <c r="AD66">
        <f>AD24</f>
        <v>0</v>
      </c>
      <c r="AE66">
        <v>20</v>
      </c>
      <c r="AF66">
        <f>AF24</f>
        <v>0</v>
      </c>
      <c r="AG66">
        <v>20</v>
      </c>
      <c r="AH66">
        <f>AH24</f>
        <v>0</v>
      </c>
      <c r="AI66">
        <v>20</v>
      </c>
      <c r="AJ66">
        <f>AJ24</f>
        <v>0</v>
      </c>
      <c r="AK66">
        <v>20</v>
      </c>
      <c r="AL66">
        <f>AL24</f>
        <v>0</v>
      </c>
      <c r="AM66">
        <v>20</v>
      </c>
      <c r="AN66">
        <f>AN24</f>
        <v>0</v>
      </c>
      <c r="AO66">
        <v>20</v>
      </c>
      <c r="AP66">
        <f>AP24</f>
        <v>0</v>
      </c>
      <c r="AQ66">
        <v>20</v>
      </c>
      <c r="AR66">
        <f>AR24</f>
        <v>0</v>
      </c>
      <c r="AS66">
        <v>20</v>
      </c>
      <c r="AT66">
        <f>AT24</f>
        <v>0</v>
      </c>
      <c r="AU66">
        <v>20</v>
      </c>
      <c r="AV66">
        <f>AV24</f>
        <v>0</v>
      </c>
      <c r="AW66">
        <v>20</v>
      </c>
      <c r="AX66">
        <f>AX24</f>
        <v>0</v>
      </c>
      <c r="AY66">
        <v>20</v>
      </c>
      <c r="AZ66">
        <f>AZ24</f>
        <v>0</v>
      </c>
      <c r="BA66">
        <v>20</v>
      </c>
      <c r="BB66">
        <f>BB24</f>
        <v>0</v>
      </c>
      <c r="BC66">
        <v>20</v>
      </c>
      <c r="BD66">
        <f>BD24</f>
        <v>0</v>
      </c>
      <c r="BE66">
        <v>20</v>
      </c>
      <c r="BF66">
        <f>BF24</f>
        <v>0</v>
      </c>
      <c r="BG66">
        <v>20</v>
      </c>
      <c r="BH66">
        <f>BH24</f>
        <v>0</v>
      </c>
      <c r="BI66">
        <v>20</v>
      </c>
      <c r="BJ66">
        <f>BJ24</f>
        <v>0</v>
      </c>
      <c r="BK66">
        <v>20</v>
      </c>
      <c r="BL66">
        <f>BL24</f>
        <v>0</v>
      </c>
      <c r="BM66">
        <v>20</v>
      </c>
      <c r="BN66">
        <f>BN24</f>
        <v>0</v>
      </c>
      <c r="BO66">
        <v>20</v>
      </c>
      <c r="BP66">
        <f>BP24</f>
        <v>0</v>
      </c>
      <c r="BS66">
        <v>20</v>
      </c>
      <c r="BT66">
        <f>BT24</f>
        <v>0</v>
      </c>
      <c r="BU66">
        <v>20</v>
      </c>
      <c r="BV66">
        <f>BV24</f>
        <v>0</v>
      </c>
      <c r="BW66">
        <v>20</v>
      </c>
      <c r="BX66">
        <f>BX24</f>
        <v>0</v>
      </c>
      <c r="BY66">
        <v>20</v>
      </c>
      <c r="BZ66">
        <f>BZ24</f>
        <v>0</v>
      </c>
      <c r="CA66">
        <v>20</v>
      </c>
      <c r="CB66">
        <f>CB24</f>
        <v>0</v>
      </c>
      <c r="CC66">
        <v>20</v>
      </c>
      <c r="CD66">
        <f>CD24</f>
        <v>0</v>
      </c>
      <c r="CE66">
        <v>20</v>
      </c>
      <c r="CF66">
        <f>CF24</f>
        <v>0</v>
      </c>
      <c r="CG66">
        <v>20</v>
      </c>
      <c r="CH66">
        <f>CH24</f>
        <v>0</v>
      </c>
      <c r="CI66">
        <v>20</v>
      </c>
      <c r="CJ66">
        <f>CJ24</f>
        <v>0</v>
      </c>
      <c r="CK66">
        <v>20</v>
      </c>
      <c r="CL66">
        <f>CL24</f>
        <v>0</v>
      </c>
      <c r="CM66">
        <v>20</v>
      </c>
      <c r="CN66">
        <f>CN24</f>
        <v>0</v>
      </c>
      <c r="CO66">
        <v>20</v>
      </c>
      <c r="CP66">
        <f>CP24</f>
        <v>0</v>
      </c>
      <c r="CQ66">
        <v>20</v>
      </c>
      <c r="CR66">
        <f>CR24</f>
        <v>0</v>
      </c>
      <c r="CS66">
        <v>20</v>
      </c>
      <c r="CT66">
        <f>CT24</f>
        <v>0</v>
      </c>
      <c r="CU66">
        <v>20</v>
      </c>
      <c r="CV66">
        <f>CV24</f>
        <v>0</v>
      </c>
      <c r="CW66">
        <v>20</v>
      </c>
      <c r="CX66">
        <f>CX24</f>
        <v>0</v>
      </c>
      <c r="CY66">
        <v>20</v>
      </c>
      <c r="CZ66">
        <f>CZ24</f>
        <v>0</v>
      </c>
      <c r="DA66">
        <v>20</v>
      </c>
      <c r="DB66">
        <f>DB24</f>
        <v>0</v>
      </c>
      <c r="DC66">
        <v>20</v>
      </c>
      <c r="DD66">
        <f>DD24</f>
        <v>0</v>
      </c>
      <c r="DE66">
        <v>20</v>
      </c>
      <c r="DF66">
        <f>DF24</f>
        <v>0</v>
      </c>
      <c r="DG66">
        <v>20</v>
      </c>
      <c r="DH66">
        <f>DH24</f>
        <v>0</v>
      </c>
      <c r="DI66">
        <v>20</v>
      </c>
      <c r="DJ66">
        <f>DJ24</f>
        <v>0</v>
      </c>
      <c r="DK66">
        <v>20</v>
      </c>
      <c r="DL66">
        <f>DL24</f>
        <v>0</v>
      </c>
      <c r="DM66">
        <v>20</v>
      </c>
      <c r="DN66">
        <f>DN24</f>
        <v>0</v>
      </c>
      <c r="DO66">
        <v>20</v>
      </c>
      <c r="DP66">
        <f>DP24</f>
        <v>0</v>
      </c>
      <c r="DQ66">
        <v>20</v>
      </c>
      <c r="DR66">
        <f>DR24</f>
        <v>0</v>
      </c>
      <c r="DS66">
        <v>20</v>
      </c>
      <c r="DT66">
        <f>DT24</f>
        <v>0</v>
      </c>
      <c r="DU66">
        <v>20</v>
      </c>
      <c r="DV66">
        <f>DV24</f>
        <v>0</v>
      </c>
      <c r="DW66">
        <v>20</v>
      </c>
      <c r="DX66">
        <f>DX24</f>
        <v>0</v>
      </c>
      <c r="DY66">
        <v>20</v>
      </c>
      <c r="DZ66">
        <f>DZ24</f>
        <v>0</v>
      </c>
      <c r="EA66">
        <v>20</v>
      </c>
      <c r="EB66">
        <f>EB24</f>
        <v>0</v>
      </c>
      <c r="EC66">
        <v>20</v>
      </c>
      <c r="ED66">
        <f>ED24</f>
        <v>0</v>
      </c>
      <c r="EG66">
        <f>IF(Charts!$B$3="none",E273,IF(BS273="",NA(),BS273))</f>
        <v>0</v>
      </c>
      <c r="EH66">
        <f>IF(Charts!$B$3="none",F273,IF(BT273="",NA(),BT273))</f>
        <v>0</v>
      </c>
      <c r="EI66">
        <f>IF(Charts!$B$3="none",G273,IF(BU273="",NA(),BU273))</f>
        <v>0</v>
      </c>
      <c r="EJ66">
        <f>IF(Charts!$B$3="none",H273,IF(BV273="",NA(),BV273))</f>
        <v>0</v>
      </c>
      <c r="EK66">
        <f>IF(Charts!$B$3="none",I273,IF(BW273="",NA(),BW273))</f>
        <v>0</v>
      </c>
      <c r="EL66">
        <f>IF(Charts!$B$3="none",J273,IF(BX273="",NA(),BX273))</f>
        <v>0</v>
      </c>
      <c r="EM66">
        <f>IF(Charts!$B$3="none",K273,IF(BY273="",NA(),BY273))</f>
        <v>0</v>
      </c>
      <c r="EN66">
        <f>IF(Charts!$B$3="none",L273,IF(BZ273="",NA(),BZ273))</f>
        <v>0</v>
      </c>
      <c r="EO66">
        <f>IF(Charts!$B$3="none",M273,IF(CA273="",NA(),CA273))</f>
        <v>0</v>
      </c>
      <c r="EP66">
        <f>IF(Charts!$B$3="none",N273,IF(CB273="",NA(),CB273))</f>
        <v>0</v>
      </c>
      <c r="EQ66">
        <f>IF(Charts!$B$3="none",O273,IF(CC273="",NA(),CC273))</f>
        <v>0</v>
      </c>
      <c r="ER66">
        <f>IF(Charts!$B$3="none",P273,IF(CD273="",NA(),CD273))</f>
        <v>0</v>
      </c>
      <c r="ES66">
        <f>IF(Charts!$B$3="none",Q273,IF(CE273="",NA(),CE273))</f>
        <v>0</v>
      </c>
      <c r="ET66">
        <f>IF(Charts!$B$3="none",R273,IF(CF273="",NA(),CF273))</f>
        <v>0</v>
      </c>
      <c r="EU66">
        <f>IF(Charts!$B$3="none",S273,IF(CG273="",NA(),CG273))</f>
        <v>0</v>
      </c>
      <c r="EV66">
        <f>IF(Charts!$B$3="none",T273,IF(CH273="",NA(),CH273))</f>
        <v>0</v>
      </c>
      <c r="EW66">
        <f>IF(Charts!$B$3="none",U273,IF(CI273="",NA(),CI273))</f>
        <v>0</v>
      </c>
      <c r="EX66">
        <f>IF(Charts!$B$3="none",V273,IF(CJ273="",NA(),CJ273))</f>
        <v>0</v>
      </c>
      <c r="EY66">
        <f>IF(Charts!$B$3="none",W273,IF(CK273="",NA(),CK273))</f>
        <v>0</v>
      </c>
      <c r="EZ66">
        <f>IF(Charts!$B$3="none",X273,IF(CL273="",NA(),CL273))</f>
        <v>0</v>
      </c>
      <c r="FA66">
        <f>IF(Charts!$B$3="none",Y273,IF(CM273="",NA(),CM273))</f>
        <v>0</v>
      </c>
      <c r="FB66">
        <f>IF(Charts!$B$3="none",Z273,IF(CN273="",NA(),CN273))</f>
        <v>0</v>
      </c>
      <c r="FC66">
        <f>IF(Charts!$B$3="none",AA273,IF(CO273="",NA(),CO273))</f>
        <v>0</v>
      </c>
      <c r="FD66">
        <f>IF(Charts!$B$3="none",AB273,IF(CP273="",NA(),CP273))</f>
        <v>0</v>
      </c>
      <c r="FE66">
        <f>IF(Charts!$B$3="none",AC273,IF(CQ273="",NA(),CQ273))</f>
        <v>0</v>
      </c>
      <c r="FF66">
        <f>IF(Charts!$B$3="none",AD273,IF(CR273="",NA(),CR273))</f>
        <v>0</v>
      </c>
      <c r="FG66">
        <f>IF(Charts!$B$3="none",AE273,IF(CS273="",NA(),CS273))</f>
        <v>0</v>
      </c>
      <c r="FH66">
        <f>IF(Charts!$B$3="none",AF273,IF(CT273="",NA(),CT273))</f>
        <v>0</v>
      </c>
      <c r="FI66">
        <f>IF(Charts!$B$3="none",AG273,IF(CU273="",NA(),CU273))</f>
        <v>0</v>
      </c>
      <c r="FJ66">
        <f>IF(Charts!$B$3="none",AH273,IF(CV273="",NA(),CV273))</f>
        <v>0</v>
      </c>
      <c r="FK66">
        <f>IF(Charts!$B$3="none",AI273,IF(CW273="",NA(),CW273))</f>
        <v>0</v>
      </c>
      <c r="FL66">
        <f>IF(Charts!$B$3="none",AJ273,IF(CX273="",NA(),CX273))</f>
        <v>0</v>
      </c>
      <c r="FM66">
        <f>IF(Charts!$B$3="none",AK273,IF(CY273="",NA(),CY273))</f>
        <v>0</v>
      </c>
      <c r="FN66">
        <f>IF(Charts!$B$3="none",AL273,IF(CZ273="",NA(),CZ273))</f>
        <v>0</v>
      </c>
      <c r="FO66">
        <f>IF(Charts!$B$3="none",AM273,IF(DA273="",NA(),DA273))</f>
        <v>0</v>
      </c>
      <c r="FP66">
        <f>IF(Charts!$B$3="none",AN273,IF(DB273="",NA(),DB273))</f>
        <v>0</v>
      </c>
      <c r="FQ66">
        <f>IF(Charts!$B$3="none",AO273,IF(DC273="",NA(),DC273))</f>
        <v>0</v>
      </c>
      <c r="FR66">
        <f>IF(Charts!$B$3="none",AP273,IF(DD273="",NA(),DD273))</f>
        <v>0</v>
      </c>
      <c r="FS66">
        <f>IF(Charts!$B$3="none",AQ273,IF(DE273="",NA(),DE273))</f>
        <v>0</v>
      </c>
      <c r="FT66">
        <f>IF(Charts!$B$3="none",AR273,IF(DF273="",NA(),DF273))</f>
        <v>0</v>
      </c>
      <c r="FU66">
        <f>IF(Charts!$B$3="none",AS273,IF(DG273="",NA(),DG273))</f>
        <v>0</v>
      </c>
      <c r="FV66">
        <f>IF(Charts!$B$3="none",AT273,IF(DH273="",NA(),DH273))</f>
        <v>0</v>
      </c>
      <c r="FW66">
        <f>IF(Charts!$B$3="none",AU273,IF(DI273="",NA(),DI273))</f>
        <v>0</v>
      </c>
      <c r="FX66">
        <f>IF(Charts!$B$3="none",AV273,IF(DJ273="",NA(),DJ273))</f>
        <v>0</v>
      </c>
      <c r="FY66">
        <f>IF(Charts!$B$3="none",AW273,IF(DK273="",NA(),DK273))</f>
        <v>0</v>
      </c>
      <c r="FZ66">
        <f>IF(Charts!$B$3="none",AX273,IF(DL273="",NA(),DL273))</f>
        <v>0</v>
      </c>
      <c r="GA66">
        <f>IF(Charts!$B$3="none",AY273,IF(DM273="",NA(),DM273))</f>
        <v>0</v>
      </c>
      <c r="GB66">
        <f>IF(Charts!$B$3="none",AZ273,IF(DN273="",NA(),DN273))</f>
        <v>0</v>
      </c>
      <c r="GC66">
        <f>IF(Charts!$B$3="none",BA273,IF(DO273="",NA(),DO273))</f>
        <v>0</v>
      </c>
      <c r="GD66">
        <f>IF(Charts!$B$3="none",BB273,IF(DP273="",NA(),DP273))</f>
        <v>0</v>
      </c>
      <c r="GE66">
        <f>IF(Charts!$B$3="none",BC273,IF(DQ273="",NA(),DQ273))</f>
        <v>0</v>
      </c>
      <c r="GF66">
        <f>IF(Charts!$B$3="none",BD273,IF(DR273="",NA(),DR273))</f>
        <v>0</v>
      </c>
      <c r="GG66">
        <f>IF(Charts!$B$3="none",BE273,IF(DS273="",NA(),DS273))</f>
        <v>0</v>
      </c>
      <c r="GH66">
        <f>IF(Charts!$B$3="none",BF273,IF(DT273="",NA(),DT273))</f>
        <v>0</v>
      </c>
      <c r="GI66">
        <f>IF(Charts!$B$3="none",BG273,IF(DU273="",NA(),DU273))</f>
        <v>0</v>
      </c>
      <c r="GJ66">
        <f>IF(Charts!$B$3="none",BH273,IF(DV273="",NA(),DV273))</f>
        <v>0</v>
      </c>
      <c r="GK66">
        <f>IF(Charts!$B$3="none",BI273,IF(DW273="",NA(),DW273))</f>
        <v>0</v>
      </c>
      <c r="GL66">
        <f>IF(Charts!$B$3="none",BJ273,IF(DX273="",NA(),DX273))</f>
        <v>0</v>
      </c>
      <c r="GM66">
        <f>IF(Charts!$B$3="none",BK273,IF(DY273="",NA(),DY273))</f>
        <v>0</v>
      </c>
      <c r="GN66">
        <f>IF(Charts!$B$3="none",BL273,IF(DZ273="",NA(),DZ273))</f>
        <v>0</v>
      </c>
      <c r="GO66">
        <f>IF(Charts!$B$3="none",BM273,IF(EA273="",NA(),EA273))</f>
        <v>0</v>
      </c>
      <c r="GP66">
        <f>IF(Charts!$B$3="none",BN273,IF(EB273="",NA(),EB273))</f>
        <v>0</v>
      </c>
      <c r="GQ66">
        <f>IF(Charts!$B$3="none",BO273,IF(EC273="",NA(),EC273))</f>
        <v>0</v>
      </c>
      <c r="GR66">
        <f>IF(Charts!$B$3="none",BP273,IF(ED273="",NA(),ED273))</f>
        <v>0</v>
      </c>
    </row>
    <row r="67" spans="5:200">
      <c r="E67">
        <v>21</v>
      </c>
      <c r="F67">
        <f>F25</f>
        <v>0</v>
      </c>
      <c r="G67">
        <v>21</v>
      </c>
      <c r="H67">
        <f>H25</f>
        <v>0</v>
      </c>
      <c r="I67">
        <v>21</v>
      </c>
      <c r="J67">
        <f>J25</f>
        <v>0</v>
      </c>
      <c r="K67">
        <v>21</v>
      </c>
      <c r="L67">
        <f>L25</f>
        <v>0</v>
      </c>
      <c r="M67">
        <v>21</v>
      </c>
      <c r="N67">
        <f>N25</f>
        <v>0</v>
      </c>
      <c r="O67">
        <v>21</v>
      </c>
      <c r="P67">
        <f>P25</f>
        <v>0</v>
      </c>
      <c r="Q67">
        <v>21</v>
      </c>
      <c r="R67">
        <f>R25</f>
        <v>0</v>
      </c>
      <c r="S67">
        <v>21</v>
      </c>
      <c r="T67">
        <f>T25</f>
        <v>0</v>
      </c>
      <c r="U67">
        <v>21</v>
      </c>
      <c r="V67">
        <f>V25</f>
        <v>0</v>
      </c>
      <c r="W67">
        <v>21</v>
      </c>
      <c r="X67">
        <f>X25</f>
        <v>0</v>
      </c>
      <c r="Y67">
        <v>21</v>
      </c>
      <c r="Z67">
        <f>Z25</f>
        <v>0</v>
      </c>
      <c r="AA67">
        <v>21</v>
      </c>
      <c r="AB67">
        <f>AB25</f>
        <v>0</v>
      </c>
      <c r="AC67">
        <v>21</v>
      </c>
      <c r="AD67">
        <f>AD25</f>
        <v>0</v>
      </c>
      <c r="AE67">
        <v>21</v>
      </c>
      <c r="AF67">
        <f>AF25</f>
        <v>0</v>
      </c>
      <c r="AG67">
        <v>21</v>
      </c>
      <c r="AH67">
        <f>AH25</f>
        <v>0</v>
      </c>
      <c r="AI67">
        <v>21</v>
      </c>
      <c r="AJ67">
        <f>AJ25</f>
        <v>0</v>
      </c>
      <c r="AK67">
        <v>21</v>
      </c>
      <c r="AL67">
        <f>AL25</f>
        <v>0</v>
      </c>
      <c r="AM67">
        <v>21</v>
      </c>
      <c r="AN67">
        <f>AN25</f>
        <v>0</v>
      </c>
      <c r="AO67">
        <v>21</v>
      </c>
      <c r="AP67">
        <f>AP25</f>
        <v>0</v>
      </c>
      <c r="AQ67">
        <v>21</v>
      </c>
      <c r="AR67">
        <f>AR25</f>
        <v>0</v>
      </c>
      <c r="AS67">
        <v>21</v>
      </c>
      <c r="AT67">
        <f>AT25</f>
        <v>0</v>
      </c>
      <c r="AU67">
        <v>21</v>
      </c>
      <c r="AV67">
        <f>AV25</f>
        <v>0</v>
      </c>
      <c r="AW67">
        <v>21</v>
      </c>
      <c r="AX67">
        <f>AX25</f>
        <v>0</v>
      </c>
      <c r="AY67">
        <v>21</v>
      </c>
      <c r="AZ67">
        <f>AZ25</f>
        <v>0</v>
      </c>
      <c r="BA67">
        <v>21</v>
      </c>
      <c r="BB67">
        <f>BB25</f>
        <v>0</v>
      </c>
      <c r="BC67">
        <v>21</v>
      </c>
      <c r="BD67">
        <f>BD25</f>
        <v>0</v>
      </c>
      <c r="BE67">
        <v>21</v>
      </c>
      <c r="BF67">
        <f>BF25</f>
        <v>0</v>
      </c>
      <c r="BG67">
        <v>21</v>
      </c>
      <c r="BH67">
        <f>BH25</f>
        <v>0</v>
      </c>
      <c r="BI67">
        <v>21</v>
      </c>
      <c r="BJ67">
        <f>BJ25</f>
        <v>0</v>
      </c>
      <c r="BK67">
        <v>21</v>
      </c>
      <c r="BL67">
        <f>BL25</f>
        <v>0</v>
      </c>
      <c r="BM67">
        <v>21</v>
      </c>
      <c r="BN67">
        <f>BN25</f>
        <v>0</v>
      </c>
      <c r="BO67">
        <v>21</v>
      </c>
      <c r="BP67">
        <f>BP25</f>
        <v>0</v>
      </c>
      <c r="BS67">
        <v>21</v>
      </c>
      <c r="BT67">
        <f>BT25</f>
        <v>0</v>
      </c>
      <c r="BU67">
        <v>21</v>
      </c>
      <c r="BV67">
        <f>BV25</f>
        <v>0</v>
      </c>
      <c r="BW67">
        <v>21</v>
      </c>
      <c r="BX67">
        <f>BX25</f>
        <v>0</v>
      </c>
      <c r="BY67">
        <v>21</v>
      </c>
      <c r="BZ67">
        <f>BZ25</f>
        <v>0</v>
      </c>
      <c r="CA67">
        <v>21</v>
      </c>
      <c r="CB67">
        <f>CB25</f>
        <v>0</v>
      </c>
      <c r="CC67">
        <v>21</v>
      </c>
      <c r="CD67">
        <f>CD25</f>
        <v>0</v>
      </c>
      <c r="CE67">
        <v>21</v>
      </c>
      <c r="CF67">
        <f>CF25</f>
        <v>0</v>
      </c>
      <c r="CG67">
        <v>21</v>
      </c>
      <c r="CH67">
        <f>CH25</f>
        <v>0</v>
      </c>
      <c r="CI67">
        <v>21</v>
      </c>
      <c r="CJ67">
        <f>CJ25</f>
        <v>0</v>
      </c>
      <c r="CK67">
        <v>21</v>
      </c>
      <c r="CL67">
        <f>CL25</f>
        <v>0</v>
      </c>
      <c r="CM67">
        <v>21</v>
      </c>
      <c r="CN67">
        <f>CN25</f>
        <v>0</v>
      </c>
      <c r="CO67">
        <v>21</v>
      </c>
      <c r="CP67">
        <f>CP25</f>
        <v>0</v>
      </c>
      <c r="CQ67">
        <v>21</v>
      </c>
      <c r="CR67">
        <f>CR25</f>
        <v>0</v>
      </c>
      <c r="CS67">
        <v>21</v>
      </c>
      <c r="CT67">
        <f>CT25</f>
        <v>0</v>
      </c>
      <c r="CU67">
        <v>21</v>
      </c>
      <c r="CV67">
        <f>CV25</f>
        <v>0</v>
      </c>
      <c r="CW67">
        <v>21</v>
      </c>
      <c r="CX67">
        <f>CX25</f>
        <v>0</v>
      </c>
      <c r="CY67">
        <v>21</v>
      </c>
      <c r="CZ67">
        <f>CZ25</f>
        <v>0</v>
      </c>
      <c r="DA67">
        <v>21</v>
      </c>
      <c r="DB67">
        <f>DB25</f>
        <v>0</v>
      </c>
      <c r="DC67">
        <v>21</v>
      </c>
      <c r="DD67">
        <f>DD25</f>
        <v>0</v>
      </c>
      <c r="DE67">
        <v>21</v>
      </c>
      <c r="DF67">
        <f>DF25</f>
        <v>0</v>
      </c>
      <c r="DG67">
        <v>21</v>
      </c>
      <c r="DH67">
        <f>DH25</f>
        <v>0</v>
      </c>
      <c r="DI67">
        <v>21</v>
      </c>
      <c r="DJ67">
        <f>DJ25</f>
        <v>0</v>
      </c>
      <c r="DK67">
        <v>21</v>
      </c>
      <c r="DL67">
        <f>DL25</f>
        <v>0</v>
      </c>
      <c r="DM67">
        <v>21</v>
      </c>
      <c r="DN67">
        <f>DN25</f>
        <v>0</v>
      </c>
      <c r="DO67">
        <v>21</v>
      </c>
      <c r="DP67">
        <f>DP25</f>
        <v>0</v>
      </c>
      <c r="DQ67">
        <v>21</v>
      </c>
      <c r="DR67">
        <f>DR25</f>
        <v>0</v>
      </c>
      <c r="DS67">
        <v>21</v>
      </c>
      <c r="DT67">
        <f>DT25</f>
        <v>0</v>
      </c>
      <c r="DU67">
        <v>21</v>
      </c>
      <c r="DV67">
        <f>DV25</f>
        <v>0</v>
      </c>
      <c r="DW67">
        <v>21</v>
      </c>
      <c r="DX67">
        <f>DX25</f>
        <v>0</v>
      </c>
      <c r="DY67">
        <v>21</v>
      </c>
      <c r="DZ67">
        <f>DZ25</f>
        <v>0</v>
      </c>
      <c r="EA67">
        <v>21</v>
      </c>
      <c r="EB67">
        <f>EB25</f>
        <v>0</v>
      </c>
      <c r="EC67">
        <v>21</v>
      </c>
      <c r="ED67">
        <f>ED25</f>
        <v>0</v>
      </c>
      <c r="EG67">
        <f>IF(Charts!$B$3="none",E274,IF(BS274="",NA(),BS274))</f>
        <v>0</v>
      </c>
      <c r="EH67">
        <f>IF(Charts!$B$3="none",F274,IF(BT274="",NA(),BT274))</f>
        <v>0</v>
      </c>
      <c r="EI67">
        <f>IF(Charts!$B$3="none",G274,IF(BU274="",NA(),BU274))</f>
        <v>0</v>
      </c>
      <c r="EJ67">
        <f>IF(Charts!$B$3="none",H274,IF(BV274="",NA(),BV274))</f>
        <v>0</v>
      </c>
      <c r="EK67">
        <f>IF(Charts!$B$3="none",I274,IF(BW274="",NA(),BW274))</f>
        <v>0</v>
      </c>
      <c r="EL67">
        <f>IF(Charts!$B$3="none",J274,IF(BX274="",NA(),BX274))</f>
        <v>0</v>
      </c>
      <c r="EM67">
        <f>IF(Charts!$B$3="none",K274,IF(BY274="",NA(),BY274))</f>
        <v>0</v>
      </c>
      <c r="EN67">
        <f>IF(Charts!$B$3="none",L274,IF(BZ274="",NA(),BZ274))</f>
        <v>0</v>
      </c>
      <c r="EO67">
        <f>IF(Charts!$B$3="none",M274,IF(CA274="",NA(),CA274))</f>
        <v>0</v>
      </c>
      <c r="EP67">
        <f>IF(Charts!$B$3="none",N274,IF(CB274="",NA(),CB274))</f>
        <v>0</v>
      </c>
      <c r="EQ67">
        <f>IF(Charts!$B$3="none",O274,IF(CC274="",NA(),CC274))</f>
        <v>0</v>
      </c>
      <c r="ER67">
        <f>IF(Charts!$B$3="none",P274,IF(CD274="",NA(),CD274))</f>
        <v>0</v>
      </c>
      <c r="ES67">
        <f>IF(Charts!$B$3="none",Q274,IF(CE274="",NA(),CE274))</f>
        <v>0</v>
      </c>
      <c r="ET67">
        <f>IF(Charts!$B$3="none",R274,IF(CF274="",NA(),CF274))</f>
        <v>0</v>
      </c>
      <c r="EU67">
        <f>IF(Charts!$B$3="none",S274,IF(CG274="",NA(),CG274))</f>
        <v>0</v>
      </c>
      <c r="EV67">
        <f>IF(Charts!$B$3="none",T274,IF(CH274="",NA(),CH274))</f>
        <v>0</v>
      </c>
      <c r="EW67">
        <f>IF(Charts!$B$3="none",U274,IF(CI274="",NA(),CI274))</f>
        <v>0</v>
      </c>
      <c r="EX67">
        <f>IF(Charts!$B$3="none",V274,IF(CJ274="",NA(),CJ274))</f>
        <v>0</v>
      </c>
      <c r="EY67">
        <f>IF(Charts!$B$3="none",W274,IF(CK274="",NA(),CK274))</f>
        <v>0</v>
      </c>
      <c r="EZ67">
        <f>IF(Charts!$B$3="none",X274,IF(CL274="",NA(),CL274))</f>
        <v>0</v>
      </c>
      <c r="FA67">
        <f>IF(Charts!$B$3="none",Y274,IF(CM274="",NA(),CM274))</f>
        <v>0</v>
      </c>
      <c r="FB67">
        <f>IF(Charts!$B$3="none",Z274,IF(CN274="",NA(),CN274))</f>
        <v>0</v>
      </c>
      <c r="FC67">
        <f>IF(Charts!$B$3="none",AA274,IF(CO274="",NA(),CO274))</f>
        <v>0</v>
      </c>
      <c r="FD67">
        <f>IF(Charts!$B$3="none",AB274,IF(CP274="",NA(),CP274))</f>
        <v>0</v>
      </c>
      <c r="FE67">
        <f>IF(Charts!$B$3="none",AC274,IF(CQ274="",NA(),CQ274))</f>
        <v>0</v>
      </c>
      <c r="FF67">
        <f>IF(Charts!$B$3="none",AD274,IF(CR274="",NA(),CR274))</f>
        <v>0</v>
      </c>
      <c r="FG67">
        <f>IF(Charts!$B$3="none",AE274,IF(CS274="",NA(),CS274))</f>
        <v>0</v>
      </c>
      <c r="FH67">
        <f>IF(Charts!$B$3="none",AF274,IF(CT274="",NA(),CT274))</f>
        <v>0</v>
      </c>
      <c r="FI67">
        <f>IF(Charts!$B$3="none",AG274,IF(CU274="",NA(),CU274))</f>
        <v>0</v>
      </c>
      <c r="FJ67">
        <f>IF(Charts!$B$3="none",AH274,IF(CV274="",NA(),CV274))</f>
        <v>0</v>
      </c>
      <c r="FK67">
        <f>IF(Charts!$B$3="none",AI274,IF(CW274="",NA(),CW274))</f>
        <v>0</v>
      </c>
      <c r="FL67">
        <f>IF(Charts!$B$3="none",AJ274,IF(CX274="",NA(),CX274))</f>
        <v>0</v>
      </c>
      <c r="FM67">
        <f>IF(Charts!$B$3="none",AK274,IF(CY274="",NA(),CY274))</f>
        <v>0</v>
      </c>
      <c r="FN67">
        <f>IF(Charts!$B$3="none",AL274,IF(CZ274="",NA(),CZ274))</f>
        <v>0</v>
      </c>
      <c r="FO67">
        <f>IF(Charts!$B$3="none",AM274,IF(DA274="",NA(),DA274))</f>
        <v>0</v>
      </c>
      <c r="FP67">
        <f>IF(Charts!$B$3="none",AN274,IF(DB274="",NA(),DB274))</f>
        <v>0</v>
      </c>
      <c r="FQ67">
        <f>IF(Charts!$B$3="none",AO274,IF(DC274="",NA(),DC274))</f>
        <v>0</v>
      </c>
      <c r="FR67">
        <f>IF(Charts!$B$3="none",AP274,IF(DD274="",NA(),DD274))</f>
        <v>0</v>
      </c>
      <c r="FS67">
        <f>IF(Charts!$B$3="none",AQ274,IF(DE274="",NA(),DE274))</f>
        <v>0</v>
      </c>
      <c r="FT67">
        <f>IF(Charts!$B$3="none",AR274,IF(DF274="",NA(),DF274))</f>
        <v>0</v>
      </c>
      <c r="FU67">
        <f>IF(Charts!$B$3="none",AS274,IF(DG274="",NA(),DG274))</f>
        <v>0</v>
      </c>
      <c r="FV67">
        <f>IF(Charts!$B$3="none",AT274,IF(DH274="",NA(),DH274))</f>
        <v>0</v>
      </c>
      <c r="FW67">
        <f>IF(Charts!$B$3="none",AU274,IF(DI274="",NA(),DI274))</f>
        <v>0</v>
      </c>
      <c r="FX67">
        <f>IF(Charts!$B$3="none",AV274,IF(DJ274="",NA(),DJ274))</f>
        <v>0</v>
      </c>
      <c r="FY67">
        <f>IF(Charts!$B$3="none",AW274,IF(DK274="",NA(),DK274))</f>
        <v>0</v>
      </c>
      <c r="FZ67">
        <f>IF(Charts!$B$3="none",AX274,IF(DL274="",NA(),DL274))</f>
        <v>0</v>
      </c>
      <c r="GA67">
        <f>IF(Charts!$B$3="none",AY274,IF(DM274="",NA(),DM274))</f>
        <v>0</v>
      </c>
      <c r="GB67">
        <f>IF(Charts!$B$3="none",AZ274,IF(DN274="",NA(),DN274))</f>
        <v>0</v>
      </c>
      <c r="GC67">
        <f>IF(Charts!$B$3="none",BA274,IF(DO274="",NA(),DO274))</f>
        <v>0</v>
      </c>
      <c r="GD67">
        <f>IF(Charts!$B$3="none",BB274,IF(DP274="",NA(),DP274))</f>
        <v>0</v>
      </c>
      <c r="GE67">
        <f>IF(Charts!$B$3="none",BC274,IF(DQ274="",NA(),DQ274))</f>
        <v>0</v>
      </c>
      <c r="GF67">
        <f>IF(Charts!$B$3="none",BD274,IF(DR274="",NA(),DR274))</f>
        <v>0</v>
      </c>
      <c r="GG67">
        <f>IF(Charts!$B$3="none",BE274,IF(DS274="",NA(),DS274))</f>
        <v>0</v>
      </c>
      <c r="GH67">
        <f>IF(Charts!$B$3="none",BF274,IF(DT274="",NA(),DT274))</f>
        <v>0</v>
      </c>
      <c r="GI67">
        <f>IF(Charts!$B$3="none",BG274,IF(DU274="",NA(),DU274))</f>
        <v>0</v>
      </c>
      <c r="GJ67">
        <f>IF(Charts!$B$3="none",BH274,IF(DV274="",NA(),DV274))</f>
        <v>0</v>
      </c>
      <c r="GK67">
        <f>IF(Charts!$B$3="none",BI274,IF(DW274="",NA(),DW274))</f>
        <v>0</v>
      </c>
      <c r="GL67">
        <f>IF(Charts!$B$3="none",BJ274,IF(DX274="",NA(),DX274))</f>
        <v>0</v>
      </c>
      <c r="GM67">
        <f>IF(Charts!$B$3="none",BK274,IF(DY274="",NA(),DY274))</f>
        <v>0</v>
      </c>
      <c r="GN67">
        <f>IF(Charts!$B$3="none",BL274,IF(DZ274="",NA(),DZ274))</f>
        <v>0</v>
      </c>
      <c r="GO67">
        <f>IF(Charts!$B$3="none",BM274,IF(EA274="",NA(),EA274))</f>
        <v>0</v>
      </c>
      <c r="GP67">
        <f>IF(Charts!$B$3="none",BN274,IF(EB274="",NA(),EB274))</f>
        <v>0</v>
      </c>
      <c r="GQ67">
        <f>IF(Charts!$B$3="none",BO274,IF(EC274="",NA(),EC274))</f>
        <v>0</v>
      </c>
      <c r="GR67">
        <f>IF(Charts!$B$3="none",BP274,IF(ED274="",NA(),ED274))</f>
        <v>0</v>
      </c>
    </row>
    <row r="68" spans="5:200">
      <c r="E68">
        <v>22</v>
      </c>
      <c r="F68">
        <f>F26</f>
        <v>0</v>
      </c>
      <c r="G68">
        <v>22</v>
      </c>
      <c r="H68">
        <f>H26</f>
        <v>0</v>
      </c>
      <c r="I68">
        <v>22</v>
      </c>
      <c r="J68">
        <f>J26</f>
        <v>0</v>
      </c>
      <c r="K68">
        <v>22</v>
      </c>
      <c r="L68">
        <f>L26</f>
        <v>0</v>
      </c>
      <c r="M68">
        <v>22</v>
      </c>
      <c r="N68">
        <f>N26</f>
        <v>0</v>
      </c>
      <c r="O68">
        <v>22</v>
      </c>
      <c r="P68">
        <f>P26</f>
        <v>0</v>
      </c>
      <c r="Q68">
        <v>22</v>
      </c>
      <c r="R68">
        <f>R26</f>
        <v>0</v>
      </c>
      <c r="S68">
        <v>22</v>
      </c>
      <c r="T68">
        <f>T26</f>
        <v>0</v>
      </c>
      <c r="U68">
        <v>22</v>
      </c>
      <c r="V68">
        <f>V26</f>
        <v>0</v>
      </c>
      <c r="W68">
        <v>22</v>
      </c>
      <c r="X68">
        <f>X26</f>
        <v>0</v>
      </c>
      <c r="Y68">
        <v>22</v>
      </c>
      <c r="Z68">
        <f>Z26</f>
        <v>0</v>
      </c>
      <c r="AA68">
        <v>22</v>
      </c>
      <c r="AB68">
        <f>AB26</f>
        <v>0</v>
      </c>
      <c r="AC68">
        <v>22</v>
      </c>
      <c r="AD68">
        <f>AD26</f>
        <v>0</v>
      </c>
      <c r="AE68">
        <v>22</v>
      </c>
      <c r="AF68">
        <f>AF26</f>
        <v>0</v>
      </c>
      <c r="AG68">
        <v>22</v>
      </c>
      <c r="AH68">
        <f>AH26</f>
        <v>0</v>
      </c>
      <c r="AI68">
        <v>22</v>
      </c>
      <c r="AJ68">
        <f>AJ26</f>
        <v>0</v>
      </c>
      <c r="AK68">
        <v>22</v>
      </c>
      <c r="AL68">
        <f>AL26</f>
        <v>0</v>
      </c>
      <c r="AM68">
        <v>22</v>
      </c>
      <c r="AN68">
        <f>AN26</f>
        <v>0</v>
      </c>
      <c r="AO68">
        <v>22</v>
      </c>
      <c r="AP68">
        <f>AP26</f>
        <v>0</v>
      </c>
      <c r="AQ68">
        <v>22</v>
      </c>
      <c r="AR68">
        <f>AR26</f>
        <v>0</v>
      </c>
      <c r="AS68">
        <v>22</v>
      </c>
      <c r="AT68">
        <f>AT26</f>
        <v>0</v>
      </c>
      <c r="AU68">
        <v>22</v>
      </c>
      <c r="AV68">
        <f>AV26</f>
        <v>0</v>
      </c>
      <c r="AW68">
        <v>22</v>
      </c>
      <c r="AX68">
        <f>AX26</f>
        <v>0</v>
      </c>
      <c r="AY68">
        <v>22</v>
      </c>
      <c r="AZ68">
        <f>AZ26</f>
        <v>0</v>
      </c>
      <c r="BA68">
        <v>22</v>
      </c>
      <c r="BB68">
        <f>BB26</f>
        <v>0</v>
      </c>
      <c r="BC68">
        <v>22</v>
      </c>
      <c r="BD68">
        <f>BD26</f>
        <v>0</v>
      </c>
      <c r="BE68">
        <v>22</v>
      </c>
      <c r="BF68">
        <f>BF26</f>
        <v>0</v>
      </c>
      <c r="BG68">
        <v>22</v>
      </c>
      <c r="BH68">
        <f>BH26</f>
        <v>0</v>
      </c>
      <c r="BI68">
        <v>22</v>
      </c>
      <c r="BJ68">
        <f>BJ26</f>
        <v>0</v>
      </c>
      <c r="BK68">
        <v>22</v>
      </c>
      <c r="BL68">
        <f>BL26</f>
        <v>0</v>
      </c>
      <c r="BM68">
        <v>22</v>
      </c>
      <c r="BN68">
        <f>BN26</f>
        <v>0</v>
      </c>
      <c r="BO68">
        <v>22</v>
      </c>
      <c r="BP68">
        <f>BP26</f>
        <v>0</v>
      </c>
      <c r="BS68">
        <v>22</v>
      </c>
      <c r="BT68">
        <f>BT26</f>
        <v>0</v>
      </c>
      <c r="BU68">
        <v>22</v>
      </c>
      <c r="BV68">
        <f>BV26</f>
        <v>0</v>
      </c>
      <c r="BW68">
        <v>22</v>
      </c>
      <c r="BX68">
        <f>BX26</f>
        <v>0</v>
      </c>
      <c r="BY68">
        <v>22</v>
      </c>
      <c r="BZ68">
        <f>BZ26</f>
        <v>0</v>
      </c>
      <c r="CA68">
        <v>22</v>
      </c>
      <c r="CB68">
        <f>CB26</f>
        <v>0</v>
      </c>
      <c r="CC68">
        <v>22</v>
      </c>
      <c r="CD68">
        <f>CD26</f>
        <v>0</v>
      </c>
      <c r="CE68">
        <v>22</v>
      </c>
      <c r="CF68">
        <f>CF26</f>
        <v>0</v>
      </c>
      <c r="CG68">
        <v>22</v>
      </c>
      <c r="CH68">
        <f>CH26</f>
        <v>0</v>
      </c>
      <c r="CI68">
        <v>22</v>
      </c>
      <c r="CJ68">
        <f>CJ26</f>
        <v>0</v>
      </c>
      <c r="CK68">
        <v>22</v>
      </c>
      <c r="CL68">
        <f>CL26</f>
        <v>0</v>
      </c>
      <c r="CM68">
        <v>22</v>
      </c>
      <c r="CN68">
        <f>CN26</f>
        <v>0</v>
      </c>
      <c r="CO68">
        <v>22</v>
      </c>
      <c r="CP68">
        <f>CP26</f>
        <v>0</v>
      </c>
      <c r="CQ68">
        <v>22</v>
      </c>
      <c r="CR68">
        <f>CR26</f>
        <v>0</v>
      </c>
      <c r="CS68">
        <v>22</v>
      </c>
      <c r="CT68">
        <f>CT26</f>
        <v>0</v>
      </c>
      <c r="CU68">
        <v>22</v>
      </c>
      <c r="CV68">
        <f>CV26</f>
        <v>0</v>
      </c>
      <c r="CW68">
        <v>22</v>
      </c>
      <c r="CX68">
        <f>CX26</f>
        <v>0</v>
      </c>
      <c r="CY68">
        <v>22</v>
      </c>
      <c r="CZ68">
        <f>CZ26</f>
        <v>0</v>
      </c>
      <c r="DA68">
        <v>22</v>
      </c>
      <c r="DB68">
        <f>DB26</f>
        <v>0</v>
      </c>
      <c r="DC68">
        <v>22</v>
      </c>
      <c r="DD68">
        <f>DD26</f>
        <v>0</v>
      </c>
      <c r="DE68">
        <v>22</v>
      </c>
      <c r="DF68">
        <f>DF26</f>
        <v>0</v>
      </c>
      <c r="DG68">
        <v>22</v>
      </c>
      <c r="DH68">
        <f>DH26</f>
        <v>0</v>
      </c>
      <c r="DI68">
        <v>22</v>
      </c>
      <c r="DJ68">
        <f>DJ26</f>
        <v>0</v>
      </c>
      <c r="DK68">
        <v>22</v>
      </c>
      <c r="DL68">
        <f>DL26</f>
        <v>0</v>
      </c>
      <c r="DM68">
        <v>22</v>
      </c>
      <c r="DN68">
        <f>DN26</f>
        <v>0</v>
      </c>
      <c r="DO68">
        <v>22</v>
      </c>
      <c r="DP68">
        <f>DP26</f>
        <v>0</v>
      </c>
      <c r="DQ68">
        <v>22</v>
      </c>
      <c r="DR68">
        <f>DR26</f>
        <v>0</v>
      </c>
      <c r="DS68">
        <v>22</v>
      </c>
      <c r="DT68">
        <f>DT26</f>
        <v>0</v>
      </c>
      <c r="DU68">
        <v>22</v>
      </c>
      <c r="DV68">
        <f>DV26</f>
        <v>0</v>
      </c>
      <c r="DW68">
        <v>22</v>
      </c>
      <c r="DX68">
        <f>DX26</f>
        <v>0</v>
      </c>
      <c r="DY68">
        <v>22</v>
      </c>
      <c r="DZ68">
        <f>DZ26</f>
        <v>0</v>
      </c>
      <c r="EA68">
        <v>22</v>
      </c>
      <c r="EB68">
        <f>EB26</f>
        <v>0</v>
      </c>
      <c r="EC68">
        <v>22</v>
      </c>
      <c r="ED68">
        <f>ED26</f>
        <v>0</v>
      </c>
      <c r="EG68">
        <f>IF(Charts!$B$3="none",E275,IF(BS275="",NA(),BS275))</f>
        <v>0</v>
      </c>
      <c r="EH68">
        <f>IF(Charts!$B$3="none",F275,IF(BT275="",NA(),BT275))</f>
        <v>0</v>
      </c>
      <c r="EI68">
        <f>IF(Charts!$B$3="none",G275,IF(BU275="",NA(),BU275))</f>
        <v>0</v>
      </c>
      <c r="EJ68">
        <f>IF(Charts!$B$3="none",H275,IF(BV275="",NA(),BV275))</f>
        <v>0</v>
      </c>
      <c r="EK68">
        <f>IF(Charts!$B$3="none",I275,IF(BW275="",NA(),BW275))</f>
        <v>0</v>
      </c>
      <c r="EL68">
        <f>IF(Charts!$B$3="none",J275,IF(BX275="",NA(),BX275))</f>
        <v>0</v>
      </c>
      <c r="EM68">
        <f>IF(Charts!$B$3="none",K275,IF(BY275="",NA(),BY275))</f>
        <v>0</v>
      </c>
      <c r="EN68">
        <f>IF(Charts!$B$3="none",L275,IF(BZ275="",NA(),BZ275))</f>
        <v>0</v>
      </c>
      <c r="EO68">
        <f>IF(Charts!$B$3="none",M275,IF(CA275="",NA(),CA275))</f>
        <v>0</v>
      </c>
      <c r="EP68">
        <f>IF(Charts!$B$3="none",N275,IF(CB275="",NA(),CB275))</f>
        <v>0</v>
      </c>
      <c r="EQ68">
        <f>IF(Charts!$B$3="none",O275,IF(CC275="",NA(),CC275))</f>
        <v>0</v>
      </c>
      <c r="ER68">
        <f>IF(Charts!$B$3="none",P275,IF(CD275="",NA(),CD275))</f>
        <v>0</v>
      </c>
      <c r="ES68">
        <f>IF(Charts!$B$3="none",Q275,IF(CE275="",NA(),CE275))</f>
        <v>0</v>
      </c>
      <c r="ET68">
        <f>IF(Charts!$B$3="none",R275,IF(CF275="",NA(),CF275))</f>
        <v>0</v>
      </c>
      <c r="EU68">
        <f>IF(Charts!$B$3="none",S275,IF(CG275="",NA(),CG275))</f>
        <v>0</v>
      </c>
      <c r="EV68">
        <f>IF(Charts!$B$3="none",T275,IF(CH275="",NA(),CH275))</f>
        <v>0</v>
      </c>
      <c r="EW68">
        <f>IF(Charts!$B$3="none",U275,IF(CI275="",NA(),CI275))</f>
        <v>0</v>
      </c>
      <c r="EX68">
        <f>IF(Charts!$B$3="none",V275,IF(CJ275="",NA(),CJ275))</f>
        <v>0</v>
      </c>
      <c r="EY68">
        <f>IF(Charts!$B$3="none",W275,IF(CK275="",NA(),CK275))</f>
        <v>0</v>
      </c>
      <c r="EZ68">
        <f>IF(Charts!$B$3="none",X275,IF(CL275="",NA(),CL275))</f>
        <v>0</v>
      </c>
      <c r="FA68">
        <f>IF(Charts!$B$3="none",Y275,IF(CM275="",NA(),CM275))</f>
        <v>0</v>
      </c>
      <c r="FB68">
        <f>IF(Charts!$B$3="none",Z275,IF(CN275="",NA(),CN275))</f>
        <v>0</v>
      </c>
      <c r="FC68">
        <f>IF(Charts!$B$3="none",AA275,IF(CO275="",NA(),CO275))</f>
        <v>0</v>
      </c>
      <c r="FD68">
        <f>IF(Charts!$B$3="none",AB275,IF(CP275="",NA(),CP275))</f>
        <v>0</v>
      </c>
      <c r="FE68">
        <f>IF(Charts!$B$3="none",AC275,IF(CQ275="",NA(),CQ275))</f>
        <v>0</v>
      </c>
      <c r="FF68">
        <f>IF(Charts!$B$3="none",AD275,IF(CR275="",NA(),CR275))</f>
        <v>0</v>
      </c>
      <c r="FG68">
        <f>IF(Charts!$B$3="none",AE275,IF(CS275="",NA(),CS275))</f>
        <v>0</v>
      </c>
      <c r="FH68">
        <f>IF(Charts!$B$3="none",AF275,IF(CT275="",NA(),CT275))</f>
        <v>0</v>
      </c>
      <c r="FI68">
        <f>IF(Charts!$B$3="none",AG275,IF(CU275="",NA(),CU275))</f>
        <v>0</v>
      </c>
      <c r="FJ68">
        <f>IF(Charts!$B$3="none",AH275,IF(CV275="",NA(),CV275))</f>
        <v>0</v>
      </c>
      <c r="FK68">
        <f>IF(Charts!$B$3="none",AI275,IF(CW275="",NA(),CW275))</f>
        <v>0</v>
      </c>
      <c r="FL68">
        <f>IF(Charts!$B$3="none",AJ275,IF(CX275="",NA(),CX275))</f>
        <v>0</v>
      </c>
      <c r="FM68">
        <f>IF(Charts!$B$3="none",AK275,IF(CY275="",NA(),CY275))</f>
        <v>0</v>
      </c>
      <c r="FN68">
        <f>IF(Charts!$B$3="none",AL275,IF(CZ275="",NA(),CZ275))</f>
        <v>0</v>
      </c>
      <c r="FO68">
        <f>IF(Charts!$B$3="none",AM275,IF(DA275="",NA(),DA275))</f>
        <v>0</v>
      </c>
      <c r="FP68">
        <f>IF(Charts!$B$3="none",AN275,IF(DB275="",NA(),DB275))</f>
        <v>0</v>
      </c>
      <c r="FQ68">
        <f>IF(Charts!$B$3="none",AO275,IF(DC275="",NA(),DC275))</f>
        <v>0</v>
      </c>
      <c r="FR68">
        <f>IF(Charts!$B$3="none",AP275,IF(DD275="",NA(),DD275))</f>
        <v>0</v>
      </c>
      <c r="FS68">
        <f>IF(Charts!$B$3="none",AQ275,IF(DE275="",NA(),DE275))</f>
        <v>0</v>
      </c>
      <c r="FT68">
        <f>IF(Charts!$B$3="none",AR275,IF(DF275="",NA(),DF275))</f>
        <v>0</v>
      </c>
      <c r="FU68">
        <f>IF(Charts!$B$3="none",AS275,IF(DG275="",NA(),DG275))</f>
        <v>0</v>
      </c>
      <c r="FV68">
        <f>IF(Charts!$B$3="none",AT275,IF(DH275="",NA(),DH275))</f>
        <v>0</v>
      </c>
      <c r="FW68">
        <f>IF(Charts!$B$3="none",AU275,IF(DI275="",NA(),DI275))</f>
        <v>0</v>
      </c>
      <c r="FX68">
        <f>IF(Charts!$B$3="none",AV275,IF(DJ275="",NA(),DJ275))</f>
        <v>0</v>
      </c>
      <c r="FY68">
        <f>IF(Charts!$B$3="none",AW275,IF(DK275="",NA(),DK275))</f>
        <v>0</v>
      </c>
      <c r="FZ68">
        <f>IF(Charts!$B$3="none",AX275,IF(DL275="",NA(),DL275))</f>
        <v>0</v>
      </c>
      <c r="GA68">
        <f>IF(Charts!$B$3="none",AY275,IF(DM275="",NA(),DM275))</f>
        <v>0</v>
      </c>
      <c r="GB68">
        <f>IF(Charts!$B$3="none",AZ275,IF(DN275="",NA(),DN275))</f>
        <v>0</v>
      </c>
      <c r="GC68">
        <f>IF(Charts!$B$3="none",BA275,IF(DO275="",NA(),DO275))</f>
        <v>0</v>
      </c>
      <c r="GD68">
        <f>IF(Charts!$B$3="none",BB275,IF(DP275="",NA(),DP275))</f>
        <v>0</v>
      </c>
      <c r="GE68">
        <f>IF(Charts!$B$3="none",BC275,IF(DQ275="",NA(),DQ275))</f>
        <v>0</v>
      </c>
      <c r="GF68">
        <f>IF(Charts!$B$3="none",BD275,IF(DR275="",NA(),DR275))</f>
        <v>0</v>
      </c>
      <c r="GG68">
        <f>IF(Charts!$B$3="none",BE275,IF(DS275="",NA(),DS275))</f>
        <v>0</v>
      </c>
      <c r="GH68">
        <f>IF(Charts!$B$3="none",BF275,IF(DT275="",NA(),DT275))</f>
        <v>0</v>
      </c>
      <c r="GI68">
        <f>IF(Charts!$B$3="none",BG275,IF(DU275="",NA(),DU275))</f>
        <v>0</v>
      </c>
      <c r="GJ68">
        <f>IF(Charts!$B$3="none",BH275,IF(DV275="",NA(),DV275))</f>
        <v>0</v>
      </c>
      <c r="GK68">
        <f>IF(Charts!$B$3="none",BI275,IF(DW275="",NA(),DW275))</f>
        <v>0</v>
      </c>
      <c r="GL68">
        <f>IF(Charts!$B$3="none",BJ275,IF(DX275="",NA(),DX275))</f>
        <v>0</v>
      </c>
      <c r="GM68">
        <f>IF(Charts!$B$3="none",BK275,IF(DY275="",NA(),DY275))</f>
        <v>0</v>
      </c>
      <c r="GN68">
        <f>IF(Charts!$B$3="none",BL275,IF(DZ275="",NA(),DZ275))</f>
        <v>0</v>
      </c>
      <c r="GO68">
        <f>IF(Charts!$B$3="none",BM275,IF(EA275="",NA(),EA275))</f>
        <v>0</v>
      </c>
      <c r="GP68">
        <f>IF(Charts!$B$3="none",BN275,IF(EB275="",NA(),EB275))</f>
        <v>0</v>
      </c>
      <c r="GQ68">
        <f>IF(Charts!$B$3="none",BO275,IF(EC275="",NA(),EC275))</f>
        <v>0</v>
      </c>
      <c r="GR68">
        <f>IF(Charts!$B$3="none",BP275,IF(ED275="",NA(),ED275))</f>
        <v>0</v>
      </c>
    </row>
    <row r="69" spans="5:200">
      <c r="E69">
        <v>23</v>
      </c>
      <c r="F69">
        <f>F27</f>
        <v>0</v>
      </c>
      <c r="G69">
        <v>23</v>
      </c>
      <c r="H69">
        <f>H27</f>
        <v>0</v>
      </c>
      <c r="I69">
        <v>23</v>
      </c>
      <c r="J69">
        <f>J27</f>
        <v>0</v>
      </c>
      <c r="K69">
        <v>23</v>
      </c>
      <c r="L69">
        <f>L27</f>
        <v>0</v>
      </c>
      <c r="M69">
        <v>23</v>
      </c>
      <c r="N69">
        <f>N27</f>
        <v>0</v>
      </c>
      <c r="O69">
        <v>23</v>
      </c>
      <c r="P69">
        <f>P27</f>
        <v>0</v>
      </c>
      <c r="Q69">
        <v>23</v>
      </c>
      <c r="R69">
        <f>R27</f>
        <v>0</v>
      </c>
      <c r="S69">
        <v>23</v>
      </c>
      <c r="T69">
        <f>T27</f>
        <v>0</v>
      </c>
      <c r="U69">
        <v>23</v>
      </c>
      <c r="V69">
        <f>V27</f>
        <v>0</v>
      </c>
      <c r="W69">
        <v>23</v>
      </c>
      <c r="X69">
        <f>X27</f>
        <v>0</v>
      </c>
      <c r="Y69">
        <v>23</v>
      </c>
      <c r="Z69">
        <f>Z27</f>
        <v>0</v>
      </c>
      <c r="AA69">
        <v>23</v>
      </c>
      <c r="AB69">
        <f>AB27</f>
        <v>0</v>
      </c>
      <c r="AC69">
        <v>23</v>
      </c>
      <c r="AD69">
        <f>AD27</f>
        <v>0</v>
      </c>
      <c r="AE69">
        <v>23</v>
      </c>
      <c r="AF69">
        <f>AF27</f>
        <v>0</v>
      </c>
      <c r="AG69">
        <v>23</v>
      </c>
      <c r="AH69">
        <f>AH27</f>
        <v>0</v>
      </c>
      <c r="AI69">
        <v>23</v>
      </c>
      <c r="AJ69">
        <f>AJ27</f>
        <v>0</v>
      </c>
      <c r="AK69">
        <v>23</v>
      </c>
      <c r="AL69">
        <f>AL27</f>
        <v>0</v>
      </c>
      <c r="AM69">
        <v>23</v>
      </c>
      <c r="AN69">
        <f>AN27</f>
        <v>0</v>
      </c>
      <c r="AO69">
        <v>23</v>
      </c>
      <c r="AP69">
        <f>AP27</f>
        <v>0</v>
      </c>
      <c r="AQ69">
        <v>23</v>
      </c>
      <c r="AR69">
        <f>AR27</f>
        <v>0</v>
      </c>
      <c r="AS69">
        <v>23</v>
      </c>
      <c r="AT69">
        <f>AT27</f>
        <v>0</v>
      </c>
      <c r="AU69">
        <v>23</v>
      </c>
      <c r="AV69">
        <f>AV27</f>
        <v>0</v>
      </c>
      <c r="AW69">
        <v>23</v>
      </c>
      <c r="AX69">
        <f>AX27</f>
        <v>0</v>
      </c>
      <c r="AY69">
        <v>23</v>
      </c>
      <c r="AZ69">
        <f>AZ27</f>
        <v>0</v>
      </c>
      <c r="BA69">
        <v>23</v>
      </c>
      <c r="BB69">
        <f>BB27</f>
        <v>0</v>
      </c>
      <c r="BC69">
        <v>23</v>
      </c>
      <c r="BD69">
        <f>BD27</f>
        <v>0</v>
      </c>
      <c r="BE69">
        <v>23</v>
      </c>
      <c r="BF69">
        <f>BF27</f>
        <v>0</v>
      </c>
      <c r="BG69">
        <v>23</v>
      </c>
      <c r="BH69">
        <f>BH27</f>
        <v>0</v>
      </c>
      <c r="BI69">
        <v>23</v>
      </c>
      <c r="BJ69">
        <f>BJ27</f>
        <v>0</v>
      </c>
      <c r="BK69">
        <v>23</v>
      </c>
      <c r="BL69">
        <f>BL27</f>
        <v>0</v>
      </c>
      <c r="BM69">
        <v>23</v>
      </c>
      <c r="BN69">
        <f>BN27</f>
        <v>0</v>
      </c>
      <c r="BO69">
        <v>23</v>
      </c>
      <c r="BP69">
        <f>BP27</f>
        <v>0</v>
      </c>
      <c r="BS69">
        <v>23</v>
      </c>
      <c r="BT69">
        <f>BT27</f>
        <v>0</v>
      </c>
      <c r="BU69">
        <v>23</v>
      </c>
      <c r="BV69">
        <f>BV27</f>
        <v>0</v>
      </c>
      <c r="BW69">
        <v>23</v>
      </c>
      <c r="BX69">
        <f>BX27</f>
        <v>0</v>
      </c>
      <c r="BY69">
        <v>23</v>
      </c>
      <c r="BZ69">
        <f>BZ27</f>
        <v>0</v>
      </c>
      <c r="CA69">
        <v>23</v>
      </c>
      <c r="CB69">
        <f>CB27</f>
        <v>0</v>
      </c>
      <c r="CC69">
        <v>23</v>
      </c>
      <c r="CD69">
        <f>CD27</f>
        <v>0</v>
      </c>
      <c r="CE69">
        <v>23</v>
      </c>
      <c r="CF69">
        <f>CF27</f>
        <v>0</v>
      </c>
      <c r="CG69">
        <v>23</v>
      </c>
      <c r="CH69">
        <f>CH27</f>
        <v>0</v>
      </c>
      <c r="CI69">
        <v>23</v>
      </c>
      <c r="CJ69">
        <f>CJ27</f>
        <v>0</v>
      </c>
      <c r="CK69">
        <v>23</v>
      </c>
      <c r="CL69">
        <f>CL27</f>
        <v>0</v>
      </c>
      <c r="CM69">
        <v>23</v>
      </c>
      <c r="CN69">
        <f>CN27</f>
        <v>0</v>
      </c>
      <c r="CO69">
        <v>23</v>
      </c>
      <c r="CP69">
        <f>CP27</f>
        <v>0</v>
      </c>
      <c r="CQ69">
        <v>23</v>
      </c>
      <c r="CR69">
        <f>CR27</f>
        <v>0</v>
      </c>
      <c r="CS69">
        <v>23</v>
      </c>
      <c r="CT69">
        <f>CT27</f>
        <v>0</v>
      </c>
      <c r="CU69">
        <v>23</v>
      </c>
      <c r="CV69">
        <f>CV27</f>
        <v>0</v>
      </c>
      <c r="CW69">
        <v>23</v>
      </c>
      <c r="CX69">
        <f>CX27</f>
        <v>0</v>
      </c>
      <c r="CY69">
        <v>23</v>
      </c>
      <c r="CZ69">
        <f>CZ27</f>
        <v>0</v>
      </c>
      <c r="DA69">
        <v>23</v>
      </c>
      <c r="DB69">
        <f>DB27</f>
        <v>0</v>
      </c>
      <c r="DC69">
        <v>23</v>
      </c>
      <c r="DD69">
        <f>DD27</f>
        <v>0</v>
      </c>
      <c r="DE69">
        <v>23</v>
      </c>
      <c r="DF69">
        <f>DF27</f>
        <v>0</v>
      </c>
      <c r="DG69">
        <v>23</v>
      </c>
      <c r="DH69">
        <f>DH27</f>
        <v>0</v>
      </c>
      <c r="DI69">
        <v>23</v>
      </c>
      <c r="DJ69">
        <f>DJ27</f>
        <v>0</v>
      </c>
      <c r="DK69">
        <v>23</v>
      </c>
      <c r="DL69">
        <f>DL27</f>
        <v>0</v>
      </c>
      <c r="DM69">
        <v>23</v>
      </c>
      <c r="DN69">
        <f>DN27</f>
        <v>0</v>
      </c>
      <c r="DO69">
        <v>23</v>
      </c>
      <c r="DP69">
        <f>DP27</f>
        <v>0</v>
      </c>
      <c r="DQ69">
        <v>23</v>
      </c>
      <c r="DR69">
        <f>DR27</f>
        <v>0</v>
      </c>
      <c r="DS69">
        <v>23</v>
      </c>
      <c r="DT69">
        <f>DT27</f>
        <v>0</v>
      </c>
      <c r="DU69">
        <v>23</v>
      </c>
      <c r="DV69">
        <f>DV27</f>
        <v>0</v>
      </c>
      <c r="DW69">
        <v>23</v>
      </c>
      <c r="DX69">
        <f>DX27</f>
        <v>0</v>
      </c>
      <c r="DY69">
        <v>23</v>
      </c>
      <c r="DZ69">
        <f>DZ27</f>
        <v>0</v>
      </c>
      <c r="EA69">
        <v>23</v>
      </c>
      <c r="EB69">
        <f>EB27</f>
        <v>0</v>
      </c>
      <c r="EC69">
        <v>23</v>
      </c>
      <c r="ED69">
        <f>ED27</f>
        <v>0</v>
      </c>
      <c r="EG69">
        <f>IF(Charts!$B$3="none",E276,IF(BS276="",NA(),BS276))</f>
        <v>0</v>
      </c>
      <c r="EH69">
        <f>IF(Charts!$B$3="none",F276,IF(BT276="",NA(),BT276))</f>
        <v>0</v>
      </c>
      <c r="EI69">
        <f>IF(Charts!$B$3="none",G276,IF(BU276="",NA(),BU276))</f>
        <v>0</v>
      </c>
      <c r="EJ69">
        <f>IF(Charts!$B$3="none",H276,IF(BV276="",NA(),BV276))</f>
        <v>0</v>
      </c>
      <c r="EK69">
        <f>IF(Charts!$B$3="none",I276,IF(BW276="",NA(),BW276))</f>
        <v>0</v>
      </c>
      <c r="EL69">
        <f>IF(Charts!$B$3="none",J276,IF(BX276="",NA(),BX276))</f>
        <v>0</v>
      </c>
      <c r="EM69">
        <f>IF(Charts!$B$3="none",K276,IF(BY276="",NA(),BY276))</f>
        <v>0</v>
      </c>
      <c r="EN69">
        <f>IF(Charts!$B$3="none",L276,IF(BZ276="",NA(),BZ276))</f>
        <v>0</v>
      </c>
      <c r="EO69">
        <f>IF(Charts!$B$3="none",M276,IF(CA276="",NA(),CA276))</f>
        <v>0</v>
      </c>
      <c r="EP69">
        <f>IF(Charts!$B$3="none",N276,IF(CB276="",NA(),CB276))</f>
        <v>0</v>
      </c>
      <c r="EQ69">
        <f>IF(Charts!$B$3="none",O276,IF(CC276="",NA(),CC276))</f>
        <v>0</v>
      </c>
      <c r="ER69">
        <f>IF(Charts!$B$3="none",P276,IF(CD276="",NA(),CD276))</f>
        <v>0</v>
      </c>
      <c r="ES69">
        <f>IF(Charts!$B$3="none",Q276,IF(CE276="",NA(),CE276))</f>
        <v>0</v>
      </c>
      <c r="ET69">
        <f>IF(Charts!$B$3="none",R276,IF(CF276="",NA(),CF276))</f>
        <v>0</v>
      </c>
      <c r="EU69">
        <f>IF(Charts!$B$3="none",S276,IF(CG276="",NA(),CG276))</f>
        <v>0</v>
      </c>
      <c r="EV69">
        <f>IF(Charts!$B$3="none",T276,IF(CH276="",NA(),CH276))</f>
        <v>0</v>
      </c>
      <c r="EW69">
        <f>IF(Charts!$B$3="none",U276,IF(CI276="",NA(),CI276))</f>
        <v>0</v>
      </c>
      <c r="EX69">
        <f>IF(Charts!$B$3="none",V276,IF(CJ276="",NA(),CJ276))</f>
        <v>0</v>
      </c>
      <c r="EY69">
        <f>IF(Charts!$B$3="none",W276,IF(CK276="",NA(),CK276))</f>
        <v>0</v>
      </c>
      <c r="EZ69">
        <f>IF(Charts!$B$3="none",X276,IF(CL276="",NA(),CL276))</f>
        <v>0</v>
      </c>
      <c r="FA69">
        <f>IF(Charts!$B$3="none",Y276,IF(CM276="",NA(),CM276))</f>
        <v>0</v>
      </c>
      <c r="FB69">
        <f>IF(Charts!$B$3="none",Z276,IF(CN276="",NA(),CN276))</f>
        <v>0</v>
      </c>
      <c r="FC69">
        <f>IF(Charts!$B$3="none",AA276,IF(CO276="",NA(),CO276))</f>
        <v>0</v>
      </c>
      <c r="FD69">
        <f>IF(Charts!$B$3="none",AB276,IF(CP276="",NA(),CP276))</f>
        <v>0</v>
      </c>
      <c r="FE69">
        <f>IF(Charts!$B$3="none",AC276,IF(CQ276="",NA(),CQ276))</f>
        <v>0</v>
      </c>
      <c r="FF69">
        <f>IF(Charts!$B$3="none",AD276,IF(CR276="",NA(),CR276))</f>
        <v>0</v>
      </c>
      <c r="FG69">
        <f>IF(Charts!$B$3="none",AE276,IF(CS276="",NA(),CS276))</f>
        <v>0</v>
      </c>
      <c r="FH69">
        <f>IF(Charts!$B$3="none",AF276,IF(CT276="",NA(),CT276))</f>
        <v>0</v>
      </c>
      <c r="FI69">
        <f>IF(Charts!$B$3="none",AG276,IF(CU276="",NA(),CU276))</f>
        <v>0</v>
      </c>
      <c r="FJ69">
        <f>IF(Charts!$B$3="none",AH276,IF(CV276="",NA(),CV276))</f>
        <v>0</v>
      </c>
      <c r="FK69">
        <f>IF(Charts!$B$3="none",AI276,IF(CW276="",NA(),CW276))</f>
        <v>0</v>
      </c>
      <c r="FL69">
        <f>IF(Charts!$B$3="none",AJ276,IF(CX276="",NA(),CX276))</f>
        <v>0</v>
      </c>
      <c r="FM69">
        <f>IF(Charts!$B$3="none",AK276,IF(CY276="",NA(),CY276))</f>
        <v>0</v>
      </c>
      <c r="FN69">
        <f>IF(Charts!$B$3="none",AL276,IF(CZ276="",NA(),CZ276))</f>
        <v>0</v>
      </c>
      <c r="FO69">
        <f>IF(Charts!$B$3="none",AM276,IF(DA276="",NA(),DA276))</f>
        <v>0</v>
      </c>
      <c r="FP69">
        <f>IF(Charts!$B$3="none",AN276,IF(DB276="",NA(),DB276))</f>
        <v>0</v>
      </c>
      <c r="FQ69">
        <f>IF(Charts!$B$3="none",AO276,IF(DC276="",NA(),DC276))</f>
        <v>0</v>
      </c>
      <c r="FR69">
        <f>IF(Charts!$B$3="none",AP276,IF(DD276="",NA(),DD276))</f>
        <v>0</v>
      </c>
      <c r="FS69">
        <f>IF(Charts!$B$3="none",AQ276,IF(DE276="",NA(),DE276))</f>
        <v>0</v>
      </c>
      <c r="FT69">
        <f>IF(Charts!$B$3="none",AR276,IF(DF276="",NA(),DF276))</f>
        <v>0</v>
      </c>
      <c r="FU69">
        <f>IF(Charts!$B$3="none",AS276,IF(DG276="",NA(),DG276))</f>
        <v>0</v>
      </c>
      <c r="FV69">
        <f>IF(Charts!$B$3="none",AT276,IF(DH276="",NA(),DH276))</f>
        <v>0</v>
      </c>
      <c r="FW69">
        <f>IF(Charts!$B$3="none",AU276,IF(DI276="",NA(),DI276))</f>
        <v>0</v>
      </c>
      <c r="FX69">
        <f>IF(Charts!$B$3="none",AV276,IF(DJ276="",NA(),DJ276))</f>
        <v>0</v>
      </c>
      <c r="FY69">
        <f>IF(Charts!$B$3="none",AW276,IF(DK276="",NA(),DK276))</f>
        <v>0</v>
      </c>
      <c r="FZ69">
        <f>IF(Charts!$B$3="none",AX276,IF(DL276="",NA(),DL276))</f>
        <v>0</v>
      </c>
      <c r="GA69">
        <f>IF(Charts!$B$3="none",AY276,IF(DM276="",NA(),DM276))</f>
        <v>0</v>
      </c>
      <c r="GB69">
        <f>IF(Charts!$B$3="none",AZ276,IF(DN276="",NA(),DN276))</f>
        <v>0</v>
      </c>
      <c r="GC69">
        <f>IF(Charts!$B$3="none",BA276,IF(DO276="",NA(),DO276))</f>
        <v>0</v>
      </c>
      <c r="GD69">
        <f>IF(Charts!$B$3="none",BB276,IF(DP276="",NA(),DP276))</f>
        <v>0</v>
      </c>
      <c r="GE69">
        <f>IF(Charts!$B$3="none",BC276,IF(DQ276="",NA(),DQ276))</f>
        <v>0</v>
      </c>
      <c r="GF69">
        <f>IF(Charts!$B$3="none",BD276,IF(DR276="",NA(),DR276))</f>
        <v>0</v>
      </c>
      <c r="GG69">
        <f>IF(Charts!$B$3="none",BE276,IF(DS276="",NA(),DS276))</f>
        <v>0</v>
      </c>
      <c r="GH69">
        <f>IF(Charts!$B$3="none",BF276,IF(DT276="",NA(),DT276))</f>
        <v>0</v>
      </c>
      <c r="GI69">
        <f>IF(Charts!$B$3="none",BG276,IF(DU276="",NA(),DU276))</f>
        <v>0</v>
      </c>
      <c r="GJ69">
        <f>IF(Charts!$B$3="none",BH276,IF(DV276="",NA(),DV276))</f>
        <v>0</v>
      </c>
      <c r="GK69">
        <f>IF(Charts!$B$3="none",BI276,IF(DW276="",NA(),DW276))</f>
        <v>0</v>
      </c>
      <c r="GL69">
        <f>IF(Charts!$B$3="none",BJ276,IF(DX276="",NA(),DX276))</f>
        <v>0</v>
      </c>
      <c r="GM69">
        <f>IF(Charts!$B$3="none",BK276,IF(DY276="",NA(),DY276))</f>
        <v>0</v>
      </c>
      <c r="GN69">
        <f>IF(Charts!$B$3="none",BL276,IF(DZ276="",NA(),DZ276))</f>
        <v>0</v>
      </c>
      <c r="GO69">
        <f>IF(Charts!$B$3="none",BM276,IF(EA276="",NA(),EA276))</f>
        <v>0</v>
      </c>
      <c r="GP69">
        <f>IF(Charts!$B$3="none",BN276,IF(EB276="",NA(),EB276))</f>
        <v>0</v>
      </c>
      <c r="GQ69">
        <f>IF(Charts!$B$3="none",BO276,IF(EC276="",NA(),EC276))</f>
        <v>0</v>
      </c>
      <c r="GR69">
        <f>IF(Charts!$B$3="none",BP276,IF(ED276="",NA(),ED276))</f>
        <v>0</v>
      </c>
    </row>
    <row r="70" spans="5:200">
      <c r="E70">
        <v>24</v>
      </c>
      <c r="F70">
        <f>F28</f>
        <v>0</v>
      </c>
      <c r="G70">
        <v>24</v>
      </c>
      <c r="H70">
        <f>H28</f>
        <v>0</v>
      </c>
      <c r="I70">
        <v>24</v>
      </c>
      <c r="J70">
        <f>J28</f>
        <v>0</v>
      </c>
      <c r="K70">
        <v>24</v>
      </c>
      <c r="L70">
        <f>L28</f>
        <v>0</v>
      </c>
      <c r="M70">
        <v>24</v>
      </c>
      <c r="N70">
        <f>N28</f>
        <v>0</v>
      </c>
      <c r="O70">
        <v>24</v>
      </c>
      <c r="P70">
        <f>P28</f>
        <v>0</v>
      </c>
      <c r="Q70">
        <v>24</v>
      </c>
      <c r="R70">
        <f>R28</f>
        <v>0</v>
      </c>
      <c r="S70">
        <v>24</v>
      </c>
      <c r="T70">
        <f>T28</f>
        <v>0</v>
      </c>
      <c r="U70">
        <v>24</v>
      </c>
      <c r="V70">
        <f>V28</f>
        <v>0</v>
      </c>
      <c r="W70">
        <v>24</v>
      </c>
      <c r="X70">
        <f>X28</f>
        <v>0</v>
      </c>
      <c r="Y70">
        <v>24</v>
      </c>
      <c r="Z70">
        <f>Z28</f>
        <v>0</v>
      </c>
      <c r="AA70">
        <v>24</v>
      </c>
      <c r="AB70">
        <f>AB28</f>
        <v>0</v>
      </c>
      <c r="AC70">
        <v>24</v>
      </c>
      <c r="AD70">
        <f>AD28</f>
        <v>0</v>
      </c>
      <c r="AE70">
        <v>24</v>
      </c>
      <c r="AF70">
        <f>AF28</f>
        <v>0</v>
      </c>
      <c r="AG70">
        <v>24</v>
      </c>
      <c r="AH70">
        <f>AH28</f>
        <v>0</v>
      </c>
      <c r="AI70">
        <v>24</v>
      </c>
      <c r="AJ70">
        <f>AJ28</f>
        <v>0</v>
      </c>
      <c r="AK70">
        <v>24</v>
      </c>
      <c r="AL70">
        <f>AL28</f>
        <v>0</v>
      </c>
      <c r="AM70">
        <v>24</v>
      </c>
      <c r="AN70">
        <f>AN28</f>
        <v>0</v>
      </c>
      <c r="AO70">
        <v>24</v>
      </c>
      <c r="AP70">
        <f>AP28</f>
        <v>0</v>
      </c>
      <c r="AQ70">
        <v>24</v>
      </c>
      <c r="AR70">
        <f>AR28</f>
        <v>0</v>
      </c>
      <c r="AS70">
        <v>24</v>
      </c>
      <c r="AT70">
        <f>AT28</f>
        <v>0</v>
      </c>
      <c r="AU70">
        <v>24</v>
      </c>
      <c r="AV70">
        <f>AV28</f>
        <v>0</v>
      </c>
      <c r="AW70">
        <v>24</v>
      </c>
      <c r="AX70">
        <f>AX28</f>
        <v>0</v>
      </c>
      <c r="AY70">
        <v>24</v>
      </c>
      <c r="AZ70">
        <f>AZ28</f>
        <v>0</v>
      </c>
      <c r="BA70">
        <v>24</v>
      </c>
      <c r="BB70">
        <f>BB28</f>
        <v>0</v>
      </c>
      <c r="BC70">
        <v>24</v>
      </c>
      <c r="BD70">
        <f>BD28</f>
        <v>0</v>
      </c>
      <c r="BE70">
        <v>24</v>
      </c>
      <c r="BF70">
        <f>BF28</f>
        <v>0</v>
      </c>
      <c r="BG70">
        <v>24</v>
      </c>
      <c r="BH70">
        <f>BH28</f>
        <v>0</v>
      </c>
      <c r="BI70">
        <v>24</v>
      </c>
      <c r="BJ70">
        <f>BJ28</f>
        <v>0</v>
      </c>
      <c r="BK70">
        <v>24</v>
      </c>
      <c r="BL70">
        <f>BL28</f>
        <v>0</v>
      </c>
      <c r="BM70">
        <v>24</v>
      </c>
      <c r="BN70">
        <f>BN28</f>
        <v>0</v>
      </c>
      <c r="BO70">
        <v>24</v>
      </c>
      <c r="BP70">
        <f>BP28</f>
        <v>0</v>
      </c>
      <c r="BS70">
        <v>24</v>
      </c>
      <c r="BT70">
        <f>BT28</f>
        <v>0</v>
      </c>
      <c r="BU70">
        <v>24</v>
      </c>
      <c r="BV70">
        <f>BV28</f>
        <v>0</v>
      </c>
      <c r="BW70">
        <v>24</v>
      </c>
      <c r="BX70">
        <f>BX28</f>
        <v>0</v>
      </c>
      <c r="BY70">
        <v>24</v>
      </c>
      <c r="BZ70">
        <f>BZ28</f>
        <v>0</v>
      </c>
      <c r="CA70">
        <v>24</v>
      </c>
      <c r="CB70">
        <f>CB28</f>
        <v>0</v>
      </c>
      <c r="CC70">
        <v>24</v>
      </c>
      <c r="CD70">
        <f>CD28</f>
        <v>0</v>
      </c>
      <c r="CE70">
        <v>24</v>
      </c>
      <c r="CF70">
        <f>CF28</f>
        <v>0</v>
      </c>
      <c r="CG70">
        <v>24</v>
      </c>
      <c r="CH70">
        <f>CH28</f>
        <v>0</v>
      </c>
      <c r="CI70">
        <v>24</v>
      </c>
      <c r="CJ70">
        <f>CJ28</f>
        <v>0</v>
      </c>
      <c r="CK70">
        <v>24</v>
      </c>
      <c r="CL70">
        <f>CL28</f>
        <v>0</v>
      </c>
      <c r="CM70">
        <v>24</v>
      </c>
      <c r="CN70">
        <f>CN28</f>
        <v>0</v>
      </c>
      <c r="CO70">
        <v>24</v>
      </c>
      <c r="CP70">
        <f>CP28</f>
        <v>0</v>
      </c>
      <c r="CQ70">
        <v>24</v>
      </c>
      <c r="CR70">
        <f>CR28</f>
        <v>0</v>
      </c>
      <c r="CS70">
        <v>24</v>
      </c>
      <c r="CT70">
        <f>CT28</f>
        <v>0</v>
      </c>
      <c r="CU70">
        <v>24</v>
      </c>
      <c r="CV70">
        <f>CV28</f>
        <v>0</v>
      </c>
      <c r="CW70">
        <v>24</v>
      </c>
      <c r="CX70">
        <f>CX28</f>
        <v>0</v>
      </c>
      <c r="CY70">
        <v>24</v>
      </c>
      <c r="CZ70">
        <f>CZ28</f>
        <v>0</v>
      </c>
      <c r="DA70">
        <v>24</v>
      </c>
      <c r="DB70">
        <f>DB28</f>
        <v>0</v>
      </c>
      <c r="DC70">
        <v>24</v>
      </c>
      <c r="DD70">
        <f>DD28</f>
        <v>0</v>
      </c>
      <c r="DE70">
        <v>24</v>
      </c>
      <c r="DF70">
        <f>DF28</f>
        <v>0</v>
      </c>
      <c r="DG70">
        <v>24</v>
      </c>
      <c r="DH70">
        <f>DH28</f>
        <v>0</v>
      </c>
      <c r="DI70">
        <v>24</v>
      </c>
      <c r="DJ70">
        <f>DJ28</f>
        <v>0</v>
      </c>
      <c r="DK70">
        <v>24</v>
      </c>
      <c r="DL70">
        <f>DL28</f>
        <v>0</v>
      </c>
      <c r="DM70">
        <v>24</v>
      </c>
      <c r="DN70">
        <f>DN28</f>
        <v>0</v>
      </c>
      <c r="DO70">
        <v>24</v>
      </c>
      <c r="DP70">
        <f>DP28</f>
        <v>0</v>
      </c>
      <c r="DQ70">
        <v>24</v>
      </c>
      <c r="DR70">
        <f>DR28</f>
        <v>0</v>
      </c>
      <c r="DS70">
        <v>24</v>
      </c>
      <c r="DT70">
        <f>DT28</f>
        <v>0</v>
      </c>
      <c r="DU70">
        <v>24</v>
      </c>
      <c r="DV70">
        <f>DV28</f>
        <v>0</v>
      </c>
      <c r="DW70">
        <v>24</v>
      </c>
      <c r="DX70">
        <f>DX28</f>
        <v>0</v>
      </c>
      <c r="DY70">
        <v>24</v>
      </c>
      <c r="DZ70">
        <f>DZ28</f>
        <v>0</v>
      </c>
      <c r="EA70">
        <v>24</v>
      </c>
      <c r="EB70">
        <f>EB28</f>
        <v>0</v>
      </c>
      <c r="EC70">
        <v>24</v>
      </c>
      <c r="ED70">
        <f>ED28</f>
        <v>0</v>
      </c>
      <c r="EG70">
        <f>IF(Charts!$B$3="none",E277,IF(BS277="",NA(),BS277))</f>
        <v>0</v>
      </c>
      <c r="EH70">
        <f>IF(Charts!$B$3="none",F277,IF(BT277="",NA(),BT277))</f>
        <v>0</v>
      </c>
      <c r="EI70">
        <f>IF(Charts!$B$3="none",G277,IF(BU277="",NA(),BU277))</f>
        <v>0</v>
      </c>
      <c r="EJ70">
        <f>IF(Charts!$B$3="none",H277,IF(BV277="",NA(),BV277))</f>
        <v>0</v>
      </c>
      <c r="EK70">
        <f>IF(Charts!$B$3="none",I277,IF(BW277="",NA(),BW277))</f>
        <v>0</v>
      </c>
      <c r="EL70">
        <f>IF(Charts!$B$3="none",J277,IF(BX277="",NA(),BX277))</f>
        <v>0</v>
      </c>
      <c r="EM70">
        <f>IF(Charts!$B$3="none",K277,IF(BY277="",NA(),BY277))</f>
        <v>0</v>
      </c>
      <c r="EN70">
        <f>IF(Charts!$B$3="none",L277,IF(BZ277="",NA(),BZ277))</f>
        <v>0</v>
      </c>
      <c r="EO70">
        <f>IF(Charts!$B$3="none",M277,IF(CA277="",NA(),CA277))</f>
        <v>0</v>
      </c>
      <c r="EP70">
        <f>IF(Charts!$B$3="none",N277,IF(CB277="",NA(),CB277))</f>
        <v>0</v>
      </c>
      <c r="EQ70">
        <f>IF(Charts!$B$3="none",O277,IF(CC277="",NA(),CC277))</f>
        <v>0</v>
      </c>
      <c r="ER70">
        <f>IF(Charts!$B$3="none",P277,IF(CD277="",NA(),CD277))</f>
        <v>0</v>
      </c>
      <c r="ES70">
        <f>IF(Charts!$B$3="none",Q277,IF(CE277="",NA(),CE277))</f>
        <v>0</v>
      </c>
      <c r="ET70">
        <f>IF(Charts!$B$3="none",R277,IF(CF277="",NA(),CF277))</f>
        <v>0</v>
      </c>
      <c r="EU70">
        <f>IF(Charts!$B$3="none",S277,IF(CG277="",NA(),CG277))</f>
        <v>0</v>
      </c>
      <c r="EV70">
        <f>IF(Charts!$B$3="none",T277,IF(CH277="",NA(),CH277))</f>
        <v>0</v>
      </c>
      <c r="EW70">
        <f>IF(Charts!$B$3="none",U277,IF(CI277="",NA(),CI277))</f>
        <v>0</v>
      </c>
      <c r="EX70">
        <f>IF(Charts!$B$3="none",V277,IF(CJ277="",NA(),CJ277))</f>
        <v>0</v>
      </c>
      <c r="EY70">
        <f>IF(Charts!$B$3="none",W277,IF(CK277="",NA(),CK277))</f>
        <v>0</v>
      </c>
      <c r="EZ70">
        <f>IF(Charts!$B$3="none",X277,IF(CL277="",NA(),CL277))</f>
        <v>0</v>
      </c>
      <c r="FA70">
        <f>IF(Charts!$B$3="none",Y277,IF(CM277="",NA(),CM277))</f>
        <v>0</v>
      </c>
      <c r="FB70">
        <f>IF(Charts!$B$3="none",Z277,IF(CN277="",NA(),CN277))</f>
        <v>0</v>
      </c>
      <c r="FC70">
        <f>IF(Charts!$B$3="none",AA277,IF(CO277="",NA(),CO277))</f>
        <v>0</v>
      </c>
      <c r="FD70">
        <f>IF(Charts!$B$3="none",AB277,IF(CP277="",NA(),CP277))</f>
        <v>0</v>
      </c>
      <c r="FE70">
        <f>IF(Charts!$B$3="none",AC277,IF(CQ277="",NA(),CQ277))</f>
        <v>0</v>
      </c>
      <c r="FF70">
        <f>IF(Charts!$B$3="none",AD277,IF(CR277="",NA(),CR277))</f>
        <v>0</v>
      </c>
      <c r="FG70">
        <f>IF(Charts!$B$3="none",AE277,IF(CS277="",NA(),CS277))</f>
        <v>0</v>
      </c>
      <c r="FH70">
        <f>IF(Charts!$B$3="none",AF277,IF(CT277="",NA(),CT277))</f>
        <v>0</v>
      </c>
      <c r="FI70">
        <f>IF(Charts!$B$3="none",AG277,IF(CU277="",NA(),CU277))</f>
        <v>0</v>
      </c>
      <c r="FJ70">
        <f>IF(Charts!$B$3="none",AH277,IF(CV277="",NA(),CV277))</f>
        <v>0</v>
      </c>
      <c r="FK70">
        <f>IF(Charts!$B$3="none",AI277,IF(CW277="",NA(),CW277))</f>
        <v>0</v>
      </c>
      <c r="FL70">
        <f>IF(Charts!$B$3="none",AJ277,IF(CX277="",NA(),CX277))</f>
        <v>0</v>
      </c>
      <c r="FM70">
        <f>IF(Charts!$B$3="none",AK277,IF(CY277="",NA(),CY277))</f>
        <v>0</v>
      </c>
      <c r="FN70">
        <f>IF(Charts!$B$3="none",AL277,IF(CZ277="",NA(),CZ277))</f>
        <v>0</v>
      </c>
      <c r="FO70">
        <f>IF(Charts!$B$3="none",AM277,IF(DA277="",NA(),DA277))</f>
        <v>0</v>
      </c>
      <c r="FP70">
        <f>IF(Charts!$B$3="none",AN277,IF(DB277="",NA(),DB277))</f>
        <v>0</v>
      </c>
      <c r="FQ70">
        <f>IF(Charts!$B$3="none",AO277,IF(DC277="",NA(),DC277))</f>
        <v>0</v>
      </c>
      <c r="FR70">
        <f>IF(Charts!$B$3="none",AP277,IF(DD277="",NA(),DD277))</f>
        <v>0</v>
      </c>
      <c r="FS70">
        <f>IF(Charts!$B$3="none",AQ277,IF(DE277="",NA(),DE277))</f>
        <v>0</v>
      </c>
      <c r="FT70">
        <f>IF(Charts!$B$3="none",AR277,IF(DF277="",NA(),DF277))</f>
        <v>0</v>
      </c>
      <c r="FU70">
        <f>IF(Charts!$B$3="none",AS277,IF(DG277="",NA(),DG277))</f>
        <v>0</v>
      </c>
      <c r="FV70">
        <f>IF(Charts!$B$3="none",AT277,IF(DH277="",NA(),DH277))</f>
        <v>0</v>
      </c>
      <c r="FW70">
        <f>IF(Charts!$B$3="none",AU277,IF(DI277="",NA(),DI277))</f>
        <v>0</v>
      </c>
      <c r="FX70">
        <f>IF(Charts!$B$3="none",AV277,IF(DJ277="",NA(),DJ277))</f>
        <v>0</v>
      </c>
      <c r="FY70">
        <f>IF(Charts!$B$3="none",AW277,IF(DK277="",NA(),DK277))</f>
        <v>0</v>
      </c>
      <c r="FZ70">
        <f>IF(Charts!$B$3="none",AX277,IF(DL277="",NA(),DL277))</f>
        <v>0</v>
      </c>
      <c r="GA70">
        <f>IF(Charts!$B$3="none",AY277,IF(DM277="",NA(),DM277))</f>
        <v>0</v>
      </c>
      <c r="GB70">
        <f>IF(Charts!$B$3="none",AZ277,IF(DN277="",NA(),DN277))</f>
        <v>0</v>
      </c>
      <c r="GC70">
        <f>IF(Charts!$B$3="none",BA277,IF(DO277="",NA(),DO277))</f>
        <v>0</v>
      </c>
      <c r="GD70">
        <f>IF(Charts!$B$3="none",BB277,IF(DP277="",NA(),DP277))</f>
        <v>0</v>
      </c>
      <c r="GE70">
        <f>IF(Charts!$B$3="none",BC277,IF(DQ277="",NA(),DQ277))</f>
        <v>0</v>
      </c>
      <c r="GF70">
        <f>IF(Charts!$B$3="none",BD277,IF(DR277="",NA(),DR277))</f>
        <v>0</v>
      </c>
      <c r="GG70">
        <f>IF(Charts!$B$3="none",BE277,IF(DS277="",NA(),DS277))</f>
        <v>0</v>
      </c>
      <c r="GH70">
        <f>IF(Charts!$B$3="none",BF277,IF(DT277="",NA(),DT277))</f>
        <v>0</v>
      </c>
      <c r="GI70">
        <f>IF(Charts!$B$3="none",BG277,IF(DU277="",NA(),DU277))</f>
        <v>0</v>
      </c>
      <c r="GJ70">
        <f>IF(Charts!$B$3="none",BH277,IF(DV277="",NA(),DV277))</f>
        <v>0</v>
      </c>
      <c r="GK70">
        <f>IF(Charts!$B$3="none",BI277,IF(DW277="",NA(),DW277))</f>
        <v>0</v>
      </c>
      <c r="GL70">
        <f>IF(Charts!$B$3="none",BJ277,IF(DX277="",NA(),DX277))</f>
        <v>0</v>
      </c>
      <c r="GM70">
        <f>IF(Charts!$B$3="none",BK277,IF(DY277="",NA(),DY277))</f>
        <v>0</v>
      </c>
      <c r="GN70">
        <f>IF(Charts!$B$3="none",BL277,IF(DZ277="",NA(),DZ277))</f>
        <v>0</v>
      </c>
      <c r="GO70">
        <f>IF(Charts!$B$3="none",BM277,IF(EA277="",NA(),EA277))</f>
        <v>0</v>
      </c>
      <c r="GP70">
        <f>IF(Charts!$B$3="none",BN277,IF(EB277="",NA(),EB277))</f>
        <v>0</v>
      </c>
      <c r="GQ70">
        <f>IF(Charts!$B$3="none",BO277,IF(EC277="",NA(),EC277))</f>
        <v>0</v>
      </c>
      <c r="GR70">
        <f>IF(Charts!$B$3="none",BP277,IF(ED277="",NA(),ED277))</f>
        <v>0</v>
      </c>
    </row>
    <row r="71" spans="5:200">
      <c r="E71">
        <v>25</v>
      </c>
      <c r="F71">
        <f>F29</f>
        <v>0</v>
      </c>
      <c r="G71">
        <v>25</v>
      </c>
      <c r="H71">
        <f>H29</f>
        <v>0</v>
      </c>
      <c r="I71">
        <v>25</v>
      </c>
      <c r="J71">
        <f>J29</f>
        <v>0</v>
      </c>
      <c r="K71">
        <v>25</v>
      </c>
      <c r="L71">
        <f>L29</f>
        <v>0</v>
      </c>
      <c r="M71">
        <v>25</v>
      </c>
      <c r="N71">
        <f>N29</f>
        <v>0</v>
      </c>
      <c r="O71">
        <v>25</v>
      </c>
      <c r="P71">
        <f>P29</f>
        <v>0</v>
      </c>
      <c r="Q71">
        <v>25</v>
      </c>
      <c r="R71">
        <f>R29</f>
        <v>0</v>
      </c>
      <c r="S71">
        <v>25</v>
      </c>
      <c r="T71">
        <f>T29</f>
        <v>0</v>
      </c>
      <c r="U71">
        <v>25</v>
      </c>
      <c r="V71">
        <f>V29</f>
        <v>0</v>
      </c>
      <c r="W71">
        <v>25</v>
      </c>
      <c r="X71">
        <f>X29</f>
        <v>0</v>
      </c>
      <c r="Y71">
        <v>25</v>
      </c>
      <c r="Z71">
        <f>Z29</f>
        <v>0</v>
      </c>
      <c r="AA71">
        <v>25</v>
      </c>
      <c r="AB71">
        <f>AB29</f>
        <v>0</v>
      </c>
      <c r="AC71">
        <v>25</v>
      </c>
      <c r="AD71">
        <f>AD29</f>
        <v>0</v>
      </c>
      <c r="AE71">
        <v>25</v>
      </c>
      <c r="AF71">
        <f>AF29</f>
        <v>0</v>
      </c>
      <c r="AG71">
        <v>25</v>
      </c>
      <c r="AH71">
        <f>AH29</f>
        <v>0</v>
      </c>
      <c r="AI71">
        <v>25</v>
      </c>
      <c r="AJ71">
        <f>AJ29</f>
        <v>0</v>
      </c>
      <c r="AK71">
        <v>25</v>
      </c>
      <c r="AL71">
        <f>AL29</f>
        <v>0</v>
      </c>
      <c r="AM71">
        <v>25</v>
      </c>
      <c r="AN71">
        <f>AN29</f>
        <v>0</v>
      </c>
      <c r="AO71">
        <v>25</v>
      </c>
      <c r="AP71">
        <f>AP29</f>
        <v>0</v>
      </c>
      <c r="AQ71">
        <v>25</v>
      </c>
      <c r="AR71">
        <f>AR29</f>
        <v>0</v>
      </c>
      <c r="AS71">
        <v>25</v>
      </c>
      <c r="AT71">
        <f>AT29</f>
        <v>0</v>
      </c>
      <c r="AU71">
        <v>25</v>
      </c>
      <c r="AV71">
        <f>AV29</f>
        <v>0</v>
      </c>
      <c r="AW71">
        <v>25</v>
      </c>
      <c r="AX71">
        <f>AX29</f>
        <v>0</v>
      </c>
      <c r="AY71">
        <v>25</v>
      </c>
      <c r="AZ71">
        <f>AZ29</f>
        <v>0</v>
      </c>
      <c r="BA71">
        <v>25</v>
      </c>
      <c r="BB71">
        <f>BB29</f>
        <v>0</v>
      </c>
      <c r="BC71">
        <v>25</v>
      </c>
      <c r="BD71">
        <f>BD29</f>
        <v>0</v>
      </c>
      <c r="BE71">
        <v>25</v>
      </c>
      <c r="BF71">
        <f>BF29</f>
        <v>0</v>
      </c>
      <c r="BG71">
        <v>25</v>
      </c>
      <c r="BH71">
        <f>BH29</f>
        <v>0</v>
      </c>
      <c r="BI71">
        <v>25</v>
      </c>
      <c r="BJ71">
        <f>BJ29</f>
        <v>0</v>
      </c>
      <c r="BK71">
        <v>25</v>
      </c>
      <c r="BL71">
        <f>BL29</f>
        <v>0</v>
      </c>
      <c r="BM71">
        <v>25</v>
      </c>
      <c r="BN71">
        <f>BN29</f>
        <v>0</v>
      </c>
      <c r="BO71">
        <v>25</v>
      </c>
      <c r="BP71">
        <f>BP29</f>
        <v>0</v>
      </c>
      <c r="BS71">
        <v>25</v>
      </c>
      <c r="BT71">
        <f>BT29</f>
        <v>0</v>
      </c>
      <c r="BU71">
        <v>25</v>
      </c>
      <c r="BV71">
        <f>BV29</f>
        <v>0</v>
      </c>
      <c r="BW71">
        <v>25</v>
      </c>
      <c r="BX71">
        <f>BX29</f>
        <v>0</v>
      </c>
      <c r="BY71">
        <v>25</v>
      </c>
      <c r="BZ71">
        <f>BZ29</f>
        <v>0</v>
      </c>
      <c r="CA71">
        <v>25</v>
      </c>
      <c r="CB71">
        <f>CB29</f>
        <v>0</v>
      </c>
      <c r="CC71">
        <v>25</v>
      </c>
      <c r="CD71">
        <f>CD29</f>
        <v>0</v>
      </c>
      <c r="CE71">
        <v>25</v>
      </c>
      <c r="CF71">
        <f>CF29</f>
        <v>0</v>
      </c>
      <c r="CG71">
        <v>25</v>
      </c>
      <c r="CH71">
        <f>CH29</f>
        <v>0</v>
      </c>
      <c r="CI71">
        <v>25</v>
      </c>
      <c r="CJ71">
        <f>CJ29</f>
        <v>0</v>
      </c>
      <c r="CK71">
        <v>25</v>
      </c>
      <c r="CL71">
        <f>CL29</f>
        <v>0</v>
      </c>
      <c r="CM71">
        <v>25</v>
      </c>
      <c r="CN71">
        <f>CN29</f>
        <v>0</v>
      </c>
      <c r="CO71">
        <v>25</v>
      </c>
      <c r="CP71">
        <f>CP29</f>
        <v>0</v>
      </c>
      <c r="CQ71">
        <v>25</v>
      </c>
      <c r="CR71">
        <f>CR29</f>
        <v>0</v>
      </c>
      <c r="CS71">
        <v>25</v>
      </c>
      <c r="CT71">
        <f>CT29</f>
        <v>0</v>
      </c>
      <c r="CU71">
        <v>25</v>
      </c>
      <c r="CV71">
        <f>CV29</f>
        <v>0</v>
      </c>
      <c r="CW71">
        <v>25</v>
      </c>
      <c r="CX71">
        <f>CX29</f>
        <v>0</v>
      </c>
      <c r="CY71">
        <v>25</v>
      </c>
      <c r="CZ71">
        <f>CZ29</f>
        <v>0</v>
      </c>
      <c r="DA71">
        <v>25</v>
      </c>
      <c r="DB71">
        <f>DB29</f>
        <v>0</v>
      </c>
      <c r="DC71">
        <v>25</v>
      </c>
      <c r="DD71">
        <f>DD29</f>
        <v>0</v>
      </c>
      <c r="DE71">
        <v>25</v>
      </c>
      <c r="DF71">
        <f>DF29</f>
        <v>0</v>
      </c>
      <c r="DG71">
        <v>25</v>
      </c>
      <c r="DH71">
        <f>DH29</f>
        <v>0</v>
      </c>
      <c r="DI71">
        <v>25</v>
      </c>
      <c r="DJ71">
        <f>DJ29</f>
        <v>0</v>
      </c>
      <c r="DK71">
        <v>25</v>
      </c>
      <c r="DL71">
        <f>DL29</f>
        <v>0</v>
      </c>
      <c r="DM71">
        <v>25</v>
      </c>
      <c r="DN71">
        <f>DN29</f>
        <v>0</v>
      </c>
      <c r="DO71">
        <v>25</v>
      </c>
      <c r="DP71">
        <f>DP29</f>
        <v>0</v>
      </c>
      <c r="DQ71">
        <v>25</v>
      </c>
      <c r="DR71">
        <f>DR29</f>
        <v>0</v>
      </c>
      <c r="DS71">
        <v>25</v>
      </c>
      <c r="DT71">
        <f>DT29</f>
        <v>0</v>
      </c>
      <c r="DU71">
        <v>25</v>
      </c>
      <c r="DV71">
        <f>DV29</f>
        <v>0</v>
      </c>
      <c r="DW71">
        <v>25</v>
      </c>
      <c r="DX71">
        <f>DX29</f>
        <v>0</v>
      </c>
      <c r="DY71">
        <v>25</v>
      </c>
      <c r="DZ71">
        <f>DZ29</f>
        <v>0</v>
      </c>
      <c r="EA71">
        <v>25</v>
      </c>
      <c r="EB71">
        <f>EB29</f>
        <v>0</v>
      </c>
      <c r="EC71">
        <v>25</v>
      </c>
      <c r="ED71">
        <f>ED29</f>
        <v>0</v>
      </c>
      <c r="EG71">
        <f>IF(Charts!$B$3="none",E278,IF(BS278="",NA(),BS278))</f>
        <v>0</v>
      </c>
      <c r="EH71">
        <f>IF(Charts!$B$3="none",F278,IF(BT278="",NA(),BT278))</f>
        <v>0</v>
      </c>
      <c r="EI71">
        <f>IF(Charts!$B$3="none",G278,IF(BU278="",NA(),BU278))</f>
        <v>0</v>
      </c>
      <c r="EJ71">
        <f>IF(Charts!$B$3="none",H278,IF(BV278="",NA(),BV278))</f>
        <v>0</v>
      </c>
      <c r="EK71">
        <f>IF(Charts!$B$3="none",I278,IF(BW278="",NA(),BW278))</f>
        <v>0</v>
      </c>
      <c r="EL71">
        <f>IF(Charts!$B$3="none",J278,IF(BX278="",NA(),BX278))</f>
        <v>0</v>
      </c>
      <c r="EM71">
        <f>IF(Charts!$B$3="none",K278,IF(BY278="",NA(),BY278))</f>
        <v>0</v>
      </c>
      <c r="EN71">
        <f>IF(Charts!$B$3="none",L278,IF(BZ278="",NA(),BZ278))</f>
        <v>0</v>
      </c>
      <c r="EO71">
        <f>IF(Charts!$B$3="none",M278,IF(CA278="",NA(),CA278))</f>
        <v>0</v>
      </c>
      <c r="EP71">
        <f>IF(Charts!$B$3="none",N278,IF(CB278="",NA(),CB278))</f>
        <v>0</v>
      </c>
      <c r="EQ71">
        <f>IF(Charts!$B$3="none",O278,IF(CC278="",NA(),CC278))</f>
        <v>0</v>
      </c>
      <c r="ER71">
        <f>IF(Charts!$B$3="none",P278,IF(CD278="",NA(),CD278))</f>
        <v>0</v>
      </c>
      <c r="ES71">
        <f>IF(Charts!$B$3="none",Q278,IF(CE278="",NA(),CE278))</f>
        <v>0</v>
      </c>
      <c r="ET71">
        <f>IF(Charts!$B$3="none",R278,IF(CF278="",NA(),CF278))</f>
        <v>0</v>
      </c>
      <c r="EU71">
        <f>IF(Charts!$B$3="none",S278,IF(CG278="",NA(),CG278))</f>
        <v>0</v>
      </c>
      <c r="EV71">
        <f>IF(Charts!$B$3="none",T278,IF(CH278="",NA(),CH278))</f>
        <v>0</v>
      </c>
      <c r="EW71">
        <f>IF(Charts!$B$3="none",U278,IF(CI278="",NA(),CI278))</f>
        <v>0</v>
      </c>
      <c r="EX71">
        <f>IF(Charts!$B$3="none",V278,IF(CJ278="",NA(),CJ278))</f>
        <v>0</v>
      </c>
      <c r="EY71">
        <f>IF(Charts!$B$3="none",W278,IF(CK278="",NA(),CK278))</f>
        <v>0</v>
      </c>
      <c r="EZ71">
        <f>IF(Charts!$B$3="none",X278,IF(CL278="",NA(),CL278))</f>
        <v>0</v>
      </c>
      <c r="FA71">
        <f>IF(Charts!$B$3="none",Y278,IF(CM278="",NA(),CM278))</f>
        <v>0</v>
      </c>
      <c r="FB71">
        <f>IF(Charts!$B$3="none",Z278,IF(CN278="",NA(),CN278))</f>
        <v>0</v>
      </c>
      <c r="FC71">
        <f>IF(Charts!$B$3="none",AA278,IF(CO278="",NA(),CO278))</f>
        <v>0</v>
      </c>
      <c r="FD71">
        <f>IF(Charts!$B$3="none",AB278,IF(CP278="",NA(),CP278))</f>
        <v>0</v>
      </c>
      <c r="FE71">
        <f>IF(Charts!$B$3="none",AC278,IF(CQ278="",NA(),CQ278))</f>
        <v>0</v>
      </c>
      <c r="FF71">
        <f>IF(Charts!$B$3="none",AD278,IF(CR278="",NA(),CR278))</f>
        <v>0</v>
      </c>
      <c r="FG71">
        <f>IF(Charts!$B$3="none",AE278,IF(CS278="",NA(),CS278))</f>
        <v>0</v>
      </c>
      <c r="FH71">
        <f>IF(Charts!$B$3="none",AF278,IF(CT278="",NA(),CT278))</f>
        <v>0</v>
      </c>
      <c r="FI71">
        <f>IF(Charts!$B$3="none",AG278,IF(CU278="",NA(),CU278))</f>
        <v>0</v>
      </c>
      <c r="FJ71">
        <f>IF(Charts!$B$3="none",AH278,IF(CV278="",NA(),CV278))</f>
        <v>0</v>
      </c>
      <c r="FK71">
        <f>IF(Charts!$B$3="none",AI278,IF(CW278="",NA(),CW278))</f>
        <v>0</v>
      </c>
      <c r="FL71">
        <f>IF(Charts!$B$3="none",AJ278,IF(CX278="",NA(),CX278))</f>
        <v>0</v>
      </c>
      <c r="FM71">
        <f>IF(Charts!$B$3="none",AK278,IF(CY278="",NA(),CY278))</f>
        <v>0</v>
      </c>
      <c r="FN71">
        <f>IF(Charts!$B$3="none",AL278,IF(CZ278="",NA(),CZ278))</f>
        <v>0</v>
      </c>
      <c r="FO71">
        <f>IF(Charts!$B$3="none",AM278,IF(DA278="",NA(),DA278))</f>
        <v>0</v>
      </c>
      <c r="FP71">
        <f>IF(Charts!$B$3="none",AN278,IF(DB278="",NA(),DB278))</f>
        <v>0</v>
      </c>
      <c r="FQ71">
        <f>IF(Charts!$B$3="none",AO278,IF(DC278="",NA(),DC278))</f>
        <v>0</v>
      </c>
      <c r="FR71">
        <f>IF(Charts!$B$3="none",AP278,IF(DD278="",NA(),DD278))</f>
        <v>0</v>
      </c>
      <c r="FS71">
        <f>IF(Charts!$B$3="none",AQ278,IF(DE278="",NA(),DE278))</f>
        <v>0</v>
      </c>
      <c r="FT71">
        <f>IF(Charts!$B$3="none",AR278,IF(DF278="",NA(),DF278))</f>
        <v>0</v>
      </c>
      <c r="FU71">
        <f>IF(Charts!$B$3="none",AS278,IF(DG278="",NA(),DG278))</f>
        <v>0</v>
      </c>
      <c r="FV71">
        <f>IF(Charts!$B$3="none",AT278,IF(DH278="",NA(),DH278))</f>
        <v>0</v>
      </c>
      <c r="FW71">
        <f>IF(Charts!$B$3="none",AU278,IF(DI278="",NA(),DI278))</f>
        <v>0</v>
      </c>
      <c r="FX71">
        <f>IF(Charts!$B$3="none",AV278,IF(DJ278="",NA(),DJ278))</f>
        <v>0</v>
      </c>
      <c r="FY71">
        <f>IF(Charts!$B$3="none",AW278,IF(DK278="",NA(),DK278))</f>
        <v>0</v>
      </c>
      <c r="FZ71">
        <f>IF(Charts!$B$3="none",AX278,IF(DL278="",NA(),DL278))</f>
        <v>0</v>
      </c>
      <c r="GA71">
        <f>IF(Charts!$B$3="none",AY278,IF(DM278="",NA(),DM278))</f>
        <v>0</v>
      </c>
      <c r="GB71">
        <f>IF(Charts!$B$3="none",AZ278,IF(DN278="",NA(),DN278))</f>
        <v>0</v>
      </c>
      <c r="GC71">
        <f>IF(Charts!$B$3="none",BA278,IF(DO278="",NA(),DO278))</f>
        <v>0</v>
      </c>
      <c r="GD71">
        <f>IF(Charts!$B$3="none",BB278,IF(DP278="",NA(),DP278))</f>
        <v>0</v>
      </c>
      <c r="GE71">
        <f>IF(Charts!$B$3="none",BC278,IF(DQ278="",NA(),DQ278))</f>
        <v>0</v>
      </c>
      <c r="GF71">
        <f>IF(Charts!$B$3="none",BD278,IF(DR278="",NA(),DR278))</f>
        <v>0</v>
      </c>
      <c r="GG71">
        <f>IF(Charts!$B$3="none",BE278,IF(DS278="",NA(),DS278))</f>
        <v>0</v>
      </c>
      <c r="GH71">
        <f>IF(Charts!$B$3="none",BF278,IF(DT278="",NA(),DT278))</f>
        <v>0</v>
      </c>
      <c r="GI71">
        <f>IF(Charts!$B$3="none",BG278,IF(DU278="",NA(),DU278))</f>
        <v>0</v>
      </c>
      <c r="GJ71">
        <f>IF(Charts!$B$3="none",BH278,IF(DV278="",NA(),DV278))</f>
        <v>0</v>
      </c>
      <c r="GK71">
        <f>IF(Charts!$B$3="none",BI278,IF(DW278="",NA(),DW278))</f>
        <v>0</v>
      </c>
      <c r="GL71">
        <f>IF(Charts!$B$3="none",BJ278,IF(DX278="",NA(),DX278))</f>
        <v>0</v>
      </c>
      <c r="GM71">
        <f>IF(Charts!$B$3="none",BK278,IF(DY278="",NA(),DY278))</f>
        <v>0</v>
      </c>
      <c r="GN71">
        <f>IF(Charts!$B$3="none",BL278,IF(DZ278="",NA(),DZ278))</f>
        <v>0</v>
      </c>
      <c r="GO71">
        <f>IF(Charts!$B$3="none",BM278,IF(EA278="",NA(),EA278))</f>
        <v>0</v>
      </c>
      <c r="GP71">
        <f>IF(Charts!$B$3="none",BN278,IF(EB278="",NA(),EB278))</f>
        <v>0</v>
      </c>
      <c r="GQ71">
        <f>IF(Charts!$B$3="none",BO278,IF(EC278="",NA(),EC278))</f>
        <v>0</v>
      </c>
      <c r="GR71">
        <f>IF(Charts!$B$3="none",BP278,IF(ED278="",NA(),ED278))</f>
        <v>0</v>
      </c>
    </row>
    <row r="72" spans="5:200">
      <c r="E72">
        <v>26</v>
      </c>
      <c r="F72">
        <f>F30</f>
        <v>0</v>
      </c>
      <c r="G72">
        <v>26</v>
      </c>
      <c r="H72">
        <f>H30</f>
        <v>0</v>
      </c>
      <c r="I72">
        <v>26</v>
      </c>
      <c r="J72">
        <f>J30</f>
        <v>0</v>
      </c>
      <c r="K72">
        <v>26</v>
      </c>
      <c r="L72">
        <f>L30</f>
        <v>0</v>
      </c>
      <c r="M72">
        <v>26</v>
      </c>
      <c r="N72">
        <f>N30</f>
        <v>0</v>
      </c>
      <c r="O72">
        <v>26</v>
      </c>
      <c r="P72">
        <f>P30</f>
        <v>0</v>
      </c>
      <c r="Q72">
        <v>26</v>
      </c>
      <c r="R72">
        <f>R30</f>
        <v>0</v>
      </c>
      <c r="S72">
        <v>26</v>
      </c>
      <c r="T72">
        <f>T30</f>
        <v>0</v>
      </c>
      <c r="U72">
        <v>26</v>
      </c>
      <c r="V72">
        <f>V30</f>
        <v>0</v>
      </c>
      <c r="W72">
        <v>26</v>
      </c>
      <c r="X72">
        <f>X30</f>
        <v>0</v>
      </c>
      <c r="Y72">
        <v>26</v>
      </c>
      <c r="Z72">
        <f>Z30</f>
        <v>0</v>
      </c>
      <c r="AA72">
        <v>26</v>
      </c>
      <c r="AB72">
        <f>AB30</f>
        <v>0</v>
      </c>
      <c r="AC72">
        <v>26</v>
      </c>
      <c r="AD72">
        <f>AD30</f>
        <v>0</v>
      </c>
      <c r="AE72">
        <v>26</v>
      </c>
      <c r="AF72">
        <f>AF30</f>
        <v>0</v>
      </c>
      <c r="AG72">
        <v>26</v>
      </c>
      <c r="AH72">
        <f>AH30</f>
        <v>0</v>
      </c>
      <c r="AI72">
        <v>26</v>
      </c>
      <c r="AJ72">
        <f>AJ30</f>
        <v>0</v>
      </c>
      <c r="AK72">
        <v>26</v>
      </c>
      <c r="AL72">
        <f>AL30</f>
        <v>0</v>
      </c>
      <c r="AM72">
        <v>26</v>
      </c>
      <c r="AN72">
        <f>AN30</f>
        <v>0</v>
      </c>
      <c r="AO72">
        <v>26</v>
      </c>
      <c r="AP72">
        <f>AP30</f>
        <v>0</v>
      </c>
      <c r="AQ72">
        <v>26</v>
      </c>
      <c r="AR72">
        <f>AR30</f>
        <v>0</v>
      </c>
      <c r="AS72">
        <v>26</v>
      </c>
      <c r="AT72">
        <f>AT30</f>
        <v>0</v>
      </c>
      <c r="AU72">
        <v>26</v>
      </c>
      <c r="AV72">
        <f>AV30</f>
        <v>0</v>
      </c>
      <c r="AW72">
        <v>26</v>
      </c>
      <c r="AX72">
        <f>AX30</f>
        <v>0</v>
      </c>
      <c r="AY72">
        <v>26</v>
      </c>
      <c r="AZ72">
        <f>AZ30</f>
        <v>0</v>
      </c>
      <c r="BA72">
        <v>26</v>
      </c>
      <c r="BB72">
        <f>BB30</f>
        <v>0</v>
      </c>
      <c r="BC72">
        <v>26</v>
      </c>
      <c r="BD72">
        <f>BD30</f>
        <v>0</v>
      </c>
      <c r="BE72">
        <v>26</v>
      </c>
      <c r="BF72">
        <f>BF30</f>
        <v>0</v>
      </c>
      <c r="BG72">
        <v>26</v>
      </c>
      <c r="BH72">
        <f>BH30</f>
        <v>0</v>
      </c>
      <c r="BI72">
        <v>26</v>
      </c>
      <c r="BJ72">
        <f>BJ30</f>
        <v>0</v>
      </c>
      <c r="BK72">
        <v>26</v>
      </c>
      <c r="BL72">
        <f>BL30</f>
        <v>0</v>
      </c>
      <c r="BM72">
        <v>26</v>
      </c>
      <c r="BN72">
        <f>BN30</f>
        <v>0</v>
      </c>
      <c r="BO72">
        <v>26</v>
      </c>
      <c r="BP72">
        <f>BP30</f>
        <v>0</v>
      </c>
      <c r="BS72">
        <v>26</v>
      </c>
      <c r="BT72">
        <f>BT30</f>
        <v>0</v>
      </c>
      <c r="BU72">
        <v>26</v>
      </c>
      <c r="BV72">
        <f>BV30</f>
        <v>0</v>
      </c>
      <c r="BW72">
        <v>26</v>
      </c>
      <c r="BX72">
        <f>BX30</f>
        <v>0</v>
      </c>
      <c r="BY72">
        <v>26</v>
      </c>
      <c r="BZ72">
        <f>BZ30</f>
        <v>0</v>
      </c>
      <c r="CA72">
        <v>26</v>
      </c>
      <c r="CB72">
        <f>CB30</f>
        <v>0</v>
      </c>
      <c r="CC72">
        <v>26</v>
      </c>
      <c r="CD72">
        <f>CD30</f>
        <v>0</v>
      </c>
      <c r="CE72">
        <v>26</v>
      </c>
      <c r="CF72">
        <f>CF30</f>
        <v>0</v>
      </c>
      <c r="CG72">
        <v>26</v>
      </c>
      <c r="CH72">
        <f>CH30</f>
        <v>0</v>
      </c>
      <c r="CI72">
        <v>26</v>
      </c>
      <c r="CJ72">
        <f>CJ30</f>
        <v>0</v>
      </c>
      <c r="CK72">
        <v>26</v>
      </c>
      <c r="CL72">
        <f>CL30</f>
        <v>0</v>
      </c>
      <c r="CM72">
        <v>26</v>
      </c>
      <c r="CN72">
        <f>CN30</f>
        <v>0</v>
      </c>
      <c r="CO72">
        <v>26</v>
      </c>
      <c r="CP72">
        <f>CP30</f>
        <v>0</v>
      </c>
      <c r="CQ72">
        <v>26</v>
      </c>
      <c r="CR72">
        <f>CR30</f>
        <v>0</v>
      </c>
      <c r="CS72">
        <v>26</v>
      </c>
      <c r="CT72">
        <f>CT30</f>
        <v>0</v>
      </c>
      <c r="CU72">
        <v>26</v>
      </c>
      <c r="CV72">
        <f>CV30</f>
        <v>0</v>
      </c>
      <c r="CW72">
        <v>26</v>
      </c>
      <c r="CX72">
        <f>CX30</f>
        <v>0</v>
      </c>
      <c r="CY72">
        <v>26</v>
      </c>
      <c r="CZ72">
        <f>CZ30</f>
        <v>0</v>
      </c>
      <c r="DA72">
        <v>26</v>
      </c>
      <c r="DB72">
        <f>DB30</f>
        <v>0</v>
      </c>
      <c r="DC72">
        <v>26</v>
      </c>
      <c r="DD72">
        <f>DD30</f>
        <v>0</v>
      </c>
      <c r="DE72">
        <v>26</v>
      </c>
      <c r="DF72">
        <f>DF30</f>
        <v>0</v>
      </c>
      <c r="DG72">
        <v>26</v>
      </c>
      <c r="DH72">
        <f>DH30</f>
        <v>0</v>
      </c>
      <c r="DI72">
        <v>26</v>
      </c>
      <c r="DJ72">
        <f>DJ30</f>
        <v>0</v>
      </c>
      <c r="DK72">
        <v>26</v>
      </c>
      <c r="DL72">
        <f>DL30</f>
        <v>0</v>
      </c>
      <c r="DM72">
        <v>26</v>
      </c>
      <c r="DN72">
        <f>DN30</f>
        <v>0</v>
      </c>
      <c r="DO72">
        <v>26</v>
      </c>
      <c r="DP72">
        <f>DP30</f>
        <v>0</v>
      </c>
      <c r="DQ72">
        <v>26</v>
      </c>
      <c r="DR72">
        <f>DR30</f>
        <v>0</v>
      </c>
      <c r="DS72">
        <v>26</v>
      </c>
      <c r="DT72">
        <f>DT30</f>
        <v>0</v>
      </c>
      <c r="DU72">
        <v>26</v>
      </c>
      <c r="DV72">
        <f>DV30</f>
        <v>0</v>
      </c>
      <c r="DW72">
        <v>26</v>
      </c>
      <c r="DX72">
        <f>DX30</f>
        <v>0</v>
      </c>
      <c r="DY72">
        <v>26</v>
      </c>
      <c r="DZ72">
        <f>DZ30</f>
        <v>0</v>
      </c>
      <c r="EA72">
        <v>26</v>
      </c>
      <c r="EB72">
        <f>EB30</f>
        <v>0</v>
      </c>
      <c r="EC72">
        <v>26</v>
      </c>
      <c r="ED72">
        <f>ED30</f>
        <v>0</v>
      </c>
      <c r="EG72">
        <f>IF(Charts!$B$3="none",E279,IF(BS279="",NA(),BS279))</f>
        <v>0</v>
      </c>
      <c r="EH72">
        <f>IF(Charts!$B$3="none",F279,IF(BT279="",NA(),BT279))</f>
        <v>0</v>
      </c>
      <c r="EI72">
        <f>IF(Charts!$B$3="none",G279,IF(BU279="",NA(),BU279))</f>
        <v>0</v>
      </c>
      <c r="EJ72">
        <f>IF(Charts!$B$3="none",H279,IF(BV279="",NA(),BV279))</f>
        <v>0</v>
      </c>
      <c r="EK72">
        <f>IF(Charts!$B$3="none",I279,IF(BW279="",NA(),BW279))</f>
        <v>0</v>
      </c>
      <c r="EL72">
        <f>IF(Charts!$B$3="none",J279,IF(BX279="",NA(),BX279))</f>
        <v>0</v>
      </c>
      <c r="EM72">
        <f>IF(Charts!$B$3="none",K279,IF(BY279="",NA(),BY279))</f>
        <v>0</v>
      </c>
      <c r="EN72">
        <f>IF(Charts!$B$3="none",L279,IF(BZ279="",NA(),BZ279))</f>
        <v>0</v>
      </c>
      <c r="EO72">
        <f>IF(Charts!$B$3="none",M279,IF(CA279="",NA(),CA279))</f>
        <v>0</v>
      </c>
      <c r="EP72">
        <f>IF(Charts!$B$3="none",N279,IF(CB279="",NA(),CB279))</f>
        <v>0</v>
      </c>
      <c r="EQ72">
        <f>IF(Charts!$B$3="none",O279,IF(CC279="",NA(),CC279))</f>
        <v>0</v>
      </c>
      <c r="ER72">
        <f>IF(Charts!$B$3="none",P279,IF(CD279="",NA(),CD279))</f>
        <v>0</v>
      </c>
      <c r="ES72">
        <f>IF(Charts!$B$3="none",Q279,IF(CE279="",NA(),CE279))</f>
        <v>0</v>
      </c>
      <c r="ET72">
        <f>IF(Charts!$B$3="none",R279,IF(CF279="",NA(),CF279))</f>
        <v>0</v>
      </c>
      <c r="EU72">
        <f>IF(Charts!$B$3="none",S279,IF(CG279="",NA(),CG279))</f>
        <v>0</v>
      </c>
      <c r="EV72">
        <f>IF(Charts!$B$3="none",T279,IF(CH279="",NA(),CH279))</f>
        <v>0</v>
      </c>
      <c r="EW72">
        <f>IF(Charts!$B$3="none",U279,IF(CI279="",NA(),CI279))</f>
        <v>0</v>
      </c>
      <c r="EX72">
        <f>IF(Charts!$B$3="none",V279,IF(CJ279="",NA(),CJ279))</f>
        <v>0</v>
      </c>
      <c r="EY72">
        <f>IF(Charts!$B$3="none",W279,IF(CK279="",NA(),CK279))</f>
        <v>0</v>
      </c>
      <c r="EZ72">
        <f>IF(Charts!$B$3="none",X279,IF(CL279="",NA(),CL279))</f>
        <v>0</v>
      </c>
      <c r="FA72">
        <f>IF(Charts!$B$3="none",Y279,IF(CM279="",NA(),CM279))</f>
        <v>0</v>
      </c>
      <c r="FB72">
        <f>IF(Charts!$B$3="none",Z279,IF(CN279="",NA(),CN279))</f>
        <v>0</v>
      </c>
      <c r="FC72">
        <f>IF(Charts!$B$3="none",AA279,IF(CO279="",NA(),CO279))</f>
        <v>0</v>
      </c>
      <c r="FD72">
        <f>IF(Charts!$B$3="none",AB279,IF(CP279="",NA(),CP279))</f>
        <v>0</v>
      </c>
      <c r="FE72">
        <f>IF(Charts!$B$3="none",AC279,IF(CQ279="",NA(),CQ279))</f>
        <v>0</v>
      </c>
      <c r="FF72">
        <f>IF(Charts!$B$3="none",AD279,IF(CR279="",NA(),CR279))</f>
        <v>0</v>
      </c>
      <c r="FG72">
        <f>IF(Charts!$B$3="none",AE279,IF(CS279="",NA(),CS279))</f>
        <v>0</v>
      </c>
      <c r="FH72">
        <f>IF(Charts!$B$3="none",AF279,IF(CT279="",NA(),CT279))</f>
        <v>0</v>
      </c>
      <c r="FI72">
        <f>IF(Charts!$B$3="none",AG279,IF(CU279="",NA(),CU279))</f>
        <v>0</v>
      </c>
      <c r="FJ72">
        <f>IF(Charts!$B$3="none",AH279,IF(CV279="",NA(),CV279))</f>
        <v>0</v>
      </c>
      <c r="FK72">
        <f>IF(Charts!$B$3="none",AI279,IF(CW279="",NA(),CW279))</f>
        <v>0</v>
      </c>
      <c r="FL72">
        <f>IF(Charts!$B$3="none",AJ279,IF(CX279="",NA(),CX279))</f>
        <v>0</v>
      </c>
      <c r="FM72">
        <f>IF(Charts!$B$3="none",AK279,IF(CY279="",NA(),CY279))</f>
        <v>0</v>
      </c>
      <c r="FN72">
        <f>IF(Charts!$B$3="none",AL279,IF(CZ279="",NA(),CZ279))</f>
        <v>0</v>
      </c>
      <c r="FO72">
        <f>IF(Charts!$B$3="none",AM279,IF(DA279="",NA(),DA279))</f>
        <v>0</v>
      </c>
      <c r="FP72">
        <f>IF(Charts!$B$3="none",AN279,IF(DB279="",NA(),DB279))</f>
        <v>0</v>
      </c>
      <c r="FQ72">
        <f>IF(Charts!$B$3="none",AO279,IF(DC279="",NA(),DC279))</f>
        <v>0</v>
      </c>
      <c r="FR72">
        <f>IF(Charts!$B$3="none",AP279,IF(DD279="",NA(),DD279))</f>
        <v>0</v>
      </c>
      <c r="FS72">
        <f>IF(Charts!$B$3="none",AQ279,IF(DE279="",NA(),DE279))</f>
        <v>0</v>
      </c>
      <c r="FT72">
        <f>IF(Charts!$B$3="none",AR279,IF(DF279="",NA(),DF279))</f>
        <v>0</v>
      </c>
      <c r="FU72">
        <f>IF(Charts!$B$3="none",AS279,IF(DG279="",NA(),DG279))</f>
        <v>0</v>
      </c>
      <c r="FV72">
        <f>IF(Charts!$B$3="none",AT279,IF(DH279="",NA(),DH279))</f>
        <v>0</v>
      </c>
      <c r="FW72">
        <f>IF(Charts!$B$3="none",AU279,IF(DI279="",NA(),DI279))</f>
        <v>0</v>
      </c>
      <c r="FX72">
        <f>IF(Charts!$B$3="none",AV279,IF(DJ279="",NA(),DJ279))</f>
        <v>0</v>
      </c>
      <c r="FY72">
        <f>IF(Charts!$B$3="none",AW279,IF(DK279="",NA(),DK279))</f>
        <v>0</v>
      </c>
      <c r="FZ72">
        <f>IF(Charts!$B$3="none",AX279,IF(DL279="",NA(),DL279))</f>
        <v>0</v>
      </c>
      <c r="GA72">
        <f>IF(Charts!$B$3="none",AY279,IF(DM279="",NA(),DM279))</f>
        <v>0</v>
      </c>
      <c r="GB72">
        <f>IF(Charts!$B$3="none",AZ279,IF(DN279="",NA(),DN279))</f>
        <v>0</v>
      </c>
      <c r="GC72">
        <f>IF(Charts!$B$3="none",BA279,IF(DO279="",NA(),DO279))</f>
        <v>0</v>
      </c>
      <c r="GD72">
        <f>IF(Charts!$B$3="none",BB279,IF(DP279="",NA(),DP279))</f>
        <v>0</v>
      </c>
      <c r="GE72">
        <f>IF(Charts!$B$3="none",BC279,IF(DQ279="",NA(),DQ279))</f>
        <v>0</v>
      </c>
      <c r="GF72">
        <f>IF(Charts!$B$3="none",BD279,IF(DR279="",NA(),DR279))</f>
        <v>0</v>
      </c>
      <c r="GG72">
        <f>IF(Charts!$B$3="none",BE279,IF(DS279="",NA(),DS279))</f>
        <v>0</v>
      </c>
      <c r="GH72">
        <f>IF(Charts!$B$3="none",BF279,IF(DT279="",NA(),DT279))</f>
        <v>0</v>
      </c>
      <c r="GI72">
        <f>IF(Charts!$B$3="none",BG279,IF(DU279="",NA(),DU279))</f>
        <v>0</v>
      </c>
      <c r="GJ72">
        <f>IF(Charts!$B$3="none",BH279,IF(DV279="",NA(),DV279))</f>
        <v>0</v>
      </c>
      <c r="GK72">
        <f>IF(Charts!$B$3="none",BI279,IF(DW279="",NA(),DW279))</f>
        <v>0</v>
      </c>
      <c r="GL72">
        <f>IF(Charts!$B$3="none",BJ279,IF(DX279="",NA(),DX279))</f>
        <v>0</v>
      </c>
      <c r="GM72">
        <f>IF(Charts!$B$3="none",BK279,IF(DY279="",NA(),DY279))</f>
        <v>0</v>
      </c>
      <c r="GN72">
        <f>IF(Charts!$B$3="none",BL279,IF(DZ279="",NA(),DZ279))</f>
        <v>0</v>
      </c>
      <c r="GO72">
        <f>IF(Charts!$B$3="none",BM279,IF(EA279="",NA(),EA279))</f>
        <v>0</v>
      </c>
      <c r="GP72">
        <f>IF(Charts!$B$3="none",BN279,IF(EB279="",NA(),EB279))</f>
        <v>0</v>
      </c>
      <c r="GQ72">
        <f>IF(Charts!$B$3="none",BO279,IF(EC279="",NA(),EC279))</f>
        <v>0</v>
      </c>
      <c r="GR72">
        <f>IF(Charts!$B$3="none",BP279,IF(ED279="",NA(),ED279))</f>
        <v>0</v>
      </c>
    </row>
    <row r="73" spans="5:200">
      <c r="E73">
        <v>27</v>
      </c>
      <c r="F73">
        <f>F31</f>
        <v>0</v>
      </c>
      <c r="G73">
        <v>27</v>
      </c>
      <c r="H73">
        <f>H31</f>
        <v>0</v>
      </c>
      <c r="I73">
        <v>27</v>
      </c>
      <c r="J73">
        <f>J31</f>
        <v>0</v>
      </c>
      <c r="K73">
        <v>27</v>
      </c>
      <c r="L73">
        <f>L31</f>
        <v>0</v>
      </c>
      <c r="M73">
        <v>27</v>
      </c>
      <c r="N73">
        <f>N31</f>
        <v>0</v>
      </c>
      <c r="O73">
        <v>27</v>
      </c>
      <c r="P73">
        <f>P31</f>
        <v>0</v>
      </c>
      <c r="Q73">
        <v>27</v>
      </c>
      <c r="R73">
        <f>R31</f>
        <v>0</v>
      </c>
      <c r="S73">
        <v>27</v>
      </c>
      <c r="T73">
        <f>T31</f>
        <v>0</v>
      </c>
      <c r="U73">
        <v>27</v>
      </c>
      <c r="V73">
        <f>V31</f>
        <v>0</v>
      </c>
      <c r="W73">
        <v>27</v>
      </c>
      <c r="X73">
        <f>X31</f>
        <v>0</v>
      </c>
      <c r="Y73">
        <v>27</v>
      </c>
      <c r="Z73">
        <f>Z31</f>
        <v>0</v>
      </c>
      <c r="AA73">
        <v>27</v>
      </c>
      <c r="AB73">
        <f>AB31</f>
        <v>0</v>
      </c>
      <c r="AC73">
        <v>27</v>
      </c>
      <c r="AD73">
        <f>AD31</f>
        <v>0</v>
      </c>
      <c r="AE73">
        <v>27</v>
      </c>
      <c r="AF73">
        <f>AF31</f>
        <v>0</v>
      </c>
      <c r="AG73">
        <v>27</v>
      </c>
      <c r="AH73">
        <f>AH31</f>
        <v>0</v>
      </c>
      <c r="AI73">
        <v>27</v>
      </c>
      <c r="AJ73">
        <f>AJ31</f>
        <v>0</v>
      </c>
      <c r="AK73">
        <v>27</v>
      </c>
      <c r="AL73">
        <f>AL31</f>
        <v>0</v>
      </c>
      <c r="AM73">
        <v>27</v>
      </c>
      <c r="AN73">
        <f>AN31</f>
        <v>0</v>
      </c>
      <c r="AO73">
        <v>27</v>
      </c>
      <c r="AP73">
        <f>AP31</f>
        <v>0</v>
      </c>
      <c r="AQ73">
        <v>27</v>
      </c>
      <c r="AR73">
        <f>AR31</f>
        <v>0</v>
      </c>
      <c r="AS73">
        <v>27</v>
      </c>
      <c r="AT73">
        <f>AT31</f>
        <v>0</v>
      </c>
      <c r="AU73">
        <v>27</v>
      </c>
      <c r="AV73">
        <f>AV31</f>
        <v>0</v>
      </c>
      <c r="AW73">
        <v>27</v>
      </c>
      <c r="AX73">
        <f>AX31</f>
        <v>0</v>
      </c>
      <c r="AY73">
        <v>27</v>
      </c>
      <c r="AZ73">
        <f>AZ31</f>
        <v>0</v>
      </c>
      <c r="BA73">
        <v>27</v>
      </c>
      <c r="BB73">
        <f>BB31</f>
        <v>0</v>
      </c>
      <c r="BC73">
        <v>27</v>
      </c>
      <c r="BD73">
        <f>BD31</f>
        <v>0</v>
      </c>
      <c r="BE73">
        <v>27</v>
      </c>
      <c r="BF73">
        <f>BF31</f>
        <v>0</v>
      </c>
      <c r="BG73">
        <v>27</v>
      </c>
      <c r="BH73">
        <f>BH31</f>
        <v>0</v>
      </c>
      <c r="BI73">
        <v>27</v>
      </c>
      <c r="BJ73">
        <f>BJ31</f>
        <v>0</v>
      </c>
      <c r="BK73">
        <v>27</v>
      </c>
      <c r="BL73">
        <f>BL31</f>
        <v>0</v>
      </c>
      <c r="BM73">
        <v>27</v>
      </c>
      <c r="BN73">
        <f>BN31</f>
        <v>0</v>
      </c>
      <c r="BO73">
        <v>27</v>
      </c>
      <c r="BP73">
        <f>BP31</f>
        <v>0</v>
      </c>
      <c r="BS73">
        <v>27</v>
      </c>
      <c r="BT73">
        <f>BT31</f>
        <v>0</v>
      </c>
      <c r="BU73">
        <v>27</v>
      </c>
      <c r="BV73">
        <f>BV31</f>
        <v>0</v>
      </c>
      <c r="BW73">
        <v>27</v>
      </c>
      <c r="BX73">
        <f>BX31</f>
        <v>0</v>
      </c>
      <c r="BY73">
        <v>27</v>
      </c>
      <c r="BZ73">
        <f>BZ31</f>
        <v>0</v>
      </c>
      <c r="CA73">
        <v>27</v>
      </c>
      <c r="CB73">
        <f>CB31</f>
        <v>0</v>
      </c>
      <c r="CC73">
        <v>27</v>
      </c>
      <c r="CD73">
        <f>CD31</f>
        <v>0</v>
      </c>
      <c r="CE73">
        <v>27</v>
      </c>
      <c r="CF73">
        <f>CF31</f>
        <v>0</v>
      </c>
      <c r="CG73">
        <v>27</v>
      </c>
      <c r="CH73">
        <f>CH31</f>
        <v>0</v>
      </c>
      <c r="CI73">
        <v>27</v>
      </c>
      <c r="CJ73">
        <f>CJ31</f>
        <v>0</v>
      </c>
      <c r="CK73">
        <v>27</v>
      </c>
      <c r="CL73">
        <f>CL31</f>
        <v>0</v>
      </c>
      <c r="CM73">
        <v>27</v>
      </c>
      <c r="CN73">
        <f>CN31</f>
        <v>0</v>
      </c>
      <c r="CO73">
        <v>27</v>
      </c>
      <c r="CP73">
        <f>CP31</f>
        <v>0</v>
      </c>
      <c r="CQ73">
        <v>27</v>
      </c>
      <c r="CR73">
        <f>CR31</f>
        <v>0</v>
      </c>
      <c r="CS73">
        <v>27</v>
      </c>
      <c r="CT73">
        <f>CT31</f>
        <v>0</v>
      </c>
      <c r="CU73">
        <v>27</v>
      </c>
      <c r="CV73">
        <f>CV31</f>
        <v>0</v>
      </c>
      <c r="CW73">
        <v>27</v>
      </c>
      <c r="CX73">
        <f>CX31</f>
        <v>0</v>
      </c>
      <c r="CY73">
        <v>27</v>
      </c>
      <c r="CZ73">
        <f>CZ31</f>
        <v>0</v>
      </c>
      <c r="DA73">
        <v>27</v>
      </c>
      <c r="DB73">
        <f>DB31</f>
        <v>0</v>
      </c>
      <c r="DC73">
        <v>27</v>
      </c>
      <c r="DD73">
        <f>DD31</f>
        <v>0</v>
      </c>
      <c r="DE73">
        <v>27</v>
      </c>
      <c r="DF73">
        <f>DF31</f>
        <v>0</v>
      </c>
      <c r="DG73">
        <v>27</v>
      </c>
      <c r="DH73">
        <f>DH31</f>
        <v>0</v>
      </c>
      <c r="DI73">
        <v>27</v>
      </c>
      <c r="DJ73">
        <f>DJ31</f>
        <v>0</v>
      </c>
      <c r="DK73">
        <v>27</v>
      </c>
      <c r="DL73">
        <f>DL31</f>
        <v>0</v>
      </c>
      <c r="DM73">
        <v>27</v>
      </c>
      <c r="DN73">
        <f>DN31</f>
        <v>0</v>
      </c>
      <c r="DO73">
        <v>27</v>
      </c>
      <c r="DP73">
        <f>DP31</f>
        <v>0</v>
      </c>
      <c r="DQ73">
        <v>27</v>
      </c>
      <c r="DR73">
        <f>DR31</f>
        <v>0</v>
      </c>
      <c r="DS73">
        <v>27</v>
      </c>
      <c r="DT73">
        <f>DT31</f>
        <v>0</v>
      </c>
      <c r="DU73">
        <v>27</v>
      </c>
      <c r="DV73">
        <f>DV31</f>
        <v>0</v>
      </c>
      <c r="DW73">
        <v>27</v>
      </c>
      <c r="DX73">
        <f>DX31</f>
        <v>0</v>
      </c>
      <c r="DY73">
        <v>27</v>
      </c>
      <c r="DZ73">
        <f>DZ31</f>
        <v>0</v>
      </c>
      <c r="EA73">
        <v>27</v>
      </c>
      <c r="EB73">
        <f>EB31</f>
        <v>0</v>
      </c>
      <c r="EC73">
        <v>27</v>
      </c>
      <c r="ED73">
        <f>ED31</f>
        <v>0</v>
      </c>
      <c r="EG73">
        <f>IF(Charts!$B$3="none",E280,IF(BS280="",NA(),BS280))</f>
        <v>0</v>
      </c>
      <c r="EH73">
        <f>IF(Charts!$B$3="none",F280,IF(BT280="",NA(),BT280))</f>
        <v>0</v>
      </c>
      <c r="EI73">
        <f>IF(Charts!$B$3="none",G280,IF(BU280="",NA(),BU280))</f>
        <v>0</v>
      </c>
      <c r="EJ73">
        <f>IF(Charts!$B$3="none",H280,IF(BV280="",NA(),BV280))</f>
        <v>0</v>
      </c>
      <c r="EK73">
        <f>IF(Charts!$B$3="none",I280,IF(BW280="",NA(),BW280))</f>
        <v>0</v>
      </c>
      <c r="EL73">
        <f>IF(Charts!$B$3="none",J280,IF(BX280="",NA(),BX280))</f>
        <v>0</v>
      </c>
      <c r="EM73">
        <f>IF(Charts!$B$3="none",K280,IF(BY280="",NA(),BY280))</f>
        <v>0</v>
      </c>
      <c r="EN73">
        <f>IF(Charts!$B$3="none",L280,IF(BZ280="",NA(),BZ280))</f>
        <v>0</v>
      </c>
      <c r="EO73">
        <f>IF(Charts!$B$3="none",M280,IF(CA280="",NA(),CA280))</f>
        <v>0</v>
      </c>
      <c r="EP73">
        <f>IF(Charts!$B$3="none",N280,IF(CB280="",NA(),CB280))</f>
        <v>0</v>
      </c>
      <c r="EQ73">
        <f>IF(Charts!$B$3="none",O280,IF(CC280="",NA(),CC280))</f>
        <v>0</v>
      </c>
      <c r="ER73">
        <f>IF(Charts!$B$3="none",P280,IF(CD280="",NA(),CD280))</f>
        <v>0</v>
      </c>
      <c r="ES73">
        <f>IF(Charts!$B$3="none",Q280,IF(CE280="",NA(),CE280))</f>
        <v>0</v>
      </c>
      <c r="ET73">
        <f>IF(Charts!$B$3="none",R280,IF(CF280="",NA(),CF280))</f>
        <v>0</v>
      </c>
      <c r="EU73">
        <f>IF(Charts!$B$3="none",S280,IF(CG280="",NA(),CG280))</f>
        <v>0</v>
      </c>
      <c r="EV73">
        <f>IF(Charts!$B$3="none",T280,IF(CH280="",NA(),CH280))</f>
        <v>0</v>
      </c>
      <c r="EW73">
        <f>IF(Charts!$B$3="none",U280,IF(CI280="",NA(),CI280))</f>
        <v>0</v>
      </c>
      <c r="EX73">
        <f>IF(Charts!$B$3="none",V280,IF(CJ280="",NA(),CJ280))</f>
        <v>0</v>
      </c>
      <c r="EY73">
        <f>IF(Charts!$B$3="none",W280,IF(CK280="",NA(),CK280))</f>
        <v>0</v>
      </c>
      <c r="EZ73">
        <f>IF(Charts!$B$3="none",X280,IF(CL280="",NA(),CL280))</f>
        <v>0</v>
      </c>
      <c r="FA73">
        <f>IF(Charts!$B$3="none",Y280,IF(CM280="",NA(),CM280))</f>
        <v>0</v>
      </c>
      <c r="FB73">
        <f>IF(Charts!$B$3="none",Z280,IF(CN280="",NA(),CN280))</f>
        <v>0</v>
      </c>
      <c r="FC73">
        <f>IF(Charts!$B$3="none",AA280,IF(CO280="",NA(),CO280))</f>
        <v>0</v>
      </c>
      <c r="FD73">
        <f>IF(Charts!$B$3="none",AB280,IF(CP280="",NA(),CP280))</f>
        <v>0</v>
      </c>
      <c r="FE73">
        <f>IF(Charts!$B$3="none",AC280,IF(CQ280="",NA(),CQ280))</f>
        <v>0</v>
      </c>
      <c r="FF73">
        <f>IF(Charts!$B$3="none",AD280,IF(CR280="",NA(),CR280))</f>
        <v>0</v>
      </c>
      <c r="FG73">
        <f>IF(Charts!$B$3="none",AE280,IF(CS280="",NA(),CS280))</f>
        <v>0</v>
      </c>
      <c r="FH73">
        <f>IF(Charts!$B$3="none",AF280,IF(CT280="",NA(),CT280))</f>
        <v>0</v>
      </c>
      <c r="FI73">
        <f>IF(Charts!$B$3="none",AG280,IF(CU280="",NA(),CU280))</f>
        <v>0</v>
      </c>
      <c r="FJ73">
        <f>IF(Charts!$B$3="none",AH280,IF(CV280="",NA(),CV280))</f>
        <v>0</v>
      </c>
      <c r="FK73">
        <f>IF(Charts!$B$3="none",AI280,IF(CW280="",NA(),CW280))</f>
        <v>0</v>
      </c>
      <c r="FL73">
        <f>IF(Charts!$B$3="none",AJ280,IF(CX280="",NA(),CX280))</f>
        <v>0</v>
      </c>
      <c r="FM73">
        <f>IF(Charts!$B$3="none",AK280,IF(CY280="",NA(),CY280))</f>
        <v>0</v>
      </c>
      <c r="FN73">
        <f>IF(Charts!$B$3="none",AL280,IF(CZ280="",NA(),CZ280))</f>
        <v>0</v>
      </c>
      <c r="FO73">
        <f>IF(Charts!$B$3="none",AM280,IF(DA280="",NA(),DA280))</f>
        <v>0</v>
      </c>
      <c r="FP73">
        <f>IF(Charts!$B$3="none",AN280,IF(DB280="",NA(),DB280))</f>
        <v>0</v>
      </c>
      <c r="FQ73">
        <f>IF(Charts!$B$3="none",AO280,IF(DC280="",NA(),DC280))</f>
        <v>0</v>
      </c>
      <c r="FR73">
        <f>IF(Charts!$B$3="none",AP280,IF(DD280="",NA(),DD280))</f>
        <v>0</v>
      </c>
      <c r="FS73">
        <f>IF(Charts!$B$3="none",AQ280,IF(DE280="",NA(),DE280))</f>
        <v>0</v>
      </c>
      <c r="FT73">
        <f>IF(Charts!$B$3="none",AR280,IF(DF280="",NA(),DF280))</f>
        <v>0</v>
      </c>
      <c r="FU73">
        <f>IF(Charts!$B$3="none",AS280,IF(DG280="",NA(),DG280))</f>
        <v>0</v>
      </c>
      <c r="FV73">
        <f>IF(Charts!$B$3="none",AT280,IF(DH280="",NA(),DH280))</f>
        <v>0</v>
      </c>
      <c r="FW73">
        <f>IF(Charts!$B$3="none",AU280,IF(DI280="",NA(),DI280))</f>
        <v>0</v>
      </c>
      <c r="FX73">
        <f>IF(Charts!$B$3="none",AV280,IF(DJ280="",NA(),DJ280))</f>
        <v>0</v>
      </c>
      <c r="FY73">
        <f>IF(Charts!$B$3="none",AW280,IF(DK280="",NA(),DK280))</f>
        <v>0</v>
      </c>
      <c r="FZ73">
        <f>IF(Charts!$B$3="none",AX280,IF(DL280="",NA(),DL280))</f>
        <v>0</v>
      </c>
      <c r="GA73">
        <f>IF(Charts!$B$3="none",AY280,IF(DM280="",NA(),DM280))</f>
        <v>0</v>
      </c>
      <c r="GB73">
        <f>IF(Charts!$B$3="none",AZ280,IF(DN280="",NA(),DN280))</f>
        <v>0</v>
      </c>
      <c r="GC73">
        <f>IF(Charts!$B$3="none",BA280,IF(DO280="",NA(),DO280))</f>
        <v>0</v>
      </c>
      <c r="GD73">
        <f>IF(Charts!$B$3="none",BB280,IF(DP280="",NA(),DP280))</f>
        <v>0</v>
      </c>
      <c r="GE73">
        <f>IF(Charts!$B$3="none",BC280,IF(DQ280="",NA(),DQ280))</f>
        <v>0</v>
      </c>
      <c r="GF73">
        <f>IF(Charts!$B$3="none",BD280,IF(DR280="",NA(),DR280))</f>
        <v>0</v>
      </c>
      <c r="GG73">
        <f>IF(Charts!$B$3="none",BE280,IF(DS280="",NA(),DS280))</f>
        <v>0</v>
      </c>
      <c r="GH73">
        <f>IF(Charts!$B$3="none",BF280,IF(DT280="",NA(),DT280))</f>
        <v>0</v>
      </c>
      <c r="GI73">
        <f>IF(Charts!$B$3="none",BG280,IF(DU280="",NA(),DU280))</f>
        <v>0</v>
      </c>
      <c r="GJ73">
        <f>IF(Charts!$B$3="none",BH280,IF(DV280="",NA(),DV280))</f>
        <v>0</v>
      </c>
      <c r="GK73">
        <f>IF(Charts!$B$3="none",BI280,IF(DW280="",NA(),DW280))</f>
        <v>0</v>
      </c>
      <c r="GL73">
        <f>IF(Charts!$B$3="none",BJ280,IF(DX280="",NA(),DX280))</f>
        <v>0</v>
      </c>
      <c r="GM73">
        <f>IF(Charts!$B$3="none",BK280,IF(DY280="",NA(),DY280))</f>
        <v>0</v>
      </c>
      <c r="GN73">
        <f>IF(Charts!$B$3="none",BL280,IF(DZ280="",NA(),DZ280))</f>
        <v>0</v>
      </c>
      <c r="GO73">
        <f>IF(Charts!$B$3="none",BM280,IF(EA280="",NA(),EA280))</f>
        <v>0</v>
      </c>
      <c r="GP73">
        <f>IF(Charts!$B$3="none",BN280,IF(EB280="",NA(),EB280))</f>
        <v>0</v>
      </c>
      <c r="GQ73">
        <f>IF(Charts!$B$3="none",BO280,IF(EC280="",NA(),EC280))</f>
        <v>0</v>
      </c>
      <c r="GR73">
        <f>IF(Charts!$B$3="none",BP280,IF(ED280="",NA(),ED280))</f>
        <v>0</v>
      </c>
    </row>
    <row r="74" spans="5:200">
      <c r="E74">
        <v>28</v>
      </c>
      <c r="F74">
        <f>F32</f>
        <v>0</v>
      </c>
      <c r="G74">
        <v>28</v>
      </c>
      <c r="H74">
        <f>H32</f>
        <v>0</v>
      </c>
      <c r="I74">
        <v>28</v>
      </c>
      <c r="J74">
        <f>J32</f>
        <v>0</v>
      </c>
      <c r="K74">
        <v>28</v>
      </c>
      <c r="L74">
        <f>L32</f>
        <v>0</v>
      </c>
      <c r="M74">
        <v>28</v>
      </c>
      <c r="N74">
        <f>N32</f>
        <v>0</v>
      </c>
      <c r="O74">
        <v>28</v>
      </c>
      <c r="P74">
        <f>P32</f>
        <v>0</v>
      </c>
      <c r="Q74">
        <v>28</v>
      </c>
      <c r="R74">
        <f>R32</f>
        <v>0</v>
      </c>
      <c r="S74">
        <v>28</v>
      </c>
      <c r="T74">
        <f>T32</f>
        <v>0</v>
      </c>
      <c r="U74">
        <v>28</v>
      </c>
      <c r="V74">
        <f>V32</f>
        <v>0</v>
      </c>
      <c r="W74">
        <v>28</v>
      </c>
      <c r="X74">
        <f>X32</f>
        <v>0</v>
      </c>
      <c r="Y74">
        <v>28</v>
      </c>
      <c r="Z74">
        <f>Z32</f>
        <v>0</v>
      </c>
      <c r="AA74">
        <v>28</v>
      </c>
      <c r="AB74">
        <f>AB32</f>
        <v>0</v>
      </c>
      <c r="AC74">
        <v>28</v>
      </c>
      <c r="AD74">
        <f>AD32</f>
        <v>0</v>
      </c>
      <c r="AE74">
        <v>28</v>
      </c>
      <c r="AF74">
        <f>AF32</f>
        <v>0</v>
      </c>
      <c r="AG74">
        <v>28</v>
      </c>
      <c r="AH74">
        <f>AH32</f>
        <v>0</v>
      </c>
      <c r="AI74">
        <v>28</v>
      </c>
      <c r="AJ74">
        <f>AJ32</f>
        <v>0</v>
      </c>
      <c r="AK74">
        <v>28</v>
      </c>
      <c r="AL74">
        <f>AL32</f>
        <v>0</v>
      </c>
      <c r="AM74">
        <v>28</v>
      </c>
      <c r="AN74">
        <f>AN32</f>
        <v>0</v>
      </c>
      <c r="AO74">
        <v>28</v>
      </c>
      <c r="AP74">
        <f>AP32</f>
        <v>0</v>
      </c>
      <c r="AQ74">
        <v>28</v>
      </c>
      <c r="AR74">
        <f>AR32</f>
        <v>0</v>
      </c>
      <c r="AS74">
        <v>28</v>
      </c>
      <c r="AT74">
        <f>AT32</f>
        <v>0</v>
      </c>
      <c r="AU74">
        <v>28</v>
      </c>
      <c r="AV74">
        <f>AV32</f>
        <v>0</v>
      </c>
      <c r="AW74">
        <v>28</v>
      </c>
      <c r="AX74">
        <f>AX32</f>
        <v>0</v>
      </c>
      <c r="AY74">
        <v>28</v>
      </c>
      <c r="AZ74">
        <f>AZ32</f>
        <v>0</v>
      </c>
      <c r="BA74">
        <v>28</v>
      </c>
      <c r="BB74">
        <f>BB32</f>
        <v>0</v>
      </c>
      <c r="BC74">
        <v>28</v>
      </c>
      <c r="BD74">
        <f>BD32</f>
        <v>0</v>
      </c>
      <c r="BE74">
        <v>28</v>
      </c>
      <c r="BF74">
        <f>BF32</f>
        <v>0</v>
      </c>
      <c r="BG74">
        <v>28</v>
      </c>
      <c r="BH74">
        <f>BH32</f>
        <v>0</v>
      </c>
      <c r="BI74">
        <v>28</v>
      </c>
      <c r="BJ74">
        <f>BJ32</f>
        <v>0</v>
      </c>
      <c r="BK74">
        <v>28</v>
      </c>
      <c r="BL74">
        <f>BL32</f>
        <v>0</v>
      </c>
      <c r="BM74">
        <v>28</v>
      </c>
      <c r="BN74">
        <f>BN32</f>
        <v>0</v>
      </c>
      <c r="BO74">
        <v>28</v>
      </c>
      <c r="BP74">
        <f>BP32</f>
        <v>0</v>
      </c>
      <c r="BS74">
        <v>28</v>
      </c>
      <c r="BT74">
        <f>BT32</f>
        <v>0</v>
      </c>
      <c r="BU74">
        <v>28</v>
      </c>
      <c r="BV74">
        <f>BV32</f>
        <v>0</v>
      </c>
      <c r="BW74">
        <v>28</v>
      </c>
      <c r="BX74">
        <f>BX32</f>
        <v>0</v>
      </c>
      <c r="BY74">
        <v>28</v>
      </c>
      <c r="BZ74">
        <f>BZ32</f>
        <v>0</v>
      </c>
      <c r="CA74">
        <v>28</v>
      </c>
      <c r="CB74">
        <f>CB32</f>
        <v>0</v>
      </c>
      <c r="CC74">
        <v>28</v>
      </c>
      <c r="CD74">
        <f>CD32</f>
        <v>0</v>
      </c>
      <c r="CE74">
        <v>28</v>
      </c>
      <c r="CF74">
        <f>CF32</f>
        <v>0</v>
      </c>
      <c r="CG74">
        <v>28</v>
      </c>
      <c r="CH74">
        <f>CH32</f>
        <v>0</v>
      </c>
      <c r="CI74">
        <v>28</v>
      </c>
      <c r="CJ74">
        <f>CJ32</f>
        <v>0</v>
      </c>
      <c r="CK74">
        <v>28</v>
      </c>
      <c r="CL74">
        <f>CL32</f>
        <v>0</v>
      </c>
      <c r="CM74">
        <v>28</v>
      </c>
      <c r="CN74">
        <f>CN32</f>
        <v>0</v>
      </c>
      <c r="CO74">
        <v>28</v>
      </c>
      <c r="CP74">
        <f>CP32</f>
        <v>0</v>
      </c>
      <c r="CQ74">
        <v>28</v>
      </c>
      <c r="CR74">
        <f>CR32</f>
        <v>0</v>
      </c>
      <c r="CS74">
        <v>28</v>
      </c>
      <c r="CT74">
        <f>CT32</f>
        <v>0</v>
      </c>
      <c r="CU74">
        <v>28</v>
      </c>
      <c r="CV74">
        <f>CV32</f>
        <v>0</v>
      </c>
      <c r="CW74">
        <v>28</v>
      </c>
      <c r="CX74">
        <f>CX32</f>
        <v>0</v>
      </c>
      <c r="CY74">
        <v>28</v>
      </c>
      <c r="CZ74">
        <f>CZ32</f>
        <v>0</v>
      </c>
      <c r="DA74">
        <v>28</v>
      </c>
      <c r="DB74">
        <f>DB32</f>
        <v>0</v>
      </c>
      <c r="DC74">
        <v>28</v>
      </c>
      <c r="DD74">
        <f>DD32</f>
        <v>0</v>
      </c>
      <c r="DE74">
        <v>28</v>
      </c>
      <c r="DF74">
        <f>DF32</f>
        <v>0</v>
      </c>
      <c r="DG74">
        <v>28</v>
      </c>
      <c r="DH74">
        <f>DH32</f>
        <v>0</v>
      </c>
      <c r="DI74">
        <v>28</v>
      </c>
      <c r="DJ74">
        <f>DJ32</f>
        <v>0</v>
      </c>
      <c r="DK74">
        <v>28</v>
      </c>
      <c r="DL74">
        <f>DL32</f>
        <v>0</v>
      </c>
      <c r="DM74">
        <v>28</v>
      </c>
      <c r="DN74">
        <f>DN32</f>
        <v>0</v>
      </c>
      <c r="DO74">
        <v>28</v>
      </c>
      <c r="DP74">
        <f>DP32</f>
        <v>0</v>
      </c>
      <c r="DQ74">
        <v>28</v>
      </c>
      <c r="DR74">
        <f>DR32</f>
        <v>0</v>
      </c>
      <c r="DS74">
        <v>28</v>
      </c>
      <c r="DT74">
        <f>DT32</f>
        <v>0</v>
      </c>
      <c r="DU74">
        <v>28</v>
      </c>
      <c r="DV74">
        <f>DV32</f>
        <v>0</v>
      </c>
      <c r="DW74">
        <v>28</v>
      </c>
      <c r="DX74">
        <f>DX32</f>
        <v>0</v>
      </c>
      <c r="DY74">
        <v>28</v>
      </c>
      <c r="DZ74">
        <f>DZ32</f>
        <v>0</v>
      </c>
      <c r="EA74">
        <v>28</v>
      </c>
      <c r="EB74">
        <f>EB32</f>
        <v>0</v>
      </c>
      <c r="EC74">
        <v>28</v>
      </c>
      <c r="ED74">
        <f>ED32</f>
        <v>0</v>
      </c>
      <c r="EG74">
        <f>IF(Charts!$B$3="none",E281,IF(BS281="",NA(),BS281))</f>
        <v>0</v>
      </c>
      <c r="EH74">
        <f>IF(Charts!$B$3="none",F281,IF(BT281="",NA(),BT281))</f>
        <v>0</v>
      </c>
      <c r="EI74">
        <f>IF(Charts!$B$3="none",G281,IF(BU281="",NA(),BU281))</f>
        <v>0</v>
      </c>
      <c r="EJ74">
        <f>IF(Charts!$B$3="none",H281,IF(BV281="",NA(),BV281))</f>
        <v>0</v>
      </c>
      <c r="EK74">
        <f>IF(Charts!$B$3="none",I281,IF(BW281="",NA(),BW281))</f>
        <v>0</v>
      </c>
      <c r="EL74">
        <f>IF(Charts!$B$3="none",J281,IF(BX281="",NA(),BX281))</f>
        <v>0</v>
      </c>
      <c r="EM74">
        <f>IF(Charts!$B$3="none",K281,IF(BY281="",NA(),BY281))</f>
        <v>0</v>
      </c>
      <c r="EN74">
        <f>IF(Charts!$B$3="none",L281,IF(BZ281="",NA(),BZ281))</f>
        <v>0</v>
      </c>
      <c r="EO74">
        <f>IF(Charts!$B$3="none",M281,IF(CA281="",NA(),CA281))</f>
        <v>0</v>
      </c>
      <c r="EP74">
        <f>IF(Charts!$B$3="none",N281,IF(CB281="",NA(),CB281))</f>
        <v>0</v>
      </c>
      <c r="EQ74">
        <f>IF(Charts!$B$3="none",O281,IF(CC281="",NA(),CC281))</f>
        <v>0</v>
      </c>
      <c r="ER74">
        <f>IF(Charts!$B$3="none",P281,IF(CD281="",NA(),CD281))</f>
        <v>0</v>
      </c>
      <c r="ES74">
        <f>IF(Charts!$B$3="none",Q281,IF(CE281="",NA(),CE281))</f>
        <v>0</v>
      </c>
      <c r="ET74">
        <f>IF(Charts!$B$3="none",R281,IF(CF281="",NA(),CF281))</f>
        <v>0</v>
      </c>
      <c r="EU74">
        <f>IF(Charts!$B$3="none",S281,IF(CG281="",NA(),CG281))</f>
        <v>0</v>
      </c>
      <c r="EV74">
        <f>IF(Charts!$B$3="none",T281,IF(CH281="",NA(),CH281))</f>
        <v>0</v>
      </c>
      <c r="EW74">
        <f>IF(Charts!$B$3="none",U281,IF(CI281="",NA(),CI281))</f>
        <v>0</v>
      </c>
      <c r="EX74">
        <f>IF(Charts!$B$3="none",V281,IF(CJ281="",NA(),CJ281))</f>
        <v>0</v>
      </c>
      <c r="EY74">
        <f>IF(Charts!$B$3="none",W281,IF(CK281="",NA(),CK281))</f>
        <v>0</v>
      </c>
      <c r="EZ74">
        <f>IF(Charts!$B$3="none",X281,IF(CL281="",NA(),CL281))</f>
        <v>0</v>
      </c>
      <c r="FA74">
        <f>IF(Charts!$B$3="none",Y281,IF(CM281="",NA(),CM281))</f>
        <v>0</v>
      </c>
      <c r="FB74">
        <f>IF(Charts!$B$3="none",Z281,IF(CN281="",NA(),CN281))</f>
        <v>0</v>
      </c>
      <c r="FC74">
        <f>IF(Charts!$B$3="none",AA281,IF(CO281="",NA(),CO281))</f>
        <v>0</v>
      </c>
      <c r="FD74">
        <f>IF(Charts!$B$3="none",AB281,IF(CP281="",NA(),CP281))</f>
        <v>0</v>
      </c>
      <c r="FE74">
        <f>IF(Charts!$B$3="none",AC281,IF(CQ281="",NA(),CQ281))</f>
        <v>0</v>
      </c>
      <c r="FF74">
        <f>IF(Charts!$B$3="none",AD281,IF(CR281="",NA(),CR281))</f>
        <v>0</v>
      </c>
      <c r="FG74">
        <f>IF(Charts!$B$3="none",AE281,IF(CS281="",NA(),CS281))</f>
        <v>0</v>
      </c>
      <c r="FH74">
        <f>IF(Charts!$B$3="none",AF281,IF(CT281="",NA(),CT281))</f>
        <v>0</v>
      </c>
      <c r="FI74">
        <f>IF(Charts!$B$3="none",AG281,IF(CU281="",NA(),CU281))</f>
        <v>0</v>
      </c>
      <c r="FJ74">
        <f>IF(Charts!$B$3="none",AH281,IF(CV281="",NA(),CV281))</f>
        <v>0</v>
      </c>
      <c r="FK74">
        <f>IF(Charts!$B$3="none",AI281,IF(CW281="",NA(),CW281))</f>
        <v>0</v>
      </c>
      <c r="FL74">
        <f>IF(Charts!$B$3="none",AJ281,IF(CX281="",NA(),CX281))</f>
        <v>0</v>
      </c>
      <c r="FM74">
        <f>IF(Charts!$B$3="none",AK281,IF(CY281="",NA(),CY281))</f>
        <v>0</v>
      </c>
      <c r="FN74">
        <f>IF(Charts!$B$3="none",AL281,IF(CZ281="",NA(),CZ281))</f>
        <v>0</v>
      </c>
      <c r="FO74">
        <f>IF(Charts!$B$3="none",AM281,IF(DA281="",NA(),DA281))</f>
        <v>0</v>
      </c>
      <c r="FP74">
        <f>IF(Charts!$B$3="none",AN281,IF(DB281="",NA(),DB281))</f>
        <v>0</v>
      </c>
      <c r="FQ74">
        <f>IF(Charts!$B$3="none",AO281,IF(DC281="",NA(),DC281))</f>
        <v>0</v>
      </c>
      <c r="FR74">
        <f>IF(Charts!$B$3="none",AP281,IF(DD281="",NA(),DD281))</f>
        <v>0</v>
      </c>
      <c r="FS74">
        <f>IF(Charts!$B$3="none",AQ281,IF(DE281="",NA(),DE281))</f>
        <v>0</v>
      </c>
      <c r="FT74">
        <f>IF(Charts!$B$3="none",AR281,IF(DF281="",NA(),DF281))</f>
        <v>0</v>
      </c>
      <c r="FU74">
        <f>IF(Charts!$B$3="none",AS281,IF(DG281="",NA(),DG281))</f>
        <v>0</v>
      </c>
      <c r="FV74">
        <f>IF(Charts!$B$3="none",AT281,IF(DH281="",NA(),DH281))</f>
        <v>0</v>
      </c>
      <c r="FW74">
        <f>IF(Charts!$B$3="none",AU281,IF(DI281="",NA(),DI281))</f>
        <v>0</v>
      </c>
      <c r="FX74">
        <f>IF(Charts!$B$3="none",AV281,IF(DJ281="",NA(),DJ281))</f>
        <v>0</v>
      </c>
      <c r="FY74">
        <f>IF(Charts!$B$3="none",AW281,IF(DK281="",NA(),DK281))</f>
        <v>0</v>
      </c>
      <c r="FZ74">
        <f>IF(Charts!$B$3="none",AX281,IF(DL281="",NA(),DL281))</f>
        <v>0</v>
      </c>
      <c r="GA74">
        <f>IF(Charts!$B$3="none",AY281,IF(DM281="",NA(),DM281))</f>
        <v>0</v>
      </c>
      <c r="GB74">
        <f>IF(Charts!$B$3="none",AZ281,IF(DN281="",NA(),DN281))</f>
        <v>0</v>
      </c>
      <c r="GC74">
        <f>IF(Charts!$B$3="none",BA281,IF(DO281="",NA(),DO281))</f>
        <v>0</v>
      </c>
      <c r="GD74">
        <f>IF(Charts!$B$3="none",BB281,IF(DP281="",NA(),DP281))</f>
        <v>0</v>
      </c>
      <c r="GE74">
        <f>IF(Charts!$B$3="none",BC281,IF(DQ281="",NA(),DQ281))</f>
        <v>0</v>
      </c>
      <c r="GF74">
        <f>IF(Charts!$B$3="none",BD281,IF(DR281="",NA(),DR281))</f>
        <v>0</v>
      </c>
      <c r="GG74">
        <f>IF(Charts!$B$3="none",BE281,IF(DS281="",NA(),DS281))</f>
        <v>0</v>
      </c>
      <c r="GH74">
        <f>IF(Charts!$B$3="none",BF281,IF(DT281="",NA(),DT281))</f>
        <v>0</v>
      </c>
      <c r="GI74">
        <f>IF(Charts!$B$3="none",BG281,IF(DU281="",NA(),DU281))</f>
        <v>0</v>
      </c>
      <c r="GJ74">
        <f>IF(Charts!$B$3="none",BH281,IF(DV281="",NA(),DV281))</f>
        <v>0</v>
      </c>
      <c r="GK74">
        <f>IF(Charts!$B$3="none",BI281,IF(DW281="",NA(),DW281))</f>
        <v>0</v>
      </c>
      <c r="GL74">
        <f>IF(Charts!$B$3="none",BJ281,IF(DX281="",NA(),DX281))</f>
        <v>0</v>
      </c>
      <c r="GM74">
        <f>IF(Charts!$B$3="none",BK281,IF(DY281="",NA(),DY281))</f>
        <v>0</v>
      </c>
      <c r="GN74">
        <f>IF(Charts!$B$3="none",BL281,IF(DZ281="",NA(),DZ281))</f>
        <v>0</v>
      </c>
      <c r="GO74">
        <f>IF(Charts!$B$3="none",BM281,IF(EA281="",NA(),EA281))</f>
        <v>0</v>
      </c>
      <c r="GP74">
        <f>IF(Charts!$B$3="none",BN281,IF(EB281="",NA(),EB281))</f>
        <v>0</v>
      </c>
      <c r="GQ74">
        <f>IF(Charts!$B$3="none",BO281,IF(EC281="",NA(),EC281))</f>
        <v>0</v>
      </c>
      <c r="GR74">
        <f>IF(Charts!$B$3="none",BP281,IF(ED281="",NA(),ED281))</f>
        <v>0</v>
      </c>
    </row>
    <row r="75" spans="5:200">
      <c r="E75">
        <v>29</v>
      </c>
      <c r="F75">
        <f>F33</f>
        <v>0</v>
      </c>
      <c r="G75">
        <v>29</v>
      </c>
      <c r="H75">
        <f>H33</f>
        <v>0</v>
      </c>
      <c r="I75">
        <v>29</v>
      </c>
      <c r="J75">
        <f>J33</f>
        <v>0</v>
      </c>
      <c r="K75">
        <v>29</v>
      </c>
      <c r="L75">
        <f>L33</f>
        <v>0</v>
      </c>
      <c r="M75">
        <v>29</v>
      </c>
      <c r="N75">
        <f>N33</f>
        <v>0</v>
      </c>
      <c r="O75">
        <v>29</v>
      </c>
      <c r="P75">
        <f>P33</f>
        <v>0</v>
      </c>
      <c r="Q75">
        <v>29</v>
      </c>
      <c r="R75">
        <f>R33</f>
        <v>0</v>
      </c>
      <c r="S75">
        <v>29</v>
      </c>
      <c r="T75">
        <f>T33</f>
        <v>0</v>
      </c>
      <c r="U75">
        <v>29</v>
      </c>
      <c r="V75">
        <f>V33</f>
        <v>0</v>
      </c>
      <c r="W75">
        <v>29</v>
      </c>
      <c r="X75">
        <f>X33</f>
        <v>0</v>
      </c>
      <c r="Y75">
        <v>29</v>
      </c>
      <c r="Z75">
        <f>Z33</f>
        <v>0</v>
      </c>
      <c r="AA75">
        <v>29</v>
      </c>
      <c r="AB75">
        <f>AB33</f>
        <v>0</v>
      </c>
      <c r="AC75">
        <v>29</v>
      </c>
      <c r="AD75">
        <f>AD33</f>
        <v>0</v>
      </c>
      <c r="AE75">
        <v>29</v>
      </c>
      <c r="AF75">
        <f>AF33</f>
        <v>0</v>
      </c>
      <c r="AG75">
        <v>29</v>
      </c>
      <c r="AH75">
        <f>AH33</f>
        <v>0</v>
      </c>
      <c r="AI75">
        <v>29</v>
      </c>
      <c r="AJ75">
        <f>AJ33</f>
        <v>0</v>
      </c>
      <c r="AK75">
        <v>29</v>
      </c>
      <c r="AL75">
        <f>AL33</f>
        <v>0</v>
      </c>
      <c r="AM75">
        <v>29</v>
      </c>
      <c r="AN75">
        <f>AN33</f>
        <v>0</v>
      </c>
      <c r="AO75">
        <v>29</v>
      </c>
      <c r="AP75">
        <f>AP33</f>
        <v>0</v>
      </c>
      <c r="AQ75">
        <v>29</v>
      </c>
      <c r="AR75">
        <f>AR33</f>
        <v>0</v>
      </c>
      <c r="AS75">
        <v>29</v>
      </c>
      <c r="AT75">
        <f>AT33</f>
        <v>0</v>
      </c>
      <c r="AU75">
        <v>29</v>
      </c>
      <c r="AV75">
        <f>AV33</f>
        <v>0</v>
      </c>
      <c r="AW75">
        <v>29</v>
      </c>
      <c r="AX75">
        <f>AX33</f>
        <v>0</v>
      </c>
      <c r="AY75">
        <v>29</v>
      </c>
      <c r="AZ75">
        <f>AZ33</f>
        <v>0</v>
      </c>
      <c r="BA75">
        <v>29</v>
      </c>
      <c r="BB75">
        <f>BB33</f>
        <v>0</v>
      </c>
      <c r="BC75">
        <v>29</v>
      </c>
      <c r="BD75">
        <f>BD33</f>
        <v>0</v>
      </c>
      <c r="BE75">
        <v>29</v>
      </c>
      <c r="BF75">
        <f>BF33</f>
        <v>0</v>
      </c>
      <c r="BG75">
        <v>29</v>
      </c>
      <c r="BH75">
        <f>BH33</f>
        <v>0</v>
      </c>
      <c r="BI75">
        <v>29</v>
      </c>
      <c r="BJ75">
        <f>BJ33</f>
        <v>0</v>
      </c>
      <c r="BK75">
        <v>29</v>
      </c>
      <c r="BL75">
        <f>BL33</f>
        <v>0</v>
      </c>
      <c r="BM75">
        <v>29</v>
      </c>
      <c r="BN75">
        <f>BN33</f>
        <v>0</v>
      </c>
      <c r="BO75">
        <v>29</v>
      </c>
      <c r="BP75">
        <f>BP33</f>
        <v>0</v>
      </c>
      <c r="BS75">
        <v>29</v>
      </c>
      <c r="BT75">
        <f>BT33</f>
        <v>0</v>
      </c>
      <c r="BU75">
        <v>29</v>
      </c>
      <c r="BV75">
        <f>BV33</f>
        <v>0</v>
      </c>
      <c r="BW75">
        <v>29</v>
      </c>
      <c r="BX75">
        <f>BX33</f>
        <v>0</v>
      </c>
      <c r="BY75">
        <v>29</v>
      </c>
      <c r="BZ75">
        <f>BZ33</f>
        <v>0</v>
      </c>
      <c r="CA75">
        <v>29</v>
      </c>
      <c r="CB75">
        <f>CB33</f>
        <v>0</v>
      </c>
      <c r="CC75">
        <v>29</v>
      </c>
      <c r="CD75">
        <f>CD33</f>
        <v>0</v>
      </c>
      <c r="CE75">
        <v>29</v>
      </c>
      <c r="CF75">
        <f>CF33</f>
        <v>0</v>
      </c>
      <c r="CG75">
        <v>29</v>
      </c>
      <c r="CH75">
        <f>CH33</f>
        <v>0</v>
      </c>
      <c r="CI75">
        <v>29</v>
      </c>
      <c r="CJ75">
        <f>CJ33</f>
        <v>0</v>
      </c>
      <c r="CK75">
        <v>29</v>
      </c>
      <c r="CL75">
        <f>CL33</f>
        <v>0</v>
      </c>
      <c r="CM75">
        <v>29</v>
      </c>
      <c r="CN75">
        <f>CN33</f>
        <v>0</v>
      </c>
      <c r="CO75">
        <v>29</v>
      </c>
      <c r="CP75">
        <f>CP33</f>
        <v>0</v>
      </c>
      <c r="CQ75">
        <v>29</v>
      </c>
      <c r="CR75">
        <f>CR33</f>
        <v>0</v>
      </c>
      <c r="CS75">
        <v>29</v>
      </c>
      <c r="CT75">
        <f>CT33</f>
        <v>0</v>
      </c>
      <c r="CU75">
        <v>29</v>
      </c>
      <c r="CV75">
        <f>CV33</f>
        <v>0</v>
      </c>
      <c r="CW75">
        <v>29</v>
      </c>
      <c r="CX75">
        <f>CX33</f>
        <v>0</v>
      </c>
      <c r="CY75">
        <v>29</v>
      </c>
      <c r="CZ75">
        <f>CZ33</f>
        <v>0</v>
      </c>
      <c r="DA75">
        <v>29</v>
      </c>
      <c r="DB75">
        <f>DB33</f>
        <v>0</v>
      </c>
      <c r="DC75">
        <v>29</v>
      </c>
      <c r="DD75">
        <f>DD33</f>
        <v>0</v>
      </c>
      <c r="DE75">
        <v>29</v>
      </c>
      <c r="DF75">
        <f>DF33</f>
        <v>0</v>
      </c>
      <c r="DG75">
        <v>29</v>
      </c>
      <c r="DH75">
        <f>DH33</f>
        <v>0</v>
      </c>
      <c r="DI75">
        <v>29</v>
      </c>
      <c r="DJ75">
        <f>DJ33</f>
        <v>0</v>
      </c>
      <c r="DK75">
        <v>29</v>
      </c>
      <c r="DL75">
        <f>DL33</f>
        <v>0</v>
      </c>
      <c r="DM75">
        <v>29</v>
      </c>
      <c r="DN75">
        <f>DN33</f>
        <v>0</v>
      </c>
      <c r="DO75">
        <v>29</v>
      </c>
      <c r="DP75">
        <f>DP33</f>
        <v>0</v>
      </c>
      <c r="DQ75">
        <v>29</v>
      </c>
      <c r="DR75">
        <f>DR33</f>
        <v>0</v>
      </c>
      <c r="DS75">
        <v>29</v>
      </c>
      <c r="DT75">
        <f>DT33</f>
        <v>0</v>
      </c>
      <c r="DU75">
        <v>29</v>
      </c>
      <c r="DV75">
        <f>DV33</f>
        <v>0</v>
      </c>
      <c r="DW75">
        <v>29</v>
      </c>
      <c r="DX75">
        <f>DX33</f>
        <v>0</v>
      </c>
      <c r="DY75">
        <v>29</v>
      </c>
      <c r="DZ75">
        <f>DZ33</f>
        <v>0</v>
      </c>
      <c r="EA75">
        <v>29</v>
      </c>
      <c r="EB75">
        <f>EB33</f>
        <v>0</v>
      </c>
      <c r="EC75">
        <v>29</v>
      </c>
      <c r="ED75">
        <f>ED33</f>
        <v>0</v>
      </c>
      <c r="EG75">
        <f>IF(Charts!$B$3="none",E282,IF(BS282="",NA(),BS282))</f>
        <v>0</v>
      </c>
      <c r="EH75">
        <f>IF(Charts!$B$3="none",F282,IF(BT282="",NA(),BT282))</f>
        <v>0</v>
      </c>
      <c r="EI75">
        <f>IF(Charts!$B$3="none",G282,IF(BU282="",NA(),BU282))</f>
        <v>0</v>
      </c>
      <c r="EJ75">
        <f>IF(Charts!$B$3="none",H282,IF(BV282="",NA(),BV282))</f>
        <v>0</v>
      </c>
      <c r="EK75">
        <f>IF(Charts!$B$3="none",I282,IF(BW282="",NA(),BW282))</f>
        <v>0</v>
      </c>
      <c r="EL75">
        <f>IF(Charts!$B$3="none",J282,IF(BX282="",NA(),BX282))</f>
        <v>0</v>
      </c>
      <c r="EM75">
        <f>IF(Charts!$B$3="none",K282,IF(BY282="",NA(),BY282))</f>
        <v>0</v>
      </c>
      <c r="EN75">
        <f>IF(Charts!$B$3="none",L282,IF(BZ282="",NA(),BZ282))</f>
        <v>0</v>
      </c>
      <c r="EO75">
        <f>IF(Charts!$B$3="none",M282,IF(CA282="",NA(),CA282))</f>
        <v>0</v>
      </c>
      <c r="EP75">
        <f>IF(Charts!$B$3="none",N282,IF(CB282="",NA(),CB282))</f>
        <v>0</v>
      </c>
      <c r="EQ75">
        <f>IF(Charts!$B$3="none",O282,IF(CC282="",NA(),CC282))</f>
        <v>0</v>
      </c>
      <c r="ER75">
        <f>IF(Charts!$B$3="none",P282,IF(CD282="",NA(),CD282))</f>
        <v>0</v>
      </c>
      <c r="ES75">
        <f>IF(Charts!$B$3="none",Q282,IF(CE282="",NA(),CE282))</f>
        <v>0</v>
      </c>
      <c r="ET75">
        <f>IF(Charts!$B$3="none",R282,IF(CF282="",NA(),CF282))</f>
        <v>0</v>
      </c>
      <c r="EU75">
        <f>IF(Charts!$B$3="none",S282,IF(CG282="",NA(),CG282))</f>
        <v>0</v>
      </c>
      <c r="EV75">
        <f>IF(Charts!$B$3="none",T282,IF(CH282="",NA(),CH282))</f>
        <v>0</v>
      </c>
      <c r="EW75">
        <f>IF(Charts!$B$3="none",U282,IF(CI282="",NA(),CI282))</f>
        <v>0</v>
      </c>
      <c r="EX75">
        <f>IF(Charts!$B$3="none",V282,IF(CJ282="",NA(),CJ282))</f>
        <v>0</v>
      </c>
      <c r="EY75">
        <f>IF(Charts!$B$3="none",W282,IF(CK282="",NA(),CK282))</f>
        <v>0</v>
      </c>
      <c r="EZ75">
        <f>IF(Charts!$B$3="none",X282,IF(CL282="",NA(),CL282))</f>
        <v>0</v>
      </c>
      <c r="FA75">
        <f>IF(Charts!$B$3="none",Y282,IF(CM282="",NA(),CM282))</f>
        <v>0</v>
      </c>
      <c r="FB75">
        <f>IF(Charts!$B$3="none",Z282,IF(CN282="",NA(),CN282))</f>
        <v>0</v>
      </c>
      <c r="FC75">
        <f>IF(Charts!$B$3="none",AA282,IF(CO282="",NA(),CO282))</f>
        <v>0</v>
      </c>
      <c r="FD75">
        <f>IF(Charts!$B$3="none",AB282,IF(CP282="",NA(),CP282))</f>
        <v>0</v>
      </c>
      <c r="FE75">
        <f>IF(Charts!$B$3="none",AC282,IF(CQ282="",NA(),CQ282))</f>
        <v>0</v>
      </c>
      <c r="FF75">
        <f>IF(Charts!$B$3="none",AD282,IF(CR282="",NA(),CR282))</f>
        <v>0</v>
      </c>
      <c r="FG75">
        <f>IF(Charts!$B$3="none",AE282,IF(CS282="",NA(),CS282))</f>
        <v>0</v>
      </c>
      <c r="FH75">
        <f>IF(Charts!$B$3="none",AF282,IF(CT282="",NA(),CT282))</f>
        <v>0</v>
      </c>
      <c r="FI75">
        <f>IF(Charts!$B$3="none",AG282,IF(CU282="",NA(),CU282))</f>
        <v>0</v>
      </c>
      <c r="FJ75">
        <f>IF(Charts!$B$3="none",AH282,IF(CV282="",NA(),CV282))</f>
        <v>0</v>
      </c>
      <c r="FK75">
        <f>IF(Charts!$B$3="none",AI282,IF(CW282="",NA(),CW282))</f>
        <v>0</v>
      </c>
      <c r="FL75">
        <f>IF(Charts!$B$3="none",AJ282,IF(CX282="",NA(),CX282))</f>
        <v>0</v>
      </c>
      <c r="FM75">
        <f>IF(Charts!$B$3="none",AK282,IF(CY282="",NA(),CY282))</f>
        <v>0</v>
      </c>
      <c r="FN75">
        <f>IF(Charts!$B$3="none",AL282,IF(CZ282="",NA(),CZ282))</f>
        <v>0</v>
      </c>
      <c r="FO75">
        <f>IF(Charts!$B$3="none",AM282,IF(DA282="",NA(),DA282))</f>
        <v>0</v>
      </c>
      <c r="FP75">
        <f>IF(Charts!$B$3="none",AN282,IF(DB282="",NA(),DB282))</f>
        <v>0</v>
      </c>
      <c r="FQ75">
        <f>IF(Charts!$B$3="none",AO282,IF(DC282="",NA(),DC282))</f>
        <v>0</v>
      </c>
      <c r="FR75">
        <f>IF(Charts!$B$3="none",AP282,IF(DD282="",NA(),DD282))</f>
        <v>0</v>
      </c>
      <c r="FS75">
        <f>IF(Charts!$B$3="none",AQ282,IF(DE282="",NA(),DE282))</f>
        <v>0</v>
      </c>
      <c r="FT75">
        <f>IF(Charts!$B$3="none",AR282,IF(DF282="",NA(),DF282))</f>
        <v>0</v>
      </c>
      <c r="FU75">
        <f>IF(Charts!$B$3="none",AS282,IF(DG282="",NA(),DG282))</f>
        <v>0</v>
      </c>
      <c r="FV75">
        <f>IF(Charts!$B$3="none",AT282,IF(DH282="",NA(),DH282))</f>
        <v>0</v>
      </c>
      <c r="FW75">
        <f>IF(Charts!$B$3="none",AU282,IF(DI282="",NA(),DI282))</f>
        <v>0</v>
      </c>
      <c r="FX75">
        <f>IF(Charts!$B$3="none",AV282,IF(DJ282="",NA(),DJ282))</f>
        <v>0</v>
      </c>
      <c r="FY75">
        <f>IF(Charts!$B$3="none",AW282,IF(DK282="",NA(),DK282))</f>
        <v>0</v>
      </c>
      <c r="FZ75">
        <f>IF(Charts!$B$3="none",AX282,IF(DL282="",NA(),DL282))</f>
        <v>0</v>
      </c>
      <c r="GA75">
        <f>IF(Charts!$B$3="none",AY282,IF(DM282="",NA(),DM282))</f>
        <v>0</v>
      </c>
      <c r="GB75">
        <f>IF(Charts!$B$3="none",AZ282,IF(DN282="",NA(),DN282))</f>
        <v>0</v>
      </c>
      <c r="GC75">
        <f>IF(Charts!$B$3="none",BA282,IF(DO282="",NA(),DO282))</f>
        <v>0</v>
      </c>
      <c r="GD75">
        <f>IF(Charts!$B$3="none",BB282,IF(DP282="",NA(),DP282))</f>
        <v>0</v>
      </c>
      <c r="GE75">
        <f>IF(Charts!$B$3="none",BC282,IF(DQ282="",NA(),DQ282))</f>
        <v>0</v>
      </c>
      <c r="GF75">
        <f>IF(Charts!$B$3="none",BD282,IF(DR282="",NA(),DR282))</f>
        <v>0</v>
      </c>
      <c r="GG75">
        <f>IF(Charts!$B$3="none",BE282,IF(DS282="",NA(),DS282))</f>
        <v>0</v>
      </c>
      <c r="GH75">
        <f>IF(Charts!$B$3="none",BF282,IF(DT282="",NA(),DT282))</f>
        <v>0</v>
      </c>
      <c r="GI75">
        <f>IF(Charts!$B$3="none",BG282,IF(DU282="",NA(),DU282))</f>
        <v>0</v>
      </c>
      <c r="GJ75">
        <f>IF(Charts!$B$3="none",BH282,IF(DV282="",NA(),DV282))</f>
        <v>0</v>
      </c>
      <c r="GK75">
        <f>IF(Charts!$B$3="none",BI282,IF(DW282="",NA(),DW282))</f>
        <v>0</v>
      </c>
      <c r="GL75">
        <f>IF(Charts!$B$3="none",BJ282,IF(DX282="",NA(),DX282))</f>
        <v>0</v>
      </c>
      <c r="GM75">
        <f>IF(Charts!$B$3="none",BK282,IF(DY282="",NA(),DY282))</f>
        <v>0</v>
      </c>
      <c r="GN75">
        <f>IF(Charts!$B$3="none",BL282,IF(DZ282="",NA(),DZ282))</f>
        <v>0</v>
      </c>
      <c r="GO75">
        <f>IF(Charts!$B$3="none",BM282,IF(EA282="",NA(),EA282))</f>
        <v>0</v>
      </c>
      <c r="GP75">
        <f>IF(Charts!$B$3="none",BN282,IF(EB282="",NA(),EB282))</f>
        <v>0</v>
      </c>
      <c r="GQ75">
        <f>IF(Charts!$B$3="none",BO282,IF(EC282="",NA(),EC282))</f>
        <v>0</v>
      </c>
      <c r="GR75">
        <f>IF(Charts!$B$3="none",BP282,IF(ED282="",NA(),ED282))</f>
        <v>0</v>
      </c>
    </row>
    <row r="76" spans="5:200">
      <c r="E76">
        <v>30</v>
      </c>
      <c r="F76">
        <f>F34</f>
        <v>0</v>
      </c>
      <c r="G76">
        <v>30</v>
      </c>
      <c r="H76">
        <f>H34</f>
        <v>0</v>
      </c>
      <c r="I76">
        <v>30</v>
      </c>
      <c r="J76">
        <f>J34</f>
        <v>0</v>
      </c>
      <c r="K76">
        <v>30</v>
      </c>
      <c r="L76">
        <f>L34</f>
        <v>0</v>
      </c>
      <c r="M76">
        <v>30</v>
      </c>
      <c r="N76">
        <f>N34</f>
        <v>0</v>
      </c>
      <c r="O76">
        <v>30</v>
      </c>
      <c r="P76">
        <f>P34</f>
        <v>0</v>
      </c>
      <c r="Q76">
        <v>30</v>
      </c>
      <c r="R76">
        <f>R34</f>
        <v>0</v>
      </c>
      <c r="S76">
        <v>30</v>
      </c>
      <c r="T76">
        <f>T34</f>
        <v>0</v>
      </c>
      <c r="U76">
        <v>30</v>
      </c>
      <c r="V76">
        <f>V34</f>
        <v>0</v>
      </c>
      <c r="W76">
        <v>30</v>
      </c>
      <c r="X76">
        <f>X34</f>
        <v>0</v>
      </c>
      <c r="Y76">
        <v>30</v>
      </c>
      <c r="Z76">
        <f>Z34</f>
        <v>0</v>
      </c>
      <c r="AA76">
        <v>30</v>
      </c>
      <c r="AB76">
        <f>AB34</f>
        <v>0</v>
      </c>
      <c r="AC76">
        <v>30</v>
      </c>
      <c r="AD76">
        <f>AD34</f>
        <v>0</v>
      </c>
      <c r="AE76">
        <v>30</v>
      </c>
      <c r="AF76">
        <f>AF34</f>
        <v>0</v>
      </c>
      <c r="AG76">
        <v>30</v>
      </c>
      <c r="AH76">
        <f>AH34</f>
        <v>0</v>
      </c>
      <c r="AI76">
        <v>30</v>
      </c>
      <c r="AJ76">
        <f>AJ34</f>
        <v>0</v>
      </c>
      <c r="AK76">
        <v>30</v>
      </c>
      <c r="AL76">
        <f>AL34</f>
        <v>0</v>
      </c>
      <c r="AM76">
        <v>30</v>
      </c>
      <c r="AN76">
        <f>AN34</f>
        <v>0</v>
      </c>
      <c r="AO76">
        <v>30</v>
      </c>
      <c r="AP76">
        <f>AP34</f>
        <v>0</v>
      </c>
      <c r="AQ76">
        <v>30</v>
      </c>
      <c r="AR76">
        <f>AR34</f>
        <v>0</v>
      </c>
      <c r="AS76">
        <v>30</v>
      </c>
      <c r="AT76">
        <f>AT34</f>
        <v>0</v>
      </c>
      <c r="AU76">
        <v>30</v>
      </c>
      <c r="AV76">
        <f>AV34</f>
        <v>0</v>
      </c>
      <c r="AW76">
        <v>30</v>
      </c>
      <c r="AX76">
        <f>AX34</f>
        <v>0</v>
      </c>
      <c r="AY76">
        <v>30</v>
      </c>
      <c r="AZ76">
        <f>AZ34</f>
        <v>0</v>
      </c>
      <c r="BA76">
        <v>30</v>
      </c>
      <c r="BB76">
        <f>BB34</f>
        <v>0</v>
      </c>
      <c r="BC76">
        <v>30</v>
      </c>
      <c r="BD76">
        <f>BD34</f>
        <v>0</v>
      </c>
      <c r="BE76">
        <v>30</v>
      </c>
      <c r="BF76">
        <f>BF34</f>
        <v>0</v>
      </c>
      <c r="BG76">
        <v>30</v>
      </c>
      <c r="BH76">
        <f>BH34</f>
        <v>0</v>
      </c>
      <c r="BI76">
        <v>30</v>
      </c>
      <c r="BJ76">
        <f>BJ34</f>
        <v>0</v>
      </c>
      <c r="BK76">
        <v>30</v>
      </c>
      <c r="BL76">
        <f>BL34</f>
        <v>0</v>
      </c>
      <c r="BM76">
        <v>30</v>
      </c>
      <c r="BN76">
        <f>BN34</f>
        <v>0</v>
      </c>
      <c r="BO76">
        <v>30</v>
      </c>
      <c r="BP76">
        <f>BP34</f>
        <v>0</v>
      </c>
      <c r="BS76">
        <v>30</v>
      </c>
      <c r="BT76">
        <f>BT34</f>
        <v>0</v>
      </c>
      <c r="BU76">
        <v>30</v>
      </c>
      <c r="BV76">
        <f>BV34</f>
        <v>0</v>
      </c>
      <c r="BW76">
        <v>30</v>
      </c>
      <c r="BX76">
        <f>BX34</f>
        <v>0</v>
      </c>
      <c r="BY76">
        <v>30</v>
      </c>
      <c r="BZ76">
        <f>BZ34</f>
        <v>0</v>
      </c>
      <c r="CA76">
        <v>30</v>
      </c>
      <c r="CB76">
        <f>CB34</f>
        <v>0</v>
      </c>
      <c r="CC76">
        <v>30</v>
      </c>
      <c r="CD76">
        <f>CD34</f>
        <v>0</v>
      </c>
      <c r="CE76">
        <v>30</v>
      </c>
      <c r="CF76">
        <f>CF34</f>
        <v>0</v>
      </c>
      <c r="CG76">
        <v>30</v>
      </c>
      <c r="CH76">
        <f>CH34</f>
        <v>0</v>
      </c>
      <c r="CI76">
        <v>30</v>
      </c>
      <c r="CJ76">
        <f>CJ34</f>
        <v>0</v>
      </c>
      <c r="CK76">
        <v>30</v>
      </c>
      <c r="CL76">
        <f>CL34</f>
        <v>0</v>
      </c>
      <c r="CM76">
        <v>30</v>
      </c>
      <c r="CN76">
        <f>CN34</f>
        <v>0</v>
      </c>
      <c r="CO76">
        <v>30</v>
      </c>
      <c r="CP76">
        <f>CP34</f>
        <v>0</v>
      </c>
      <c r="CQ76">
        <v>30</v>
      </c>
      <c r="CR76">
        <f>CR34</f>
        <v>0</v>
      </c>
      <c r="CS76">
        <v>30</v>
      </c>
      <c r="CT76">
        <f>CT34</f>
        <v>0</v>
      </c>
      <c r="CU76">
        <v>30</v>
      </c>
      <c r="CV76">
        <f>CV34</f>
        <v>0</v>
      </c>
      <c r="CW76">
        <v>30</v>
      </c>
      <c r="CX76">
        <f>CX34</f>
        <v>0</v>
      </c>
      <c r="CY76">
        <v>30</v>
      </c>
      <c r="CZ76">
        <f>CZ34</f>
        <v>0</v>
      </c>
      <c r="DA76">
        <v>30</v>
      </c>
      <c r="DB76">
        <f>DB34</f>
        <v>0</v>
      </c>
      <c r="DC76">
        <v>30</v>
      </c>
      <c r="DD76">
        <f>DD34</f>
        <v>0</v>
      </c>
      <c r="DE76">
        <v>30</v>
      </c>
      <c r="DF76">
        <f>DF34</f>
        <v>0</v>
      </c>
      <c r="DG76">
        <v>30</v>
      </c>
      <c r="DH76">
        <f>DH34</f>
        <v>0</v>
      </c>
      <c r="DI76">
        <v>30</v>
      </c>
      <c r="DJ76">
        <f>DJ34</f>
        <v>0</v>
      </c>
      <c r="DK76">
        <v>30</v>
      </c>
      <c r="DL76">
        <f>DL34</f>
        <v>0</v>
      </c>
      <c r="DM76">
        <v>30</v>
      </c>
      <c r="DN76">
        <f>DN34</f>
        <v>0</v>
      </c>
      <c r="DO76">
        <v>30</v>
      </c>
      <c r="DP76">
        <f>DP34</f>
        <v>0</v>
      </c>
      <c r="DQ76">
        <v>30</v>
      </c>
      <c r="DR76">
        <f>DR34</f>
        <v>0</v>
      </c>
      <c r="DS76">
        <v>30</v>
      </c>
      <c r="DT76">
        <f>DT34</f>
        <v>0</v>
      </c>
      <c r="DU76">
        <v>30</v>
      </c>
      <c r="DV76">
        <f>DV34</f>
        <v>0</v>
      </c>
      <c r="DW76">
        <v>30</v>
      </c>
      <c r="DX76">
        <f>DX34</f>
        <v>0</v>
      </c>
      <c r="DY76">
        <v>30</v>
      </c>
      <c r="DZ76">
        <f>DZ34</f>
        <v>0</v>
      </c>
      <c r="EA76">
        <v>30</v>
      </c>
      <c r="EB76">
        <f>EB34</f>
        <v>0</v>
      </c>
      <c r="EC76">
        <v>30</v>
      </c>
      <c r="ED76">
        <f>ED34</f>
        <v>0</v>
      </c>
      <c r="EG76">
        <f>IF(Charts!$B$3="none",E283,IF(BS283="",NA(),BS283))</f>
        <v>0</v>
      </c>
      <c r="EH76">
        <f>IF(Charts!$B$3="none",F283,IF(BT283="",NA(),BT283))</f>
        <v>0</v>
      </c>
      <c r="EI76">
        <f>IF(Charts!$B$3="none",G283,IF(BU283="",NA(),BU283))</f>
        <v>0</v>
      </c>
      <c r="EJ76">
        <f>IF(Charts!$B$3="none",H283,IF(BV283="",NA(),BV283))</f>
        <v>0</v>
      </c>
      <c r="EK76">
        <f>IF(Charts!$B$3="none",I283,IF(BW283="",NA(),BW283))</f>
        <v>0</v>
      </c>
      <c r="EL76">
        <f>IF(Charts!$B$3="none",J283,IF(BX283="",NA(),BX283))</f>
        <v>0</v>
      </c>
      <c r="EM76">
        <f>IF(Charts!$B$3="none",K283,IF(BY283="",NA(),BY283))</f>
        <v>0</v>
      </c>
      <c r="EN76">
        <f>IF(Charts!$B$3="none",L283,IF(BZ283="",NA(),BZ283))</f>
        <v>0</v>
      </c>
      <c r="EO76">
        <f>IF(Charts!$B$3="none",M283,IF(CA283="",NA(),CA283))</f>
        <v>0</v>
      </c>
      <c r="EP76">
        <f>IF(Charts!$B$3="none",N283,IF(CB283="",NA(),CB283))</f>
        <v>0</v>
      </c>
      <c r="EQ76">
        <f>IF(Charts!$B$3="none",O283,IF(CC283="",NA(),CC283))</f>
        <v>0</v>
      </c>
      <c r="ER76">
        <f>IF(Charts!$B$3="none",P283,IF(CD283="",NA(),CD283))</f>
        <v>0</v>
      </c>
      <c r="ES76">
        <f>IF(Charts!$B$3="none",Q283,IF(CE283="",NA(),CE283))</f>
        <v>0</v>
      </c>
      <c r="ET76">
        <f>IF(Charts!$B$3="none",R283,IF(CF283="",NA(),CF283))</f>
        <v>0</v>
      </c>
      <c r="EU76">
        <f>IF(Charts!$B$3="none",S283,IF(CG283="",NA(),CG283))</f>
        <v>0</v>
      </c>
      <c r="EV76">
        <f>IF(Charts!$B$3="none",T283,IF(CH283="",NA(),CH283))</f>
        <v>0</v>
      </c>
      <c r="EW76">
        <f>IF(Charts!$B$3="none",U283,IF(CI283="",NA(),CI283))</f>
        <v>0</v>
      </c>
      <c r="EX76">
        <f>IF(Charts!$B$3="none",V283,IF(CJ283="",NA(),CJ283))</f>
        <v>0</v>
      </c>
      <c r="EY76">
        <f>IF(Charts!$B$3="none",W283,IF(CK283="",NA(),CK283))</f>
        <v>0</v>
      </c>
      <c r="EZ76">
        <f>IF(Charts!$B$3="none",X283,IF(CL283="",NA(),CL283))</f>
        <v>0</v>
      </c>
      <c r="FA76">
        <f>IF(Charts!$B$3="none",Y283,IF(CM283="",NA(),CM283))</f>
        <v>0</v>
      </c>
      <c r="FB76">
        <f>IF(Charts!$B$3="none",Z283,IF(CN283="",NA(),CN283))</f>
        <v>0</v>
      </c>
      <c r="FC76">
        <f>IF(Charts!$B$3="none",AA283,IF(CO283="",NA(),CO283))</f>
        <v>0</v>
      </c>
      <c r="FD76">
        <f>IF(Charts!$B$3="none",AB283,IF(CP283="",NA(),CP283))</f>
        <v>0</v>
      </c>
      <c r="FE76">
        <f>IF(Charts!$B$3="none",AC283,IF(CQ283="",NA(),CQ283))</f>
        <v>0</v>
      </c>
      <c r="FF76">
        <f>IF(Charts!$B$3="none",AD283,IF(CR283="",NA(),CR283))</f>
        <v>0</v>
      </c>
      <c r="FG76">
        <f>IF(Charts!$B$3="none",AE283,IF(CS283="",NA(),CS283))</f>
        <v>0</v>
      </c>
      <c r="FH76">
        <f>IF(Charts!$B$3="none",AF283,IF(CT283="",NA(),CT283))</f>
        <v>0</v>
      </c>
      <c r="FI76">
        <f>IF(Charts!$B$3="none",AG283,IF(CU283="",NA(),CU283))</f>
        <v>0</v>
      </c>
      <c r="FJ76">
        <f>IF(Charts!$B$3="none",AH283,IF(CV283="",NA(),CV283))</f>
        <v>0</v>
      </c>
      <c r="FK76">
        <f>IF(Charts!$B$3="none",AI283,IF(CW283="",NA(),CW283))</f>
        <v>0</v>
      </c>
      <c r="FL76">
        <f>IF(Charts!$B$3="none",AJ283,IF(CX283="",NA(),CX283))</f>
        <v>0</v>
      </c>
      <c r="FM76">
        <f>IF(Charts!$B$3="none",AK283,IF(CY283="",NA(),CY283))</f>
        <v>0</v>
      </c>
      <c r="FN76">
        <f>IF(Charts!$B$3="none",AL283,IF(CZ283="",NA(),CZ283))</f>
        <v>0</v>
      </c>
      <c r="FO76">
        <f>IF(Charts!$B$3="none",AM283,IF(DA283="",NA(),DA283))</f>
        <v>0</v>
      </c>
      <c r="FP76">
        <f>IF(Charts!$B$3="none",AN283,IF(DB283="",NA(),DB283))</f>
        <v>0</v>
      </c>
      <c r="FQ76">
        <f>IF(Charts!$B$3="none",AO283,IF(DC283="",NA(),DC283))</f>
        <v>0</v>
      </c>
      <c r="FR76">
        <f>IF(Charts!$B$3="none",AP283,IF(DD283="",NA(),DD283))</f>
        <v>0</v>
      </c>
      <c r="FS76">
        <f>IF(Charts!$B$3="none",AQ283,IF(DE283="",NA(),DE283))</f>
        <v>0</v>
      </c>
      <c r="FT76">
        <f>IF(Charts!$B$3="none",AR283,IF(DF283="",NA(),DF283))</f>
        <v>0</v>
      </c>
      <c r="FU76">
        <f>IF(Charts!$B$3="none",AS283,IF(DG283="",NA(),DG283))</f>
        <v>0</v>
      </c>
      <c r="FV76">
        <f>IF(Charts!$B$3="none",AT283,IF(DH283="",NA(),DH283))</f>
        <v>0</v>
      </c>
      <c r="FW76">
        <f>IF(Charts!$B$3="none",AU283,IF(DI283="",NA(),DI283))</f>
        <v>0</v>
      </c>
      <c r="FX76">
        <f>IF(Charts!$B$3="none",AV283,IF(DJ283="",NA(),DJ283))</f>
        <v>0</v>
      </c>
      <c r="FY76">
        <f>IF(Charts!$B$3="none",AW283,IF(DK283="",NA(),DK283))</f>
        <v>0</v>
      </c>
      <c r="FZ76">
        <f>IF(Charts!$B$3="none",AX283,IF(DL283="",NA(),DL283))</f>
        <v>0</v>
      </c>
      <c r="GA76">
        <f>IF(Charts!$B$3="none",AY283,IF(DM283="",NA(),DM283))</f>
        <v>0</v>
      </c>
      <c r="GB76">
        <f>IF(Charts!$B$3="none",AZ283,IF(DN283="",NA(),DN283))</f>
        <v>0</v>
      </c>
      <c r="GC76">
        <f>IF(Charts!$B$3="none",BA283,IF(DO283="",NA(),DO283))</f>
        <v>0</v>
      </c>
      <c r="GD76">
        <f>IF(Charts!$B$3="none",BB283,IF(DP283="",NA(),DP283))</f>
        <v>0</v>
      </c>
      <c r="GE76">
        <f>IF(Charts!$B$3="none",BC283,IF(DQ283="",NA(),DQ283))</f>
        <v>0</v>
      </c>
      <c r="GF76">
        <f>IF(Charts!$B$3="none",BD283,IF(DR283="",NA(),DR283))</f>
        <v>0</v>
      </c>
      <c r="GG76">
        <f>IF(Charts!$B$3="none",BE283,IF(DS283="",NA(),DS283))</f>
        <v>0</v>
      </c>
      <c r="GH76">
        <f>IF(Charts!$B$3="none",BF283,IF(DT283="",NA(),DT283))</f>
        <v>0</v>
      </c>
      <c r="GI76">
        <f>IF(Charts!$B$3="none",BG283,IF(DU283="",NA(),DU283))</f>
        <v>0</v>
      </c>
      <c r="GJ76">
        <f>IF(Charts!$B$3="none",BH283,IF(DV283="",NA(),DV283))</f>
        <v>0</v>
      </c>
      <c r="GK76">
        <f>IF(Charts!$B$3="none",BI283,IF(DW283="",NA(),DW283))</f>
        <v>0</v>
      </c>
      <c r="GL76">
        <f>IF(Charts!$B$3="none",BJ283,IF(DX283="",NA(),DX283))</f>
        <v>0</v>
      </c>
      <c r="GM76">
        <f>IF(Charts!$B$3="none",BK283,IF(DY283="",NA(),DY283))</f>
        <v>0</v>
      </c>
      <c r="GN76">
        <f>IF(Charts!$B$3="none",BL283,IF(DZ283="",NA(),DZ283))</f>
        <v>0</v>
      </c>
      <c r="GO76">
        <f>IF(Charts!$B$3="none",BM283,IF(EA283="",NA(),EA283))</f>
        <v>0</v>
      </c>
      <c r="GP76">
        <f>IF(Charts!$B$3="none",BN283,IF(EB283="",NA(),EB283))</f>
        <v>0</v>
      </c>
      <c r="GQ76">
        <f>IF(Charts!$B$3="none",BO283,IF(EC283="",NA(),EC283))</f>
        <v>0</v>
      </c>
      <c r="GR76">
        <f>IF(Charts!$B$3="none",BP283,IF(ED283="",NA(),ED283))</f>
        <v>0</v>
      </c>
    </row>
    <row r="77" spans="5:200">
      <c r="E77">
        <v>31</v>
      </c>
      <c r="F77">
        <f>F35</f>
        <v>0</v>
      </c>
      <c r="G77">
        <v>31</v>
      </c>
      <c r="H77">
        <f>H35</f>
        <v>0</v>
      </c>
      <c r="I77">
        <v>31</v>
      </c>
      <c r="J77">
        <f>J35</f>
        <v>0</v>
      </c>
      <c r="K77">
        <v>31</v>
      </c>
      <c r="L77">
        <f>L35</f>
        <v>0</v>
      </c>
      <c r="M77">
        <v>31</v>
      </c>
      <c r="N77">
        <f>N35</f>
        <v>0</v>
      </c>
      <c r="O77">
        <v>31</v>
      </c>
      <c r="P77">
        <f>P35</f>
        <v>0</v>
      </c>
      <c r="Q77">
        <v>31</v>
      </c>
      <c r="R77">
        <f>R35</f>
        <v>0</v>
      </c>
      <c r="S77">
        <v>31</v>
      </c>
      <c r="T77">
        <f>T35</f>
        <v>0</v>
      </c>
      <c r="U77">
        <v>31</v>
      </c>
      <c r="V77">
        <f>V35</f>
        <v>0</v>
      </c>
      <c r="W77">
        <v>31</v>
      </c>
      <c r="X77">
        <f>X35</f>
        <v>0</v>
      </c>
      <c r="Y77">
        <v>31</v>
      </c>
      <c r="Z77">
        <f>Z35</f>
        <v>0</v>
      </c>
      <c r="AA77">
        <v>31</v>
      </c>
      <c r="AB77">
        <f>AB35</f>
        <v>0</v>
      </c>
      <c r="AC77">
        <v>31</v>
      </c>
      <c r="AD77">
        <f>AD35</f>
        <v>0</v>
      </c>
      <c r="AE77">
        <v>31</v>
      </c>
      <c r="AF77">
        <f>AF35</f>
        <v>0</v>
      </c>
      <c r="AG77">
        <v>31</v>
      </c>
      <c r="AH77">
        <f>AH35</f>
        <v>0</v>
      </c>
      <c r="AI77">
        <v>31</v>
      </c>
      <c r="AJ77">
        <f>AJ35</f>
        <v>0</v>
      </c>
      <c r="AK77">
        <v>31</v>
      </c>
      <c r="AL77">
        <f>AL35</f>
        <v>0</v>
      </c>
      <c r="AM77">
        <v>31</v>
      </c>
      <c r="AN77">
        <f>AN35</f>
        <v>0</v>
      </c>
      <c r="AO77">
        <v>31</v>
      </c>
      <c r="AP77">
        <f>AP35</f>
        <v>0</v>
      </c>
      <c r="AQ77">
        <v>31</v>
      </c>
      <c r="AR77">
        <f>AR35</f>
        <v>0</v>
      </c>
      <c r="AS77">
        <v>31</v>
      </c>
      <c r="AT77">
        <f>AT35</f>
        <v>0</v>
      </c>
      <c r="AU77">
        <v>31</v>
      </c>
      <c r="AV77">
        <f>AV35</f>
        <v>0</v>
      </c>
      <c r="AW77">
        <v>31</v>
      </c>
      <c r="AX77">
        <f>AX35</f>
        <v>0</v>
      </c>
      <c r="AY77">
        <v>31</v>
      </c>
      <c r="AZ77">
        <f>AZ35</f>
        <v>0</v>
      </c>
      <c r="BA77">
        <v>31</v>
      </c>
      <c r="BB77">
        <f>BB35</f>
        <v>0</v>
      </c>
      <c r="BC77">
        <v>31</v>
      </c>
      <c r="BD77">
        <f>BD35</f>
        <v>0</v>
      </c>
      <c r="BE77">
        <v>31</v>
      </c>
      <c r="BF77">
        <f>BF35</f>
        <v>0</v>
      </c>
      <c r="BG77">
        <v>31</v>
      </c>
      <c r="BH77">
        <f>BH35</f>
        <v>0</v>
      </c>
      <c r="BI77">
        <v>31</v>
      </c>
      <c r="BJ77">
        <f>BJ35</f>
        <v>0</v>
      </c>
      <c r="BK77">
        <v>31</v>
      </c>
      <c r="BL77">
        <f>BL35</f>
        <v>0</v>
      </c>
      <c r="BM77">
        <v>31</v>
      </c>
      <c r="BN77">
        <f>BN35</f>
        <v>0</v>
      </c>
      <c r="BO77">
        <v>31</v>
      </c>
      <c r="BP77">
        <f>BP35</f>
        <v>0</v>
      </c>
      <c r="BS77">
        <v>31</v>
      </c>
      <c r="BT77">
        <f>BT35</f>
        <v>0</v>
      </c>
      <c r="BU77">
        <v>31</v>
      </c>
      <c r="BV77">
        <f>BV35</f>
        <v>0</v>
      </c>
      <c r="BW77">
        <v>31</v>
      </c>
      <c r="BX77">
        <f>BX35</f>
        <v>0</v>
      </c>
      <c r="BY77">
        <v>31</v>
      </c>
      <c r="BZ77">
        <f>BZ35</f>
        <v>0</v>
      </c>
      <c r="CA77">
        <v>31</v>
      </c>
      <c r="CB77">
        <f>CB35</f>
        <v>0</v>
      </c>
      <c r="CC77">
        <v>31</v>
      </c>
      <c r="CD77">
        <f>CD35</f>
        <v>0</v>
      </c>
      <c r="CE77">
        <v>31</v>
      </c>
      <c r="CF77">
        <f>CF35</f>
        <v>0</v>
      </c>
      <c r="CG77">
        <v>31</v>
      </c>
      <c r="CH77">
        <f>CH35</f>
        <v>0</v>
      </c>
      <c r="CI77">
        <v>31</v>
      </c>
      <c r="CJ77">
        <f>CJ35</f>
        <v>0</v>
      </c>
      <c r="CK77">
        <v>31</v>
      </c>
      <c r="CL77">
        <f>CL35</f>
        <v>0</v>
      </c>
      <c r="CM77">
        <v>31</v>
      </c>
      <c r="CN77">
        <f>CN35</f>
        <v>0</v>
      </c>
      <c r="CO77">
        <v>31</v>
      </c>
      <c r="CP77">
        <f>CP35</f>
        <v>0</v>
      </c>
      <c r="CQ77">
        <v>31</v>
      </c>
      <c r="CR77">
        <f>CR35</f>
        <v>0</v>
      </c>
      <c r="CS77">
        <v>31</v>
      </c>
      <c r="CT77">
        <f>CT35</f>
        <v>0</v>
      </c>
      <c r="CU77">
        <v>31</v>
      </c>
      <c r="CV77">
        <f>CV35</f>
        <v>0</v>
      </c>
      <c r="CW77">
        <v>31</v>
      </c>
      <c r="CX77">
        <f>CX35</f>
        <v>0</v>
      </c>
      <c r="CY77">
        <v>31</v>
      </c>
      <c r="CZ77">
        <f>CZ35</f>
        <v>0</v>
      </c>
      <c r="DA77">
        <v>31</v>
      </c>
      <c r="DB77">
        <f>DB35</f>
        <v>0</v>
      </c>
      <c r="DC77">
        <v>31</v>
      </c>
      <c r="DD77">
        <f>DD35</f>
        <v>0</v>
      </c>
      <c r="DE77">
        <v>31</v>
      </c>
      <c r="DF77">
        <f>DF35</f>
        <v>0</v>
      </c>
      <c r="DG77">
        <v>31</v>
      </c>
      <c r="DH77">
        <f>DH35</f>
        <v>0</v>
      </c>
      <c r="DI77">
        <v>31</v>
      </c>
      <c r="DJ77">
        <f>DJ35</f>
        <v>0</v>
      </c>
      <c r="DK77">
        <v>31</v>
      </c>
      <c r="DL77">
        <f>DL35</f>
        <v>0</v>
      </c>
      <c r="DM77">
        <v>31</v>
      </c>
      <c r="DN77">
        <f>DN35</f>
        <v>0</v>
      </c>
      <c r="DO77">
        <v>31</v>
      </c>
      <c r="DP77">
        <f>DP35</f>
        <v>0</v>
      </c>
      <c r="DQ77">
        <v>31</v>
      </c>
      <c r="DR77">
        <f>DR35</f>
        <v>0</v>
      </c>
      <c r="DS77">
        <v>31</v>
      </c>
      <c r="DT77">
        <f>DT35</f>
        <v>0</v>
      </c>
      <c r="DU77">
        <v>31</v>
      </c>
      <c r="DV77">
        <f>DV35</f>
        <v>0</v>
      </c>
      <c r="DW77">
        <v>31</v>
      </c>
      <c r="DX77">
        <f>DX35</f>
        <v>0</v>
      </c>
      <c r="DY77">
        <v>31</v>
      </c>
      <c r="DZ77">
        <f>DZ35</f>
        <v>0</v>
      </c>
      <c r="EA77">
        <v>31</v>
      </c>
      <c r="EB77">
        <f>EB35</f>
        <v>0</v>
      </c>
      <c r="EC77">
        <v>31</v>
      </c>
      <c r="ED77">
        <f>ED35</f>
        <v>0</v>
      </c>
      <c r="EG77">
        <f>IF(Charts!$B$3="none",E284,IF(BS284="",NA(),BS284))</f>
        <v>0</v>
      </c>
      <c r="EH77">
        <f>IF(Charts!$B$3="none",F284,IF(BT284="",NA(),BT284))</f>
        <v>0</v>
      </c>
      <c r="EI77">
        <f>IF(Charts!$B$3="none",G284,IF(BU284="",NA(),BU284))</f>
        <v>0</v>
      </c>
      <c r="EJ77">
        <f>IF(Charts!$B$3="none",H284,IF(BV284="",NA(),BV284))</f>
        <v>0</v>
      </c>
      <c r="EK77">
        <f>IF(Charts!$B$3="none",I284,IF(BW284="",NA(),BW284))</f>
        <v>0</v>
      </c>
      <c r="EL77">
        <f>IF(Charts!$B$3="none",J284,IF(BX284="",NA(),BX284))</f>
        <v>0</v>
      </c>
      <c r="EM77">
        <f>IF(Charts!$B$3="none",K284,IF(BY284="",NA(),BY284))</f>
        <v>0</v>
      </c>
      <c r="EN77">
        <f>IF(Charts!$B$3="none",L284,IF(BZ284="",NA(),BZ284))</f>
        <v>0</v>
      </c>
      <c r="EO77">
        <f>IF(Charts!$B$3="none",M284,IF(CA284="",NA(),CA284))</f>
        <v>0</v>
      </c>
      <c r="EP77">
        <f>IF(Charts!$B$3="none",N284,IF(CB284="",NA(),CB284))</f>
        <v>0</v>
      </c>
      <c r="EQ77">
        <f>IF(Charts!$B$3="none",O284,IF(CC284="",NA(),CC284))</f>
        <v>0</v>
      </c>
      <c r="ER77">
        <f>IF(Charts!$B$3="none",P284,IF(CD284="",NA(),CD284))</f>
        <v>0</v>
      </c>
      <c r="ES77">
        <f>IF(Charts!$B$3="none",Q284,IF(CE284="",NA(),CE284))</f>
        <v>0</v>
      </c>
      <c r="ET77">
        <f>IF(Charts!$B$3="none",R284,IF(CF284="",NA(),CF284))</f>
        <v>0</v>
      </c>
      <c r="EU77">
        <f>IF(Charts!$B$3="none",S284,IF(CG284="",NA(),CG284))</f>
        <v>0</v>
      </c>
      <c r="EV77">
        <f>IF(Charts!$B$3="none",T284,IF(CH284="",NA(),CH284))</f>
        <v>0</v>
      </c>
      <c r="EW77">
        <f>IF(Charts!$B$3="none",U284,IF(CI284="",NA(),CI284))</f>
        <v>0</v>
      </c>
      <c r="EX77">
        <f>IF(Charts!$B$3="none",V284,IF(CJ284="",NA(),CJ284))</f>
        <v>0</v>
      </c>
      <c r="EY77">
        <f>IF(Charts!$B$3="none",W284,IF(CK284="",NA(),CK284))</f>
        <v>0</v>
      </c>
      <c r="EZ77">
        <f>IF(Charts!$B$3="none",X284,IF(CL284="",NA(),CL284))</f>
        <v>0</v>
      </c>
      <c r="FA77">
        <f>IF(Charts!$B$3="none",Y284,IF(CM284="",NA(),CM284))</f>
        <v>0</v>
      </c>
      <c r="FB77">
        <f>IF(Charts!$B$3="none",Z284,IF(CN284="",NA(),CN284))</f>
        <v>0</v>
      </c>
      <c r="FC77">
        <f>IF(Charts!$B$3="none",AA284,IF(CO284="",NA(),CO284))</f>
        <v>0</v>
      </c>
      <c r="FD77">
        <f>IF(Charts!$B$3="none",AB284,IF(CP284="",NA(),CP284))</f>
        <v>0</v>
      </c>
      <c r="FE77">
        <f>IF(Charts!$B$3="none",AC284,IF(CQ284="",NA(),CQ284))</f>
        <v>0</v>
      </c>
      <c r="FF77">
        <f>IF(Charts!$B$3="none",AD284,IF(CR284="",NA(),CR284))</f>
        <v>0</v>
      </c>
      <c r="FG77">
        <f>IF(Charts!$B$3="none",AE284,IF(CS284="",NA(),CS284))</f>
        <v>0</v>
      </c>
      <c r="FH77">
        <f>IF(Charts!$B$3="none",AF284,IF(CT284="",NA(),CT284))</f>
        <v>0</v>
      </c>
      <c r="FI77">
        <f>IF(Charts!$B$3="none",AG284,IF(CU284="",NA(),CU284))</f>
        <v>0</v>
      </c>
      <c r="FJ77">
        <f>IF(Charts!$B$3="none",AH284,IF(CV284="",NA(),CV284))</f>
        <v>0</v>
      </c>
      <c r="FK77">
        <f>IF(Charts!$B$3="none",AI284,IF(CW284="",NA(),CW284))</f>
        <v>0</v>
      </c>
      <c r="FL77">
        <f>IF(Charts!$B$3="none",AJ284,IF(CX284="",NA(),CX284))</f>
        <v>0</v>
      </c>
      <c r="FM77">
        <f>IF(Charts!$B$3="none",AK284,IF(CY284="",NA(),CY284))</f>
        <v>0</v>
      </c>
      <c r="FN77">
        <f>IF(Charts!$B$3="none",AL284,IF(CZ284="",NA(),CZ284))</f>
        <v>0</v>
      </c>
      <c r="FO77">
        <f>IF(Charts!$B$3="none",AM284,IF(DA284="",NA(),DA284))</f>
        <v>0</v>
      </c>
      <c r="FP77">
        <f>IF(Charts!$B$3="none",AN284,IF(DB284="",NA(),DB284))</f>
        <v>0</v>
      </c>
      <c r="FQ77">
        <f>IF(Charts!$B$3="none",AO284,IF(DC284="",NA(),DC284))</f>
        <v>0</v>
      </c>
      <c r="FR77">
        <f>IF(Charts!$B$3="none",AP284,IF(DD284="",NA(),DD284))</f>
        <v>0</v>
      </c>
      <c r="FS77">
        <f>IF(Charts!$B$3="none",AQ284,IF(DE284="",NA(),DE284))</f>
        <v>0</v>
      </c>
      <c r="FT77">
        <f>IF(Charts!$B$3="none",AR284,IF(DF284="",NA(),DF284))</f>
        <v>0</v>
      </c>
      <c r="FU77">
        <f>IF(Charts!$B$3="none",AS284,IF(DG284="",NA(),DG284))</f>
        <v>0</v>
      </c>
      <c r="FV77">
        <f>IF(Charts!$B$3="none",AT284,IF(DH284="",NA(),DH284))</f>
        <v>0</v>
      </c>
      <c r="FW77">
        <f>IF(Charts!$B$3="none",AU284,IF(DI284="",NA(),DI284))</f>
        <v>0</v>
      </c>
      <c r="FX77">
        <f>IF(Charts!$B$3="none",AV284,IF(DJ284="",NA(),DJ284))</f>
        <v>0</v>
      </c>
      <c r="FY77">
        <f>IF(Charts!$B$3="none",AW284,IF(DK284="",NA(),DK284))</f>
        <v>0</v>
      </c>
      <c r="FZ77">
        <f>IF(Charts!$B$3="none",AX284,IF(DL284="",NA(),DL284))</f>
        <v>0</v>
      </c>
      <c r="GA77">
        <f>IF(Charts!$B$3="none",AY284,IF(DM284="",NA(),DM284))</f>
        <v>0</v>
      </c>
      <c r="GB77">
        <f>IF(Charts!$B$3="none",AZ284,IF(DN284="",NA(),DN284))</f>
        <v>0</v>
      </c>
      <c r="GC77">
        <f>IF(Charts!$B$3="none",BA284,IF(DO284="",NA(),DO284))</f>
        <v>0</v>
      </c>
      <c r="GD77">
        <f>IF(Charts!$B$3="none",BB284,IF(DP284="",NA(),DP284))</f>
        <v>0</v>
      </c>
      <c r="GE77">
        <f>IF(Charts!$B$3="none",BC284,IF(DQ284="",NA(),DQ284))</f>
        <v>0</v>
      </c>
      <c r="GF77">
        <f>IF(Charts!$B$3="none",BD284,IF(DR284="",NA(),DR284))</f>
        <v>0</v>
      </c>
      <c r="GG77">
        <f>IF(Charts!$B$3="none",BE284,IF(DS284="",NA(),DS284))</f>
        <v>0</v>
      </c>
      <c r="GH77">
        <f>IF(Charts!$B$3="none",BF284,IF(DT284="",NA(),DT284))</f>
        <v>0</v>
      </c>
      <c r="GI77">
        <f>IF(Charts!$B$3="none",BG284,IF(DU284="",NA(),DU284))</f>
        <v>0</v>
      </c>
      <c r="GJ77">
        <f>IF(Charts!$B$3="none",BH284,IF(DV284="",NA(),DV284))</f>
        <v>0</v>
      </c>
      <c r="GK77">
        <f>IF(Charts!$B$3="none",BI284,IF(DW284="",NA(),DW284))</f>
        <v>0</v>
      </c>
      <c r="GL77">
        <f>IF(Charts!$B$3="none",BJ284,IF(DX284="",NA(),DX284))</f>
        <v>0</v>
      </c>
      <c r="GM77">
        <f>IF(Charts!$B$3="none",BK284,IF(DY284="",NA(),DY284))</f>
        <v>0</v>
      </c>
      <c r="GN77">
        <f>IF(Charts!$B$3="none",BL284,IF(DZ284="",NA(),DZ284))</f>
        <v>0</v>
      </c>
      <c r="GO77">
        <f>IF(Charts!$B$3="none",BM284,IF(EA284="",NA(),EA284))</f>
        <v>0</v>
      </c>
      <c r="GP77">
        <f>IF(Charts!$B$3="none",BN284,IF(EB284="",NA(),EB284))</f>
        <v>0</v>
      </c>
      <c r="GQ77">
        <f>IF(Charts!$B$3="none",BO284,IF(EC284="",NA(),EC284))</f>
        <v>0</v>
      </c>
      <c r="GR77">
        <f>IF(Charts!$B$3="none",BP284,IF(ED284="",NA(),ED284))</f>
        <v>0</v>
      </c>
    </row>
    <row r="78" spans="5:200">
      <c r="E78">
        <v>32</v>
      </c>
      <c r="F78">
        <f>F36</f>
        <v>0</v>
      </c>
      <c r="G78">
        <v>32</v>
      </c>
      <c r="H78">
        <f>H36</f>
        <v>0</v>
      </c>
      <c r="I78">
        <v>32</v>
      </c>
      <c r="J78">
        <f>J36</f>
        <v>0</v>
      </c>
      <c r="K78">
        <v>32</v>
      </c>
      <c r="L78">
        <f>L36</f>
        <v>0</v>
      </c>
      <c r="M78">
        <v>32</v>
      </c>
      <c r="N78">
        <f>N36</f>
        <v>0</v>
      </c>
      <c r="O78">
        <v>32</v>
      </c>
      <c r="P78">
        <f>P36</f>
        <v>0</v>
      </c>
      <c r="Q78">
        <v>32</v>
      </c>
      <c r="R78">
        <f>R36</f>
        <v>0</v>
      </c>
      <c r="S78">
        <v>32</v>
      </c>
      <c r="T78">
        <f>T36</f>
        <v>0</v>
      </c>
      <c r="U78">
        <v>32</v>
      </c>
      <c r="V78">
        <f>V36</f>
        <v>0</v>
      </c>
      <c r="W78">
        <v>32</v>
      </c>
      <c r="X78">
        <f>X36</f>
        <v>0</v>
      </c>
      <c r="Y78">
        <v>32</v>
      </c>
      <c r="Z78">
        <f>Z36</f>
        <v>0</v>
      </c>
      <c r="AA78">
        <v>32</v>
      </c>
      <c r="AB78">
        <f>AB36</f>
        <v>0</v>
      </c>
      <c r="AC78">
        <v>32</v>
      </c>
      <c r="AD78">
        <f>AD36</f>
        <v>0</v>
      </c>
      <c r="AE78">
        <v>32</v>
      </c>
      <c r="AF78">
        <f>AF36</f>
        <v>0</v>
      </c>
      <c r="AG78">
        <v>32</v>
      </c>
      <c r="AH78">
        <f>AH36</f>
        <v>0</v>
      </c>
      <c r="AI78">
        <v>32</v>
      </c>
      <c r="AJ78">
        <f>AJ36</f>
        <v>0</v>
      </c>
      <c r="AK78">
        <v>32</v>
      </c>
      <c r="AL78">
        <f>AL36</f>
        <v>0</v>
      </c>
      <c r="AM78">
        <v>32</v>
      </c>
      <c r="AN78">
        <f>AN36</f>
        <v>0</v>
      </c>
      <c r="AO78">
        <v>32</v>
      </c>
      <c r="AP78">
        <f>AP36</f>
        <v>0</v>
      </c>
      <c r="AQ78">
        <v>32</v>
      </c>
      <c r="AR78">
        <f>AR36</f>
        <v>0</v>
      </c>
      <c r="AS78">
        <v>32</v>
      </c>
      <c r="AT78">
        <f>AT36</f>
        <v>0</v>
      </c>
      <c r="AU78">
        <v>32</v>
      </c>
      <c r="AV78">
        <f>AV36</f>
        <v>0</v>
      </c>
      <c r="AW78">
        <v>32</v>
      </c>
      <c r="AX78">
        <f>AX36</f>
        <v>0</v>
      </c>
      <c r="AY78">
        <v>32</v>
      </c>
      <c r="AZ78">
        <f>AZ36</f>
        <v>0</v>
      </c>
      <c r="BA78">
        <v>32</v>
      </c>
      <c r="BB78">
        <f>BB36</f>
        <v>0</v>
      </c>
      <c r="BC78">
        <v>32</v>
      </c>
      <c r="BD78">
        <f>BD36</f>
        <v>0</v>
      </c>
      <c r="BE78">
        <v>32</v>
      </c>
      <c r="BF78">
        <f>BF36</f>
        <v>0</v>
      </c>
      <c r="BG78">
        <v>32</v>
      </c>
      <c r="BH78">
        <f>BH36</f>
        <v>0</v>
      </c>
      <c r="BI78">
        <v>32</v>
      </c>
      <c r="BJ78">
        <f>BJ36</f>
        <v>0</v>
      </c>
      <c r="BK78">
        <v>32</v>
      </c>
      <c r="BL78">
        <f>BL36</f>
        <v>0</v>
      </c>
      <c r="BM78">
        <v>32</v>
      </c>
      <c r="BN78">
        <f>BN36</f>
        <v>0</v>
      </c>
      <c r="BO78">
        <v>32</v>
      </c>
      <c r="BP78">
        <f>BP36</f>
        <v>0</v>
      </c>
      <c r="BS78">
        <v>32</v>
      </c>
      <c r="BT78">
        <f>BT36</f>
        <v>0</v>
      </c>
      <c r="BU78">
        <v>32</v>
      </c>
      <c r="BV78">
        <f>BV36</f>
        <v>0</v>
      </c>
      <c r="BW78">
        <v>32</v>
      </c>
      <c r="BX78">
        <f>BX36</f>
        <v>0</v>
      </c>
      <c r="BY78">
        <v>32</v>
      </c>
      <c r="BZ78">
        <f>BZ36</f>
        <v>0</v>
      </c>
      <c r="CA78">
        <v>32</v>
      </c>
      <c r="CB78">
        <f>CB36</f>
        <v>0</v>
      </c>
      <c r="CC78">
        <v>32</v>
      </c>
      <c r="CD78">
        <f>CD36</f>
        <v>0</v>
      </c>
      <c r="CE78">
        <v>32</v>
      </c>
      <c r="CF78">
        <f>CF36</f>
        <v>0</v>
      </c>
      <c r="CG78">
        <v>32</v>
      </c>
      <c r="CH78">
        <f>CH36</f>
        <v>0</v>
      </c>
      <c r="CI78">
        <v>32</v>
      </c>
      <c r="CJ78">
        <f>CJ36</f>
        <v>0</v>
      </c>
      <c r="CK78">
        <v>32</v>
      </c>
      <c r="CL78">
        <f>CL36</f>
        <v>0</v>
      </c>
      <c r="CM78">
        <v>32</v>
      </c>
      <c r="CN78">
        <f>CN36</f>
        <v>0</v>
      </c>
      <c r="CO78">
        <v>32</v>
      </c>
      <c r="CP78">
        <f>CP36</f>
        <v>0</v>
      </c>
      <c r="CQ78">
        <v>32</v>
      </c>
      <c r="CR78">
        <f>CR36</f>
        <v>0</v>
      </c>
      <c r="CS78">
        <v>32</v>
      </c>
      <c r="CT78">
        <f>CT36</f>
        <v>0</v>
      </c>
      <c r="CU78">
        <v>32</v>
      </c>
      <c r="CV78">
        <f>CV36</f>
        <v>0</v>
      </c>
      <c r="CW78">
        <v>32</v>
      </c>
      <c r="CX78">
        <f>CX36</f>
        <v>0</v>
      </c>
      <c r="CY78">
        <v>32</v>
      </c>
      <c r="CZ78">
        <f>CZ36</f>
        <v>0</v>
      </c>
      <c r="DA78">
        <v>32</v>
      </c>
      <c r="DB78">
        <f>DB36</f>
        <v>0</v>
      </c>
      <c r="DC78">
        <v>32</v>
      </c>
      <c r="DD78">
        <f>DD36</f>
        <v>0</v>
      </c>
      <c r="DE78">
        <v>32</v>
      </c>
      <c r="DF78">
        <f>DF36</f>
        <v>0</v>
      </c>
      <c r="DG78">
        <v>32</v>
      </c>
      <c r="DH78">
        <f>DH36</f>
        <v>0</v>
      </c>
      <c r="DI78">
        <v>32</v>
      </c>
      <c r="DJ78">
        <f>DJ36</f>
        <v>0</v>
      </c>
      <c r="DK78">
        <v>32</v>
      </c>
      <c r="DL78">
        <f>DL36</f>
        <v>0</v>
      </c>
      <c r="DM78">
        <v>32</v>
      </c>
      <c r="DN78">
        <f>DN36</f>
        <v>0</v>
      </c>
      <c r="DO78">
        <v>32</v>
      </c>
      <c r="DP78">
        <f>DP36</f>
        <v>0</v>
      </c>
      <c r="DQ78">
        <v>32</v>
      </c>
      <c r="DR78">
        <f>DR36</f>
        <v>0</v>
      </c>
      <c r="DS78">
        <v>32</v>
      </c>
      <c r="DT78">
        <f>DT36</f>
        <v>0</v>
      </c>
      <c r="DU78">
        <v>32</v>
      </c>
      <c r="DV78">
        <f>DV36</f>
        <v>0</v>
      </c>
      <c r="DW78">
        <v>32</v>
      </c>
      <c r="DX78">
        <f>DX36</f>
        <v>0</v>
      </c>
      <c r="DY78">
        <v>32</v>
      </c>
      <c r="DZ78">
        <f>DZ36</f>
        <v>0</v>
      </c>
      <c r="EA78">
        <v>32</v>
      </c>
      <c r="EB78">
        <f>EB36</f>
        <v>0</v>
      </c>
      <c r="EC78">
        <v>32</v>
      </c>
      <c r="ED78">
        <f>ED36</f>
        <v>0</v>
      </c>
      <c r="EG78">
        <f>IF(Charts!$B$3="none",E285,IF(BS285="",NA(),BS285))</f>
        <v>0</v>
      </c>
      <c r="EH78">
        <f>IF(Charts!$B$3="none",F285,IF(BT285="",NA(),BT285))</f>
        <v>0</v>
      </c>
      <c r="EI78">
        <f>IF(Charts!$B$3="none",G285,IF(BU285="",NA(),BU285))</f>
        <v>0</v>
      </c>
      <c r="EJ78">
        <f>IF(Charts!$B$3="none",H285,IF(BV285="",NA(),BV285))</f>
        <v>0</v>
      </c>
      <c r="EK78">
        <f>IF(Charts!$B$3="none",I285,IF(BW285="",NA(),BW285))</f>
        <v>0</v>
      </c>
      <c r="EL78">
        <f>IF(Charts!$B$3="none",J285,IF(BX285="",NA(),BX285))</f>
        <v>0</v>
      </c>
      <c r="EM78">
        <f>IF(Charts!$B$3="none",K285,IF(BY285="",NA(),BY285))</f>
        <v>0</v>
      </c>
      <c r="EN78">
        <f>IF(Charts!$B$3="none",L285,IF(BZ285="",NA(),BZ285))</f>
        <v>0</v>
      </c>
      <c r="EO78">
        <f>IF(Charts!$B$3="none",M285,IF(CA285="",NA(),CA285))</f>
        <v>0</v>
      </c>
      <c r="EP78">
        <f>IF(Charts!$B$3="none",N285,IF(CB285="",NA(),CB285))</f>
        <v>0</v>
      </c>
      <c r="EQ78">
        <f>IF(Charts!$B$3="none",O285,IF(CC285="",NA(),CC285))</f>
        <v>0</v>
      </c>
      <c r="ER78">
        <f>IF(Charts!$B$3="none",P285,IF(CD285="",NA(),CD285))</f>
        <v>0</v>
      </c>
      <c r="ES78">
        <f>IF(Charts!$B$3="none",Q285,IF(CE285="",NA(),CE285))</f>
        <v>0</v>
      </c>
      <c r="ET78">
        <f>IF(Charts!$B$3="none",R285,IF(CF285="",NA(),CF285))</f>
        <v>0</v>
      </c>
      <c r="EU78">
        <f>IF(Charts!$B$3="none",S285,IF(CG285="",NA(),CG285))</f>
        <v>0</v>
      </c>
      <c r="EV78">
        <f>IF(Charts!$B$3="none",T285,IF(CH285="",NA(),CH285))</f>
        <v>0</v>
      </c>
      <c r="EW78">
        <f>IF(Charts!$B$3="none",U285,IF(CI285="",NA(),CI285))</f>
        <v>0</v>
      </c>
      <c r="EX78">
        <f>IF(Charts!$B$3="none",V285,IF(CJ285="",NA(),CJ285))</f>
        <v>0</v>
      </c>
      <c r="EY78">
        <f>IF(Charts!$B$3="none",W285,IF(CK285="",NA(),CK285))</f>
        <v>0</v>
      </c>
      <c r="EZ78">
        <f>IF(Charts!$B$3="none",X285,IF(CL285="",NA(),CL285))</f>
        <v>0</v>
      </c>
      <c r="FA78">
        <f>IF(Charts!$B$3="none",Y285,IF(CM285="",NA(),CM285))</f>
        <v>0</v>
      </c>
      <c r="FB78">
        <f>IF(Charts!$B$3="none",Z285,IF(CN285="",NA(),CN285))</f>
        <v>0</v>
      </c>
      <c r="FC78">
        <f>IF(Charts!$B$3="none",AA285,IF(CO285="",NA(),CO285))</f>
        <v>0</v>
      </c>
      <c r="FD78">
        <f>IF(Charts!$B$3="none",AB285,IF(CP285="",NA(),CP285))</f>
        <v>0</v>
      </c>
      <c r="FE78">
        <f>IF(Charts!$B$3="none",AC285,IF(CQ285="",NA(),CQ285))</f>
        <v>0</v>
      </c>
      <c r="FF78">
        <f>IF(Charts!$B$3="none",AD285,IF(CR285="",NA(),CR285))</f>
        <v>0</v>
      </c>
      <c r="FG78">
        <f>IF(Charts!$B$3="none",AE285,IF(CS285="",NA(),CS285))</f>
        <v>0</v>
      </c>
      <c r="FH78">
        <f>IF(Charts!$B$3="none",AF285,IF(CT285="",NA(),CT285))</f>
        <v>0</v>
      </c>
      <c r="FI78">
        <f>IF(Charts!$B$3="none",AG285,IF(CU285="",NA(),CU285))</f>
        <v>0</v>
      </c>
      <c r="FJ78">
        <f>IF(Charts!$B$3="none",AH285,IF(CV285="",NA(),CV285))</f>
        <v>0</v>
      </c>
      <c r="FK78">
        <f>IF(Charts!$B$3="none",AI285,IF(CW285="",NA(),CW285))</f>
        <v>0</v>
      </c>
      <c r="FL78">
        <f>IF(Charts!$B$3="none",AJ285,IF(CX285="",NA(),CX285))</f>
        <v>0</v>
      </c>
      <c r="FM78">
        <f>IF(Charts!$B$3="none",AK285,IF(CY285="",NA(),CY285))</f>
        <v>0</v>
      </c>
      <c r="FN78">
        <f>IF(Charts!$B$3="none",AL285,IF(CZ285="",NA(),CZ285))</f>
        <v>0</v>
      </c>
      <c r="FO78">
        <f>IF(Charts!$B$3="none",AM285,IF(DA285="",NA(),DA285))</f>
        <v>0</v>
      </c>
      <c r="FP78">
        <f>IF(Charts!$B$3="none",AN285,IF(DB285="",NA(),DB285))</f>
        <v>0</v>
      </c>
      <c r="FQ78">
        <f>IF(Charts!$B$3="none",AO285,IF(DC285="",NA(),DC285))</f>
        <v>0</v>
      </c>
      <c r="FR78">
        <f>IF(Charts!$B$3="none",AP285,IF(DD285="",NA(),DD285))</f>
        <v>0</v>
      </c>
      <c r="FS78">
        <f>IF(Charts!$B$3="none",AQ285,IF(DE285="",NA(),DE285))</f>
        <v>0</v>
      </c>
      <c r="FT78">
        <f>IF(Charts!$B$3="none",AR285,IF(DF285="",NA(),DF285))</f>
        <v>0</v>
      </c>
      <c r="FU78">
        <f>IF(Charts!$B$3="none",AS285,IF(DG285="",NA(),DG285))</f>
        <v>0</v>
      </c>
      <c r="FV78">
        <f>IF(Charts!$B$3="none",AT285,IF(DH285="",NA(),DH285))</f>
        <v>0</v>
      </c>
      <c r="FW78">
        <f>IF(Charts!$B$3="none",AU285,IF(DI285="",NA(),DI285))</f>
        <v>0</v>
      </c>
      <c r="FX78">
        <f>IF(Charts!$B$3="none",AV285,IF(DJ285="",NA(),DJ285))</f>
        <v>0</v>
      </c>
      <c r="FY78">
        <f>IF(Charts!$B$3="none",AW285,IF(DK285="",NA(),DK285))</f>
        <v>0</v>
      </c>
      <c r="FZ78">
        <f>IF(Charts!$B$3="none",AX285,IF(DL285="",NA(),DL285))</f>
        <v>0</v>
      </c>
      <c r="GA78">
        <f>IF(Charts!$B$3="none",AY285,IF(DM285="",NA(),DM285))</f>
        <v>0</v>
      </c>
      <c r="GB78">
        <f>IF(Charts!$B$3="none",AZ285,IF(DN285="",NA(),DN285))</f>
        <v>0</v>
      </c>
      <c r="GC78">
        <f>IF(Charts!$B$3="none",BA285,IF(DO285="",NA(),DO285))</f>
        <v>0</v>
      </c>
      <c r="GD78">
        <f>IF(Charts!$B$3="none",BB285,IF(DP285="",NA(),DP285))</f>
        <v>0</v>
      </c>
      <c r="GE78">
        <f>IF(Charts!$B$3="none",BC285,IF(DQ285="",NA(),DQ285))</f>
        <v>0</v>
      </c>
      <c r="GF78">
        <f>IF(Charts!$B$3="none",BD285,IF(DR285="",NA(),DR285))</f>
        <v>0</v>
      </c>
      <c r="GG78">
        <f>IF(Charts!$B$3="none",BE285,IF(DS285="",NA(),DS285))</f>
        <v>0</v>
      </c>
      <c r="GH78">
        <f>IF(Charts!$B$3="none",BF285,IF(DT285="",NA(),DT285))</f>
        <v>0</v>
      </c>
      <c r="GI78">
        <f>IF(Charts!$B$3="none",BG285,IF(DU285="",NA(),DU285))</f>
        <v>0</v>
      </c>
      <c r="GJ78">
        <f>IF(Charts!$B$3="none",BH285,IF(DV285="",NA(),DV285))</f>
        <v>0</v>
      </c>
      <c r="GK78">
        <f>IF(Charts!$B$3="none",BI285,IF(DW285="",NA(),DW285))</f>
        <v>0</v>
      </c>
      <c r="GL78">
        <f>IF(Charts!$B$3="none",BJ285,IF(DX285="",NA(),DX285))</f>
        <v>0</v>
      </c>
      <c r="GM78">
        <f>IF(Charts!$B$3="none",BK285,IF(DY285="",NA(),DY285))</f>
        <v>0</v>
      </c>
      <c r="GN78">
        <f>IF(Charts!$B$3="none",BL285,IF(DZ285="",NA(),DZ285))</f>
        <v>0</v>
      </c>
      <c r="GO78">
        <f>IF(Charts!$B$3="none",BM285,IF(EA285="",NA(),EA285))</f>
        <v>0</v>
      </c>
      <c r="GP78">
        <f>IF(Charts!$B$3="none",BN285,IF(EB285="",NA(),EB285))</f>
        <v>0</v>
      </c>
      <c r="GQ78">
        <f>IF(Charts!$B$3="none",BO285,IF(EC285="",NA(),EC285))</f>
        <v>0</v>
      </c>
      <c r="GR78">
        <f>IF(Charts!$B$3="none",BP285,IF(ED285="",NA(),ED285))</f>
        <v>0</v>
      </c>
    </row>
    <row r="79" spans="5:200">
      <c r="E79">
        <v>33</v>
      </c>
      <c r="F79">
        <f>F37</f>
        <v>0</v>
      </c>
      <c r="G79">
        <v>33</v>
      </c>
      <c r="H79">
        <f>H37</f>
        <v>0</v>
      </c>
      <c r="I79">
        <v>33</v>
      </c>
      <c r="J79">
        <f>J37</f>
        <v>0</v>
      </c>
      <c r="K79">
        <v>33</v>
      </c>
      <c r="L79">
        <f>L37</f>
        <v>0</v>
      </c>
      <c r="M79">
        <v>33</v>
      </c>
      <c r="N79">
        <f>N37</f>
        <v>0</v>
      </c>
      <c r="O79">
        <v>33</v>
      </c>
      <c r="P79">
        <f>P37</f>
        <v>0</v>
      </c>
      <c r="Q79">
        <v>33</v>
      </c>
      <c r="R79">
        <f>R37</f>
        <v>0</v>
      </c>
      <c r="S79">
        <v>33</v>
      </c>
      <c r="T79">
        <f>T37</f>
        <v>0</v>
      </c>
      <c r="U79">
        <v>33</v>
      </c>
      <c r="V79">
        <f>V37</f>
        <v>0</v>
      </c>
      <c r="W79">
        <v>33</v>
      </c>
      <c r="X79">
        <f>X37</f>
        <v>0</v>
      </c>
      <c r="Y79">
        <v>33</v>
      </c>
      <c r="Z79">
        <f>Z37</f>
        <v>0</v>
      </c>
      <c r="AA79">
        <v>33</v>
      </c>
      <c r="AB79">
        <f>AB37</f>
        <v>0</v>
      </c>
      <c r="AC79">
        <v>33</v>
      </c>
      <c r="AD79">
        <f>AD37</f>
        <v>0</v>
      </c>
      <c r="AE79">
        <v>33</v>
      </c>
      <c r="AF79">
        <f>AF37</f>
        <v>0</v>
      </c>
      <c r="AG79">
        <v>33</v>
      </c>
      <c r="AH79">
        <f>AH37</f>
        <v>0</v>
      </c>
      <c r="AI79">
        <v>33</v>
      </c>
      <c r="AJ79">
        <f>AJ37</f>
        <v>0</v>
      </c>
      <c r="AK79">
        <v>33</v>
      </c>
      <c r="AL79">
        <f>AL37</f>
        <v>0</v>
      </c>
      <c r="AM79">
        <v>33</v>
      </c>
      <c r="AN79">
        <f>AN37</f>
        <v>0</v>
      </c>
      <c r="AO79">
        <v>33</v>
      </c>
      <c r="AP79">
        <f>AP37</f>
        <v>0</v>
      </c>
      <c r="AQ79">
        <v>33</v>
      </c>
      <c r="AR79">
        <f>AR37</f>
        <v>0</v>
      </c>
      <c r="AS79">
        <v>33</v>
      </c>
      <c r="AT79">
        <f>AT37</f>
        <v>0</v>
      </c>
      <c r="AU79">
        <v>33</v>
      </c>
      <c r="AV79">
        <f>AV37</f>
        <v>0</v>
      </c>
      <c r="AW79">
        <v>33</v>
      </c>
      <c r="AX79">
        <f>AX37</f>
        <v>0</v>
      </c>
      <c r="AY79">
        <v>33</v>
      </c>
      <c r="AZ79">
        <f>AZ37</f>
        <v>0</v>
      </c>
      <c r="BA79">
        <v>33</v>
      </c>
      <c r="BB79">
        <f>BB37</f>
        <v>0</v>
      </c>
      <c r="BC79">
        <v>33</v>
      </c>
      <c r="BD79">
        <f>BD37</f>
        <v>0</v>
      </c>
      <c r="BE79">
        <v>33</v>
      </c>
      <c r="BF79">
        <f>BF37</f>
        <v>0</v>
      </c>
      <c r="BG79">
        <v>33</v>
      </c>
      <c r="BH79">
        <f>BH37</f>
        <v>0</v>
      </c>
      <c r="BI79">
        <v>33</v>
      </c>
      <c r="BJ79">
        <f>BJ37</f>
        <v>0</v>
      </c>
      <c r="BK79">
        <v>33</v>
      </c>
      <c r="BL79">
        <f>BL37</f>
        <v>0</v>
      </c>
      <c r="BM79">
        <v>33</v>
      </c>
      <c r="BN79">
        <f>BN37</f>
        <v>0</v>
      </c>
      <c r="BO79">
        <v>33</v>
      </c>
      <c r="BP79">
        <f>BP37</f>
        <v>0</v>
      </c>
      <c r="BS79">
        <v>33</v>
      </c>
      <c r="BT79">
        <f>BT37</f>
        <v>0</v>
      </c>
      <c r="BU79">
        <v>33</v>
      </c>
      <c r="BV79">
        <f>BV37</f>
        <v>0</v>
      </c>
      <c r="BW79">
        <v>33</v>
      </c>
      <c r="BX79">
        <f>BX37</f>
        <v>0</v>
      </c>
      <c r="BY79">
        <v>33</v>
      </c>
      <c r="BZ79">
        <f>BZ37</f>
        <v>0</v>
      </c>
      <c r="CA79">
        <v>33</v>
      </c>
      <c r="CB79">
        <f>CB37</f>
        <v>0</v>
      </c>
      <c r="CC79">
        <v>33</v>
      </c>
      <c r="CD79">
        <f>CD37</f>
        <v>0</v>
      </c>
      <c r="CE79">
        <v>33</v>
      </c>
      <c r="CF79">
        <f>CF37</f>
        <v>0</v>
      </c>
      <c r="CG79">
        <v>33</v>
      </c>
      <c r="CH79">
        <f>CH37</f>
        <v>0</v>
      </c>
      <c r="CI79">
        <v>33</v>
      </c>
      <c r="CJ79">
        <f>CJ37</f>
        <v>0</v>
      </c>
      <c r="CK79">
        <v>33</v>
      </c>
      <c r="CL79">
        <f>CL37</f>
        <v>0</v>
      </c>
      <c r="CM79">
        <v>33</v>
      </c>
      <c r="CN79">
        <f>CN37</f>
        <v>0</v>
      </c>
      <c r="CO79">
        <v>33</v>
      </c>
      <c r="CP79">
        <f>CP37</f>
        <v>0</v>
      </c>
      <c r="CQ79">
        <v>33</v>
      </c>
      <c r="CR79">
        <f>CR37</f>
        <v>0</v>
      </c>
      <c r="CS79">
        <v>33</v>
      </c>
      <c r="CT79">
        <f>CT37</f>
        <v>0</v>
      </c>
      <c r="CU79">
        <v>33</v>
      </c>
      <c r="CV79">
        <f>CV37</f>
        <v>0</v>
      </c>
      <c r="CW79">
        <v>33</v>
      </c>
      <c r="CX79">
        <f>CX37</f>
        <v>0</v>
      </c>
      <c r="CY79">
        <v>33</v>
      </c>
      <c r="CZ79">
        <f>CZ37</f>
        <v>0</v>
      </c>
      <c r="DA79">
        <v>33</v>
      </c>
      <c r="DB79">
        <f>DB37</f>
        <v>0</v>
      </c>
      <c r="DC79">
        <v>33</v>
      </c>
      <c r="DD79">
        <f>DD37</f>
        <v>0</v>
      </c>
      <c r="DE79">
        <v>33</v>
      </c>
      <c r="DF79">
        <f>DF37</f>
        <v>0</v>
      </c>
      <c r="DG79">
        <v>33</v>
      </c>
      <c r="DH79">
        <f>DH37</f>
        <v>0</v>
      </c>
      <c r="DI79">
        <v>33</v>
      </c>
      <c r="DJ79">
        <f>DJ37</f>
        <v>0</v>
      </c>
      <c r="DK79">
        <v>33</v>
      </c>
      <c r="DL79">
        <f>DL37</f>
        <v>0</v>
      </c>
      <c r="DM79">
        <v>33</v>
      </c>
      <c r="DN79">
        <f>DN37</f>
        <v>0</v>
      </c>
      <c r="DO79">
        <v>33</v>
      </c>
      <c r="DP79">
        <f>DP37</f>
        <v>0</v>
      </c>
      <c r="DQ79">
        <v>33</v>
      </c>
      <c r="DR79">
        <f>DR37</f>
        <v>0</v>
      </c>
      <c r="DS79">
        <v>33</v>
      </c>
      <c r="DT79">
        <f>DT37</f>
        <v>0</v>
      </c>
      <c r="DU79">
        <v>33</v>
      </c>
      <c r="DV79">
        <f>DV37</f>
        <v>0</v>
      </c>
      <c r="DW79">
        <v>33</v>
      </c>
      <c r="DX79">
        <f>DX37</f>
        <v>0</v>
      </c>
      <c r="DY79">
        <v>33</v>
      </c>
      <c r="DZ79">
        <f>DZ37</f>
        <v>0</v>
      </c>
      <c r="EA79">
        <v>33</v>
      </c>
      <c r="EB79">
        <f>EB37</f>
        <v>0</v>
      </c>
      <c r="EC79">
        <v>33</v>
      </c>
      <c r="ED79">
        <f>ED37</f>
        <v>0</v>
      </c>
      <c r="EG79">
        <f>IF(Charts!$B$3="none",E286,IF(BS286="",NA(),BS286))</f>
        <v>0</v>
      </c>
      <c r="EH79">
        <f>IF(Charts!$B$3="none",F286,IF(BT286="",NA(),BT286))</f>
        <v>0</v>
      </c>
      <c r="EI79">
        <f>IF(Charts!$B$3="none",G286,IF(BU286="",NA(),BU286))</f>
        <v>0</v>
      </c>
      <c r="EJ79">
        <f>IF(Charts!$B$3="none",H286,IF(BV286="",NA(),BV286))</f>
        <v>0</v>
      </c>
      <c r="EK79">
        <f>IF(Charts!$B$3="none",I286,IF(BW286="",NA(),BW286))</f>
        <v>0</v>
      </c>
      <c r="EL79">
        <f>IF(Charts!$B$3="none",J286,IF(BX286="",NA(),BX286))</f>
        <v>0</v>
      </c>
      <c r="EM79">
        <f>IF(Charts!$B$3="none",K286,IF(BY286="",NA(),BY286))</f>
        <v>0</v>
      </c>
      <c r="EN79">
        <f>IF(Charts!$B$3="none",L286,IF(BZ286="",NA(),BZ286))</f>
        <v>0</v>
      </c>
      <c r="EO79">
        <f>IF(Charts!$B$3="none",M286,IF(CA286="",NA(),CA286))</f>
        <v>0</v>
      </c>
      <c r="EP79">
        <f>IF(Charts!$B$3="none",N286,IF(CB286="",NA(),CB286))</f>
        <v>0</v>
      </c>
      <c r="EQ79">
        <f>IF(Charts!$B$3="none",O286,IF(CC286="",NA(),CC286))</f>
        <v>0</v>
      </c>
      <c r="ER79">
        <f>IF(Charts!$B$3="none",P286,IF(CD286="",NA(),CD286))</f>
        <v>0</v>
      </c>
      <c r="ES79">
        <f>IF(Charts!$B$3="none",Q286,IF(CE286="",NA(),CE286))</f>
        <v>0</v>
      </c>
      <c r="ET79">
        <f>IF(Charts!$B$3="none",R286,IF(CF286="",NA(),CF286))</f>
        <v>0</v>
      </c>
      <c r="EU79">
        <f>IF(Charts!$B$3="none",S286,IF(CG286="",NA(),CG286))</f>
        <v>0</v>
      </c>
      <c r="EV79">
        <f>IF(Charts!$B$3="none",T286,IF(CH286="",NA(),CH286))</f>
        <v>0</v>
      </c>
      <c r="EW79">
        <f>IF(Charts!$B$3="none",U286,IF(CI286="",NA(),CI286))</f>
        <v>0</v>
      </c>
      <c r="EX79">
        <f>IF(Charts!$B$3="none",V286,IF(CJ286="",NA(),CJ286))</f>
        <v>0</v>
      </c>
      <c r="EY79">
        <f>IF(Charts!$B$3="none",W286,IF(CK286="",NA(),CK286))</f>
        <v>0</v>
      </c>
      <c r="EZ79">
        <f>IF(Charts!$B$3="none",X286,IF(CL286="",NA(),CL286))</f>
        <v>0</v>
      </c>
      <c r="FA79">
        <f>IF(Charts!$B$3="none",Y286,IF(CM286="",NA(),CM286))</f>
        <v>0</v>
      </c>
      <c r="FB79">
        <f>IF(Charts!$B$3="none",Z286,IF(CN286="",NA(),CN286))</f>
        <v>0</v>
      </c>
      <c r="FC79">
        <f>IF(Charts!$B$3="none",AA286,IF(CO286="",NA(),CO286))</f>
        <v>0</v>
      </c>
      <c r="FD79">
        <f>IF(Charts!$B$3="none",AB286,IF(CP286="",NA(),CP286))</f>
        <v>0</v>
      </c>
      <c r="FE79">
        <f>IF(Charts!$B$3="none",AC286,IF(CQ286="",NA(),CQ286))</f>
        <v>0</v>
      </c>
      <c r="FF79">
        <f>IF(Charts!$B$3="none",AD286,IF(CR286="",NA(),CR286))</f>
        <v>0</v>
      </c>
      <c r="FG79">
        <f>IF(Charts!$B$3="none",AE286,IF(CS286="",NA(),CS286))</f>
        <v>0</v>
      </c>
      <c r="FH79">
        <f>IF(Charts!$B$3="none",AF286,IF(CT286="",NA(),CT286))</f>
        <v>0</v>
      </c>
      <c r="FI79">
        <f>IF(Charts!$B$3="none",AG286,IF(CU286="",NA(),CU286))</f>
        <v>0</v>
      </c>
      <c r="FJ79">
        <f>IF(Charts!$B$3="none",AH286,IF(CV286="",NA(),CV286))</f>
        <v>0</v>
      </c>
      <c r="FK79">
        <f>IF(Charts!$B$3="none",AI286,IF(CW286="",NA(),CW286))</f>
        <v>0</v>
      </c>
      <c r="FL79">
        <f>IF(Charts!$B$3="none",AJ286,IF(CX286="",NA(),CX286))</f>
        <v>0</v>
      </c>
      <c r="FM79">
        <f>IF(Charts!$B$3="none",AK286,IF(CY286="",NA(),CY286))</f>
        <v>0</v>
      </c>
      <c r="FN79">
        <f>IF(Charts!$B$3="none",AL286,IF(CZ286="",NA(),CZ286))</f>
        <v>0</v>
      </c>
      <c r="FO79">
        <f>IF(Charts!$B$3="none",AM286,IF(DA286="",NA(),DA286))</f>
        <v>0</v>
      </c>
      <c r="FP79">
        <f>IF(Charts!$B$3="none",AN286,IF(DB286="",NA(),DB286))</f>
        <v>0</v>
      </c>
      <c r="FQ79">
        <f>IF(Charts!$B$3="none",AO286,IF(DC286="",NA(),DC286))</f>
        <v>0</v>
      </c>
      <c r="FR79">
        <f>IF(Charts!$B$3="none",AP286,IF(DD286="",NA(),DD286))</f>
        <v>0</v>
      </c>
      <c r="FS79">
        <f>IF(Charts!$B$3="none",AQ286,IF(DE286="",NA(),DE286))</f>
        <v>0</v>
      </c>
      <c r="FT79">
        <f>IF(Charts!$B$3="none",AR286,IF(DF286="",NA(),DF286))</f>
        <v>0</v>
      </c>
      <c r="FU79">
        <f>IF(Charts!$B$3="none",AS286,IF(DG286="",NA(),DG286))</f>
        <v>0</v>
      </c>
      <c r="FV79">
        <f>IF(Charts!$B$3="none",AT286,IF(DH286="",NA(),DH286))</f>
        <v>0</v>
      </c>
      <c r="FW79">
        <f>IF(Charts!$B$3="none",AU286,IF(DI286="",NA(),DI286))</f>
        <v>0</v>
      </c>
      <c r="FX79">
        <f>IF(Charts!$B$3="none",AV286,IF(DJ286="",NA(),DJ286))</f>
        <v>0</v>
      </c>
      <c r="FY79">
        <f>IF(Charts!$B$3="none",AW286,IF(DK286="",NA(),DK286))</f>
        <v>0</v>
      </c>
      <c r="FZ79">
        <f>IF(Charts!$B$3="none",AX286,IF(DL286="",NA(),DL286))</f>
        <v>0</v>
      </c>
      <c r="GA79">
        <f>IF(Charts!$B$3="none",AY286,IF(DM286="",NA(),DM286))</f>
        <v>0</v>
      </c>
      <c r="GB79">
        <f>IF(Charts!$B$3="none",AZ286,IF(DN286="",NA(),DN286))</f>
        <v>0</v>
      </c>
      <c r="GC79">
        <f>IF(Charts!$B$3="none",BA286,IF(DO286="",NA(),DO286))</f>
        <v>0</v>
      </c>
      <c r="GD79">
        <f>IF(Charts!$B$3="none",BB286,IF(DP286="",NA(),DP286))</f>
        <v>0</v>
      </c>
      <c r="GE79">
        <f>IF(Charts!$B$3="none",BC286,IF(DQ286="",NA(),DQ286))</f>
        <v>0</v>
      </c>
      <c r="GF79">
        <f>IF(Charts!$B$3="none",BD286,IF(DR286="",NA(),DR286))</f>
        <v>0</v>
      </c>
      <c r="GG79">
        <f>IF(Charts!$B$3="none",BE286,IF(DS286="",NA(),DS286))</f>
        <v>0</v>
      </c>
      <c r="GH79">
        <f>IF(Charts!$B$3="none",BF286,IF(DT286="",NA(),DT286))</f>
        <v>0</v>
      </c>
      <c r="GI79">
        <f>IF(Charts!$B$3="none",BG286,IF(DU286="",NA(),DU286))</f>
        <v>0</v>
      </c>
      <c r="GJ79">
        <f>IF(Charts!$B$3="none",BH286,IF(DV286="",NA(),DV286))</f>
        <v>0</v>
      </c>
      <c r="GK79">
        <f>IF(Charts!$B$3="none",BI286,IF(DW286="",NA(),DW286))</f>
        <v>0</v>
      </c>
      <c r="GL79">
        <f>IF(Charts!$B$3="none",BJ286,IF(DX286="",NA(),DX286))</f>
        <v>0</v>
      </c>
      <c r="GM79">
        <f>IF(Charts!$B$3="none",BK286,IF(DY286="",NA(),DY286))</f>
        <v>0</v>
      </c>
      <c r="GN79">
        <f>IF(Charts!$B$3="none",BL286,IF(DZ286="",NA(),DZ286))</f>
        <v>0</v>
      </c>
      <c r="GO79">
        <f>IF(Charts!$B$3="none",BM286,IF(EA286="",NA(),EA286))</f>
        <v>0</v>
      </c>
      <c r="GP79">
        <f>IF(Charts!$B$3="none",BN286,IF(EB286="",NA(),EB286))</f>
        <v>0</v>
      </c>
      <c r="GQ79">
        <f>IF(Charts!$B$3="none",BO286,IF(EC286="",NA(),EC286))</f>
        <v>0</v>
      </c>
      <c r="GR79">
        <f>IF(Charts!$B$3="none",BP286,IF(ED286="",NA(),ED286))</f>
        <v>0</v>
      </c>
    </row>
    <row r="80" spans="5:200">
      <c r="E80">
        <v>34</v>
      </c>
      <c r="F80">
        <f>F38</f>
        <v>0</v>
      </c>
      <c r="G80">
        <v>34</v>
      </c>
      <c r="H80">
        <f>H38</f>
        <v>0</v>
      </c>
      <c r="I80">
        <v>34</v>
      </c>
      <c r="J80">
        <f>J38</f>
        <v>0</v>
      </c>
      <c r="K80">
        <v>34</v>
      </c>
      <c r="L80">
        <f>L38</f>
        <v>0</v>
      </c>
      <c r="M80">
        <v>34</v>
      </c>
      <c r="N80">
        <f>N38</f>
        <v>0</v>
      </c>
      <c r="O80">
        <v>34</v>
      </c>
      <c r="P80">
        <f>P38</f>
        <v>0</v>
      </c>
      <c r="Q80">
        <v>34</v>
      </c>
      <c r="R80">
        <f>R38</f>
        <v>0</v>
      </c>
      <c r="S80">
        <v>34</v>
      </c>
      <c r="T80">
        <f>T38</f>
        <v>0</v>
      </c>
      <c r="U80">
        <v>34</v>
      </c>
      <c r="V80">
        <f>V38</f>
        <v>0</v>
      </c>
      <c r="W80">
        <v>34</v>
      </c>
      <c r="X80">
        <f>X38</f>
        <v>0</v>
      </c>
      <c r="Y80">
        <v>34</v>
      </c>
      <c r="Z80">
        <f>Z38</f>
        <v>0</v>
      </c>
      <c r="AA80">
        <v>34</v>
      </c>
      <c r="AB80">
        <f>AB38</f>
        <v>0</v>
      </c>
      <c r="AC80">
        <v>34</v>
      </c>
      <c r="AD80">
        <f>AD38</f>
        <v>0</v>
      </c>
      <c r="AE80">
        <v>34</v>
      </c>
      <c r="AF80">
        <f>AF38</f>
        <v>0</v>
      </c>
      <c r="AG80">
        <v>34</v>
      </c>
      <c r="AH80">
        <f>AH38</f>
        <v>0</v>
      </c>
      <c r="AI80">
        <v>34</v>
      </c>
      <c r="AJ80">
        <f>AJ38</f>
        <v>0</v>
      </c>
      <c r="AK80">
        <v>34</v>
      </c>
      <c r="AL80">
        <f>AL38</f>
        <v>0</v>
      </c>
      <c r="AM80">
        <v>34</v>
      </c>
      <c r="AN80">
        <f>AN38</f>
        <v>0</v>
      </c>
      <c r="AO80">
        <v>34</v>
      </c>
      <c r="AP80">
        <f>AP38</f>
        <v>0</v>
      </c>
      <c r="AQ80">
        <v>34</v>
      </c>
      <c r="AR80">
        <f>AR38</f>
        <v>0</v>
      </c>
      <c r="AS80">
        <v>34</v>
      </c>
      <c r="AT80">
        <f>AT38</f>
        <v>0</v>
      </c>
      <c r="AU80">
        <v>34</v>
      </c>
      <c r="AV80">
        <f>AV38</f>
        <v>0</v>
      </c>
      <c r="AW80">
        <v>34</v>
      </c>
      <c r="AX80">
        <f>AX38</f>
        <v>0</v>
      </c>
      <c r="AY80">
        <v>34</v>
      </c>
      <c r="AZ80">
        <f>AZ38</f>
        <v>0</v>
      </c>
      <c r="BA80">
        <v>34</v>
      </c>
      <c r="BB80">
        <f>BB38</f>
        <v>0</v>
      </c>
      <c r="BC80">
        <v>34</v>
      </c>
      <c r="BD80">
        <f>BD38</f>
        <v>0</v>
      </c>
      <c r="BE80">
        <v>34</v>
      </c>
      <c r="BF80">
        <f>BF38</f>
        <v>0</v>
      </c>
      <c r="BG80">
        <v>34</v>
      </c>
      <c r="BH80">
        <f>BH38</f>
        <v>0</v>
      </c>
      <c r="BI80">
        <v>34</v>
      </c>
      <c r="BJ80">
        <f>BJ38</f>
        <v>0</v>
      </c>
      <c r="BK80">
        <v>34</v>
      </c>
      <c r="BL80">
        <f>BL38</f>
        <v>0</v>
      </c>
      <c r="BM80">
        <v>34</v>
      </c>
      <c r="BN80">
        <f>BN38</f>
        <v>0</v>
      </c>
      <c r="BO80">
        <v>34</v>
      </c>
      <c r="BP80">
        <f>BP38</f>
        <v>0</v>
      </c>
      <c r="BS80">
        <v>34</v>
      </c>
      <c r="BT80">
        <f>BT38</f>
        <v>0</v>
      </c>
      <c r="BU80">
        <v>34</v>
      </c>
      <c r="BV80">
        <f>BV38</f>
        <v>0</v>
      </c>
      <c r="BW80">
        <v>34</v>
      </c>
      <c r="BX80">
        <f>BX38</f>
        <v>0</v>
      </c>
      <c r="BY80">
        <v>34</v>
      </c>
      <c r="BZ80">
        <f>BZ38</f>
        <v>0</v>
      </c>
      <c r="CA80">
        <v>34</v>
      </c>
      <c r="CB80">
        <f>CB38</f>
        <v>0</v>
      </c>
      <c r="CC80">
        <v>34</v>
      </c>
      <c r="CD80">
        <f>CD38</f>
        <v>0</v>
      </c>
      <c r="CE80">
        <v>34</v>
      </c>
      <c r="CF80">
        <f>CF38</f>
        <v>0</v>
      </c>
      <c r="CG80">
        <v>34</v>
      </c>
      <c r="CH80">
        <f>CH38</f>
        <v>0</v>
      </c>
      <c r="CI80">
        <v>34</v>
      </c>
      <c r="CJ80">
        <f>CJ38</f>
        <v>0</v>
      </c>
      <c r="CK80">
        <v>34</v>
      </c>
      <c r="CL80">
        <f>CL38</f>
        <v>0</v>
      </c>
      <c r="CM80">
        <v>34</v>
      </c>
      <c r="CN80">
        <f>CN38</f>
        <v>0</v>
      </c>
      <c r="CO80">
        <v>34</v>
      </c>
      <c r="CP80">
        <f>CP38</f>
        <v>0</v>
      </c>
      <c r="CQ80">
        <v>34</v>
      </c>
      <c r="CR80">
        <f>CR38</f>
        <v>0</v>
      </c>
      <c r="CS80">
        <v>34</v>
      </c>
      <c r="CT80">
        <f>CT38</f>
        <v>0</v>
      </c>
      <c r="CU80">
        <v>34</v>
      </c>
      <c r="CV80">
        <f>CV38</f>
        <v>0</v>
      </c>
      <c r="CW80">
        <v>34</v>
      </c>
      <c r="CX80">
        <f>CX38</f>
        <v>0</v>
      </c>
      <c r="CY80">
        <v>34</v>
      </c>
      <c r="CZ80">
        <f>CZ38</f>
        <v>0</v>
      </c>
      <c r="DA80">
        <v>34</v>
      </c>
      <c r="DB80">
        <f>DB38</f>
        <v>0</v>
      </c>
      <c r="DC80">
        <v>34</v>
      </c>
      <c r="DD80">
        <f>DD38</f>
        <v>0</v>
      </c>
      <c r="DE80">
        <v>34</v>
      </c>
      <c r="DF80">
        <f>DF38</f>
        <v>0</v>
      </c>
      <c r="DG80">
        <v>34</v>
      </c>
      <c r="DH80">
        <f>DH38</f>
        <v>0</v>
      </c>
      <c r="DI80">
        <v>34</v>
      </c>
      <c r="DJ80">
        <f>DJ38</f>
        <v>0</v>
      </c>
      <c r="DK80">
        <v>34</v>
      </c>
      <c r="DL80">
        <f>DL38</f>
        <v>0</v>
      </c>
      <c r="DM80">
        <v>34</v>
      </c>
      <c r="DN80">
        <f>DN38</f>
        <v>0</v>
      </c>
      <c r="DO80">
        <v>34</v>
      </c>
      <c r="DP80">
        <f>DP38</f>
        <v>0</v>
      </c>
      <c r="DQ80">
        <v>34</v>
      </c>
      <c r="DR80">
        <f>DR38</f>
        <v>0</v>
      </c>
      <c r="DS80">
        <v>34</v>
      </c>
      <c r="DT80">
        <f>DT38</f>
        <v>0</v>
      </c>
      <c r="DU80">
        <v>34</v>
      </c>
      <c r="DV80">
        <f>DV38</f>
        <v>0</v>
      </c>
      <c r="DW80">
        <v>34</v>
      </c>
      <c r="DX80">
        <f>DX38</f>
        <v>0</v>
      </c>
      <c r="DY80">
        <v>34</v>
      </c>
      <c r="DZ80">
        <f>DZ38</f>
        <v>0</v>
      </c>
      <c r="EA80">
        <v>34</v>
      </c>
      <c r="EB80">
        <f>EB38</f>
        <v>0</v>
      </c>
      <c r="EC80">
        <v>34</v>
      </c>
      <c r="ED80">
        <f>ED38</f>
        <v>0</v>
      </c>
      <c r="EG80">
        <f>IF(Charts!$B$3="none",E287,IF(BS287="",NA(),BS287))</f>
        <v>0</v>
      </c>
      <c r="EH80">
        <f>IF(Charts!$B$3="none",F287,IF(BT287="",NA(),BT287))</f>
        <v>0</v>
      </c>
      <c r="EI80">
        <f>IF(Charts!$B$3="none",G287,IF(BU287="",NA(),BU287))</f>
        <v>0</v>
      </c>
      <c r="EJ80">
        <f>IF(Charts!$B$3="none",H287,IF(BV287="",NA(),BV287))</f>
        <v>0</v>
      </c>
      <c r="EK80">
        <f>IF(Charts!$B$3="none",I287,IF(BW287="",NA(),BW287))</f>
        <v>0</v>
      </c>
      <c r="EL80">
        <f>IF(Charts!$B$3="none",J287,IF(BX287="",NA(),BX287))</f>
        <v>0</v>
      </c>
      <c r="EM80">
        <f>IF(Charts!$B$3="none",K287,IF(BY287="",NA(),BY287))</f>
        <v>0</v>
      </c>
      <c r="EN80">
        <f>IF(Charts!$B$3="none",L287,IF(BZ287="",NA(),BZ287))</f>
        <v>0</v>
      </c>
      <c r="EO80">
        <f>IF(Charts!$B$3="none",M287,IF(CA287="",NA(),CA287))</f>
        <v>0</v>
      </c>
      <c r="EP80">
        <f>IF(Charts!$B$3="none",N287,IF(CB287="",NA(),CB287))</f>
        <v>0</v>
      </c>
      <c r="EQ80">
        <f>IF(Charts!$B$3="none",O287,IF(CC287="",NA(),CC287))</f>
        <v>0</v>
      </c>
      <c r="ER80">
        <f>IF(Charts!$B$3="none",P287,IF(CD287="",NA(),CD287))</f>
        <v>0</v>
      </c>
      <c r="ES80">
        <f>IF(Charts!$B$3="none",Q287,IF(CE287="",NA(),CE287))</f>
        <v>0</v>
      </c>
      <c r="ET80">
        <f>IF(Charts!$B$3="none",R287,IF(CF287="",NA(),CF287))</f>
        <v>0</v>
      </c>
      <c r="EU80">
        <f>IF(Charts!$B$3="none",S287,IF(CG287="",NA(),CG287))</f>
        <v>0</v>
      </c>
      <c r="EV80">
        <f>IF(Charts!$B$3="none",T287,IF(CH287="",NA(),CH287))</f>
        <v>0</v>
      </c>
      <c r="EW80">
        <f>IF(Charts!$B$3="none",U287,IF(CI287="",NA(),CI287))</f>
        <v>0</v>
      </c>
      <c r="EX80">
        <f>IF(Charts!$B$3="none",V287,IF(CJ287="",NA(),CJ287))</f>
        <v>0</v>
      </c>
      <c r="EY80">
        <f>IF(Charts!$B$3="none",W287,IF(CK287="",NA(),CK287))</f>
        <v>0</v>
      </c>
      <c r="EZ80">
        <f>IF(Charts!$B$3="none",X287,IF(CL287="",NA(),CL287))</f>
        <v>0</v>
      </c>
      <c r="FA80">
        <f>IF(Charts!$B$3="none",Y287,IF(CM287="",NA(),CM287))</f>
        <v>0</v>
      </c>
      <c r="FB80">
        <f>IF(Charts!$B$3="none",Z287,IF(CN287="",NA(),CN287))</f>
        <v>0</v>
      </c>
      <c r="FC80">
        <f>IF(Charts!$B$3="none",AA287,IF(CO287="",NA(),CO287))</f>
        <v>0</v>
      </c>
      <c r="FD80">
        <f>IF(Charts!$B$3="none",AB287,IF(CP287="",NA(),CP287))</f>
        <v>0</v>
      </c>
      <c r="FE80">
        <f>IF(Charts!$B$3="none",AC287,IF(CQ287="",NA(),CQ287))</f>
        <v>0</v>
      </c>
      <c r="FF80">
        <f>IF(Charts!$B$3="none",AD287,IF(CR287="",NA(),CR287))</f>
        <v>0</v>
      </c>
      <c r="FG80">
        <f>IF(Charts!$B$3="none",AE287,IF(CS287="",NA(),CS287))</f>
        <v>0</v>
      </c>
      <c r="FH80">
        <f>IF(Charts!$B$3="none",AF287,IF(CT287="",NA(),CT287))</f>
        <v>0</v>
      </c>
      <c r="FI80">
        <f>IF(Charts!$B$3="none",AG287,IF(CU287="",NA(),CU287))</f>
        <v>0</v>
      </c>
      <c r="FJ80">
        <f>IF(Charts!$B$3="none",AH287,IF(CV287="",NA(),CV287))</f>
        <v>0</v>
      </c>
      <c r="FK80">
        <f>IF(Charts!$B$3="none",AI287,IF(CW287="",NA(),CW287))</f>
        <v>0</v>
      </c>
      <c r="FL80">
        <f>IF(Charts!$B$3="none",AJ287,IF(CX287="",NA(),CX287))</f>
        <v>0</v>
      </c>
      <c r="FM80">
        <f>IF(Charts!$B$3="none",AK287,IF(CY287="",NA(),CY287))</f>
        <v>0</v>
      </c>
      <c r="FN80">
        <f>IF(Charts!$B$3="none",AL287,IF(CZ287="",NA(),CZ287))</f>
        <v>0</v>
      </c>
      <c r="FO80">
        <f>IF(Charts!$B$3="none",AM287,IF(DA287="",NA(),DA287))</f>
        <v>0</v>
      </c>
      <c r="FP80">
        <f>IF(Charts!$B$3="none",AN287,IF(DB287="",NA(),DB287))</f>
        <v>0</v>
      </c>
      <c r="FQ80">
        <f>IF(Charts!$B$3="none",AO287,IF(DC287="",NA(),DC287))</f>
        <v>0</v>
      </c>
      <c r="FR80">
        <f>IF(Charts!$B$3="none",AP287,IF(DD287="",NA(),DD287))</f>
        <v>0</v>
      </c>
      <c r="FS80">
        <f>IF(Charts!$B$3="none",AQ287,IF(DE287="",NA(),DE287))</f>
        <v>0</v>
      </c>
      <c r="FT80">
        <f>IF(Charts!$B$3="none",AR287,IF(DF287="",NA(),DF287))</f>
        <v>0</v>
      </c>
      <c r="FU80">
        <f>IF(Charts!$B$3="none",AS287,IF(DG287="",NA(),DG287))</f>
        <v>0</v>
      </c>
      <c r="FV80">
        <f>IF(Charts!$B$3="none",AT287,IF(DH287="",NA(),DH287))</f>
        <v>0</v>
      </c>
      <c r="FW80">
        <f>IF(Charts!$B$3="none",AU287,IF(DI287="",NA(),DI287))</f>
        <v>0</v>
      </c>
      <c r="FX80">
        <f>IF(Charts!$B$3="none",AV287,IF(DJ287="",NA(),DJ287))</f>
        <v>0</v>
      </c>
      <c r="FY80">
        <f>IF(Charts!$B$3="none",AW287,IF(DK287="",NA(),DK287))</f>
        <v>0</v>
      </c>
      <c r="FZ80">
        <f>IF(Charts!$B$3="none",AX287,IF(DL287="",NA(),DL287))</f>
        <v>0</v>
      </c>
      <c r="GA80">
        <f>IF(Charts!$B$3="none",AY287,IF(DM287="",NA(),DM287))</f>
        <v>0</v>
      </c>
      <c r="GB80">
        <f>IF(Charts!$B$3="none",AZ287,IF(DN287="",NA(),DN287))</f>
        <v>0</v>
      </c>
      <c r="GC80">
        <f>IF(Charts!$B$3="none",BA287,IF(DO287="",NA(),DO287))</f>
        <v>0</v>
      </c>
      <c r="GD80">
        <f>IF(Charts!$B$3="none",BB287,IF(DP287="",NA(),DP287))</f>
        <v>0</v>
      </c>
      <c r="GE80">
        <f>IF(Charts!$B$3="none",BC287,IF(DQ287="",NA(),DQ287))</f>
        <v>0</v>
      </c>
      <c r="GF80">
        <f>IF(Charts!$B$3="none",BD287,IF(DR287="",NA(),DR287))</f>
        <v>0</v>
      </c>
      <c r="GG80">
        <f>IF(Charts!$B$3="none",BE287,IF(DS287="",NA(),DS287))</f>
        <v>0</v>
      </c>
      <c r="GH80">
        <f>IF(Charts!$B$3="none",BF287,IF(DT287="",NA(),DT287))</f>
        <v>0</v>
      </c>
      <c r="GI80">
        <f>IF(Charts!$B$3="none",BG287,IF(DU287="",NA(),DU287))</f>
        <v>0</v>
      </c>
      <c r="GJ80">
        <f>IF(Charts!$B$3="none",BH287,IF(DV287="",NA(),DV287))</f>
        <v>0</v>
      </c>
      <c r="GK80">
        <f>IF(Charts!$B$3="none",BI287,IF(DW287="",NA(),DW287))</f>
        <v>0</v>
      </c>
      <c r="GL80">
        <f>IF(Charts!$B$3="none",BJ287,IF(DX287="",NA(),DX287))</f>
        <v>0</v>
      </c>
      <c r="GM80">
        <f>IF(Charts!$B$3="none",BK287,IF(DY287="",NA(),DY287))</f>
        <v>0</v>
      </c>
      <c r="GN80">
        <f>IF(Charts!$B$3="none",BL287,IF(DZ287="",NA(),DZ287))</f>
        <v>0</v>
      </c>
      <c r="GO80">
        <f>IF(Charts!$B$3="none",BM287,IF(EA287="",NA(),EA287))</f>
        <v>0</v>
      </c>
      <c r="GP80">
        <f>IF(Charts!$B$3="none",BN287,IF(EB287="",NA(),EB287))</f>
        <v>0</v>
      </c>
      <c r="GQ80">
        <f>IF(Charts!$B$3="none",BO287,IF(EC287="",NA(),EC287))</f>
        <v>0</v>
      </c>
      <c r="GR80">
        <f>IF(Charts!$B$3="none",BP287,IF(ED287="",NA(),ED287))</f>
        <v>0</v>
      </c>
    </row>
    <row r="81" spans="5:200">
      <c r="E81">
        <v>35</v>
      </c>
      <c r="F81">
        <f>F39</f>
        <v>0</v>
      </c>
      <c r="G81">
        <v>35</v>
      </c>
      <c r="H81">
        <f>H39</f>
        <v>0</v>
      </c>
      <c r="I81">
        <v>35</v>
      </c>
      <c r="J81">
        <f>J39</f>
        <v>0</v>
      </c>
      <c r="K81">
        <v>35</v>
      </c>
      <c r="L81">
        <f>L39</f>
        <v>0</v>
      </c>
      <c r="M81">
        <v>35</v>
      </c>
      <c r="N81">
        <f>N39</f>
        <v>0</v>
      </c>
      <c r="O81">
        <v>35</v>
      </c>
      <c r="P81">
        <f>P39</f>
        <v>0</v>
      </c>
      <c r="Q81">
        <v>35</v>
      </c>
      <c r="R81">
        <f>R39</f>
        <v>0</v>
      </c>
      <c r="S81">
        <v>35</v>
      </c>
      <c r="T81">
        <f>T39</f>
        <v>0</v>
      </c>
      <c r="U81">
        <v>35</v>
      </c>
      <c r="V81">
        <f>V39</f>
        <v>0</v>
      </c>
      <c r="W81">
        <v>35</v>
      </c>
      <c r="X81">
        <f>X39</f>
        <v>0</v>
      </c>
      <c r="Y81">
        <v>35</v>
      </c>
      <c r="Z81">
        <f>Z39</f>
        <v>0</v>
      </c>
      <c r="AA81">
        <v>35</v>
      </c>
      <c r="AB81">
        <f>AB39</f>
        <v>0</v>
      </c>
      <c r="AC81">
        <v>35</v>
      </c>
      <c r="AD81">
        <f>AD39</f>
        <v>0</v>
      </c>
      <c r="AE81">
        <v>35</v>
      </c>
      <c r="AF81">
        <f>AF39</f>
        <v>0</v>
      </c>
      <c r="AG81">
        <v>35</v>
      </c>
      <c r="AH81">
        <f>AH39</f>
        <v>0</v>
      </c>
      <c r="AI81">
        <v>35</v>
      </c>
      <c r="AJ81">
        <f>AJ39</f>
        <v>0</v>
      </c>
      <c r="AK81">
        <v>35</v>
      </c>
      <c r="AL81">
        <f>AL39</f>
        <v>0</v>
      </c>
      <c r="AM81">
        <v>35</v>
      </c>
      <c r="AN81">
        <f>AN39</f>
        <v>0</v>
      </c>
      <c r="AO81">
        <v>35</v>
      </c>
      <c r="AP81">
        <f>AP39</f>
        <v>0</v>
      </c>
      <c r="AQ81">
        <v>35</v>
      </c>
      <c r="AR81">
        <f>AR39</f>
        <v>0</v>
      </c>
      <c r="AS81">
        <v>35</v>
      </c>
      <c r="AT81">
        <f>AT39</f>
        <v>0</v>
      </c>
      <c r="AU81">
        <v>35</v>
      </c>
      <c r="AV81">
        <f>AV39</f>
        <v>0</v>
      </c>
      <c r="AW81">
        <v>35</v>
      </c>
      <c r="AX81">
        <f>AX39</f>
        <v>0</v>
      </c>
      <c r="AY81">
        <v>35</v>
      </c>
      <c r="AZ81">
        <f>AZ39</f>
        <v>0</v>
      </c>
      <c r="BA81">
        <v>35</v>
      </c>
      <c r="BB81">
        <f>BB39</f>
        <v>0</v>
      </c>
      <c r="BC81">
        <v>35</v>
      </c>
      <c r="BD81">
        <f>BD39</f>
        <v>0</v>
      </c>
      <c r="BE81">
        <v>35</v>
      </c>
      <c r="BF81">
        <f>BF39</f>
        <v>0</v>
      </c>
      <c r="BG81">
        <v>35</v>
      </c>
      <c r="BH81">
        <f>BH39</f>
        <v>0</v>
      </c>
      <c r="BI81">
        <v>35</v>
      </c>
      <c r="BJ81">
        <f>BJ39</f>
        <v>0</v>
      </c>
      <c r="BK81">
        <v>35</v>
      </c>
      <c r="BL81">
        <f>BL39</f>
        <v>0</v>
      </c>
      <c r="BM81">
        <v>35</v>
      </c>
      <c r="BN81">
        <f>BN39</f>
        <v>0</v>
      </c>
      <c r="BO81">
        <v>35</v>
      </c>
      <c r="BP81">
        <f>BP39</f>
        <v>0</v>
      </c>
      <c r="BS81">
        <v>35</v>
      </c>
      <c r="BT81">
        <f>BT39</f>
        <v>0</v>
      </c>
      <c r="BU81">
        <v>35</v>
      </c>
      <c r="BV81">
        <f>BV39</f>
        <v>0</v>
      </c>
      <c r="BW81">
        <v>35</v>
      </c>
      <c r="BX81">
        <f>BX39</f>
        <v>0</v>
      </c>
      <c r="BY81">
        <v>35</v>
      </c>
      <c r="BZ81">
        <f>BZ39</f>
        <v>0</v>
      </c>
      <c r="CA81">
        <v>35</v>
      </c>
      <c r="CB81">
        <f>CB39</f>
        <v>0</v>
      </c>
      <c r="CC81">
        <v>35</v>
      </c>
      <c r="CD81">
        <f>CD39</f>
        <v>0</v>
      </c>
      <c r="CE81">
        <v>35</v>
      </c>
      <c r="CF81">
        <f>CF39</f>
        <v>0</v>
      </c>
      <c r="CG81">
        <v>35</v>
      </c>
      <c r="CH81">
        <f>CH39</f>
        <v>0</v>
      </c>
      <c r="CI81">
        <v>35</v>
      </c>
      <c r="CJ81">
        <f>CJ39</f>
        <v>0</v>
      </c>
      <c r="CK81">
        <v>35</v>
      </c>
      <c r="CL81">
        <f>CL39</f>
        <v>0</v>
      </c>
      <c r="CM81">
        <v>35</v>
      </c>
      <c r="CN81">
        <f>CN39</f>
        <v>0</v>
      </c>
      <c r="CO81">
        <v>35</v>
      </c>
      <c r="CP81">
        <f>CP39</f>
        <v>0</v>
      </c>
      <c r="CQ81">
        <v>35</v>
      </c>
      <c r="CR81">
        <f>CR39</f>
        <v>0</v>
      </c>
      <c r="CS81">
        <v>35</v>
      </c>
      <c r="CT81">
        <f>CT39</f>
        <v>0</v>
      </c>
      <c r="CU81">
        <v>35</v>
      </c>
      <c r="CV81">
        <f>CV39</f>
        <v>0</v>
      </c>
      <c r="CW81">
        <v>35</v>
      </c>
      <c r="CX81">
        <f>CX39</f>
        <v>0</v>
      </c>
      <c r="CY81">
        <v>35</v>
      </c>
      <c r="CZ81">
        <f>CZ39</f>
        <v>0</v>
      </c>
      <c r="DA81">
        <v>35</v>
      </c>
      <c r="DB81">
        <f>DB39</f>
        <v>0</v>
      </c>
      <c r="DC81">
        <v>35</v>
      </c>
      <c r="DD81">
        <f>DD39</f>
        <v>0</v>
      </c>
      <c r="DE81">
        <v>35</v>
      </c>
      <c r="DF81">
        <f>DF39</f>
        <v>0</v>
      </c>
      <c r="DG81">
        <v>35</v>
      </c>
      <c r="DH81">
        <f>DH39</f>
        <v>0</v>
      </c>
      <c r="DI81">
        <v>35</v>
      </c>
      <c r="DJ81">
        <f>DJ39</f>
        <v>0</v>
      </c>
      <c r="DK81">
        <v>35</v>
      </c>
      <c r="DL81">
        <f>DL39</f>
        <v>0</v>
      </c>
      <c r="DM81">
        <v>35</v>
      </c>
      <c r="DN81">
        <f>DN39</f>
        <v>0</v>
      </c>
      <c r="DO81">
        <v>35</v>
      </c>
      <c r="DP81">
        <f>DP39</f>
        <v>0</v>
      </c>
      <c r="DQ81">
        <v>35</v>
      </c>
      <c r="DR81">
        <f>DR39</f>
        <v>0</v>
      </c>
      <c r="DS81">
        <v>35</v>
      </c>
      <c r="DT81">
        <f>DT39</f>
        <v>0</v>
      </c>
      <c r="DU81">
        <v>35</v>
      </c>
      <c r="DV81">
        <f>DV39</f>
        <v>0</v>
      </c>
      <c r="DW81">
        <v>35</v>
      </c>
      <c r="DX81">
        <f>DX39</f>
        <v>0</v>
      </c>
      <c r="DY81">
        <v>35</v>
      </c>
      <c r="DZ81">
        <f>DZ39</f>
        <v>0</v>
      </c>
      <c r="EA81">
        <v>35</v>
      </c>
      <c r="EB81">
        <f>EB39</f>
        <v>0</v>
      </c>
      <c r="EC81">
        <v>35</v>
      </c>
      <c r="ED81">
        <f>ED39</f>
        <v>0</v>
      </c>
      <c r="EG81">
        <f>IF(Charts!$B$3="none",E288,IF(BS288="",NA(),BS288))</f>
        <v>0</v>
      </c>
      <c r="EH81">
        <f>IF(Charts!$B$3="none",F288,IF(BT288="",NA(),BT288))</f>
        <v>0</v>
      </c>
      <c r="EI81">
        <f>IF(Charts!$B$3="none",G288,IF(BU288="",NA(),BU288))</f>
        <v>0</v>
      </c>
      <c r="EJ81">
        <f>IF(Charts!$B$3="none",H288,IF(BV288="",NA(),BV288))</f>
        <v>0</v>
      </c>
      <c r="EK81">
        <f>IF(Charts!$B$3="none",I288,IF(BW288="",NA(),BW288))</f>
        <v>0</v>
      </c>
      <c r="EL81">
        <f>IF(Charts!$B$3="none",J288,IF(BX288="",NA(),BX288))</f>
        <v>0</v>
      </c>
      <c r="EM81">
        <f>IF(Charts!$B$3="none",K288,IF(BY288="",NA(),BY288))</f>
        <v>0</v>
      </c>
      <c r="EN81">
        <f>IF(Charts!$B$3="none",L288,IF(BZ288="",NA(),BZ288))</f>
        <v>0</v>
      </c>
      <c r="EO81">
        <f>IF(Charts!$B$3="none",M288,IF(CA288="",NA(),CA288))</f>
        <v>0</v>
      </c>
      <c r="EP81">
        <f>IF(Charts!$B$3="none",N288,IF(CB288="",NA(),CB288))</f>
        <v>0</v>
      </c>
      <c r="EQ81">
        <f>IF(Charts!$B$3="none",O288,IF(CC288="",NA(),CC288))</f>
        <v>0</v>
      </c>
      <c r="ER81">
        <f>IF(Charts!$B$3="none",P288,IF(CD288="",NA(),CD288))</f>
        <v>0</v>
      </c>
      <c r="ES81">
        <f>IF(Charts!$B$3="none",Q288,IF(CE288="",NA(),CE288))</f>
        <v>0</v>
      </c>
      <c r="ET81">
        <f>IF(Charts!$B$3="none",R288,IF(CF288="",NA(),CF288))</f>
        <v>0</v>
      </c>
      <c r="EU81">
        <f>IF(Charts!$B$3="none",S288,IF(CG288="",NA(),CG288))</f>
        <v>0</v>
      </c>
      <c r="EV81">
        <f>IF(Charts!$B$3="none",T288,IF(CH288="",NA(),CH288))</f>
        <v>0</v>
      </c>
      <c r="EW81">
        <f>IF(Charts!$B$3="none",U288,IF(CI288="",NA(),CI288))</f>
        <v>0</v>
      </c>
      <c r="EX81">
        <f>IF(Charts!$B$3="none",V288,IF(CJ288="",NA(),CJ288))</f>
        <v>0</v>
      </c>
      <c r="EY81">
        <f>IF(Charts!$B$3="none",W288,IF(CK288="",NA(),CK288))</f>
        <v>0</v>
      </c>
      <c r="EZ81">
        <f>IF(Charts!$B$3="none",X288,IF(CL288="",NA(),CL288))</f>
        <v>0</v>
      </c>
      <c r="FA81">
        <f>IF(Charts!$B$3="none",Y288,IF(CM288="",NA(),CM288))</f>
        <v>0</v>
      </c>
      <c r="FB81">
        <f>IF(Charts!$B$3="none",Z288,IF(CN288="",NA(),CN288))</f>
        <v>0</v>
      </c>
      <c r="FC81">
        <f>IF(Charts!$B$3="none",AA288,IF(CO288="",NA(),CO288))</f>
        <v>0</v>
      </c>
      <c r="FD81">
        <f>IF(Charts!$B$3="none",AB288,IF(CP288="",NA(),CP288))</f>
        <v>0</v>
      </c>
      <c r="FE81">
        <f>IF(Charts!$B$3="none",AC288,IF(CQ288="",NA(),CQ288))</f>
        <v>0</v>
      </c>
      <c r="FF81">
        <f>IF(Charts!$B$3="none",AD288,IF(CR288="",NA(),CR288))</f>
        <v>0</v>
      </c>
      <c r="FG81">
        <f>IF(Charts!$B$3="none",AE288,IF(CS288="",NA(),CS288))</f>
        <v>0</v>
      </c>
      <c r="FH81">
        <f>IF(Charts!$B$3="none",AF288,IF(CT288="",NA(),CT288))</f>
        <v>0</v>
      </c>
      <c r="FI81">
        <f>IF(Charts!$B$3="none",AG288,IF(CU288="",NA(),CU288))</f>
        <v>0</v>
      </c>
      <c r="FJ81">
        <f>IF(Charts!$B$3="none",AH288,IF(CV288="",NA(),CV288))</f>
        <v>0</v>
      </c>
      <c r="FK81">
        <f>IF(Charts!$B$3="none",AI288,IF(CW288="",NA(),CW288))</f>
        <v>0</v>
      </c>
      <c r="FL81">
        <f>IF(Charts!$B$3="none",AJ288,IF(CX288="",NA(),CX288))</f>
        <v>0</v>
      </c>
      <c r="FM81">
        <f>IF(Charts!$B$3="none",AK288,IF(CY288="",NA(),CY288))</f>
        <v>0</v>
      </c>
      <c r="FN81">
        <f>IF(Charts!$B$3="none",AL288,IF(CZ288="",NA(),CZ288))</f>
        <v>0</v>
      </c>
      <c r="FO81">
        <f>IF(Charts!$B$3="none",AM288,IF(DA288="",NA(),DA288))</f>
        <v>0</v>
      </c>
      <c r="FP81">
        <f>IF(Charts!$B$3="none",AN288,IF(DB288="",NA(),DB288))</f>
        <v>0</v>
      </c>
      <c r="FQ81">
        <f>IF(Charts!$B$3="none",AO288,IF(DC288="",NA(),DC288))</f>
        <v>0</v>
      </c>
      <c r="FR81">
        <f>IF(Charts!$B$3="none",AP288,IF(DD288="",NA(),DD288))</f>
        <v>0</v>
      </c>
      <c r="FS81">
        <f>IF(Charts!$B$3="none",AQ288,IF(DE288="",NA(),DE288))</f>
        <v>0</v>
      </c>
      <c r="FT81">
        <f>IF(Charts!$B$3="none",AR288,IF(DF288="",NA(),DF288))</f>
        <v>0</v>
      </c>
      <c r="FU81">
        <f>IF(Charts!$B$3="none",AS288,IF(DG288="",NA(),DG288))</f>
        <v>0</v>
      </c>
      <c r="FV81">
        <f>IF(Charts!$B$3="none",AT288,IF(DH288="",NA(),DH288))</f>
        <v>0</v>
      </c>
      <c r="FW81">
        <f>IF(Charts!$B$3="none",AU288,IF(DI288="",NA(),DI288))</f>
        <v>0</v>
      </c>
      <c r="FX81">
        <f>IF(Charts!$B$3="none",AV288,IF(DJ288="",NA(),DJ288))</f>
        <v>0</v>
      </c>
      <c r="FY81">
        <f>IF(Charts!$B$3="none",AW288,IF(DK288="",NA(),DK288))</f>
        <v>0</v>
      </c>
      <c r="FZ81">
        <f>IF(Charts!$B$3="none",AX288,IF(DL288="",NA(),DL288))</f>
        <v>0</v>
      </c>
      <c r="GA81">
        <f>IF(Charts!$B$3="none",AY288,IF(DM288="",NA(),DM288))</f>
        <v>0</v>
      </c>
      <c r="GB81">
        <f>IF(Charts!$B$3="none",AZ288,IF(DN288="",NA(),DN288))</f>
        <v>0</v>
      </c>
      <c r="GC81">
        <f>IF(Charts!$B$3="none",BA288,IF(DO288="",NA(),DO288))</f>
        <v>0</v>
      </c>
      <c r="GD81">
        <f>IF(Charts!$B$3="none",BB288,IF(DP288="",NA(),DP288))</f>
        <v>0</v>
      </c>
      <c r="GE81">
        <f>IF(Charts!$B$3="none",BC288,IF(DQ288="",NA(),DQ288))</f>
        <v>0</v>
      </c>
      <c r="GF81">
        <f>IF(Charts!$B$3="none",BD288,IF(DR288="",NA(),DR288))</f>
        <v>0</v>
      </c>
      <c r="GG81">
        <f>IF(Charts!$B$3="none",BE288,IF(DS288="",NA(),DS288))</f>
        <v>0</v>
      </c>
      <c r="GH81">
        <f>IF(Charts!$B$3="none",BF288,IF(DT288="",NA(),DT288))</f>
        <v>0</v>
      </c>
      <c r="GI81">
        <f>IF(Charts!$B$3="none",BG288,IF(DU288="",NA(),DU288))</f>
        <v>0</v>
      </c>
      <c r="GJ81">
        <f>IF(Charts!$B$3="none",BH288,IF(DV288="",NA(),DV288))</f>
        <v>0</v>
      </c>
      <c r="GK81">
        <f>IF(Charts!$B$3="none",BI288,IF(DW288="",NA(),DW288))</f>
        <v>0</v>
      </c>
      <c r="GL81">
        <f>IF(Charts!$B$3="none",BJ288,IF(DX288="",NA(),DX288))</f>
        <v>0</v>
      </c>
      <c r="GM81">
        <f>IF(Charts!$B$3="none",BK288,IF(DY288="",NA(),DY288))</f>
        <v>0</v>
      </c>
      <c r="GN81">
        <f>IF(Charts!$B$3="none",BL288,IF(DZ288="",NA(),DZ288))</f>
        <v>0</v>
      </c>
      <c r="GO81">
        <f>IF(Charts!$B$3="none",BM288,IF(EA288="",NA(),EA288))</f>
        <v>0</v>
      </c>
      <c r="GP81">
        <f>IF(Charts!$B$3="none",BN288,IF(EB288="",NA(),EB288))</f>
        <v>0</v>
      </c>
      <c r="GQ81">
        <f>IF(Charts!$B$3="none",BO288,IF(EC288="",NA(),EC288))</f>
        <v>0</v>
      </c>
      <c r="GR81">
        <f>IF(Charts!$B$3="none",BP288,IF(ED288="",NA(),ED288))</f>
        <v>0</v>
      </c>
    </row>
    <row r="82" spans="5:200">
      <c r="E82">
        <v>36</v>
      </c>
      <c r="F82">
        <f>F40</f>
        <v>0</v>
      </c>
      <c r="G82">
        <v>36</v>
      </c>
      <c r="H82">
        <f>H40</f>
        <v>0</v>
      </c>
      <c r="I82">
        <v>36</v>
      </c>
      <c r="J82">
        <f>J40</f>
        <v>0</v>
      </c>
      <c r="K82">
        <v>36</v>
      </c>
      <c r="L82">
        <f>L40</f>
        <v>0</v>
      </c>
      <c r="M82">
        <v>36</v>
      </c>
      <c r="N82">
        <f>N40</f>
        <v>0</v>
      </c>
      <c r="O82">
        <v>36</v>
      </c>
      <c r="P82">
        <f>P40</f>
        <v>0</v>
      </c>
      <c r="Q82">
        <v>36</v>
      </c>
      <c r="R82">
        <f>R40</f>
        <v>0</v>
      </c>
      <c r="S82">
        <v>36</v>
      </c>
      <c r="T82">
        <f>T40</f>
        <v>0</v>
      </c>
      <c r="U82">
        <v>36</v>
      </c>
      <c r="V82">
        <f>V40</f>
        <v>0</v>
      </c>
      <c r="W82">
        <v>36</v>
      </c>
      <c r="X82">
        <f>X40</f>
        <v>0</v>
      </c>
      <c r="Y82">
        <v>36</v>
      </c>
      <c r="Z82">
        <f>Z40</f>
        <v>0</v>
      </c>
      <c r="AA82">
        <v>36</v>
      </c>
      <c r="AB82">
        <f>AB40</f>
        <v>0</v>
      </c>
      <c r="AC82">
        <v>36</v>
      </c>
      <c r="AD82">
        <f>AD40</f>
        <v>0</v>
      </c>
      <c r="AE82">
        <v>36</v>
      </c>
      <c r="AF82">
        <f>AF40</f>
        <v>0</v>
      </c>
      <c r="AG82">
        <v>36</v>
      </c>
      <c r="AH82">
        <f>AH40</f>
        <v>0</v>
      </c>
      <c r="AI82">
        <v>36</v>
      </c>
      <c r="AJ82">
        <f>AJ40</f>
        <v>0</v>
      </c>
      <c r="AK82">
        <v>36</v>
      </c>
      <c r="AL82">
        <f>AL40</f>
        <v>0</v>
      </c>
      <c r="AM82">
        <v>36</v>
      </c>
      <c r="AN82">
        <f>AN40</f>
        <v>0</v>
      </c>
      <c r="AO82">
        <v>36</v>
      </c>
      <c r="AP82">
        <f>AP40</f>
        <v>0</v>
      </c>
      <c r="AQ82">
        <v>36</v>
      </c>
      <c r="AR82">
        <f>AR40</f>
        <v>0</v>
      </c>
      <c r="AS82">
        <v>36</v>
      </c>
      <c r="AT82">
        <f>AT40</f>
        <v>0</v>
      </c>
      <c r="AU82">
        <v>36</v>
      </c>
      <c r="AV82">
        <f>AV40</f>
        <v>0</v>
      </c>
      <c r="AW82">
        <v>36</v>
      </c>
      <c r="AX82">
        <f>AX40</f>
        <v>0</v>
      </c>
      <c r="AY82">
        <v>36</v>
      </c>
      <c r="AZ82">
        <f>AZ40</f>
        <v>0</v>
      </c>
      <c r="BA82">
        <v>36</v>
      </c>
      <c r="BB82">
        <f>BB40</f>
        <v>0</v>
      </c>
      <c r="BC82">
        <v>36</v>
      </c>
      <c r="BD82">
        <f>BD40</f>
        <v>0</v>
      </c>
      <c r="BE82">
        <v>36</v>
      </c>
      <c r="BF82">
        <f>BF40</f>
        <v>0</v>
      </c>
      <c r="BG82">
        <v>36</v>
      </c>
      <c r="BH82">
        <f>BH40</f>
        <v>0</v>
      </c>
      <c r="BI82">
        <v>36</v>
      </c>
      <c r="BJ82">
        <f>BJ40</f>
        <v>0</v>
      </c>
      <c r="BK82">
        <v>36</v>
      </c>
      <c r="BL82">
        <f>BL40</f>
        <v>0</v>
      </c>
      <c r="BM82">
        <v>36</v>
      </c>
      <c r="BN82">
        <f>BN40</f>
        <v>0</v>
      </c>
      <c r="BO82">
        <v>36</v>
      </c>
      <c r="BP82">
        <f>BP40</f>
        <v>0</v>
      </c>
      <c r="BS82">
        <v>36</v>
      </c>
      <c r="BT82">
        <f>BT40</f>
        <v>0</v>
      </c>
      <c r="BU82">
        <v>36</v>
      </c>
      <c r="BV82">
        <f>BV40</f>
        <v>0</v>
      </c>
      <c r="BW82">
        <v>36</v>
      </c>
      <c r="BX82">
        <f>BX40</f>
        <v>0</v>
      </c>
      <c r="BY82">
        <v>36</v>
      </c>
      <c r="BZ82">
        <f>BZ40</f>
        <v>0</v>
      </c>
      <c r="CA82">
        <v>36</v>
      </c>
      <c r="CB82">
        <f>CB40</f>
        <v>0</v>
      </c>
      <c r="CC82">
        <v>36</v>
      </c>
      <c r="CD82">
        <f>CD40</f>
        <v>0</v>
      </c>
      <c r="CE82">
        <v>36</v>
      </c>
      <c r="CF82">
        <f>CF40</f>
        <v>0</v>
      </c>
      <c r="CG82">
        <v>36</v>
      </c>
      <c r="CH82">
        <f>CH40</f>
        <v>0</v>
      </c>
      <c r="CI82">
        <v>36</v>
      </c>
      <c r="CJ82">
        <f>CJ40</f>
        <v>0</v>
      </c>
      <c r="CK82">
        <v>36</v>
      </c>
      <c r="CL82">
        <f>CL40</f>
        <v>0</v>
      </c>
      <c r="CM82">
        <v>36</v>
      </c>
      <c r="CN82">
        <f>CN40</f>
        <v>0</v>
      </c>
      <c r="CO82">
        <v>36</v>
      </c>
      <c r="CP82">
        <f>CP40</f>
        <v>0</v>
      </c>
      <c r="CQ82">
        <v>36</v>
      </c>
      <c r="CR82">
        <f>CR40</f>
        <v>0</v>
      </c>
      <c r="CS82">
        <v>36</v>
      </c>
      <c r="CT82">
        <f>CT40</f>
        <v>0</v>
      </c>
      <c r="CU82">
        <v>36</v>
      </c>
      <c r="CV82">
        <f>CV40</f>
        <v>0</v>
      </c>
      <c r="CW82">
        <v>36</v>
      </c>
      <c r="CX82">
        <f>CX40</f>
        <v>0</v>
      </c>
      <c r="CY82">
        <v>36</v>
      </c>
      <c r="CZ82">
        <f>CZ40</f>
        <v>0</v>
      </c>
      <c r="DA82">
        <v>36</v>
      </c>
      <c r="DB82">
        <f>DB40</f>
        <v>0</v>
      </c>
      <c r="DC82">
        <v>36</v>
      </c>
      <c r="DD82">
        <f>DD40</f>
        <v>0</v>
      </c>
      <c r="DE82">
        <v>36</v>
      </c>
      <c r="DF82">
        <f>DF40</f>
        <v>0</v>
      </c>
      <c r="DG82">
        <v>36</v>
      </c>
      <c r="DH82">
        <f>DH40</f>
        <v>0</v>
      </c>
      <c r="DI82">
        <v>36</v>
      </c>
      <c r="DJ82">
        <f>DJ40</f>
        <v>0</v>
      </c>
      <c r="DK82">
        <v>36</v>
      </c>
      <c r="DL82">
        <f>DL40</f>
        <v>0</v>
      </c>
      <c r="DM82">
        <v>36</v>
      </c>
      <c r="DN82">
        <f>DN40</f>
        <v>0</v>
      </c>
      <c r="DO82">
        <v>36</v>
      </c>
      <c r="DP82">
        <f>DP40</f>
        <v>0</v>
      </c>
      <c r="DQ82">
        <v>36</v>
      </c>
      <c r="DR82">
        <f>DR40</f>
        <v>0</v>
      </c>
      <c r="DS82">
        <v>36</v>
      </c>
      <c r="DT82">
        <f>DT40</f>
        <v>0</v>
      </c>
      <c r="DU82">
        <v>36</v>
      </c>
      <c r="DV82">
        <f>DV40</f>
        <v>0</v>
      </c>
      <c r="DW82">
        <v>36</v>
      </c>
      <c r="DX82">
        <f>DX40</f>
        <v>0</v>
      </c>
      <c r="DY82">
        <v>36</v>
      </c>
      <c r="DZ82">
        <f>DZ40</f>
        <v>0</v>
      </c>
      <c r="EA82">
        <v>36</v>
      </c>
      <c r="EB82">
        <f>EB40</f>
        <v>0</v>
      </c>
      <c r="EC82">
        <v>36</v>
      </c>
      <c r="ED82">
        <f>ED40</f>
        <v>0</v>
      </c>
      <c r="EG82">
        <f>IF(Charts!$B$3="none",E289,IF(BS289="",NA(),BS289))</f>
        <v>0</v>
      </c>
      <c r="EH82">
        <f>IF(Charts!$B$3="none",F289,IF(BT289="",NA(),BT289))</f>
        <v>0</v>
      </c>
      <c r="EI82">
        <f>IF(Charts!$B$3="none",G289,IF(BU289="",NA(),BU289))</f>
        <v>0</v>
      </c>
      <c r="EJ82">
        <f>IF(Charts!$B$3="none",H289,IF(BV289="",NA(),BV289))</f>
        <v>0</v>
      </c>
      <c r="EK82">
        <f>IF(Charts!$B$3="none",I289,IF(BW289="",NA(),BW289))</f>
        <v>0</v>
      </c>
      <c r="EL82">
        <f>IF(Charts!$B$3="none",J289,IF(BX289="",NA(),BX289))</f>
        <v>0</v>
      </c>
      <c r="EM82">
        <f>IF(Charts!$B$3="none",K289,IF(BY289="",NA(),BY289))</f>
        <v>0</v>
      </c>
      <c r="EN82">
        <f>IF(Charts!$B$3="none",L289,IF(BZ289="",NA(),BZ289))</f>
        <v>0</v>
      </c>
      <c r="EO82">
        <f>IF(Charts!$B$3="none",M289,IF(CA289="",NA(),CA289))</f>
        <v>0</v>
      </c>
      <c r="EP82">
        <f>IF(Charts!$B$3="none",N289,IF(CB289="",NA(),CB289))</f>
        <v>0</v>
      </c>
      <c r="EQ82">
        <f>IF(Charts!$B$3="none",O289,IF(CC289="",NA(),CC289))</f>
        <v>0</v>
      </c>
      <c r="ER82">
        <f>IF(Charts!$B$3="none",P289,IF(CD289="",NA(),CD289))</f>
        <v>0</v>
      </c>
      <c r="ES82">
        <f>IF(Charts!$B$3="none",Q289,IF(CE289="",NA(),CE289))</f>
        <v>0</v>
      </c>
      <c r="ET82">
        <f>IF(Charts!$B$3="none",R289,IF(CF289="",NA(),CF289))</f>
        <v>0</v>
      </c>
      <c r="EU82">
        <f>IF(Charts!$B$3="none",S289,IF(CG289="",NA(),CG289))</f>
        <v>0</v>
      </c>
      <c r="EV82">
        <f>IF(Charts!$B$3="none",T289,IF(CH289="",NA(),CH289))</f>
        <v>0</v>
      </c>
      <c r="EW82">
        <f>IF(Charts!$B$3="none",U289,IF(CI289="",NA(),CI289))</f>
        <v>0</v>
      </c>
      <c r="EX82">
        <f>IF(Charts!$B$3="none",V289,IF(CJ289="",NA(),CJ289))</f>
        <v>0</v>
      </c>
      <c r="EY82">
        <f>IF(Charts!$B$3="none",W289,IF(CK289="",NA(),CK289))</f>
        <v>0</v>
      </c>
      <c r="EZ82">
        <f>IF(Charts!$B$3="none",X289,IF(CL289="",NA(),CL289))</f>
        <v>0</v>
      </c>
      <c r="FA82">
        <f>IF(Charts!$B$3="none",Y289,IF(CM289="",NA(),CM289))</f>
        <v>0</v>
      </c>
      <c r="FB82">
        <f>IF(Charts!$B$3="none",Z289,IF(CN289="",NA(),CN289))</f>
        <v>0</v>
      </c>
      <c r="FC82">
        <f>IF(Charts!$B$3="none",AA289,IF(CO289="",NA(),CO289))</f>
        <v>0</v>
      </c>
      <c r="FD82">
        <f>IF(Charts!$B$3="none",AB289,IF(CP289="",NA(),CP289))</f>
        <v>0</v>
      </c>
      <c r="FE82">
        <f>IF(Charts!$B$3="none",AC289,IF(CQ289="",NA(),CQ289))</f>
        <v>0</v>
      </c>
      <c r="FF82">
        <f>IF(Charts!$B$3="none",AD289,IF(CR289="",NA(),CR289))</f>
        <v>0</v>
      </c>
      <c r="FG82">
        <f>IF(Charts!$B$3="none",AE289,IF(CS289="",NA(),CS289))</f>
        <v>0</v>
      </c>
      <c r="FH82">
        <f>IF(Charts!$B$3="none",AF289,IF(CT289="",NA(),CT289))</f>
        <v>0</v>
      </c>
      <c r="FI82">
        <f>IF(Charts!$B$3="none",AG289,IF(CU289="",NA(),CU289))</f>
        <v>0</v>
      </c>
      <c r="FJ82">
        <f>IF(Charts!$B$3="none",AH289,IF(CV289="",NA(),CV289))</f>
        <v>0</v>
      </c>
      <c r="FK82">
        <f>IF(Charts!$B$3="none",AI289,IF(CW289="",NA(),CW289))</f>
        <v>0</v>
      </c>
      <c r="FL82">
        <f>IF(Charts!$B$3="none",AJ289,IF(CX289="",NA(),CX289))</f>
        <v>0</v>
      </c>
      <c r="FM82">
        <f>IF(Charts!$B$3="none",AK289,IF(CY289="",NA(),CY289))</f>
        <v>0</v>
      </c>
      <c r="FN82">
        <f>IF(Charts!$B$3="none",AL289,IF(CZ289="",NA(),CZ289))</f>
        <v>0</v>
      </c>
      <c r="FO82">
        <f>IF(Charts!$B$3="none",AM289,IF(DA289="",NA(),DA289))</f>
        <v>0</v>
      </c>
      <c r="FP82">
        <f>IF(Charts!$B$3="none",AN289,IF(DB289="",NA(),DB289))</f>
        <v>0</v>
      </c>
      <c r="FQ82">
        <f>IF(Charts!$B$3="none",AO289,IF(DC289="",NA(),DC289))</f>
        <v>0</v>
      </c>
      <c r="FR82">
        <f>IF(Charts!$B$3="none",AP289,IF(DD289="",NA(),DD289))</f>
        <v>0</v>
      </c>
      <c r="FS82">
        <f>IF(Charts!$B$3="none",AQ289,IF(DE289="",NA(),DE289))</f>
        <v>0</v>
      </c>
      <c r="FT82">
        <f>IF(Charts!$B$3="none",AR289,IF(DF289="",NA(),DF289))</f>
        <v>0</v>
      </c>
      <c r="FU82">
        <f>IF(Charts!$B$3="none",AS289,IF(DG289="",NA(),DG289))</f>
        <v>0</v>
      </c>
      <c r="FV82">
        <f>IF(Charts!$B$3="none",AT289,IF(DH289="",NA(),DH289))</f>
        <v>0</v>
      </c>
      <c r="FW82">
        <f>IF(Charts!$B$3="none",AU289,IF(DI289="",NA(),DI289))</f>
        <v>0</v>
      </c>
      <c r="FX82">
        <f>IF(Charts!$B$3="none",AV289,IF(DJ289="",NA(),DJ289))</f>
        <v>0</v>
      </c>
      <c r="FY82">
        <f>IF(Charts!$B$3="none",AW289,IF(DK289="",NA(),DK289))</f>
        <v>0</v>
      </c>
      <c r="FZ82">
        <f>IF(Charts!$B$3="none",AX289,IF(DL289="",NA(),DL289))</f>
        <v>0</v>
      </c>
      <c r="GA82">
        <f>IF(Charts!$B$3="none",AY289,IF(DM289="",NA(),DM289))</f>
        <v>0</v>
      </c>
      <c r="GB82">
        <f>IF(Charts!$B$3="none",AZ289,IF(DN289="",NA(),DN289))</f>
        <v>0</v>
      </c>
      <c r="GC82">
        <f>IF(Charts!$B$3="none",BA289,IF(DO289="",NA(),DO289))</f>
        <v>0</v>
      </c>
      <c r="GD82">
        <f>IF(Charts!$B$3="none",BB289,IF(DP289="",NA(),DP289))</f>
        <v>0</v>
      </c>
      <c r="GE82">
        <f>IF(Charts!$B$3="none",BC289,IF(DQ289="",NA(),DQ289))</f>
        <v>0</v>
      </c>
      <c r="GF82">
        <f>IF(Charts!$B$3="none",BD289,IF(DR289="",NA(),DR289))</f>
        <v>0</v>
      </c>
      <c r="GG82">
        <f>IF(Charts!$B$3="none",BE289,IF(DS289="",NA(),DS289))</f>
        <v>0</v>
      </c>
      <c r="GH82">
        <f>IF(Charts!$B$3="none",BF289,IF(DT289="",NA(),DT289))</f>
        <v>0</v>
      </c>
      <c r="GI82">
        <f>IF(Charts!$B$3="none",BG289,IF(DU289="",NA(),DU289))</f>
        <v>0</v>
      </c>
      <c r="GJ82">
        <f>IF(Charts!$B$3="none",BH289,IF(DV289="",NA(),DV289))</f>
        <v>0</v>
      </c>
      <c r="GK82">
        <f>IF(Charts!$B$3="none",BI289,IF(DW289="",NA(),DW289))</f>
        <v>0</v>
      </c>
      <c r="GL82">
        <f>IF(Charts!$B$3="none",BJ289,IF(DX289="",NA(),DX289))</f>
        <v>0</v>
      </c>
      <c r="GM82">
        <f>IF(Charts!$B$3="none",BK289,IF(DY289="",NA(),DY289))</f>
        <v>0</v>
      </c>
      <c r="GN82">
        <f>IF(Charts!$B$3="none",BL289,IF(DZ289="",NA(),DZ289))</f>
        <v>0</v>
      </c>
      <c r="GO82">
        <f>IF(Charts!$B$3="none",BM289,IF(EA289="",NA(),EA289))</f>
        <v>0</v>
      </c>
      <c r="GP82">
        <f>IF(Charts!$B$3="none",BN289,IF(EB289="",NA(),EB289))</f>
        <v>0</v>
      </c>
      <c r="GQ82">
        <f>IF(Charts!$B$3="none",BO289,IF(EC289="",NA(),EC289))</f>
        <v>0</v>
      </c>
      <c r="GR82">
        <f>IF(Charts!$B$3="none",BP289,IF(ED289="",NA(),ED289))</f>
        <v>0</v>
      </c>
    </row>
    <row r="83" spans="5:200">
      <c r="E83">
        <v>37</v>
      </c>
      <c r="F83">
        <f>F41</f>
        <v>0</v>
      </c>
      <c r="G83">
        <v>37</v>
      </c>
      <c r="H83">
        <f>H41</f>
        <v>0</v>
      </c>
      <c r="I83">
        <v>37</v>
      </c>
      <c r="J83">
        <f>J41</f>
        <v>0</v>
      </c>
      <c r="K83">
        <v>37</v>
      </c>
      <c r="L83">
        <f>L41</f>
        <v>0</v>
      </c>
      <c r="M83">
        <v>37</v>
      </c>
      <c r="N83">
        <f>N41</f>
        <v>0</v>
      </c>
      <c r="O83">
        <v>37</v>
      </c>
      <c r="P83">
        <f>P41</f>
        <v>0</v>
      </c>
      <c r="Q83">
        <v>37</v>
      </c>
      <c r="R83">
        <f>R41</f>
        <v>0</v>
      </c>
      <c r="S83">
        <v>37</v>
      </c>
      <c r="T83">
        <f>T41</f>
        <v>0</v>
      </c>
      <c r="U83">
        <v>37</v>
      </c>
      <c r="V83">
        <f>V41</f>
        <v>0</v>
      </c>
      <c r="W83">
        <v>37</v>
      </c>
      <c r="X83">
        <f>X41</f>
        <v>0</v>
      </c>
      <c r="Y83">
        <v>37</v>
      </c>
      <c r="Z83">
        <f>Z41</f>
        <v>0</v>
      </c>
      <c r="AA83">
        <v>37</v>
      </c>
      <c r="AB83">
        <f>AB41</f>
        <v>0</v>
      </c>
      <c r="AC83">
        <v>37</v>
      </c>
      <c r="AD83">
        <f>AD41</f>
        <v>0</v>
      </c>
      <c r="AE83">
        <v>37</v>
      </c>
      <c r="AF83">
        <f>AF41</f>
        <v>0</v>
      </c>
      <c r="AG83">
        <v>37</v>
      </c>
      <c r="AH83">
        <f>AH41</f>
        <v>0</v>
      </c>
      <c r="AI83">
        <v>37</v>
      </c>
      <c r="AJ83">
        <f>AJ41</f>
        <v>0</v>
      </c>
      <c r="AK83">
        <v>37</v>
      </c>
      <c r="AL83">
        <f>AL41</f>
        <v>0</v>
      </c>
      <c r="AM83">
        <v>37</v>
      </c>
      <c r="AN83">
        <f>AN41</f>
        <v>0</v>
      </c>
      <c r="AO83">
        <v>37</v>
      </c>
      <c r="AP83">
        <f>AP41</f>
        <v>0</v>
      </c>
      <c r="AQ83">
        <v>37</v>
      </c>
      <c r="AR83">
        <f>AR41</f>
        <v>0</v>
      </c>
      <c r="AS83">
        <v>37</v>
      </c>
      <c r="AT83">
        <f>AT41</f>
        <v>0</v>
      </c>
      <c r="AU83">
        <v>37</v>
      </c>
      <c r="AV83">
        <f>AV41</f>
        <v>0</v>
      </c>
      <c r="AW83">
        <v>37</v>
      </c>
      <c r="AX83">
        <f>AX41</f>
        <v>0</v>
      </c>
      <c r="AY83">
        <v>37</v>
      </c>
      <c r="AZ83">
        <f>AZ41</f>
        <v>0</v>
      </c>
      <c r="BA83">
        <v>37</v>
      </c>
      <c r="BB83">
        <f>BB41</f>
        <v>0</v>
      </c>
      <c r="BC83">
        <v>37</v>
      </c>
      <c r="BD83">
        <f>BD41</f>
        <v>0</v>
      </c>
      <c r="BE83">
        <v>37</v>
      </c>
      <c r="BF83">
        <f>BF41</f>
        <v>0</v>
      </c>
      <c r="BG83">
        <v>37</v>
      </c>
      <c r="BH83">
        <f>BH41</f>
        <v>0</v>
      </c>
      <c r="BI83">
        <v>37</v>
      </c>
      <c r="BJ83">
        <f>BJ41</f>
        <v>0</v>
      </c>
      <c r="BK83">
        <v>37</v>
      </c>
      <c r="BL83">
        <f>BL41</f>
        <v>0</v>
      </c>
      <c r="BM83">
        <v>37</v>
      </c>
      <c r="BN83">
        <f>BN41</f>
        <v>0</v>
      </c>
      <c r="BO83">
        <v>37</v>
      </c>
      <c r="BP83">
        <f>BP41</f>
        <v>0</v>
      </c>
      <c r="BS83">
        <v>37</v>
      </c>
      <c r="BT83">
        <f>BT41</f>
        <v>0</v>
      </c>
      <c r="BU83">
        <v>37</v>
      </c>
      <c r="BV83">
        <f>BV41</f>
        <v>0</v>
      </c>
      <c r="BW83">
        <v>37</v>
      </c>
      <c r="BX83">
        <f>BX41</f>
        <v>0</v>
      </c>
      <c r="BY83">
        <v>37</v>
      </c>
      <c r="BZ83">
        <f>BZ41</f>
        <v>0</v>
      </c>
      <c r="CA83">
        <v>37</v>
      </c>
      <c r="CB83">
        <f>CB41</f>
        <v>0</v>
      </c>
      <c r="CC83">
        <v>37</v>
      </c>
      <c r="CD83">
        <f>CD41</f>
        <v>0</v>
      </c>
      <c r="CE83">
        <v>37</v>
      </c>
      <c r="CF83">
        <f>CF41</f>
        <v>0</v>
      </c>
      <c r="CG83">
        <v>37</v>
      </c>
      <c r="CH83">
        <f>CH41</f>
        <v>0</v>
      </c>
      <c r="CI83">
        <v>37</v>
      </c>
      <c r="CJ83">
        <f>CJ41</f>
        <v>0</v>
      </c>
      <c r="CK83">
        <v>37</v>
      </c>
      <c r="CL83">
        <f>CL41</f>
        <v>0</v>
      </c>
      <c r="CM83">
        <v>37</v>
      </c>
      <c r="CN83">
        <f>CN41</f>
        <v>0</v>
      </c>
      <c r="CO83">
        <v>37</v>
      </c>
      <c r="CP83">
        <f>CP41</f>
        <v>0</v>
      </c>
      <c r="CQ83">
        <v>37</v>
      </c>
      <c r="CR83">
        <f>CR41</f>
        <v>0</v>
      </c>
      <c r="CS83">
        <v>37</v>
      </c>
      <c r="CT83">
        <f>CT41</f>
        <v>0</v>
      </c>
      <c r="CU83">
        <v>37</v>
      </c>
      <c r="CV83">
        <f>CV41</f>
        <v>0</v>
      </c>
      <c r="CW83">
        <v>37</v>
      </c>
      <c r="CX83">
        <f>CX41</f>
        <v>0</v>
      </c>
      <c r="CY83">
        <v>37</v>
      </c>
      <c r="CZ83">
        <f>CZ41</f>
        <v>0</v>
      </c>
      <c r="DA83">
        <v>37</v>
      </c>
      <c r="DB83">
        <f>DB41</f>
        <v>0</v>
      </c>
      <c r="DC83">
        <v>37</v>
      </c>
      <c r="DD83">
        <f>DD41</f>
        <v>0</v>
      </c>
      <c r="DE83">
        <v>37</v>
      </c>
      <c r="DF83">
        <f>DF41</f>
        <v>0</v>
      </c>
      <c r="DG83">
        <v>37</v>
      </c>
      <c r="DH83">
        <f>DH41</f>
        <v>0</v>
      </c>
      <c r="DI83">
        <v>37</v>
      </c>
      <c r="DJ83">
        <f>DJ41</f>
        <v>0</v>
      </c>
      <c r="DK83">
        <v>37</v>
      </c>
      <c r="DL83">
        <f>DL41</f>
        <v>0</v>
      </c>
      <c r="DM83">
        <v>37</v>
      </c>
      <c r="DN83">
        <f>DN41</f>
        <v>0</v>
      </c>
      <c r="DO83">
        <v>37</v>
      </c>
      <c r="DP83">
        <f>DP41</f>
        <v>0</v>
      </c>
      <c r="DQ83">
        <v>37</v>
      </c>
      <c r="DR83">
        <f>DR41</f>
        <v>0</v>
      </c>
      <c r="DS83">
        <v>37</v>
      </c>
      <c r="DT83">
        <f>DT41</f>
        <v>0</v>
      </c>
      <c r="DU83">
        <v>37</v>
      </c>
      <c r="DV83">
        <f>DV41</f>
        <v>0</v>
      </c>
      <c r="DW83">
        <v>37</v>
      </c>
      <c r="DX83">
        <f>DX41</f>
        <v>0</v>
      </c>
      <c r="DY83">
        <v>37</v>
      </c>
      <c r="DZ83">
        <f>DZ41</f>
        <v>0</v>
      </c>
      <c r="EA83">
        <v>37</v>
      </c>
      <c r="EB83">
        <f>EB41</f>
        <v>0</v>
      </c>
      <c r="EC83">
        <v>37</v>
      </c>
      <c r="ED83">
        <f>ED41</f>
        <v>0</v>
      </c>
      <c r="EG83">
        <f>IF(Charts!$B$3="none",E290,IF(BS290="",NA(),BS290))</f>
        <v>0</v>
      </c>
      <c r="EH83">
        <f>IF(Charts!$B$3="none",F290,IF(BT290="",NA(),BT290))</f>
        <v>0</v>
      </c>
      <c r="EI83">
        <f>IF(Charts!$B$3="none",G290,IF(BU290="",NA(),BU290))</f>
        <v>0</v>
      </c>
      <c r="EJ83">
        <f>IF(Charts!$B$3="none",H290,IF(BV290="",NA(),BV290))</f>
        <v>0</v>
      </c>
      <c r="EK83">
        <f>IF(Charts!$B$3="none",I290,IF(BW290="",NA(),BW290))</f>
        <v>0</v>
      </c>
      <c r="EL83">
        <f>IF(Charts!$B$3="none",J290,IF(BX290="",NA(),BX290))</f>
        <v>0</v>
      </c>
      <c r="EM83">
        <f>IF(Charts!$B$3="none",K290,IF(BY290="",NA(),BY290))</f>
        <v>0</v>
      </c>
      <c r="EN83">
        <f>IF(Charts!$B$3="none",L290,IF(BZ290="",NA(),BZ290))</f>
        <v>0</v>
      </c>
      <c r="EO83">
        <f>IF(Charts!$B$3="none",M290,IF(CA290="",NA(),CA290))</f>
        <v>0</v>
      </c>
      <c r="EP83">
        <f>IF(Charts!$B$3="none",N290,IF(CB290="",NA(),CB290))</f>
        <v>0</v>
      </c>
      <c r="EQ83">
        <f>IF(Charts!$B$3="none",O290,IF(CC290="",NA(),CC290))</f>
        <v>0</v>
      </c>
      <c r="ER83">
        <f>IF(Charts!$B$3="none",P290,IF(CD290="",NA(),CD290))</f>
        <v>0</v>
      </c>
      <c r="ES83">
        <f>IF(Charts!$B$3="none",Q290,IF(CE290="",NA(),CE290))</f>
        <v>0</v>
      </c>
      <c r="ET83">
        <f>IF(Charts!$B$3="none",R290,IF(CF290="",NA(),CF290))</f>
        <v>0</v>
      </c>
      <c r="EU83">
        <f>IF(Charts!$B$3="none",S290,IF(CG290="",NA(),CG290))</f>
        <v>0</v>
      </c>
      <c r="EV83">
        <f>IF(Charts!$B$3="none",T290,IF(CH290="",NA(),CH290))</f>
        <v>0</v>
      </c>
      <c r="EW83">
        <f>IF(Charts!$B$3="none",U290,IF(CI290="",NA(),CI290))</f>
        <v>0</v>
      </c>
      <c r="EX83">
        <f>IF(Charts!$B$3="none",V290,IF(CJ290="",NA(),CJ290))</f>
        <v>0</v>
      </c>
      <c r="EY83">
        <f>IF(Charts!$B$3="none",W290,IF(CK290="",NA(),CK290))</f>
        <v>0</v>
      </c>
      <c r="EZ83">
        <f>IF(Charts!$B$3="none",X290,IF(CL290="",NA(),CL290))</f>
        <v>0</v>
      </c>
      <c r="FA83">
        <f>IF(Charts!$B$3="none",Y290,IF(CM290="",NA(),CM290))</f>
        <v>0</v>
      </c>
      <c r="FB83">
        <f>IF(Charts!$B$3="none",Z290,IF(CN290="",NA(),CN290))</f>
        <v>0</v>
      </c>
      <c r="FC83">
        <f>IF(Charts!$B$3="none",AA290,IF(CO290="",NA(),CO290))</f>
        <v>0</v>
      </c>
      <c r="FD83">
        <f>IF(Charts!$B$3="none",AB290,IF(CP290="",NA(),CP290))</f>
        <v>0</v>
      </c>
      <c r="FE83">
        <f>IF(Charts!$B$3="none",AC290,IF(CQ290="",NA(),CQ290))</f>
        <v>0</v>
      </c>
      <c r="FF83">
        <f>IF(Charts!$B$3="none",AD290,IF(CR290="",NA(),CR290))</f>
        <v>0</v>
      </c>
      <c r="FG83">
        <f>IF(Charts!$B$3="none",AE290,IF(CS290="",NA(),CS290))</f>
        <v>0</v>
      </c>
      <c r="FH83">
        <f>IF(Charts!$B$3="none",AF290,IF(CT290="",NA(),CT290))</f>
        <v>0</v>
      </c>
      <c r="FI83">
        <f>IF(Charts!$B$3="none",AG290,IF(CU290="",NA(),CU290))</f>
        <v>0</v>
      </c>
      <c r="FJ83">
        <f>IF(Charts!$B$3="none",AH290,IF(CV290="",NA(),CV290))</f>
        <v>0</v>
      </c>
      <c r="FK83">
        <f>IF(Charts!$B$3="none",AI290,IF(CW290="",NA(),CW290))</f>
        <v>0</v>
      </c>
      <c r="FL83">
        <f>IF(Charts!$B$3="none",AJ290,IF(CX290="",NA(),CX290))</f>
        <v>0</v>
      </c>
      <c r="FM83">
        <f>IF(Charts!$B$3="none",AK290,IF(CY290="",NA(),CY290))</f>
        <v>0</v>
      </c>
      <c r="FN83">
        <f>IF(Charts!$B$3="none",AL290,IF(CZ290="",NA(),CZ290))</f>
        <v>0</v>
      </c>
      <c r="FO83">
        <f>IF(Charts!$B$3="none",AM290,IF(DA290="",NA(),DA290))</f>
        <v>0</v>
      </c>
      <c r="FP83">
        <f>IF(Charts!$B$3="none",AN290,IF(DB290="",NA(),DB290))</f>
        <v>0</v>
      </c>
      <c r="FQ83">
        <f>IF(Charts!$B$3="none",AO290,IF(DC290="",NA(),DC290))</f>
        <v>0</v>
      </c>
      <c r="FR83">
        <f>IF(Charts!$B$3="none",AP290,IF(DD290="",NA(),DD290))</f>
        <v>0</v>
      </c>
      <c r="FS83">
        <f>IF(Charts!$B$3="none",AQ290,IF(DE290="",NA(),DE290))</f>
        <v>0</v>
      </c>
      <c r="FT83">
        <f>IF(Charts!$B$3="none",AR290,IF(DF290="",NA(),DF290))</f>
        <v>0</v>
      </c>
      <c r="FU83">
        <f>IF(Charts!$B$3="none",AS290,IF(DG290="",NA(),DG290))</f>
        <v>0</v>
      </c>
      <c r="FV83">
        <f>IF(Charts!$B$3="none",AT290,IF(DH290="",NA(),DH290))</f>
        <v>0</v>
      </c>
      <c r="FW83">
        <f>IF(Charts!$B$3="none",AU290,IF(DI290="",NA(),DI290))</f>
        <v>0</v>
      </c>
      <c r="FX83">
        <f>IF(Charts!$B$3="none",AV290,IF(DJ290="",NA(),DJ290))</f>
        <v>0</v>
      </c>
      <c r="FY83">
        <f>IF(Charts!$B$3="none",AW290,IF(DK290="",NA(),DK290))</f>
        <v>0</v>
      </c>
      <c r="FZ83">
        <f>IF(Charts!$B$3="none",AX290,IF(DL290="",NA(),DL290))</f>
        <v>0</v>
      </c>
      <c r="GA83">
        <f>IF(Charts!$B$3="none",AY290,IF(DM290="",NA(),DM290))</f>
        <v>0</v>
      </c>
      <c r="GB83">
        <f>IF(Charts!$B$3="none",AZ290,IF(DN290="",NA(),DN290))</f>
        <v>0</v>
      </c>
      <c r="GC83">
        <f>IF(Charts!$B$3="none",BA290,IF(DO290="",NA(),DO290))</f>
        <v>0</v>
      </c>
      <c r="GD83">
        <f>IF(Charts!$B$3="none",BB290,IF(DP290="",NA(),DP290))</f>
        <v>0</v>
      </c>
      <c r="GE83">
        <f>IF(Charts!$B$3="none",BC290,IF(DQ290="",NA(),DQ290))</f>
        <v>0</v>
      </c>
      <c r="GF83">
        <f>IF(Charts!$B$3="none",BD290,IF(DR290="",NA(),DR290))</f>
        <v>0</v>
      </c>
      <c r="GG83">
        <f>IF(Charts!$B$3="none",BE290,IF(DS290="",NA(),DS290))</f>
        <v>0</v>
      </c>
      <c r="GH83">
        <f>IF(Charts!$B$3="none",BF290,IF(DT290="",NA(),DT290))</f>
        <v>0</v>
      </c>
      <c r="GI83">
        <f>IF(Charts!$B$3="none",BG290,IF(DU290="",NA(),DU290))</f>
        <v>0</v>
      </c>
      <c r="GJ83">
        <f>IF(Charts!$B$3="none",BH290,IF(DV290="",NA(),DV290))</f>
        <v>0</v>
      </c>
      <c r="GK83">
        <f>IF(Charts!$B$3="none",BI290,IF(DW290="",NA(),DW290))</f>
        <v>0</v>
      </c>
      <c r="GL83">
        <f>IF(Charts!$B$3="none",BJ290,IF(DX290="",NA(),DX290))</f>
        <v>0</v>
      </c>
      <c r="GM83">
        <f>IF(Charts!$B$3="none",BK290,IF(DY290="",NA(),DY290))</f>
        <v>0</v>
      </c>
      <c r="GN83">
        <f>IF(Charts!$B$3="none",BL290,IF(DZ290="",NA(),DZ290))</f>
        <v>0</v>
      </c>
      <c r="GO83">
        <f>IF(Charts!$B$3="none",BM290,IF(EA290="",NA(),EA290))</f>
        <v>0</v>
      </c>
      <c r="GP83">
        <f>IF(Charts!$B$3="none",BN290,IF(EB290="",NA(),EB290))</f>
        <v>0</v>
      </c>
      <c r="GQ83">
        <f>IF(Charts!$B$3="none",BO290,IF(EC290="",NA(),EC290))</f>
        <v>0</v>
      </c>
      <c r="GR83">
        <f>IF(Charts!$B$3="none",BP290,IF(ED290="",NA(),ED290))</f>
        <v>0</v>
      </c>
    </row>
    <row r="84" spans="5:200">
      <c r="E84">
        <v>38</v>
      </c>
      <c r="F84">
        <f>F42</f>
        <v>0</v>
      </c>
      <c r="G84">
        <v>38</v>
      </c>
      <c r="H84">
        <f>H42</f>
        <v>0</v>
      </c>
      <c r="I84">
        <v>38</v>
      </c>
      <c r="J84">
        <f>J42</f>
        <v>0</v>
      </c>
      <c r="K84">
        <v>38</v>
      </c>
      <c r="L84">
        <f>L42</f>
        <v>0</v>
      </c>
      <c r="M84">
        <v>38</v>
      </c>
      <c r="N84">
        <f>N42</f>
        <v>0</v>
      </c>
      <c r="O84">
        <v>38</v>
      </c>
      <c r="P84">
        <f>P42</f>
        <v>0</v>
      </c>
      <c r="Q84">
        <v>38</v>
      </c>
      <c r="R84">
        <f>R42</f>
        <v>0</v>
      </c>
      <c r="S84">
        <v>38</v>
      </c>
      <c r="T84">
        <f>T42</f>
        <v>0</v>
      </c>
      <c r="U84">
        <v>38</v>
      </c>
      <c r="V84">
        <f>V42</f>
        <v>0</v>
      </c>
      <c r="W84">
        <v>38</v>
      </c>
      <c r="X84">
        <f>X42</f>
        <v>0</v>
      </c>
      <c r="Y84">
        <v>38</v>
      </c>
      <c r="Z84">
        <f>Z42</f>
        <v>0</v>
      </c>
      <c r="AA84">
        <v>38</v>
      </c>
      <c r="AB84">
        <f>AB42</f>
        <v>0</v>
      </c>
      <c r="AC84">
        <v>38</v>
      </c>
      <c r="AD84">
        <f>AD42</f>
        <v>0</v>
      </c>
      <c r="AE84">
        <v>38</v>
      </c>
      <c r="AF84">
        <f>AF42</f>
        <v>0</v>
      </c>
      <c r="AG84">
        <v>38</v>
      </c>
      <c r="AH84">
        <f>AH42</f>
        <v>0</v>
      </c>
      <c r="AI84">
        <v>38</v>
      </c>
      <c r="AJ84">
        <f>AJ42</f>
        <v>0</v>
      </c>
      <c r="AK84">
        <v>38</v>
      </c>
      <c r="AL84">
        <f>AL42</f>
        <v>0</v>
      </c>
      <c r="AM84">
        <v>38</v>
      </c>
      <c r="AN84">
        <f>AN42</f>
        <v>0</v>
      </c>
      <c r="AO84">
        <v>38</v>
      </c>
      <c r="AP84">
        <f>AP42</f>
        <v>0</v>
      </c>
      <c r="AQ84">
        <v>38</v>
      </c>
      <c r="AR84">
        <f>AR42</f>
        <v>0</v>
      </c>
      <c r="AS84">
        <v>38</v>
      </c>
      <c r="AT84">
        <f>AT42</f>
        <v>0</v>
      </c>
      <c r="AU84">
        <v>38</v>
      </c>
      <c r="AV84">
        <f>AV42</f>
        <v>0</v>
      </c>
      <c r="AW84">
        <v>38</v>
      </c>
      <c r="AX84">
        <f>AX42</f>
        <v>0</v>
      </c>
      <c r="AY84">
        <v>38</v>
      </c>
      <c r="AZ84">
        <f>AZ42</f>
        <v>0</v>
      </c>
      <c r="BA84">
        <v>38</v>
      </c>
      <c r="BB84">
        <f>BB42</f>
        <v>0</v>
      </c>
      <c r="BC84">
        <v>38</v>
      </c>
      <c r="BD84">
        <f>BD42</f>
        <v>0</v>
      </c>
      <c r="BE84">
        <v>38</v>
      </c>
      <c r="BF84">
        <f>BF42</f>
        <v>0</v>
      </c>
      <c r="BG84">
        <v>38</v>
      </c>
      <c r="BH84">
        <f>BH42</f>
        <v>0</v>
      </c>
      <c r="BI84">
        <v>38</v>
      </c>
      <c r="BJ84">
        <f>BJ42</f>
        <v>0</v>
      </c>
      <c r="BK84">
        <v>38</v>
      </c>
      <c r="BL84">
        <f>BL42</f>
        <v>0</v>
      </c>
      <c r="BM84">
        <v>38</v>
      </c>
      <c r="BN84">
        <f>BN42</f>
        <v>0</v>
      </c>
      <c r="BO84">
        <v>38</v>
      </c>
      <c r="BP84">
        <f>BP42</f>
        <v>0</v>
      </c>
      <c r="BS84">
        <v>38</v>
      </c>
      <c r="BT84">
        <f>BT42</f>
        <v>0</v>
      </c>
      <c r="BU84">
        <v>38</v>
      </c>
      <c r="BV84">
        <f>BV42</f>
        <v>0</v>
      </c>
      <c r="BW84">
        <v>38</v>
      </c>
      <c r="BX84">
        <f>BX42</f>
        <v>0</v>
      </c>
      <c r="BY84">
        <v>38</v>
      </c>
      <c r="BZ84">
        <f>BZ42</f>
        <v>0</v>
      </c>
      <c r="CA84">
        <v>38</v>
      </c>
      <c r="CB84">
        <f>CB42</f>
        <v>0</v>
      </c>
      <c r="CC84">
        <v>38</v>
      </c>
      <c r="CD84">
        <f>CD42</f>
        <v>0</v>
      </c>
      <c r="CE84">
        <v>38</v>
      </c>
      <c r="CF84">
        <f>CF42</f>
        <v>0</v>
      </c>
      <c r="CG84">
        <v>38</v>
      </c>
      <c r="CH84">
        <f>CH42</f>
        <v>0</v>
      </c>
      <c r="CI84">
        <v>38</v>
      </c>
      <c r="CJ84">
        <f>CJ42</f>
        <v>0</v>
      </c>
      <c r="CK84">
        <v>38</v>
      </c>
      <c r="CL84">
        <f>CL42</f>
        <v>0</v>
      </c>
      <c r="CM84">
        <v>38</v>
      </c>
      <c r="CN84">
        <f>CN42</f>
        <v>0</v>
      </c>
      <c r="CO84">
        <v>38</v>
      </c>
      <c r="CP84">
        <f>CP42</f>
        <v>0</v>
      </c>
      <c r="CQ84">
        <v>38</v>
      </c>
      <c r="CR84">
        <f>CR42</f>
        <v>0</v>
      </c>
      <c r="CS84">
        <v>38</v>
      </c>
      <c r="CT84">
        <f>CT42</f>
        <v>0</v>
      </c>
      <c r="CU84">
        <v>38</v>
      </c>
      <c r="CV84">
        <f>CV42</f>
        <v>0</v>
      </c>
      <c r="CW84">
        <v>38</v>
      </c>
      <c r="CX84">
        <f>CX42</f>
        <v>0</v>
      </c>
      <c r="CY84">
        <v>38</v>
      </c>
      <c r="CZ84">
        <f>CZ42</f>
        <v>0</v>
      </c>
      <c r="DA84">
        <v>38</v>
      </c>
      <c r="DB84">
        <f>DB42</f>
        <v>0</v>
      </c>
      <c r="DC84">
        <v>38</v>
      </c>
      <c r="DD84">
        <f>DD42</f>
        <v>0</v>
      </c>
      <c r="DE84">
        <v>38</v>
      </c>
      <c r="DF84">
        <f>DF42</f>
        <v>0</v>
      </c>
      <c r="DG84">
        <v>38</v>
      </c>
      <c r="DH84">
        <f>DH42</f>
        <v>0</v>
      </c>
      <c r="DI84">
        <v>38</v>
      </c>
      <c r="DJ84">
        <f>DJ42</f>
        <v>0</v>
      </c>
      <c r="DK84">
        <v>38</v>
      </c>
      <c r="DL84">
        <f>DL42</f>
        <v>0</v>
      </c>
      <c r="DM84">
        <v>38</v>
      </c>
      <c r="DN84">
        <f>DN42</f>
        <v>0</v>
      </c>
      <c r="DO84">
        <v>38</v>
      </c>
      <c r="DP84">
        <f>DP42</f>
        <v>0</v>
      </c>
      <c r="DQ84">
        <v>38</v>
      </c>
      <c r="DR84">
        <f>DR42</f>
        <v>0</v>
      </c>
      <c r="DS84">
        <v>38</v>
      </c>
      <c r="DT84">
        <f>DT42</f>
        <v>0</v>
      </c>
      <c r="DU84">
        <v>38</v>
      </c>
      <c r="DV84">
        <f>DV42</f>
        <v>0</v>
      </c>
      <c r="DW84">
        <v>38</v>
      </c>
      <c r="DX84">
        <f>DX42</f>
        <v>0</v>
      </c>
      <c r="DY84">
        <v>38</v>
      </c>
      <c r="DZ84">
        <f>DZ42</f>
        <v>0</v>
      </c>
      <c r="EA84">
        <v>38</v>
      </c>
      <c r="EB84">
        <f>EB42</f>
        <v>0</v>
      </c>
      <c r="EC84">
        <v>38</v>
      </c>
      <c r="ED84">
        <f>ED42</f>
        <v>0</v>
      </c>
      <c r="EG84">
        <f>IF(Charts!$B$3="none",E291,IF(BS291="",NA(),BS291))</f>
        <v>0</v>
      </c>
      <c r="EH84">
        <f>IF(Charts!$B$3="none",F291,IF(BT291="",NA(),BT291))</f>
        <v>0</v>
      </c>
      <c r="EI84">
        <f>IF(Charts!$B$3="none",G291,IF(BU291="",NA(),BU291))</f>
        <v>0</v>
      </c>
      <c r="EJ84">
        <f>IF(Charts!$B$3="none",H291,IF(BV291="",NA(),BV291))</f>
        <v>0</v>
      </c>
      <c r="EK84">
        <f>IF(Charts!$B$3="none",I291,IF(BW291="",NA(),BW291))</f>
        <v>0</v>
      </c>
      <c r="EL84">
        <f>IF(Charts!$B$3="none",J291,IF(BX291="",NA(),BX291))</f>
        <v>0</v>
      </c>
      <c r="EM84">
        <f>IF(Charts!$B$3="none",K291,IF(BY291="",NA(),BY291))</f>
        <v>0</v>
      </c>
      <c r="EN84">
        <f>IF(Charts!$B$3="none",L291,IF(BZ291="",NA(),BZ291))</f>
        <v>0</v>
      </c>
      <c r="EO84">
        <f>IF(Charts!$B$3="none",M291,IF(CA291="",NA(),CA291))</f>
        <v>0</v>
      </c>
      <c r="EP84">
        <f>IF(Charts!$B$3="none",N291,IF(CB291="",NA(),CB291))</f>
        <v>0</v>
      </c>
      <c r="EQ84">
        <f>IF(Charts!$B$3="none",O291,IF(CC291="",NA(),CC291))</f>
        <v>0</v>
      </c>
      <c r="ER84">
        <f>IF(Charts!$B$3="none",P291,IF(CD291="",NA(),CD291))</f>
        <v>0</v>
      </c>
      <c r="ES84">
        <f>IF(Charts!$B$3="none",Q291,IF(CE291="",NA(),CE291))</f>
        <v>0</v>
      </c>
      <c r="ET84">
        <f>IF(Charts!$B$3="none",R291,IF(CF291="",NA(),CF291))</f>
        <v>0</v>
      </c>
      <c r="EU84">
        <f>IF(Charts!$B$3="none",S291,IF(CG291="",NA(),CG291))</f>
        <v>0</v>
      </c>
      <c r="EV84">
        <f>IF(Charts!$B$3="none",T291,IF(CH291="",NA(),CH291))</f>
        <v>0</v>
      </c>
      <c r="EW84">
        <f>IF(Charts!$B$3="none",U291,IF(CI291="",NA(),CI291))</f>
        <v>0</v>
      </c>
      <c r="EX84">
        <f>IF(Charts!$B$3="none",V291,IF(CJ291="",NA(),CJ291))</f>
        <v>0</v>
      </c>
      <c r="EY84">
        <f>IF(Charts!$B$3="none",W291,IF(CK291="",NA(),CK291))</f>
        <v>0</v>
      </c>
      <c r="EZ84">
        <f>IF(Charts!$B$3="none",X291,IF(CL291="",NA(),CL291))</f>
        <v>0</v>
      </c>
      <c r="FA84">
        <f>IF(Charts!$B$3="none",Y291,IF(CM291="",NA(),CM291))</f>
        <v>0</v>
      </c>
      <c r="FB84">
        <f>IF(Charts!$B$3="none",Z291,IF(CN291="",NA(),CN291))</f>
        <v>0</v>
      </c>
      <c r="FC84">
        <f>IF(Charts!$B$3="none",AA291,IF(CO291="",NA(),CO291))</f>
        <v>0</v>
      </c>
      <c r="FD84">
        <f>IF(Charts!$B$3="none",AB291,IF(CP291="",NA(),CP291))</f>
        <v>0</v>
      </c>
      <c r="FE84">
        <f>IF(Charts!$B$3="none",AC291,IF(CQ291="",NA(),CQ291))</f>
        <v>0</v>
      </c>
      <c r="FF84">
        <f>IF(Charts!$B$3="none",AD291,IF(CR291="",NA(),CR291))</f>
        <v>0</v>
      </c>
      <c r="FG84">
        <f>IF(Charts!$B$3="none",AE291,IF(CS291="",NA(),CS291))</f>
        <v>0</v>
      </c>
      <c r="FH84">
        <f>IF(Charts!$B$3="none",AF291,IF(CT291="",NA(),CT291))</f>
        <v>0</v>
      </c>
      <c r="FI84">
        <f>IF(Charts!$B$3="none",AG291,IF(CU291="",NA(),CU291))</f>
        <v>0</v>
      </c>
      <c r="FJ84">
        <f>IF(Charts!$B$3="none",AH291,IF(CV291="",NA(),CV291))</f>
        <v>0</v>
      </c>
      <c r="FK84">
        <f>IF(Charts!$B$3="none",AI291,IF(CW291="",NA(),CW291))</f>
        <v>0</v>
      </c>
      <c r="FL84">
        <f>IF(Charts!$B$3="none",AJ291,IF(CX291="",NA(),CX291))</f>
        <v>0</v>
      </c>
      <c r="FM84">
        <f>IF(Charts!$B$3="none",AK291,IF(CY291="",NA(),CY291))</f>
        <v>0</v>
      </c>
      <c r="FN84">
        <f>IF(Charts!$B$3="none",AL291,IF(CZ291="",NA(),CZ291))</f>
        <v>0</v>
      </c>
      <c r="FO84">
        <f>IF(Charts!$B$3="none",AM291,IF(DA291="",NA(),DA291))</f>
        <v>0</v>
      </c>
      <c r="FP84">
        <f>IF(Charts!$B$3="none",AN291,IF(DB291="",NA(),DB291))</f>
        <v>0</v>
      </c>
      <c r="FQ84">
        <f>IF(Charts!$B$3="none",AO291,IF(DC291="",NA(),DC291))</f>
        <v>0</v>
      </c>
      <c r="FR84">
        <f>IF(Charts!$B$3="none",AP291,IF(DD291="",NA(),DD291))</f>
        <v>0</v>
      </c>
      <c r="FS84">
        <f>IF(Charts!$B$3="none",AQ291,IF(DE291="",NA(),DE291))</f>
        <v>0</v>
      </c>
      <c r="FT84">
        <f>IF(Charts!$B$3="none",AR291,IF(DF291="",NA(),DF291))</f>
        <v>0</v>
      </c>
      <c r="FU84">
        <f>IF(Charts!$B$3="none",AS291,IF(DG291="",NA(),DG291))</f>
        <v>0</v>
      </c>
      <c r="FV84">
        <f>IF(Charts!$B$3="none",AT291,IF(DH291="",NA(),DH291))</f>
        <v>0</v>
      </c>
      <c r="FW84">
        <f>IF(Charts!$B$3="none",AU291,IF(DI291="",NA(),DI291))</f>
        <v>0</v>
      </c>
      <c r="FX84">
        <f>IF(Charts!$B$3="none",AV291,IF(DJ291="",NA(),DJ291))</f>
        <v>0</v>
      </c>
      <c r="FY84">
        <f>IF(Charts!$B$3="none",AW291,IF(DK291="",NA(),DK291))</f>
        <v>0</v>
      </c>
      <c r="FZ84">
        <f>IF(Charts!$B$3="none",AX291,IF(DL291="",NA(),DL291))</f>
        <v>0</v>
      </c>
      <c r="GA84">
        <f>IF(Charts!$B$3="none",AY291,IF(DM291="",NA(),DM291))</f>
        <v>0</v>
      </c>
      <c r="GB84">
        <f>IF(Charts!$B$3="none",AZ291,IF(DN291="",NA(),DN291))</f>
        <v>0</v>
      </c>
      <c r="GC84">
        <f>IF(Charts!$B$3="none",BA291,IF(DO291="",NA(),DO291))</f>
        <v>0</v>
      </c>
      <c r="GD84">
        <f>IF(Charts!$B$3="none",BB291,IF(DP291="",NA(),DP291))</f>
        <v>0</v>
      </c>
      <c r="GE84">
        <f>IF(Charts!$B$3="none",BC291,IF(DQ291="",NA(),DQ291))</f>
        <v>0</v>
      </c>
      <c r="GF84">
        <f>IF(Charts!$B$3="none",BD291,IF(DR291="",NA(),DR291))</f>
        <v>0</v>
      </c>
      <c r="GG84">
        <f>IF(Charts!$B$3="none",BE291,IF(DS291="",NA(),DS291))</f>
        <v>0</v>
      </c>
      <c r="GH84">
        <f>IF(Charts!$B$3="none",BF291,IF(DT291="",NA(),DT291))</f>
        <v>0</v>
      </c>
      <c r="GI84">
        <f>IF(Charts!$B$3="none",BG291,IF(DU291="",NA(),DU291))</f>
        <v>0</v>
      </c>
      <c r="GJ84">
        <f>IF(Charts!$B$3="none",BH291,IF(DV291="",NA(),DV291))</f>
        <v>0</v>
      </c>
      <c r="GK84">
        <f>IF(Charts!$B$3="none",BI291,IF(DW291="",NA(),DW291))</f>
        <v>0</v>
      </c>
      <c r="GL84">
        <f>IF(Charts!$B$3="none",BJ291,IF(DX291="",NA(),DX291))</f>
        <v>0</v>
      </c>
      <c r="GM84">
        <f>IF(Charts!$B$3="none",BK291,IF(DY291="",NA(),DY291))</f>
        <v>0</v>
      </c>
      <c r="GN84">
        <f>IF(Charts!$B$3="none",BL291,IF(DZ291="",NA(),DZ291))</f>
        <v>0</v>
      </c>
      <c r="GO84">
        <f>IF(Charts!$B$3="none",BM291,IF(EA291="",NA(),EA291))</f>
        <v>0</v>
      </c>
      <c r="GP84">
        <f>IF(Charts!$B$3="none",BN291,IF(EB291="",NA(),EB291))</f>
        <v>0</v>
      </c>
      <c r="GQ84">
        <f>IF(Charts!$B$3="none",BO291,IF(EC291="",NA(),EC291))</f>
        <v>0</v>
      </c>
      <c r="GR84">
        <f>IF(Charts!$B$3="none",BP291,IF(ED291="",NA(),ED291))</f>
        <v>0</v>
      </c>
    </row>
    <row r="85" spans="5:200">
      <c r="E85">
        <v>39</v>
      </c>
      <c r="F85">
        <f>F43</f>
        <v>0</v>
      </c>
      <c r="G85">
        <v>39</v>
      </c>
      <c r="H85">
        <f>H43</f>
        <v>0</v>
      </c>
      <c r="I85">
        <v>39</v>
      </c>
      <c r="J85">
        <f>J43</f>
        <v>0</v>
      </c>
      <c r="K85">
        <v>39</v>
      </c>
      <c r="L85">
        <f>L43</f>
        <v>0</v>
      </c>
      <c r="M85">
        <v>39</v>
      </c>
      <c r="N85">
        <f>N43</f>
        <v>0</v>
      </c>
      <c r="O85">
        <v>39</v>
      </c>
      <c r="P85">
        <f>P43</f>
        <v>0</v>
      </c>
      <c r="Q85">
        <v>39</v>
      </c>
      <c r="R85">
        <f>R43</f>
        <v>0</v>
      </c>
      <c r="S85">
        <v>39</v>
      </c>
      <c r="T85">
        <f>T43</f>
        <v>0</v>
      </c>
      <c r="U85">
        <v>39</v>
      </c>
      <c r="V85">
        <f>V43</f>
        <v>0</v>
      </c>
      <c r="W85">
        <v>39</v>
      </c>
      <c r="X85">
        <f>X43</f>
        <v>0</v>
      </c>
      <c r="Y85">
        <v>39</v>
      </c>
      <c r="Z85">
        <f>Z43</f>
        <v>0</v>
      </c>
      <c r="AA85">
        <v>39</v>
      </c>
      <c r="AB85">
        <f>AB43</f>
        <v>0</v>
      </c>
      <c r="AC85">
        <v>39</v>
      </c>
      <c r="AD85">
        <f>AD43</f>
        <v>0</v>
      </c>
      <c r="AE85">
        <v>39</v>
      </c>
      <c r="AF85">
        <f>AF43</f>
        <v>0</v>
      </c>
      <c r="AG85">
        <v>39</v>
      </c>
      <c r="AH85">
        <f>AH43</f>
        <v>0</v>
      </c>
      <c r="AI85">
        <v>39</v>
      </c>
      <c r="AJ85">
        <f>AJ43</f>
        <v>0</v>
      </c>
      <c r="AK85">
        <v>39</v>
      </c>
      <c r="AL85">
        <f>AL43</f>
        <v>0</v>
      </c>
      <c r="AM85">
        <v>39</v>
      </c>
      <c r="AN85">
        <f>AN43</f>
        <v>0</v>
      </c>
      <c r="AO85">
        <v>39</v>
      </c>
      <c r="AP85">
        <f>AP43</f>
        <v>0</v>
      </c>
      <c r="AQ85">
        <v>39</v>
      </c>
      <c r="AR85">
        <f>AR43</f>
        <v>0</v>
      </c>
      <c r="AS85">
        <v>39</v>
      </c>
      <c r="AT85">
        <f>AT43</f>
        <v>0</v>
      </c>
      <c r="AU85">
        <v>39</v>
      </c>
      <c r="AV85">
        <f>AV43</f>
        <v>0</v>
      </c>
      <c r="AW85">
        <v>39</v>
      </c>
      <c r="AX85">
        <f>AX43</f>
        <v>0</v>
      </c>
      <c r="AY85">
        <v>39</v>
      </c>
      <c r="AZ85">
        <f>AZ43</f>
        <v>0</v>
      </c>
      <c r="BA85">
        <v>39</v>
      </c>
      <c r="BB85">
        <f>BB43</f>
        <v>0</v>
      </c>
      <c r="BC85">
        <v>39</v>
      </c>
      <c r="BD85">
        <f>BD43</f>
        <v>0</v>
      </c>
      <c r="BE85">
        <v>39</v>
      </c>
      <c r="BF85">
        <f>BF43</f>
        <v>0</v>
      </c>
      <c r="BG85">
        <v>39</v>
      </c>
      <c r="BH85">
        <f>BH43</f>
        <v>0</v>
      </c>
      <c r="BI85">
        <v>39</v>
      </c>
      <c r="BJ85">
        <f>BJ43</f>
        <v>0</v>
      </c>
      <c r="BK85">
        <v>39</v>
      </c>
      <c r="BL85">
        <f>BL43</f>
        <v>0</v>
      </c>
      <c r="BM85">
        <v>39</v>
      </c>
      <c r="BN85">
        <f>BN43</f>
        <v>0</v>
      </c>
      <c r="BO85">
        <v>39</v>
      </c>
      <c r="BP85">
        <f>BP43</f>
        <v>0</v>
      </c>
      <c r="BS85">
        <v>39</v>
      </c>
      <c r="BT85">
        <f>BT43</f>
        <v>0</v>
      </c>
      <c r="BU85">
        <v>39</v>
      </c>
      <c r="BV85">
        <f>BV43</f>
        <v>0</v>
      </c>
      <c r="BW85">
        <v>39</v>
      </c>
      <c r="BX85">
        <f>BX43</f>
        <v>0</v>
      </c>
      <c r="BY85">
        <v>39</v>
      </c>
      <c r="BZ85">
        <f>BZ43</f>
        <v>0</v>
      </c>
      <c r="CA85">
        <v>39</v>
      </c>
      <c r="CB85">
        <f>CB43</f>
        <v>0</v>
      </c>
      <c r="CC85">
        <v>39</v>
      </c>
      <c r="CD85">
        <f>CD43</f>
        <v>0</v>
      </c>
      <c r="CE85">
        <v>39</v>
      </c>
      <c r="CF85">
        <f>CF43</f>
        <v>0</v>
      </c>
      <c r="CG85">
        <v>39</v>
      </c>
      <c r="CH85">
        <f>CH43</f>
        <v>0</v>
      </c>
      <c r="CI85">
        <v>39</v>
      </c>
      <c r="CJ85">
        <f>CJ43</f>
        <v>0</v>
      </c>
      <c r="CK85">
        <v>39</v>
      </c>
      <c r="CL85">
        <f>CL43</f>
        <v>0</v>
      </c>
      <c r="CM85">
        <v>39</v>
      </c>
      <c r="CN85">
        <f>CN43</f>
        <v>0</v>
      </c>
      <c r="CO85">
        <v>39</v>
      </c>
      <c r="CP85">
        <f>CP43</f>
        <v>0</v>
      </c>
      <c r="CQ85">
        <v>39</v>
      </c>
      <c r="CR85">
        <f>CR43</f>
        <v>0</v>
      </c>
      <c r="CS85">
        <v>39</v>
      </c>
      <c r="CT85">
        <f>CT43</f>
        <v>0</v>
      </c>
      <c r="CU85">
        <v>39</v>
      </c>
      <c r="CV85">
        <f>CV43</f>
        <v>0</v>
      </c>
      <c r="CW85">
        <v>39</v>
      </c>
      <c r="CX85">
        <f>CX43</f>
        <v>0</v>
      </c>
      <c r="CY85">
        <v>39</v>
      </c>
      <c r="CZ85">
        <f>CZ43</f>
        <v>0</v>
      </c>
      <c r="DA85">
        <v>39</v>
      </c>
      <c r="DB85">
        <f>DB43</f>
        <v>0</v>
      </c>
      <c r="DC85">
        <v>39</v>
      </c>
      <c r="DD85">
        <f>DD43</f>
        <v>0</v>
      </c>
      <c r="DE85">
        <v>39</v>
      </c>
      <c r="DF85">
        <f>DF43</f>
        <v>0</v>
      </c>
      <c r="DG85">
        <v>39</v>
      </c>
      <c r="DH85">
        <f>DH43</f>
        <v>0</v>
      </c>
      <c r="DI85">
        <v>39</v>
      </c>
      <c r="DJ85">
        <f>DJ43</f>
        <v>0</v>
      </c>
      <c r="DK85">
        <v>39</v>
      </c>
      <c r="DL85">
        <f>DL43</f>
        <v>0</v>
      </c>
      <c r="DM85">
        <v>39</v>
      </c>
      <c r="DN85">
        <f>DN43</f>
        <v>0</v>
      </c>
      <c r="DO85">
        <v>39</v>
      </c>
      <c r="DP85">
        <f>DP43</f>
        <v>0</v>
      </c>
      <c r="DQ85">
        <v>39</v>
      </c>
      <c r="DR85">
        <f>DR43</f>
        <v>0</v>
      </c>
      <c r="DS85">
        <v>39</v>
      </c>
      <c r="DT85">
        <f>DT43</f>
        <v>0</v>
      </c>
      <c r="DU85">
        <v>39</v>
      </c>
      <c r="DV85">
        <f>DV43</f>
        <v>0</v>
      </c>
      <c r="DW85">
        <v>39</v>
      </c>
      <c r="DX85">
        <f>DX43</f>
        <v>0</v>
      </c>
      <c r="DY85">
        <v>39</v>
      </c>
      <c r="DZ85">
        <f>DZ43</f>
        <v>0</v>
      </c>
      <c r="EA85">
        <v>39</v>
      </c>
      <c r="EB85">
        <f>EB43</f>
        <v>0</v>
      </c>
      <c r="EC85">
        <v>39</v>
      </c>
      <c r="ED85">
        <f>ED43</f>
        <v>0</v>
      </c>
    </row>
    <row r="86" spans="5:200">
      <c r="E86">
        <v>40</v>
      </c>
      <c r="F86">
        <f>F44</f>
        <v>0</v>
      </c>
      <c r="G86">
        <v>40</v>
      </c>
      <c r="H86">
        <f>H44</f>
        <v>0</v>
      </c>
      <c r="I86">
        <v>40</v>
      </c>
      <c r="J86">
        <f>J44</f>
        <v>0</v>
      </c>
      <c r="K86">
        <v>40</v>
      </c>
      <c r="L86">
        <f>L44</f>
        <v>0</v>
      </c>
      <c r="M86">
        <v>40</v>
      </c>
      <c r="N86">
        <f>N44</f>
        <v>0</v>
      </c>
      <c r="O86">
        <v>40</v>
      </c>
      <c r="P86">
        <f>P44</f>
        <v>0</v>
      </c>
      <c r="Q86">
        <v>40</v>
      </c>
      <c r="R86">
        <f>R44</f>
        <v>0</v>
      </c>
      <c r="S86">
        <v>40</v>
      </c>
      <c r="T86">
        <f>T44</f>
        <v>0</v>
      </c>
      <c r="U86">
        <v>40</v>
      </c>
      <c r="V86">
        <f>V44</f>
        <v>0</v>
      </c>
      <c r="W86">
        <v>40</v>
      </c>
      <c r="X86">
        <f>X44</f>
        <v>0</v>
      </c>
      <c r="Y86">
        <v>40</v>
      </c>
      <c r="Z86">
        <f>Z44</f>
        <v>0</v>
      </c>
      <c r="AA86">
        <v>40</v>
      </c>
      <c r="AB86">
        <f>AB44</f>
        <v>0</v>
      </c>
      <c r="AC86">
        <v>40</v>
      </c>
      <c r="AD86">
        <f>AD44</f>
        <v>0</v>
      </c>
      <c r="AE86">
        <v>40</v>
      </c>
      <c r="AF86">
        <f>AF44</f>
        <v>0</v>
      </c>
      <c r="AG86">
        <v>40</v>
      </c>
      <c r="AH86">
        <f>AH44</f>
        <v>0</v>
      </c>
      <c r="AI86">
        <v>40</v>
      </c>
      <c r="AJ86">
        <f>AJ44</f>
        <v>0</v>
      </c>
      <c r="AK86">
        <v>40</v>
      </c>
      <c r="AL86">
        <f>AL44</f>
        <v>0</v>
      </c>
      <c r="AM86">
        <v>40</v>
      </c>
      <c r="AN86">
        <f>AN44</f>
        <v>0</v>
      </c>
      <c r="AO86">
        <v>40</v>
      </c>
      <c r="AP86">
        <f>AP44</f>
        <v>0</v>
      </c>
      <c r="AQ86">
        <v>40</v>
      </c>
      <c r="AR86">
        <f>AR44</f>
        <v>0</v>
      </c>
      <c r="AS86">
        <v>40</v>
      </c>
      <c r="AT86">
        <f>AT44</f>
        <v>0</v>
      </c>
      <c r="AU86">
        <v>40</v>
      </c>
      <c r="AV86">
        <f>AV44</f>
        <v>0</v>
      </c>
      <c r="AW86">
        <v>40</v>
      </c>
      <c r="AX86">
        <f>AX44</f>
        <v>0</v>
      </c>
      <c r="AY86">
        <v>40</v>
      </c>
      <c r="AZ86">
        <f>AZ44</f>
        <v>0</v>
      </c>
      <c r="BA86">
        <v>40</v>
      </c>
      <c r="BB86">
        <f>BB44</f>
        <v>0</v>
      </c>
      <c r="BC86">
        <v>40</v>
      </c>
      <c r="BD86">
        <f>BD44</f>
        <v>0</v>
      </c>
      <c r="BE86">
        <v>40</v>
      </c>
      <c r="BF86">
        <f>BF44</f>
        <v>0</v>
      </c>
      <c r="BG86">
        <v>40</v>
      </c>
      <c r="BH86">
        <f>BH44</f>
        <v>0</v>
      </c>
      <c r="BI86">
        <v>40</v>
      </c>
      <c r="BJ86">
        <f>BJ44</f>
        <v>0</v>
      </c>
      <c r="BK86">
        <v>40</v>
      </c>
      <c r="BL86">
        <f>BL44</f>
        <v>0</v>
      </c>
      <c r="BM86">
        <v>40</v>
      </c>
      <c r="BN86">
        <f>BN44</f>
        <v>0</v>
      </c>
      <c r="BO86">
        <v>40</v>
      </c>
      <c r="BP86">
        <f>BP44</f>
        <v>0</v>
      </c>
      <c r="BS86">
        <v>40</v>
      </c>
      <c r="BT86">
        <f>BT44</f>
        <v>0</v>
      </c>
      <c r="BU86">
        <v>40</v>
      </c>
      <c r="BV86">
        <f>BV44</f>
        <v>0</v>
      </c>
      <c r="BW86">
        <v>40</v>
      </c>
      <c r="BX86">
        <f>BX44</f>
        <v>0</v>
      </c>
      <c r="BY86">
        <v>40</v>
      </c>
      <c r="BZ86">
        <f>BZ44</f>
        <v>0</v>
      </c>
      <c r="CA86">
        <v>40</v>
      </c>
      <c r="CB86">
        <f>CB44</f>
        <v>0</v>
      </c>
      <c r="CC86">
        <v>40</v>
      </c>
      <c r="CD86">
        <f>CD44</f>
        <v>0</v>
      </c>
      <c r="CE86">
        <v>40</v>
      </c>
      <c r="CF86">
        <f>CF44</f>
        <v>0</v>
      </c>
      <c r="CG86">
        <v>40</v>
      </c>
      <c r="CH86">
        <f>CH44</f>
        <v>0</v>
      </c>
      <c r="CI86">
        <v>40</v>
      </c>
      <c r="CJ86">
        <f>CJ44</f>
        <v>0</v>
      </c>
      <c r="CK86">
        <v>40</v>
      </c>
      <c r="CL86">
        <f>CL44</f>
        <v>0</v>
      </c>
      <c r="CM86">
        <v>40</v>
      </c>
      <c r="CN86">
        <f>CN44</f>
        <v>0</v>
      </c>
      <c r="CO86">
        <v>40</v>
      </c>
      <c r="CP86">
        <f>CP44</f>
        <v>0</v>
      </c>
      <c r="CQ86">
        <v>40</v>
      </c>
      <c r="CR86">
        <f>CR44</f>
        <v>0</v>
      </c>
      <c r="CS86">
        <v>40</v>
      </c>
      <c r="CT86">
        <f>CT44</f>
        <v>0</v>
      </c>
      <c r="CU86">
        <v>40</v>
      </c>
      <c r="CV86">
        <f>CV44</f>
        <v>0</v>
      </c>
      <c r="CW86">
        <v>40</v>
      </c>
      <c r="CX86">
        <f>CX44</f>
        <v>0</v>
      </c>
      <c r="CY86">
        <v>40</v>
      </c>
      <c r="CZ86">
        <f>CZ44</f>
        <v>0</v>
      </c>
      <c r="DA86">
        <v>40</v>
      </c>
      <c r="DB86">
        <f>DB44</f>
        <v>0</v>
      </c>
      <c r="DC86">
        <v>40</v>
      </c>
      <c r="DD86">
        <f>DD44</f>
        <v>0</v>
      </c>
      <c r="DE86">
        <v>40</v>
      </c>
      <c r="DF86">
        <f>DF44</f>
        <v>0</v>
      </c>
      <c r="DG86">
        <v>40</v>
      </c>
      <c r="DH86">
        <f>DH44</f>
        <v>0</v>
      </c>
      <c r="DI86">
        <v>40</v>
      </c>
      <c r="DJ86">
        <f>DJ44</f>
        <v>0</v>
      </c>
      <c r="DK86">
        <v>40</v>
      </c>
      <c r="DL86">
        <f>DL44</f>
        <v>0</v>
      </c>
      <c r="DM86">
        <v>40</v>
      </c>
      <c r="DN86">
        <f>DN44</f>
        <v>0</v>
      </c>
      <c r="DO86">
        <v>40</v>
      </c>
      <c r="DP86">
        <f>DP44</f>
        <v>0</v>
      </c>
      <c r="DQ86">
        <v>40</v>
      </c>
      <c r="DR86">
        <f>DR44</f>
        <v>0</v>
      </c>
      <c r="DS86">
        <v>40</v>
      </c>
      <c r="DT86">
        <f>DT44</f>
        <v>0</v>
      </c>
      <c r="DU86">
        <v>40</v>
      </c>
      <c r="DV86">
        <f>DV44</f>
        <v>0</v>
      </c>
      <c r="DW86">
        <v>40</v>
      </c>
      <c r="DX86">
        <f>DX44</f>
        <v>0</v>
      </c>
      <c r="DY86">
        <v>40</v>
      </c>
      <c r="DZ86">
        <f>DZ44</f>
        <v>0</v>
      </c>
      <c r="EA86">
        <v>40</v>
      </c>
      <c r="EB86">
        <f>EB44</f>
        <v>0</v>
      </c>
      <c r="EC86">
        <v>40</v>
      </c>
      <c r="ED86">
        <f>ED44</f>
        <v>0</v>
      </c>
    </row>
    <row r="87" spans="5:200">
      <c r="E87">
        <v>2</v>
      </c>
      <c r="F87">
        <f>IF(F6="","",F5)</f>
        <v>0</v>
      </c>
      <c r="G87">
        <v>2</v>
      </c>
      <c r="H87">
        <f>H5</f>
        <v>0</v>
      </c>
      <c r="I87">
        <v>2</v>
      </c>
      <c r="J87">
        <f>IF(J6="","",J5)</f>
        <v>0</v>
      </c>
      <c r="K87">
        <v>2</v>
      </c>
      <c r="L87">
        <f>L5</f>
        <v>0</v>
      </c>
      <c r="M87">
        <v>2</v>
      </c>
      <c r="N87">
        <f>IF(N6="","",N5)</f>
        <v>0</v>
      </c>
      <c r="O87">
        <v>2</v>
      </c>
      <c r="P87">
        <f>P5</f>
        <v>0</v>
      </c>
      <c r="Q87">
        <v>2</v>
      </c>
      <c r="R87">
        <f>IF(R6="","",R5)</f>
        <v>0</v>
      </c>
      <c r="S87">
        <v>2</v>
      </c>
      <c r="T87">
        <f>T5</f>
        <v>0</v>
      </c>
      <c r="U87">
        <v>2</v>
      </c>
      <c r="V87">
        <f>IF(V6="","",V5)</f>
        <v>0</v>
      </c>
      <c r="W87">
        <v>2</v>
      </c>
      <c r="X87">
        <f>X5</f>
        <v>0</v>
      </c>
      <c r="Y87">
        <v>2</v>
      </c>
      <c r="Z87">
        <f>IF(Z6="","",Z5)</f>
        <v>0</v>
      </c>
      <c r="AA87">
        <v>2</v>
      </c>
      <c r="AB87">
        <f>AB5</f>
        <v>0</v>
      </c>
      <c r="AC87">
        <v>2</v>
      </c>
      <c r="AD87">
        <f>IF(AD6="","",AD5)</f>
        <v>0</v>
      </c>
      <c r="AE87">
        <v>2</v>
      </c>
      <c r="AF87">
        <f>AF5</f>
        <v>0</v>
      </c>
      <c r="AG87">
        <v>2</v>
      </c>
      <c r="AH87">
        <f>IF(AH6="","",AH5)</f>
        <v>0</v>
      </c>
      <c r="AI87">
        <v>2</v>
      </c>
      <c r="AJ87">
        <f>AJ5</f>
        <v>0</v>
      </c>
      <c r="AK87">
        <v>2</v>
      </c>
      <c r="AL87">
        <f>IF(AL6="","",AL5)</f>
        <v>0</v>
      </c>
      <c r="AM87">
        <v>2</v>
      </c>
      <c r="AN87">
        <f>AN5</f>
        <v>0</v>
      </c>
      <c r="AO87">
        <v>2</v>
      </c>
      <c r="AP87">
        <f>IF(AP6="","",AP5)</f>
        <v>0</v>
      </c>
      <c r="AQ87">
        <v>2</v>
      </c>
      <c r="AR87">
        <f>AR5</f>
        <v>0</v>
      </c>
      <c r="AS87">
        <v>2</v>
      </c>
      <c r="AT87">
        <f>IF(AT6="","",AT5)</f>
        <v>0</v>
      </c>
      <c r="AU87">
        <v>2</v>
      </c>
      <c r="AV87">
        <f>AV5</f>
        <v>0</v>
      </c>
      <c r="AW87">
        <v>2</v>
      </c>
      <c r="AX87">
        <f>IF(AX6="","",AX5)</f>
        <v>0</v>
      </c>
      <c r="AY87">
        <v>2</v>
      </c>
      <c r="AZ87">
        <f>AZ5</f>
        <v>0</v>
      </c>
      <c r="BA87">
        <v>2</v>
      </c>
      <c r="BB87">
        <f>IF(BB6="","",BB5)</f>
        <v>0</v>
      </c>
      <c r="BC87">
        <v>2</v>
      </c>
      <c r="BD87">
        <f>BD5</f>
        <v>0</v>
      </c>
      <c r="BE87">
        <v>2</v>
      </c>
      <c r="BF87">
        <f>IF(BF6="","",BF5)</f>
        <v>0</v>
      </c>
      <c r="BG87">
        <v>2</v>
      </c>
      <c r="BH87">
        <f>BH5</f>
        <v>0</v>
      </c>
      <c r="BI87">
        <v>2</v>
      </c>
      <c r="BJ87">
        <f>IF(BJ6="","",BJ5)</f>
        <v>0</v>
      </c>
      <c r="BK87">
        <v>2</v>
      </c>
      <c r="BL87">
        <f>BL5</f>
        <v>0</v>
      </c>
      <c r="BM87">
        <v>2</v>
      </c>
      <c r="BN87">
        <f>IF(BN6="","",BN5)</f>
        <v>0</v>
      </c>
      <c r="BO87">
        <v>2</v>
      </c>
      <c r="BP87">
        <f>BP5</f>
        <v>0</v>
      </c>
      <c r="BS87">
        <v>2</v>
      </c>
      <c r="BT87">
        <f>IF(BT6="","",BT5)</f>
        <v>0</v>
      </c>
      <c r="BU87">
        <v>2</v>
      </c>
      <c r="BV87">
        <f>BV5</f>
        <v>0</v>
      </c>
      <c r="BW87">
        <v>2</v>
      </c>
      <c r="BX87">
        <f>IF(BX6="","",BX5)</f>
        <v>0</v>
      </c>
      <c r="BY87">
        <v>2</v>
      </c>
      <c r="BZ87">
        <f>BZ5</f>
        <v>0</v>
      </c>
      <c r="CA87">
        <v>2</v>
      </c>
      <c r="CB87">
        <f>IF(CB6="","",CB5)</f>
        <v>0</v>
      </c>
      <c r="CC87">
        <v>2</v>
      </c>
      <c r="CD87">
        <f>CD5</f>
        <v>0</v>
      </c>
      <c r="CE87">
        <v>2</v>
      </c>
      <c r="CF87">
        <f>IF(CF6="","",CF5)</f>
        <v>0</v>
      </c>
      <c r="CG87">
        <v>2</v>
      </c>
      <c r="CH87">
        <f>CH5</f>
        <v>0</v>
      </c>
      <c r="CI87">
        <v>2</v>
      </c>
      <c r="CJ87">
        <f>IF(CJ6="","",CJ5)</f>
        <v>0</v>
      </c>
      <c r="CK87">
        <v>2</v>
      </c>
      <c r="CL87">
        <f>CL5</f>
        <v>0</v>
      </c>
      <c r="CM87">
        <v>2</v>
      </c>
      <c r="CN87">
        <f>IF(CN6="","",CN5)</f>
        <v>0</v>
      </c>
      <c r="CO87">
        <v>2</v>
      </c>
      <c r="CP87">
        <f>CP5</f>
        <v>0</v>
      </c>
      <c r="CQ87">
        <v>2</v>
      </c>
      <c r="CR87">
        <f>IF(CR6="","",CR5)</f>
        <v>0</v>
      </c>
      <c r="CS87">
        <v>2</v>
      </c>
      <c r="CT87">
        <f>CT5</f>
        <v>0</v>
      </c>
      <c r="CU87">
        <v>2</v>
      </c>
      <c r="CV87">
        <f>IF(CV6="","",CV5)</f>
        <v>0</v>
      </c>
      <c r="CW87">
        <v>2</v>
      </c>
      <c r="CX87">
        <f>CX5</f>
        <v>0</v>
      </c>
      <c r="CY87">
        <v>2</v>
      </c>
      <c r="CZ87">
        <f>IF(CZ6="","",CZ5)</f>
        <v>0</v>
      </c>
      <c r="DA87">
        <v>2</v>
      </c>
      <c r="DB87">
        <f>DB5</f>
        <v>0</v>
      </c>
      <c r="DC87">
        <v>2</v>
      </c>
      <c r="DD87">
        <f>IF(DD6="","",DD5)</f>
        <v>0</v>
      </c>
      <c r="DE87">
        <v>2</v>
      </c>
      <c r="DF87">
        <f>DF5</f>
        <v>0</v>
      </c>
      <c r="DG87">
        <v>2</v>
      </c>
      <c r="DH87">
        <f>IF(DH6="","",DH5)</f>
        <v>0</v>
      </c>
      <c r="DI87">
        <v>2</v>
      </c>
      <c r="DJ87">
        <f>DJ5</f>
        <v>0</v>
      </c>
      <c r="DK87">
        <v>2</v>
      </c>
      <c r="DL87">
        <f>IF(DL6="","",DL5)</f>
        <v>0</v>
      </c>
      <c r="DM87">
        <v>2</v>
      </c>
      <c r="DN87">
        <f>DN5</f>
        <v>0</v>
      </c>
      <c r="DO87">
        <v>2</v>
      </c>
      <c r="DP87">
        <f>IF(DP6="","",DP5)</f>
        <v>0</v>
      </c>
      <c r="DQ87">
        <v>2</v>
      </c>
      <c r="DR87">
        <f>DR5</f>
        <v>0</v>
      </c>
      <c r="DS87">
        <v>2</v>
      </c>
      <c r="DT87">
        <f>IF(DT6="","",DT5)</f>
        <v>0</v>
      </c>
      <c r="DU87">
        <v>2</v>
      </c>
      <c r="DV87">
        <f>DV5</f>
        <v>0</v>
      </c>
      <c r="DW87">
        <v>2</v>
      </c>
      <c r="DX87">
        <f>IF(DX6="","",DX5)</f>
        <v>0</v>
      </c>
      <c r="DY87">
        <v>2</v>
      </c>
      <c r="DZ87">
        <f>DZ5</f>
        <v>0</v>
      </c>
      <c r="EA87">
        <v>2</v>
      </c>
      <c r="EB87">
        <f>IF(EB6="","",EB5)</f>
        <v>0</v>
      </c>
      <c r="EC87">
        <v>2</v>
      </c>
      <c r="ED87">
        <f>ED5</f>
        <v>0</v>
      </c>
    </row>
    <row r="88" spans="5:200">
      <c r="E88">
        <v>3</v>
      </c>
      <c r="F88">
        <f>IF(F7="","",F6)</f>
        <v>0</v>
      </c>
      <c r="G88">
        <v>3</v>
      </c>
      <c r="H88">
        <f>H6</f>
        <v>0</v>
      </c>
      <c r="I88">
        <v>3</v>
      </c>
      <c r="J88">
        <f>IF(J7="","",J6)</f>
        <v>0</v>
      </c>
      <c r="K88">
        <v>3</v>
      </c>
      <c r="L88">
        <f>L6</f>
        <v>0</v>
      </c>
      <c r="M88">
        <v>3</v>
      </c>
      <c r="N88">
        <f>IF(N7="","",N6)</f>
        <v>0</v>
      </c>
      <c r="O88">
        <v>3</v>
      </c>
      <c r="P88">
        <f>P6</f>
        <v>0</v>
      </c>
      <c r="Q88">
        <v>3</v>
      </c>
      <c r="R88">
        <f>IF(R7="","",R6)</f>
        <v>0</v>
      </c>
      <c r="S88">
        <v>3</v>
      </c>
      <c r="T88">
        <f>T6</f>
        <v>0</v>
      </c>
      <c r="U88">
        <v>3</v>
      </c>
      <c r="V88">
        <f>IF(V7="","",V6)</f>
        <v>0</v>
      </c>
      <c r="W88">
        <v>3</v>
      </c>
      <c r="X88">
        <f>X6</f>
        <v>0</v>
      </c>
      <c r="Y88">
        <v>3</v>
      </c>
      <c r="Z88">
        <f>IF(Z7="","",Z6)</f>
        <v>0</v>
      </c>
      <c r="AA88">
        <v>3</v>
      </c>
      <c r="AB88">
        <f>AB6</f>
        <v>0</v>
      </c>
      <c r="AC88">
        <v>3</v>
      </c>
      <c r="AD88">
        <f>IF(AD7="","",AD6)</f>
        <v>0</v>
      </c>
      <c r="AE88">
        <v>3</v>
      </c>
      <c r="AF88">
        <f>AF6</f>
        <v>0</v>
      </c>
      <c r="AG88">
        <v>3</v>
      </c>
      <c r="AH88">
        <f>IF(AH7="","",AH6)</f>
        <v>0</v>
      </c>
      <c r="AI88">
        <v>3</v>
      </c>
      <c r="AJ88">
        <f>AJ6</f>
        <v>0</v>
      </c>
      <c r="AK88">
        <v>3</v>
      </c>
      <c r="AL88">
        <f>IF(AL7="","",AL6)</f>
        <v>0</v>
      </c>
      <c r="AM88">
        <v>3</v>
      </c>
      <c r="AN88">
        <f>AN6</f>
        <v>0</v>
      </c>
      <c r="AO88">
        <v>3</v>
      </c>
      <c r="AP88">
        <f>IF(AP7="","",AP6)</f>
        <v>0</v>
      </c>
      <c r="AQ88">
        <v>3</v>
      </c>
      <c r="AR88">
        <f>AR6</f>
        <v>0</v>
      </c>
      <c r="AS88">
        <v>3</v>
      </c>
      <c r="AT88">
        <f>IF(AT7="","",AT6)</f>
        <v>0</v>
      </c>
      <c r="AU88">
        <v>3</v>
      </c>
      <c r="AV88">
        <f>AV6</f>
        <v>0</v>
      </c>
      <c r="AW88">
        <v>3</v>
      </c>
      <c r="AX88">
        <f>IF(AX7="","",AX6)</f>
        <v>0</v>
      </c>
      <c r="AY88">
        <v>3</v>
      </c>
      <c r="AZ88">
        <f>AZ6</f>
        <v>0</v>
      </c>
      <c r="BA88">
        <v>3</v>
      </c>
      <c r="BB88">
        <f>IF(BB7="","",BB6)</f>
        <v>0</v>
      </c>
      <c r="BC88">
        <v>3</v>
      </c>
      <c r="BD88">
        <f>BD6</f>
        <v>0</v>
      </c>
      <c r="BE88">
        <v>3</v>
      </c>
      <c r="BF88">
        <f>IF(BF7="","",BF6)</f>
        <v>0</v>
      </c>
      <c r="BG88">
        <v>3</v>
      </c>
      <c r="BH88">
        <f>BH6</f>
        <v>0</v>
      </c>
      <c r="BI88">
        <v>3</v>
      </c>
      <c r="BJ88">
        <f>IF(BJ7="","",BJ6)</f>
        <v>0</v>
      </c>
      <c r="BK88">
        <v>3</v>
      </c>
      <c r="BL88">
        <f>BL6</f>
        <v>0</v>
      </c>
      <c r="BM88">
        <v>3</v>
      </c>
      <c r="BN88">
        <f>IF(BN7="","",BN6)</f>
        <v>0</v>
      </c>
      <c r="BO88">
        <v>3</v>
      </c>
      <c r="BP88">
        <f>BP6</f>
        <v>0</v>
      </c>
      <c r="BS88">
        <v>3</v>
      </c>
      <c r="BT88">
        <f>IF(BT7="","",BT6)</f>
        <v>0</v>
      </c>
      <c r="BU88">
        <v>3</v>
      </c>
      <c r="BV88">
        <f>BV6</f>
        <v>0</v>
      </c>
      <c r="BW88">
        <v>3</v>
      </c>
      <c r="BX88">
        <f>IF(BX7="","",BX6)</f>
        <v>0</v>
      </c>
      <c r="BY88">
        <v>3</v>
      </c>
      <c r="BZ88">
        <f>BZ6</f>
        <v>0</v>
      </c>
      <c r="CA88">
        <v>3</v>
      </c>
      <c r="CB88">
        <f>IF(CB7="","",CB6)</f>
        <v>0</v>
      </c>
      <c r="CC88">
        <v>3</v>
      </c>
      <c r="CD88">
        <f>CD6</f>
        <v>0</v>
      </c>
      <c r="CE88">
        <v>3</v>
      </c>
      <c r="CF88">
        <f>IF(CF7="","",CF6)</f>
        <v>0</v>
      </c>
      <c r="CG88">
        <v>3</v>
      </c>
      <c r="CH88">
        <f>CH6</f>
        <v>0</v>
      </c>
      <c r="CI88">
        <v>3</v>
      </c>
      <c r="CJ88">
        <f>IF(CJ7="","",CJ6)</f>
        <v>0</v>
      </c>
      <c r="CK88">
        <v>3</v>
      </c>
      <c r="CL88">
        <f>CL6</f>
        <v>0</v>
      </c>
      <c r="CM88">
        <v>3</v>
      </c>
      <c r="CN88">
        <f>IF(CN7="","",CN6)</f>
        <v>0</v>
      </c>
      <c r="CO88">
        <v>3</v>
      </c>
      <c r="CP88">
        <f>CP6</f>
        <v>0</v>
      </c>
      <c r="CQ88">
        <v>3</v>
      </c>
      <c r="CR88">
        <f>IF(CR7="","",CR6)</f>
        <v>0</v>
      </c>
      <c r="CS88">
        <v>3</v>
      </c>
      <c r="CT88">
        <f>CT6</f>
        <v>0</v>
      </c>
      <c r="CU88">
        <v>3</v>
      </c>
      <c r="CV88">
        <f>IF(CV7="","",CV6)</f>
        <v>0</v>
      </c>
      <c r="CW88">
        <v>3</v>
      </c>
      <c r="CX88">
        <f>CX6</f>
        <v>0</v>
      </c>
      <c r="CY88">
        <v>3</v>
      </c>
      <c r="CZ88">
        <f>IF(CZ7="","",CZ6)</f>
        <v>0</v>
      </c>
      <c r="DA88">
        <v>3</v>
      </c>
      <c r="DB88">
        <f>DB6</f>
        <v>0</v>
      </c>
      <c r="DC88">
        <v>3</v>
      </c>
      <c r="DD88">
        <f>IF(DD7="","",DD6)</f>
        <v>0</v>
      </c>
      <c r="DE88">
        <v>3</v>
      </c>
      <c r="DF88">
        <f>DF6</f>
        <v>0</v>
      </c>
      <c r="DG88">
        <v>3</v>
      </c>
      <c r="DH88">
        <f>IF(DH7="","",DH6)</f>
        <v>0</v>
      </c>
      <c r="DI88">
        <v>3</v>
      </c>
      <c r="DJ88">
        <f>DJ6</f>
        <v>0</v>
      </c>
      <c r="DK88">
        <v>3</v>
      </c>
      <c r="DL88">
        <f>IF(DL7="","",DL6)</f>
        <v>0</v>
      </c>
      <c r="DM88">
        <v>3</v>
      </c>
      <c r="DN88">
        <f>DN6</f>
        <v>0</v>
      </c>
      <c r="DO88">
        <v>3</v>
      </c>
      <c r="DP88">
        <f>IF(DP7="","",DP6)</f>
        <v>0</v>
      </c>
      <c r="DQ88">
        <v>3</v>
      </c>
      <c r="DR88">
        <f>DR6</f>
        <v>0</v>
      </c>
      <c r="DS88">
        <v>3</v>
      </c>
      <c r="DT88">
        <f>IF(DT7="","",DT6)</f>
        <v>0</v>
      </c>
      <c r="DU88">
        <v>3</v>
      </c>
      <c r="DV88">
        <f>DV6</f>
        <v>0</v>
      </c>
      <c r="DW88">
        <v>3</v>
      </c>
      <c r="DX88">
        <f>IF(DX7="","",DX6)</f>
        <v>0</v>
      </c>
      <c r="DY88">
        <v>3</v>
      </c>
      <c r="DZ88">
        <f>DZ6</f>
        <v>0</v>
      </c>
      <c r="EA88">
        <v>3</v>
      </c>
      <c r="EB88">
        <f>IF(EB7="","",EB6)</f>
        <v>0</v>
      </c>
      <c r="EC88">
        <v>3</v>
      </c>
      <c r="ED88">
        <f>ED6</f>
        <v>0</v>
      </c>
    </row>
    <row r="89" spans="5:200">
      <c r="E89">
        <v>4</v>
      </c>
      <c r="F89">
        <f>IF(F8="","",F7)</f>
        <v>0</v>
      </c>
      <c r="G89">
        <v>4</v>
      </c>
      <c r="H89">
        <f>H7</f>
        <v>0</v>
      </c>
      <c r="I89">
        <v>4</v>
      </c>
      <c r="J89">
        <f>IF(J8="","",J7)</f>
        <v>0</v>
      </c>
      <c r="K89">
        <v>4</v>
      </c>
      <c r="L89">
        <f>L7</f>
        <v>0</v>
      </c>
      <c r="M89">
        <v>4</v>
      </c>
      <c r="N89">
        <f>IF(N8="","",N7)</f>
        <v>0</v>
      </c>
      <c r="O89">
        <v>4</v>
      </c>
      <c r="P89">
        <f>P7</f>
        <v>0</v>
      </c>
      <c r="Q89">
        <v>4</v>
      </c>
      <c r="R89">
        <f>IF(R8="","",R7)</f>
        <v>0</v>
      </c>
      <c r="S89">
        <v>4</v>
      </c>
      <c r="T89">
        <f>T7</f>
        <v>0</v>
      </c>
      <c r="U89">
        <v>4</v>
      </c>
      <c r="V89">
        <f>IF(V8="","",V7)</f>
        <v>0</v>
      </c>
      <c r="W89">
        <v>4</v>
      </c>
      <c r="X89">
        <f>X7</f>
        <v>0</v>
      </c>
      <c r="Y89">
        <v>4</v>
      </c>
      <c r="Z89">
        <f>IF(Z8="","",Z7)</f>
        <v>0</v>
      </c>
      <c r="AA89">
        <v>4</v>
      </c>
      <c r="AB89">
        <f>AB7</f>
        <v>0</v>
      </c>
      <c r="AC89">
        <v>4</v>
      </c>
      <c r="AD89">
        <f>IF(AD8="","",AD7)</f>
        <v>0</v>
      </c>
      <c r="AE89">
        <v>4</v>
      </c>
      <c r="AF89">
        <f>AF7</f>
        <v>0</v>
      </c>
      <c r="AG89">
        <v>4</v>
      </c>
      <c r="AH89">
        <f>IF(AH8="","",AH7)</f>
        <v>0</v>
      </c>
      <c r="AI89">
        <v>4</v>
      </c>
      <c r="AJ89">
        <f>AJ7</f>
        <v>0</v>
      </c>
      <c r="AK89">
        <v>4</v>
      </c>
      <c r="AL89">
        <f>IF(AL8="","",AL7)</f>
        <v>0</v>
      </c>
      <c r="AM89">
        <v>4</v>
      </c>
      <c r="AN89">
        <f>AN7</f>
        <v>0</v>
      </c>
      <c r="AO89">
        <v>4</v>
      </c>
      <c r="AP89">
        <f>IF(AP8="","",AP7)</f>
        <v>0</v>
      </c>
      <c r="AQ89">
        <v>4</v>
      </c>
      <c r="AR89">
        <f>AR7</f>
        <v>0</v>
      </c>
      <c r="AS89">
        <v>4</v>
      </c>
      <c r="AT89">
        <f>IF(AT8="","",AT7)</f>
        <v>0</v>
      </c>
      <c r="AU89">
        <v>4</v>
      </c>
      <c r="AV89">
        <f>AV7</f>
        <v>0</v>
      </c>
      <c r="AW89">
        <v>4</v>
      </c>
      <c r="AX89">
        <f>IF(AX8="","",AX7)</f>
        <v>0</v>
      </c>
      <c r="AY89">
        <v>4</v>
      </c>
      <c r="AZ89">
        <f>AZ7</f>
        <v>0</v>
      </c>
      <c r="BA89">
        <v>4</v>
      </c>
      <c r="BB89">
        <f>IF(BB8="","",BB7)</f>
        <v>0</v>
      </c>
      <c r="BC89">
        <v>4</v>
      </c>
      <c r="BD89">
        <f>BD7</f>
        <v>0</v>
      </c>
      <c r="BE89">
        <v>4</v>
      </c>
      <c r="BF89">
        <f>IF(BF8="","",BF7)</f>
        <v>0</v>
      </c>
      <c r="BG89">
        <v>4</v>
      </c>
      <c r="BH89">
        <f>BH7</f>
        <v>0</v>
      </c>
      <c r="BI89">
        <v>4</v>
      </c>
      <c r="BJ89">
        <f>IF(BJ8="","",BJ7)</f>
        <v>0</v>
      </c>
      <c r="BK89">
        <v>4</v>
      </c>
      <c r="BL89">
        <f>BL7</f>
        <v>0</v>
      </c>
      <c r="BM89">
        <v>4</v>
      </c>
      <c r="BN89">
        <f>IF(BN8="","",BN7)</f>
        <v>0</v>
      </c>
      <c r="BO89">
        <v>4</v>
      </c>
      <c r="BP89">
        <f>BP7</f>
        <v>0</v>
      </c>
      <c r="BS89">
        <v>4</v>
      </c>
      <c r="BT89">
        <f>IF(BT8="","",BT7)</f>
        <v>0</v>
      </c>
      <c r="BU89">
        <v>4</v>
      </c>
      <c r="BV89">
        <f>BV7</f>
        <v>0</v>
      </c>
      <c r="BW89">
        <v>4</v>
      </c>
      <c r="BX89">
        <f>IF(BX8="","",BX7)</f>
        <v>0</v>
      </c>
      <c r="BY89">
        <v>4</v>
      </c>
      <c r="BZ89">
        <f>BZ7</f>
        <v>0</v>
      </c>
      <c r="CA89">
        <v>4</v>
      </c>
      <c r="CB89">
        <f>IF(CB8="","",CB7)</f>
        <v>0</v>
      </c>
      <c r="CC89">
        <v>4</v>
      </c>
      <c r="CD89">
        <f>CD7</f>
        <v>0</v>
      </c>
      <c r="CE89">
        <v>4</v>
      </c>
      <c r="CF89">
        <f>IF(CF8="","",CF7)</f>
        <v>0</v>
      </c>
      <c r="CG89">
        <v>4</v>
      </c>
      <c r="CH89">
        <f>CH7</f>
        <v>0</v>
      </c>
      <c r="CI89">
        <v>4</v>
      </c>
      <c r="CJ89">
        <f>IF(CJ8="","",CJ7)</f>
        <v>0</v>
      </c>
      <c r="CK89">
        <v>4</v>
      </c>
      <c r="CL89">
        <f>CL7</f>
        <v>0</v>
      </c>
      <c r="CM89">
        <v>4</v>
      </c>
      <c r="CN89">
        <f>IF(CN8="","",CN7)</f>
        <v>0</v>
      </c>
      <c r="CO89">
        <v>4</v>
      </c>
      <c r="CP89">
        <f>CP7</f>
        <v>0</v>
      </c>
      <c r="CQ89">
        <v>4</v>
      </c>
      <c r="CR89">
        <f>IF(CR8="","",CR7)</f>
        <v>0</v>
      </c>
      <c r="CS89">
        <v>4</v>
      </c>
      <c r="CT89">
        <f>CT7</f>
        <v>0</v>
      </c>
      <c r="CU89">
        <v>4</v>
      </c>
      <c r="CV89">
        <f>IF(CV8="","",CV7)</f>
        <v>0</v>
      </c>
      <c r="CW89">
        <v>4</v>
      </c>
      <c r="CX89">
        <f>CX7</f>
        <v>0</v>
      </c>
      <c r="CY89">
        <v>4</v>
      </c>
      <c r="CZ89">
        <f>IF(CZ8="","",CZ7)</f>
        <v>0</v>
      </c>
      <c r="DA89">
        <v>4</v>
      </c>
      <c r="DB89">
        <f>DB7</f>
        <v>0</v>
      </c>
      <c r="DC89">
        <v>4</v>
      </c>
      <c r="DD89">
        <f>IF(DD8="","",DD7)</f>
        <v>0</v>
      </c>
      <c r="DE89">
        <v>4</v>
      </c>
      <c r="DF89">
        <f>DF7</f>
        <v>0</v>
      </c>
      <c r="DG89">
        <v>4</v>
      </c>
      <c r="DH89">
        <f>IF(DH8="","",DH7)</f>
        <v>0</v>
      </c>
      <c r="DI89">
        <v>4</v>
      </c>
      <c r="DJ89">
        <f>DJ7</f>
        <v>0</v>
      </c>
      <c r="DK89">
        <v>4</v>
      </c>
      <c r="DL89">
        <f>IF(DL8="","",DL7)</f>
        <v>0</v>
      </c>
      <c r="DM89">
        <v>4</v>
      </c>
      <c r="DN89">
        <f>DN7</f>
        <v>0</v>
      </c>
      <c r="DO89">
        <v>4</v>
      </c>
      <c r="DP89">
        <f>IF(DP8="","",DP7)</f>
        <v>0</v>
      </c>
      <c r="DQ89">
        <v>4</v>
      </c>
      <c r="DR89">
        <f>DR7</f>
        <v>0</v>
      </c>
      <c r="DS89">
        <v>4</v>
      </c>
      <c r="DT89">
        <f>IF(DT8="","",DT7)</f>
        <v>0</v>
      </c>
      <c r="DU89">
        <v>4</v>
      </c>
      <c r="DV89">
        <f>DV7</f>
        <v>0</v>
      </c>
      <c r="DW89">
        <v>4</v>
      </c>
      <c r="DX89">
        <f>IF(DX8="","",DX7)</f>
        <v>0</v>
      </c>
      <c r="DY89">
        <v>4</v>
      </c>
      <c r="DZ89">
        <f>DZ7</f>
        <v>0</v>
      </c>
      <c r="EA89">
        <v>4</v>
      </c>
      <c r="EB89">
        <f>IF(EB8="","",EB7)</f>
        <v>0</v>
      </c>
      <c r="EC89">
        <v>4</v>
      </c>
      <c r="ED89">
        <f>ED7</f>
        <v>0</v>
      </c>
    </row>
    <row r="90" spans="5:200">
      <c r="E90">
        <v>5</v>
      </c>
      <c r="F90">
        <f>IF(F9="","",F8)</f>
        <v>0</v>
      </c>
      <c r="G90">
        <v>5</v>
      </c>
      <c r="H90">
        <f>H8</f>
        <v>0</v>
      </c>
      <c r="I90">
        <v>5</v>
      </c>
      <c r="J90">
        <f>IF(J9="","",J8)</f>
        <v>0</v>
      </c>
      <c r="K90">
        <v>5</v>
      </c>
      <c r="L90">
        <f>L8</f>
        <v>0</v>
      </c>
      <c r="M90">
        <v>5</v>
      </c>
      <c r="N90">
        <f>IF(N9="","",N8)</f>
        <v>0</v>
      </c>
      <c r="O90">
        <v>5</v>
      </c>
      <c r="P90">
        <f>P8</f>
        <v>0</v>
      </c>
      <c r="Q90">
        <v>5</v>
      </c>
      <c r="R90">
        <f>IF(R9="","",R8)</f>
        <v>0</v>
      </c>
      <c r="S90">
        <v>5</v>
      </c>
      <c r="T90">
        <f>T8</f>
        <v>0</v>
      </c>
      <c r="U90">
        <v>5</v>
      </c>
      <c r="V90">
        <f>IF(V9="","",V8)</f>
        <v>0</v>
      </c>
      <c r="W90">
        <v>5</v>
      </c>
      <c r="X90">
        <f>X8</f>
        <v>0</v>
      </c>
      <c r="Y90">
        <v>5</v>
      </c>
      <c r="Z90">
        <f>IF(Z9="","",Z8)</f>
        <v>0</v>
      </c>
      <c r="AA90">
        <v>5</v>
      </c>
      <c r="AB90">
        <f>AB8</f>
        <v>0</v>
      </c>
      <c r="AC90">
        <v>5</v>
      </c>
      <c r="AD90">
        <f>IF(AD9="","",AD8)</f>
        <v>0</v>
      </c>
      <c r="AE90">
        <v>5</v>
      </c>
      <c r="AF90">
        <f>AF8</f>
        <v>0</v>
      </c>
      <c r="AG90">
        <v>5</v>
      </c>
      <c r="AH90">
        <f>IF(AH9="","",AH8)</f>
        <v>0</v>
      </c>
      <c r="AI90">
        <v>5</v>
      </c>
      <c r="AJ90">
        <f>AJ8</f>
        <v>0</v>
      </c>
      <c r="AK90">
        <v>5</v>
      </c>
      <c r="AL90">
        <f>IF(AL9="","",AL8)</f>
        <v>0</v>
      </c>
      <c r="AM90">
        <v>5</v>
      </c>
      <c r="AN90">
        <f>AN8</f>
        <v>0</v>
      </c>
      <c r="AO90">
        <v>5</v>
      </c>
      <c r="AP90">
        <f>IF(AP9="","",AP8)</f>
        <v>0</v>
      </c>
      <c r="AQ90">
        <v>5</v>
      </c>
      <c r="AR90">
        <f>AR8</f>
        <v>0</v>
      </c>
      <c r="AS90">
        <v>5</v>
      </c>
      <c r="AT90">
        <f>IF(AT9="","",AT8)</f>
        <v>0</v>
      </c>
      <c r="AU90">
        <v>5</v>
      </c>
      <c r="AV90">
        <f>AV8</f>
        <v>0</v>
      </c>
      <c r="AW90">
        <v>5</v>
      </c>
      <c r="AX90">
        <f>IF(AX9="","",AX8)</f>
        <v>0</v>
      </c>
      <c r="AY90">
        <v>5</v>
      </c>
      <c r="AZ90">
        <f>AZ8</f>
        <v>0</v>
      </c>
      <c r="BA90">
        <v>5</v>
      </c>
      <c r="BB90">
        <f>IF(BB9="","",BB8)</f>
        <v>0</v>
      </c>
      <c r="BC90">
        <v>5</v>
      </c>
      <c r="BD90">
        <f>BD8</f>
        <v>0</v>
      </c>
      <c r="BE90">
        <v>5</v>
      </c>
      <c r="BF90">
        <f>IF(BF9="","",BF8)</f>
        <v>0</v>
      </c>
      <c r="BG90">
        <v>5</v>
      </c>
      <c r="BH90">
        <f>BH8</f>
        <v>0</v>
      </c>
      <c r="BI90">
        <v>5</v>
      </c>
      <c r="BJ90">
        <f>IF(BJ9="","",BJ8)</f>
        <v>0</v>
      </c>
      <c r="BK90">
        <v>5</v>
      </c>
      <c r="BL90">
        <f>BL8</f>
        <v>0</v>
      </c>
      <c r="BM90">
        <v>5</v>
      </c>
      <c r="BN90">
        <f>IF(BN9="","",BN8)</f>
        <v>0</v>
      </c>
      <c r="BO90">
        <v>5</v>
      </c>
      <c r="BP90">
        <f>BP8</f>
        <v>0</v>
      </c>
      <c r="BS90">
        <v>5</v>
      </c>
      <c r="BT90">
        <f>IF(BT9="","",BT8)</f>
        <v>0</v>
      </c>
      <c r="BU90">
        <v>5</v>
      </c>
      <c r="BV90">
        <f>BV8</f>
        <v>0</v>
      </c>
      <c r="BW90">
        <v>5</v>
      </c>
      <c r="BX90">
        <f>IF(BX9="","",BX8)</f>
        <v>0</v>
      </c>
      <c r="BY90">
        <v>5</v>
      </c>
      <c r="BZ90">
        <f>BZ8</f>
        <v>0</v>
      </c>
      <c r="CA90">
        <v>5</v>
      </c>
      <c r="CB90">
        <f>IF(CB9="","",CB8)</f>
        <v>0</v>
      </c>
      <c r="CC90">
        <v>5</v>
      </c>
      <c r="CD90">
        <f>CD8</f>
        <v>0</v>
      </c>
      <c r="CE90">
        <v>5</v>
      </c>
      <c r="CF90">
        <f>IF(CF9="","",CF8)</f>
        <v>0</v>
      </c>
      <c r="CG90">
        <v>5</v>
      </c>
      <c r="CH90">
        <f>CH8</f>
        <v>0</v>
      </c>
      <c r="CI90">
        <v>5</v>
      </c>
      <c r="CJ90">
        <f>IF(CJ9="","",CJ8)</f>
        <v>0</v>
      </c>
      <c r="CK90">
        <v>5</v>
      </c>
      <c r="CL90">
        <f>CL8</f>
        <v>0</v>
      </c>
      <c r="CM90">
        <v>5</v>
      </c>
      <c r="CN90">
        <f>IF(CN9="","",CN8)</f>
        <v>0</v>
      </c>
      <c r="CO90">
        <v>5</v>
      </c>
      <c r="CP90">
        <f>CP8</f>
        <v>0</v>
      </c>
      <c r="CQ90">
        <v>5</v>
      </c>
      <c r="CR90">
        <f>IF(CR9="","",CR8)</f>
        <v>0</v>
      </c>
      <c r="CS90">
        <v>5</v>
      </c>
      <c r="CT90">
        <f>CT8</f>
        <v>0</v>
      </c>
      <c r="CU90">
        <v>5</v>
      </c>
      <c r="CV90">
        <f>IF(CV9="","",CV8)</f>
        <v>0</v>
      </c>
      <c r="CW90">
        <v>5</v>
      </c>
      <c r="CX90">
        <f>CX8</f>
        <v>0</v>
      </c>
      <c r="CY90">
        <v>5</v>
      </c>
      <c r="CZ90">
        <f>IF(CZ9="","",CZ8)</f>
        <v>0</v>
      </c>
      <c r="DA90">
        <v>5</v>
      </c>
      <c r="DB90">
        <f>DB8</f>
        <v>0</v>
      </c>
      <c r="DC90">
        <v>5</v>
      </c>
      <c r="DD90">
        <f>IF(DD9="","",DD8)</f>
        <v>0</v>
      </c>
      <c r="DE90">
        <v>5</v>
      </c>
      <c r="DF90">
        <f>DF8</f>
        <v>0</v>
      </c>
      <c r="DG90">
        <v>5</v>
      </c>
      <c r="DH90">
        <f>IF(DH9="","",DH8)</f>
        <v>0</v>
      </c>
      <c r="DI90">
        <v>5</v>
      </c>
      <c r="DJ90">
        <f>DJ8</f>
        <v>0</v>
      </c>
      <c r="DK90">
        <v>5</v>
      </c>
      <c r="DL90">
        <f>IF(DL9="","",DL8)</f>
        <v>0</v>
      </c>
      <c r="DM90">
        <v>5</v>
      </c>
      <c r="DN90">
        <f>DN8</f>
        <v>0</v>
      </c>
      <c r="DO90">
        <v>5</v>
      </c>
      <c r="DP90">
        <f>IF(DP9="","",DP8)</f>
        <v>0</v>
      </c>
      <c r="DQ90">
        <v>5</v>
      </c>
      <c r="DR90">
        <f>DR8</f>
        <v>0</v>
      </c>
      <c r="DS90">
        <v>5</v>
      </c>
      <c r="DT90">
        <f>IF(DT9="","",DT8)</f>
        <v>0</v>
      </c>
      <c r="DU90">
        <v>5</v>
      </c>
      <c r="DV90">
        <f>DV8</f>
        <v>0</v>
      </c>
      <c r="DW90">
        <v>5</v>
      </c>
      <c r="DX90">
        <f>IF(DX9="","",DX8)</f>
        <v>0</v>
      </c>
      <c r="DY90">
        <v>5</v>
      </c>
      <c r="DZ90">
        <f>DZ8</f>
        <v>0</v>
      </c>
      <c r="EA90">
        <v>5</v>
      </c>
      <c r="EB90">
        <f>IF(EB9="","",EB8)</f>
        <v>0</v>
      </c>
      <c r="EC90">
        <v>5</v>
      </c>
      <c r="ED90">
        <f>ED8</f>
        <v>0</v>
      </c>
    </row>
    <row r="91" spans="5:200">
      <c r="E91">
        <v>6</v>
      </c>
      <c r="F91">
        <f>IF(F10="","",F9)</f>
        <v>0</v>
      </c>
      <c r="G91">
        <v>6</v>
      </c>
      <c r="H91">
        <f>H9</f>
        <v>0</v>
      </c>
      <c r="I91">
        <v>6</v>
      </c>
      <c r="J91">
        <f>IF(J10="","",J9)</f>
        <v>0</v>
      </c>
      <c r="K91">
        <v>6</v>
      </c>
      <c r="L91">
        <f>L9</f>
        <v>0</v>
      </c>
      <c r="M91">
        <v>6</v>
      </c>
      <c r="N91">
        <f>IF(N10="","",N9)</f>
        <v>0</v>
      </c>
      <c r="O91">
        <v>6</v>
      </c>
      <c r="P91">
        <f>P9</f>
        <v>0</v>
      </c>
      <c r="Q91">
        <v>6</v>
      </c>
      <c r="R91">
        <f>IF(R10="","",R9)</f>
        <v>0</v>
      </c>
      <c r="S91">
        <v>6</v>
      </c>
      <c r="T91">
        <f>T9</f>
        <v>0</v>
      </c>
      <c r="U91">
        <v>6</v>
      </c>
      <c r="V91">
        <f>IF(V10="","",V9)</f>
        <v>0</v>
      </c>
      <c r="W91">
        <v>6</v>
      </c>
      <c r="X91">
        <f>X9</f>
        <v>0</v>
      </c>
      <c r="Y91">
        <v>6</v>
      </c>
      <c r="Z91">
        <f>IF(Z10="","",Z9)</f>
        <v>0</v>
      </c>
      <c r="AA91">
        <v>6</v>
      </c>
      <c r="AB91">
        <f>AB9</f>
        <v>0</v>
      </c>
      <c r="AC91">
        <v>6</v>
      </c>
      <c r="AD91">
        <f>IF(AD10="","",AD9)</f>
        <v>0</v>
      </c>
      <c r="AE91">
        <v>6</v>
      </c>
      <c r="AF91">
        <f>AF9</f>
        <v>0</v>
      </c>
      <c r="AG91">
        <v>6</v>
      </c>
      <c r="AH91">
        <f>IF(AH10="","",AH9)</f>
        <v>0</v>
      </c>
      <c r="AI91">
        <v>6</v>
      </c>
      <c r="AJ91">
        <f>AJ9</f>
        <v>0</v>
      </c>
      <c r="AK91">
        <v>6</v>
      </c>
      <c r="AL91">
        <f>IF(AL10="","",AL9)</f>
        <v>0</v>
      </c>
      <c r="AM91">
        <v>6</v>
      </c>
      <c r="AN91">
        <f>AN9</f>
        <v>0</v>
      </c>
      <c r="AO91">
        <v>6</v>
      </c>
      <c r="AP91">
        <f>IF(AP10="","",AP9)</f>
        <v>0</v>
      </c>
      <c r="AQ91">
        <v>6</v>
      </c>
      <c r="AR91">
        <f>AR9</f>
        <v>0</v>
      </c>
      <c r="AS91">
        <v>6</v>
      </c>
      <c r="AT91">
        <f>IF(AT10="","",AT9)</f>
        <v>0</v>
      </c>
      <c r="AU91">
        <v>6</v>
      </c>
      <c r="AV91">
        <f>AV9</f>
        <v>0</v>
      </c>
      <c r="AW91">
        <v>6</v>
      </c>
      <c r="AX91">
        <f>IF(AX10="","",AX9)</f>
        <v>0</v>
      </c>
      <c r="AY91">
        <v>6</v>
      </c>
      <c r="AZ91">
        <f>AZ9</f>
        <v>0</v>
      </c>
      <c r="BA91">
        <v>6</v>
      </c>
      <c r="BB91">
        <f>IF(BB10="","",BB9)</f>
        <v>0</v>
      </c>
      <c r="BC91">
        <v>6</v>
      </c>
      <c r="BD91">
        <f>BD9</f>
        <v>0</v>
      </c>
      <c r="BE91">
        <v>6</v>
      </c>
      <c r="BF91">
        <f>IF(BF10="","",BF9)</f>
        <v>0</v>
      </c>
      <c r="BG91">
        <v>6</v>
      </c>
      <c r="BH91">
        <f>BH9</f>
        <v>0</v>
      </c>
      <c r="BI91">
        <v>6</v>
      </c>
      <c r="BJ91">
        <f>IF(BJ10="","",BJ9)</f>
        <v>0</v>
      </c>
      <c r="BK91">
        <v>6</v>
      </c>
      <c r="BL91">
        <f>BL9</f>
        <v>0</v>
      </c>
      <c r="BM91">
        <v>6</v>
      </c>
      <c r="BN91">
        <f>IF(BN10="","",BN9)</f>
        <v>0</v>
      </c>
      <c r="BO91">
        <v>6</v>
      </c>
      <c r="BP91">
        <f>BP9</f>
        <v>0</v>
      </c>
      <c r="BS91">
        <v>6</v>
      </c>
      <c r="BT91">
        <f>IF(BT10="","",BT9)</f>
        <v>0</v>
      </c>
      <c r="BU91">
        <v>6</v>
      </c>
      <c r="BV91">
        <f>BV9</f>
        <v>0</v>
      </c>
      <c r="BW91">
        <v>6</v>
      </c>
      <c r="BX91">
        <f>IF(BX10="","",BX9)</f>
        <v>0</v>
      </c>
      <c r="BY91">
        <v>6</v>
      </c>
      <c r="BZ91">
        <f>BZ9</f>
        <v>0</v>
      </c>
      <c r="CA91">
        <v>6</v>
      </c>
      <c r="CB91">
        <f>IF(CB10="","",CB9)</f>
        <v>0</v>
      </c>
      <c r="CC91">
        <v>6</v>
      </c>
      <c r="CD91">
        <f>CD9</f>
        <v>0</v>
      </c>
      <c r="CE91">
        <v>6</v>
      </c>
      <c r="CF91">
        <f>IF(CF10="","",CF9)</f>
        <v>0</v>
      </c>
      <c r="CG91">
        <v>6</v>
      </c>
      <c r="CH91">
        <f>CH9</f>
        <v>0</v>
      </c>
      <c r="CI91">
        <v>6</v>
      </c>
      <c r="CJ91">
        <f>IF(CJ10="","",CJ9)</f>
        <v>0</v>
      </c>
      <c r="CK91">
        <v>6</v>
      </c>
      <c r="CL91">
        <f>CL9</f>
        <v>0</v>
      </c>
      <c r="CM91">
        <v>6</v>
      </c>
      <c r="CN91">
        <f>IF(CN10="","",CN9)</f>
        <v>0</v>
      </c>
      <c r="CO91">
        <v>6</v>
      </c>
      <c r="CP91">
        <f>CP9</f>
        <v>0</v>
      </c>
      <c r="CQ91">
        <v>6</v>
      </c>
      <c r="CR91">
        <f>IF(CR10="","",CR9)</f>
        <v>0</v>
      </c>
      <c r="CS91">
        <v>6</v>
      </c>
      <c r="CT91">
        <f>CT9</f>
        <v>0</v>
      </c>
      <c r="CU91">
        <v>6</v>
      </c>
      <c r="CV91">
        <f>IF(CV10="","",CV9)</f>
        <v>0</v>
      </c>
      <c r="CW91">
        <v>6</v>
      </c>
      <c r="CX91">
        <f>CX9</f>
        <v>0</v>
      </c>
      <c r="CY91">
        <v>6</v>
      </c>
      <c r="CZ91">
        <f>IF(CZ10="","",CZ9)</f>
        <v>0</v>
      </c>
      <c r="DA91">
        <v>6</v>
      </c>
      <c r="DB91">
        <f>DB9</f>
        <v>0</v>
      </c>
      <c r="DC91">
        <v>6</v>
      </c>
      <c r="DD91">
        <f>IF(DD10="","",DD9)</f>
        <v>0</v>
      </c>
      <c r="DE91">
        <v>6</v>
      </c>
      <c r="DF91">
        <f>DF9</f>
        <v>0</v>
      </c>
      <c r="DG91">
        <v>6</v>
      </c>
      <c r="DH91">
        <f>IF(DH10="","",DH9)</f>
        <v>0</v>
      </c>
      <c r="DI91">
        <v>6</v>
      </c>
      <c r="DJ91">
        <f>DJ9</f>
        <v>0</v>
      </c>
      <c r="DK91">
        <v>6</v>
      </c>
      <c r="DL91">
        <f>IF(DL10="","",DL9)</f>
        <v>0</v>
      </c>
      <c r="DM91">
        <v>6</v>
      </c>
      <c r="DN91">
        <f>DN9</f>
        <v>0</v>
      </c>
      <c r="DO91">
        <v>6</v>
      </c>
      <c r="DP91">
        <f>IF(DP10="","",DP9)</f>
        <v>0</v>
      </c>
      <c r="DQ91">
        <v>6</v>
      </c>
      <c r="DR91">
        <f>DR9</f>
        <v>0</v>
      </c>
      <c r="DS91">
        <v>6</v>
      </c>
      <c r="DT91">
        <f>IF(DT10="","",DT9)</f>
        <v>0</v>
      </c>
      <c r="DU91">
        <v>6</v>
      </c>
      <c r="DV91">
        <f>DV9</f>
        <v>0</v>
      </c>
      <c r="DW91">
        <v>6</v>
      </c>
      <c r="DX91">
        <f>IF(DX10="","",DX9)</f>
        <v>0</v>
      </c>
      <c r="DY91">
        <v>6</v>
      </c>
      <c r="DZ91">
        <f>DZ9</f>
        <v>0</v>
      </c>
      <c r="EA91">
        <v>6</v>
      </c>
      <c r="EB91">
        <f>IF(EB10="","",EB9)</f>
        <v>0</v>
      </c>
      <c r="EC91">
        <v>6</v>
      </c>
      <c r="ED91">
        <f>ED9</f>
        <v>0</v>
      </c>
    </row>
    <row r="92" spans="5:200">
      <c r="E92">
        <v>7</v>
      </c>
      <c r="F92">
        <f>IF(F11="","",F10)</f>
        <v>0</v>
      </c>
      <c r="G92">
        <v>7</v>
      </c>
      <c r="H92">
        <f>H10</f>
        <v>0</v>
      </c>
      <c r="I92">
        <v>7</v>
      </c>
      <c r="J92">
        <f>IF(J11="","",J10)</f>
        <v>0</v>
      </c>
      <c r="K92">
        <v>7</v>
      </c>
      <c r="L92">
        <f>L10</f>
        <v>0</v>
      </c>
      <c r="M92">
        <v>7</v>
      </c>
      <c r="N92">
        <f>IF(N11="","",N10)</f>
        <v>0</v>
      </c>
      <c r="O92">
        <v>7</v>
      </c>
      <c r="P92">
        <f>P10</f>
        <v>0</v>
      </c>
      <c r="Q92">
        <v>7</v>
      </c>
      <c r="R92">
        <f>IF(R11="","",R10)</f>
        <v>0</v>
      </c>
      <c r="S92">
        <v>7</v>
      </c>
      <c r="T92">
        <f>T10</f>
        <v>0</v>
      </c>
      <c r="U92">
        <v>7</v>
      </c>
      <c r="V92">
        <f>IF(V11="","",V10)</f>
        <v>0</v>
      </c>
      <c r="W92">
        <v>7</v>
      </c>
      <c r="X92">
        <f>X10</f>
        <v>0</v>
      </c>
      <c r="Y92">
        <v>7</v>
      </c>
      <c r="Z92">
        <f>IF(Z11="","",Z10)</f>
        <v>0</v>
      </c>
      <c r="AA92">
        <v>7</v>
      </c>
      <c r="AB92">
        <f>AB10</f>
        <v>0</v>
      </c>
      <c r="AC92">
        <v>7</v>
      </c>
      <c r="AD92">
        <f>IF(AD11="","",AD10)</f>
        <v>0</v>
      </c>
      <c r="AE92">
        <v>7</v>
      </c>
      <c r="AF92">
        <f>AF10</f>
        <v>0</v>
      </c>
      <c r="AG92">
        <v>7</v>
      </c>
      <c r="AH92">
        <f>IF(AH11="","",AH10)</f>
        <v>0</v>
      </c>
      <c r="AI92">
        <v>7</v>
      </c>
      <c r="AJ92">
        <f>AJ10</f>
        <v>0</v>
      </c>
      <c r="AK92">
        <v>7</v>
      </c>
      <c r="AL92">
        <f>IF(AL11="","",AL10)</f>
        <v>0</v>
      </c>
      <c r="AM92">
        <v>7</v>
      </c>
      <c r="AN92">
        <f>AN10</f>
        <v>0</v>
      </c>
      <c r="AO92">
        <v>7</v>
      </c>
      <c r="AP92">
        <f>IF(AP11="","",AP10)</f>
        <v>0</v>
      </c>
      <c r="AQ92">
        <v>7</v>
      </c>
      <c r="AR92">
        <f>AR10</f>
        <v>0</v>
      </c>
      <c r="AS92">
        <v>7</v>
      </c>
      <c r="AT92">
        <f>IF(AT11="","",AT10)</f>
        <v>0</v>
      </c>
      <c r="AU92">
        <v>7</v>
      </c>
      <c r="AV92">
        <f>AV10</f>
        <v>0</v>
      </c>
      <c r="AW92">
        <v>7</v>
      </c>
      <c r="AX92">
        <f>IF(AX11="","",AX10)</f>
        <v>0</v>
      </c>
      <c r="AY92">
        <v>7</v>
      </c>
      <c r="AZ92">
        <f>AZ10</f>
        <v>0</v>
      </c>
      <c r="BA92">
        <v>7</v>
      </c>
      <c r="BB92">
        <f>IF(BB11="","",BB10)</f>
        <v>0</v>
      </c>
      <c r="BC92">
        <v>7</v>
      </c>
      <c r="BD92">
        <f>BD10</f>
        <v>0</v>
      </c>
      <c r="BE92">
        <v>7</v>
      </c>
      <c r="BF92">
        <f>IF(BF11="","",BF10)</f>
        <v>0</v>
      </c>
      <c r="BG92">
        <v>7</v>
      </c>
      <c r="BH92">
        <f>BH10</f>
        <v>0</v>
      </c>
      <c r="BI92">
        <v>7</v>
      </c>
      <c r="BJ92">
        <f>IF(BJ11="","",BJ10)</f>
        <v>0</v>
      </c>
      <c r="BK92">
        <v>7</v>
      </c>
      <c r="BL92">
        <f>BL10</f>
        <v>0</v>
      </c>
      <c r="BM92">
        <v>7</v>
      </c>
      <c r="BN92">
        <f>IF(BN11="","",BN10)</f>
        <v>0</v>
      </c>
      <c r="BO92">
        <v>7</v>
      </c>
      <c r="BP92">
        <f>BP10</f>
        <v>0</v>
      </c>
      <c r="BS92">
        <v>7</v>
      </c>
      <c r="BT92">
        <f>IF(BT11="","",BT10)</f>
        <v>0</v>
      </c>
      <c r="BU92">
        <v>7</v>
      </c>
      <c r="BV92">
        <f>BV10</f>
        <v>0</v>
      </c>
      <c r="BW92">
        <v>7</v>
      </c>
      <c r="BX92">
        <f>IF(BX11="","",BX10)</f>
        <v>0</v>
      </c>
      <c r="BY92">
        <v>7</v>
      </c>
      <c r="BZ92">
        <f>BZ10</f>
        <v>0</v>
      </c>
      <c r="CA92">
        <v>7</v>
      </c>
      <c r="CB92">
        <f>IF(CB11="","",CB10)</f>
        <v>0</v>
      </c>
      <c r="CC92">
        <v>7</v>
      </c>
      <c r="CD92">
        <f>CD10</f>
        <v>0</v>
      </c>
      <c r="CE92">
        <v>7</v>
      </c>
      <c r="CF92">
        <f>IF(CF11="","",CF10)</f>
        <v>0</v>
      </c>
      <c r="CG92">
        <v>7</v>
      </c>
      <c r="CH92">
        <f>CH10</f>
        <v>0</v>
      </c>
      <c r="CI92">
        <v>7</v>
      </c>
      <c r="CJ92">
        <f>IF(CJ11="","",CJ10)</f>
        <v>0</v>
      </c>
      <c r="CK92">
        <v>7</v>
      </c>
      <c r="CL92">
        <f>CL10</f>
        <v>0</v>
      </c>
      <c r="CM92">
        <v>7</v>
      </c>
      <c r="CN92">
        <f>IF(CN11="","",CN10)</f>
        <v>0</v>
      </c>
      <c r="CO92">
        <v>7</v>
      </c>
      <c r="CP92">
        <f>CP10</f>
        <v>0</v>
      </c>
      <c r="CQ92">
        <v>7</v>
      </c>
      <c r="CR92">
        <f>IF(CR11="","",CR10)</f>
        <v>0</v>
      </c>
      <c r="CS92">
        <v>7</v>
      </c>
      <c r="CT92">
        <f>CT10</f>
        <v>0</v>
      </c>
      <c r="CU92">
        <v>7</v>
      </c>
      <c r="CV92">
        <f>IF(CV11="","",CV10)</f>
        <v>0</v>
      </c>
      <c r="CW92">
        <v>7</v>
      </c>
      <c r="CX92">
        <f>CX10</f>
        <v>0</v>
      </c>
      <c r="CY92">
        <v>7</v>
      </c>
      <c r="CZ92">
        <f>IF(CZ11="","",CZ10)</f>
        <v>0</v>
      </c>
      <c r="DA92">
        <v>7</v>
      </c>
      <c r="DB92">
        <f>DB10</f>
        <v>0</v>
      </c>
      <c r="DC92">
        <v>7</v>
      </c>
      <c r="DD92">
        <f>IF(DD11="","",DD10)</f>
        <v>0</v>
      </c>
      <c r="DE92">
        <v>7</v>
      </c>
      <c r="DF92">
        <f>DF10</f>
        <v>0</v>
      </c>
      <c r="DG92">
        <v>7</v>
      </c>
      <c r="DH92">
        <f>IF(DH11="","",DH10)</f>
        <v>0</v>
      </c>
      <c r="DI92">
        <v>7</v>
      </c>
      <c r="DJ92">
        <f>DJ10</f>
        <v>0</v>
      </c>
      <c r="DK92">
        <v>7</v>
      </c>
      <c r="DL92">
        <f>IF(DL11="","",DL10)</f>
        <v>0</v>
      </c>
      <c r="DM92">
        <v>7</v>
      </c>
      <c r="DN92">
        <f>DN10</f>
        <v>0</v>
      </c>
      <c r="DO92">
        <v>7</v>
      </c>
      <c r="DP92">
        <f>IF(DP11="","",DP10)</f>
        <v>0</v>
      </c>
      <c r="DQ92">
        <v>7</v>
      </c>
      <c r="DR92">
        <f>DR10</f>
        <v>0</v>
      </c>
      <c r="DS92">
        <v>7</v>
      </c>
      <c r="DT92">
        <f>IF(DT11="","",DT10)</f>
        <v>0</v>
      </c>
      <c r="DU92">
        <v>7</v>
      </c>
      <c r="DV92">
        <f>DV10</f>
        <v>0</v>
      </c>
      <c r="DW92">
        <v>7</v>
      </c>
      <c r="DX92">
        <f>IF(DX11="","",DX10)</f>
        <v>0</v>
      </c>
      <c r="DY92">
        <v>7</v>
      </c>
      <c r="DZ92">
        <f>DZ10</f>
        <v>0</v>
      </c>
      <c r="EA92">
        <v>7</v>
      </c>
      <c r="EB92">
        <f>IF(EB11="","",EB10)</f>
        <v>0</v>
      </c>
      <c r="EC92">
        <v>7</v>
      </c>
      <c r="ED92">
        <f>ED10</f>
        <v>0</v>
      </c>
    </row>
    <row r="93" spans="5:200">
      <c r="E93">
        <v>8</v>
      </c>
      <c r="F93">
        <f>IF(F12="","",F11)</f>
        <v>0</v>
      </c>
      <c r="G93">
        <v>8</v>
      </c>
      <c r="H93">
        <f>H11</f>
        <v>0</v>
      </c>
      <c r="I93">
        <v>8</v>
      </c>
      <c r="J93">
        <f>IF(J12="","",J11)</f>
        <v>0</v>
      </c>
      <c r="K93">
        <v>8</v>
      </c>
      <c r="L93">
        <f>L11</f>
        <v>0</v>
      </c>
      <c r="M93">
        <v>8</v>
      </c>
      <c r="N93">
        <f>IF(N12="","",N11)</f>
        <v>0</v>
      </c>
      <c r="O93">
        <v>8</v>
      </c>
      <c r="P93">
        <f>P11</f>
        <v>0</v>
      </c>
      <c r="Q93">
        <v>8</v>
      </c>
      <c r="R93">
        <f>IF(R12="","",R11)</f>
        <v>0</v>
      </c>
      <c r="S93">
        <v>8</v>
      </c>
      <c r="T93">
        <f>T11</f>
        <v>0</v>
      </c>
      <c r="U93">
        <v>8</v>
      </c>
      <c r="V93">
        <f>IF(V12="","",V11)</f>
        <v>0</v>
      </c>
      <c r="W93">
        <v>8</v>
      </c>
      <c r="X93">
        <f>X11</f>
        <v>0</v>
      </c>
      <c r="Y93">
        <v>8</v>
      </c>
      <c r="Z93">
        <f>IF(Z12="","",Z11)</f>
        <v>0</v>
      </c>
      <c r="AA93">
        <v>8</v>
      </c>
      <c r="AB93">
        <f>AB11</f>
        <v>0</v>
      </c>
      <c r="AC93">
        <v>8</v>
      </c>
      <c r="AD93">
        <f>IF(AD12="","",AD11)</f>
        <v>0</v>
      </c>
      <c r="AE93">
        <v>8</v>
      </c>
      <c r="AF93">
        <f>AF11</f>
        <v>0</v>
      </c>
      <c r="AG93">
        <v>8</v>
      </c>
      <c r="AH93">
        <f>IF(AH12="","",AH11)</f>
        <v>0</v>
      </c>
      <c r="AI93">
        <v>8</v>
      </c>
      <c r="AJ93">
        <f>AJ11</f>
        <v>0</v>
      </c>
      <c r="AK93">
        <v>8</v>
      </c>
      <c r="AL93">
        <f>IF(AL12="","",AL11)</f>
        <v>0</v>
      </c>
      <c r="AM93">
        <v>8</v>
      </c>
      <c r="AN93">
        <f>AN11</f>
        <v>0</v>
      </c>
      <c r="AO93">
        <v>8</v>
      </c>
      <c r="AP93">
        <f>IF(AP12="","",AP11)</f>
        <v>0</v>
      </c>
      <c r="AQ93">
        <v>8</v>
      </c>
      <c r="AR93">
        <f>AR11</f>
        <v>0</v>
      </c>
      <c r="AS93">
        <v>8</v>
      </c>
      <c r="AT93">
        <f>IF(AT12="","",AT11)</f>
        <v>0</v>
      </c>
      <c r="AU93">
        <v>8</v>
      </c>
      <c r="AV93">
        <f>AV11</f>
        <v>0</v>
      </c>
      <c r="AW93">
        <v>8</v>
      </c>
      <c r="AX93">
        <f>IF(AX12="","",AX11)</f>
        <v>0</v>
      </c>
      <c r="AY93">
        <v>8</v>
      </c>
      <c r="AZ93">
        <f>AZ11</f>
        <v>0</v>
      </c>
      <c r="BA93">
        <v>8</v>
      </c>
      <c r="BB93">
        <f>IF(BB12="","",BB11)</f>
        <v>0</v>
      </c>
      <c r="BC93">
        <v>8</v>
      </c>
      <c r="BD93">
        <f>BD11</f>
        <v>0</v>
      </c>
      <c r="BE93">
        <v>8</v>
      </c>
      <c r="BF93">
        <f>IF(BF12="","",BF11)</f>
        <v>0</v>
      </c>
      <c r="BG93">
        <v>8</v>
      </c>
      <c r="BH93">
        <f>BH11</f>
        <v>0</v>
      </c>
      <c r="BI93">
        <v>8</v>
      </c>
      <c r="BJ93">
        <f>IF(BJ12="","",BJ11)</f>
        <v>0</v>
      </c>
      <c r="BK93">
        <v>8</v>
      </c>
      <c r="BL93">
        <f>BL11</f>
        <v>0</v>
      </c>
      <c r="BM93">
        <v>8</v>
      </c>
      <c r="BN93">
        <f>IF(BN12="","",BN11)</f>
        <v>0</v>
      </c>
      <c r="BO93">
        <v>8</v>
      </c>
      <c r="BP93">
        <f>BP11</f>
        <v>0</v>
      </c>
      <c r="BS93">
        <v>8</v>
      </c>
      <c r="BT93">
        <f>IF(BT12="","",BT11)</f>
        <v>0</v>
      </c>
      <c r="BU93">
        <v>8</v>
      </c>
      <c r="BV93">
        <f>BV11</f>
        <v>0</v>
      </c>
      <c r="BW93">
        <v>8</v>
      </c>
      <c r="BX93">
        <f>IF(BX12="","",BX11)</f>
        <v>0</v>
      </c>
      <c r="BY93">
        <v>8</v>
      </c>
      <c r="BZ93">
        <f>BZ11</f>
        <v>0</v>
      </c>
      <c r="CA93">
        <v>8</v>
      </c>
      <c r="CB93">
        <f>IF(CB12="","",CB11)</f>
        <v>0</v>
      </c>
      <c r="CC93">
        <v>8</v>
      </c>
      <c r="CD93">
        <f>CD11</f>
        <v>0</v>
      </c>
      <c r="CE93">
        <v>8</v>
      </c>
      <c r="CF93">
        <f>IF(CF12="","",CF11)</f>
        <v>0</v>
      </c>
      <c r="CG93">
        <v>8</v>
      </c>
      <c r="CH93">
        <f>CH11</f>
        <v>0</v>
      </c>
      <c r="CI93">
        <v>8</v>
      </c>
      <c r="CJ93">
        <f>IF(CJ12="","",CJ11)</f>
        <v>0</v>
      </c>
      <c r="CK93">
        <v>8</v>
      </c>
      <c r="CL93">
        <f>CL11</f>
        <v>0</v>
      </c>
      <c r="CM93">
        <v>8</v>
      </c>
      <c r="CN93">
        <f>IF(CN12="","",CN11)</f>
        <v>0</v>
      </c>
      <c r="CO93">
        <v>8</v>
      </c>
      <c r="CP93">
        <f>CP11</f>
        <v>0</v>
      </c>
      <c r="CQ93">
        <v>8</v>
      </c>
      <c r="CR93">
        <f>IF(CR12="","",CR11)</f>
        <v>0</v>
      </c>
      <c r="CS93">
        <v>8</v>
      </c>
      <c r="CT93">
        <f>CT11</f>
        <v>0</v>
      </c>
      <c r="CU93">
        <v>8</v>
      </c>
      <c r="CV93">
        <f>IF(CV12="","",CV11)</f>
        <v>0</v>
      </c>
      <c r="CW93">
        <v>8</v>
      </c>
      <c r="CX93">
        <f>CX11</f>
        <v>0</v>
      </c>
      <c r="CY93">
        <v>8</v>
      </c>
      <c r="CZ93">
        <f>IF(CZ12="","",CZ11)</f>
        <v>0</v>
      </c>
      <c r="DA93">
        <v>8</v>
      </c>
      <c r="DB93">
        <f>DB11</f>
        <v>0</v>
      </c>
      <c r="DC93">
        <v>8</v>
      </c>
      <c r="DD93">
        <f>IF(DD12="","",DD11)</f>
        <v>0</v>
      </c>
      <c r="DE93">
        <v>8</v>
      </c>
      <c r="DF93">
        <f>DF11</f>
        <v>0</v>
      </c>
      <c r="DG93">
        <v>8</v>
      </c>
      <c r="DH93">
        <f>IF(DH12="","",DH11)</f>
        <v>0</v>
      </c>
      <c r="DI93">
        <v>8</v>
      </c>
      <c r="DJ93">
        <f>DJ11</f>
        <v>0</v>
      </c>
      <c r="DK93">
        <v>8</v>
      </c>
      <c r="DL93">
        <f>IF(DL12="","",DL11)</f>
        <v>0</v>
      </c>
      <c r="DM93">
        <v>8</v>
      </c>
      <c r="DN93">
        <f>DN11</f>
        <v>0</v>
      </c>
      <c r="DO93">
        <v>8</v>
      </c>
      <c r="DP93">
        <f>IF(DP12="","",DP11)</f>
        <v>0</v>
      </c>
      <c r="DQ93">
        <v>8</v>
      </c>
      <c r="DR93">
        <f>DR11</f>
        <v>0</v>
      </c>
      <c r="DS93">
        <v>8</v>
      </c>
      <c r="DT93">
        <f>IF(DT12="","",DT11)</f>
        <v>0</v>
      </c>
      <c r="DU93">
        <v>8</v>
      </c>
      <c r="DV93">
        <f>DV11</f>
        <v>0</v>
      </c>
      <c r="DW93">
        <v>8</v>
      </c>
      <c r="DX93">
        <f>IF(DX12="","",DX11)</f>
        <v>0</v>
      </c>
      <c r="DY93">
        <v>8</v>
      </c>
      <c r="DZ93">
        <f>DZ11</f>
        <v>0</v>
      </c>
      <c r="EA93">
        <v>8</v>
      </c>
      <c r="EB93">
        <f>IF(EB12="","",EB11)</f>
        <v>0</v>
      </c>
      <c r="EC93">
        <v>8</v>
      </c>
      <c r="ED93">
        <f>ED11</f>
        <v>0</v>
      </c>
    </row>
    <row r="94" spans="5:200">
      <c r="E94">
        <v>9</v>
      </c>
      <c r="F94">
        <f>IF(F13="","",F12)</f>
        <v>0</v>
      </c>
      <c r="G94">
        <v>9</v>
      </c>
      <c r="H94">
        <f>H12</f>
        <v>0</v>
      </c>
      <c r="I94">
        <v>9</v>
      </c>
      <c r="J94">
        <f>IF(J13="","",J12)</f>
        <v>0</v>
      </c>
      <c r="K94">
        <v>9</v>
      </c>
      <c r="L94">
        <f>L12</f>
        <v>0</v>
      </c>
      <c r="M94">
        <v>9</v>
      </c>
      <c r="N94">
        <f>IF(N13="","",N12)</f>
        <v>0</v>
      </c>
      <c r="O94">
        <v>9</v>
      </c>
      <c r="P94">
        <f>P12</f>
        <v>0</v>
      </c>
      <c r="Q94">
        <v>9</v>
      </c>
      <c r="R94">
        <f>IF(R13="","",R12)</f>
        <v>0</v>
      </c>
      <c r="S94">
        <v>9</v>
      </c>
      <c r="T94">
        <f>T12</f>
        <v>0</v>
      </c>
      <c r="U94">
        <v>9</v>
      </c>
      <c r="V94">
        <f>IF(V13="","",V12)</f>
        <v>0</v>
      </c>
      <c r="W94">
        <v>9</v>
      </c>
      <c r="X94">
        <f>X12</f>
        <v>0</v>
      </c>
      <c r="Y94">
        <v>9</v>
      </c>
      <c r="Z94">
        <f>IF(Z13="","",Z12)</f>
        <v>0</v>
      </c>
      <c r="AA94">
        <v>9</v>
      </c>
      <c r="AB94">
        <f>AB12</f>
        <v>0</v>
      </c>
      <c r="AC94">
        <v>9</v>
      </c>
      <c r="AD94">
        <f>IF(AD13="","",AD12)</f>
        <v>0</v>
      </c>
      <c r="AE94">
        <v>9</v>
      </c>
      <c r="AF94">
        <f>AF12</f>
        <v>0</v>
      </c>
      <c r="AG94">
        <v>9</v>
      </c>
      <c r="AH94">
        <f>IF(AH13="","",AH12)</f>
        <v>0</v>
      </c>
      <c r="AI94">
        <v>9</v>
      </c>
      <c r="AJ94">
        <f>AJ12</f>
        <v>0</v>
      </c>
      <c r="AK94">
        <v>9</v>
      </c>
      <c r="AL94">
        <f>IF(AL13="","",AL12)</f>
        <v>0</v>
      </c>
      <c r="AM94">
        <v>9</v>
      </c>
      <c r="AN94">
        <f>AN12</f>
        <v>0</v>
      </c>
      <c r="AO94">
        <v>9</v>
      </c>
      <c r="AP94">
        <f>IF(AP13="","",AP12)</f>
        <v>0</v>
      </c>
      <c r="AQ94">
        <v>9</v>
      </c>
      <c r="AR94">
        <f>AR12</f>
        <v>0</v>
      </c>
      <c r="AS94">
        <v>9</v>
      </c>
      <c r="AT94">
        <f>IF(AT13="","",AT12)</f>
        <v>0</v>
      </c>
      <c r="AU94">
        <v>9</v>
      </c>
      <c r="AV94">
        <f>AV12</f>
        <v>0</v>
      </c>
      <c r="AW94">
        <v>9</v>
      </c>
      <c r="AX94">
        <f>IF(AX13="","",AX12)</f>
        <v>0</v>
      </c>
      <c r="AY94">
        <v>9</v>
      </c>
      <c r="AZ94">
        <f>AZ12</f>
        <v>0</v>
      </c>
      <c r="BA94">
        <v>9</v>
      </c>
      <c r="BB94">
        <f>IF(BB13="","",BB12)</f>
        <v>0</v>
      </c>
      <c r="BC94">
        <v>9</v>
      </c>
      <c r="BD94">
        <f>BD12</f>
        <v>0</v>
      </c>
      <c r="BE94">
        <v>9</v>
      </c>
      <c r="BF94">
        <f>IF(BF13="","",BF12)</f>
        <v>0</v>
      </c>
      <c r="BG94">
        <v>9</v>
      </c>
      <c r="BH94">
        <f>BH12</f>
        <v>0</v>
      </c>
      <c r="BI94">
        <v>9</v>
      </c>
      <c r="BJ94">
        <f>IF(BJ13="","",BJ12)</f>
        <v>0</v>
      </c>
      <c r="BK94">
        <v>9</v>
      </c>
      <c r="BL94">
        <f>BL12</f>
        <v>0</v>
      </c>
      <c r="BM94">
        <v>9</v>
      </c>
      <c r="BN94">
        <f>IF(BN13="","",BN12)</f>
        <v>0</v>
      </c>
      <c r="BO94">
        <v>9</v>
      </c>
      <c r="BP94">
        <f>BP12</f>
        <v>0</v>
      </c>
      <c r="BS94">
        <v>9</v>
      </c>
      <c r="BT94">
        <f>IF(BT13="","",BT12)</f>
        <v>0</v>
      </c>
      <c r="BU94">
        <v>9</v>
      </c>
      <c r="BV94">
        <f>BV12</f>
        <v>0</v>
      </c>
      <c r="BW94">
        <v>9</v>
      </c>
      <c r="BX94">
        <f>IF(BX13="","",BX12)</f>
        <v>0</v>
      </c>
      <c r="BY94">
        <v>9</v>
      </c>
      <c r="BZ94">
        <f>BZ12</f>
        <v>0</v>
      </c>
      <c r="CA94">
        <v>9</v>
      </c>
      <c r="CB94">
        <f>IF(CB13="","",CB12)</f>
        <v>0</v>
      </c>
      <c r="CC94">
        <v>9</v>
      </c>
      <c r="CD94">
        <f>CD12</f>
        <v>0</v>
      </c>
      <c r="CE94">
        <v>9</v>
      </c>
      <c r="CF94">
        <f>IF(CF13="","",CF12)</f>
        <v>0</v>
      </c>
      <c r="CG94">
        <v>9</v>
      </c>
      <c r="CH94">
        <f>CH12</f>
        <v>0</v>
      </c>
      <c r="CI94">
        <v>9</v>
      </c>
      <c r="CJ94">
        <f>IF(CJ13="","",CJ12)</f>
        <v>0</v>
      </c>
      <c r="CK94">
        <v>9</v>
      </c>
      <c r="CL94">
        <f>CL12</f>
        <v>0</v>
      </c>
      <c r="CM94">
        <v>9</v>
      </c>
      <c r="CN94">
        <f>IF(CN13="","",CN12)</f>
        <v>0</v>
      </c>
      <c r="CO94">
        <v>9</v>
      </c>
      <c r="CP94">
        <f>CP12</f>
        <v>0</v>
      </c>
      <c r="CQ94">
        <v>9</v>
      </c>
      <c r="CR94">
        <f>IF(CR13="","",CR12)</f>
        <v>0</v>
      </c>
      <c r="CS94">
        <v>9</v>
      </c>
      <c r="CT94">
        <f>CT12</f>
        <v>0</v>
      </c>
      <c r="CU94">
        <v>9</v>
      </c>
      <c r="CV94">
        <f>IF(CV13="","",CV12)</f>
        <v>0</v>
      </c>
      <c r="CW94">
        <v>9</v>
      </c>
      <c r="CX94">
        <f>CX12</f>
        <v>0</v>
      </c>
      <c r="CY94">
        <v>9</v>
      </c>
      <c r="CZ94">
        <f>IF(CZ13="","",CZ12)</f>
        <v>0</v>
      </c>
      <c r="DA94">
        <v>9</v>
      </c>
      <c r="DB94">
        <f>DB12</f>
        <v>0</v>
      </c>
      <c r="DC94">
        <v>9</v>
      </c>
      <c r="DD94">
        <f>IF(DD13="","",DD12)</f>
        <v>0</v>
      </c>
      <c r="DE94">
        <v>9</v>
      </c>
      <c r="DF94">
        <f>DF12</f>
        <v>0</v>
      </c>
      <c r="DG94">
        <v>9</v>
      </c>
      <c r="DH94">
        <f>IF(DH13="","",DH12)</f>
        <v>0</v>
      </c>
      <c r="DI94">
        <v>9</v>
      </c>
      <c r="DJ94">
        <f>DJ12</f>
        <v>0</v>
      </c>
      <c r="DK94">
        <v>9</v>
      </c>
      <c r="DL94">
        <f>IF(DL13="","",DL12)</f>
        <v>0</v>
      </c>
      <c r="DM94">
        <v>9</v>
      </c>
      <c r="DN94">
        <f>DN12</f>
        <v>0</v>
      </c>
      <c r="DO94">
        <v>9</v>
      </c>
      <c r="DP94">
        <f>IF(DP13="","",DP12)</f>
        <v>0</v>
      </c>
      <c r="DQ94">
        <v>9</v>
      </c>
      <c r="DR94">
        <f>DR12</f>
        <v>0</v>
      </c>
      <c r="DS94">
        <v>9</v>
      </c>
      <c r="DT94">
        <f>IF(DT13="","",DT12)</f>
        <v>0</v>
      </c>
      <c r="DU94">
        <v>9</v>
      </c>
      <c r="DV94">
        <f>DV12</f>
        <v>0</v>
      </c>
      <c r="DW94">
        <v>9</v>
      </c>
      <c r="DX94">
        <f>IF(DX13="","",DX12)</f>
        <v>0</v>
      </c>
      <c r="DY94">
        <v>9</v>
      </c>
      <c r="DZ94">
        <f>DZ12</f>
        <v>0</v>
      </c>
      <c r="EA94">
        <v>9</v>
      </c>
      <c r="EB94">
        <f>IF(EB13="","",EB12)</f>
        <v>0</v>
      </c>
      <c r="EC94">
        <v>9</v>
      </c>
      <c r="ED94">
        <f>ED12</f>
        <v>0</v>
      </c>
    </row>
    <row r="95" spans="5:200">
      <c r="E95">
        <v>10</v>
      </c>
      <c r="F95">
        <f>IF(F14="","",F13)</f>
        <v>0</v>
      </c>
      <c r="G95">
        <v>10</v>
      </c>
      <c r="H95">
        <f>H13</f>
        <v>0</v>
      </c>
      <c r="I95">
        <v>10</v>
      </c>
      <c r="J95">
        <f>IF(J14="","",J13)</f>
        <v>0</v>
      </c>
      <c r="K95">
        <v>10</v>
      </c>
      <c r="L95">
        <f>L13</f>
        <v>0</v>
      </c>
      <c r="M95">
        <v>10</v>
      </c>
      <c r="N95">
        <f>IF(N14="","",N13)</f>
        <v>0</v>
      </c>
      <c r="O95">
        <v>10</v>
      </c>
      <c r="P95">
        <f>P13</f>
        <v>0</v>
      </c>
      <c r="Q95">
        <v>10</v>
      </c>
      <c r="R95">
        <f>IF(R14="","",R13)</f>
        <v>0</v>
      </c>
      <c r="S95">
        <v>10</v>
      </c>
      <c r="T95">
        <f>T13</f>
        <v>0</v>
      </c>
      <c r="U95">
        <v>10</v>
      </c>
      <c r="V95">
        <f>IF(V14="","",V13)</f>
        <v>0</v>
      </c>
      <c r="W95">
        <v>10</v>
      </c>
      <c r="X95">
        <f>X13</f>
        <v>0</v>
      </c>
      <c r="Y95">
        <v>10</v>
      </c>
      <c r="Z95">
        <f>IF(Z14="","",Z13)</f>
        <v>0</v>
      </c>
      <c r="AA95">
        <v>10</v>
      </c>
      <c r="AB95">
        <f>AB13</f>
        <v>0</v>
      </c>
      <c r="AC95">
        <v>10</v>
      </c>
      <c r="AD95">
        <f>IF(AD14="","",AD13)</f>
        <v>0</v>
      </c>
      <c r="AE95">
        <v>10</v>
      </c>
      <c r="AF95">
        <f>AF13</f>
        <v>0</v>
      </c>
      <c r="AG95">
        <v>10</v>
      </c>
      <c r="AH95">
        <f>IF(AH14="","",AH13)</f>
        <v>0</v>
      </c>
      <c r="AI95">
        <v>10</v>
      </c>
      <c r="AJ95">
        <f>AJ13</f>
        <v>0</v>
      </c>
      <c r="AK95">
        <v>10</v>
      </c>
      <c r="AL95">
        <f>IF(AL14="","",AL13)</f>
        <v>0</v>
      </c>
      <c r="AM95">
        <v>10</v>
      </c>
      <c r="AN95">
        <f>AN13</f>
        <v>0</v>
      </c>
      <c r="AO95">
        <v>10</v>
      </c>
      <c r="AP95">
        <f>IF(AP14="","",AP13)</f>
        <v>0</v>
      </c>
      <c r="AQ95">
        <v>10</v>
      </c>
      <c r="AR95">
        <f>AR13</f>
        <v>0</v>
      </c>
      <c r="AS95">
        <v>10</v>
      </c>
      <c r="AT95">
        <f>IF(AT14="","",AT13)</f>
        <v>0</v>
      </c>
      <c r="AU95">
        <v>10</v>
      </c>
      <c r="AV95">
        <f>AV13</f>
        <v>0</v>
      </c>
      <c r="AW95">
        <v>10</v>
      </c>
      <c r="AX95">
        <f>IF(AX14="","",AX13)</f>
        <v>0</v>
      </c>
      <c r="AY95">
        <v>10</v>
      </c>
      <c r="AZ95">
        <f>AZ13</f>
        <v>0</v>
      </c>
      <c r="BA95">
        <v>10</v>
      </c>
      <c r="BB95">
        <f>IF(BB14="","",BB13)</f>
        <v>0</v>
      </c>
      <c r="BC95">
        <v>10</v>
      </c>
      <c r="BD95">
        <f>BD13</f>
        <v>0</v>
      </c>
      <c r="BE95">
        <v>10</v>
      </c>
      <c r="BF95">
        <f>IF(BF14="","",BF13)</f>
        <v>0</v>
      </c>
      <c r="BG95">
        <v>10</v>
      </c>
      <c r="BH95">
        <f>BH13</f>
        <v>0</v>
      </c>
      <c r="BI95">
        <v>10</v>
      </c>
      <c r="BJ95">
        <f>IF(BJ14="","",BJ13)</f>
        <v>0</v>
      </c>
      <c r="BK95">
        <v>10</v>
      </c>
      <c r="BL95">
        <f>BL13</f>
        <v>0</v>
      </c>
      <c r="BM95">
        <v>10</v>
      </c>
      <c r="BN95">
        <f>IF(BN14="","",BN13)</f>
        <v>0</v>
      </c>
      <c r="BO95">
        <v>10</v>
      </c>
      <c r="BP95">
        <f>BP13</f>
        <v>0</v>
      </c>
      <c r="BS95">
        <v>10</v>
      </c>
      <c r="BT95">
        <f>IF(BT14="","",BT13)</f>
        <v>0</v>
      </c>
      <c r="BU95">
        <v>10</v>
      </c>
      <c r="BV95">
        <f>BV13</f>
        <v>0</v>
      </c>
      <c r="BW95">
        <v>10</v>
      </c>
      <c r="BX95">
        <f>IF(BX14="","",BX13)</f>
        <v>0</v>
      </c>
      <c r="BY95">
        <v>10</v>
      </c>
      <c r="BZ95">
        <f>BZ13</f>
        <v>0</v>
      </c>
      <c r="CA95">
        <v>10</v>
      </c>
      <c r="CB95">
        <f>IF(CB14="","",CB13)</f>
        <v>0</v>
      </c>
      <c r="CC95">
        <v>10</v>
      </c>
      <c r="CD95">
        <f>CD13</f>
        <v>0</v>
      </c>
      <c r="CE95">
        <v>10</v>
      </c>
      <c r="CF95">
        <f>IF(CF14="","",CF13)</f>
        <v>0</v>
      </c>
      <c r="CG95">
        <v>10</v>
      </c>
      <c r="CH95">
        <f>CH13</f>
        <v>0</v>
      </c>
      <c r="CI95">
        <v>10</v>
      </c>
      <c r="CJ95">
        <f>IF(CJ14="","",CJ13)</f>
        <v>0</v>
      </c>
      <c r="CK95">
        <v>10</v>
      </c>
      <c r="CL95">
        <f>CL13</f>
        <v>0</v>
      </c>
      <c r="CM95">
        <v>10</v>
      </c>
      <c r="CN95">
        <f>IF(CN14="","",CN13)</f>
        <v>0</v>
      </c>
      <c r="CO95">
        <v>10</v>
      </c>
      <c r="CP95">
        <f>CP13</f>
        <v>0</v>
      </c>
      <c r="CQ95">
        <v>10</v>
      </c>
      <c r="CR95">
        <f>IF(CR14="","",CR13)</f>
        <v>0</v>
      </c>
      <c r="CS95">
        <v>10</v>
      </c>
      <c r="CT95">
        <f>CT13</f>
        <v>0</v>
      </c>
      <c r="CU95">
        <v>10</v>
      </c>
      <c r="CV95">
        <f>IF(CV14="","",CV13)</f>
        <v>0</v>
      </c>
      <c r="CW95">
        <v>10</v>
      </c>
      <c r="CX95">
        <f>CX13</f>
        <v>0</v>
      </c>
      <c r="CY95">
        <v>10</v>
      </c>
      <c r="CZ95">
        <f>IF(CZ14="","",CZ13)</f>
        <v>0</v>
      </c>
      <c r="DA95">
        <v>10</v>
      </c>
      <c r="DB95">
        <f>DB13</f>
        <v>0</v>
      </c>
      <c r="DC95">
        <v>10</v>
      </c>
      <c r="DD95">
        <f>IF(DD14="","",DD13)</f>
        <v>0</v>
      </c>
      <c r="DE95">
        <v>10</v>
      </c>
      <c r="DF95">
        <f>DF13</f>
        <v>0</v>
      </c>
      <c r="DG95">
        <v>10</v>
      </c>
      <c r="DH95">
        <f>IF(DH14="","",DH13)</f>
        <v>0</v>
      </c>
      <c r="DI95">
        <v>10</v>
      </c>
      <c r="DJ95">
        <f>DJ13</f>
        <v>0</v>
      </c>
      <c r="DK95">
        <v>10</v>
      </c>
      <c r="DL95">
        <f>IF(DL14="","",DL13)</f>
        <v>0</v>
      </c>
      <c r="DM95">
        <v>10</v>
      </c>
      <c r="DN95">
        <f>DN13</f>
        <v>0</v>
      </c>
      <c r="DO95">
        <v>10</v>
      </c>
      <c r="DP95">
        <f>IF(DP14="","",DP13)</f>
        <v>0</v>
      </c>
      <c r="DQ95">
        <v>10</v>
      </c>
      <c r="DR95">
        <f>DR13</f>
        <v>0</v>
      </c>
      <c r="DS95">
        <v>10</v>
      </c>
      <c r="DT95">
        <f>IF(DT14="","",DT13)</f>
        <v>0</v>
      </c>
      <c r="DU95">
        <v>10</v>
      </c>
      <c r="DV95">
        <f>DV13</f>
        <v>0</v>
      </c>
      <c r="DW95">
        <v>10</v>
      </c>
      <c r="DX95">
        <f>IF(DX14="","",DX13)</f>
        <v>0</v>
      </c>
      <c r="DY95">
        <v>10</v>
      </c>
      <c r="DZ95">
        <f>DZ13</f>
        <v>0</v>
      </c>
      <c r="EA95">
        <v>10</v>
      </c>
      <c r="EB95">
        <f>IF(EB14="","",EB13)</f>
        <v>0</v>
      </c>
      <c r="EC95">
        <v>10</v>
      </c>
      <c r="ED95">
        <f>ED13</f>
        <v>0</v>
      </c>
    </row>
    <row r="96" spans="5:200">
      <c r="E96">
        <v>11</v>
      </c>
      <c r="F96">
        <f>IF(F15="","",F14)</f>
        <v>0</v>
      </c>
      <c r="G96">
        <v>11</v>
      </c>
      <c r="H96">
        <f>H14</f>
        <v>0</v>
      </c>
      <c r="I96">
        <v>11</v>
      </c>
      <c r="J96">
        <f>IF(J15="","",J14)</f>
        <v>0</v>
      </c>
      <c r="K96">
        <v>11</v>
      </c>
      <c r="L96">
        <f>L14</f>
        <v>0</v>
      </c>
      <c r="M96">
        <v>11</v>
      </c>
      <c r="N96">
        <f>IF(N15="","",N14)</f>
        <v>0</v>
      </c>
      <c r="O96">
        <v>11</v>
      </c>
      <c r="P96">
        <f>P14</f>
        <v>0</v>
      </c>
      <c r="Q96">
        <v>11</v>
      </c>
      <c r="R96">
        <f>IF(R15="","",R14)</f>
        <v>0</v>
      </c>
      <c r="S96">
        <v>11</v>
      </c>
      <c r="T96">
        <f>T14</f>
        <v>0</v>
      </c>
      <c r="U96">
        <v>11</v>
      </c>
      <c r="V96">
        <f>IF(V15="","",V14)</f>
        <v>0</v>
      </c>
      <c r="W96">
        <v>11</v>
      </c>
      <c r="X96">
        <f>X14</f>
        <v>0</v>
      </c>
      <c r="Y96">
        <v>11</v>
      </c>
      <c r="Z96">
        <f>IF(Z15="","",Z14)</f>
        <v>0</v>
      </c>
      <c r="AA96">
        <v>11</v>
      </c>
      <c r="AB96">
        <f>AB14</f>
        <v>0</v>
      </c>
      <c r="AC96">
        <v>11</v>
      </c>
      <c r="AD96">
        <f>IF(AD15="","",AD14)</f>
        <v>0</v>
      </c>
      <c r="AE96">
        <v>11</v>
      </c>
      <c r="AF96">
        <f>AF14</f>
        <v>0</v>
      </c>
      <c r="AG96">
        <v>11</v>
      </c>
      <c r="AH96">
        <f>IF(AH15="","",AH14)</f>
        <v>0</v>
      </c>
      <c r="AI96">
        <v>11</v>
      </c>
      <c r="AJ96">
        <f>AJ14</f>
        <v>0</v>
      </c>
      <c r="AK96">
        <v>11</v>
      </c>
      <c r="AL96">
        <f>IF(AL15="","",AL14)</f>
        <v>0</v>
      </c>
      <c r="AM96">
        <v>11</v>
      </c>
      <c r="AN96">
        <f>AN14</f>
        <v>0</v>
      </c>
      <c r="AO96">
        <v>11</v>
      </c>
      <c r="AP96">
        <f>IF(AP15="","",AP14)</f>
        <v>0</v>
      </c>
      <c r="AQ96">
        <v>11</v>
      </c>
      <c r="AR96">
        <f>AR14</f>
        <v>0</v>
      </c>
      <c r="AS96">
        <v>11</v>
      </c>
      <c r="AT96">
        <f>IF(AT15="","",AT14)</f>
        <v>0</v>
      </c>
      <c r="AU96">
        <v>11</v>
      </c>
      <c r="AV96">
        <f>AV14</f>
        <v>0</v>
      </c>
      <c r="AW96">
        <v>11</v>
      </c>
      <c r="AX96">
        <f>IF(AX15="","",AX14)</f>
        <v>0</v>
      </c>
      <c r="AY96">
        <v>11</v>
      </c>
      <c r="AZ96">
        <f>AZ14</f>
        <v>0</v>
      </c>
      <c r="BA96">
        <v>11</v>
      </c>
      <c r="BB96">
        <f>IF(BB15="","",BB14)</f>
        <v>0</v>
      </c>
      <c r="BC96">
        <v>11</v>
      </c>
      <c r="BD96">
        <f>BD14</f>
        <v>0</v>
      </c>
      <c r="BE96">
        <v>11</v>
      </c>
      <c r="BF96">
        <f>IF(BF15="","",BF14)</f>
        <v>0</v>
      </c>
      <c r="BG96">
        <v>11</v>
      </c>
      <c r="BH96">
        <f>BH14</f>
        <v>0</v>
      </c>
      <c r="BI96">
        <v>11</v>
      </c>
      <c r="BJ96">
        <f>IF(BJ15="","",BJ14)</f>
        <v>0</v>
      </c>
      <c r="BK96">
        <v>11</v>
      </c>
      <c r="BL96">
        <f>BL14</f>
        <v>0</v>
      </c>
      <c r="BM96">
        <v>11</v>
      </c>
      <c r="BN96">
        <f>IF(BN15="","",BN14)</f>
        <v>0</v>
      </c>
      <c r="BO96">
        <v>11</v>
      </c>
      <c r="BP96">
        <f>BP14</f>
        <v>0</v>
      </c>
      <c r="BS96">
        <v>11</v>
      </c>
      <c r="BT96">
        <f>IF(BT15="","",BT14)</f>
        <v>0</v>
      </c>
      <c r="BU96">
        <v>11</v>
      </c>
      <c r="BV96">
        <f>BV14</f>
        <v>0</v>
      </c>
      <c r="BW96">
        <v>11</v>
      </c>
      <c r="BX96">
        <f>IF(BX15="","",BX14)</f>
        <v>0</v>
      </c>
      <c r="BY96">
        <v>11</v>
      </c>
      <c r="BZ96">
        <f>BZ14</f>
        <v>0</v>
      </c>
      <c r="CA96">
        <v>11</v>
      </c>
      <c r="CB96">
        <f>IF(CB15="","",CB14)</f>
        <v>0</v>
      </c>
      <c r="CC96">
        <v>11</v>
      </c>
      <c r="CD96">
        <f>CD14</f>
        <v>0</v>
      </c>
      <c r="CE96">
        <v>11</v>
      </c>
      <c r="CF96">
        <f>IF(CF15="","",CF14)</f>
        <v>0</v>
      </c>
      <c r="CG96">
        <v>11</v>
      </c>
      <c r="CH96">
        <f>CH14</f>
        <v>0</v>
      </c>
      <c r="CI96">
        <v>11</v>
      </c>
      <c r="CJ96">
        <f>IF(CJ15="","",CJ14)</f>
        <v>0</v>
      </c>
      <c r="CK96">
        <v>11</v>
      </c>
      <c r="CL96">
        <f>CL14</f>
        <v>0</v>
      </c>
      <c r="CM96">
        <v>11</v>
      </c>
      <c r="CN96">
        <f>IF(CN15="","",CN14)</f>
        <v>0</v>
      </c>
      <c r="CO96">
        <v>11</v>
      </c>
      <c r="CP96">
        <f>CP14</f>
        <v>0</v>
      </c>
      <c r="CQ96">
        <v>11</v>
      </c>
      <c r="CR96">
        <f>IF(CR15="","",CR14)</f>
        <v>0</v>
      </c>
      <c r="CS96">
        <v>11</v>
      </c>
      <c r="CT96">
        <f>CT14</f>
        <v>0</v>
      </c>
      <c r="CU96">
        <v>11</v>
      </c>
      <c r="CV96">
        <f>IF(CV15="","",CV14)</f>
        <v>0</v>
      </c>
      <c r="CW96">
        <v>11</v>
      </c>
      <c r="CX96">
        <f>CX14</f>
        <v>0</v>
      </c>
      <c r="CY96">
        <v>11</v>
      </c>
      <c r="CZ96">
        <f>IF(CZ15="","",CZ14)</f>
        <v>0</v>
      </c>
      <c r="DA96">
        <v>11</v>
      </c>
      <c r="DB96">
        <f>DB14</f>
        <v>0</v>
      </c>
      <c r="DC96">
        <v>11</v>
      </c>
      <c r="DD96">
        <f>IF(DD15="","",DD14)</f>
        <v>0</v>
      </c>
      <c r="DE96">
        <v>11</v>
      </c>
      <c r="DF96">
        <f>DF14</f>
        <v>0</v>
      </c>
      <c r="DG96">
        <v>11</v>
      </c>
      <c r="DH96">
        <f>IF(DH15="","",DH14)</f>
        <v>0</v>
      </c>
      <c r="DI96">
        <v>11</v>
      </c>
      <c r="DJ96">
        <f>DJ14</f>
        <v>0</v>
      </c>
      <c r="DK96">
        <v>11</v>
      </c>
      <c r="DL96">
        <f>IF(DL15="","",DL14)</f>
        <v>0</v>
      </c>
      <c r="DM96">
        <v>11</v>
      </c>
      <c r="DN96">
        <f>DN14</f>
        <v>0</v>
      </c>
      <c r="DO96">
        <v>11</v>
      </c>
      <c r="DP96">
        <f>IF(DP15="","",DP14)</f>
        <v>0</v>
      </c>
      <c r="DQ96">
        <v>11</v>
      </c>
      <c r="DR96">
        <f>DR14</f>
        <v>0</v>
      </c>
      <c r="DS96">
        <v>11</v>
      </c>
      <c r="DT96">
        <f>IF(DT15="","",DT14)</f>
        <v>0</v>
      </c>
      <c r="DU96">
        <v>11</v>
      </c>
      <c r="DV96">
        <f>DV14</f>
        <v>0</v>
      </c>
      <c r="DW96">
        <v>11</v>
      </c>
      <c r="DX96">
        <f>IF(DX15="","",DX14)</f>
        <v>0</v>
      </c>
      <c r="DY96">
        <v>11</v>
      </c>
      <c r="DZ96">
        <f>DZ14</f>
        <v>0</v>
      </c>
      <c r="EA96">
        <v>11</v>
      </c>
      <c r="EB96">
        <f>IF(EB15="","",EB14)</f>
        <v>0</v>
      </c>
      <c r="EC96">
        <v>11</v>
      </c>
      <c r="ED96">
        <f>ED14</f>
        <v>0</v>
      </c>
    </row>
    <row r="97" spans="5:134">
      <c r="E97">
        <v>12</v>
      </c>
      <c r="F97">
        <f>IF(F16="","",F15)</f>
        <v>0</v>
      </c>
      <c r="G97">
        <v>12</v>
      </c>
      <c r="H97">
        <f>H15</f>
        <v>0</v>
      </c>
      <c r="I97">
        <v>12</v>
      </c>
      <c r="J97">
        <f>IF(J16="","",J15)</f>
        <v>0</v>
      </c>
      <c r="K97">
        <v>12</v>
      </c>
      <c r="L97">
        <f>L15</f>
        <v>0</v>
      </c>
      <c r="M97">
        <v>12</v>
      </c>
      <c r="N97">
        <f>IF(N16="","",N15)</f>
        <v>0</v>
      </c>
      <c r="O97">
        <v>12</v>
      </c>
      <c r="P97">
        <f>P15</f>
        <v>0</v>
      </c>
      <c r="Q97">
        <v>12</v>
      </c>
      <c r="R97">
        <f>IF(R16="","",R15)</f>
        <v>0</v>
      </c>
      <c r="S97">
        <v>12</v>
      </c>
      <c r="T97">
        <f>T15</f>
        <v>0</v>
      </c>
      <c r="U97">
        <v>12</v>
      </c>
      <c r="V97">
        <f>IF(V16="","",V15)</f>
        <v>0</v>
      </c>
      <c r="W97">
        <v>12</v>
      </c>
      <c r="X97">
        <f>X15</f>
        <v>0</v>
      </c>
      <c r="Y97">
        <v>12</v>
      </c>
      <c r="Z97">
        <f>IF(Z16="","",Z15)</f>
        <v>0</v>
      </c>
      <c r="AA97">
        <v>12</v>
      </c>
      <c r="AB97">
        <f>AB15</f>
        <v>0</v>
      </c>
      <c r="AC97">
        <v>12</v>
      </c>
      <c r="AD97">
        <f>IF(AD16="","",AD15)</f>
        <v>0</v>
      </c>
      <c r="AE97">
        <v>12</v>
      </c>
      <c r="AF97">
        <f>AF15</f>
        <v>0</v>
      </c>
      <c r="AG97">
        <v>12</v>
      </c>
      <c r="AH97">
        <f>IF(AH16="","",AH15)</f>
        <v>0</v>
      </c>
      <c r="AI97">
        <v>12</v>
      </c>
      <c r="AJ97">
        <f>AJ15</f>
        <v>0</v>
      </c>
      <c r="AK97">
        <v>12</v>
      </c>
      <c r="AL97">
        <f>IF(AL16="","",AL15)</f>
        <v>0</v>
      </c>
      <c r="AM97">
        <v>12</v>
      </c>
      <c r="AN97">
        <f>AN15</f>
        <v>0</v>
      </c>
      <c r="AO97">
        <v>12</v>
      </c>
      <c r="AP97">
        <f>IF(AP16="","",AP15)</f>
        <v>0</v>
      </c>
      <c r="AQ97">
        <v>12</v>
      </c>
      <c r="AR97">
        <f>AR15</f>
        <v>0</v>
      </c>
      <c r="AS97">
        <v>12</v>
      </c>
      <c r="AT97">
        <f>IF(AT16="","",AT15)</f>
        <v>0</v>
      </c>
      <c r="AU97">
        <v>12</v>
      </c>
      <c r="AV97">
        <f>AV15</f>
        <v>0</v>
      </c>
      <c r="AW97">
        <v>12</v>
      </c>
      <c r="AX97">
        <f>IF(AX16="","",AX15)</f>
        <v>0</v>
      </c>
      <c r="AY97">
        <v>12</v>
      </c>
      <c r="AZ97">
        <f>AZ15</f>
        <v>0</v>
      </c>
      <c r="BA97">
        <v>12</v>
      </c>
      <c r="BB97">
        <f>IF(BB16="","",BB15)</f>
        <v>0</v>
      </c>
      <c r="BC97">
        <v>12</v>
      </c>
      <c r="BD97">
        <f>BD15</f>
        <v>0</v>
      </c>
      <c r="BE97">
        <v>12</v>
      </c>
      <c r="BF97">
        <f>IF(BF16="","",BF15)</f>
        <v>0</v>
      </c>
      <c r="BG97">
        <v>12</v>
      </c>
      <c r="BH97">
        <f>BH15</f>
        <v>0</v>
      </c>
      <c r="BI97">
        <v>12</v>
      </c>
      <c r="BJ97">
        <f>IF(BJ16="","",BJ15)</f>
        <v>0</v>
      </c>
      <c r="BK97">
        <v>12</v>
      </c>
      <c r="BL97">
        <f>BL15</f>
        <v>0</v>
      </c>
      <c r="BM97">
        <v>12</v>
      </c>
      <c r="BN97">
        <f>IF(BN16="","",BN15)</f>
        <v>0</v>
      </c>
      <c r="BO97">
        <v>12</v>
      </c>
      <c r="BP97">
        <f>BP15</f>
        <v>0</v>
      </c>
      <c r="BS97">
        <v>12</v>
      </c>
      <c r="BT97">
        <f>IF(BT16="","",BT15)</f>
        <v>0</v>
      </c>
      <c r="BU97">
        <v>12</v>
      </c>
      <c r="BV97">
        <f>BV15</f>
        <v>0</v>
      </c>
      <c r="BW97">
        <v>12</v>
      </c>
      <c r="BX97">
        <f>IF(BX16="","",BX15)</f>
        <v>0</v>
      </c>
      <c r="BY97">
        <v>12</v>
      </c>
      <c r="BZ97">
        <f>BZ15</f>
        <v>0</v>
      </c>
      <c r="CA97">
        <v>12</v>
      </c>
      <c r="CB97">
        <f>IF(CB16="","",CB15)</f>
        <v>0</v>
      </c>
      <c r="CC97">
        <v>12</v>
      </c>
      <c r="CD97">
        <f>CD15</f>
        <v>0</v>
      </c>
      <c r="CE97">
        <v>12</v>
      </c>
      <c r="CF97">
        <f>IF(CF16="","",CF15)</f>
        <v>0</v>
      </c>
      <c r="CG97">
        <v>12</v>
      </c>
      <c r="CH97">
        <f>CH15</f>
        <v>0</v>
      </c>
      <c r="CI97">
        <v>12</v>
      </c>
      <c r="CJ97">
        <f>IF(CJ16="","",CJ15)</f>
        <v>0</v>
      </c>
      <c r="CK97">
        <v>12</v>
      </c>
      <c r="CL97">
        <f>CL15</f>
        <v>0</v>
      </c>
      <c r="CM97">
        <v>12</v>
      </c>
      <c r="CN97">
        <f>IF(CN16="","",CN15)</f>
        <v>0</v>
      </c>
      <c r="CO97">
        <v>12</v>
      </c>
      <c r="CP97">
        <f>CP15</f>
        <v>0</v>
      </c>
      <c r="CQ97">
        <v>12</v>
      </c>
      <c r="CR97">
        <f>IF(CR16="","",CR15)</f>
        <v>0</v>
      </c>
      <c r="CS97">
        <v>12</v>
      </c>
      <c r="CT97">
        <f>CT15</f>
        <v>0</v>
      </c>
      <c r="CU97">
        <v>12</v>
      </c>
      <c r="CV97">
        <f>IF(CV16="","",CV15)</f>
        <v>0</v>
      </c>
      <c r="CW97">
        <v>12</v>
      </c>
      <c r="CX97">
        <f>CX15</f>
        <v>0</v>
      </c>
      <c r="CY97">
        <v>12</v>
      </c>
      <c r="CZ97">
        <f>IF(CZ16="","",CZ15)</f>
        <v>0</v>
      </c>
      <c r="DA97">
        <v>12</v>
      </c>
      <c r="DB97">
        <f>DB15</f>
        <v>0</v>
      </c>
      <c r="DC97">
        <v>12</v>
      </c>
      <c r="DD97">
        <f>IF(DD16="","",DD15)</f>
        <v>0</v>
      </c>
      <c r="DE97">
        <v>12</v>
      </c>
      <c r="DF97">
        <f>DF15</f>
        <v>0</v>
      </c>
      <c r="DG97">
        <v>12</v>
      </c>
      <c r="DH97">
        <f>IF(DH16="","",DH15)</f>
        <v>0</v>
      </c>
      <c r="DI97">
        <v>12</v>
      </c>
      <c r="DJ97">
        <f>DJ15</f>
        <v>0</v>
      </c>
      <c r="DK97">
        <v>12</v>
      </c>
      <c r="DL97">
        <f>IF(DL16="","",DL15)</f>
        <v>0</v>
      </c>
      <c r="DM97">
        <v>12</v>
      </c>
      <c r="DN97">
        <f>DN15</f>
        <v>0</v>
      </c>
      <c r="DO97">
        <v>12</v>
      </c>
      <c r="DP97">
        <f>IF(DP16="","",DP15)</f>
        <v>0</v>
      </c>
      <c r="DQ97">
        <v>12</v>
      </c>
      <c r="DR97">
        <f>DR15</f>
        <v>0</v>
      </c>
      <c r="DS97">
        <v>12</v>
      </c>
      <c r="DT97">
        <f>IF(DT16="","",DT15)</f>
        <v>0</v>
      </c>
      <c r="DU97">
        <v>12</v>
      </c>
      <c r="DV97">
        <f>DV15</f>
        <v>0</v>
      </c>
      <c r="DW97">
        <v>12</v>
      </c>
      <c r="DX97">
        <f>IF(DX16="","",DX15)</f>
        <v>0</v>
      </c>
      <c r="DY97">
        <v>12</v>
      </c>
      <c r="DZ97">
        <f>DZ15</f>
        <v>0</v>
      </c>
      <c r="EA97">
        <v>12</v>
      </c>
      <c r="EB97">
        <f>IF(EB16="","",EB15)</f>
        <v>0</v>
      </c>
      <c r="EC97">
        <v>12</v>
      </c>
      <c r="ED97">
        <f>ED15</f>
        <v>0</v>
      </c>
    </row>
    <row r="98" spans="5:134">
      <c r="E98">
        <v>13</v>
      </c>
      <c r="F98">
        <f>IF(F17="","",F16)</f>
        <v>0</v>
      </c>
      <c r="G98">
        <v>13</v>
      </c>
      <c r="H98">
        <f>H16</f>
        <v>0</v>
      </c>
      <c r="I98">
        <v>13</v>
      </c>
      <c r="J98">
        <f>IF(J17="","",J16)</f>
        <v>0</v>
      </c>
      <c r="K98">
        <v>13</v>
      </c>
      <c r="L98">
        <f>L16</f>
        <v>0</v>
      </c>
      <c r="M98">
        <v>13</v>
      </c>
      <c r="N98">
        <f>IF(N17="","",N16)</f>
        <v>0</v>
      </c>
      <c r="O98">
        <v>13</v>
      </c>
      <c r="P98">
        <f>P16</f>
        <v>0</v>
      </c>
      <c r="Q98">
        <v>13</v>
      </c>
      <c r="R98">
        <f>IF(R17="","",R16)</f>
        <v>0</v>
      </c>
      <c r="S98">
        <v>13</v>
      </c>
      <c r="T98">
        <f>T16</f>
        <v>0</v>
      </c>
      <c r="U98">
        <v>13</v>
      </c>
      <c r="V98">
        <f>IF(V17="","",V16)</f>
        <v>0</v>
      </c>
      <c r="W98">
        <v>13</v>
      </c>
      <c r="X98">
        <f>X16</f>
        <v>0</v>
      </c>
      <c r="Y98">
        <v>13</v>
      </c>
      <c r="Z98">
        <f>IF(Z17="","",Z16)</f>
        <v>0</v>
      </c>
      <c r="AA98">
        <v>13</v>
      </c>
      <c r="AB98">
        <f>AB16</f>
        <v>0</v>
      </c>
      <c r="AC98">
        <v>13</v>
      </c>
      <c r="AD98">
        <f>IF(AD17="","",AD16)</f>
        <v>0</v>
      </c>
      <c r="AE98">
        <v>13</v>
      </c>
      <c r="AF98">
        <f>AF16</f>
        <v>0</v>
      </c>
      <c r="AG98">
        <v>13</v>
      </c>
      <c r="AH98">
        <f>IF(AH17="","",AH16)</f>
        <v>0</v>
      </c>
      <c r="AI98">
        <v>13</v>
      </c>
      <c r="AJ98">
        <f>AJ16</f>
        <v>0</v>
      </c>
      <c r="AK98">
        <v>13</v>
      </c>
      <c r="AL98">
        <f>IF(AL17="","",AL16)</f>
        <v>0</v>
      </c>
      <c r="AM98">
        <v>13</v>
      </c>
      <c r="AN98">
        <f>AN16</f>
        <v>0</v>
      </c>
      <c r="AO98">
        <v>13</v>
      </c>
      <c r="AP98">
        <f>IF(AP17="","",AP16)</f>
        <v>0</v>
      </c>
      <c r="AQ98">
        <v>13</v>
      </c>
      <c r="AR98">
        <f>AR16</f>
        <v>0</v>
      </c>
      <c r="AS98">
        <v>13</v>
      </c>
      <c r="AT98">
        <f>IF(AT17="","",AT16)</f>
        <v>0</v>
      </c>
      <c r="AU98">
        <v>13</v>
      </c>
      <c r="AV98">
        <f>AV16</f>
        <v>0</v>
      </c>
      <c r="AW98">
        <v>13</v>
      </c>
      <c r="AX98">
        <f>IF(AX17="","",AX16)</f>
        <v>0</v>
      </c>
      <c r="AY98">
        <v>13</v>
      </c>
      <c r="AZ98">
        <f>AZ16</f>
        <v>0</v>
      </c>
      <c r="BA98">
        <v>13</v>
      </c>
      <c r="BB98">
        <f>IF(BB17="","",BB16)</f>
        <v>0</v>
      </c>
      <c r="BC98">
        <v>13</v>
      </c>
      <c r="BD98">
        <f>BD16</f>
        <v>0</v>
      </c>
      <c r="BE98">
        <v>13</v>
      </c>
      <c r="BF98">
        <f>IF(BF17="","",BF16)</f>
        <v>0</v>
      </c>
      <c r="BG98">
        <v>13</v>
      </c>
      <c r="BH98">
        <f>BH16</f>
        <v>0</v>
      </c>
      <c r="BI98">
        <v>13</v>
      </c>
      <c r="BJ98">
        <f>IF(BJ17="","",BJ16)</f>
        <v>0</v>
      </c>
      <c r="BK98">
        <v>13</v>
      </c>
      <c r="BL98">
        <f>BL16</f>
        <v>0</v>
      </c>
      <c r="BM98">
        <v>13</v>
      </c>
      <c r="BN98">
        <f>IF(BN17="","",BN16)</f>
        <v>0</v>
      </c>
      <c r="BO98">
        <v>13</v>
      </c>
      <c r="BP98">
        <f>BP16</f>
        <v>0</v>
      </c>
      <c r="BS98">
        <v>13</v>
      </c>
      <c r="BT98">
        <f>IF(BT17="","",BT16)</f>
        <v>0</v>
      </c>
      <c r="BU98">
        <v>13</v>
      </c>
      <c r="BV98">
        <f>BV16</f>
        <v>0</v>
      </c>
      <c r="BW98">
        <v>13</v>
      </c>
      <c r="BX98">
        <f>IF(BX17="","",BX16)</f>
        <v>0</v>
      </c>
      <c r="BY98">
        <v>13</v>
      </c>
      <c r="BZ98">
        <f>BZ16</f>
        <v>0</v>
      </c>
      <c r="CA98">
        <v>13</v>
      </c>
      <c r="CB98">
        <f>IF(CB17="","",CB16)</f>
        <v>0</v>
      </c>
      <c r="CC98">
        <v>13</v>
      </c>
      <c r="CD98">
        <f>CD16</f>
        <v>0</v>
      </c>
      <c r="CE98">
        <v>13</v>
      </c>
      <c r="CF98">
        <f>IF(CF17="","",CF16)</f>
        <v>0</v>
      </c>
      <c r="CG98">
        <v>13</v>
      </c>
      <c r="CH98">
        <f>CH16</f>
        <v>0</v>
      </c>
      <c r="CI98">
        <v>13</v>
      </c>
      <c r="CJ98">
        <f>IF(CJ17="","",CJ16)</f>
        <v>0</v>
      </c>
      <c r="CK98">
        <v>13</v>
      </c>
      <c r="CL98">
        <f>CL16</f>
        <v>0</v>
      </c>
      <c r="CM98">
        <v>13</v>
      </c>
      <c r="CN98">
        <f>IF(CN17="","",CN16)</f>
        <v>0</v>
      </c>
      <c r="CO98">
        <v>13</v>
      </c>
      <c r="CP98">
        <f>CP16</f>
        <v>0</v>
      </c>
      <c r="CQ98">
        <v>13</v>
      </c>
      <c r="CR98">
        <f>IF(CR17="","",CR16)</f>
        <v>0</v>
      </c>
      <c r="CS98">
        <v>13</v>
      </c>
      <c r="CT98">
        <f>CT16</f>
        <v>0</v>
      </c>
      <c r="CU98">
        <v>13</v>
      </c>
      <c r="CV98">
        <f>IF(CV17="","",CV16)</f>
        <v>0</v>
      </c>
      <c r="CW98">
        <v>13</v>
      </c>
      <c r="CX98">
        <f>CX16</f>
        <v>0</v>
      </c>
      <c r="CY98">
        <v>13</v>
      </c>
      <c r="CZ98">
        <f>IF(CZ17="","",CZ16)</f>
        <v>0</v>
      </c>
      <c r="DA98">
        <v>13</v>
      </c>
      <c r="DB98">
        <f>DB16</f>
        <v>0</v>
      </c>
      <c r="DC98">
        <v>13</v>
      </c>
      <c r="DD98">
        <f>IF(DD17="","",DD16)</f>
        <v>0</v>
      </c>
      <c r="DE98">
        <v>13</v>
      </c>
      <c r="DF98">
        <f>DF16</f>
        <v>0</v>
      </c>
      <c r="DG98">
        <v>13</v>
      </c>
      <c r="DH98">
        <f>IF(DH17="","",DH16)</f>
        <v>0</v>
      </c>
      <c r="DI98">
        <v>13</v>
      </c>
      <c r="DJ98">
        <f>DJ16</f>
        <v>0</v>
      </c>
      <c r="DK98">
        <v>13</v>
      </c>
      <c r="DL98">
        <f>IF(DL17="","",DL16)</f>
        <v>0</v>
      </c>
      <c r="DM98">
        <v>13</v>
      </c>
      <c r="DN98">
        <f>DN16</f>
        <v>0</v>
      </c>
      <c r="DO98">
        <v>13</v>
      </c>
      <c r="DP98">
        <f>IF(DP17="","",DP16)</f>
        <v>0</v>
      </c>
      <c r="DQ98">
        <v>13</v>
      </c>
      <c r="DR98">
        <f>DR16</f>
        <v>0</v>
      </c>
      <c r="DS98">
        <v>13</v>
      </c>
      <c r="DT98">
        <f>IF(DT17="","",DT16)</f>
        <v>0</v>
      </c>
      <c r="DU98">
        <v>13</v>
      </c>
      <c r="DV98">
        <f>DV16</f>
        <v>0</v>
      </c>
      <c r="DW98">
        <v>13</v>
      </c>
      <c r="DX98">
        <f>IF(DX17="","",DX16)</f>
        <v>0</v>
      </c>
      <c r="DY98">
        <v>13</v>
      </c>
      <c r="DZ98">
        <f>DZ16</f>
        <v>0</v>
      </c>
      <c r="EA98">
        <v>13</v>
      </c>
      <c r="EB98">
        <f>IF(EB17="","",EB16)</f>
        <v>0</v>
      </c>
      <c r="EC98">
        <v>13</v>
      </c>
      <c r="ED98">
        <f>ED16</f>
        <v>0</v>
      </c>
    </row>
    <row r="99" spans="5:134">
      <c r="E99">
        <v>14</v>
      </c>
      <c r="F99">
        <f>IF(F18="","",F17)</f>
        <v>0</v>
      </c>
      <c r="G99">
        <v>14</v>
      </c>
      <c r="H99">
        <f>H17</f>
        <v>0</v>
      </c>
      <c r="I99">
        <v>14</v>
      </c>
      <c r="J99">
        <f>IF(J18="","",J17)</f>
        <v>0</v>
      </c>
      <c r="K99">
        <v>14</v>
      </c>
      <c r="L99">
        <f>L17</f>
        <v>0</v>
      </c>
      <c r="M99">
        <v>14</v>
      </c>
      <c r="N99">
        <f>IF(N18="","",N17)</f>
        <v>0</v>
      </c>
      <c r="O99">
        <v>14</v>
      </c>
      <c r="P99">
        <f>P17</f>
        <v>0</v>
      </c>
      <c r="Q99">
        <v>14</v>
      </c>
      <c r="R99">
        <f>IF(R18="","",R17)</f>
        <v>0</v>
      </c>
      <c r="S99">
        <v>14</v>
      </c>
      <c r="T99">
        <f>T17</f>
        <v>0</v>
      </c>
      <c r="U99">
        <v>14</v>
      </c>
      <c r="V99">
        <f>IF(V18="","",V17)</f>
        <v>0</v>
      </c>
      <c r="W99">
        <v>14</v>
      </c>
      <c r="X99">
        <f>X17</f>
        <v>0</v>
      </c>
      <c r="Y99">
        <v>14</v>
      </c>
      <c r="Z99">
        <f>IF(Z18="","",Z17)</f>
        <v>0</v>
      </c>
      <c r="AA99">
        <v>14</v>
      </c>
      <c r="AB99">
        <f>AB17</f>
        <v>0</v>
      </c>
      <c r="AC99">
        <v>14</v>
      </c>
      <c r="AD99">
        <f>IF(AD18="","",AD17)</f>
        <v>0</v>
      </c>
      <c r="AE99">
        <v>14</v>
      </c>
      <c r="AF99">
        <f>AF17</f>
        <v>0</v>
      </c>
      <c r="AG99">
        <v>14</v>
      </c>
      <c r="AH99">
        <f>IF(AH18="","",AH17)</f>
        <v>0</v>
      </c>
      <c r="AI99">
        <v>14</v>
      </c>
      <c r="AJ99">
        <f>AJ17</f>
        <v>0</v>
      </c>
      <c r="AK99">
        <v>14</v>
      </c>
      <c r="AL99">
        <f>IF(AL18="","",AL17)</f>
        <v>0</v>
      </c>
      <c r="AM99">
        <v>14</v>
      </c>
      <c r="AN99">
        <f>AN17</f>
        <v>0</v>
      </c>
      <c r="AO99">
        <v>14</v>
      </c>
      <c r="AP99">
        <f>IF(AP18="","",AP17)</f>
        <v>0</v>
      </c>
      <c r="AQ99">
        <v>14</v>
      </c>
      <c r="AR99">
        <f>AR17</f>
        <v>0</v>
      </c>
      <c r="AS99">
        <v>14</v>
      </c>
      <c r="AT99">
        <f>IF(AT18="","",AT17)</f>
        <v>0</v>
      </c>
      <c r="AU99">
        <v>14</v>
      </c>
      <c r="AV99">
        <f>AV17</f>
        <v>0</v>
      </c>
      <c r="AW99">
        <v>14</v>
      </c>
      <c r="AX99">
        <f>IF(AX18="","",AX17)</f>
        <v>0</v>
      </c>
      <c r="AY99">
        <v>14</v>
      </c>
      <c r="AZ99">
        <f>AZ17</f>
        <v>0</v>
      </c>
      <c r="BA99">
        <v>14</v>
      </c>
      <c r="BB99">
        <f>IF(BB18="","",BB17)</f>
        <v>0</v>
      </c>
      <c r="BC99">
        <v>14</v>
      </c>
      <c r="BD99">
        <f>BD17</f>
        <v>0</v>
      </c>
      <c r="BE99">
        <v>14</v>
      </c>
      <c r="BF99">
        <f>IF(BF18="","",BF17)</f>
        <v>0</v>
      </c>
      <c r="BG99">
        <v>14</v>
      </c>
      <c r="BH99">
        <f>BH17</f>
        <v>0</v>
      </c>
      <c r="BI99">
        <v>14</v>
      </c>
      <c r="BJ99">
        <f>IF(BJ18="","",BJ17)</f>
        <v>0</v>
      </c>
      <c r="BK99">
        <v>14</v>
      </c>
      <c r="BL99">
        <f>BL17</f>
        <v>0</v>
      </c>
      <c r="BM99">
        <v>14</v>
      </c>
      <c r="BN99">
        <f>IF(BN18="","",BN17)</f>
        <v>0</v>
      </c>
      <c r="BO99">
        <v>14</v>
      </c>
      <c r="BP99">
        <f>BP17</f>
        <v>0</v>
      </c>
      <c r="BS99">
        <v>14</v>
      </c>
      <c r="BT99">
        <f>IF(BT18="","",BT17)</f>
        <v>0</v>
      </c>
      <c r="BU99">
        <v>14</v>
      </c>
      <c r="BV99">
        <f>BV17</f>
        <v>0</v>
      </c>
      <c r="BW99">
        <v>14</v>
      </c>
      <c r="BX99">
        <f>IF(BX18="","",BX17)</f>
        <v>0</v>
      </c>
      <c r="BY99">
        <v>14</v>
      </c>
      <c r="BZ99">
        <f>BZ17</f>
        <v>0</v>
      </c>
      <c r="CA99">
        <v>14</v>
      </c>
      <c r="CB99">
        <f>IF(CB18="","",CB17)</f>
        <v>0</v>
      </c>
      <c r="CC99">
        <v>14</v>
      </c>
      <c r="CD99">
        <f>CD17</f>
        <v>0</v>
      </c>
      <c r="CE99">
        <v>14</v>
      </c>
      <c r="CF99">
        <f>IF(CF18="","",CF17)</f>
        <v>0</v>
      </c>
      <c r="CG99">
        <v>14</v>
      </c>
      <c r="CH99">
        <f>CH17</f>
        <v>0</v>
      </c>
      <c r="CI99">
        <v>14</v>
      </c>
      <c r="CJ99">
        <f>IF(CJ18="","",CJ17)</f>
        <v>0</v>
      </c>
      <c r="CK99">
        <v>14</v>
      </c>
      <c r="CL99">
        <f>CL17</f>
        <v>0</v>
      </c>
      <c r="CM99">
        <v>14</v>
      </c>
      <c r="CN99">
        <f>IF(CN18="","",CN17)</f>
        <v>0</v>
      </c>
      <c r="CO99">
        <v>14</v>
      </c>
      <c r="CP99">
        <f>CP17</f>
        <v>0</v>
      </c>
      <c r="CQ99">
        <v>14</v>
      </c>
      <c r="CR99">
        <f>IF(CR18="","",CR17)</f>
        <v>0</v>
      </c>
      <c r="CS99">
        <v>14</v>
      </c>
      <c r="CT99">
        <f>CT17</f>
        <v>0</v>
      </c>
      <c r="CU99">
        <v>14</v>
      </c>
      <c r="CV99">
        <f>IF(CV18="","",CV17)</f>
        <v>0</v>
      </c>
      <c r="CW99">
        <v>14</v>
      </c>
      <c r="CX99">
        <f>CX17</f>
        <v>0</v>
      </c>
      <c r="CY99">
        <v>14</v>
      </c>
      <c r="CZ99">
        <f>IF(CZ18="","",CZ17)</f>
        <v>0</v>
      </c>
      <c r="DA99">
        <v>14</v>
      </c>
      <c r="DB99">
        <f>DB17</f>
        <v>0</v>
      </c>
      <c r="DC99">
        <v>14</v>
      </c>
      <c r="DD99">
        <f>IF(DD18="","",DD17)</f>
        <v>0</v>
      </c>
      <c r="DE99">
        <v>14</v>
      </c>
      <c r="DF99">
        <f>DF17</f>
        <v>0</v>
      </c>
      <c r="DG99">
        <v>14</v>
      </c>
      <c r="DH99">
        <f>IF(DH18="","",DH17)</f>
        <v>0</v>
      </c>
      <c r="DI99">
        <v>14</v>
      </c>
      <c r="DJ99">
        <f>DJ17</f>
        <v>0</v>
      </c>
      <c r="DK99">
        <v>14</v>
      </c>
      <c r="DL99">
        <f>IF(DL18="","",DL17)</f>
        <v>0</v>
      </c>
      <c r="DM99">
        <v>14</v>
      </c>
      <c r="DN99">
        <f>DN17</f>
        <v>0</v>
      </c>
      <c r="DO99">
        <v>14</v>
      </c>
      <c r="DP99">
        <f>IF(DP18="","",DP17)</f>
        <v>0</v>
      </c>
      <c r="DQ99">
        <v>14</v>
      </c>
      <c r="DR99">
        <f>DR17</f>
        <v>0</v>
      </c>
      <c r="DS99">
        <v>14</v>
      </c>
      <c r="DT99">
        <f>IF(DT18="","",DT17)</f>
        <v>0</v>
      </c>
      <c r="DU99">
        <v>14</v>
      </c>
      <c r="DV99">
        <f>DV17</f>
        <v>0</v>
      </c>
      <c r="DW99">
        <v>14</v>
      </c>
      <c r="DX99">
        <f>IF(DX18="","",DX17)</f>
        <v>0</v>
      </c>
      <c r="DY99">
        <v>14</v>
      </c>
      <c r="DZ99">
        <f>DZ17</f>
        <v>0</v>
      </c>
      <c r="EA99">
        <v>14</v>
      </c>
      <c r="EB99">
        <f>IF(EB18="","",EB17)</f>
        <v>0</v>
      </c>
      <c r="EC99">
        <v>14</v>
      </c>
      <c r="ED99">
        <f>ED17</f>
        <v>0</v>
      </c>
    </row>
    <row r="100" spans="5:134">
      <c r="E100">
        <v>15</v>
      </c>
      <c r="F100">
        <f>IF(F19="","",F18)</f>
        <v>0</v>
      </c>
      <c r="G100">
        <v>15</v>
      </c>
      <c r="H100">
        <f>H18</f>
        <v>0</v>
      </c>
      <c r="I100">
        <v>15</v>
      </c>
      <c r="J100">
        <f>IF(J19="","",J18)</f>
        <v>0</v>
      </c>
      <c r="K100">
        <v>15</v>
      </c>
      <c r="L100">
        <f>L18</f>
        <v>0</v>
      </c>
      <c r="M100">
        <v>15</v>
      </c>
      <c r="N100">
        <f>IF(N19="","",N18)</f>
        <v>0</v>
      </c>
      <c r="O100">
        <v>15</v>
      </c>
      <c r="P100">
        <f>P18</f>
        <v>0</v>
      </c>
      <c r="Q100">
        <v>15</v>
      </c>
      <c r="R100">
        <f>IF(R19="","",R18)</f>
        <v>0</v>
      </c>
      <c r="S100">
        <v>15</v>
      </c>
      <c r="T100">
        <f>T18</f>
        <v>0</v>
      </c>
      <c r="U100">
        <v>15</v>
      </c>
      <c r="V100">
        <f>IF(V19="","",V18)</f>
        <v>0</v>
      </c>
      <c r="W100">
        <v>15</v>
      </c>
      <c r="X100">
        <f>X18</f>
        <v>0</v>
      </c>
      <c r="Y100">
        <v>15</v>
      </c>
      <c r="Z100">
        <f>IF(Z19="","",Z18)</f>
        <v>0</v>
      </c>
      <c r="AA100">
        <v>15</v>
      </c>
      <c r="AB100">
        <f>AB18</f>
        <v>0</v>
      </c>
      <c r="AC100">
        <v>15</v>
      </c>
      <c r="AD100">
        <f>IF(AD19="","",AD18)</f>
        <v>0</v>
      </c>
      <c r="AE100">
        <v>15</v>
      </c>
      <c r="AF100">
        <f>AF18</f>
        <v>0</v>
      </c>
      <c r="AG100">
        <v>15</v>
      </c>
      <c r="AH100">
        <f>IF(AH19="","",AH18)</f>
        <v>0</v>
      </c>
      <c r="AI100">
        <v>15</v>
      </c>
      <c r="AJ100">
        <f>AJ18</f>
        <v>0</v>
      </c>
      <c r="AK100">
        <v>15</v>
      </c>
      <c r="AL100">
        <f>IF(AL19="","",AL18)</f>
        <v>0</v>
      </c>
      <c r="AM100">
        <v>15</v>
      </c>
      <c r="AN100">
        <f>AN18</f>
        <v>0</v>
      </c>
      <c r="AO100">
        <v>15</v>
      </c>
      <c r="AP100">
        <f>IF(AP19="","",AP18)</f>
        <v>0</v>
      </c>
      <c r="AQ100">
        <v>15</v>
      </c>
      <c r="AR100">
        <f>AR18</f>
        <v>0</v>
      </c>
      <c r="AS100">
        <v>15</v>
      </c>
      <c r="AT100">
        <f>IF(AT19="","",AT18)</f>
        <v>0</v>
      </c>
      <c r="AU100">
        <v>15</v>
      </c>
      <c r="AV100">
        <f>AV18</f>
        <v>0</v>
      </c>
      <c r="AW100">
        <v>15</v>
      </c>
      <c r="AX100">
        <f>IF(AX19="","",AX18)</f>
        <v>0</v>
      </c>
      <c r="AY100">
        <v>15</v>
      </c>
      <c r="AZ100">
        <f>AZ18</f>
        <v>0</v>
      </c>
      <c r="BA100">
        <v>15</v>
      </c>
      <c r="BB100">
        <f>IF(BB19="","",BB18)</f>
        <v>0</v>
      </c>
      <c r="BC100">
        <v>15</v>
      </c>
      <c r="BD100">
        <f>BD18</f>
        <v>0</v>
      </c>
      <c r="BE100">
        <v>15</v>
      </c>
      <c r="BF100">
        <f>IF(BF19="","",BF18)</f>
        <v>0</v>
      </c>
      <c r="BG100">
        <v>15</v>
      </c>
      <c r="BH100">
        <f>BH18</f>
        <v>0</v>
      </c>
      <c r="BI100">
        <v>15</v>
      </c>
      <c r="BJ100">
        <f>IF(BJ19="","",BJ18)</f>
        <v>0</v>
      </c>
      <c r="BK100">
        <v>15</v>
      </c>
      <c r="BL100">
        <f>BL18</f>
        <v>0</v>
      </c>
      <c r="BM100">
        <v>15</v>
      </c>
      <c r="BN100">
        <f>IF(BN19="","",BN18)</f>
        <v>0</v>
      </c>
      <c r="BO100">
        <v>15</v>
      </c>
      <c r="BP100">
        <f>BP18</f>
        <v>0</v>
      </c>
      <c r="BS100">
        <v>15</v>
      </c>
      <c r="BT100">
        <f>IF(BT19="","",BT18)</f>
        <v>0</v>
      </c>
      <c r="BU100">
        <v>15</v>
      </c>
      <c r="BV100">
        <f>BV18</f>
        <v>0</v>
      </c>
      <c r="BW100">
        <v>15</v>
      </c>
      <c r="BX100">
        <f>IF(BX19="","",BX18)</f>
        <v>0</v>
      </c>
      <c r="BY100">
        <v>15</v>
      </c>
      <c r="BZ100">
        <f>BZ18</f>
        <v>0</v>
      </c>
      <c r="CA100">
        <v>15</v>
      </c>
      <c r="CB100">
        <f>IF(CB19="","",CB18)</f>
        <v>0</v>
      </c>
      <c r="CC100">
        <v>15</v>
      </c>
      <c r="CD100">
        <f>CD18</f>
        <v>0</v>
      </c>
      <c r="CE100">
        <v>15</v>
      </c>
      <c r="CF100">
        <f>IF(CF19="","",CF18)</f>
        <v>0</v>
      </c>
      <c r="CG100">
        <v>15</v>
      </c>
      <c r="CH100">
        <f>CH18</f>
        <v>0</v>
      </c>
      <c r="CI100">
        <v>15</v>
      </c>
      <c r="CJ100">
        <f>IF(CJ19="","",CJ18)</f>
        <v>0</v>
      </c>
      <c r="CK100">
        <v>15</v>
      </c>
      <c r="CL100">
        <f>CL18</f>
        <v>0</v>
      </c>
      <c r="CM100">
        <v>15</v>
      </c>
      <c r="CN100">
        <f>IF(CN19="","",CN18)</f>
        <v>0</v>
      </c>
      <c r="CO100">
        <v>15</v>
      </c>
      <c r="CP100">
        <f>CP18</f>
        <v>0</v>
      </c>
      <c r="CQ100">
        <v>15</v>
      </c>
      <c r="CR100">
        <f>IF(CR19="","",CR18)</f>
        <v>0</v>
      </c>
      <c r="CS100">
        <v>15</v>
      </c>
      <c r="CT100">
        <f>CT18</f>
        <v>0</v>
      </c>
      <c r="CU100">
        <v>15</v>
      </c>
      <c r="CV100">
        <f>IF(CV19="","",CV18)</f>
        <v>0</v>
      </c>
      <c r="CW100">
        <v>15</v>
      </c>
      <c r="CX100">
        <f>CX18</f>
        <v>0</v>
      </c>
      <c r="CY100">
        <v>15</v>
      </c>
      <c r="CZ100">
        <f>IF(CZ19="","",CZ18)</f>
        <v>0</v>
      </c>
      <c r="DA100">
        <v>15</v>
      </c>
      <c r="DB100">
        <f>DB18</f>
        <v>0</v>
      </c>
      <c r="DC100">
        <v>15</v>
      </c>
      <c r="DD100">
        <f>IF(DD19="","",DD18)</f>
        <v>0</v>
      </c>
      <c r="DE100">
        <v>15</v>
      </c>
      <c r="DF100">
        <f>DF18</f>
        <v>0</v>
      </c>
      <c r="DG100">
        <v>15</v>
      </c>
      <c r="DH100">
        <f>IF(DH19="","",DH18)</f>
        <v>0</v>
      </c>
      <c r="DI100">
        <v>15</v>
      </c>
      <c r="DJ100">
        <f>DJ18</f>
        <v>0</v>
      </c>
      <c r="DK100">
        <v>15</v>
      </c>
      <c r="DL100">
        <f>IF(DL19="","",DL18)</f>
        <v>0</v>
      </c>
      <c r="DM100">
        <v>15</v>
      </c>
      <c r="DN100">
        <f>DN18</f>
        <v>0</v>
      </c>
      <c r="DO100">
        <v>15</v>
      </c>
      <c r="DP100">
        <f>IF(DP19="","",DP18)</f>
        <v>0</v>
      </c>
      <c r="DQ100">
        <v>15</v>
      </c>
      <c r="DR100">
        <f>DR18</f>
        <v>0</v>
      </c>
      <c r="DS100">
        <v>15</v>
      </c>
      <c r="DT100">
        <f>IF(DT19="","",DT18)</f>
        <v>0</v>
      </c>
      <c r="DU100">
        <v>15</v>
      </c>
      <c r="DV100">
        <f>DV18</f>
        <v>0</v>
      </c>
      <c r="DW100">
        <v>15</v>
      </c>
      <c r="DX100">
        <f>IF(DX19="","",DX18)</f>
        <v>0</v>
      </c>
      <c r="DY100">
        <v>15</v>
      </c>
      <c r="DZ100">
        <f>DZ18</f>
        <v>0</v>
      </c>
      <c r="EA100">
        <v>15</v>
      </c>
      <c r="EB100">
        <f>IF(EB19="","",EB18)</f>
        <v>0</v>
      </c>
      <c r="EC100">
        <v>15</v>
      </c>
      <c r="ED100">
        <f>ED18</f>
        <v>0</v>
      </c>
    </row>
    <row r="101" spans="5:134">
      <c r="E101">
        <v>16</v>
      </c>
      <c r="F101">
        <f>IF(F20="","",F19)</f>
        <v>0</v>
      </c>
      <c r="G101">
        <v>16</v>
      </c>
      <c r="H101">
        <f>H19</f>
        <v>0</v>
      </c>
      <c r="I101">
        <v>16</v>
      </c>
      <c r="J101">
        <f>IF(J20="","",J19)</f>
        <v>0</v>
      </c>
      <c r="K101">
        <v>16</v>
      </c>
      <c r="L101">
        <f>L19</f>
        <v>0</v>
      </c>
      <c r="M101">
        <v>16</v>
      </c>
      <c r="N101">
        <f>IF(N20="","",N19)</f>
        <v>0</v>
      </c>
      <c r="O101">
        <v>16</v>
      </c>
      <c r="P101">
        <f>P19</f>
        <v>0</v>
      </c>
      <c r="Q101">
        <v>16</v>
      </c>
      <c r="R101">
        <f>IF(R20="","",R19)</f>
        <v>0</v>
      </c>
      <c r="S101">
        <v>16</v>
      </c>
      <c r="T101">
        <f>T19</f>
        <v>0</v>
      </c>
      <c r="U101">
        <v>16</v>
      </c>
      <c r="V101">
        <f>IF(V20="","",V19)</f>
        <v>0</v>
      </c>
      <c r="W101">
        <v>16</v>
      </c>
      <c r="X101">
        <f>X19</f>
        <v>0</v>
      </c>
      <c r="Y101">
        <v>16</v>
      </c>
      <c r="Z101">
        <f>IF(Z20="","",Z19)</f>
        <v>0</v>
      </c>
      <c r="AA101">
        <v>16</v>
      </c>
      <c r="AB101">
        <f>AB19</f>
        <v>0</v>
      </c>
      <c r="AC101">
        <v>16</v>
      </c>
      <c r="AD101">
        <f>IF(AD20="","",AD19)</f>
        <v>0</v>
      </c>
      <c r="AE101">
        <v>16</v>
      </c>
      <c r="AF101">
        <f>AF19</f>
        <v>0</v>
      </c>
      <c r="AG101">
        <v>16</v>
      </c>
      <c r="AH101">
        <f>IF(AH20="","",AH19)</f>
        <v>0</v>
      </c>
      <c r="AI101">
        <v>16</v>
      </c>
      <c r="AJ101">
        <f>AJ19</f>
        <v>0</v>
      </c>
      <c r="AK101">
        <v>16</v>
      </c>
      <c r="AL101">
        <f>IF(AL20="","",AL19)</f>
        <v>0</v>
      </c>
      <c r="AM101">
        <v>16</v>
      </c>
      <c r="AN101">
        <f>AN19</f>
        <v>0</v>
      </c>
      <c r="AO101">
        <v>16</v>
      </c>
      <c r="AP101">
        <f>IF(AP20="","",AP19)</f>
        <v>0</v>
      </c>
      <c r="AQ101">
        <v>16</v>
      </c>
      <c r="AR101">
        <f>AR19</f>
        <v>0</v>
      </c>
      <c r="AS101">
        <v>16</v>
      </c>
      <c r="AT101">
        <f>IF(AT20="","",AT19)</f>
        <v>0</v>
      </c>
      <c r="AU101">
        <v>16</v>
      </c>
      <c r="AV101">
        <f>AV19</f>
        <v>0</v>
      </c>
      <c r="AW101">
        <v>16</v>
      </c>
      <c r="AX101">
        <f>IF(AX20="","",AX19)</f>
        <v>0</v>
      </c>
      <c r="AY101">
        <v>16</v>
      </c>
      <c r="AZ101">
        <f>AZ19</f>
        <v>0</v>
      </c>
      <c r="BA101">
        <v>16</v>
      </c>
      <c r="BB101">
        <f>IF(BB20="","",BB19)</f>
        <v>0</v>
      </c>
      <c r="BC101">
        <v>16</v>
      </c>
      <c r="BD101">
        <f>BD19</f>
        <v>0</v>
      </c>
      <c r="BE101">
        <v>16</v>
      </c>
      <c r="BF101">
        <f>IF(BF20="","",BF19)</f>
        <v>0</v>
      </c>
      <c r="BG101">
        <v>16</v>
      </c>
      <c r="BH101">
        <f>BH19</f>
        <v>0</v>
      </c>
      <c r="BI101">
        <v>16</v>
      </c>
      <c r="BJ101">
        <f>IF(BJ20="","",BJ19)</f>
        <v>0</v>
      </c>
      <c r="BK101">
        <v>16</v>
      </c>
      <c r="BL101">
        <f>BL19</f>
        <v>0</v>
      </c>
      <c r="BM101">
        <v>16</v>
      </c>
      <c r="BN101">
        <f>IF(BN20="","",BN19)</f>
        <v>0</v>
      </c>
      <c r="BO101">
        <v>16</v>
      </c>
      <c r="BP101">
        <f>BP19</f>
        <v>0</v>
      </c>
      <c r="BS101">
        <v>16</v>
      </c>
      <c r="BT101">
        <f>IF(BT20="","",BT19)</f>
        <v>0</v>
      </c>
      <c r="BU101">
        <v>16</v>
      </c>
      <c r="BV101">
        <f>BV19</f>
        <v>0</v>
      </c>
      <c r="BW101">
        <v>16</v>
      </c>
      <c r="BX101">
        <f>IF(BX20="","",BX19)</f>
        <v>0</v>
      </c>
      <c r="BY101">
        <v>16</v>
      </c>
      <c r="BZ101">
        <f>BZ19</f>
        <v>0</v>
      </c>
      <c r="CA101">
        <v>16</v>
      </c>
      <c r="CB101">
        <f>IF(CB20="","",CB19)</f>
        <v>0</v>
      </c>
      <c r="CC101">
        <v>16</v>
      </c>
      <c r="CD101">
        <f>CD19</f>
        <v>0</v>
      </c>
      <c r="CE101">
        <v>16</v>
      </c>
      <c r="CF101">
        <f>IF(CF20="","",CF19)</f>
        <v>0</v>
      </c>
      <c r="CG101">
        <v>16</v>
      </c>
      <c r="CH101">
        <f>CH19</f>
        <v>0</v>
      </c>
      <c r="CI101">
        <v>16</v>
      </c>
      <c r="CJ101">
        <f>IF(CJ20="","",CJ19)</f>
        <v>0</v>
      </c>
      <c r="CK101">
        <v>16</v>
      </c>
      <c r="CL101">
        <f>CL19</f>
        <v>0</v>
      </c>
      <c r="CM101">
        <v>16</v>
      </c>
      <c r="CN101">
        <f>IF(CN20="","",CN19)</f>
        <v>0</v>
      </c>
      <c r="CO101">
        <v>16</v>
      </c>
      <c r="CP101">
        <f>CP19</f>
        <v>0</v>
      </c>
      <c r="CQ101">
        <v>16</v>
      </c>
      <c r="CR101">
        <f>IF(CR20="","",CR19)</f>
        <v>0</v>
      </c>
      <c r="CS101">
        <v>16</v>
      </c>
      <c r="CT101">
        <f>CT19</f>
        <v>0</v>
      </c>
      <c r="CU101">
        <v>16</v>
      </c>
      <c r="CV101">
        <f>IF(CV20="","",CV19)</f>
        <v>0</v>
      </c>
      <c r="CW101">
        <v>16</v>
      </c>
      <c r="CX101">
        <f>CX19</f>
        <v>0</v>
      </c>
      <c r="CY101">
        <v>16</v>
      </c>
      <c r="CZ101">
        <f>IF(CZ20="","",CZ19)</f>
        <v>0</v>
      </c>
      <c r="DA101">
        <v>16</v>
      </c>
      <c r="DB101">
        <f>DB19</f>
        <v>0</v>
      </c>
      <c r="DC101">
        <v>16</v>
      </c>
      <c r="DD101">
        <f>IF(DD20="","",DD19)</f>
        <v>0</v>
      </c>
      <c r="DE101">
        <v>16</v>
      </c>
      <c r="DF101">
        <f>DF19</f>
        <v>0</v>
      </c>
      <c r="DG101">
        <v>16</v>
      </c>
      <c r="DH101">
        <f>IF(DH20="","",DH19)</f>
        <v>0</v>
      </c>
      <c r="DI101">
        <v>16</v>
      </c>
      <c r="DJ101">
        <f>DJ19</f>
        <v>0</v>
      </c>
      <c r="DK101">
        <v>16</v>
      </c>
      <c r="DL101">
        <f>IF(DL20="","",DL19)</f>
        <v>0</v>
      </c>
      <c r="DM101">
        <v>16</v>
      </c>
      <c r="DN101">
        <f>DN19</f>
        <v>0</v>
      </c>
      <c r="DO101">
        <v>16</v>
      </c>
      <c r="DP101">
        <f>IF(DP20="","",DP19)</f>
        <v>0</v>
      </c>
      <c r="DQ101">
        <v>16</v>
      </c>
      <c r="DR101">
        <f>DR19</f>
        <v>0</v>
      </c>
      <c r="DS101">
        <v>16</v>
      </c>
      <c r="DT101">
        <f>IF(DT20="","",DT19)</f>
        <v>0</v>
      </c>
      <c r="DU101">
        <v>16</v>
      </c>
      <c r="DV101">
        <f>DV19</f>
        <v>0</v>
      </c>
      <c r="DW101">
        <v>16</v>
      </c>
      <c r="DX101">
        <f>IF(DX20="","",DX19)</f>
        <v>0</v>
      </c>
      <c r="DY101">
        <v>16</v>
      </c>
      <c r="DZ101">
        <f>DZ19</f>
        <v>0</v>
      </c>
      <c r="EA101">
        <v>16</v>
      </c>
      <c r="EB101">
        <f>IF(EB20="","",EB19)</f>
        <v>0</v>
      </c>
      <c r="EC101">
        <v>16</v>
      </c>
      <c r="ED101">
        <f>ED19</f>
        <v>0</v>
      </c>
    </row>
    <row r="102" spans="5:134">
      <c r="E102">
        <v>17</v>
      </c>
      <c r="F102">
        <f>IF(F21="","",F20)</f>
        <v>0</v>
      </c>
      <c r="G102">
        <v>17</v>
      </c>
      <c r="H102">
        <f>H20</f>
        <v>0</v>
      </c>
      <c r="I102">
        <v>17</v>
      </c>
      <c r="J102">
        <f>IF(J21="","",J20)</f>
        <v>0</v>
      </c>
      <c r="K102">
        <v>17</v>
      </c>
      <c r="L102">
        <f>L20</f>
        <v>0</v>
      </c>
      <c r="M102">
        <v>17</v>
      </c>
      <c r="N102">
        <f>IF(N21="","",N20)</f>
        <v>0</v>
      </c>
      <c r="O102">
        <v>17</v>
      </c>
      <c r="P102">
        <f>P20</f>
        <v>0</v>
      </c>
      <c r="Q102">
        <v>17</v>
      </c>
      <c r="R102">
        <f>IF(R21="","",R20)</f>
        <v>0</v>
      </c>
      <c r="S102">
        <v>17</v>
      </c>
      <c r="T102">
        <f>T20</f>
        <v>0</v>
      </c>
      <c r="U102">
        <v>17</v>
      </c>
      <c r="V102">
        <f>IF(V21="","",V20)</f>
        <v>0</v>
      </c>
      <c r="W102">
        <v>17</v>
      </c>
      <c r="X102">
        <f>X20</f>
        <v>0</v>
      </c>
      <c r="Y102">
        <v>17</v>
      </c>
      <c r="Z102">
        <f>IF(Z21="","",Z20)</f>
        <v>0</v>
      </c>
      <c r="AA102">
        <v>17</v>
      </c>
      <c r="AB102">
        <f>AB20</f>
        <v>0</v>
      </c>
      <c r="AC102">
        <v>17</v>
      </c>
      <c r="AD102">
        <f>IF(AD21="","",AD20)</f>
        <v>0</v>
      </c>
      <c r="AE102">
        <v>17</v>
      </c>
      <c r="AF102">
        <f>AF20</f>
        <v>0</v>
      </c>
      <c r="AG102">
        <v>17</v>
      </c>
      <c r="AH102">
        <f>IF(AH21="","",AH20)</f>
        <v>0</v>
      </c>
      <c r="AI102">
        <v>17</v>
      </c>
      <c r="AJ102">
        <f>AJ20</f>
        <v>0</v>
      </c>
      <c r="AK102">
        <v>17</v>
      </c>
      <c r="AL102">
        <f>IF(AL21="","",AL20)</f>
        <v>0</v>
      </c>
      <c r="AM102">
        <v>17</v>
      </c>
      <c r="AN102">
        <f>AN20</f>
        <v>0</v>
      </c>
      <c r="AO102">
        <v>17</v>
      </c>
      <c r="AP102">
        <f>IF(AP21="","",AP20)</f>
        <v>0</v>
      </c>
      <c r="AQ102">
        <v>17</v>
      </c>
      <c r="AR102">
        <f>AR20</f>
        <v>0</v>
      </c>
      <c r="AS102">
        <v>17</v>
      </c>
      <c r="AT102">
        <f>IF(AT21="","",AT20)</f>
        <v>0</v>
      </c>
      <c r="AU102">
        <v>17</v>
      </c>
      <c r="AV102">
        <f>AV20</f>
        <v>0</v>
      </c>
      <c r="AW102">
        <v>17</v>
      </c>
      <c r="AX102">
        <f>IF(AX21="","",AX20)</f>
        <v>0</v>
      </c>
      <c r="AY102">
        <v>17</v>
      </c>
      <c r="AZ102">
        <f>AZ20</f>
        <v>0</v>
      </c>
      <c r="BA102">
        <v>17</v>
      </c>
      <c r="BB102">
        <f>IF(BB21="","",BB20)</f>
        <v>0</v>
      </c>
      <c r="BC102">
        <v>17</v>
      </c>
      <c r="BD102">
        <f>BD20</f>
        <v>0</v>
      </c>
      <c r="BE102">
        <v>17</v>
      </c>
      <c r="BF102">
        <f>IF(BF21="","",BF20)</f>
        <v>0</v>
      </c>
      <c r="BG102">
        <v>17</v>
      </c>
      <c r="BH102">
        <f>BH20</f>
        <v>0</v>
      </c>
      <c r="BI102">
        <v>17</v>
      </c>
      <c r="BJ102">
        <f>IF(BJ21="","",BJ20)</f>
        <v>0</v>
      </c>
      <c r="BK102">
        <v>17</v>
      </c>
      <c r="BL102">
        <f>BL20</f>
        <v>0</v>
      </c>
      <c r="BM102">
        <v>17</v>
      </c>
      <c r="BN102">
        <f>IF(BN21="","",BN20)</f>
        <v>0</v>
      </c>
      <c r="BO102">
        <v>17</v>
      </c>
      <c r="BP102">
        <f>BP20</f>
        <v>0</v>
      </c>
      <c r="BS102">
        <v>17</v>
      </c>
      <c r="BT102">
        <f>IF(BT21="","",BT20)</f>
        <v>0</v>
      </c>
      <c r="BU102">
        <v>17</v>
      </c>
      <c r="BV102">
        <f>BV20</f>
        <v>0</v>
      </c>
      <c r="BW102">
        <v>17</v>
      </c>
      <c r="BX102">
        <f>IF(BX21="","",BX20)</f>
        <v>0</v>
      </c>
      <c r="BY102">
        <v>17</v>
      </c>
      <c r="BZ102">
        <f>BZ20</f>
        <v>0</v>
      </c>
      <c r="CA102">
        <v>17</v>
      </c>
      <c r="CB102">
        <f>IF(CB21="","",CB20)</f>
        <v>0</v>
      </c>
      <c r="CC102">
        <v>17</v>
      </c>
      <c r="CD102">
        <f>CD20</f>
        <v>0</v>
      </c>
      <c r="CE102">
        <v>17</v>
      </c>
      <c r="CF102">
        <f>IF(CF21="","",CF20)</f>
        <v>0</v>
      </c>
      <c r="CG102">
        <v>17</v>
      </c>
      <c r="CH102">
        <f>CH20</f>
        <v>0</v>
      </c>
      <c r="CI102">
        <v>17</v>
      </c>
      <c r="CJ102">
        <f>IF(CJ21="","",CJ20)</f>
        <v>0</v>
      </c>
      <c r="CK102">
        <v>17</v>
      </c>
      <c r="CL102">
        <f>CL20</f>
        <v>0</v>
      </c>
      <c r="CM102">
        <v>17</v>
      </c>
      <c r="CN102">
        <f>IF(CN21="","",CN20)</f>
        <v>0</v>
      </c>
      <c r="CO102">
        <v>17</v>
      </c>
      <c r="CP102">
        <f>CP20</f>
        <v>0</v>
      </c>
      <c r="CQ102">
        <v>17</v>
      </c>
      <c r="CR102">
        <f>IF(CR21="","",CR20)</f>
        <v>0</v>
      </c>
      <c r="CS102">
        <v>17</v>
      </c>
      <c r="CT102">
        <f>CT20</f>
        <v>0</v>
      </c>
      <c r="CU102">
        <v>17</v>
      </c>
      <c r="CV102">
        <f>IF(CV21="","",CV20)</f>
        <v>0</v>
      </c>
      <c r="CW102">
        <v>17</v>
      </c>
      <c r="CX102">
        <f>CX20</f>
        <v>0</v>
      </c>
      <c r="CY102">
        <v>17</v>
      </c>
      <c r="CZ102">
        <f>IF(CZ21="","",CZ20)</f>
        <v>0</v>
      </c>
      <c r="DA102">
        <v>17</v>
      </c>
      <c r="DB102">
        <f>DB20</f>
        <v>0</v>
      </c>
      <c r="DC102">
        <v>17</v>
      </c>
      <c r="DD102">
        <f>IF(DD21="","",DD20)</f>
        <v>0</v>
      </c>
      <c r="DE102">
        <v>17</v>
      </c>
      <c r="DF102">
        <f>DF20</f>
        <v>0</v>
      </c>
      <c r="DG102">
        <v>17</v>
      </c>
      <c r="DH102">
        <f>IF(DH21="","",DH20)</f>
        <v>0</v>
      </c>
      <c r="DI102">
        <v>17</v>
      </c>
      <c r="DJ102">
        <f>DJ20</f>
        <v>0</v>
      </c>
      <c r="DK102">
        <v>17</v>
      </c>
      <c r="DL102">
        <f>IF(DL21="","",DL20)</f>
        <v>0</v>
      </c>
      <c r="DM102">
        <v>17</v>
      </c>
      <c r="DN102">
        <f>DN20</f>
        <v>0</v>
      </c>
      <c r="DO102">
        <v>17</v>
      </c>
      <c r="DP102">
        <f>IF(DP21="","",DP20)</f>
        <v>0</v>
      </c>
      <c r="DQ102">
        <v>17</v>
      </c>
      <c r="DR102">
        <f>DR20</f>
        <v>0</v>
      </c>
      <c r="DS102">
        <v>17</v>
      </c>
      <c r="DT102">
        <f>IF(DT21="","",DT20)</f>
        <v>0</v>
      </c>
      <c r="DU102">
        <v>17</v>
      </c>
      <c r="DV102">
        <f>DV20</f>
        <v>0</v>
      </c>
      <c r="DW102">
        <v>17</v>
      </c>
      <c r="DX102">
        <f>IF(DX21="","",DX20)</f>
        <v>0</v>
      </c>
      <c r="DY102">
        <v>17</v>
      </c>
      <c r="DZ102">
        <f>DZ20</f>
        <v>0</v>
      </c>
      <c r="EA102">
        <v>17</v>
      </c>
      <c r="EB102">
        <f>IF(EB21="","",EB20)</f>
        <v>0</v>
      </c>
      <c r="EC102">
        <v>17</v>
      </c>
      <c r="ED102">
        <f>ED20</f>
        <v>0</v>
      </c>
    </row>
    <row r="103" spans="5:134">
      <c r="E103">
        <v>18</v>
      </c>
      <c r="F103">
        <f>IF(F22="","",F21)</f>
        <v>0</v>
      </c>
      <c r="G103">
        <v>18</v>
      </c>
      <c r="H103">
        <f>H21</f>
        <v>0</v>
      </c>
      <c r="I103">
        <v>18</v>
      </c>
      <c r="J103">
        <f>IF(J22="","",J21)</f>
        <v>0</v>
      </c>
      <c r="K103">
        <v>18</v>
      </c>
      <c r="L103">
        <f>L21</f>
        <v>0</v>
      </c>
      <c r="M103">
        <v>18</v>
      </c>
      <c r="N103">
        <f>IF(N22="","",N21)</f>
        <v>0</v>
      </c>
      <c r="O103">
        <v>18</v>
      </c>
      <c r="P103">
        <f>P21</f>
        <v>0</v>
      </c>
      <c r="Q103">
        <v>18</v>
      </c>
      <c r="R103">
        <f>IF(R22="","",R21)</f>
        <v>0</v>
      </c>
      <c r="S103">
        <v>18</v>
      </c>
      <c r="T103">
        <f>T21</f>
        <v>0</v>
      </c>
      <c r="U103">
        <v>18</v>
      </c>
      <c r="V103">
        <f>IF(V22="","",V21)</f>
        <v>0</v>
      </c>
      <c r="W103">
        <v>18</v>
      </c>
      <c r="X103">
        <f>X21</f>
        <v>0</v>
      </c>
      <c r="Y103">
        <v>18</v>
      </c>
      <c r="Z103">
        <f>IF(Z22="","",Z21)</f>
        <v>0</v>
      </c>
      <c r="AA103">
        <v>18</v>
      </c>
      <c r="AB103">
        <f>AB21</f>
        <v>0</v>
      </c>
      <c r="AC103">
        <v>18</v>
      </c>
      <c r="AD103">
        <f>IF(AD22="","",AD21)</f>
        <v>0</v>
      </c>
      <c r="AE103">
        <v>18</v>
      </c>
      <c r="AF103">
        <f>AF21</f>
        <v>0</v>
      </c>
      <c r="AG103">
        <v>18</v>
      </c>
      <c r="AH103">
        <f>IF(AH22="","",AH21)</f>
        <v>0</v>
      </c>
      <c r="AI103">
        <v>18</v>
      </c>
      <c r="AJ103">
        <f>AJ21</f>
        <v>0</v>
      </c>
      <c r="AK103">
        <v>18</v>
      </c>
      <c r="AL103">
        <f>IF(AL22="","",AL21)</f>
        <v>0</v>
      </c>
      <c r="AM103">
        <v>18</v>
      </c>
      <c r="AN103">
        <f>AN21</f>
        <v>0</v>
      </c>
      <c r="AO103">
        <v>18</v>
      </c>
      <c r="AP103">
        <f>IF(AP22="","",AP21)</f>
        <v>0</v>
      </c>
      <c r="AQ103">
        <v>18</v>
      </c>
      <c r="AR103">
        <f>AR21</f>
        <v>0</v>
      </c>
      <c r="AS103">
        <v>18</v>
      </c>
      <c r="AT103">
        <f>IF(AT22="","",AT21)</f>
        <v>0</v>
      </c>
      <c r="AU103">
        <v>18</v>
      </c>
      <c r="AV103">
        <f>AV21</f>
        <v>0</v>
      </c>
      <c r="AW103">
        <v>18</v>
      </c>
      <c r="AX103">
        <f>IF(AX22="","",AX21)</f>
        <v>0</v>
      </c>
      <c r="AY103">
        <v>18</v>
      </c>
      <c r="AZ103">
        <f>AZ21</f>
        <v>0</v>
      </c>
      <c r="BA103">
        <v>18</v>
      </c>
      <c r="BB103">
        <f>IF(BB22="","",BB21)</f>
        <v>0</v>
      </c>
      <c r="BC103">
        <v>18</v>
      </c>
      <c r="BD103">
        <f>BD21</f>
        <v>0</v>
      </c>
      <c r="BE103">
        <v>18</v>
      </c>
      <c r="BF103">
        <f>IF(BF22="","",BF21)</f>
        <v>0</v>
      </c>
      <c r="BG103">
        <v>18</v>
      </c>
      <c r="BH103">
        <f>BH21</f>
        <v>0</v>
      </c>
      <c r="BI103">
        <v>18</v>
      </c>
      <c r="BJ103">
        <f>IF(BJ22="","",BJ21)</f>
        <v>0</v>
      </c>
      <c r="BK103">
        <v>18</v>
      </c>
      <c r="BL103">
        <f>BL21</f>
        <v>0</v>
      </c>
      <c r="BM103">
        <v>18</v>
      </c>
      <c r="BN103">
        <f>IF(BN22="","",BN21)</f>
        <v>0</v>
      </c>
      <c r="BO103">
        <v>18</v>
      </c>
      <c r="BP103">
        <f>BP21</f>
        <v>0</v>
      </c>
      <c r="BS103">
        <v>18</v>
      </c>
      <c r="BT103">
        <f>IF(BT22="","",BT21)</f>
        <v>0</v>
      </c>
      <c r="BU103">
        <v>18</v>
      </c>
      <c r="BV103">
        <f>BV21</f>
        <v>0</v>
      </c>
      <c r="BW103">
        <v>18</v>
      </c>
      <c r="BX103">
        <f>IF(BX22="","",BX21)</f>
        <v>0</v>
      </c>
      <c r="BY103">
        <v>18</v>
      </c>
      <c r="BZ103">
        <f>BZ21</f>
        <v>0</v>
      </c>
      <c r="CA103">
        <v>18</v>
      </c>
      <c r="CB103">
        <f>IF(CB22="","",CB21)</f>
        <v>0</v>
      </c>
      <c r="CC103">
        <v>18</v>
      </c>
      <c r="CD103">
        <f>CD21</f>
        <v>0</v>
      </c>
      <c r="CE103">
        <v>18</v>
      </c>
      <c r="CF103">
        <f>IF(CF22="","",CF21)</f>
        <v>0</v>
      </c>
      <c r="CG103">
        <v>18</v>
      </c>
      <c r="CH103">
        <f>CH21</f>
        <v>0</v>
      </c>
      <c r="CI103">
        <v>18</v>
      </c>
      <c r="CJ103">
        <f>IF(CJ22="","",CJ21)</f>
        <v>0</v>
      </c>
      <c r="CK103">
        <v>18</v>
      </c>
      <c r="CL103">
        <f>CL21</f>
        <v>0</v>
      </c>
      <c r="CM103">
        <v>18</v>
      </c>
      <c r="CN103">
        <f>IF(CN22="","",CN21)</f>
        <v>0</v>
      </c>
      <c r="CO103">
        <v>18</v>
      </c>
      <c r="CP103">
        <f>CP21</f>
        <v>0</v>
      </c>
      <c r="CQ103">
        <v>18</v>
      </c>
      <c r="CR103">
        <f>IF(CR22="","",CR21)</f>
        <v>0</v>
      </c>
      <c r="CS103">
        <v>18</v>
      </c>
      <c r="CT103">
        <f>CT21</f>
        <v>0</v>
      </c>
      <c r="CU103">
        <v>18</v>
      </c>
      <c r="CV103">
        <f>IF(CV22="","",CV21)</f>
        <v>0</v>
      </c>
      <c r="CW103">
        <v>18</v>
      </c>
      <c r="CX103">
        <f>CX21</f>
        <v>0</v>
      </c>
      <c r="CY103">
        <v>18</v>
      </c>
      <c r="CZ103">
        <f>IF(CZ22="","",CZ21)</f>
        <v>0</v>
      </c>
      <c r="DA103">
        <v>18</v>
      </c>
      <c r="DB103">
        <f>DB21</f>
        <v>0</v>
      </c>
      <c r="DC103">
        <v>18</v>
      </c>
      <c r="DD103">
        <f>IF(DD22="","",DD21)</f>
        <v>0</v>
      </c>
      <c r="DE103">
        <v>18</v>
      </c>
      <c r="DF103">
        <f>DF21</f>
        <v>0</v>
      </c>
      <c r="DG103">
        <v>18</v>
      </c>
      <c r="DH103">
        <f>IF(DH22="","",DH21)</f>
        <v>0</v>
      </c>
      <c r="DI103">
        <v>18</v>
      </c>
      <c r="DJ103">
        <f>DJ21</f>
        <v>0</v>
      </c>
      <c r="DK103">
        <v>18</v>
      </c>
      <c r="DL103">
        <f>IF(DL22="","",DL21)</f>
        <v>0</v>
      </c>
      <c r="DM103">
        <v>18</v>
      </c>
      <c r="DN103">
        <f>DN21</f>
        <v>0</v>
      </c>
      <c r="DO103">
        <v>18</v>
      </c>
      <c r="DP103">
        <f>IF(DP22="","",DP21)</f>
        <v>0</v>
      </c>
      <c r="DQ103">
        <v>18</v>
      </c>
      <c r="DR103">
        <f>DR21</f>
        <v>0</v>
      </c>
      <c r="DS103">
        <v>18</v>
      </c>
      <c r="DT103">
        <f>IF(DT22="","",DT21)</f>
        <v>0</v>
      </c>
      <c r="DU103">
        <v>18</v>
      </c>
      <c r="DV103">
        <f>DV21</f>
        <v>0</v>
      </c>
      <c r="DW103">
        <v>18</v>
      </c>
      <c r="DX103">
        <f>IF(DX22="","",DX21)</f>
        <v>0</v>
      </c>
      <c r="DY103">
        <v>18</v>
      </c>
      <c r="DZ103">
        <f>DZ21</f>
        <v>0</v>
      </c>
      <c r="EA103">
        <v>18</v>
      </c>
      <c r="EB103">
        <f>IF(EB22="","",EB21)</f>
        <v>0</v>
      </c>
      <c r="EC103">
        <v>18</v>
      </c>
      <c r="ED103">
        <f>ED21</f>
        <v>0</v>
      </c>
    </row>
    <row r="104" spans="5:134">
      <c r="E104">
        <v>19</v>
      </c>
      <c r="F104">
        <f>IF(F23="","",F22)</f>
        <v>0</v>
      </c>
      <c r="G104">
        <v>19</v>
      </c>
      <c r="H104">
        <f>H22</f>
        <v>0</v>
      </c>
      <c r="I104">
        <v>19</v>
      </c>
      <c r="J104">
        <f>IF(J23="","",J22)</f>
        <v>0</v>
      </c>
      <c r="K104">
        <v>19</v>
      </c>
      <c r="L104">
        <f>L22</f>
        <v>0</v>
      </c>
      <c r="M104">
        <v>19</v>
      </c>
      <c r="N104">
        <f>IF(N23="","",N22)</f>
        <v>0</v>
      </c>
      <c r="O104">
        <v>19</v>
      </c>
      <c r="P104">
        <f>P22</f>
        <v>0</v>
      </c>
      <c r="Q104">
        <v>19</v>
      </c>
      <c r="R104">
        <f>IF(R23="","",R22)</f>
        <v>0</v>
      </c>
      <c r="S104">
        <v>19</v>
      </c>
      <c r="T104">
        <f>T22</f>
        <v>0</v>
      </c>
      <c r="U104">
        <v>19</v>
      </c>
      <c r="V104">
        <f>IF(V23="","",V22)</f>
        <v>0</v>
      </c>
      <c r="W104">
        <v>19</v>
      </c>
      <c r="X104">
        <f>X22</f>
        <v>0</v>
      </c>
      <c r="Y104">
        <v>19</v>
      </c>
      <c r="Z104">
        <f>IF(Z23="","",Z22)</f>
        <v>0</v>
      </c>
      <c r="AA104">
        <v>19</v>
      </c>
      <c r="AB104">
        <f>AB22</f>
        <v>0</v>
      </c>
      <c r="AC104">
        <v>19</v>
      </c>
      <c r="AD104">
        <f>IF(AD23="","",AD22)</f>
        <v>0</v>
      </c>
      <c r="AE104">
        <v>19</v>
      </c>
      <c r="AF104">
        <f>AF22</f>
        <v>0</v>
      </c>
      <c r="AG104">
        <v>19</v>
      </c>
      <c r="AH104">
        <f>IF(AH23="","",AH22)</f>
        <v>0</v>
      </c>
      <c r="AI104">
        <v>19</v>
      </c>
      <c r="AJ104">
        <f>AJ22</f>
        <v>0</v>
      </c>
      <c r="AK104">
        <v>19</v>
      </c>
      <c r="AL104">
        <f>IF(AL23="","",AL22)</f>
        <v>0</v>
      </c>
      <c r="AM104">
        <v>19</v>
      </c>
      <c r="AN104">
        <f>AN22</f>
        <v>0</v>
      </c>
      <c r="AO104">
        <v>19</v>
      </c>
      <c r="AP104">
        <f>IF(AP23="","",AP22)</f>
        <v>0</v>
      </c>
      <c r="AQ104">
        <v>19</v>
      </c>
      <c r="AR104">
        <f>AR22</f>
        <v>0</v>
      </c>
      <c r="AS104">
        <v>19</v>
      </c>
      <c r="AT104">
        <f>IF(AT23="","",AT22)</f>
        <v>0</v>
      </c>
      <c r="AU104">
        <v>19</v>
      </c>
      <c r="AV104">
        <f>AV22</f>
        <v>0</v>
      </c>
      <c r="AW104">
        <v>19</v>
      </c>
      <c r="AX104">
        <f>IF(AX23="","",AX22)</f>
        <v>0</v>
      </c>
      <c r="AY104">
        <v>19</v>
      </c>
      <c r="AZ104">
        <f>AZ22</f>
        <v>0</v>
      </c>
      <c r="BA104">
        <v>19</v>
      </c>
      <c r="BB104">
        <f>IF(BB23="","",BB22)</f>
        <v>0</v>
      </c>
      <c r="BC104">
        <v>19</v>
      </c>
      <c r="BD104">
        <f>BD22</f>
        <v>0</v>
      </c>
      <c r="BE104">
        <v>19</v>
      </c>
      <c r="BF104">
        <f>IF(BF23="","",BF22)</f>
        <v>0</v>
      </c>
      <c r="BG104">
        <v>19</v>
      </c>
      <c r="BH104">
        <f>BH22</f>
        <v>0</v>
      </c>
      <c r="BI104">
        <v>19</v>
      </c>
      <c r="BJ104">
        <f>IF(BJ23="","",BJ22)</f>
        <v>0</v>
      </c>
      <c r="BK104">
        <v>19</v>
      </c>
      <c r="BL104">
        <f>BL22</f>
        <v>0</v>
      </c>
      <c r="BM104">
        <v>19</v>
      </c>
      <c r="BN104">
        <f>IF(BN23="","",BN22)</f>
        <v>0</v>
      </c>
      <c r="BO104">
        <v>19</v>
      </c>
      <c r="BP104">
        <f>BP22</f>
        <v>0</v>
      </c>
      <c r="BS104">
        <v>19</v>
      </c>
      <c r="BT104">
        <f>IF(BT23="","",BT22)</f>
        <v>0</v>
      </c>
      <c r="BU104">
        <v>19</v>
      </c>
      <c r="BV104">
        <f>BV22</f>
        <v>0</v>
      </c>
      <c r="BW104">
        <v>19</v>
      </c>
      <c r="BX104">
        <f>IF(BX23="","",BX22)</f>
        <v>0</v>
      </c>
      <c r="BY104">
        <v>19</v>
      </c>
      <c r="BZ104">
        <f>BZ22</f>
        <v>0</v>
      </c>
      <c r="CA104">
        <v>19</v>
      </c>
      <c r="CB104">
        <f>IF(CB23="","",CB22)</f>
        <v>0</v>
      </c>
      <c r="CC104">
        <v>19</v>
      </c>
      <c r="CD104">
        <f>CD22</f>
        <v>0</v>
      </c>
      <c r="CE104">
        <v>19</v>
      </c>
      <c r="CF104">
        <f>IF(CF23="","",CF22)</f>
        <v>0</v>
      </c>
      <c r="CG104">
        <v>19</v>
      </c>
      <c r="CH104">
        <f>CH22</f>
        <v>0</v>
      </c>
      <c r="CI104">
        <v>19</v>
      </c>
      <c r="CJ104">
        <f>IF(CJ23="","",CJ22)</f>
        <v>0</v>
      </c>
      <c r="CK104">
        <v>19</v>
      </c>
      <c r="CL104">
        <f>CL22</f>
        <v>0</v>
      </c>
      <c r="CM104">
        <v>19</v>
      </c>
      <c r="CN104">
        <f>IF(CN23="","",CN22)</f>
        <v>0</v>
      </c>
      <c r="CO104">
        <v>19</v>
      </c>
      <c r="CP104">
        <f>CP22</f>
        <v>0</v>
      </c>
      <c r="CQ104">
        <v>19</v>
      </c>
      <c r="CR104">
        <f>IF(CR23="","",CR22)</f>
        <v>0</v>
      </c>
      <c r="CS104">
        <v>19</v>
      </c>
      <c r="CT104">
        <f>CT22</f>
        <v>0</v>
      </c>
      <c r="CU104">
        <v>19</v>
      </c>
      <c r="CV104">
        <f>IF(CV23="","",CV22)</f>
        <v>0</v>
      </c>
      <c r="CW104">
        <v>19</v>
      </c>
      <c r="CX104">
        <f>CX22</f>
        <v>0</v>
      </c>
      <c r="CY104">
        <v>19</v>
      </c>
      <c r="CZ104">
        <f>IF(CZ23="","",CZ22)</f>
        <v>0</v>
      </c>
      <c r="DA104">
        <v>19</v>
      </c>
      <c r="DB104">
        <f>DB22</f>
        <v>0</v>
      </c>
      <c r="DC104">
        <v>19</v>
      </c>
      <c r="DD104">
        <f>IF(DD23="","",DD22)</f>
        <v>0</v>
      </c>
      <c r="DE104">
        <v>19</v>
      </c>
      <c r="DF104">
        <f>DF22</f>
        <v>0</v>
      </c>
      <c r="DG104">
        <v>19</v>
      </c>
      <c r="DH104">
        <f>IF(DH23="","",DH22)</f>
        <v>0</v>
      </c>
      <c r="DI104">
        <v>19</v>
      </c>
      <c r="DJ104">
        <f>DJ22</f>
        <v>0</v>
      </c>
      <c r="DK104">
        <v>19</v>
      </c>
      <c r="DL104">
        <f>IF(DL23="","",DL22)</f>
        <v>0</v>
      </c>
      <c r="DM104">
        <v>19</v>
      </c>
      <c r="DN104">
        <f>DN22</f>
        <v>0</v>
      </c>
      <c r="DO104">
        <v>19</v>
      </c>
      <c r="DP104">
        <f>IF(DP23="","",DP22)</f>
        <v>0</v>
      </c>
      <c r="DQ104">
        <v>19</v>
      </c>
      <c r="DR104">
        <f>DR22</f>
        <v>0</v>
      </c>
      <c r="DS104">
        <v>19</v>
      </c>
      <c r="DT104">
        <f>IF(DT23="","",DT22)</f>
        <v>0</v>
      </c>
      <c r="DU104">
        <v>19</v>
      </c>
      <c r="DV104">
        <f>DV22</f>
        <v>0</v>
      </c>
      <c r="DW104">
        <v>19</v>
      </c>
      <c r="DX104">
        <f>IF(DX23="","",DX22)</f>
        <v>0</v>
      </c>
      <c r="DY104">
        <v>19</v>
      </c>
      <c r="DZ104">
        <f>DZ22</f>
        <v>0</v>
      </c>
      <c r="EA104">
        <v>19</v>
      </c>
      <c r="EB104">
        <f>IF(EB23="","",EB22)</f>
        <v>0</v>
      </c>
      <c r="EC104">
        <v>19</v>
      </c>
      <c r="ED104">
        <f>ED22</f>
        <v>0</v>
      </c>
    </row>
    <row r="105" spans="5:134">
      <c r="E105">
        <v>20</v>
      </c>
      <c r="F105">
        <f>IF(F24="","",F23)</f>
        <v>0</v>
      </c>
      <c r="G105">
        <v>20</v>
      </c>
      <c r="H105">
        <f>H23</f>
        <v>0</v>
      </c>
      <c r="I105">
        <v>20</v>
      </c>
      <c r="J105">
        <f>IF(J24="","",J23)</f>
        <v>0</v>
      </c>
      <c r="K105">
        <v>20</v>
      </c>
      <c r="L105">
        <f>L23</f>
        <v>0</v>
      </c>
      <c r="M105">
        <v>20</v>
      </c>
      <c r="N105">
        <f>IF(N24="","",N23)</f>
        <v>0</v>
      </c>
      <c r="O105">
        <v>20</v>
      </c>
      <c r="P105">
        <f>P23</f>
        <v>0</v>
      </c>
      <c r="Q105">
        <v>20</v>
      </c>
      <c r="R105">
        <f>IF(R24="","",R23)</f>
        <v>0</v>
      </c>
      <c r="S105">
        <v>20</v>
      </c>
      <c r="T105">
        <f>T23</f>
        <v>0</v>
      </c>
      <c r="U105">
        <v>20</v>
      </c>
      <c r="V105">
        <f>IF(V24="","",V23)</f>
        <v>0</v>
      </c>
      <c r="W105">
        <v>20</v>
      </c>
      <c r="X105">
        <f>X23</f>
        <v>0</v>
      </c>
      <c r="Y105">
        <v>20</v>
      </c>
      <c r="Z105">
        <f>IF(Z24="","",Z23)</f>
        <v>0</v>
      </c>
      <c r="AA105">
        <v>20</v>
      </c>
      <c r="AB105">
        <f>AB23</f>
        <v>0</v>
      </c>
      <c r="AC105">
        <v>20</v>
      </c>
      <c r="AD105">
        <f>IF(AD24="","",AD23)</f>
        <v>0</v>
      </c>
      <c r="AE105">
        <v>20</v>
      </c>
      <c r="AF105">
        <f>AF23</f>
        <v>0</v>
      </c>
      <c r="AG105">
        <v>20</v>
      </c>
      <c r="AH105">
        <f>IF(AH24="","",AH23)</f>
        <v>0</v>
      </c>
      <c r="AI105">
        <v>20</v>
      </c>
      <c r="AJ105">
        <f>AJ23</f>
        <v>0</v>
      </c>
      <c r="AK105">
        <v>20</v>
      </c>
      <c r="AL105">
        <f>IF(AL24="","",AL23)</f>
        <v>0</v>
      </c>
      <c r="AM105">
        <v>20</v>
      </c>
      <c r="AN105">
        <f>AN23</f>
        <v>0</v>
      </c>
      <c r="AO105">
        <v>20</v>
      </c>
      <c r="AP105">
        <f>IF(AP24="","",AP23)</f>
        <v>0</v>
      </c>
      <c r="AQ105">
        <v>20</v>
      </c>
      <c r="AR105">
        <f>AR23</f>
        <v>0</v>
      </c>
      <c r="AS105">
        <v>20</v>
      </c>
      <c r="AT105">
        <f>IF(AT24="","",AT23)</f>
        <v>0</v>
      </c>
      <c r="AU105">
        <v>20</v>
      </c>
      <c r="AV105">
        <f>AV23</f>
        <v>0</v>
      </c>
      <c r="AW105">
        <v>20</v>
      </c>
      <c r="AX105">
        <f>IF(AX24="","",AX23)</f>
        <v>0</v>
      </c>
      <c r="AY105">
        <v>20</v>
      </c>
      <c r="AZ105">
        <f>AZ23</f>
        <v>0</v>
      </c>
      <c r="BA105">
        <v>20</v>
      </c>
      <c r="BB105">
        <f>IF(BB24="","",BB23)</f>
        <v>0</v>
      </c>
      <c r="BC105">
        <v>20</v>
      </c>
      <c r="BD105">
        <f>BD23</f>
        <v>0</v>
      </c>
      <c r="BE105">
        <v>20</v>
      </c>
      <c r="BF105">
        <f>IF(BF24="","",BF23)</f>
        <v>0</v>
      </c>
      <c r="BG105">
        <v>20</v>
      </c>
      <c r="BH105">
        <f>BH23</f>
        <v>0</v>
      </c>
      <c r="BI105">
        <v>20</v>
      </c>
      <c r="BJ105">
        <f>IF(BJ24="","",BJ23)</f>
        <v>0</v>
      </c>
      <c r="BK105">
        <v>20</v>
      </c>
      <c r="BL105">
        <f>BL23</f>
        <v>0</v>
      </c>
      <c r="BM105">
        <v>20</v>
      </c>
      <c r="BN105">
        <f>IF(BN24="","",BN23)</f>
        <v>0</v>
      </c>
      <c r="BO105">
        <v>20</v>
      </c>
      <c r="BP105">
        <f>BP23</f>
        <v>0</v>
      </c>
      <c r="BS105">
        <v>20</v>
      </c>
      <c r="BT105">
        <f>IF(BT24="","",BT23)</f>
        <v>0</v>
      </c>
      <c r="BU105">
        <v>20</v>
      </c>
      <c r="BV105">
        <f>BV23</f>
        <v>0</v>
      </c>
      <c r="BW105">
        <v>20</v>
      </c>
      <c r="BX105">
        <f>IF(BX24="","",BX23)</f>
        <v>0</v>
      </c>
      <c r="BY105">
        <v>20</v>
      </c>
      <c r="BZ105">
        <f>BZ23</f>
        <v>0</v>
      </c>
      <c r="CA105">
        <v>20</v>
      </c>
      <c r="CB105">
        <f>IF(CB24="","",CB23)</f>
        <v>0</v>
      </c>
      <c r="CC105">
        <v>20</v>
      </c>
      <c r="CD105">
        <f>CD23</f>
        <v>0</v>
      </c>
      <c r="CE105">
        <v>20</v>
      </c>
      <c r="CF105">
        <f>IF(CF24="","",CF23)</f>
        <v>0</v>
      </c>
      <c r="CG105">
        <v>20</v>
      </c>
      <c r="CH105">
        <f>CH23</f>
        <v>0</v>
      </c>
      <c r="CI105">
        <v>20</v>
      </c>
      <c r="CJ105">
        <f>IF(CJ24="","",CJ23)</f>
        <v>0</v>
      </c>
      <c r="CK105">
        <v>20</v>
      </c>
      <c r="CL105">
        <f>CL23</f>
        <v>0</v>
      </c>
      <c r="CM105">
        <v>20</v>
      </c>
      <c r="CN105">
        <f>IF(CN24="","",CN23)</f>
        <v>0</v>
      </c>
      <c r="CO105">
        <v>20</v>
      </c>
      <c r="CP105">
        <f>CP23</f>
        <v>0</v>
      </c>
      <c r="CQ105">
        <v>20</v>
      </c>
      <c r="CR105">
        <f>IF(CR24="","",CR23)</f>
        <v>0</v>
      </c>
      <c r="CS105">
        <v>20</v>
      </c>
      <c r="CT105">
        <f>CT23</f>
        <v>0</v>
      </c>
      <c r="CU105">
        <v>20</v>
      </c>
      <c r="CV105">
        <f>IF(CV24="","",CV23)</f>
        <v>0</v>
      </c>
      <c r="CW105">
        <v>20</v>
      </c>
      <c r="CX105">
        <f>CX23</f>
        <v>0</v>
      </c>
      <c r="CY105">
        <v>20</v>
      </c>
      <c r="CZ105">
        <f>IF(CZ24="","",CZ23)</f>
        <v>0</v>
      </c>
      <c r="DA105">
        <v>20</v>
      </c>
      <c r="DB105">
        <f>DB23</f>
        <v>0</v>
      </c>
      <c r="DC105">
        <v>20</v>
      </c>
      <c r="DD105">
        <f>IF(DD24="","",DD23)</f>
        <v>0</v>
      </c>
      <c r="DE105">
        <v>20</v>
      </c>
      <c r="DF105">
        <f>DF23</f>
        <v>0</v>
      </c>
      <c r="DG105">
        <v>20</v>
      </c>
      <c r="DH105">
        <f>IF(DH24="","",DH23)</f>
        <v>0</v>
      </c>
      <c r="DI105">
        <v>20</v>
      </c>
      <c r="DJ105">
        <f>DJ23</f>
        <v>0</v>
      </c>
      <c r="DK105">
        <v>20</v>
      </c>
      <c r="DL105">
        <f>IF(DL24="","",DL23)</f>
        <v>0</v>
      </c>
      <c r="DM105">
        <v>20</v>
      </c>
      <c r="DN105">
        <f>DN23</f>
        <v>0</v>
      </c>
      <c r="DO105">
        <v>20</v>
      </c>
      <c r="DP105">
        <f>IF(DP24="","",DP23)</f>
        <v>0</v>
      </c>
      <c r="DQ105">
        <v>20</v>
      </c>
      <c r="DR105">
        <f>DR23</f>
        <v>0</v>
      </c>
      <c r="DS105">
        <v>20</v>
      </c>
      <c r="DT105">
        <f>IF(DT24="","",DT23)</f>
        <v>0</v>
      </c>
      <c r="DU105">
        <v>20</v>
      </c>
      <c r="DV105">
        <f>DV23</f>
        <v>0</v>
      </c>
      <c r="DW105">
        <v>20</v>
      </c>
      <c r="DX105">
        <f>IF(DX24="","",DX23)</f>
        <v>0</v>
      </c>
      <c r="DY105">
        <v>20</v>
      </c>
      <c r="DZ105">
        <f>DZ23</f>
        <v>0</v>
      </c>
      <c r="EA105">
        <v>20</v>
      </c>
      <c r="EB105">
        <f>IF(EB24="","",EB23)</f>
        <v>0</v>
      </c>
      <c r="EC105">
        <v>20</v>
      </c>
      <c r="ED105">
        <f>ED23</f>
        <v>0</v>
      </c>
    </row>
    <row r="106" spans="5:134">
      <c r="E106">
        <v>21</v>
      </c>
      <c r="F106">
        <f>IF(F25="","",F24)</f>
        <v>0</v>
      </c>
      <c r="G106">
        <v>21</v>
      </c>
      <c r="H106">
        <f>H24</f>
        <v>0</v>
      </c>
      <c r="I106">
        <v>21</v>
      </c>
      <c r="J106">
        <f>IF(J25="","",J24)</f>
        <v>0</v>
      </c>
      <c r="K106">
        <v>21</v>
      </c>
      <c r="L106">
        <f>L24</f>
        <v>0</v>
      </c>
      <c r="M106">
        <v>21</v>
      </c>
      <c r="N106">
        <f>IF(N25="","",N24)</f>
        <v>0</v>
      </c>
      <c r="O106">
        <v>21</v>
      </c>
      <c r="P106">
        <f>P24</f>
        <v>0</v>
      </c>
      <c r="Q106">
        <v>21</v>
      </c>
      <c r="R106">
        <f>IF(R25="","",R24)</f>
        <v>0</v>
      </c>
      <c r="S106">
        <v>21</v>
      </c>
      <c r="T106">
        <f>T24</f>
        <v>0</v>
      </c>
      <c r="U106">
        <v>21</v>
      </c>
      <c r="V106">
        <f>IF(V25="","",V24)</f>
        <v>0</v>
      </c>
      <c r="W106">
        <v>21</v>
      </c>
      <c r="X106">
        <f>X24</f>
        <v>0</v>
      </c>
      <c r="Y106">
        <v>21</v>
      </c>
      <c r="Z106">
        <f>IF(Z25="","",Z24)</f>
        <v>0</v>
      </c>
      <c r="AA106">
        <v>21</v>
      </c>
      <c r="AB106">
        <f>AB24</f>
        <v>0</v>
      </c>
      <c r="AC106">
        <v>21</v>
      </c>
      <c r="AD106">
        <f>IF(AD25="","",AD24)</f>
        <v>0</v>
      </c>
      <c r="AE106">
        <v>21</v>
      </c>
      <c r="AF106">
        <f>AF24</f>
        <v>0</v>
      </c>
      <c r="AG106">
        <v>21</v>
      </c>
      <c r="AH106">
        <f>IF(AH25="","",AH24)</f>
        <v>0</v>
      </c>
      <c r="AI106">
        <v>21</v>
      </c>
      <c r="AJ106">
        <f>AJ24</f>
        <v>0</v>
      </c>
      <c r="AK106">
        <v>21</v>
      </c>
      <c r="AL106">
        <f>IF(AL25="","",AL24)</f>
        <v>0</v>
      </c>
      <c r="AM106">
        <v>21</v>
      </c>
      <c r="AN106">
        <f>AN24</f>
        <v>0</v>
      </c>
      <c r="AO106">
        <v>21</v>
      </c>
      <c r="AP106">
        <f>IF(AP25="","",AP24)</f>
        <v>0</v>
      </c>
      <c r="AQ106">
        <v>21</v>
      </c>
      <c r="AR106">
        <f>AR24</f>
        <v>0</v>
      </c>
      <c r="AS106">
        <v>21</v>
      </c>
      <c r="AT106">
        <f>IF(AT25="","",AT24)</f>
        <v>0</v>
      </c>
      <c r="AU106">
        <v>21</v>
      </c>
      <c r="AV106">
        <f>AV24</f>
        <v>0</v>
      </c>
      <c r="AW106">
        <v>21</v>
      </c>
      <c r="AX106">
        <f>IF(AX25="","",AX24)</f>
        <v>0</v>
      </c>
      <c r="AY106">
        <v>21</v>
      </c>
      <c r="AZ106">
        <f>AZ24</f>
        <v>0</v>
      </c>
      <c r="BA106">
        <v>21</v>
      </c>
      <c r="BB106">
        <f>IF(BB25="","",BB24)</f>
        <v>0</v>
      </c>
      <c r="BC106">
        <v>21</v>
      </c>
      <c r="BD106">
        <f>BD24</f>
        <v>0</v>
      </c>
      <c r="BE106">
        <v>21</v>
      </c>
      <c r="BF106">
        <f>IF(BF25="","",BF24)</f>
        <v>0</v>
      </c>
      <c r="BG106">
        <v>21</v>
      </c>
      <c r="BH106">
        <f>BH24</f>
        <v>0</v>
      </c>
      <c r="BI106">
        <v>21</v>
      </c>
      <c r="BJ106">
        <f>IF(BJ25="","",BJ24)</f>
        <v>0</v>
      </c>
      <c r="BK106">
        <v>21</v>
      </c>
      <c r="BL106">
        <f>BL24</f>
        <v>0</v>
      </c>
      <c r="BM106">
        <v>21</v>
      </c>
      <c r="BN106">
        <f>IF(BN25="","",BN24)</f>
        <v>0</v>
      </c>
      <c r="BO106">
        <v>21</v>
      </c>
      <c r="BP106">
        <f>BP24</f>
        <v>0</v>
      </c>
      <c r="BS106">
        <v>21</v>
      </c>
      <c r="BT106">
        <f>IF(BT25="","",BT24)</f>
        <v>0</v>
      </c>
      <c r="BU106">
        <v>21</v>
      </c>
      <c r="BV106">
        <f>BV24</f>
        <v>0</v>
      </c>
      <c r="BW106">
        <v>21</v>
      </c>
      <c r="BX106">
        <f>IF(BX25="","",BX24)</f>
        <v>0</v>
      </c>
      <c r="BY106">
        <v>21</v>
      </c>
      <c r="BZ106">
        <f>BZ24</f>
        <v>0</v>
      </c>
      <c r="CA106">
        <v>21</v>
      </c>
      <c r="CB106">
        <f>IF(CB25="","",CB24)</f>
        <v>0</v>
      </c>
      <c r="CC106">
        <v>21</v>
      </c>
      <c r="CD106">
        <f>CD24</f>
        <v>0</v>
      </c>
      <c r="CE106">
        <v>21</v>
      </c>
      <c r="CF106">
        <f>IF(CF25="","",CF24)</f>
        <v>0</v>
      </c>
      <c r="CG106">
        <v>21</v>
      </c>
      <c r="CH106">
        <f>CH24</f>
        <v>0</v>
      </c>
      <c r="CI106">
        <v>21</v>
      </c>
      <c r="CJ106">
        <f>IF(CJ25="","",CJ24)</f>
        <v>0</v>
      </c>
      <c r="CK106">
        <v>21</v>
      </c>
      <c r="CL106">
        <f>CL24</f>
        <v>0</v>
      </c>
      <c r="CM106">
        <v>21</v>
      </c>
      <c r="CN106">
        <f>IF(CN25="","",CN24)</f>
        <v>0</v>
      </c>
      <c r="CO106">
        <v>21</v>
      </c>
      <c r="CP106">
        <f>CP24</f>
        <v>0</v>
      </c>
      <c r="CQ106">
        <v>21</v>
      </c>
      <c r="CR106">
        <f>IF(CR25="","",CR24)</f>
        <v>0</v>
      </c>
      <c r="CS106">
        <v>21</v>
      </c>
      <c r="CT106">
        <f>CT24</f>
        <v>0</v>
      </c>
      <c r="CU106">
        <v>21</v>
      </c>
      <c r="CV106">
        <f>IF(CV25="","",CV24)</f>
        <v>0</v>
      </c>
      <c r="CW106">
        <v>21</v>
      </c>
      <c r="CX106">
        <f>CX24</f>
        <v>0</v>
      </c>
      <c r="CY106">
        <v>21</v>
      </c>
      <c r="CZ106">
        <f>IF(CZ25="","",CZ24)</f>
        <v>0</v>
      </c>
      <c r="DA106">
        <v>21</v>
      </c>
      <c r="DB106">
        <f>DB24</f>
        <v>0</v>
      </c>
      <c r="DC106">
        <v>21</v>
      </c>
      <c r="DD106">
        <f>IF(DD25="","",DD24)</f>
        <v>0</v>
      </c>
      <c r="DE106">
        <v>21</v>
      </c>
      <c r="DF106">
        <f>DF24</f>
        <v>0</v>
      </c>
      <c r="DG106">
        <v>21</v>
      </c>
      <c r="DH106">
        <f>IF(DH25="","",DH24)</f>
        <v>0</v>
      </c>
      <c r="DI106">
        <v>21</v>
      </c>
      <c r="DJ106">
        <f>DJ24</f>
        <v>0</v>
      </c>
      <c r="DK106">
        <v>21</v>
      </c>
      <c r="DL106">
        <f>IF(DL25="","",DL24)</f>
        <v>0</v>
      </c>
      <c r="DM106">
        <v>21</v>
      </c>
      <c r="DN106">
        <f>DN24</f>
        <v>0</v>
      </c>
      <c r="DO106">
        <v>21</v>
      </c>
      <c r="DP106">
        <f>IF(DP25="","",DP24)</f>
        <v>0</v>
      </c>
      <c r="DQ106">
        <v>21</v>
      </c>
      <c r="DR106">
        <f>DR24</f>
        <v>0</v>
      </c>
      <c r="DS106">
        <v>21</v>
      </c>
      <c r="DT106">
        <f>IF(DT25="","",DT24)</f>
        <v>0</v>
      </c>
      <c r="DU106">
        <v>21</v>
      </c>
      <c r="DV106">
        <f>DV24</f>
        <v>0</v>
      </c>
      <c r="DW106">
        <v>21</v>
      </c>
      <c r="DX106">
        <f>IF(DX25="","",DX24)</f>
        <v>0</v>
      </c>
      <c r="DY106">
        <v>21</v>
      </c>
      <c r="DZ106">
        <f>DZ24</f>
        <v>0</v>
      </c>
      <c r="EA106">
        <v>21</v>
      </c>
      <c r="EB106">
        <f>IF(EB25="","",EB24)</f>
        <v>0</v>
      </c>
      <c r="EC106">
        <v>21</v>
      </c>
      <c r="ED106">
        <f>ED24</f>
        <v>0</v>
      </c>
    </row>
    <row r="107" spans="5:134">
      <c r="E107">
        <v>22</v>
      </c>
      <c r="F107">
        <f>IF(F26="","",F25)</f>
        <v>0</v>
      </c>
      <c r="G107">
        <v>22</v>
      </c>
      <c r="H107">
        <f>H25</f>
        <v>0</v>
      </c>
      <c r="I107">
        <v>22</v>
      </c>
      <c r="J107">
        <f>IF(J26="","",J25)</f>
        <v>0</v>
      </c>
      <c r="K107">
        <v>22</v>
      </c>
      <c r="L107">
        <f>L25</f>
        <v>0</v>
      </c>
      <c r="M107">
        <v>22</v>
      </c>
      <c r="N107">
        <f>IF(N26="","",N25)</f>
        <v>0</v>
      </c>
      <c r="O107">
        <v>22</v>
      </c>
      <c r="P107">
        <f>P25</f>
        <v>0</v>
      </c>
      <c r="Q107">
        <v>22</v>
      </c>
      <c r="R107">
        <f>IF(R26="","",R25)</f>
        <v>0</v>
      </c>
      <c r="S107">
        <v>22</v>
      </c>
      <c r="T107">
        <f>T25</f>
        <v>0</v>
      </c>
      <c r="U107">
        <v>22</v>
      </c>
      <c r="V107">
        <f>IF(V26="","",V25)</f>
        <v>0</v>
      </c>
      <c r="W107">
        <v>22</v>
      </c>
      <c r="X107">
        <f>X25</f>
        <v>0</v>
      </c>
      <c r="Y107">
        <v>22</v>
      </c>
      <c r="Z107">
        <f>IF(Z26="","",Z25)</f>
        <v>0</v>
      </c>
      <c r="AA107">
        <v>22</v>
      </c>
      <c r="AB107">
        <f>AB25</f>
        <v>0</v>
      </c>
      <c r="AC107">
        <v>22</v>
      </c>
      <c r="AD107">
        <f>IF(AD26="","",AD25)</f>
        <v>0</v>
      </c>
      <c r="AE107">
        <v>22</v>
      </c>
      <c r="AF107">
        <f>AF25</f>
        <v>0</v>
      </c>
      <c r="AG107">
        <v>22</v>
      </c>
      <c r="AH107">
        <f>IF(AH26="","",AH25)</f>
        <v>0</v>
      </c>
      <c r="AI107">
        <v>22</v>
      </c>
      <c r="AJ107">
        <f>AJ25</f>
        <v>0</v>
      </c>
      <c r="AK107">
        <v>22</v>
      </c>
      <c r="AL107">
        <f>IF(AL26="","",AL25)</f>
        <v>0</v>
      </c>
      <c r="AM107">
        <v>22</v>
      </c>
      <c r="AN107">
        <f>AN25</f>
        <v>0</v>
      </c>
      <c r="AO107">
        <v>22</v>
      </c>
      <c r="AP107">
        <f>IF(AP26="","",AP25)</f>
        <v>0</v>
      </c>
      <c r="AQ107">
        <v>22</v>
      </c>
      <c r="AR107">
        <f>AR25</f>
        <v>0</v>
      </c>
      <c r="AS107">
        <v>22</v>
      </c>
      <c r="AT107">
        <f>IF(AT26="","",AT25)</f>
        <v>0</v>
      </c>
      <c r="AU107">
        <v>22</v>
      </c>
      <c r="AV107">
        <f>AV25</f>
        <v>0</v>
      </c>
      <c r="AW107">
        <v>22</v>
      </c>
      <c r="AX107">
        <f>IF(AX26="","",AX25)</f>
        <v>0</v>
      </c>
      <c r="AY107">
        <v>22</v>
      </c>
      <c r="AZ107">
        <f>AZ25</f>
        <v>0</v>
      </c>
      <c r="BA107">
        <v>22</v>
      </c>
      <c r="BB107">
        <f>IF(BB26="","",BB25)</f>
        <v>0</v>
      </c>
      <c r="BC107">
        <v>22</v>
      </c>
      <c r="BD107">
        <f>BD25</f>
        <v>0</v>
      </c>
      <c r="BE107">
        <v>22</v>
      </c>
      <c r="BF107">
        <f>IF(BF26="","",BF25)</f>
        <v>0</v>
      </c>
      <c r="BG107">
        <v>22</v>
      </c>
      <c r="BH107">
        <f>BH25</f>
        <v>0</v>
      </c>
      <c r="BI107">
        <v>22</v>
      </c>
      <c r="BJ107">
        <f>IF(BJ26="","",BJ25)</f>
        <v>0</v>
      </c>
      <c r="BK107">
        <v>22</v>
      </c>
      <c r="BL107">
        <f>BL25</f>
        <v>0</v>
      </c>
      <c r="BM107">
        <v>22</v>
      </c>
      <c r="BN107">
        <f>IF(BN26="","",BN25)</f>
        <v>0</v>
      </c>
      <c r="BO107">
        <v>22</v>
      </c>
      <c r="BP107">
        <f>BP25</f>
        <v>0</v>
      </c>
      <c r="BS107">
        <v>22</v>
      </c>
      <c r="BT107">
        <f>IF(BT26="","",BT25)</f>
        <v>0</v>
      </c>
      <c r="BU107">
        <v>22</v>
      </c>
      <c r="BV107">
        <f>BV25</f>
        <v>0</v>
      </c>
      <c r="BW107">
        <v>22</v>
      </c>
      <c r="BX107">
        <f>IF(BX26="","",BX25)</f>
        <v>0</v>
      </c>
      <c r="BY107">
        <v>22</v>
      </c>
      <c r="BZ107">
        <f>BZ25</f>
        <v>0</v>
      </c>
      <c r="CA107">
        <v>22</v>
      </c>
      <c r="CB107">
        <f>IF(CB26="","",CB25)</f>
        <v>0</v>
      </c>
      <c r="CC107">
        <v>22</v>
      </c>
      <c r="CD107">
        <f>CD25</f>
        <v>0</v>
      </c>
      <c r="CE107">
        <v>22</v>
      </c>
      <c r="CF107">
        <f>IF(CF26="","",CF25)</f>
        <v>0</v>
      </c>
      <c r="CG107">
        <v>22</v>
      </c>
      <c r="CH107">
        <f>CH25</f>
        <v>0</v>
      </c>
      <c r="CI107">
        <v>22</v>
      </c>
      <c r="CJ107">
        <f>IF(CJ26="","",CJ25)</f>
        <v>0</v>
      </c>
      <c r="CK107">
        <v>22</v>
      </c>
      <c r="CL107">
        <f>CL25</f>
        <v>0</v>
      </c>
      <c r="CM107">
        <v>22</v>
      </c>
      <c r="CN107">
        <f>IF(CN26="","",CN25)</f>
        <v>0</v>
      </c>
      <c r="CO107">
        <v>22</v>
      </c>
      <c r="CP107">
        <f>CP25</f>
        <v>0</v>
      </c>
      <c r="CQ107">
        <v>22</v>
      </c>
      <c r="CR107">
        <f>IF(CR26="","",CR25)</f>
        <v>0</v>
      </c>
      <c r="CS107">
        <v>22</v>
      </c>
      <c r="CT107">
        <f>CT25</f>
        <v>0</v>
      </c>
      <c r="CU107">
        <v>22</v>
      </c>
      <c r="CV107">
        <f>IF(CV26="","",CV25)</f>
        <v>0</v>
      </c>
      <c r="CW107">
        <v>22</v>
      </c>
      <c r="CX107">
        <f>CX25</f>
        <v>0</v>
      </c>
      <c r="CY107">
        <v>22</v>
      </c>
      <c r="CZ107">
        <f>IF(CZ26="","",CZ25)</f>
        <v>0</v>
      </c>
      <c r="DA107">
        <v>22</v>
      </c>
      <c r="DB107">
        <f>DB25</f>
        <v>0</v>
      </c>
      <c r="DC107">
        <v>22</v>
      </c>
      <c r="DD107">
        <f>IF(DD26="","",DD25)</f>
        <v>0</v>
      </c>
      <c r="DE107">
        <v>22</v>
      </c>
      <c r="DF107">
        <f>DF25</f>
        <v>0</v>
      </c>
      <c r="DG107">
        <v>22</v>
      </c>
      <c r="DH107">
        <f>IF(DH26="","",DH25)</f>
        <v>0</v>
      </c>
      <c r="DI107">
        <v>22</v>
      </c>
      <c r="DJ107">
        <f>DJ25</f>
        <v>0</v>
      </c>
      <c r="DK107">
        <v>22</v>
      </c>
      <c r="DL107">
        <f>IF(DL26="","",DL25)</f>
        <v>0</v>
      </c>
      <c r="DM107">
        <v>22</v>
      </c>
      <c r="DN107">
        <f>DN25</f>
        <v>0</v>
      </c>
      <c r="DO107">
        <v>22</v>
      </c>
      <c r="DP107">
        <f>IF(DP26="","",DP25)</f>
        <v>0</v>
      </c>
      <c r="DQ107">
        <v>22</v>
      </c>
      <c r="DR107">
        <f>DR25</f>
        <v>0</v>
      </c>
      <c r="DS107">
        <v>22</v>
      </c>
      <c r="DT107">
        <f>IF(DT26="","",DT25)</f>
        <v>0</v>
      </c>
      <c r="DU107">
        <v>22</v>
      </c>
      <c r="DV107">
        <f>DV25</f>
        <v>0</v>
      </c>
      <c r="DW107">
        <v>22</v>
      </c>
      <c r="DX107">
        <f>IF(DX26="","",DX25)</f>
        <v>0</v>
      </c>
      <c r="DY107">
        <v>22</v>
      </c>
      <c r="DZ107">
        <f>DZ25</f>
        <v>0</v>
      </c>
      <c r="EA107">
        <v>22</v>
      </c>
      <c r="EB107">
        <f>IF(EB26="","",EB25)</f>
        <v>0</v>
      </c>
      <c r="EC107">
        <v>22</v>
      </c>
      <c r="ED107">
        <f>ED25</f>
        <v>0</v>
      </c>
    </row>
    <row r="108" spans="5:134">
      <c r="E108">
        <v>23</v>
      </c>
      <c r="F108">
        <f>IF(F27="","",F26)</f>
        <v>0</v>
      </c>
      <c r="G108">
        <v>23</v>
      </c>
      <c r="H108">
        <f>H26</f>
        <v>0</v>
      </c>
      <c r="I108">
        <v>23</v>
      </c>
      <c r="J108">
        <f>IF(J27="","",J26)</f>
        <v>0</v>
      </c>
      <c r="K108">
        <v>23</v>
      </c>
      <c r="L108">
        <f>L26</f>
        <v>0</v>
      </c>
      <c r="M108">
        <v>23</v>
      </c>
      <c r="N108">
        <f>IF(N27="","",N26)</f>
        <v>0</v>
      </c>
      <c r="O108">
        <v>23</v>
      </c>
      <c r="P108">
        <f>P26</f>
        <v>0</v>
      </c>
      <c r="Q108">
        <v>23</v>
      </c>
      <c r="R108">
        <f>IF(R27="","",R26)</f>
        <v>0</v>
      </c>
      <c r="S108">
        <v>23</v>
      </c>
      <c r="T108">
        <f>T26</f>
        <v>0</v>
      </c>
      <c r="U108">
        <v>23</v>
      </c>
      <c r="V108">
        <f>IF(V27="","",V26)</f>
        <v>0</v>
      </c>
      <c r="W108">
        <v>23</v>
      </c>
      <c r="X108">
        <f>X26</f>
        <v>0</v>
      </c>
      <c r="Y108">
        <v>23</v>
      </c>
      <c r="Z108">
        <f>IF(Z27="","",Z26)</f>
        <v>0</v>
      </c>
      <c r="AA108">
        <v>23</v>
      </c>
      <c r="AB108">
        <f>AB26</f>
        <v>0</v>
      </c>
      <c r="AC108">
        <v>23</v>
      </c>
      <c r="AD108">
        <f>IF(AD27="","",AD26)</f>
        <v>0</v>
      </c>
      <c r="AE108">
        <v>23</v>
      </c>
      <c r="AF108">
        <f>AF26</f>
        <v>0</v>
      </c>
      <c r="AG108">
        <v>23</v>
      </c>
      <c r="AH108">
        <f>IF(AH27="","",AH26)</f>
        <v>0</v>
      </c>
      <c r="AI108">
        <v>23</v>
      </c>
      <c r="AJ108">
        <f>AJ26</f>
        <v>0</v>
      </c>
      <c r="AK108">
        <v>23</v>
      </c>
      <c r="AL108">
        <f>IF(AL27="","",AL26)</f>
        <v>0</v>
      </c>
      <c r="AM108">
        <v>23</v>
      </c>
      <c r="AN108">
        <f>AN26</f>
        <v>0</v>
      </c>
      <c r="AO108">
        <v>23</v>
      </c>
      <c r="AP108">
        <f>IF(AP27="","",AP26)</f>
        <v>0</v>
      </c>
      <c r="AQ108">
        <v>23</v>
      </c>
      <c r="AR108">
        <f>AR26</f>
        <v>0</v>
      </c>
      <c r="AS108">
        <v>23</v>
      </c>
      <c r="AT108">
        <f>IF(AT27="","",AT26)</f>
        <v>0</v>
      </c>
      <c r="AU108">
        <v>23</v>
      </c>
      <c r="AV108">
        <f>AV26</f>
        <v>0</v>
      </c>
      <c r="AW108">
        <v>23</v>
      </c>
      <c r="AX108">
        <f>IF(AX27="","",AX26)</f>
        <v>0</v>
      </c>
      <c r="AY108">
        <v>23</v>
      </c>
      <c r="AZ108">
        <f>AZ26</f>
        <v>0</v>
      </c>
      <c r="BA108">
        <v>23</v>
      </c>
      <c r="BB108">
        <f>IF(BB27="","",BB26)</f>
        <v>0</v>
      </c>
      <c r="BC108">
        <v>23</v>
      </c>
      <c r="BD108">
        <f>BD26</f>
        <v>0</v>
      </c>
      <c r="BE108">
        <v>23</v>
      </c>
      <c r="BF108">
        <f>IF(BF27="","",BF26)</f>
        <v>0</v>
      </c>
      <c r="BG108">
        <v>23</v>
      </c>
      <c r="BH108">
        <f>BH26</f>
        <v>0</v>
      </c>
      <c r="BI108">
        <v>23</v>
      </c>
      <c r="BJ108">
        <f>IF(BJ27="","",BJ26)</f>
        <v>0</v>
      </c>
      <c r="BK108">
        <v>23</v>
      </c>
      <c r="BL108">
        <f>BL26</f>
        <v>0</v>
      </c>
      <c r="BM108">
        <v>23</v>
      </c>
      <c r="BN108">
        <f>IF(BN27="","",BN26)</f>
        <v>0</v>
      </c>
      <c r="BO108">
        <v>23</v>
      </c>
      <c r="BP108">
        <f>BP26</f>
        <v>0</v>
      </c>
      <c r="BS108">
        <v>23</v>
      </c>
      <c r="BT108">
        <f>IF(BT27="","",BT26)</f>
        <v>0</v>
      </c>
      <c r="BU108">
        <v>23</v>
      </c>
      <c r="BV108">
        <f>BV26</f>
        <v>0</v>
      </c>
      <c r="BW108">
        <v>23</v>
      </c>
      <c r="BX108">
        <f>IF(BX27="","",BX26)</f>
        <v>0</v>
      </c>
      <c r="BY108">
        <v>23</v>
      </c>
      <c r="BZ108">
        <f>BZ26</f>
        <v>0</v>
      </c>
      <c r="CA108">
        <v>23</v>
      </c>
      <c r="CB108">
        <f>IF(CB27="","",CB26)</f>
        <v>0</v>
      </c>
      <c r="CC108">
        <v>23</v>
      </c>
      <c r="CD108">
        <f>CD26</f>
        <v>0</v>
      </c>
      <c r="CE108">
        <v>23</v>
      </c>
      <c r="CF108">
        <f>IF(CF27="","",CF26)</f>
        <v>0</v>
      </c>
      <c r="CG108">
        <v>23</v>
      </c>
      <c r="CH108">
        <f>CH26</f>
        <v>0</v>
      </c>
      <c r="CI108">
        <v>23</v>
      </c>
      <c r="CJ108">
        <f>IF(CJ27="","",CJ26)</f>
        <v>0</v>
      </c>
      <c r="CK108">
        <v>23</v>
      </c>
      <c r="CL108">
        <f>CL26</f>
        <v>0</v>
      </c>
      <c r="CM108">
        <v>23</v>
      </c>
      <c r="CN108">
        <f>IF(CN27="","",CN26)</f>
        <v>0</v>
      </c>
      <c r="CO108">
        <v>23</v>
      </c>
      <c r="CP108">
        <f>CP26</f>
        <v>0</v>
      </c>
      <c r="CQ108">
        <v>23</v>
      </c>
      <c r="CR108">
        <f>IF(CR27="","",CR26)</f>
        <v>0</v>
      </c>
      <c r="CS108">
        <v>23</v>
      </c>
      <c r="CT108">
        <f>CT26</f>
        <v>0</v>
      </c>
      <c r="CU108">
        <v>23</v>
      </c>
      <c r="CV108">
        <f>IF(CV27="","",CV26)</f>
        <v>0</v>
      </c>
      <c r="CW108">
        <v>23</v>
      </c>
      <c r="CX108">
        <f>CX26</f>
        <v>0</v>
      </c>
      <c r="CY108">
        <v>23</v>
      </c>
      <c r="CZ108">
        <f>IF(CZ27="","",CZ26)</f>
        <v>0</v>
      </c>
      <c r="DA108">
        <v>23</v>
      </c>
      <c r="DB108">
        <f>DB26</f>
        <v>0</v>
      </c>
      <c r="DC108">
        <v>23</v>
      </c>
      <c r="DD108">
        <f>IF(DD27="","",DD26)</f>
        <v>0</v>
      </c>
      <c r="DE108">
        <v>23</v>
      </c>
      <c r="DF108">
        <f>DF26</f>
        <v>0</v>
      </c>
      <c r="DG108">
        <v>23</v>
      </c>
      <c r="DH108">
        <f>IF(DH27="","",DH26)</f>
        <v>0</v>
      </c>
      <c r="DI108">
        <v>23</v>
      </c>
      <c r="DJ108">
        <f>DJ26</f>
        <v>0</v>
      </c>
      <c r="DK108">
        <v>23</v>
      </c>
      <c r="DL108">
        <f>IF(DL27="","",DL26)</f>
        <v>0</v>
      </c>
      <c r="DM108">
        <v>23</v>
      </c>
      <c r="DN108">
        <f>DN26</f>
        <v>0</v>
      </c>
      <c r="DO108">
        <v>23</v>
      </c>
      <c r="DP108">
        <f>IF(DP27="","",DP26)</f>
        <v>0</v>
      </c>
      <c r="DQ108">
        <v>23</v>
      </c>
      <c r="DR108">
        <f>DR26</f>
        <v>0</v>
      </c>
      <c r="DS108">
        <v>23</v>
      </c>
      <c r="DT108">
        <f>IF(DT27="","",DT26)</f>
        <v>0</v>
      </c>
      <c r="DU108">
        <v>23</v>
      </c>
      <c r="DV108">
        <f>DV26</f>
        <v>0</v>
      </c>
      <c r="DW108">
        <v>23</v>
      </c>
      <c r="DX108">
        <f>IF(DX27="","",DX26)</f>
        <v>0</v>
      </c>
      <c r="DY108">
        <v>23</v>
      </c>
      <c r="DZ108">
        <f>DZ26</f>
        <v>0</v>
      </c>
      <c r="EA108">
        <v>23</v>
      </c>
      <c r="EB108">
        <f>IF(EB27="","",EB26)</f>
        <v>0</v>
      </c>
      <c r="EC108">
        <v>23</v>
      </c>
      <c r="ED108">
        <f>ED26</f>
        <v>0</v>
      </c>
    </row>
    <row r="109" spans="5:134">
      <c r="E109">
        <v>24</v>
      </c>
      <c r="F109">
        <f>IF(F28="","",F27)</f>
        <v>0</v>
      </c>
      <c r="G109">
        <v>24</v>
      </c>
      <c r="H109">
        <f>H27</f>
        <v>0</v>
      </c>
      <c r="I109">
        <v>24</v>
      </c>
      <c r="J109">
        <f>IF(J28="","",J27)</f>
        <v>0</v>
      </c>
      <c r="K109">
        <v>24</v>
      </c>
      <c r="L109">
        <f>L27</f>
        <v>0</v>
      </c>
      <c r="M109">
        <v>24</v>
      </c>
      <c r="N109">
        <f>IF(N28="","",N27)</f>
        <v>0</v>
      </c>
      <c r="O109">
        <v>24</v>
      </c>
      <c r="P109">
        <f>P27</f>
        <v>0</v>
      </c>
      <c r="Q109">
        <v>24</v>
      </c>
      <c r="R109">
        <f>IF(R28="","",R27)</f>
        <v>0</v>
      </c>
      <c r="S109">
        <v>24</v>
      </c>
      <c r="T109">
        <f>T27</f>
        <v>0</v>
      </c>
      <c r="U109">
        <v>24</v>
      </c>
      <c r="V109">
        <f>IF(V28="","",V27)</f>
        <v>0</v>
      </c>
      <c r="W109">
        <v>24</v>
      </c>
      <c r="X109">
        <f>X27</f>
        <v>0</v>
      </c>
      <c r="Y109">
        <v>24</v>
      </c>
      <c r="Z109">
        <f>IF(Z28="","",Z27)</f>
        <v>0</v>
      </c>
      <c r="AA109">
        <v>24</v>
      </c>
      <c r="AB109">
        <f>AB27</f>
        <v>0</v>
      </c>
      <c r="AC109">
        <v>24</v>
      </c>
      <c r="AD109">
        <f>IF(AD28="","",AD27)</f>
        <v>0</v>
      </c>
      <c r="AE109">
        <v>24</v>
      </c>
      <c r="AF109">
        <f>AF27</f>
        <v>0</v>
      </c>
      <c r="AG109">
        <v>24</v>
      </c>
      <c r="AH109">
        <f>IF(AH28="","",AH27)</f>
        <v>0</v>
      </c>
      <c r="AI109">
        <v>24</v>
      </c>
      <c r="AJ109">
        <f>AJ27</f>
        <v>0</v>
      </c>
      <c r="AK109">
        <v>24</v>
      </c>
      <c r="AL109">
        <f>IF(AL28="","",AL27)</f>
        <v>0</v>
      </c>
      <c r="AM109">
        <v>24</v>
      </c>
      <c r="AN109">
        <f>AN27</f>
        <v>0</v>
      </c>
      <c r="AO109">
        <v>24</v>
      </c>
      <c r="AP109">
        <f>IF(AP28="","",AP27)</f>
        <v>0</v>
      </c>
      <c r="AQ109">
        <v>24</v>
      </c>
      <c r="AR109">
        <f>AR27</f>
        <v>0</v>
      </c>
      <c r="AS109">
        <v>24</v>
      </c>
      <c r="AT109">
        <f>IF(AT28="","",AT27)</f>
        <v>0</v>
      </c>
      <c r="AU109">
        <v>24</v>
      </c>
      <c r="AV109">
        <f>AV27</f>
        <v>0</v>
      </c>
      <c r="AW109">
        <v>24</v>
      </c>
      <c r="AX109">
        <f>IF(AX28="","",AX27)</f>
        <v>0</v>
      </c>
      <c r="AY109">
        <v>24</v>
      </c>
      <c r="AZ109">
        <f>AZ27</f>
        <v>0</v>
      </c>
      <c r="BA109">
        <v>24</v>
      </c>
      <c r="BB109">
        <f>IF(BB28="","",BB27)</f>
        <v>0</v>
      </c>
      <c r="BC109">
        <v>24</v>
      </c>
      <c r="BD109">
        <f>BD27</f>
        <v>0</v>
      </c>
      <c r="BE109">
        <v>24</v>
      </c>
      <c r="BF109">
        <f>IF(BF28="","",BF27)</f>
        <v>0</v>
      </c>
      <c r="BG109">
        <v>24</v>
      </c>
      <c r="BH109">
        <f>BH27</f>
        <v>0</v>
      </c>
      <c r="BI109">
        <v>24</v>
      </c>
      <c r="BJ109">
        <f>IF(BJ28="","",BJ27)</f>
        <v>0</v>
      </c>
      <c r="BK109">
        <v>24</v>
      </c>
      <c r="BL109">
        <f>BL27</f>
        <v>0</v>
      </c>
      <c r="BM109">
        <v>24</v>
      </c>
      <c r="BN109">
        <f>IF(BN28="","",BN27)</f>
        <v>0</v>
      </c>
      <c r="BO109">
        <v>24</v>
      </c>
      <c r="BP109">
        <f>BP27</f>
        <v>0</v>
      </c>
      <c r="BS109">
        <v>24</v>
      </c>
      <c r="BT109">
        <f>IF(BT28="","",BT27)</f>
        <v>0</v>
      </c>
      <c r="BU109">
        <v>24</v>
      </c>
      <c r="BV109">
        <f>BV27</f>
        <v>0</v>
      </c>
      <c r="BW109">
        <v>24</v>
      </c>
      <c r="BX109">
        <f>IF(BX28="","",BX27)</f>
        <v>0</v>
      </c>
      <c r="BY109">
        <v>24</v>
      </c>
      <c r="BZ109">
        <f>BZ27</f>
        <v>0</v>
      </c>
      <c r="CA109">
        <v>24</v>
      </c>
      <c r="CB109">
        <f>IF(CB28="","",CB27)</f>
        <v>0</v>
      </c>
      <c r="CC109">
        <v>24</v>
      </c>
      <c r="CD109">
        <f>CD27</f>
        <v>0</v>
      </c>
      <c r="CE109">
        <v>24</v>
      </c>
      <c r="CF109">
        <f>IF(CF28="","",CF27)</f>
        <v>0</v>
      </c>
      <c r="CG109">
        <v>24</v>
      </c>
      <c r="CH109">
        <f>CH27</f>
        <v>0</v>
      </c>
      <c r="CI109">
        <v>24</v>
      </c>
      <c r="CJ109">
        <f>IF(CJ28="","",CJ27)</f>
        <v>0</v>
      </c>
      <c r="CK109">
        <v>24</v>
      </c>
      <c r="CL109">
        <f>CL27</f>
        <v>0</v>
      </c>
      <c r="CM109">
        <v>24</v>
      </c>
      <c r="CN109">
        <f>IF(CN28="","",CN27)</f>
        <v>0</v>
      </c>
      <c r="CO109">
        <v>24</v>
      </c>
      <c r="CP109">
        <f>CP27</f>
        <v>0</v>
      </c>
      <c r="CQ109">
        <v>24</v>
      </c>
      <c r="CR109">
        <f>IF(CR28="","",CR27)</f>
        <v>0</v>
      </c>
      <c r="CS109">
        <v>24</v>
      </c>
      <c r="CT109">
        <f>CT27</f>
        <v>0</v>
      </c>
      <c r="CU109">
        <v>24</v>
      </c>
      <c r="CV109">
        <f>IF(CV28="","",CV27)</f>
        <v>0</v>
      </c>
      <c r="CW109">
        <v>24</v>
      </c>
      <c r="CX109">
        <f>CX27</f>
        <v>0</v>
      </c>
      <c r="CY109">
        <v>24</v>
      </c>
      <c r="CZ109">
        <f>IF(CZ28="","",CZ27)</f>
        <v>0</v>
      </c>
      <c r="DA109">
        <v>24</v>
      </c>
      <c r="DB109">
        <f>DB27</f>
        <v>0</v>
      </c>
      <c r="DC109">
        <v>24</v>
      </c>
      <c r="DD109">
        <f>IF(DD28="","",DD27)</f>
        <v>0</v>
      </c>
      <c r="DE109">
        <v>24</v>
      </c>
      <c r="DF109">
        <f>DF27</f>
        <v>0</v>
      </c>
      <c r="DG109">
        <v>24</v>
      </c>
      <c r="DH109">
        <f>IF(DH28="","",DH27)</f>
        <v>0</v>
      </c>
      <c r="DI109">
        <v>24</v>
      </c>
      <c r="DJ109">
        <f>DJ27</f>
        <v>0</v>
      </c>
      <c r="DK109">
        <v>24</v>
      </c>
      <c r="DL109">
        <f>IF(DL28="","",DL27)</f>
        <v>0</v>
      </c>
      <c r="DM109">
        <v>24</v>
      </c>
      <c r="DN109">
        <f>DN27</f>
        <v>0</v>
      </c>
      <c r="DO109">
        <v>24</v>
      </c>
      <c r="DP109">
        <f>IF(DP28="","",DP27)</f>
        <v>0</v>
      </c>
      <c r="DQ109">
        <v>24</v>
      </c>
      <c r="DR109">
        <f>DR27</f>
        <v>0</v>
      </c>
      <c r="DS109">
        <v>24</v>
      </c>
      <c r="DT109">
        <f>IF(DT28="","",DT27)</f>
        <v>0</v>
      </c>
      <c r="DU109">
        <v>24</v>
      </c>
      <c r="DV109">
        <f>DV27</f>
        <v>0</v>
      </c>
      <c r="DW109">
        <v>24</v>
      </c>
      <c r="DX109">
        <f>IF(DX28="","",DX27)</f>
        <v>0</v>
      </c>
      <c r="DY109">
        <v>24</v>
      </c>
      <c r="DZ109">
        <f>DZ27</f>
        <v>0</v>
      </c>
      <c r="EA109">
        <v>24</v>
      </c>
      <c r="EB109">
        <f>IF(EB28="","",EB27)</f>
        <v>0</v>
      </c>
      <c r="EC109">
        <v>24</v>
      </c>
      <c r="ED109">
        <f>ED27</f>
        <v>0</v>
      </c>
    </row>
    <row r="110" spans="5:134">
      <c r="E110">
        <v>25</v>
      </c>
      <c r="F110">
        <f>IF(F29="","",F28)</f>
        <v>0</v>
      </c>
      <c r="G110">
        <v>25</v>
      </c>
      <c r="H110">
        <f>H28</f>
        <v>0</v>
      </c>
      <c r="I110">
        <v>25</v>
      </c>
      <c r="J110">
        <f>IF(J29="","",J28)</f>
        <v>0</v>
      </c>
      <c r="K110">
        <v>25</v>
      </c>
      <c r="L110">
        <f>L28</f>
        <v>0</v>
      </c>
      <c r="M110">
        <v>25</v>
      </c>
      <c r="N110">
        <f>IF(N29="","",N28)</f>
        <v>0</v>
      </c>
      <c r="O110">
        <v>25</v>
      </c>
      <c r="P110">
        <f>P28</f>
        <v>0</v>
      </c>
      <c r="Q110">
        <v>25</v>
      </c>
      <c r="R110">
        <f>IF(R29="","",R28)</f>
        <v>0</v>
      </c>
      <c r="S110">
        <v>25</v>
      </c>
      <c r="T110">
        <f>T28</f>
        <v>0</v>
      </c>
      <c r="U110">
        <v>25</v>
      </c>
      <c r="V110">
        <f>IF(V29="","",V28)</f>
        <v>0</v>
      </c>
      <c r="W110">
        <v>25</v>
      </c>
      <c r="X110">
        <f>X28</f>
        <v>0</v>
      </c>
      <c r="Y110">
        <v>25</v>
      </c>
      <c r="Z110">
        <f>IF(Z29="","",Z28)</f>
        <v>0</v>
      </c>
      <c r="AA110">
        <v>25</v>
      </c>
      <c r="AB110">
        <f>AB28</f>
        <v>0</v>
      </c>
      <c r="AC110">
        <v>25</v>
      </c>
      <c r="AD110">
        <f>IF(AD29="","",AD28)</f>
        <v>0</v>
      </c>
      <c r="AE110">
        <v>25</v>
      </c>
      <c r="AF110">
        <f>AF28</f>
        <v>0</v>
      </c>
      <c r="AG110">
        <v>25</v>
      </c>
      <c r="AH110">
        <f>IF(AH29="","",AH28)</f>
        <v>0</v>
      </c>
      <c r="AI110">
        <v>25</v>
      </c>
      <c r="AJ110">
        <f>AJ28</f>
        <v>0</v>
      </c>
      <c r="AK110">
        <v>25</v>
      </c>
      <c r="AL110">
        <f>IF(AL29="","",AL28)</f>
        <v>0</v>
      </c>
      <c r="AM110">
        <v>25</v>
      </c>
      <c r="AN110">
        <f>AN28</f>
        <v>0</v>
      </c>
      <c r="AO110">
        <v>25</v>
      </c>
      <c r="AP110">
        <f>IF(AP29="","",AP28)</f>
        <v>0</v>
      </c>
      <c r="AQ110">
        <v>25</v>
      </c>
      <c r="AR110">
        <f>AR28</f>
        <v>0</v>
      </c>
      <c r="AS110">
        <v>25</v>
      </c>
      <c r="AT110">
        <f>IF(AT29="","",AT28)</f>
        <v>0</v>
      </c>
      <c r="AU110">
        <v>25</v>
      </c>
      <c r="AV110">
        <f>AV28</f>
        <v>0</v>
      </c>
      <c r="AW110">
        <v>25</v>
      </c>
      <c r="AX110">
        <f>IF(AX29="","",AX28)</f>
        <v>0</v>
      </c>
      <c r="AY110">
        <v>25</v>
      </c>
      <c r="AZ110">
        <f>AZ28</f>
        <v>0</v>
      </c>
      <c r="BA110">
        <v>25</v>
      </c>
      <c r="BB110">
        <f>IF(BB29="","",BB28)</f>
        <v>0</v>
      </c>
      <c r="BC110">
        <v>25</v>
      </c>
      <c r="BD110">
        <f>BD28</f>
        <v>0</v>
      </c>
      <c r="BE110">
        <v>25</v>
      </c>
      <c r="BF110">
        <f>IF(BF29="","",BF28)</f>
        <v>0</v>
      </c>
      <c r="BG110">
        <v>25</v>
      </c>
      <c r="BH110">
        <f>BH28</f>
        <v>0</v>
      </c>
      <c r="BI110">
        <v>25</v>
      </c>
      <c r="BJ110">
        <f>IF(BJ29="","",BJ28)</f>
        <v>0</v>
      </c>
      <c r="BK110">
        <v>25</v>
      </c>
      <c r="BL110">
        <f>BL28</f>
        <v>0</v>
      </c>
      <c r="BM110">
        <v>25</v>
      </c>
      <c r="BN110">
        <f>IF(BN29="","",BN28)</f>
        <v>0</v>
      </c>
      <c r="BO110">
        <v>25</v>
      </c>
      <c r="BP110">
        <f>BP28</f>
        <v>0</v>
      </c>
      <c r="BS110">
        <v>25</v>
      </c>
      <c r="BT110">
        <f>IF(BT29="","",BT28)</f>
        <v>0</v>
      </c>
      <c r="BU110">
        <v>25</v>
      </c>
      <c r="BV110">
        <f>BV28</f>
        <v>0</v>
      </c>
      <c r="BW110">
        <v>25</v>
      </c>
      <c r="BX110">
        <f>IF(BX29="","",BX28)</f>
        <v>0</v>
      </c>
      <c r="BY110">
        <v>25</v>
      </c>
      <c r="BZ110">
        <f>BZ28</f>
        <v>0</v>
      </c>
      <c r="CA110">
        <v>25</v>
      </c>
      <c r="CB110">
        <f>IF(CB29="","",CB28)</f>
        <v>0</v>
      </c>
      <c r="CC110">
        <v>25</v>
      </c>
      <c r="CD110">
        <f>CD28</f>
        <v>0</v>
      </c>
      <c r="CE110">
        <v>25</v>
      </c>
      <c r="CF110">
        <f>IF(CF29="","",CF28)</f>
        <v>0</v>
      </c>
      <c r="CG110">
        <v>25</v>
      </c>
      <c r="CH110">
        <f>CH28</f>
        <v>0</v>
      </c>
      <c r="CI110">
        <v>25</v>
      </c>
      <c r="CJ110">
        <f>IF(CJ29="","",CJ28)</f>
        <v>0</v>
      </c>
      <c r="CK110">
        <v>25</v>
      </c>
      <c r="CL110">
        <f>CL28</f>
        <v>0</v>
      </c>
      <c r="CM110">
        <v>25</v>
      </c>
      <c r="CN110">
        <f>IF(CN29="","",CN28)</f>
        <v>0</v>
      </c>
      <c r="CO110">
        <v>25</v>
      </c>
      <c r="CP110">
        <f>CP28</f>
        <v>0</v>
      </c>
      <c r="CQ110">
        <v>25</v>
      </c>
      <c r="CR110">
        <f>IF(CR29="","",CR28)</f>
        <v>0</v>
      </c>
      <c r="CS110">
        <v>25</v>
      </c>
      <c r="CT110">
        <f>CT28</f>
        <v>0</v>
      </c>
      <c r="CU110">
        <v>25</v>
      </c>
      <c r="CV110">
        <f>IF(CV29="","",CV28)</f>
        <v>0</v>
      </c>
      <c r="CW110">
        <v>25</v>
      </c>
      <c r="CX110">
        <f>CX28</f>
        <v>0</v>
      </c>
      <c r="CY110">
        <v>25</v>
      </c>
      <c r="CZ110">
        <f>IF(CZ29="","",CZ28)</f>
        <v>0</v>
      </c>
      <c r="DA110">
        <v>25</v>
      </c>
      <c r="DB110">
        <f>DB28</f>
        <v>0</v>
      </c>
      <c r="DC110">
        <v>25</v>
      </c>
      <c r="DD110">
        <f>IF(DD29="","",DD28)</f>
        <v>0</v>
      </c>
      <c r="DE110">
        <v>25</v>
      </c>
      <c r="DF110">
        <f>DF28</f>
        <v>0</v>
      </c>
      <c r="DG110">
        <v>25</v>
      </c>
      <c r="DH110">
        <f>IF(DH29="","",DH28)</f>
        <v>0</v>
      </c>
      <c r="DI110">
        <v>25</v>
      </c>
      <c r="DJ110">
        <f>DJ28</f>
        <v>0</v>
      </c>
      <c r="DK110">
        <v>25</v>
      </c>
      <c r="DL110">
        <f>IF(DL29="","",DL28)</f>
        <v>0</v>
      </c>
      <c r="DM110">
        <v>25</v>
      </c>
      <c r="DN110">
        <f>DN28</f>
        <v>0</v>
      </c>
      <c r="DO110">
        <v>25</v>
      </c>
      <c r="DP110">
        <f>IF(DP29="","",DP28)</f>
        <v>0</v>
      </c>
      <c r="DQ110">
        <v>25</v>
      </c>
      <c r="DR110">
        <f>DR28</f>
        <v>0</v>
      </c>
      <c r="DS110">
        <v>25</v>
      </c>
      <c r="DT110">
        <f>IF(DT29="","",DT28)</f>
        <v>0</v>
      </c>
      <c r="DU110">
        <v>25</v>
      </c>
      <c r="DV110">
        <f>DV28</f>
        <v>0</v>
      </c>
      <c r="DW110">
        <v>25</v>
      </c>
      <c r="DX110">
        <f>IF(DX29="","",DX28)</f>
        <v>0</v>
      </c>
      <c r="DY110">
        <v>25</v>
      </c>
      <c r="DZ110">
        <f>DZ28</f>
        <v>0</v>
      </c>
      <c r="EA110">
        <v>25</v>
      </c>
      <c r="EB110">
        <f>IF(EB29="","",EB28)</f>
        <v>0</v>
      </c>
      <c r="EC110">
        <v>25</v>
      </c>
      <c r="ED110">
        <f>ED28</f>
        <v>0</v>
      </c>
    </row>
    <row r="111" spans="5:134">
      <c r="E111">
        <v>26</v>
      </c>
      <c r="F111">
        <f>IF(F30="","",F29)</f>
        <v>0</v>
      </c>
      <c r="G111">
        <v>26</v>
      </c>
      <c r="H111">
        <f>H29</f>
        <v>0</v>
      </c>
      <c r="I111">
        <v>26</v>
      </c>
      <c r="J111">
        <f>IF(J30="","",J29)</f>
        <v>0</v>
      </c>
      <c r="K111">
        <v>26</v>
      </c>
      <c r="L111">
        <f>L29</f>
        <v>0</v>
      </c>
      <c r="M111">
        <v>26</v>
      </c>
      <c r="N111">
        <f>IF(N30="","",N29)</f>
        <v>0</v>
      </c>
      <c r="O111">
        <v>26</v>
      </c>
      <c r="P111">
        <f>P29</f>
        <v>0</v>
      </c>
      <c r="Q111">
        <v>26</v>
      </c>
      <c r="R111">
        <f>IF(R30="","",R29)</f>
        <v>0</v>
      </c>
      <c r="S111">
        <v>26</v>
      </c>
      <c r="T111">
        <f>T29</f>
        <v>0</v>
      </c>
      <c r="U111">
        <v>26</v>
      </c>
      <c r="V111">
        <f>IF(V30="","",V29)</f>
        <v>0</v>
      </c>
      <c r="W111">
        <v>26</v>
      </c>
      <c r="X111">
        <f>X29</f>
        <v>0</v>
      </c>
      <c r="Y111">
        <v>26</v>
      </c>
      <c r="Z111">
        <f>IF(Z30="","",Z29)</f>
        <v>0</v>
      </c>
      <c r="AA111">
        <v>26</v>
      </c>
      <c r="AB111">
        <f>AB29</f>
        <v>0</v>
      </c>
      <c r="AC111">
        <v>26</v>
      </c>
      <c r="AD111">
        <f>IF(AD30="","",AD29)</f>
        <v>0</v>
      </c>
      <c r="AE111">
        <v>26</v>
      </c>
      <c r="AF111">
        <f>AF29</f>
        <v>0</v>
      </c>
      <c r="AG111">
        <v>26</v>
      </c>
      <c r="AH111">
        <f>IF(AH30="","",AH29)</f>
        <v>0</v>
      </c>
      <c r="AI111">
        <v>26</v>
      </c>
      <c r="AJ111">
        <f>AJ29</f>
        <v>0</v>
      </c>
      <c r="AK111">
        <v>26</v>
      </c>
      <c r="AL111">
        <f>IF(AL30="","",AL29)</f>
        <v>0</v>
      </c>
      <c r="AM111">
        <v>26</v>
      </c>
      <c r="AN111">
        <f>AN29</f>
        <v>0</v>
      </c>
      <c r="AO111">
        <v>26</v>
      </c>
      <c r="AP111">
        <f>IF(AP30="","",AP29)</f>
        <v>0</v>
      </c>
      <c r="AQ111">
        <v>26</v>
      </c>
      <c r="AR111">
        <f>AR29</f>
        <v>0</v>
      </c>
      <c r="AS111">
        <v>26</v>
      </c>
      <c r="AT111">
        <f>IF(AT30="","",AT29)</f>
        <v>0</v>
      </c>
      <c r="AU111">
        <v>26</v>
      </c>
      <c r="AV111">
        <f>AV29</f>
        <v>0</v>
      </c>
      <c r="AW111">
        <v>26</v>
      </c>
      <c r="AX111">
        <f>IF(AX30="","",AX29)</f>
        <v>0</v>
      </c>
      <c r="AY111">
        <v>26</v>
      </c>
      <c r="AZ111">
        <f>AZ29</f>
        <v>0</v>
      </c>
      <c r="BA111">
        <v>26</v>
      </c>
      <c r="BB111">
        <f>IF(BB30="","",BB29)</f>
        <v>0</v>
      </c>
      <c r="BC111">
        <v>26</v>
      </c>
      <c r="BD111">
        <f>BD29</f>
        <v>0</v>
      </c>
      <c r="BE111">
        <v>26</v>
      </c>
      <c r="BF111">
        <f>IF(BF30="","",BF29)</f>
        <v>0</v>
      </c>
      <c r="BG111">
        <v>26</v>
      </c>
      <c r="BH111">
        <f>BH29</f>
        <v>0</v>
      </c>
      <c r="BI111">
        <v>26</v>
      </c>
      <c r="BJ111">
        <f>IF(BJ30="","",BJ29)</f>
        <v>0</v>
      </c>
      <c r="BK111">
        <v>26</v>
      </c>
      <c r="BL111">
        <f>BL29</f>
        <v>0</v>
      </c>
      <c r="BM111">
        <v>26</v>
      </c>
      <c r="BN111">
        <f>IF(BN30="","",BN29)</f>
        <v>0</v>
      </c>
      <c r="BO111">
        <v>26</v>
      </c>
      <c r="BP111">
        <f>BP29</f>
        <v>0</v>
      </c>
      <c r="BS111">
        <v>26</v>
      </c>
      <c r="BT111">
        <f>IF(BT30="","",BT29)</f>
        <v>0</v>
      </c>
      <c r="BU111">
        <v>26</v>
      </c>
      <c r="BV111">
        <f>BV29</f>
        <v>0</v>
      </c>
      <c r="BW111">
        <v>26</v>
      </c>
      <c r="BX111">
        <f>IF(BX30="","",BX29)</f>
        <v>0</v>
      </c>
      <c r="BY111">
        <v>26</v>
      </c>
      <c r="BZ111">
        <f>BZ29</f>
        <v>0</v>
      </c>
      <c r="CA111">
        <v>26</v>
      </c>
      <c r="CB111">
        <f>IF(CB30="","",CB29)</f>
        <v>0</v>
      </c>
      <c r="CC111">
        <v>26</v>
      </c>
      <c r="CD111">
        <f>CD29</f>
        <v>0</v>
      </c>
      <c r="CE111">
        <v>26</v>
      </c>
      <c r="CF111">
        <f>IF(CF30="","",CF29)</f>
        <v>0</v>
      </c>
      <c r="CG111">
        <v>26</v>
      </c>
      <c r="CH111">
        <f>CH29</f>
        <v>0</v>
      </c>
      <c r="CI111">
        <v>26</v>
      </c>
      <c r="CJ111">
        <f>IF(CJ30="","",CJ29)</f>
        <v>0</v>
      </c>
      <c r="CK111">
        <v>26</v>
      </c>
      <c r="CL111">
        <f>CL29</f>
        <v>0</v>
      </c>
      <c r="CM111">
        <v>26</v>
      </c>
      <c r="CN111">
        <f>IF(CN30="","",CN29)</f>
        <v>0</v>
      </c>
      <c r="CO111">
        <v>26</v>
      </c>
      <c r="CP111">
        <f>CP29</f>
        <v>0</v>
      </c>
      <c r="CQ111">
        <v>26</v>
      </c>
      <c r="CR111">
        <f>IF(CR30="","",CR29)</f>
        <v>0</v>
      </c>
      <c r="CS111">
        <v>26</v>
      </c>
      <c r="CT111">
        <f>CT29</f>
        <v>0</v>
      </c>
      <c r="CU111">
        <v>26</v>
      </c>
      <c r="CV111">
        <f>IF(CV30="","",CV29)</f>
        <v>0</v>
      </c>
      <c r="CW111">
        <v>26</v>
      </c>
      <c r="CX111">
        <f>CX29</f>
        <v>0</v>
      </c>
      <c r="CY111">
        <v>26</v>
      </c>
      <c r="CZ111">
        <f>IF(CZ30="","",CZ29)</f>
        <v>0</v>
      </c>
      <c r="DA111">
        <v>26</v>
      </c>
      <c r="DB111">
        <f>DB29</f>
        <v>0</v>
      </c>
      <c r="DC111">
        <v>26</v>
      </c>
      <c r="DD111">
        <f>IF(DD30="","",DD29)</f>
        <v>0</v>
      </c>
      <c r="DE111">
        <v>26</v>
      </c>
      <c r="DF111">
        <f>DF29</f>
        <v>0</v>
      </c>
      <c r="DG111">
        <v>26</v>
      </c>
      <c r="DH111">
        <f>IF(DH30="","",DH29)</f>
        <v>0</v>
      </c>
      <c r="DI111">
        <v>26</v>
      </c>
      <c r="DJ111">
        <f>DJ29</f>
        <v>0</v>
      </c>
      <c r="DK111">
        <v>26</v>
      </c>
      <c r="DL111">
        <f>IF(DL30="","",DL29)</f>
        <v>0</v>
      </c>
      <c r="DM111">
        <v>26</v>
      </c>
      <c r="DN111">
        <f>DN29</f>
        <v>0</v>
      </c>
      <c r="DO111">
        <v>26</v>
      </c>
      <c r="DP111">
        <f>IF(DP30="","",DP29)</f>
        <v>0</v>
      </c>
      <c r="DQ111">
        <v>26</v>
      </c>
      <c r="DR111">
        <f>DR29</f>
        <v>0</v>
      </c>
      <c r="DS111">
        <v>26</v>
      </c>
      <c r="DT111">
        <f>IF(DT30="","",DT29)</f>
        <v>0</v>
      </c>
      <c r="DU111">
        <v>26</v>
      </c>
      <c r="DV111">
        <f>DV29</f>
        <v>0</v>
      </c>
      <c r="DW111">
        <v>26</v>
      </c>
      <c r="DX111">
        <f>IF(DX30="","",DX29)</f>
        <v>0</v>
      </c>
      <c r="DY111">
        <v>26</v>
      </c>
      <c r="DZ111">
        <f>DZ29</f>
        <v>0</v>
      </c>
      <c r="EA111">
        <v>26</v>
      </c>
      <c r="EB111">
        <f>IF(EB30="","",EB29)</f>
        <v>0</v>
      </c>
      <c r="EC111">
        <v>26</v>
      </c>
      <c r="ED111">
        <f>ED29</f>
        <v>0</v>
      </c>
    </row>
    <row r="112" spans="5:134">
      <c r="E112">
        <v>27</v>
      </c>
      <c r="F112">
        <f>IF(F31="","",F30)</f>
        <v>0</v>
      </c>
      <c r="G112">
        <v>27</v>
      </c>
      <c r="H112">
        <f>H30</f>
        <v>0</v>
      </c>
      <c r="I112">
        <v>27</v>
      </c>
      <c r="J112">
        <f>IF(J31="","",J30)</f>
        <v>0</v>
      </c>
      <c r="K112">
        <v>27</v>
      </c>
      <c r="L112">
        <f>L30</f>
        <v>0</v>
      </c>
      <c r="M112">
        <v>27</v>
      </c>
      <c r="N112">
        <f>IF(N31="","",N30)</f>
        <v>0</v>
      </c>
      <c r="O112">
        <v>27</v>
      </c>
      <c r="P112">
        <f>P30</f>
        <v>0</v>
      </c>
      <c r="Q112">
        <v>27</v>
      </c>
      <c r="R112">
        <f>IF(R31="","",R30)</f>
        <v>0</v>
      </c>
      <c r="S112">
        <v>27</v>
      </c>
      <c r="T112">
        <f>T30</f>
        <v>0</v>
      </c>
      <c r="U112">
        <v>27</v>
      </c>
      <c r="V112">
        <f>IF(V31="","",V30)</f>
        <v>0</v>
      </c>
      <c r="W112">
        <v>27</v>
      </c>
      <c r="X112">
        <f>X30</f>
        <v>0</v>
      </c>
      <c r="Y112">
        <v>27</v>
      </c>
      <c r="Z112">
        <f>IF(Z31="","",Z30)</f>
        <v>0</v>
      </c>
      <c r="AA112">
        <v>27</v>
      </c>
      <c r="AB112">
        <f>AB30</f>
        <v>0</v>
      </c>
      <c r="AC112">
        <v>27</v>
      </c>
      <c r="AD112">
        <f>IF(AD31="","",AD30)</f>
        <v>0</v>
      </c>
      <c r="AE112">
        <v>27</v>
      </c>
      <c r="AF112">
        <f>AF30</f>
        <v>0</v>
      </c>
      <c r="AG112">
        <v>27</v>
      </c>
      <c r="AH112">
        <f>IF(AH31="","",AH30)</f>
        <v>0</v>
      </c>
      <c r="AI112">
        <v>27</v>
      </c>
      <c r="AJ112">
        <f>AJ30</f>
        <v>0</v>
      </c>
      <c r="AK112">
        <v>27</v>
      </c>
      <c r="AL112">
        <f>IF(AL31="","",AL30)</f>
        <v>0</v>
      </c>
      <c r="AM112">
        <v>27</v>
      </c>
      <c r="AN112">
        <f>AN30</f>
        <v>0</v>
      </c>
      <c r="AO112">
        <v>27</v>
      </c>
      <c r="AP112">
        <f>IF(AP31="","",AP30)</f>
        <v>0</v>
      </c>
      <c r="AQ112">
        <v>27</v>
      </c>
      <c r="AR112">
        <f>AR30</f>
        <v>0</v>
      </c>
      <c r="AS112">
        <v>27</v>
      </c>
      <c r="AT112">
        <f>IF(AT31="","",AT30)</f>
        <v>0</v>
      </c>
      <c r="AU112">
        <v>27</v>
      </c>
      <c r="AV112">
        <f>AV30</f>
        <v>0</v>
      </c>
      <c r="AW112">
        <v>27</v>
      </c>
      <c r="AX112">
        <f>IF(AX31="","",AX30)</f>
        <v>0</v>
      </c>
      <c r="AY112">
        <v>27</v>
      </c>
      <c r="AZ112">
        <f>AZ30</f>
        <v>0</v>
      </c>
      <c r="BA112">
        <v>27</v>
      </c>
      <c r="BB112">
        <f>IF(BB31="","",BB30)</f>
        <v>0</v>
      </c>
      <c r="BC112">
        <v>27</v>
      </c>
      <c r="BD112">
        <f>BD30</f>
        <v>0</v>
      </c>
      <c r="BE112">
        <v>27</v>
      </c>
      <c r="BF112">
        <f>IF(BF31="","",BF30)</f>
        <v>0</v>
      </c>
      <c r="BG112">
        <v>27</v>
      </c>
      <c r="BH112">
        <f>BH30</f>
        <v>0</v>
      </c>
      <c r="BI112">
        <v>27</v>
      </c>
      <c r="BJ112">
        <f>IF(BJ31="","",BJ30)</f>
        <v>0</v>
      </c>
      <c r="BK112">
        <v>27</v>
      </c>
      <c r="BL112">
        <f>BL30</f>
        <v>0</v>
      </c>
      <c r="BM112">
        <v>27</v>
      </c>
      <c r="BN112">
        <f>IF(BN31="","",BN30)</f>
        <v>0</v>
      </c>
      <c r="BO112">
        <v>27</v>
      </c>
      <c r="BP112">
        <f>BP30</f>
        <v>0</v>
      </c>
      <c r="BS112">
        <v>27</v>
      </c>
      <c r="BT112">
        <f>IF(BT31="","",BT30)</f>
        <v>0</v>
      </c>
      <c r="BU112">
        <v>27</v>
      </c>
      <c r="BV112">
        <f>BV30</f>
        <v>0</v>
      </c>
      <c r="BW112">
        <v>27</v>
      </c>
      <c r="BX112">
        <f>IF(BX31="","",BX30)</f>
        <v>0</v>
      </c>
      <c r="BY112">
        <v>27</v>
      </c>
      <c r="BZ112">
        <f>BZ30</f>
        <v>0</v>
      </c>
      <c r="CA112">
        <v>27</v>
      </c>
      <c r="CB112">
        <f>IF(CB31="","",CB30)</f>
        <v>0</v>
      </c>
      <c r="CC112">
        <v>27</v>
      </c>
      <c r="CD112">
        <f>CD30</f>
        <v>0</v>
      </c>
      <c r="CE112">
        <v>27</v>
      </c>
      <c r="CF112">
        <f>IF(CF31="","",CF30)</f>
        <v>0</v>
      </c>
      <c r="CG112">
        <v>27</v>
      </c>
      <c r="CH112">
        <f>CH30</f>
        <v>0</v>
      </c>
      <c r="CI112">
        <v>27</v>
      </c>
      <c r="CJ112">
        <f>IF(CJ31="","",CJ30)</f>
        <v>0</v>
      </c>
      <c r="CK112">
        <v>27</v>
      </c>
      <c r="CL112">
        <f>CL30</f>
        <v>0</v>
      </c>
      <c r="CM112">
        <v>27</v>
      </c>
      <c r="CN112">
        <f>IF(CN31="","",CN30)</f>
        <v>0</v>
      </c>
      <c r="CO112">
        <v>27</v>
      </c>
      <c r="CP112">
        <f>CP30</f>
        <v>0</v>
      </c>
      <c r="CQ112">
        <v>27</v>
      </c>
      <c r="CR112">
        <f>IF(CR31="","",CR30)</f>
        <v>0</v>
      </c>
      <c r="CS112">
        <v>27</v>
      </c>
      <c r="CT112">
        <f>CT30</f>
        <v>0</v>
      </c>
      <c r="CU112">
        <v>27</v>
      </c>
      <c r="CV112">
        <f>IF(CV31="","",CV30)</f>
        <v>0</v>
      </c>
      <c r="CW112">
        <v>27</v>
      </c>
      <c r="CX112">
        <f>CX30</f>
        <v>0</v>
      </c>
      <c r="CY112">
        <v>27</v>
      </c>
      <c r="CZ112">
        <f>IF(CZ31="","",CZ30)</f>
        <v>0</v>
      </c>
      <c r="DA112">
        <v>27</v>
      </c>
      <c r="DB112">
        <f>DB30</f>
        <v>0</v>
      </c>
      <c r="DC112">
        <v>27</v>
      </c>
      <c r="DD112">
        <f>IF(DD31="","",DD30)</f>
        <v>0</v>
      </c>
      <c r="DE112">
        <v>27</v>
      </c>
      <c r="DF112">
        <f>DF30</f>
        <v>0</v>
      </c>
      <c r="DG112">
        <v>27</v>
      </c>
      <c r="DH112">
        <f>IF(DH31="","",DH30)</f>
        <v>0</v>
      </c>
      <c r="DI112">
        <v>27</v>
      </c>
      <c r="DJ112">
        <f>DJ30</f>
        <v>0</v>
      </c>
      <c r="DK112">
        <v>27</v>
      </c>
      <c r="DL112">
        <f>IF(DL31="","",DL30)</f>
        <v>0</v>
      </c>
      <c r="DM112">
        <v>27</v>
      </c>
      <c r="DN112">
        <f>DN30</f>
        <v>0</v>
      </c>
      <c r="DO112">
        <v>27</v>
      </c>
      <c r="DP112">
        <f>IF(DP31="","",DP30)</f>
        <v>0</v>
      </c>
      <c r="DQ112">
        <v>27</v>
      </c>
      <c r="DR112">
        <f>DR30</f>
        <v>0</v>
      </c>
      <c r="DS112">
        <v>27</v>
      </c>
      <c r="DT112">
        <f>IF(DT31="","",DT30)</f>
        <v>0</v>
      </c>
      <c r="DU112">
        <v>27</v>
      </c>
      <c r="DV112">
        <f>DV30</f>
        <v>0</v>
      </c>
      <c r="DW112">
        <v>27</v>
      </c>
      <c r="DX112">
        <f>IF(DX31="","",DX30)</f>
        <v>0</v>
      </c>
      <c r="DY112">
        <v>27</v>
      </c>
      <c r="DZ112">
        <f>DZ30</f>
        <v>0</v>
      </c>
      <c r="EA112">
        <v>27</v>
      </c>
      <c r="EB112">
        <f>IF(EB31="","",EB30)</f>
        <v>0</v>
      </c>
      <c r="EC112">
        <v>27</v>
      </c>
      <c r="ED112">
        <f>ED30</f>
        <v>0</v>
      </c>
    </row>
    <row r="113" spans="5:134">
      <c r="E113">
        <v>28</v>
      </c>
      <c r="F113">
        <f>IF(F32="","",F31)</f>
        <v>0</v>
      </c>
      <c r="G113">
        <v>28</v>
      </c>
      <c r="H113">
        <f>H31</f>
        <v>0</v>
      </c>
      <c r="I113">
        <v>28</v>
      </c>
      <c r="J113">
        <f>IF(J32="","",J31)</f>
        <v>0</v>
      </c>
      <c r="K113">
        <v>28</v>
      </c>
      <c r="L113">
        <f>L31</f>
        <v>0</v>
      </c>
      <c r="M113">
        <v>28</v>
      </c>
      <c r="N113">
        <f>IF(N32="","",N31)</f>
        <v>0</v>
      </c>
      <c r="O113">
        <v>28</v>
      </c>
      <c r="P113">
        <f>P31</f>
        <v>0</v>
      </c>
      <c r="Q113">
        <v>28</v>
      </c>
      <c r="R113">
        <f>IF(R32="","",R31)</f>
        <v>0</v>
      </c>
      <c r="S113">
        <v>28</v>
      </c>
      <c r="T113">
        <f>T31</f>
        <v>0</v>
      </c>
      <c r="U113">
        <v>28</v>
      </c>
      <c r="V113">
        <f>IF(V32="","",V31)</f>
        <v>0</v>
      </c>
      <c r="W113">
        <v>28</v>
      </c>
      <c r="X113">
        <f>X31</f>
        <v>0</v>
      </c>
      <c r="Y113">
        <v>28</v>
      </c>
      <c r="Z113">
        <f>IF(Z32="","",Z31)</f>
        <v>0</v>
      </c>
      <c r="AA113">
        <v>28</v>
      </c>
      <c r="AB113">
        <f>AB31</f>
        <v>0</v>
      </c>
      <c r="AC113">
        <v>28</v>
      </c>
      <c r="AD113">
        <f>IF(AD32="","",AD31)</f>
        <v>0</v>
      </c>
      <c r="AE113">
        <v>28</v>
      </c>
      <c r="AF113">
        <f>AF31</f>
        <v>0</v>
      </c>
      <c r="AG113">
        <v>28</v>
      </c>
      <c r="AH113">
        <f>IF(AH32="","",AH31)</f>
        <v>0</v>
      </c>
      <c r="AI113">
        <v>28</v>
      </c>
      <c r="AJ113">
        <f>AJ31</f>
        <v>0</v>
      </c>
      <c r="AK113">
        <v>28</v>
      </c>
      <c r="AL113">
        <f>IF(AL32="","",AL31)</f>
        <v>0</v>
      </c>
      <c r="AM113">
        <v>28</v>
      </c>
      <c r="AN113">
        <f>AN31</f>
        <v>0</v>
      </c>
      <c r="AO113">
        <v>28</v>
      </c>
      <c r="AP113">
        <f>IF(AP32="","",AP31)</f>
        <v>0</v>
      </c>
      <c r="AQ113">
        <v>28</v>
      </c>
      <c r="AR113">
        <f>AR31</f>
        <v>0</v>
      </c>
      <c r="AS113">
        <v>28</v>
      </c>
      <c r="AT113">
        <f>IF(AT32="","",AT31)</f>
        <v>0</v>
      </c>
      <c r="AU113">
        <v>28</v>
      </c>
      <c r="AV113">
        <f>AV31</f>
        <v>0</v>
      </c>
      <c r="AW113">
        <v>28</v>
      </c>
      <c r="AX113">
        <f>IF(AX32="","",AX31)</f>
        <v>0</v>
      </c>
      <c r="AY113">
        <v>28</v>
      </c>
      <c r="AZ113">
        <f>AZ31</f>
        <v>0</v>
      </c>
      <c r="BA113">
        <v>28</v>
      </c>
      <c r="BB113">
        <f>IF(BB32="","",BB31)</f>
        <v>0</v>
      </c>
      <c r="BC113">
        <v>28</v>
      </c>
      <c r="BD113">
        <f>BD31</f>
        <v>0</v>
      </c>
      <c r="BE113">
        <v>28</v>
      </c>
      <c r="BF113">
        <f>IF(BF32="","",BF31)</f>
        <v>0</v>
      </c>
      <c r="BG113">
        <v>28</v>
      </c>
      <c r="BH113">
        <f>BH31</f>
        <v>0</v>
      </c>
      <c r="BI113">
        <v>28</v>
      </c>
      <c r="BJ113">
        <f>IF(BJ32="","",BJ31)</f>
        <v>0</v>
      </c>
      <c r="BK113">
        <v>28</v>
      </c>
      <c r="BL113">
        <f>BL31</f>
        <v>0</v>
      </c>
      <c r="BM113">
        <v>28</v>
      </c>
      <c r="BN113">
        <f>IF(BN32="","",BN31)</f>
        <v>0</v>
      </c>
      <c r="BO113">
        <v>28</v>
      </c>
      <c r="BP113">
        <f>BP31</f>
        <v>0</v>
      </c>
      <c r="BS113">
        <v>28</v>
      </c>
      <c r="BT113">
        <f>IF(BT32="","",BT31)</f>
        <v>0</v>
      </c>
      <c r="BU113">
        <v>28</v>
      </c>
      <c r="BV113">
        <f>BV31</f>
        <v>0</v>
      </c>
      <c r="BW113">
        <v>28</v>
      </c>
      <c r="BX113">
        <f>IF(BX32="","",BX31)</f>
        <v>0</v>
      </c>
      <c r="BY113">
        <v>28</v>
      </c>
      <c r="BZ113">
        <f>BZ31</f>
        <v>0</v>
      </c>
      <c r="CA113">
        <v>28</v>
      </c>
      <c r="CB113">
        <f>IF(CB32="","",CB31)</f>
        <v>0</v>
      </c>
      <c r="CC113">
        <v>28</v>
      </c>
      <c r="CD113">
        <f>CD31</f>
        <v>0</v>
      </c>
      <c r="CE113">
        <v>28</v>
      </c>
      <c r="CF113">
        <f>IF(CF32="","",CF31)</f>
        <v>0</v>
      </c>
      <c r="CG113">
        <v>28</v>
      </c>
      <c r="CH113">
        <f>CH31</f>
        <v>0</v>
      </c>
      <c r="CI113">
        <v>28</v>
      </c>
      <c r="CJ113">
        <f>IF(CJ32="","",CJ31)</f>
        <v>0</v>
      </c>
      <c r="CK113">
        <v>28</v>
      </c>
      <c r="CL113">
        <f>CL31</f>
        <v>0</v>
      </c>
      <c r="CM113">
        <v>28</v>
      </c>
      <c r="CN113">
        <f>IF(CN32="","",CN31)</f>
        <v>0</v>
      </c>
      <c r="CO113">
        <v>28</v>
      </c>
      <c r="CP113">
        <f>CP31</f>
        <v>0</v>
      </c>
      <c r="CQ113">
        <v>28</v>
      </c>
      <c r="CR113">
        <f>IF(CR32="","",CR31)</f>
        <v>0</v>
      </c>
      <c r="CS113">
        <v>28</v>
      </c>
      <c r="CT113">
        <f>CT31</f>
        <v>0</v>
      </c>
      <c r="CU113">
        <v>28</v>
      </c>
      <c r="CV113">
        <f>IF(CV32="","",CV31)</f>
        <v>0</v>
      </c>
      <c r="CW113">
        <v>28</v>
      </c>
      <c r="CX113">
        <f>CX31</f>
        <v>0</v>
      </c>
      <c r="CY113">
        <v>28</v>
      </c>
      <c r="CZ113">
        <f>IF(CZ32="","",CZ31)</f>
        <v>0</v>
      </c>
      <c r="DA113">
        <v>28</v>
      </c>
      <c r="DB113">
        <f>DB31</f>
        <v>0</v>
      </c>
      <c r="DC113">
        <v>28</v>
      </c>
      <c r="DD113">
        <f>IF(DD32="","",DD31)</f>
        <v>0</v>
      </c>
      <c r="DE113">
        <v>28</v>
      </c>
      <c r="DF113">
        <f>DF31</f>
        <v>0</v>
      </c>
      <c r="DG113">
        <v>28</v>
      </c>
      <c r="DH113">
        <f>IF(DH32="","",DH31)</f>
        <v>0</v>
      </c>
      <c r="DI113">
        <v>28</v>
      </c>
      <c r="DJ113">
        <f>DJ31</f>
        <v>0</v>
      </c>
      <c r="DK113">
        <v>28</v>
      </c>
      <c r="DL113">
        <f>IF(DL32="","",DL31)</f>
        <v>0</v>
      </c>
      <c r="DM113">
        <v>28</v>
      </c>
      <c r="DN113">
        <f>DN31</f>
        <v>0</v>
      </c>
      <c r="DO113">
        <v>28</v>
      </c>
      <c r="DP113">
        <f>IF(DP32="","",DP31)</f>
        <v>0</v>
      </c>
      <c r="DQ113">
        <v>28</v>
      </c>
      <c r="DR113">
        <f>DR31</f>
        <v>0</v>
      </c>
      <c r="DS113">
        <v>28</v>
      </c>
      <c r="DT113">
        <f>IF(DT32="","",DT31)</f>
        <v>0</v>
      </c>
      <c r="DU113">
        <v>28</v>
      </c>
      <c r="DV113">
        <f>DV31</f>
        <v>0</v>
      </c>
      <c r="DW113">
        <v>28</v>
      </c>
      <c r="DX113">
        <f>IF(DX32="","",DX31)</f>
        <v>0</v>
      </c>
      <c r="DY113">
        <v>28</v>
      </c>
      <c r="DZ113">
        <f>DZ31</f>
        <v>0</v>
      </c>
      <c r="EA113">
        <v>28</v>
      </c>
      <c r="EB113">
        <f>IF(EB32="","",EB31)</f>
        <v>0</v>
      </c>
      <c r="EC113">
        <v>28</v>
      </c>
      <c r="ED113">
        <f>ED31</f>
        <v>0</v>
      </c>
    </row>
    <row r="114" spans="5:134">
      <c r="E114">
        <v>29</v>
      </c>
      <c r="F114">
        <f>IF(F33="","",F32)</f>
        <v>0</v>
      </c>
      <c r="G114">
        <v>29</v>
      </c>
      <c r="H114">
        <f>H32</f>
        <v>0</v>
      </c>
      <c r="I114">
        <v>29</v>
      </c>
      <c r="J114">
        <f>IF(J33="","",J32)</f>
        <v>0</v>
      </c>
      <c r="K114">
        <v>29</v>
      </c>
      <c r="L114">
        <f>L32</f>
        <v>0</v>
      </c>
      <c r="M114">
        <v>29</v>
      </c>
      <c r="N114">
        <f>IF(N33="","",N32)</f>
        <v>0</v>
      </c>
      <c r="O114">
        <v>29</v>
      </c>
      <c r="P114">
        <f>P32</f>
        <v>0</v>
      </c>
      <c r="Q114">
        <v>29</v>
      </c>
      <c r="R114">
        <f>IF(R33="","",R32)</f>
        <v>0</v>
      </c>
      <c r="S114">
        <v>29</v>
      </c>
      <c r="T114">
        <f>T32</f>
        <v>0</v>
      </c>
      <c r="U114">
        <v>29</v>
      </c>
      <c r="V114">
        <f>IF(V33="","",V32)</f>
        <v>0</v>
      </c>
      <c r="W114">
        <v>29</v>
      </c>
      <c r="X114">
        <f>X32</f>
        <v>0</v>
      </c>
      <c r="Y114">
        <v>29</v>
      </c>
      <c r="Z114">
        <f>IF(Z33="","",Z32)</f>
        <v>0</v>
      </c>
      <c r="AA114">
        <v>29</v>
      </c>
      <c r="AB114">
        <f>AB32</f>
        <v>0</v>
      </c>
      <c r="AC114">
        <v>29</v>
      </c>
      <c r="AD114">
        <f>IF(AD33="","",AD32)</f>
        <v>0</v>
      </c>
      <c r="AE114">
        <v>29</v>
      </c>
      <c r="AF114">
        <f>AF32</f>
        <v>0</v>
      </c>
      <c r="AG114">
        <v>29</v>
      </c>
      <c r="AH114">
        <f>IF(AH33="","",AH32)</f>
        <v>0</v>
      </c>
      <c r="AI114">
        <v>29</v>
      </c>
      <c r="AJ114">
        <f>AJ32</f>
        <v>0</v>
      </c>
      <c r="AK114">
        <v>29</v>
      </c>
      <c r="AL114">
        <f>IF(AL33="","",AL32)</f>
        <v>0</v>
      </c>
      <c r="AM114">
        <v>29</v>
      </c>
      <c r="AN114">
        <f>AN32</f>
        <v>0</v>
      </c>
      <c r="AO114">
        <v>29</v>
      </c>
      <c r="AP114">
        <f>IF(AP33="","",AP32)</f>
        <v>0</v>
      </c>
      <c r="AQ114">
        <v>29</v>
      </c>
      <c r="AR114">
        <f>AR32</f>
        <v>0</v>
      </c>
      <c r="AS114">
        <v>29</v>
      </c>
      <c r="AT114">
        <f>IF(AT33="","",AT32)</f>
        <v>0</v>
      </c>
      <c r="AU114">
        <v>29</v>
      </c>
      <c r="AV114">
        <f>AV32</f>
        <v>0</v>
      </c>
      <c r="AW114">
        <v>29</v>
      </c>
      <c r="AX114">
        <f>IF(AX33="","",AX32)</f>
        <v>0</v>
      </c>
      <c r="AY114">
        <v>29</v>
      </c>
      <c r="AZ114">
        <f>AZ32</f>
        <v>0</v>
      </c>
      <c r="BA114">
        <v>29</v>
      </c>
      <c r="BB114">
        <f>IF(BB33="","",BB32)</f>
        <v>0</v>
      </c>
      <c r="BC114">
        <v>29</v>
      </c>
      <c r="BD114">
        <f>BD32</f>
        <v>0</v>
      </c>
      <c r="BE114">
        <v>29</v>
      </c>
      <c r="BF114">
        <f>IF(BF33="","",BF32)</f>
        <v>0</v>
      </c>
      <c r="BG114">
        <v>29</v>
      </c>
      <c r="BH114">
        <f>BH32</f>
        <v>0</v>
      </c>
      <c r="BI114">
        <v>29</v>
      </c>
      <c r="BJ114">
        <f>IF(BJ33="","",BJ32)</f>
        <v>0</v>
      </c>
      <c r="BK114">
        <v>29</v>
      </c>
      <c r="BL114">
        <f>BL32</f>
        <v>0</v>
      </c>
      <c r="BM114">
        <v>29</v>
      </c>
      <c r="BN114">
        <f>IF(BN33="","",BN32)</f>
        <v>0</v>
      </c>
      <c r="BO114">
        <v>29</v>
      </c>
      <c r="BP114">
        <f>BP32</f>
        <v>0</v>
      </c>
      <c r="BS114">
        <v>29</v>
      </c>
      <c r="BT114">
        <f>IF(BT33="","",BT32)</f>
        <v>0</v>
      </c>
      <c r="BU114">
        <v>29</v>
      </c>
      <c r="BV114">
        <f>BV32</f>
        <v>0</v>
      </c>
      <c r="BW114">
        <v>29</v>
      </c>
      <c r="BX114">
        <f>IF(BX33="","",BX32)</f>
        <v>0</v>
      </c>
      <c r="BY114">
        <v>29</v>
      </c>
      <c r="BZ114">
        <f>BZ32</f>
        <v>0</v>
      </c>
      <c r="CA114">
        <v>29</v>
      </c>
      <c r="CB114">
        <f>IF(CB33="","",CB32)</f>
        <v>0</v>
      </c>
      <c r="CC114">
        <v>29</v>
      </c>
      <c r="CD114">
        <f>CD32</f>
        <v>0</v>
      </c>
      <c r="CE114">
        <v>29</v>
      </c>
      <c r="CF114">
        <f>IF(CF33="","",CF32)</f>
        <v>0</v>
      </c>
      <c r="CG114">
        <v>29</v>
      </c>
      <c r="CH114">
        <f>CH32</f>
        <v>0</v>
      </c>
      <c r="CI114">
        <v>29</v>
      </c>
      <c r="CJ114">
        <f>IF(CJ33="","",CJ32)</f>
        <v>0</v>
      </c>
      <c r="CK114">
        <v>29</v>
      </c>
      <c r="CL114">
        <f>CL32</f>
        <v>0</v>
      </c>
      <c r="CM114">
        <v>29</v>
      </c>
      <c r="CN114">
        <f>IF(CN33="","",CN32)</f>
        <v>0</v>
      </c>
      <c r="CO114">
        <v>29</v>
      </c>
      <c r="CP114">
        <f>CP32</f>
        <v>0</v>
      </c>
      <c r="CQ114">
        <v>29</v>
      </c>
      <c r="CR114">
        <f>IF(CR33="","",CR32)</f>
        <v>0</v>
      </c>
      <c r="CS114">
        <v>29</v>
      </c>
      <c r="CT114">
        <f>CT32</f>
        <v>0</v>
      </c>
      <c r="CU114">
        <v>29</v>
      </c>
      <c r="CV114">
        <f>IF(CV33="","",CV32)</f>
        <v>0</v>
      </c>
      <c r="CW114">
        <v>29</v>
      </c>
      <c r="CX114">
        <f>CX32</f>
        <v>0</v>
      </c>
      <c r="CY114">
        <v>29</v>
      </c>
      <c r="CZ114">
        <f>IF(CZ33="","",CZ32)</f>
        <v>0</v>
      </c>
      <c r="DA114">
        <v>29</v>
      </c>
      <c r="DB114">
        <f>DB32</f>
        <v>0</v>
      </c>
      <c r="DC114">
        <v>29</v>
      </c>
      <c r="DD114">
        <f>IF(DD33="","",DD32)</f>
        <v>0</v>
      </c>
      <c r="DE114">
        <v>29</v>
      </c>
      <c r="DF114">
        <f>DF32</f>
        <v>0</v>
      </c>
      <c r="DG114">
        <v>29</v>
      </c>
      <c r="DH114">
        <f>IF(DH33="","",DH32)</f>
        <v>0</v>
      </c>
      <c r="DI114">
        <v>29</v>
      </c>
      <c r="DJ114">
        <f>DJ32</f>
        <v>0</v>
      </c>
      <c r="DK114">
        <v>29</v>
      </c>
      <c r="DL114">
        <f>IF(DL33="","",DL32)</f>
        <v>0</v>
      </c>
      <c r="DM114">
        <v>29</v>
      </c>
      <c r="DN114">
        <f>DN32</f>
        <v>0</v>
      </c>
      <c r="DO114">
        <v>29</v>
      </c>
      <c r="DP114">
        <f>IF(DP33="","",DP32)</f>
        <v>0</v>
      </c>
      <c r="DQ114">
        <v>29</v>
      </c>
      <c r="DR114">
        <f>DR32</f>
        <v>0</v>
      </c>
      <c r="DS114">
        <v>29</v>
      </c>
      <c r="DT114">
        <f>IF(DT33="","",DT32)</f>
        <v>0</v>
      </c>
      <c r="DU114">
        <v>29</v>
      </c>
      <c r="DV114">
        <f>DV32</f>
        <v>0</v>
      </c>
      <c r="DW114">
        <v>29</v>
      </c>
      <c r="DX114">
        <f>IF(DX33="","",DX32)</f>
        <v>0</v>
      </c>
      <c r="DY114">
        <v>29</v>
      </c>
      <c r="DZ114">
        <f>DZ32</f>
        <v>0</v>
      </c>
      <c r="EA114">
        <v>29</v>
      </c>
      <c r="EB114">
        <f>IF(EB33="","",EB32)</f>
        <v>0</v>
      </c>
      <c r="EC114">
        <v>29</v>
      </c>
      <c r="ED114">
        <f>ED32</f>
        <v>0</v>
      </c>
    </row>
    <row r="115" spans="5:134">
      <c r="E115">
        <v>30</v>
      </c>
      <c r="F115">
        <f>IF(F34="","",F33)</f>
        <v>0</v>
      </c>
      <c r="G115">
        <v>30</v>
      </c>
      <c r="H115">
        <f>H33</f>
        <v>0</v>
      </c>
      <c r="I115">
        <v>30</v>
      </c>
      <c r="J115">
        <f>IF(J34="","",J33)</f>
        <v>0</v>
      </c>
      <c r="K115">
        <v>30</v>
      </c>
      <c r="L115">
        <f>L33</f>
        <v>0</v>
      </c>
      <c r="M115">
        <v>30</v>
      </c>
      <c r="N115">
        <f>IF(N34="","",N33)</f>
        <v>0</v>
      </c>
      <c r="O115">
        <v>30</v>
      </c>
      <c r="P115">
        <f>P33</f>
        <v>0</v>
      </c>
      <c r="Q115">
        <v>30</v>
      </c>
      <c r="R115">
        <f>IF(R34="","",R33)</f>
        <v>0</v>
      </c>
      <c r="S115">
        <v>30</v>
      </c>
      <c r="T115">
        <f>T33</f>
        <v>0</v>
      </c>
      <c r="U115">
        <v>30</v>
      </c>
      <c r="V115">
        <f>IF(V34="","",V33)</f>
        <v>0</v>
      </c>
      <c r="W115">
        <v>30</v>
      </c>
      <c r="X115">
        <f>X33</f>
        <v>0</v>
      </c>
      <c r="Y115">
        <v>30</v>
      </c>
      <c r="Z115">
        <f>IF(Z34="","",Z33)</f>
        <v>0</v>
      </c>
      <c r="AA115">
        <v>30</v>
      </c>
      <c r="AB115">
        <f>AB33</f>
        <v>0</v>
      </c>
      <c r="AC115">
        <v>30</v>
      </c>
      <c r="AD115">
        <f>IF(AD34="","",AD33)</f>
        <v>0</v>
      </c>
      <c r="AE115">
        <v>30</v>
      </c>
      <c r="AF115">
        <f>AF33</f>
        <v>0</v>
      </c>
      <c r="AG115">
        <v>30</v>
      </c>
      <c r="AH115">
        <f>IF(AH34="","",AH33)</f>
        <v>0</v>
      </c>
      <c r="AI115">
        <v>30</v>
      </c>
      <c r="AJ115">
        <f>AJ33</f>
        <v>0</v>
      </c>
      <c r="AK115">
        <v>30</v>
      </c>
      <c r="AL115">
        <f>IF(AL34="","",AL33)</f>
        <v>0</v>
      </c>
      <c r="AM115">
        <v>30</v>
      </c>
      <c r="AN115">
        <f>AN33</f>
        <v>0</v>
      </c>
      <c r="AO115">
        <v>30</v>
      </c>
      <c r="AP115">
        <f>IF(AP34="","",AP33)</f>
        <v>0</v>
      </c>
      <c r="AQ115">
        <v>30</v>
      </c>
      <c r="AR115">
        <f>AR33</f>
        <v>0</v>
      </c>
      <c r="AS115">
        <v>30</v>
      </c>
      <c r="AT115">
        <f>IF(AT34="","",AT33)</f>
        <v>0</v>
      </c>
      <c r="AU115">
        <v>30</v>
      </c>
      <c r="AV115">
        <f>AV33</f>
        <v>0</v>
      </c>
      <c r="AW115">
        <v>30</v>
      </c>
      <c r="AX115">
        <f>IF(AX34="","",AX33)</f>
        <v>0</v>
      </c>
      <c r="AY115">
        <v>30</v>
      </c>
      <c r="AZ115">
        <f>AZ33</f>
        <v>0</v>
      </c>
      <c r="BA115">
        <v>30</v>
      </c>
      <c r="BB115">
        <f>IF(BB34="","",BB33)</f>
        <v>0</v>
      </c>
      <c r="BC115">
        <v>30</v>
      </c>
      <c r="BD115">
        <f>BD33</f>
        <v>0</v>
      </c>
      <c r="BE115">
        <v>30</v>
      </c>
      <c r="BF115">
        <f>IF(BF34="","",BF33)</f>
        <v>0</v>
      </c>
      <c r="BG115">
        <v>30</v>
      </c>
      <c r="BH115">
        <f>BH33</f>
        <v>0</v>
      </c>
      <c r="BI115">
        <v>30</v>
      </c>
      <c r="BJ115">
        <f>IF(BJ34="","",BJ33)</f>
        <v>0</v>
      </c>
      <c r="BK115">
        <v>30</v>
      </c>
      <c r="BL115">
        <f>BL33</f>
        <v>0</v>
      </c>
      <c r="BM115">
        <v>30</v>
      </c>
      <c r="BN115">
        <f>IF(BN34="","",BN33)</f>
        <v>0</v>
      </c>
      <c r="BO115">
        <v>30</v>
      </c>
      <c r="BP115">
        <f>BP33</f>
        <v>0</v>
      </c>
      <c r="BS115">
        <v>30</v>
      </c>
      <c r="BT115">
        <f>IF(BT34="","",BT33)</f>
        <v>0</v>
      </c>
      <c r="BU115">
        <v>30</v>
      </c>
      <c r="BV115">
        <f>BV33</f>
        <v>0</v>
      </c>
      <c r="BW115">
        <v>30</v>
      </c>
      <c r="BX115">
        <f>IF(BX34="","",BX33)</f>
        <v>0</v>
      </c>
      <c r="BY115">
        <v>30</v>
      </c>
      <c r="BZ115">
        <f>BZ33</f>
        <v>0</v>
      </c>
      <c r="CA115">
        <v>30</v>
      </c>
      <c r="CB115">
        <f>IF(CB34="","",CB33)</f>
        <v>0</v>
      </c>
      <c r="CC115">
        <v>30</v>
      </c>
      <c r="CD115">
        <f>CD33</f>
        <v>0</v>
      </c>
      <c r="CE115">
        <v>30</v>
      </c>
      <c r="CF115">
        <f>IF(CF34="","",CF33)</f>
        <v>0</v>
      </c>
      <c r="CG115">
        <v>30</v>
      </c>
      <c r="CH115">
        <f>CH33</f>
        <v>0</v>
      </c>
      <c r="CI115">
        <v>30</v>
      </c>
      <c r="CJ115">
        <f>IF(CJ34="","",CJ33)</f>
        <v>0</v>
      </c>
      <c r="CK115">
        <v>30</v>
      </c>
      <c r="CL115">
        <f>CL33</f>
        <v>0</v>
      </c>
      <c r="CM115">
        <v>30</v>
      </c>
      <c r="CN115">
        <f>IF(CN34="","",CN33)</f>
        <v>0</v>
      </c>
      <c r="CO115">
        <v>30</v>
      </c>
      <c r="CP115">
        <f>CP33</f>
        <v>0</v>
      </c>
      <c r="CQ115">
        <v>30</v>
      </c>
      <c r="CR115">
        <f>IF(CR34="","",CR33)</f>
        <v>0</v>
      </c>
      <c r="CS115">
        <v>30</v>
      </c>
      <c r="CT115">
        <f>CT33</f>
        <v>0</v>
      </c>
      <c r="CU115">
        <v>30</v>
      </c>
      <c r="CV115">
        <f>IF(CV34="","",CV33)</f>
        <v>0</v>
      </c>
      <c r="CW115">
        <v>30</v>
      </c>
      <c r="CX115">
        <f>CX33</f>
        <v>0</v>
      </c>
      <c r="CY115">
        <v>30</v>
      </c>
      <c r="CZ115">
        <f>IF(CZ34="","",CZ33)</f>
        <v>0</v>
      </c>
      <c r="DA115">
        <v>30</v>
      </c>
      <c r="DB115">
        <f>DB33</f>
        <v>0</v>
      </c>
      <c r="DC115">
        <v>30</v>
      </c>
      <c r="DD115">
        <f>IF(DD34="","",DD33)</f>
        <v>0</v>
      </c>
      <c r="DE115">
        <v>30</v>
      </c>
      <c r="DF115">
        <f>DF33</f>
        <v>0</v>
      </c>
      <c r="DG115">
        <v>30</v>
      </c>
      <c r="DH115">
        <f>IF(DH34="","",DH33)</f>
        <v>0</v>
      </c>
      <c r="DI115">
        <v>30</v>
      </c>
      <c r="DJ115">
        <f>DJ33</f>
        <v>0</v>
      </c>
      <c r="DK115">
        <v>30</v>
      </c>
      <c r="DL115">
        <f>IF(DL34="","",DL33)</f>
        <v>0</v>
      </c>
      <c r="DM115">
        <v>30</v>
      </c>
      <c r="DN115">
        <f>DN33</f>
        <v>0</v>
      </c>
      <c r="DO115">
        <v>30</v>
      </c>
      <c r="DP115">
        <f>IF(DP34="","",DP33)</f>
        <v>0</v>
      </c>
      <c r="DQ115">
        <v>30</v>
      </c>
      <c r="DR115">
        <f>DR33</f>
        <v>0</v>
      </c>
      <c r="DS115">
        <v>30</v>
      </c>
      <c r="DT115">
        <f>IF(DT34="","",DT33)</f>
        <v>0</v>
      </c>
      <c r="DU115">
        <v>30</v>
      </c>
      <c r="DV115">
        <f>DV33</f>
        <v>0</v>
      </c>
      <c r="DW115">
        <v>30</v>
      </c>
      <c r="DX115">
        <f>IF(DX34="","",DX33)</f>
        <v>0</v>
      </c>
      <c r="DY115">
        <v>30</v>
      </c>
      <c r="DZ115">
        <f>DZ33</f>
        <v>0</v>
      </c>
      <c r="EA115">
        <v>30</v>
      </c>
      <c r="EB115">
        <f>IF(EB34="","",EB33)</f>
        <v>0</v>
      </c>
      <c r="EC115">
        <v>30</v>
      </c>
      <c r="ED115">
        <f>ED33</f>
        <v>0</v>
      </c>
    </row>
    <row r="116" spans="5:134">
      <c r="E116">
        <v>31</v>
      </c>
      <c r="F116">
        <f>IF(F35="","",F34)</f>
        <v>0</v>
      </c>
      <c r="G116">
        <v>31</v>
      </c>
      <c r="H116">
        <f>H34</f>
        <v>0</v>
      </c>
      <c r="I116">
        <v>31</v>
      </c>
      <c r="J116">
        <f>IF(J35="","",J34)</f>
        <v>0</v>
      </c>
      <c r="K116">
        <v>31</v>
      </c>
      <c r="L116">
        <f>L34</f>
        <v>0</v>
      </c>
      <c r="M116">
        <v>31</v>
      </c>
      <c r="N116">
        <f>IF(N35="","",N34)</f>
        <v>0</v>
      </c>
      <c r="O116">
        <v>31</v>
      </c>
      <c r="P116">
        <f>P34</f>
        <v>0</v>
      </c>
      <c r="Q116">
        <v>31</v>
      </c>
      <c r="R116">
        <f>IF(R35="","",R34)</f>
        <v>0</v>
      </c>
      <c r="S116">
        <v>31</v>
      </c>
      <c r="T116">
        <f>T34</f>
        <v>0</v>
      </c>
      <c r="U116">
        <v>31</v>
      </c>
      <c r="V116">
        <f>IF(V35="","",V34)</f>
        <v>0</v>
      </c>
      <c r="W116">
        <v>31</v>
      </c>
      <c r="X116">
        <f>X34</f>
        <v>0</v>
      </c>
      <c r="Y116">
        <v>31</v>
      </c>
      <c r="Z116">
        <f>IF(Z35="","",Z34)</f>
        <v>0</v>
      </c>
      <c r="AA116">
        <v>31</v>
      </c>
      <c r="AB116">
        <f>AB34</f>
        <v>0</v>
      </c>
      <c r="AC116">
        <v>31</v>
      </c>
      <c r="AD116">
        <f>IF(AD35="","",AD34)</f>
        <v>0</v>
      </c>
      <c r="AE116">
        <v>31</v>
      </c>
      <c r="AF116">
        <f>AF34</f>
        <v>0</v>
      </c>
      <c r="AG116">
        <v>31</v>
      </c>
      <c r="AH116">
        <f>IF(AH35="","",AH34)</f>
        <v>0</v>
      </c>
      <c r="AI116">
        <v>31</v>
      </c>
      <c r="AJ116">
        <f>AJ34</f>
        <v>0</v>
      </c>
      <c r="AK116">
        <v>31</v>
      </c>
      <c r="AL116">
        <f>IF(AL35="","",AL34)</f>
        <v>0</v>
      </c>
      <c r="AM116">
        <v>31</v>
      </c>
      <c r="AN116">
        <f>AN34</f>
        <v>0</v>
      </c>
      <c r="AO116">
        <v>31</v>
      </c>
      <c r="AP116">
        <f>IF(AP35="","",AP34)</f>
        <v>0</v>
      </c>
      <c r="AQ116">
        <v>31</v>
      </c>
      <c r="AR116">
        <f>AR34</f>
        <v>0</v>
      </c>
      <c r="AS116">
        <v>31</v>
      </c>
      <c r="AT116">
        <f>IF(AT35="","",AT34)</f>
        <v>0</v>
      </c>
      <c r="AU116">
        <v>31</v>
      </c>
      <c r="AV116">
        <f>AV34</f>
        <v>0</v>
      </c>
      <c r="AW116">
        <v>31</v>
      </c>
      <c r="AX116">
        <f>IF(AX35="","",AX34)</f>
        <v>0</v>
      </c>
      <c r="AY116">
        <v>31</v>
      </c>
      <c r="AZ116">
        <f>AZ34</f>
        <v>0</v>
      </c>
      <c r="BA116">
        <v>31</v>
      </c>
      <c r="BB116">
        <f>IF(BB35="","",BB34)</f>
        <v>0</v>
      </c>
      <c r="BC116">
        <v>31</v>
      </c>
      <c r="BD116">
        <f>BD34</f>
        <v>0</v>
      </c>
      <c r="BE116">
        <v>31</v>
      </c>
      <c r="BF116">
        <f>IF(BF35="","",BF34)</f>
        <v>0</v>
      </c>
      <c r="BG116">
        <v>31</v>
      </c>
      <c r="BH116">
        <f>BH34</f>
        <v>0</v>
      </c>
      <c r="BI116">
        <v>31</v>
      </c>
      <c r="BJ116">
        <f>IF(BJ35="","",BJ34)</f>
        <v>0</v>
      </c>
      <c r="BK116">
        <v>31</v>
      </c>
      <c r="BL116">
        <f>BL34</f>
        <v>0</v>
      </c>
      <c r="BM116">
        <v>31</v>
      </c>
      <c r="BN116">
        <f>IF(BN35="","",BN34)</f>
        <v>0</v>
      </c>
      <c r="BO116">
        <v>31</v>
      </c>
      <c r="BP116">
        <f>BP34</f>
        <v>0</v>
      </c>
      <c r="BS116">
        <v>31</v>
      </c>
      <c r="BT116">
        <f>IF(BT35="","",BT34)</f>
        <v>0</v>
      </c>
      <c r="BU116">
        <v>31</v>
      </c>
      <c r="BV116">
        <f>BV34</f>
        <v>0</v>
      </c>
      <c r="BW116">
        <v>31</v>
      </c>
      <c r="BX116">
        <f>IF(BX35="","",BX34)</f>
        <v>0</v>
      </c>
      <c r="BY116">
        <v>31</v>
      </c>
      <c r="BZ116">
        <f>BZ34</f>
        <v>0</v>
      </c>
      <c r="CA116">
        <v>31</v>
      </c>
      <c r="CB116">
        <f>IF(CB35="","",CB34)</f>
        <v>0</v>
      </c>
      <c r="CC116">
        <v>31</v>
      </c>
      <c r="CD116">
        <f>CD34</f>
        <v>0</v>
      </c>
      <c r="CE116">
        <v>31</v>
      </c>
      <c r="CF116">
        <f>IF(CF35="","",CF34)</f>
        <v>0</v>
      </c>
      <c r="CG116">
        <v>31</v>
      </c>
      <c r="CH116">
        <f>CH34</f>
        <v>0</v>
      </c>
      <c r="CI116">
        <v>31</v>
      </c>
      <c r="CJ116">
        <f>IF(CJ35="","",CJ34)</f>
        <v>0</v>
      </c>
      <c r="CK116">
        <v>31</v>
      </c>
      <c r="CL116">
        <f>CL34</f>
        <v>0</v>
      </c>
      <c r="CM116">
        <v>31</v>
      </c>
      <c r="CN116">
        <f>IF(CN35="","",CN34)</f>
        <v>0</v>
      </c>
      <c r="CO116">
        <v>31</v>
      </c>
      <c r="CP116">
        <f>CP34</f>
        <v>0</v>
      </c>
      <c r="CQ116">
        <v>31</v>
      </c>
      <c r="CR116">
        <f>IF(CR35="","",CR34)</f>
        <v>0</v>
      </c>
      <c r="CS116">
        <v>31</v>
      </c>
      <c r="CT116">
        <f>CT34</f>
        <v>0</v>
      </c>
      <c r="CU116">
        <v>31</v>
      </c>
      <c r="CV116">
        <f>IF(CV35="","",CV34)</f>
        <v>0</v>
      </c>
      <c r="CW116">
        <v>31</v>
      </c>
      <c r="CX116">
        <f>CX34</f>
        <v>0</v>
      </c>
      <c r="CY116">
        <v>31</v>
      </c>
      <c r="CZ116">
        <f>IF(CZ35="","",CZ34)</f>
        <v>0</v>
      </c>
      <c r="DA116">
        <v>31</v>
      </c>
      <c r="DB116">
        <f>DB34</f>
        <v>0</v>
      </c>
      <c r="DC116">
        <v>31</v>
      </c>
      <c r="DD116">
        <f>IF(DD35="","",DD34)</f>
        <v>0</v>
      </c>
      <c r="DE116">
        <v>31</v>
      </c>
      <c r="DF116">
        <f>DF34</f>
        <v>0</v>
      </c>
      <c r="DG116">
        <v>31</v>
      </c>
      <c r="DH116">
        <f>IF(DH35="","",DH34)</f>
        <v>0</v>
      </c>
      <c r="DI116">
        <v>31</v>
      </c>
      <c r="DJ116">
        <f>DJ34</f>
        <v>0</v>
      </c>
      <c r="DK116">
        <v>31</v>
      </c>
      <c r="DL116">
        <f>IF(DL35="","",DL34)</f>
        <v>0</v>
      </c>
      <c r="DM116">
        <v>31</v>
      </c>
      <c r="DN116">
        <f>DN34</f>
        <v>0</v>
      </c>
      <c r="DO116">
        <v>31</v>
      </c>
      <c r="DP116">
        <f>IF(DP35="","",DP34)</f>
        <v>0</v>
      </c>
      <c r="DQ116">
        <v>31</v>
      </c>
      <c r="DR116">
        <f>DR34</f>
        <v>0</v>
      </c>
      <c r="DS116">
        <v>31</v>
      </c>
      <c r="DT116">
        <f>IF(DT35="","",DT34)</f>
        <v>0</v>
      </c>
      <c r="DU116">
        <v>31</v>
      </c>
      <c r="DV116">
        <f>DV34</f>
        <v>0</v>
      </c>
      <c r="DW116">
        <v>31</v>
      </c>
      <c r="DX116">
        <f>IF(DX35="","",DX34)</f>
        <v>0</v>
      </c>
      <c r="DY116">
        <v>31</v>
      </c>
      <c r="DZ116">
        <f>DZ34</f>
        <v>0</v>
      </c>
      <c r="EA116">
        <v>31</v>
      </c>
      <c r="EB116">
        <f>IF(EB35="","",EB34)</f>
        <v>0</v>
      </c>
      <c r="EC116">
        <v>31</v>
      </c>
      <c r="ED116">
        <f>ED34</f>
        <v>0</v>
      </c>
    </row>
    <row r="117" spans="5:134">
      <c r="E117">
        <v>32</v>
      </c>
      <c r="F117">
        <f>IF(F36="","",F35)</f>
        <v>0</v>
      </c>
      <c r="G117">
        <v>32</v>
      </c>
      <c r="H117">
        <f>H35</f>
        <v>0</v>
      </c>
      <c r="I117">
        <v>32</v>
      </c>
      <c r="J117">
        <f>IF(J36="","",J35)</f>
        <v>0</v>
      </c>
      <c r="K117">
        <v>32</v>
      </c>
      <c r="L117">
        <f>L35</f>
        <v>0</v>
      </c>
      <c r="M117">
        <v>32</v>
      </c>
      <c r="N117">
        <f>IF(N36="","",N35)</f>
        <v>0</v>
      </c>
      <c r="O117">
        <v>32</v>
      </c>
      <c r="P117">
        <f>P35</f>
        <v>0</v>
      </c>
      <c r="Q117">
        <v>32</v>
      </c>
      <c r="R117">
        <f>IF(R36="","",R35)</f>
        <v>0</v>
      </c>
      <c r="S117">
        <v>32</v>
      </c>
      <c r="T117">
        <f>T35</f>
        <v>0</v>
      </c>
      <c r="U117">
        <v>32</v>
      </c>
      <c r="V117">
        <f>IF(V36="","",V35)</f>
        <v>0</v>
      </c>
      <c r="W117">
        <v>32</v>
      </c>
      <c r="X117">
        <f>X35</f>
        <v>0</v>
      </c>
      <c r="Y117">
        <v>32</v>
      </c>
      <c r="Z117">
        <f>IF(Z36="","",Z35)</f>
        <v>0</v>
      </c>
      <c r="AA117">
        <v>32</v>
      </c>
      <c r="AB117">
        <f>AB35</f>
        <v>0</v>
      </c>
      <c r="AC117">
        <v>32</v>
      </c>
      <c r="AD117">
        <f>IF(AD36="","",AD35)</f>
        <v>0</v>
      </c>
      <c r="AE117">
        <v>32</v>
      </c>
      <c r="AF117">
        <f>AF35</f>
        <v>0</v>
      </c>
      <c r="AG117">
        <v>32</v>
      </c>
      <c r="AH117">
        <f>IF(AH36="","",AH35)</f>
        <v>0</v>
      </c>
      <c r="AI117">
        <v>32</v>
      </c>
      <c r="AJ117">
        <f>AJ35</f>
        <v>0</v>
      </c>
      <c r="AK117">
        <v>32</v>
      </c>
      <c r="AL117">
        <f>IF(AL36="","",AL35)</f>
        <v>0</v>
      </c>
      <c r="AM117">
        <v>32</v>
      </c>
      <c r="AN117">
        <f>AN35</f>
        <v>0</v>
      </c>
      <c r="AO117">
        <v>32</v>
      </c>
      <c r="AP117">
        <f>IF(AP36="","",AP35)</f>
        <v>0</v>
      </c>
      <c r="AQ117">
        <v>32</v>
      </c>
      <c r="AR117">
        <f>AR35</f>
        <v>0</v>
      </c>
      <c r="AS117">
        <v>32</v>
      </c>
      <c r="AT117">
        <f>IF(AT36="","",AT35)</f>
        <v>0</v>
      </c>
      <c r="AU117">
        <v>32</v>
      </c>
      <c r="AV117">
        <f>AV35</f>
        <v>0</v>
      </c>
      <c r="AW117">
        <v>32</v>
      </c>
      <c r="AX117">
        <f>IF(AX36="","",AX35)</f>
        <v>0</v>
      </c>
      <c r="AY117">
        <v>32</v>
      </c>
      <c r="AZ117">
        <f>AZ35</f>
        <v>0</v>
      </c>
      <c r="BA117">
        <v>32</v>
      </c>
      <c r="BB117">
        <f>IF(BB36="","",BB35)</f>
        <v>0</v>
      </c>
      <c r="BC117">
        <v>32</v>
      </c>
      <c r="BD117">
        <f>BD35</f>
        <v>0</v>
      </c>
      <c r="BE117">
        <v>32</v>
      </c>
      <c r="BF117">
        <f>IF(BF36="","",BF35)</f>
        <v>0</v>
      </c>
      <c r="BG117">
        <v>32</v>
      </c>
      <c r="BH117">
        <f>BH35</f>
        <v>0</v>
      </c>
      <c r="BI117">
        <v>32</v>
      </c>
      <c r="BJ117">
        <f>IF(BJ36="","",BJ35)</f>
        <v>0</v>
      </c>
      <c r="BK117">
        <v>32</v>
      </c>
      <c r="BL117">
        <f>BL35</f>
        <v>0</v>
      </c>
      <c r="BM117">
        <v>32</v>
      </c>
      <c r="BN117">
        <f>IF(BN36="","",BN35)</f>
        <v>0</v>
      </c>
      <c r="BO117">
        <v>32</v>
      </c>
      <c r="BP117">
        <f>BP35</f>
        <v>0</v>
      </c>
      <c r="BS117">
        <v>32</v>
      </c>
      <c r="BT117">
        <f>IF(BT36="","",BT35)</f>
        <v>0</v>
      </c>
      <c r="BU117">
        <v>32</v>
      </c>
      <c r="BV117">
        <f>BV35</f>
        <v>0</v>
      </c>
      <c r="BW117">
        <v>32</v>
      </c>
      <c r="BX117">
        <f>IF(BX36="","",BX35)</f>
        <v>0</v>
      </c>
      <c r="BY117">
        <v>32</v>
      </c>
      <c r="BZ117">
        <f>BZ35</f>
        <v>0</v>
      </c>
      <c r="CA117">
        <v>32</v>
      </c>
      <c r="CB117">
        <f>IF(CB36="","",CB35)</f>
        <v>0</v>
      </c>
      <c r="CC117">
        <v>32</v>
      </c>
      <c r="CD117">
        <f>CD35</f>
        <v>0</v>
      </c>
      <c r="CE117">
        <v>32</v>
      </c>
      <c r="CF117">
        <f>IF(CF36="","",CF35)</f>
        <v>0</v>
      </c>
      <c r="CG117">
        <v>32</v>
      </c>
      <c r="CH117">
        <f>CH35</f>
        <v>0</v>
      </c>
      <c r="CI117">
        <v>32</v>
      </c>
      <c r="CJ117">
        <f>IF(CJ36="","",CJ35)</f>
        <v>0</v>
      </c>
      <c r="CK117">
        <v>32</v>
      </c>
      <c r="CL117">
        <f>CL35</f>
        <v>0</v>
      </c>
      <c r="CM117">
        <v>32</v>
      </c>
      <c r="CN117">
        <f>IF(CN36="","",CN35)</f>
        <v>0</v>
      </c>
      <c r="CO117">
        <v>32</v>
      </c>
      <c r="CP117">
        <f>CP35</f>
        <v>0</v>
      </c>
      <c r="CQ117">
        <v>32</v>
      </c>
      <c r="CR117">
        <f>IF(CR36="","",CR35)</f>
        <v>0</v>
      </c>
      <c r="CS117">
        <v>32</v>
      </c>
      <c r="CT117">
        <f>CT35</f>
        <v>0</v>
      </c>
      <c r="CU117">
        <v>32</v>
      </c>
      <c r="CV117">
        <f>IF(CV36="","",CV35)</f>
        <v>0</v>
      </c>
      <c r="CW117">
        <v>32</v>
      </c>
      <c r="CX117">
        <f>CX35</f>
        <v>0</v>
      </c>
      <c r="CY117">
        <v>32</v>
      </c>
      <c r="CZ117">
        <f>IF(CZ36="","",CZ35)</f>
        <v>0</v>
      </c>
      <c r="DA117">
        <v>32</v>
      </c>
      <c r="DB117">
        <f>DB35</f>
        <v>0</v>
      </c>
      <c r="DC117">
        <v>32</v>
      </c>
      <c r="DD117">
        <f>IF(DD36="","",DD35)</f>
        <v>0</v>
      </c>
      <c r="DE117">
        <v>32</v>
      </c>
      <c r="DF117">
        <f>DF35</f>
        <v>0</v>
      </c>
      <c r="DG117">
        <v>32</v>
      </c>
      <c r="DH117">
        <f>IF(DH36="","",DH35)</f>
        <v>0</v>
      </c>
      <c r="DI117">
        <v>32</v>
      </c>
      <c r="DJ117">
        <f>DJ35</f>
        <v>0</v>
      </c>
      <c r="DK117">
        <v>32</v>
      </c>
      <c r="DL117">
        <f>IF(DL36="","",DL35)</f>
        <v>0</v>
      </c>
      <c r="DM117">
        <v>32</v>
      </c>
      <c r="DN117">
        <f>DN35</f>
        <v>0</v>
      </c>
      <c r="DO117">
        <v>32</v>
      </c>
      <c r="DP117">
        <f>IF(DP36="","",DP35)</f>
        <v>0</v>
      </c>
      <c r="DQ117">
        <v>32</v>
      </c>
      <c r="DR117">
        <f>DR35</f>
        <v>0</v>
      </c>
      <c r="DS117">
        <v>32</v>
      </c>
      <c r="DT117">
        <f>IF(DT36="","",DT35)</f>
        <v>0</v>
      </c>
      <c r="DU117">
        <v>32</v>
      </c>
      <c r="DV117">
        <f>DV35</f>
        <v>0</v>
      </c>
      <c r="DW117">
        <v>32</v>
      </c>
      <c r="DX117">
        <f>IF(DX36="","",DX35)</f>
        <v>0</v>
      </c>
      <c r="DY117">
        <v>32</v>
      </c>
      <c r="DZ117">
        <f>DZ35</f>
        <v>0</v>
      </c>
      <c r="EA117">
        <v>32</v>
      </c>
      <c r="EB117">
        <f>IF(EB36="","",EB35)</f>
        <v>0</v>
      </c>
      <c r="EC117">
        <v>32</v>
      </c>
      <c r="ED117">
        <f>ED35</f>
        <v>0</v>
      </c>
    </row>
    <row r="118" spans="5:134">
      <c r="E118">
        <v>33</v>
      </c>
      <c r="F118">
        <f>IF(F37="","",F36)</f>
        <v>0</v>
      </c>
      <c r="G118">
        <v>33</v>
      </c>
      <c r="H118">
        <f>H36</f>
        <v>0</v>
      </c>
      <c r="I118">
        <v>33</v>
      </c>
      <c r="J118">
        <f>IF(J37="","",J36)</f>
        <v>0</v>
      </c>
      <c r="K118">
        <v>33</v>
      </c>
      <c r="L118">
        <f>L36</f>
        <v>0</v>
      </c>
      <c r="M118">
        <v>33</v>
      </c>
      <c r="N118">
        <f>IF(N37="","",N36)</f>
        <v>0</v>
      </c>
      <c r="O118">
        <v>33</v>
      </c>
      <c r="P118">
        <f>P36</f>
        <v>0</v>
      </c>
      <c r="Q118">
        <v>33</v>
      </c>
      <c r="R118">
        <f>IF(R37="","",R36)</f>
        <v>0</v>
      </c>
      <c r="S118">
        <v>33</v>
      </c>
      <c r="T118">
        <f>T36</f>
        <v>0</v>
      </c>
      <c r="U118">
        <v>33</v>
      </c>
      <c r="V118">
        <f>IF(V37="","",V36)</f>
        <v>0</v>
      </c>
      <c r="W118">
        <v>33</v>
      </c>
      <c r="X118">
        <f>X36</f>
        <v>0</v>
      </c>
      <c r="Y118">
        <v>33</v>
      </c>
      <c r="Z118">
        <f>IF(Z37="","",Z36)</f>
        <v>0</v>
      </c>
      <c r="AA118">
        <v>33</v>
      </c>
      <c r="AB118">
        <f>AB36</f>
        <v>0</v>
      </c>
      <c r="AC118">
        <v>33</v>
      </c>
      <c r="AD118">
        <f>IF(AD37="","",AD36)</f>
        <v>0</v>
      </c>
      <c r="AE118">
        <v>33</v>
      </c>
      <c r="AF118">
        <f>AF36</f>
        <v>0</v>
      </c>
      <c r="AG118">
        <v>33</v>
      </c>
      <c r="AH118">
        <f>IF(AH37="","",AH36)</f>
        <v>0</v>
      </c>
      <c r="AI118">
        <v>33</v>
      </c>
      <c r="AJ118">
        <f>AJ36</f>
        <v>0</v>
      </c>
      <c r="AK118">
        <v>33</v>
      </c>
      <c r="AL118">
        <f>IF(AL37="","",AL36)</f>
        <v>0</v>
      </c>
      <c r="AM118">
        <v>33</v>
      </c>
      <c r="AN118">
        <f>AN36</f>
        <v>0</v>
      </c>
      <c r="AO118">
        <v>33</v>
      </c>
      <c r="AP118">
        <f>IF(AP37="","",AP36)</f>
        <v>0</v>
      </c>
      <c r="AQ118">
        <v>33</v>
      </c>
      <c r="AR118">
        <f>AR36</f>
        <v>0</v>
      </c>
      <c r="AS118">
        <v>33</v>
      </c>
      <c r="AT118">
        <f>IF(AT37="","",AT36)</f>
        <v>0</v>
      </c>
      <c r="AU118">
        <v>33</v>
      </c>
      <c r="AV118">
        <f>AV36</f>
        <v>0</v>
      </c>
      <c r="AW118">
        <v>33</v>
      </c>
      <c r="AX118">
        <f>IF(AX37="","",AX36)</f>
        <v>0</v>
      </c>
      <c r="AY118">
        <v>33</v>
      </c>
      <c r="AZ118">
        <f>AZ36</f>
        <v>0</v>
      </c>
      <c r="BA118">
        <v>33</v>
      </c>
      <c r="BB118">
        <f>IF(BB37="","",BB36)</f>
        <v>0</v>
      </c>
      <c r="BC118">
        <v>33</v>
      </c>
      <c r="BD118">
        <f>BD36</f>
        <v>0</v>
      </c>
      <c r="BE118">
        <v>33</v>
      </c>
      <c r="BF118">
        <f>IF(BF37="","",BF36)</f>
        <v>0</v>
      </c>
      <c r="BG118">
        <v>33</v>
      </c>
      <c r="BH118">
        <f>BH36</f>
        <v>0</v>
      </c>
      <c r="BI118">
        <v>33</v>
      </c>
      <c r="BJ118">
        <f>IF(BJ37="","",BJ36)</f>
        <v>0</v>
      </c>
      <c r="BK118">
        <v>33</v>
      </c>
      <c r="BL118">
        <f>BL36</f>
        <v>0</v>
      </c>
      <c r="BM118">
        <v>33</v>
      </c>
      <c r="BN118">
        <f>IF(BN37="","",BN36)</f>
        <v>0</v>
      </c>
      <c r="BO118">
        <v>33</v>
      </c>
      <c r="BP118">
        <f>BP36</f>
        <v>0</v>
      </c>
      <c r="BS118">
        <v>33</v>
      </c>
      <c r="BT118">
        <f>IF(BT37="","",BT36)</f>
        <v>0</v>
      </c>
      <c r="BU118">
        <v>33</v>
      </c>
      <c r="BV118">
        <f>BV36</f>
        <v>0</v>
      </c>
      <c r="BW118">
        <v>33</v>
      </c>
      <c r="BX118">
        <f>IF(BX37="","",BX36)</f>
        <v>0</v>
      </c>
      <c r="BY118">
        <v>33</v>
      </c>
      <c r="BZ118">
        <f>BZ36</f>
        <v>0</v>
      </c>
      <c r="CA118">
        <v>33</v>
      </c>
      <c r="CB118">
        <f>IF(CB37="","",CB36)</f>
        <v>0</v>
      </c>
      <c r="CC118">
        <v>33</v>
      </c>
      <c r="CD118">
        <f>CD36</f>
        <v>0</v>
      </c>
      <c r="CE118">
        <v>33</v>
      </c>
      <c r="CF118">
        <f>IF(CF37="","",CF36)</f>
        <v>0</v>
      </c>
      <c r="CG118">
        <v>33</v>
      </c>
      <c r="CH118">
        <f>CH36</f>
        <v>0</v>
      </c>
      <c r="CI118">
        <v>33</v>
      </c>
      <c r="CJ118">
        <f>IF(CJ37="","",CJ36)</f>
        <v>0</v>
      </c>
      <c r="CK118">
        <v>33</v>
      </c>
      <c r="CL118">
        <f>CL36</f>
        <v>0</v>
      </c>
      <c r="CM118">
        <v>33</v>
      </c>
      <c r="CN118">
        <f>IF(CN37="","",CN36)</f>
        <v>0</v>
      </c>
      <c r="CO118">
        <v>33</v>
      </c>
      <c r="CP118">
        <f>CP36</f>
        <v>0</v>
      </c>
      <c r="CQ118">
        <v>33</v>
      </c>
      <c r="CR118">
        <f>IF(CR37="","",CR36)</f>
        <v>0</v>
      </c>
      <c r="CS118">
        <v>33</v>
      </c>
      <c r="CT118">
        <f>CT36</f>
        <v>0</v>
      </c>
      <c r="CU118">
        <v>33</v>
      </c>
      <c r="CV118">
        <f>IF(CV37="","",CV36)</f>
        <v>0</v>
      </c>
      <c r="CW118">
        <v>33</v>
      </c>
      <c r="CX118">
        <f>CX36</f>
        <v>0</v>
      </c>
      <c r="CY118">
        <v>33</v>
      </c>
      <c r="CZ118">
        <f>IF(CZ37="","",CZ36)</f>
        <v>0</v>
      </c>
      <c r="DA118">
        <v>33</v>
      </c>
      <c r="DB118">
        <f>DB36</f>
        <v>0</v>
      </c>
      <c r="DC118">
        <v>33</v>
      </c>
      <c r="DD118">
        <f>IF(DD37="","",DD36)</f>
        <v>0</v>
      </c>
      <c r="DE118">
        <v>33</v>
      </c>
      <c r="DF118">
        <f>DF36</f>
        <v>0</v>
      </c>
      <c r="DG118">
        <v>33</v>
      </c>
      <c r="DH118">
        <f>IF(DH37="","",DH36)</f>
        <v>0</v>
      </c>
      <c r="DI118">
        <v>33</v>
      </c>
      <c r="DJ118">
        <f>DJ36</f>
        <v>0</v>
      </c>
      <c r="DK118">
        <v>33</v>
      </c>
      <c r="DL118">
        <f>IF(DL37="","",DL36)</f>
        <v>0</v>
      </c>
      <c r="DM118">
        <v>33</v>
      </c>
      <c r="DN118">
        <f>DN36</f>
        <v>0</v>
      </c>
      <c r="DO118">
        <v>33</v>
      </c>
      <c r="DP118">
        <f>IF(DP37="","",DP36)</f>
        <v>0</v>
      </c>
      <c r="DQ118">
        <v>33</v>
      </c>
      <c r="DR118">
        <f>DR36</f>
        <v>0</v>
      </c>
      <c r="DS118">
        <v>33</v>
      </c>
      <c r="DT118">
        <f>IF(DT37="","",DT36)</f>
        <v>0</v>
      </c>
      <c r="DU118">
        <v>33</v>
      </c>
      <c r="DV118">
        <f>DV36</f>
        <v>0</v>
      </c>
      <c r="DW118">
        <v>33</v>
      </c>
      <c r="DX118">
        <f>IF(DX37="","",DX36)</f>
        <v>0</v>
      </c>
      <c r="DY118">
        <v>33</v>
      </c>
      <c r="DZ118">
        <f>DZ36</f>
        <v>0</v>
      </c>
      <c r="EA118">
        <v>33</v>
      </c>
      <c r="EB118">
        <f>IF(EB37="","",EB36)</f>
        <v>0</v>
      </c>
      <c r="EC118">
        <v>33</v>
      </c>
      <c r="ED118">
        <f>ED36</f>
        <v>0</v>
      </c>
    </row>
    <row r="119" spans="5:134">
      <c r="E119">
        <v>34</v>
      </c>
      <c r="F119">
        <f>IF(F38="","",F37)</f>
        <v>0</v>
      </c>
      <c r="G119">
        <v>34</v>
      </c>
      <c r="H119">
        <f>H37</f>
        <v>0</v>
      </c>
      <c r="I119">
        <v>34</v>
      </c>
      <c r="J119">
        <f>IF(J38="","",J37)</f>
        <v>0</v>
      </c>
      <c r="K119">
        <v>34</v>
      </c>
      <c r="L119">
        <f>L37</f>
        <v>0</v>
      </c>
      <c r="M119">
        <v>34</v>
      </c>
      <c r="N119">
        <f>IF(N38="","",N37)</f>
        <v>0</v>
      </c>
      <c r="O119">
        <v>34</v>
      </c>
      <c r="P119">
        <f>P37</f>
        <v>0</v>
      </c>
      <c r="Q119">
        <v>34</v>
      </c>
      <c r="R119">
        <f>IF(R38="","",R37)</f>
        <v>0</v>
      </c>
      <c r="S119">
        <v>34</v>
      </c>
      <c r="T119">
        <f>T37</f>
        <v>0</v>
      </c>
      <c r="U119">
        <v>34</v>
      </c>
      <c r="V119">
        <f>IF(V38="","",V37)</f>
        <v>0</v>
      </c>
      <c r="W119">
        <v>34</v>
      </c>
      <c r="X119">
        <f>X37</f>
        <v>0</v>
      </c>
      <c r="Y119">
        <v>34</v>
      </c>
      <c r="Z119">
        <f>IF(Z38="","",Z37)</f>
        <v>0</v>
      </c>
      <c r="AA119">
        <v>34</v>
      </c>
      <c r="AB119">
        <f>AB37</f>
        <v>0</v>
      </c>
      <c r="AC119">
        <v>34</v>
      </c>
      <c r="AD119">
        <f>IF(AD38="","",AD37)</f>
        <v>0</v>
      </c>
      <c r="AE119">
        <v>34</v>
      </c>
      <c r="AF119">
        <f>AF37</f>
        <v>0</v>
      </c>
      <c r="AG119">
        <v>34</v>
      </c>
      <c r="AH119">
        <f>IF(AH38="","",AH37)</f>
        <v>0</v>
      </c>
      <c r="AI119">
        <v>34</v>
      </c>
      <c r="AJ119">
        <f>AJ37</f>
        <v>0</v>
      </c>
      <c r="AK119">
        <v>34</v>
      </c>
      <c r="AL119">
        <f>IF(AL38="","",AL37)</f>
        <v>0</v>
      </c>
      <c r="AM119">
        <v>34</v>
      </c>
      <c r="AN119">
        <f>AN37</f>
        <v>0</v>
      </c>
      <c r="AO119">
        <v>34</v>
      </c>
      <c r="AP119">
        <f>IF(AP38="","",AP37)</f>
        <v>0</v>
      </c>
      <c r="AQ119">
        <v>34</v>
      </c>
      <c r="AR119">
        <f>AR37</f>
        <v>0</v>
      </c>
      <c r="AS119">
        <v>34</v>
      </c>
      <c r="AT119">
        <f>IF(AT38="","",AT37)</f>
        <v>0</v>
      </c>
      <c r="AU119">
        <v>34</v>
      </c>
      <c r="AV119">
        <f>AV37</f>
        <v>0</v>
      </c>
      <c r="AW119">
        <v>34</v>
      </c>
      <c r="AX119">
        <f>IF(AX38="","",AX37)</f>
        <v>0</v>
      </c>
      <c r="AY119">
        <v>34</v>
      </c>
      <c r="AZ119">
        <f>AZ37</f>
        <v>0</v>
      </c>
      <c r="BA119">
        <v>34</v>
      </c>
      <c r="BB119">
        <f>IF(BB38="","",BB37)</f>
        <v>0</v>
      </c>
      <c r="BC119">
        <v>34</v>
      </c>
      <c r="BD119">
        <f>BD37</f>
        <v>0</v>
      </c>
      <c r="BE119">
        <v>34</v>
      </c>
      <c r="BF119">
        <f>IF(BF38="","",BF37)</f>
        <v>0</v>
      </c>
      <c r="BG119">
        <v>34</v>
      </c>
      <c r="BH119">
        <f>BH37</f>
        <v>0</v>
      </c>
      <c r="BI119">
        <v>34</v>
      </c>
      <c r="BJ119">
        <f>IF(BJ38="","",BJ37)</f>
        <v>0</v>
      </c>
      <c r="BK119">
        <v>34</v>
      </c>
      <c r="BL119">
        <f>BL37</f>
        <v>0</v>
      </c>
      <c r="BM119">
        <v>34</v>
      </c>
      <c r="BN119">
        <f>IF(BN38="","",BN37)</f>
        <v>0</v>
      </c>
      <c r="BO119">
        <v>34</v>
      </c>
      <c r="BP119">
        <f>BP37</f>
        <v>0</v>
      </c>
      <c r="BS119">
        <v>34</v>
      </c>
      <c r="BT119">
        <f>IF(BT38="","",BT37)</f>
        <v>0</v>
      </c>
      <c r="BU119">
        <v>34</v>
      </c>
      <c r="BV119">
        <f>BV37</f>
        <v>0</v>
      </c>
      <c r="BW119">
        <v>34</v>
      </c>
      <c r="BX119">
        <f>IF(BX38="","",BX37)</f>
        <v>0</v>
      </c>
      <c r="BY119">
        <v>34</v>
      </c>
      <c r="BZ119">
        <f>BZ37</f>
        <v>0</v>
      </c>
      <c r="CA119">
        <v>34</v>
      </c>
      <c r="CB119">
        <f>IF(CB38="","",CB37)</f>
        <v>0</v>
      </c>
      <c r="CC119">
        <v>34</v>
      </c>
      <c r="CD119">
        <f>CD37</f>
        <v>0</v>
      </c>
      <c r="CE119">
        <v>34</v>
      </c>
      <c r="CF119">
        <f>IF(CF38="","",CF37)</f>
        <v>0</v>
      </c>
      <c r="CG119">
        <v>34</v>
      </c>
      <c r="CH119">
        <f>CH37</f>
        <v>0</v>
      </c>
      <c r="CI119">
        <v>34</v>
      </c>
      <c r="CJ119">
        <f>IF(CJ38="","",CJ37)</f>
        <v>0</v>
      </c>
      <c r="CK119">
        <v>34</v>
      </c>
      <c r="CL119">
        <f>CL37</f>
        <v>0</v>
      </c>
      <c r="CM119">
        <v>34</v>
      </c>
      <c r="CN119">
        <f>IF(CN38="","",CN37)</f>
        <v>0</v>
      </c>
      <c r="CO119">
        <v>34</v>
      </c>
      <c r="CP119">
        <f>CP37</f>
        <v>0</v>
      </c>
      <c r="CQ119">
        <v>34</v>
      </c>
      <c r="CR119">
        <f>IF(CR38="","",CR37)</f>
        <v>0</v>
      </c>
      <c r="CS119">
        <v>34</v>
      </c>
      <c r="CT119">
        <f>CT37</f>
        <v>0</v>
      </c>
      <c r="CU119">
        <v>34</v>
      </c>
      <c r="CV119">
        <f>IF(CV38="","",CV37)</f>
        <v>0</v>
      </c>
      <c r="CW119">
        <v>34</v>
      </c>
      <c r="CX119">
        <f>CX37</f>
        <v>0</v>
      </c>
      <c r="CY119">
        <v>34</v>
      </c>
      <c r="CZ119">
        <f>IF(CZ38="","",CZ37)</f>
        <v>0</v>
      </c>
      <c r="DA119">
        <v>34</v>
      </c>
      <c r="DB119">
        <f>DB37</f>
        <v>0</v>
      </c>
      <c r="DC119">
        <v>34</v>
      </c>
      <c r="DD119">
        <f>IF(DD38="","",DD37)</f>
        <v>0</v>
      </c>
      <c r="DE119">
        <v>34</v>
      </c>
      <c r="DF119">
        <f>DF37</f>
        <v>0</v>
      </c>
      <c r="DG119">
        <v>34</v>
      </c>
      <c r="DH119">
        <f>IF(DH38="","",DH37)</f>
        <v>0</v>
      </c>
      <c r="DI119">
        <v>34</v>
      </c>
      <c r="DJ119">
        <f>DJ37</f>
        <v>0</v>
      </c>
      <c r="DK119">
        <v>34</v>
      </c>
      <c r="DL119">
        <f>IF(DL38="","",DL37)</f>
        <v>0</v>
      </c>
      <c r="DM119">
        <v>34</v>
      </c>
      <c r="DN119">
        <f>DN37</f>
        <v>0</v>
      </c>
      <c r="DO119">
        <v>34</v>
      </c>
      <c r="DP119">
        <f>IF(DP38="","",DP37)</f>
        <v>0</v>
      </c>
      <c r="DQ119">
        <v>34</v>
      </c>
      <c r="DR119">
        <f>DR37</f>
        <v>0</v>
      </c>
      <c r="DS119">
        <v>34</v>
      </c>
      <c r="DT119">
        <f>IF(DT38="","",DT37)</f>
        <v>0</v>
      </c>
      <c r="DU119">
        <v>34</v>
      </c>
      <c r="DV119">
        <f>DV37</f>
        <v>0</v>
      </c>
      <c r="DW119">
        <v>34</v>
      </c>
      <c r="DX119">
        <f>IF(DX38="","",DX37)</f>
        <v>0</v>
      </c>
      <c r="DY119">
        <v>34</v>
      </c>
      <c r="DZ119">
        <f>DZ37</f>
        <v>0</v>
      </c>
      <c r="EA119">
        <v>34</v>
      </c>
      <c r="EB119">
        <f>IF(EB38="","",EB37)</f>
        <v>0</v>
      </c>
      <c r="EC119">
        <v>34</v>
      </c>
      <c r="ED119">
        <f>ED37</f>
        <v>0</v>
      </c>
    </row>
    <row r="120" spans="5:134">
      <c r="E120">
        <v>35</v>
      </c>
      <c r="F120">
        <f>IF(F39="","",F38)</f>
        <v>0</v>
      </c>
      <c r="G120">
        <v>35</v>
      </c>
      <c r="H120">
        <f>H38</f>
        <v>0</v>
      </c>
      <c r="I120">
        <v>35</v>
      </c>
      <c r="J120">
        <f>IF(J39="","",J38)</f>
        <v>0</v>
      </c>
      <c r="K120">
        <v>35</v>
      </c>
      <c r="L120">
        <f>L38</f>
        <v>0</v>
      </c>
      <c r="M120">
        <v>35</v>
      </c>
      <c r="N120">
        <f>IF(N39="","",N38)</f>
        <v>0</v>
      </c>
      <c r="O120">
        <v>35</v>
      </c>
      <c r="P120">
        <f>P38</f>
        <v>0</v>
      </c>
      <c r="Q120">
        <v>35</v>
      </c>
      <c r="R120">
        <f>IF(R39="","",R38)</f>
        <v>0</v>
      </c>
      <c r="S120">
        <v>35</v>
      </c>
      <c r="T120">
        <f>T38</f>
        <v>0</v>
      </c>
      <c r="U120">
        <v>35</v>
      </c>
      <c r="V120">
        <f>IF(V39="","",V38)</f>
        <v>0</v>
      </c>
      <c r="W120">
        <v>35</v>
      </c>
      <c r="X120">
        <f>X38</f>
        <v>0</v>
      </c>
      <c r="Y120">
        <v>35</v>
      </c>
      <c r="Z120">
        <f>IF(Z39="","",Z38)</f>
        <v>0</v>
      </c>
      <c r="AA120">
        <v>35</v>
      </c>
      <c r="AB120">
        <f>AB38</f>
        <v>0</v>
      </c>
      <c r="AC120">
        <v>35</v>
      </c>
      <c r="AD120">
        <f>IF(AD39="","",AD38)</f>
        <v>0</v>
      </c>
      <c r="AE120">
        <v>35</v>
      </c>
      <c r="AF120">
        <f>AF38</f>
        <v>0</v>
      </c>
      <c r="AG120">
        <v>35</v>
      </c>
      <c r="AH120">
        <f>IF(AH39="","",AH38)</f>
        <v>0</v>
      </c>
      <c r="AI120">
        <v>35</v>
      </c>
      <c r="AJ120">
        <f>AJ38</f>
        <v>0</v>
      </c>
      <c r="AK120">
        <v>35</v>
      </c>
      <c r="AL120">
        <f>IF(AL39="","",AL38)</f>
        <v>0</v>
      </c>
      <c r="AM120">
        <v>35</v>
      </c>
      <c r="AN120">
        <f>AN38</f>
        <v>0</v>
      </c>
      <c r="AO120">
        <v>35</v>
      </c>
      <c r="AP120">
        <f>IF(AP39="","",AP38)</f>
        <v>0</v>
      </c>
      <c r="AQ120">
        <v>35</v>
      </c>
      <c r="AR120">
        <f>AR38</f>
        <v>0</v>
      </c>
      <c r="AS120">
        <v>35</v>
      </c>
      <c r="AT120">
        <f>IF(AT39="","",AT38)</f>
        <v>0</v>
      </c>
      <c r="AU120">
        <v>35</v>
      </c>
      <c r="AV120">
        <f>AV38</f>
        <v>0</v>
      </c>
      <c r="AW120">
        <v>35</v>
      </c>
      <c r="AX120">
        <f>IF(AX39="","",AX38)</f>
        <v>0</v>
      </c>
      <c r="AY120">
        <v>35</v>
      </c>
      <c r="AZ120">
        <f>AZ38</f>
        <v>0</v>
      </c>
      <c r="BA120">
        <v>35</v>
      </c>
      <c r="BB120">
        <f>IF(BB39="","",BB38)</f>
        <v>0</v>
      </c>
      <c r="BC120">
        <v>35</v>
      </c>
      <c r="BD120">
        <f>BD38</f>
        <v>0</v>
      </c>
      <c r="BE120">
        <v>35</v>
      </c>
      <c r="BF120">
        <f>IF(BF39="","",BF38)</f>
        <v>0</v>
      </c>
      <c r="BG120">
        <v>35</v>
      </c>
      <c r="BH120">
        <f>BH38</f>
        <v>0</v>
      </c>
      <c r="BI120">
        <v>35</v>
      </c>
      <c r="BJ120">
        <f>IF(BJ39="","",BJ38)</f>
        <v>0</v>
      </c>
      <c r="BK120">
        <v>35</v>
      </c>
      <c r="BL120">
        <f>BL38</f>
        <v>0</v>
      </c>
      <c r="BM120">
        <v>35</v>
      </c>
      <c r="BN120">
        <f>IF(BN39="","",BN38)</f>
        <v>0</v>
      </c>
      <c r="BO120">
        <v>35</v>
      </c>
      <c r="BP120">
        <f>BP38</f>
        <v>0</v>
      </c>
      <c r="BS120">
        <v>35</v>
      </c>
      <c r="BT120">
        <f>IF(BT39="","",BT38)</f>
        <v>0</v>
      </c>
      <c r="BU120">
        <v>35</v>
      </c>
      <c r="BV120">
        <f>BV38</f>
        <v>0</v>
      </c>
      <c r="BW120">
        <v>35</v>
      </c>
      <c r="BX120">
        <f>IF(BX39="","",BX38)</f>
        <v>0</v>
      </c>
      <c r="BY120">
        <v>35</v>
      </c>
      <c r="BZ120">
        <f>BZ38</f>
        <v>0</v>
      </c>
      <c r="CA120">
        <v>35</v>
      </c>
      <c r="CB120">
        <f>IF(CB39="","",CB38)</f>
        <v>0</v>
      </c>
      <c r="CC120">
        <v>35</v>
      </c>
      <c r="CD120">
        <f>CD38</f>
        <v>0</v>
      </c>
      <c r="CE120">
        <v>35</v>
      </c>
      <c r="CF120">
        <f>IF(CF39="","",CF38)</f>
        <v>0</v>
      </c>
      <c r="CG120">
        <v>35</v>
      </c>
      <c r="CH120">
        <f>CH38</f>
        <v>0</v>
      </c>
      <c r="CI120">
        <v>35</v>
      </c>
      <c r="CJ120">
        <f>IF(CJ39="","",CJ38)</f>
        <v>0</v>
      </c>
      <c r="CK120">
        <v>35</v>
      </c>
      <c r="CL120">
        <f>CL38</f>
        <v>0</v>
      </c>
      <c r="CM120">
        <v>35</v>
      </c>
      <c r="CN120">
        <f>IF(CN39="","",CN38)</f>
        <v>0</v>
      </c>
      <c r="CO120">
        <v>35</v>
      </c>
      <c r="CP120">
        <f>CP38</f>
        <v>0</v>
      </c>
      <c r="CQ120">
        <v>35</v>
      </c>
      <c r="CR120">
        <f>IF(CR39="","",CR38)</f>
        <v>0</v>
      </c>
      <c r="CS120">
        <v>35</v>
      </c>
      <c r="CT120">
        <f>CT38</f>
        <v>0</v>
      </c>
      <c r="CU120">
        <v>35</v>
      </c>
      <c r="CV120">
        <f>IF(CV39="","",CV38)</f>
        <v>0</v>
      </c>
      <c r="CW120">
        <v>35</v>
      </c>
      <c r="CX120">
        <f>CX38</f>
        <v>0</v>
      </c>
      <c r="CY120">
        <v>35</v>
      </c>
      <c r="CZ120">
        <f>IF(CZ39="","",CZ38)</f>
        <v>0</v>
      </c>
      <c r="DA120">
        <v>35</v>
      </c>
      <c r="DB120">
        <f>DB38</f>
        <v>0</v>
      </c>
      <c r="DC120">
        <v>35</v>
      </c>
      <c r="DD120">
        <f>IF(DD39="","",DD38)</f>
        <v>0</v>
      </c>
      <c r="DE120">
        <v>35</v>
      </c>
      <c r="DF120">
        <f>DF38</f>
        <v>0</v>
      </c>
      <c r="DG120">
        <v>35</v>
      </c>
      <c r="DH120">
        <f>IF(DH39="","",DH38)</f>
        <v>0</v>
      </c>
      <c r="DI120">
        <v>35</v>
      </c>
      <c r="DJ120">
        <f>DJ38</f>
        <v>0</v>
      </c>
      <c r="DK120">
        <v>35</v>
      </c>
      <c r="DL120">
        <f>IF(DL39="","",DL38)</f>
        <v>0</v>
      </c>
      <c r="DM120">
        <v>35</v>
      </c>
      <c r="DN120">
        <f>DN38</f>
        <v>0</v>
      </c>
      <c r="DO120">
        <v>35</v>
      </c>
      <c r="DP120">
        <f>IF(DP39="","",DP38)</f>
        <v>0</v>
      </c>
      <c r="DQ120">
        <v>35</v>
      </c>
      <c r="DR120">
        <f>DR38</f>
        <v>0</v>
      </c>
      <c r="DS120">
        <v>35</v>
      </c>
      <c r="DT120">
        <f>IF(DT39="","",DT38)</f>
        <v>0</v>
      </c>
      <c r="DU120">
        <v>35</v>
      </c>
      <c r="DV120">
        <f>DV38</f>
        <v>0</v>
      </c>
      <c r="DW120">
        <v>35</v>
      </c>
      <c r="DX120">
        <f>IF(DX39="","",DX38)</f>
        <v>0</v>
      </c>
      <c r="DY120">
        <v>35</v>
      </c>
      <c r="DZ120">
        <f>DZ38</f>
        <v>0</v>
      </c>
      <c r="EA120">
        <v>35</v>
      </c>
      <c r="EB120">
        <f>IF(EB39="","",EB38)</f>
        <v>0</v>
      </c>
      <c r="EC120">
        <v>35</v>
      </c>
      <c r="ED120">
        <f>ED38</f>
        <v>0</v>
      </c>
    </row>
    <row r="121" spans="5:134">
      <c r="E121">
        <v>36</v>
      </c>
      <c r="F121">
        <f>IF(F40="","",F39)</f>
        <v>0</v>
      </c>
      <c r="G121">
        <v>36</v>
      </c>
      <c r="H121">
        <f>H39</f>
        <v>0</v>
      </c>
      <c r="I121">
        <v>36</v>
      </c>
      <c r="J121">
        <f>IF(J40="","",J39)</f>
        <v>0</v>
      </c>
      <c r="K121">
        <v>36</v>
      </c>
      <c r="L121">
        <f>L39</f>
        <v>0</v>
      </c>
      <c r="M121">
        <v>36</v>
      </c>
      <c r="N121">
        <f>IF(N40="","",N39)</f>
        <v>0</v>
      </c>
      <c r="O121">
        <v>36</v>
      </c>
      <c r="P121">
        <f>P39</f>
        <v>0</v>
      </c>
      <c r="Q121">
        <v>36</v>
      </c>
      <c r="R121">
        <f>IF(R40="","",R39)</f>
        <v>0</v>
      </c>
      <c r="S121">
        <v>36</v>
      </c>
      <c r="T121">
        <f>T39</f>
        <v>0</v>
      </c>
      <c r="U121">
        <v>36</v>
      </c>
      <c r="V121">
        <f>IF(V40="","",V39)</f>
        <v>0</v>
      </c>
      <c r="W121">
        <v>36</v>
      </c>
      <c r="X121">
        <f>X39</f>
        <v>0</v>
      </c>
      <c r="Y121">
        <v>36</v>
      </c>
      <c r="Z121">
        <f>IF(Z40="","",Z39)</f>
        <v>0</v>
      </c>
      <c r="AA121">
        <v>36</v>
      </c>
      <c r="AB121">
        <f>AB39</f>
        <v>0</v>
      </c>
      <c r="AC121">
        <v>36</v>
      </c>
      <c r="AD121">
        <f>IF(AD40="","",AD39)</f>
        <v>0</v>
      </c>
      <c r="AE121">
        <v>36</v>
      </c>
      <c r="AF121">
        <f>AF39</f>
        <v>0</v>
      </c>
      <c r="AG121">
        <v>36</v>
      </c>
      <c r="AH121">
        <f>IF(AH40="","",AH39)</f>
        <v>0</v>
      </c>
      <c r="AI121">
        <v>36</v>
      </c>
      <c r="AJ121">
        <f>AJ39</f>
        <v>0</v>
      </c>
      <c r="AK121">
        <v>36</v>
      </c>
      <c r="AL121">
        <f>IF(AL40="","",AL39)</f>
        <v>0</v>
      </c>
      <c r="AM121">
        <v>36</v>
      </c>
      <c r="AN121">
        <f>AN39</f>
        <v>0</v>
      </c>
      <c r="AO121">
        <v>36</v>
      </c>
      <c r="AP121">
        <f>IF(AP40="","",AP39)</f>
        <v>0</v>
      </c>
      <c r="AQ121">
        <v>36</v>
      </c>
      <c r="AR121">
        <f>AR39</f>
        <v>0</v>
      </c>
      <c r="AS121">
        <v>36</v>
      </c>
      <c r="AT121">
        <f>IF(AT40="","",AT39)</f>
        <v>0</v>
      </c>
      <c r="AU121">
        <v>36</v>
      </c>
      <c r="AV121">
        <f>AV39</f>
        <v>0</v>
      </c>
      <c r="AW121">
        <v>36</v>
      </c>
      <c r="AX121">
        <f>IF(AX40="","",AX39)</f>
        <v>0</v>
      </c>
      <c r="AY121">
        <v>36</v>
      </c>
      <c r="AZ121">
        <f>AZ39</f>
        <v>0</v>
      </c>
      <c r="BA121">
        <v>36</v>
      </c>
      <c r="BB121">
        <f>IF(BB40="","",BB39)</f>
        <v>0</v>
      </c>
      <c r="BC121">
        <v>36</v>
      </c>
      <c r="BD121">
        <f>BD39</f>
        <v>0</v>
      </c>
      <c r="BE121">
        <v>36</v>
      </c>
      <c r="BF121">
        <f>IF(BF40="","",BF39)</f>
        <v>0</v>
      </c>
      <c r="BG121">
        <v>36</v>
      </c>
      <c r="BH121">
        <f>BH39</f>
        <v>0</v>
      </c>
      <c r="BI121">
        <v>36</v>
      </c>
      <c r="BJ121">
        <f>IF(BJ40="","",BJ39)</f>
        <v>0</v>
      </c>
      <c r="BK121">
        <v>36</v>
      </c>
      <c r="BL121">
        <f>BL39</f>
        <v>0</v>
      </c>
      <c r="BM121">
        <v>36</v>
      </c>
      <c r="BN121">
        <f>IF(BN40="","",BN39)</f>
        <v>0</v>
      </c>
      <c r="BO121">
        <v>36</v>
      </c>
      <c r="BP121">
        <f>BP39</f>
        <v>0</v>
      </c>
      <c r="BS121">
        <v>36</v>
      </c>
      <c r="BT121">
        <f>IF(BT40="","",BT39)</f>
        <v>0</v>
      </c>
      <c r="BU121">
        <v>36</v>
      </c>
      <c r="BV121">
        <f>BV39</f>
        <v>0</v>
      </c>
      <c r="BW121">
        <v>36</v>
      </c>
      <c r="BX121">
        <f>IF(BX40="","",BX39)</f>
        <v>0</v>
      </c>
      <c r="BY121">
        <v>36</v>
      </c>
      <c r="BZ121">
        <f>BZ39</f>
        <v>0</v>
      </c>
      <c r="CA121">
        <v>36</v>
      </c>
      <c r="CB121">
        <f>IF(CB40="","",CB39)</f>
        <v>0</v>
      </c>
      <c r="CC121">
        <v>36</v>
      </c>
      <c r="CD121">
        <f>CD39</f>
        <v>0</v>
      </c>
      <c r="CE121">
        <v>36</v>
      </c>
      <c r="CF121">
        <f>IF(CF40="","",CF39)</f>
        <v>0</v>
      </c>
      <c r="CG121">
        <v>36</v>
      </c>
      <c r="CH121">
        <f>CH39</f>
        <v>0</v>
      </c>
      <c r="CI121">
        <v>36</v>
      </c>
      <c r="CJ121">
        <f>IF(CJ40="","",CJ39)</f>
        <v>0</v>
      </c>
      <c r="CK121">
        <v>36</v>
      </c>
      <c r="CL121">
        <f>CL39</f>
        <v>0</v>
      </c>
      <c r="CM121">
        <v>36</v>
      </c>
      <c r="CN121">
        <f>IF(CN40="","",CN39)</f>
        <v>0</v>
      </c>
      <c r="CO121">
        <v>36</v>
      </c>
      <c r="CP121">
        <f>CP39</f>
        <v>0</v>
      </c>
      <c r="CQ121">
        <v>36</v>
      </c>
      <c r="CR121">
        <f>IF(CR40="","",CR39)</f>
        <v>0</v>
      </c>
      <c r="CS121">
        <v>36</v>
      </c>
      <c r="CT121">
        <f>CT39</f>
        <v>0</v>
      </c>
      <c r="CU121">
        <v>36</v>
      </c>
      <c r="CV121">
        <f>IF(CV40="","",CV39)</f>
        <v>0</v>
      </c>
      <c r="CW121">
        <v>36</v>
      </c>
      <c r="CX121">
        <f>CX39</f>
        <v>0</v>
      </c>
      <c r="CY121">
        <v>36</v>
      </c>
      <c r="CZ121">
        <f>IF(CZ40="","",CZ39)</f>
        <v>0</v>
      </c>
      <c r="DA121">
        <v>36</v>
      </c>
      <c r="DB121">
        <f>DB39</f>
        <v>0</v>
      </c>
      <c r="DC121">
        <v>36</v>
      </c>
      <c r="DD121">
        <f>IF(DD40="","",DD39)</f>
        <v>0</v>
      </c>
      <c r="DE121">
        <v>36</v>
      </c>
      <c r="DF121">
        <f>DF39</f>
        <v>0</v>
      </c>
      <c r="DG121">
        <v>36</v>
      </c>
      <c r="DH121">
        <f>IF(DH40="","",DH39)</f>
        <v>0</v>
      </c>
      <c r="DI121">
        <v>36</v>
      </c>
      <c r="DJ121">
        <f>DJ39</f>
        <v>0</v>
      </c>
      <c r="DK121">
        <v>36</v>
      </c>
      <c r="DL121">
        <f>IF(DL40="","",DL39)</f>
        <v>0</v>
      </c>
      <c r="DM121">
        <v>36</v>
      </c>
      <c r="DN121">
        <f>DN39</f>
        <v>0</v>
      </c>
      <c r="DO121">
        <v>36</v>
      </c>
      <c r="DP121">
        <f>IF(DP40="","",DP39)</f>
        <v>0</v>
      </c>
      <c r="DQ121">
        <v>36</v>
      </c>
      <c r="DR121">
        <f>DR39</f>
        <v>0</v>
      </c>
      <c r="DS121">
        <v>36</v>
      </c>
      <c r="DT121">
        <f>IF(DT40="","",DT39)</f>
        <v>0</v>
      </c>
      <c r="DU121">
        <v>36</v>
      </c>
      <c r="DV121">
        <f>DV39</f>
        <v>0</v>
      </c>
      <c r="DW121">
        <v>36</v>
      </c>
      <c r="DX121">
        <f>IF(DX40="","",DX39)</f>
        <v>0</v>
      </c>
      <c r="DY121">
        <v>36</v>
      </c>
      <c r="DZ121">
        <f>DZ39</f>
        <v>0</v>
      </c>
      <c r="EA121">
        <v>36</v>
      </c>
      <c r="EB121">
        <f>IF(EB40="","",EB39)</f>
        <v>0</v>
      </c>
      <c r="EC121">
        <v>36</v>
      </c>
      <c r="ED121">
        <f>ED39</f>
        <v>0</v>
      </c>
    </row>
    <row r="122" spans="5:134">
      <c r="E122">
        <v>37</v>
      </c>
      <c r="F122">
        <f>IF(F41="","",F40)</f>
        <v>0</v>
      </c>
      <c r="G122">
        <v>37</v>
      </c>
      <c r="H122">
        <f>H40</f>
        <v>0</v>
      </c>
      <c r="I122">
        <v>37</v>
      </c>
      <c r="J122">
        <f>IF(J41="","",J40)</f>
        <v>0</v>
      </c>
      <c r="K122">
        <v>37</v>
      </c>
      <c r="L122">
        <f>L40</f>
        <v>0</v>
      </c>
      <c r="M122">
        <v>37</v>
      </c>
      <c r="N122">
        <f>IF(N41="","",N40)</f>
        <v>0</v>
      </c>
      <c r="O122">
        <v>37</v>
      </c>
      <c r="P122">
        <f>P40</f>
        <v>0</v>
      </c>
      <c r="Q122">
        <v>37</v>
      </c>
      <c r="R122">
        <f>IF(R41="","",R40)</f>
        <v>0</v>
      </c>
      <c r="S122">
        <v>37</v>
      </c>
      <c r="T122">
        <f>T40</f>
        <v>0</v>
      </c>
      <c r="U122">
        <v>37</v>
      </c>
      <c r="V122">
        <f>IF(V41="","",V40)</f>
        <v>0</v>
      </c>
      <c r="W122">
        <v>37</v>
      </c>
      <c r="X122">
        <f>X40</f>
        <v>0</v>
      </c>
      <c r="Y122">
        <v>37</v>
      </c>
      <c r="Z122">
        <f>IF(Z41="","",Z40)</f>
        <v>0</v>
      </c>
      <c r="AA122">
        <v>37</v>
      </c>
      <c r="AB122">
        <f>AB40</f>
        <v>0</v>
      </c>
      <c r="AC122">
        <v>37</v>
      </c>
      <c r="AD122">
        <f>IF(AD41="","",AD40)</f>
        <v>0</v>
      </c>
      <c r="AE122">
        <v>37</v>
      </c>
      <c r="AF122">
        <f>AF40</f>
        <v>0</v>
      </c>
      <c r="AG122">
        <v>37</v>
      </c>
      <c r="AH122">
        <f>IF(AH41="","",AH40)</f>
        <v>0</v>
      </c>
      <c r="AI122">
        <v>37</v>
      </c>
      <c r="AJ122">
        <f>AJ40</f>
        <v>0</v>
      </c>
      <c r="AK122">
        <v>37</v>
      </c>
      <c r="AL122">
        <f>IF(AL41="","",AL40)</f>
        <v>0</v>
      </c>
      <c r="AM122">
        <v>37</v>
      </c>
      <c r="AN122">
        <f>AN40</f>
        <v>0</v>
      </c>
      <c r="AO122">
        <v>37</v>
      </c>
      <c r="AP122">
        <f>IF(AP41="","",AP40)</f>
        <v>0</v>
      </c>
      <c r="AQ122">
        <v>37</v>
      </c>
      <c r="AR122">
        <f>AR40</f>
        <v>0</v>
      </c>
      <c r="AS122">
        <v>37</v>
      </c>
      <c r="AT122">
        <f>IF(AT41="","",AT40)</f>
        <v>0</v>
      </c>
      <c r="AU122">
        <v>37</v>
      </c>
      <c r="AV122">
        <f>AV40</f>
        <v>0</v>
      </c>
      <c r="AW122">
        <v>37</v>
      </c>
      <c r="AX122">
        <f>IF(AX41="","",AX40)</f>
        <v>0</v>
      </c>
      <c r="AY122">
        <v>37</v>
      </c>
      <c r="AZ122">
        <f>AZ40</f>
        <v>0</v>
      </c>
      <c r="BA122">
        <v>37</v>
      </c>
      <c r="BB122">
        <f>IF(BB41="","",BB40)</f>
        <v>0</v>
      </c>
      <c r="BC122">
        <v>37</v>
      </c>
      <c r="BD122">
        <f>BD40</f>
        <v>0</v>
      </c>
      <c r="BE122">
        <v>37</v>
      </c>
      <c r="BF122">
        <f>IF(BF41="","",BF40)</f>
        <v>0</v>
      </c>
      <c r="BG122">
        <v>37</v>
      </c>
      <c r="BH122">
        <f>BH40</f>
        <v>0</v>
      </c>
      <c r="BI122">
        <v>37</v>
      </c>
      <c r="BJ122">
        <f>IF(BJ41="","",BJ40)</f>
        <v>0</v>
      </c>
      <c r="BK122">
        <v>37</v>
      </c>
      <c r="BL122">
        <f>BL40</f>
        <v>0</v>
      </c>
      <c r="BM122">
        <v>37</v>
      </c>
      <c r="BN122">
        <f>IF(BN41="","",BN40)</f>
        <v>0</v>
      </c>
      <c r="BO122">
        <v>37</v>
      </c>
      <c r="BP122">
        <f>BP40</f>
        <v>0</v>
      </c>
      <c r="BS122">
        <v>37</v>
      </c>
      <c r="BT122">
        <f>IF(BT41="","",BT40)</f>
        <v>0</v>
      </c>
      <c r="BU122">
        <v>37</v>
      </c>
      <c r="BV122">
        <f>BV40</f>
        <v>0</v>
      </c>
      <c r="BW122">
        <v>37</v>
      </c>
      <c r="BX122">
        <f>IF(BX41="","",BX40)</f>
        <v>0</v>
      </c>
      <c r="BY122">
        <v>37</v>
      </c>
      <c r="BZ122">
        <f>BZ40</f>
        <v>0</v>
      </c>
      <c r="CA122">
        <v>37</v>
      </c>
      <c r="CB122">
        <f>IF(CB41="","",CB40)</f>
        <v>0</v>
      </c>
      <c r="CC122">
        <v>37</v>
      </c>
      <c r="CD122">
        <f>CD40</f>
        <v>0</v>
      </c>
      <c r="CE122">
        <v>37</v>
      </c>
      <c r="CF122">
        <f>IF(CF41="","",CF40)</f>
        <v>0</v>
      </c>
      <c r="CG122">
        <v>37</v>
      </c>
      <c r="CH122">
        <f>CH40</f>
        <v>0</v>
      </c>
      <c r="CI122">
        <v>37</v>
      </c>
      <c r="CJ122">
        <f>IF(CJ41="","",CJ40)</f>
        <v>0</v>
      </c>
      <c r="CK122">
        <v>37</v>
      </c>
      <c r="CL122">
        <f>CL40</f>
        <v>0</v>
      </c>
      <c r="CM122">
        <v>37</v>
      </c>
      <c r="CN122">
        <f>IF(CN41="","",CN40)</f>
        <v>0</v>
      </c>
      <c r="CO122">
        <v>37</v>
      </c>
      <c r="CP122">
        <f>CP40</f>
        <v>0</v>
      </c>
      <c r="CQ122">
        <v>37</v>
      </c>
      <c r="CR122">
        <f>IF(CR41="","",CR40)</f>
        <v>0</v>
      </c>
      <c r="CS122">
        <v>37</v>
      </c>
      <c r="CT122">
        <f>CT40</f>
        <v>0</v>
      </c>
      <c r="CU122">
        <v>37</v>
      </c>
      <c r="CV122">
        <f>IF(CV41="","",CV40)</f>
        <v>0</v>
      </c>
      <c r="CW122">
        <v>37</v>
      </c>
      <c r="CX122">
        <f>CX40</f>
        <v>0</v>
      </c>
      <c r="CY122">
        <v>37</v>
      </c>
      <c r="CZ122">
        <f>IF(CZ41="","",CZ40)</f>
        <v>0</v>
      </c>
      <c r="DA122">
        <v>37</v>
      </c>
      <c r="DB122">
        <f>DB40</f>
        <v>0</v>
      </c>
      <c r="DC122">
        <v>37</v>
      </c>
      <c r="DD122">
        <f>IF(DD41="","",DD40)</f>
        <v>0</v>
      </c>
      <c r="DE122">
        <v>37</v>
      </c>
      <c r="DF122">
        <f>DF40</f>
        <v>0</v>
      </c>
      <c r="DG122">
        <v>37</v>
      </c>
      <c r="DH122">
        <f>IF(DH41="","",DH40)</f>
        <v>0</v>
      </c>
      <c r="DI122">
        <v>37</v>
      </c>
      <c r="DJ122">
        <f>DJ40</f>
        <v>0</v>
      </c>
      <c r="DK122">
        <v>37</v>
      </c>
      <c r="DL122">
        <f>IF(DL41="","",DL40)</f>
        <v>0</v>
      </c>
      <c r="DM122">
        <v>37</v>
      </c>
      <c r="DN122">
        <f>DN40</f>
        <v>0</v>
      </c>
      <c r="DO122">
        <v>37</v>
      </c>
      <c r="DP122">
        <f>IF(DP41="","",DP40)</f>
        <v>0</v>
      </c>
      <c r="DQ122">
        <v>37</v>
      </c>
      <c r="DR122">
        <f>DR40</f>
        <v>0</v>
      </c>
      <c r="DS122">
        <v>37</v>
      </c>
      <c r="DT122">
        <f>IF(DT41="","",DT40)</f>
        <v>0</v>
      </c>
      <c r="DU122">
        <v>37</v>
      </c>
      <c r="DV122">
        <f>DV40</f>
        <v>0</v>
      </c>
      <c r="DW122">
        <v>37</v>
      </c>
      <c r="DX122">
        <f>IF(DX41="","",DX40)</f>
        <v>0</v>
      </c>
      <c r="DY122">
        <v>37</v>
      </c>
      <c r="DZ122">
        <f>DZ40</f>
        <v>0</v>
      </c>
      <c r="EA122">
        <v>37</v>
      </c>
      <c r="EB122">
        <f>IF(EB41="","",EB40)</f>
        <v>0</v>
      </c>
      <c r="EC122">
        <v>37</v>
      </c>
      <c r="ED122">
        <f>ED40</f>
        <v>0</v>
      </c>
    </row>
    <row r="123" spans="5:134">
      <c r="E123">
        <v>38</v>
      </c>
      <c r="F123">
        <f>IF(F42="","",F41)</f>
        <v>0</v>
      </c>
      <c r="G123">
        <v>38</v>
      </c>
      <c r="H123">
        <f>H41</f>
        <v>0</v>
      </c>
      <c r="I123">
        <v>38</v>
      </c>
      <c r="J123">
        <f>IF(J42="","",J41)</f>
        <v>0</v>
      </c>
      <c r="K123">
        <v>38</v>
      </c>
      <c r="L123">
        <f>L41</f>
        <v>0</v>
      </c>
      <c r="M123">
        <v>38</v>
      </c>
      <c r="N123">
        <f>IF(N42="","",N41)</f>
        <v>0</v>
      </c>
      <c r="O123">
        <v>38</v>
      </c>
      <c r="P123">
        <f>P41</f>
        <v>0</v>
      </c>
      <c r="Q123">
        <v>38</v>
      </c>
      <c r="R123">
        <f>IF(R42="","",R41)</f>
        <v>0</v>
      </c>
      <c r="S123">
        <v>38</v>
      </c>
      <c r="T123">
        <f>T41</f>
        <v>0</v>
      </c>
      <c r="U123">
        <v>38</v>
      </c>
      <c r="V123">
        <f>IF(V42="","",V41)</f>
        <v>0</v>
      </c>
      <c r="W123">
        <v>38</v>
      </c>
      <c r="X123">
        <f>X41</f>
        <v>0</v>
      </c>
      <c r="Y123">
        <v>38</v>
      </c>
      <c r="Z123">
        <f>IF(Z42="","",Z41)</f>
        <v>0</v>
      </c>
      <c r="AA123">
        <v>38</v>
      </c>
      <c r="AB123">
        <f>AB41</f>
        <v>0</v>
      </c>
      <c r="AC123">
        <v>38</v>
      </c>
      <c r="AD123">
        <f>IF(AD42="","",AD41)</f>
        <v>0</v>
      </c>
      <c r="AE123">
        <v>38</v>
      </c>
      <c r="AF123">
        <f>AF41</f>
        <v>0</v>
      </c>
      <c r="AG123">
        <v>38</v>
      </c>
      <c r="AH123">
        <f>IF(AH42="","",AH41)</f>
        <v>0</v>
      </c>
      <c r="AI123">
        <v>38</v>
      </c>
      <c r="AJ123">
        <f>AJ41</f>
        <v>0</v>
      </c>
      <c r="AK123">
        <v>38</v>
      </c>
      <c r="AL123">
        <f>IF(AL42="","",AL41)</f>
        <v>0</v>
      </c>
      <c r="AM123">
        <v>38</v>
      </c>
      <c r="AN123">
        <f>AN41</f>
        <v>0</v>
      </c>
      <c r="AO123">
        <v>38</v>
      </c>
      <c r="AP123">
        <f>IF(AP42="","",AP41)</f>
        <v>0</v>
      </c>
      <c r="AQ123">
        <v>38</v>
      </c>
      <c r="AR123">
        <f>AR41</f>
        <v>0</v>
      </c>
      <c r="AS123">
        <v>38</v>
      </c>
      <c r="AT123">
        <f>IF(AT42="","",AT41)</f>
        <v>0</v>
      </c>
      <c r="AU123">
        <v>38</v>
      </c>
      <c r="AV123">
        <f>AV41</f>
        <v>0</v>
      </c>
      <c r="AW123">
        <v>38</v>
      </c>
      <c r="AX123">
        <f>IF(AX42="","",AX41)</f>
        <v>0</v>
      </c>
      <c r="AY123">
        <v>38</v>
      </c>
      <c r="AZ123">
        <f>AZ41</f>
        <v>0</v>
      </c>
      <c r="BA123">
        <v>38</v>
      </c>
      <c r="BB123">
        <f>IF(BB42="","",BB41)</f>
        <v>0</v>
      </c>
      <c r="BC123">
        <v>38</v>
      </c>
      <c r="BD123">
        <f>BD41</f>
        <v>0</v>
      </c>
      <c r="BE123">
        <v>38</v>
      </c>
      <c r="BF123">
        <f>IF(BF42="","",BF41)</f>
        <v>0</v>
      </c>
      <c r="BG123">
        <v>38</v>
      </c>
      <c r="BH123">
        <f>BH41</f>
        <v>0</v>
      </c>
      <c r="BI123">
        <v>38</v>
      </c>
      <c r="BJ123">
        <f>IF(BJ42="","",BJ41)</f>
        <v>0</v>
      </c>
      <c r="BK123">
        <v>38</v>
      </c>
      <c r="BL123">
        <f>BL41</f>
        <v>0</v>
      </c>
      <c r="BM123">
        <v>38</v>
      </c>
      <c r="BN123">
        <f>IF(BN42="","",BN41)</f>
        <v>0</v>
      </c>
      <c r="BO123">
        <v>38</v>
      </c>
      <c r="BP123">
        <f>BP41</f>
        <v>0</v>
      </c>
      <c r="BS123">
        <v>38</v>
      </c>
      <c r="BT123">
        <f>IF(BT42="","",BT41)</f>
        <v>0</v>
      </c>
      <c r="BU123">
        <v>38</v>
      </c>
      <c r="BV123">
        <f>BV41</f>
        <v>0</v>
      </c>
      <c r="BW123">
        <v>38</v>
      </c>
      <c r="BX123">
        <f>IF(BX42="","",BX41)</f>
        <v>0</v>
      </c>
      <c r="BY123">
        <v>38</v>
      </c>
      <c r="BZ123">
        <f>BZ41</f>
        <v>0</v>
      </c>
      <c r="CA123">
        <v>38</v>
      </c>
      <c r="CB123">
        <f>IF(CB42="","",CB41)</f>
        <v>0</v>
      </c>
      <c r="CC123">
        <v>38</v>
      </c>
      <c r="CD123">
        <f>CD41</f>
        <v>0</v>
      </c>
      <c r="CE123">
        <v>38</v>
      </c>
      <c r="CF123">
        <f>IF(CF42="","",CF41)</f>
        <v>0</v>
      </c>
      <c r="CG123">
        <v>38</v>
      </c>
      <c r="CH123">
        <f>CH41</f>
        <v>0</v>
      </c>
      <c r="CI123">
        <v>38</v>
      </c>
      <c r="CJ123">
        <f>IF(CJ42="","",CJ41)</f>
        <v>0</v>
      </c>
      <c r="CK123">
        <v>38</v>
      </c>
      <c r="CL123">
        <f>CL41</f>
        <v>0</v>
      </c>
      <c r="CM123">
        <v>38</v>
      </c>
      <c r="CN123">
        <f>IF(CN42="","",CN41)</f>
        <v>0</v>
      </c>
      <c r="CO123">
        <v>38</v>
      </c>
      <c r="CP123">
        <f>CP41</f>
        <v>0</v>
      </c>
      <c r="CQ123">
        <v>38</v>
      </c>
      <c r="CR123">
        <f>IF(CR42="","",CR41)</f>
        <v>0</v>
      </c>
      <c r="CS123">
        <v>38</v>
      </c>
      <c r="CT123">
        <f>CT41</f>
        <v>0</v>
      </c>
      <c r="CU123">
        <v>38</v>
      </c>
      <c r="CV123">
        <f>IF(CV42="","",CV41)</f>
        <v>0</v>
      </c>
      <c r="CW123">
        <v>38</v>
      </c>
      <c r="CX123">
        <f>CX41</f>
        <v>0</v>
      </c>
      <c r="CY123">
        <v>38</v>
      </c>
      <c r="CZ123">
        <f>IF(CZ42="","",CZ41)</f>
        <v>0</v>
      </c>
      <c r="DA123">
        <v>38</v>
      </c>
      <c r="DB123">
        <f>DB41</f>
        <v>0</v>
      </c>
      <c r="DC123">
        <v>38</v>
      </c>
      <c r="DD123">
        <f>IF(DD42="","",DD41)</f>
        <v>0</v>
      </c>
      <c r="DE123">
        <v>38</v>
      </c>
      <c r="DF123">
        <f>DF41</f>
        <v>0</v>
      </c>
      <c r="DG123">
        <v>38</v>
      </c>
      <c r="DH123">
        <f>IF(DH42="","",DH41)</f>
        <v>0</v>
      </c>
      <c r="DI123">
        <v>38</v>
      </c>
      <c r="DJ123">
        <f>DJ41</f>
        <v>0</v>
      </c>
      <c r="DK123">
        <v>38</v>
      </c>
      <c r="DL123">
        <f>IF(DL42="","",DL41)</f>
        <v>0</v>
      </c>
      <c r="DM123">
        <v>38</v>
      </c>
      <c r="DN123">
        <f>DN41</f>
        <v>0</v>
      </c>
      <c r="DO123">
        <v>38</v>
      </c>
      <c r="DP123">
        <f>IF(DP42="","",DP41)</f>
        <v>0</v>
      </c>
      <c r="DQ123">
        <v>38</v>
      </c>
      <c r="DR123">
        <f>DR41</f>
        <v>0</v>
      </c>
      <c r="DS123">
        <v>38</v>
      </c>
      <c r="DT123">
        <f>IF(DT42="","",DT41)</f>
        <v>0</v>
      </c>
      <c r="DU123">
        <v>38</v>
      </c>
      <c r="DV123">
        <f>DV41</f>
        <v>0</v>
      </c>
      <c r="DW123">
        <v>38</v>
      </c>
      <c r="DX123">
        <f>IF(DX42="","",DX41)</f>
        <v>0</v>
      </c>
      <c r="DY123">
        <v>38</v>
      </c>
      <c r="DZ123">
        <f>DZ41</f>
        <v>0</v>
      </c>
      <c r="EA123">
        <v>38</v>
      </c>
      <c r="EB123">
        <f>IF(EB42="","",EB41)</f>
        <v>0</v>
      </c>
      <c r="EC123">
        <v>38</v>
      </c>
      <c r="ED123">
        <f>ED41</f>
        <v>0</v>
      </c>
    </row>
    <row r="124" spans="5:134">
      <c r="E124">
        <v>39</v>
      </c>
      <c r="F124">
        <f>IF(F43="","",F42)</f>
        <v>0</v>
      </c>
      <c r="G124">
        <v>39</v>
      </c>
      <c r="H124">
        <f>H42</f>
        <v>0</v>
      </c>
      <c r="I124">
        <v>39</v>
      </c>
      <c r="J124">
        <f>IF(J43="","",J42)</f>
        <v>0</v>
      </c>
      <c r="K124">
        <v>39</v>
      </c>
      <c r="L124">
        <f>L42</f>
        <v>0</v>
      </c>
      <c r="M124">
        <v>39</v>
      </c>
      <c r="N124">
        <f>IF(N43="","",N42)</f>
        <v>0</v>
      </c>
      <c r="O124">
        <v>39</v>
      </c>
      <c r="P124">
        <f>P42</f>
        <v>0</v>
      </c>
      <c r="Q124">
        <v>39</v>
      </c>
      <c r="R124">
        <f>IF(R43="","",R42)</f>
        <v>0</v>
      </c>
      <c r="S124">
        <v>39</v>
      </c>
      <c r="T124">
        <f>T42</f>
        <v>0</v>
      </c>
      <c r="U124">
        <v>39</v>
      </c>
      <c r="V124">
        <f>IF(V43="","",V42)</f>
        <v>0</v>
      </c>
      <c r="W124">
        <v>39</v>
      </c>
      <c r="X124">
        <f>X42</f>
        <v>0</v>
      </c>
      <c r="Y124">
        <v>39</v>
      </c>
      <c r="Z124">
        <f>IF(Z43="","",Z42)</f>
        <v>0</v>
      </c>
      <c r="AA124">
        <v>39</v>
      </c>
      <c r="AB124">
        <f>AB42</f>
        <v>0</v>
      </c>
      <c r="AC124">
        <v>39</v>
      </c>
      <c r="AD124">
        <f>IF(AD43="","",AD42)</f>
        <v>0</v>
      </c>
      <c r="AE124">
        <v>39</v>
      </c>
      <c r="AF124">
        <f>AF42</f>
        <v>0</v>
      </c>
      <c r="AG124">
        <v>39</v>
      </c>
      <c r="AH124">
        <f>IF(AH43="","",AH42)</f>
        <v>0</v>
      </c>
      <c r="AI124">
        <v>39</v>
      </c>
      <c r="AJ124">
        <f>AJ42</f>
        <v>0</v>
      </c>
      <c r="AK124">
        <v>39</v>
      </c>
      <c r="AL124">
        <f>IF(AL43="","",AL42)</f>
        <v>0</v>
      </c>
      <c r="AM124">
        <v>39</v>
      </c>
      <c r="AN124">
        <f>AN42</f>
        <v>0</v>
      </c>
      <c r="AO124">
        <v>39</v>
      </c>
      <c r="AP124">
        <f>IF(AP43="","",AP42)</f>
        <v>0</v>
      </c>
      <c r="AQ124">
        <v>39</v>
      </c>
      <c r="AR124">
        <f>AR42</f>
        <v>0</v>
      </c>
      <c r="AS124">
        <v>39</v>
      </c>
      <c r="AT124">
        <f>IF(AT43="","",AT42)</f>
        <v>0</v>
      </c>
      <c r="AU124">
        <v>39</v>
      </c>
      <c r="AV124">
        <f>AV42</f>
        <v>0</v>
      </c>
      <c r="AW124">
        <v>39</v>
      </c>
      <c r="AX124">
        <f>IF(AX43="","",AX42)</f>
        <v>0</v>
      </c>
      <c r="AY124">
        <v>39</v>
      </c>
      <c r="AZ124">
        <f>AZ42</f>
        <v>0</v>
      </c>
      <c r="BA124">
        <v>39</v>
      </c>
      <c r="BB124">
        <f>IF(BB43="","",BB42)</f>
        <v>0</v>
      </c>
      <c r="BC124">
        <v>39</v>
      </c>
      <c r="BD124">
        <f>BD42</f>
        <v>0</v>
      </c>
      <c r="BE124">
        <v>39</v>
      </c>
      <c r="BF124">
        <f>IF(BF43="","",BF42)</f>
        <v>0</v>
      </c>
      <c r="BG124">
        <v>39</v>
      </c>
      <c r="BH124">
        <f>BH42</f>
        <v>0</v>
      </c>
      <c r="BI124">
        <v>39</v>
      </c>
      <c r="BJ124">
        <f>IF(BJ43="","",BJ42)</f>
        <v>0</v>
      </c>
      <c r="BK124">
        <v>39</v>
      </c>
      <c r="BL124">
        <f>BL42</f>
        <v>0</v>
      </c>
      <c r="BM124">
        <v>39</v>
      </c>
      <c r="BN124">
        <f>IF(BN43="","",BN42)</f>
        <v>0</v>
      </c>
      <c r="BO124">
        <v>39</v>
      </c>
      <c r="BP124">
        <f>BP42</f>
        <v>0</v>
      </c>
      <c r="BS124">
        <v>39</v>
      </c>
      <c r="BT124">
        <f>IF(BT43="","",BT42)</f>
        <v>0</v>
      </c>
      <c r="BU124">
        <v>39</v>
      </c>
      <c r="BV124">
        <f>BV42</f>
        <v>0</v>
      </c>
      <c r="BW124">
        <v>39</v>
      </c>
      <c r="BX124">
        <f>IF(BX43="","",BX42)</f>
        <v>0</v>
      </c>
      <c r="BY124">
        <v>39</v>
      </c>
      <c r="BZ124">
        <f>BZ42</f>
        <v>0</v>
      </c>
      <c r="CA124">
        <v>39</v>
      </c>
      <c r="CB124">
        <f>IF(CB43="","",CB42)</f>
        <v>0</v>
      </c>
      <c r="CC124">
        <v>39</v>
      </c>
      <c r="CD124">
        <f>CD42</f>
        <v>0</v>
      </c>
      <c r="CE124">
        <v>39</v>
      </c>
      <c r="CF124">
        <f>IF(CF43="","",CF42)</f>
        <v>0</v>
      </c>
      <c r="CG124">
        <v>39</v>
      </c>
      <c r="CH124">
        <f>CH42</f>
        <v>0</v>
      </c>
      <c r="CI124">
        <v>39</v>
      </c>
      <c r="CJ124">
        <f>IF(CJ43="","",CJ42)</f>
        <v>0</v>
      </c>
      <c r="CK124">
        <v>39</v>
      </c>
      <c r="CL124">
        <f>CL42</f>
        <v>0</v>
      </c>
      <c r="CM124">
        <v>39</v>
      </c>
      <c r="CN124">
        <f>IF(CN43="","",CN42)</f>
        <v>0</v>
      </c>
      <c r="CO124">
        <v>39</v>
      </c>
      <c r="CP124">
        <f>CP42</f>
        <v>0</v>
      </c>
      <c r="CQ124">
        <v>39</v>
      </c>
      <c r="CR124">
        <f>IF(CR43="","",CR42)</f>
        <v>0</v>
      </c>
      <c r="CS124">
        <v>39</v>
      </c>
      <c r="CT124">
        <f>CT42</f>
        <v>0</v>
      </c>
      <c r="CU124">
        <v>39</v>
      </c>
      <c r="CV124">
        <f>IF(CV43="","",CV42)</f>
        <v>0</v>
      </c>
      <c r="CW124">
        <v>39</v>
      </c>
      <c r="CX124">
        <f>CX42</f>
        <v>0</v>
      </c>
      <c r="CY124">
        <v>39</v>
      </c>
      <c r="CZ124">
        <f>IF(CZ43="","",CZ42)</f>
        <v>0</v>
      </c>
      <c r="DA124">
        <v>39</v>
      </c>
      <c r="DB124">
        <f>DB42</f>
        <v>0</v>
      </c>
      <c r="DC124">
        <v>39</v>
      </c>
      <c r="DD124">
        <f>IF(DD43="","",DD42)</f>
        <v>0</v>
      </c>
      <c r="DE124">
        <v>39</v>
      </c>
      <c r="DF124">
        <f>DF42</f>
        <v>0</v>
      </c>
      <c r="DG124">
        <v>39</v>
      </c>
      <c r="DH124">
        <f>IF(DH43="","",DH42)</f>
        <v>0</v>
      </c>
      <c r="DI124">
        <v>39</v>
      </c>
      <c r="DJ124">
        <f>DJ42</f>
        <v>0</v>
      </c>
      <c r="DK124">
        <v>39</v>
      </c>
      <c r="DL124">
        <f>IF(DL43="","",DL42)</f>
        <v>0</v>
      </c>
      <c r="DM124">
        <v>39</v>
      </c>
      <c r="DN124">
        <f>DN42</f>
        <v>0</v>
      </c>
      <c r="DO124">
        <v>39</v>
      </c>
      <c r="DP124">
        <f>IF(DP43="","",DP42)</f>
        <v>0</v>
      </c>
      <c r="DQ124">
        <v>39</v>
      </c>
      <c r="DR124">
        <f>DR42</f>
        <v>0</v>
      </c>
      <c r="DS124">
        <v>39</v>
      </c>
      <c r="DT124">
        <f>IF(DT43="","",DT42)</f>
        <v>0</v>
      </c>
      <c r="DU124">
        <v>39</v>
      </c>
      <c r="DV124">
        <f>DV42</f>
        <v>0</v>
      </c>
      <c r="DW124">
        <v>39</v>
      </c>
      <c r="DX124">
        <f>IF(DX43="","",DX42)</f>
        <v>0</v>
      </c>
      <c r="DY124">
        <v>39</v>
      </c>
      <c r="DZ124">
        <f>DZ42</f>
        <v>0</v>
      </c>
      <c r="EA124">
        <v>39</v>
      </c>
      <c r="EB124">
        <f>IF(EB43="","",EB42)</f>
        <v>0</v>
      </c>
      <c r="EC124">
        <v>39</v>
      </c>
      <c r="ED124">
        <f>ED42</f>
        <v>0</v>
      </c>
    </row>
    <row r="125" spans="5:134">
      <c r="E125">
        <v>40</v>
      </c>
      <c r="F125">
        <f>IF(F44="","",F43)</f>
        <v>0</v>
      </c>
      <c r="G125">
        <v>40</v>
      </c>
      <c r="H125">
        <f>H43</f>
        <v>0</v>
      </c>
      <c r="I125">
        <v>40</v>
      </c>
      <c r="J125">
        <f>IF(J44="","",J43)</f>
        <v>0</v>
      </c>
      <c r="K125">
        <v>40</v>
      </c>
      <c r="L125">
        <f>L43</f>
        <v>0</v>
      </c>
      <c r="M125">
        <v>40</v>
      </c>
      <c r="N125">
        <f>IF(N44="","",N43)</f>
        <v>0</v>
      </c>
      <c r="O125">
        <v>40</v>
      </c>
      <c r="P125">
        <f>P43</f>
        <v>0</v>
      </c>
      <c r="Q125">
        <v>40</v>
      </c>
      <c r="R125">
        <f>IF(R44="","",R43)</f>
        <v>0</v>
      </c>
      <c r="S125">
        <v>40</v>
      </c>
      <c r="T125">
        <f>T43</f>
        <v>0</v>
      </c>
      <c r="U125">
        <v>40</v>
      </c>
      <c r="V125">
        <f>IF(V44="","",V43)</f>
        <v>0</v>
      </c>
      <c r="W125">
        <v>40</v>
      </c>
      <c r="X125">
        <f>X43</f>
        <v>0</v>
      </c>
      <c r="Y125">
        <v>40</v>
      </c>
      <c r="Z125">
        <f>IF(Z44="","",Z43)</f>
        <v>0</v>
      </c>
      <c r="AA125">
        <v>40</v>
      </c>
      <c r="AB125">
        <f>AB43</f>
        <v>0</v>
      </c>
      <c r="AC125">
        <v>40</v>
      </c>
      <c r="AD125">
        <f>IF(AD44="","",AD43)</f>
        <v>0</v>
      </c>
      <c r="AE125">
        <v>40</v>
      </c>
      <c r="AF125">
        <f>AF43</f>
        <v>0</v>
      </c>
      <c r="AG125">
        <v>40</v>
      </c>
      <c r="AH125">
        <f>IF(AH44="","",AH43)</f>
        <v>0</v>
      </c>
      <c r="AI125">
        <v>40</v>
      </c>
      <c r="AJ125">
        <f>AJ43</f>
        <v>0</v>
      </c>
      <c r="AK125">
        <v>40</v>
      </c>
      <c r="AL125">
        <f>IF(AL44="","",AL43)</f>
        <v>0</v>
      </c>
      <c r="AM125">
        <v>40</v>
      </c>
      <c r="AN125">
        <f>AN43</f>
        <v>0</v>
      </c>
      <c r="AO125">
        <v>40</v>
      </c>
      <c r="AP125">
        <f>IF(AP44="","",AP43)</f>
        <v>0</v>
      </c>
      <c r="AQ125">
        <v>40</v>
      </c>
      <c r="AR125">
        <f>AR43</f>
        <v>0</v>
      </c>
      <c r="AS125">
        <v>40</v>
      </c>
      <c r="AT125">
        <f>IF(AT44="","",AT43)</f>
        <v>0</v>
      </c>
      <c r="AU125">
        <v>40</v>
      </c>
      <c r="AV125">
        <f>AV43</f>
        <v>0</v>
      </c>
      <c r="AW125">
        <v>40</v>
      </c>
      <c r="AX125">
        <f>IF(AX44="","",AX43)</f>
        <v>0</v>
      </c>
      <c r="AY125">
        <v>40</v>
      </c>
      <c r="AZ125">
        <f>AZ43</f>
        <v>0</v>
      </c>
      <c r="BA125">
        <v>40</v>
      </c>
      <c r="BB125">
        <f>IF(BB44="","",BB43)</f>
        <v>0</v>
      </c>
      <c r="BC125">
        <v>40</v>
      </c>
      <c r="BD125">
        <f>BD43</f>
        <v>0</v>
      </c>
      <c r="BE125">
        <v>40</v>
      </c>
      <c r="BF125">
        <f>IF(BF44="","",BF43)</f>
        <v>0</v>
      </c>
      <c r="BG125">
        <v>40</v>
      </c>
      <c r="BH125">
        <f>BH43</f>
        <v>0</v>
      </c>
      <c r="BI125">
        <v>40</v>
      </c>
      <c r="BJ125">
        <f>IF(BJ44="","",BJ43)</f>
        <v>0</v>
      </c>
      <c r="BK125">
        <v>40</v>
      </c>
      <c r="BL125">
        <f>BL43</f>
        <v>0</v>
      </c>
      <c r="BM125">
        <v>40</v>
      </c>
      <c r="BN125">
        <f>IF(BN44="","",BN43)</f>
        <v>0</v>
      </c>
      <c r="BO125">
        <v>40</v>
      </c>
      <c r="BP125">
        <f>BP43</f>
        <v>0</v>
      </c>
      <c r="BS125">
        <v>40</v>
      </c>
      <c r="BT125">
        <f>IF(BT44="","",BT43)</f>
        <v>0</v>
      </c>
      <c r="BU125">
        <v>40</v>
      </c>
      <c r="BV125">
        <f>BV43</f>
        <v>0</v>
      </c>
      <c r="BW125">
        <v>40</v>
      </c>
      <c r="BX125">
        <f>IF(BX44="","",BX43)</f>
        <v>0</v>
      </c>
      <c r="BY125">
        <v>40</v>
      </c>
      <c r="BZ125">
        <f>BZ43</f>
        <v>0</v>
      </c>
      <c r="CA125">
        <v>40</v>
      </c>
      <c r="CB125">
        <f>IF(CB44="","",CB43)</f>
        <v>0</v>
      </c>
      <c r="CC125">
        <v>40</v>
      </c>
      <c r="CD125">
        <f>CD43</f>
        <v>0</v>
      </c>
      <c r="CE125">
        <v>40</v>
      </c>
      <c r="CF125">
        <f>IF(CF44="","",CF43)</f>
        <v>0</v>
      </c>
      <c r="CG125">
        <v>40</v>
      </c>
      <c r="CH125">
        <f>CH43</f>
        <v>0</v>
      </c>
      <c r="CI125">
        <v>40</v>
      </c>
      <c r="CJ125">
        <f>IF(CJ44="","",CJ43)</f>
        <v>0</v>
      </c>
      <c r="CK125">
        <v>40</v>
      </c>
      <c r="CL125">
        <f>CL43</f>
        <v>0</v>
      </c>
      <c r="CM125">
        <v>40</v>
      </c>
      <c r="CN125">
        <f>IF(CN44="","",CN43)</f>
        <v>0</v>
      </c>
      <c r="CO125">
        <v>40</v>
      </c>
      <c r="CP125">
        <f>CP43</f>
        <v>0</v>
      </c>
      <c r="CQ125">
        <v>40</v>
      </c>
      <c r="CR125">
        <f>IF(CR44="","",CR43)</f>
        <v>0</v>
      </c>
      <c r="CS125">
        <v>40</v>
      </c>
      <c r="CT125">
        <f>CT43</f>
        <v>0</v>
      </c>
      <c r="CU125">
        <v>40</v>
      </c>
      <c r="CV125">
        <f>IF(CV44="","",CV43)</f>
        <v>0</v>
      </c>
      <c r="CW125">
        <v>40</v>
      </c>
      <c r="CX125">
        <f>CX43</f>
        <v>0</v>
      </c>
      <c r="CY125">
        <v>40</v>
      </c>
      <c r="CZ125">
        <f>IF(CZ44="","",CZ43)</f>
        <v>0</v>
      </c>
      <c r="DA125">
        <v>40</v>
      </c>
      <c r="DB125">
        <f>DB43</f>
        <v>0</v>
      </c>
      <c r="DC125">
        <v>40</v>
      </c>
      <c r="DD125">
        <f>IF(DD44="","",DD43)</f>
        <v>0</v>
      </c>
      <c r="DE125">
        <v>40</v>
      </c>
      <c r="DF125">
        <f>DF43</f>
        <v>0</v>
      </c>
      <c r="DG125">
        <v>40</v>
      </c>
      <c r="DH125">
        <f>IF(DH44="","",DH43)</f>
        <v>0</v>
      </c>
      <c r="DI125">
        <v>40</v>
      </c>
      <c r="DJ125">
        <f>DJ43</f>
        <v>0</v>
      </c>
      <c r="DK125">
        <v>40</v>
      </c>
      <c r="DL125">
        <f>IF(DL44="","",DL43)</f>
        <v>0</v>
      </c>
      <c r="DM125">
        <v>40</v>
      </c>
      <c r="DN125">
        <f>DN43</f>
        <v>0</v>
      </c>
      <c r="DO125">
        <v>40</v>
      </c>
      <c r="DP125">
        <f>IF(DP44="","",DP43)</f>
        <v>0</v>
      </c>
      <c r="DQ125">
        <v>40</v>
      </c>
      <c r="DR125">
        <f>DR43</f>
        <v>0</v>
      </c>
      <c r="DS125">
        <v>40</v>
      </c>
      <c r="DT125">
        <f>IF(DT44="","",DT43)</f>
        <v>0</v>
      </c>
      <c r="DU125">
        <v>40</v>
      </c>
      <c r="DV125">
        <f>DV43</f>
        <v>0</v>
      </c>
      <c r="DW125">
        <v>40</v>
      </c>
      <c r="DX125">
        <f>IF(DX44="","",DX43)</f>
        <v>0</v>
      </c>
      <c r="DY125">
        <v>40</v>
      </c>
      <c r="DZ125">
        <f>DZ43</f>
        <v>0</v>
      </c>
      <c r="EA125">
        <v>40</v>
      </c>
      <c r="EB125">
        <f>IF(EB44="","",EB43)</f>
        <v>0</v>
      </c>
      <c r="EC125">
        <v>40</v>
      </c>
      <c r="ED125">
        <f>ED43</f>
        <v>0</v>
      </c>
    </row>
    <row r="126" spans="5:134"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</row>
    <row r="127" spans="5:134">
      <c r="E127">
        <v>1</v>
      </c>
      <c r="F127">
        <v>0</v>
      </c>
      <c r="G127">
        <v>1</v>
      </c>
      <c r="H127">
        <v>0</v>
      </c>
      <c r="I127">
        <v>1</v>
      </c>
      <c r="J127">
        <v>0</v>
      </c>
      <c r="K127">
        <v>1</v>
      </c>
      <c r="L127">
        <v>0</v>
      </c>
      <c r="M127">
        <v>1</v>
      </c>
      <c r="N127">
        <v>0</v>
      </c>
      <c r="O127">
        <v>1</v>
      </c>
      <c r="P127">
        <v>0</v>
      </c>
      <c r="Q127">
        <v>1</v>
      </c>
      <c r="R127">
        <v>0</v>
      </c>
      <c r="S127">
        <v>1</v>
      </c>
      <c r="T127">
        <v>0</v>
      </c>
      <c r="U127">
        <v>1</v>
      </c>
      <c r="V127">
        <v>0</v>
      </c>
      <c r="W127">
        <v>1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1</v>
      </c>
      <c r="AD127">
        <v>0</v>
      </c>
      <c r="AE127">
        <v>1</v>
      </c>
      <c r="AF127">
        <v>0</v>
      </c>
      <c r="AG127">
        <v>1</v>
      </c>
      <c r="AH127">
        <v>0</v>
      </c>
      <c r="AI127">
        <v>1</v>
      </c>
      <c r="AJ127">
        <v>0</v>
      </c>
      <c r="AK127">
        <v>1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1</v>
      </c>
      <c r="AT127">
        <v>0</v>
      </c>
      <c r="AU127">
        <v>1</v>
      </c>
      <c r="AV127">
        <v>0</v>
      </c>
      <c r="AW127">
        <v>1</v>
      </c>
      <c r="AX127">
        <v>0</v>
      </c>
      <c r="AY127">
        <v>1</v>
      </c>
      <c r="AZ127">
        <v>0</v>
      </c>
      <c r="BA127">
        <v>1</v>
      </c>
      <c r="BB127">
        <v>0</v>
      </c>
      <c r="BC127">
        <v>1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1</v>
      </c>
      <c r="BJ127">
        <v>0</v>
      </c>
      <c r="BK127">
        <v>1</v>
      </c>
      <c r="BL127">
        <v>0</v>
      </c>
      <c r="BM127">
        <v>1</v>
      </c>
      <c r="BN127">
        <v>0</v>
      </c>
      <c r="BO127">
        <v>1</v>
      </c>
      <c r="BP127">
        <v>0</v>
      </c>
      <c r="BS127">
        <v>1</v>
      </c>
      <c r="BT127">
        <v>0</v>
      </c>
      <c r="BU127">
        <v>1</v>
      </c>
      <c r="BV127">
        <v>0</v>
      </c>
      <c r="BW127">
        <v>1</v>
      </c>
      <c r="BX127">
        <v>0</v>
      </c>
      <c r="BY127">
        <v>1</v>
      </c>
      <c r="BZ127">
        <v>0</v>
      </c>
      <c r="CA127">
        <v>1</v>
      </c>
      <c r="CB127">
        <v>0</v>
      </c>
      <c r="CC127">
        <v>1</v>
      </c>
      <c r="CD127">
        <v>0</v>
      </c>
      <c r="CE127">
        <v>1</v>
      </c>
      <c r="CF127">
        <v>0</v>
      </c>
      <c r="CG127">
        <v>1</v>
      </c>
      <c r="CH127">
        <v>0</v>
      </c>
      <c r="CI127">
        <v>1</v>
      </c>
      <c r="CJ127">
        <v>0</v>
      </c>
      <c r="CK127">
        <v>1</v>
      </c>
      <c r="CL127">
        <v>0</v>
      </c>
      <c r="CM127">
        <v>1</v>
      </c>
      <c r="CN127">
        <v>0</v>
      </c>
      <c r="CO127">
        <v>1</v>
      </c>
      <c r="CP127">
        <v>0</v>
      </c>
      <c r="CQ127">
        <v>1</v>
      </c>
      <c r="CR127">
        <v>0</v>
      </c>
      <c r="CS127">
        <v>1</v>
      </c>
      <c r="CT127">
        <v>0</v>
      </c>
      <c r="CU127">
        <v>1</v>
      </c>
      <c r="CV127">
        <v>0</v>
      </c>
      <c r="CW127">
        <v>1</v>
      </c>
      <c r="CX127">
        <v>0</v>
      </c>
      <c r="CY127">
        <v>1</v>
      </c>
      <c r="CZ127">
        <v>0</v>
      </c>
      <c r="DA127">
        <v>1</v>
      </c>
      <c r="DB127">
        <v>0</v>
      </c>
      <c r="DC127">
        <v>1</v>
      </c>
      <c r="DD127">
        <v>0</v>
      </c>
      <c r="DE127">
        <v>1</v>
      </c>
      <c r="DF127">
        <v>0</v>
      </c>
      <c r="DG127">
        <v>1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1</v>
      </c>
      <c r="DN127">
        <v>0</v>
      </c>
      <c r="DO127">
        <v>1</v>
      </c>
      <c r="DP127">
        <v>0</v>
      </c>
      <c r="DQ127">
        <v>1</v>
      </c>
      <c r="DR127">
        <v>0</v>
      </c>
      <c r="DS127">
        <v>1</v>
      </c>
      <c r="DT127">
        <v>0</v>
      </c>
      <c r="DU127">
        <v>1</v>
      </c>
      <c r="DV127">
        <v>0</v>
      </c>
      <c r="DW127">
        <v>1</v>
      </c>
      <c r="DX127">
        <v>0</v>
      </c>
      <c r="DY127">
        <v>1</v>
      </c>
      <c r="DZ127">
        <v>0</v>
      </c>
      <c r="EA127">
        <v>1</v>
      </c>
      <c r="EB127">
        <v>0</v>
      </c>
      <c r="EC127">
        <v>1</v>
      </c>
      <c r="ED127">
        <v>0</v>
      </c>
    </row>
    <row r="129" spans="4:134">
      <c r="D129" t="s">
        <v>92</v>
      </c>
      <c r="E129" t="s">
        <v>90</v>
      </c>
      <c r="F129" t="s">
        <v>95</v>
      </c>
      <c r="G129" t="s">
        <v>90</v>
      </c>
      <c r="H129" t="s">
        <v>96</v>
      </c>
      <c r="I129" t="s">
        <v>90</v>
      </c>
      <c r="J129" t="s">
        <v>95</v>
      </c>
      <c r="K129" t="s">
        <v>90</v>
      </c>
      <c r="L129" t="s">
        <v>96</v>
      </c>
      <c r="M129" t="s">
        <v>90</v>
      </c>
      <c r="N129" t="s">
        <v>95</v>
      </c>
      <c r="O129" t="s">
        <v>90</v>
      </c>
      <c r="P129" t="s">
        <v>96</v>
      </c>
      <c r="Q129" t="s">
        <v>90</v>
      </c>
      <c r="R129" t="s">
        <v>95</v>
      </c>
      <c r="S129" t="s">
        <v>90</v>
      </c>
      <c r="T129" t="s">
        <v>96</v>
      </c>
      <c r="U129" t="s">
        <v>90</v>
      </c>
      <c r="V129" t="s">
        <v>95</v>
      </c>
      <c r="W129" t="s">
        <v>90</v>
      </c>
      <c r="X129" t="s">
        <v>96</v>
      </c>
      <c r="Y129" t="s">
        <v>90</v>
      </c>
      <c r="Z129" t="s">
        <v>95</v>
      </c>
      <c r="AA129" t="s">
        <v>90</v>
      </c>
      <c r="AB129" t="s">
        <v>96</v>
      </c>
      <c r="AC129" t="s">
        <v>90</v>
      </c>
      <c r="AD129" t="s">
        <v>95</v>
      </c>
      <c r="AE129" t="s">
        <v>90</v>
      </c>
      <c r="AF129" t="s">
        <v>96</v>
      </c>
      <c r="AG129" t="s">
        <v>90</v>
      </c>
      <c r="AH129" t="s">
        <v>95</v>
      </c>
      <c r="AI129" t="s">
        <v>90</v>
      </c>
      <c r="AJ129" t="s">
        <v>96</v>
      </c>
      <c r="AK129" t="s">
        <v>90</v>
      </c>
      <c r="AL129" t="s">
        <v>95</v>
      </c>
      <c r="AM129" t="s">
        <v>90</v>
      </c>
      <c r="AN129" t="s">
        <v>96</v>
      </c>
      <c r="AO129" t="s">
        <v>90</v>
      </c>
      <c r="AP129" t="s">
        <v>95</v>
      </c>
      <c r="AQ129" t="s">
        <v>90</v>
      </c>
      <c r="AR129" t="s">
        <v>96</v>
      </c>
      <c r="AS129" t="s">
        <v>90</v>
      </c>
      <c r="AT129" t="s">
        <v>95</v>
      </c>
      <c r="AU129" t="s">
        <v>90</v>
      </c>
      <c r="AV129" t="s">
        <v>96</v>
      </c>
      <c r="AW129" t="s">
        <v>90</v>
      </c>
      <c r="AX129" t="s">
        <v>95</v>
      </c>
      <c r="AY129" t="s">
        <v>90</v>
      </c>
      <c r="AZ129" t="s">
        <v>96</v>
      </c>
      <c r="BA129" t="s">
        <v>90</v>
      </c>
      <c r="BB129" t="s">
        <v>95</v>
      </c>
      <c r="BC129" t="s">
        <v>90</v>
      </c>
      <c r="BD129" t="s">
        <v>96</v>
      </c>
      <c r="BE129" t="s">
        <v>90</v>
      </c>
      <c r="BF129" t="s">
        <v>95</v>
      </c>
      <c r="BG129" t="s">
        <v>90</v>
      </c>
      <c r="BH129" t="s">
        <v>96</v>
      </c>
      <c r="BI129" t="s">
        <v>90</v>
      </c>
      <c r="BJ129" t="s">
        <v>95</v>
      </c>
      <c r="BK129" t="s">
        <v>90</v>
      </c>
      <c r="BL129" t="s">
        <v>96</v>
      </c>
      <c r="BM129" t="s">
        <v>90</v>
      </c>
      <c r="BN129" t="s">
        <v>95</v>
      </c>
      <c r="BO129" t="s">
        <v>90</v>
      </c>
      <c r="BP129" t="s">
        <v>96</v>
      </c>
      <c r="BR129" t="s">
        <v>92</v>
      </c>
      <c r="BS129" t="s">
        <v>90</v>
      </c>
      <c r="BT129" t="s">
        <v>95</v>
      </c>
      <c r="BU129" t="s">
        <v>90</v>
      </c>
      <c r="BV129" t="s">
        <v>96</v>
      </c>
      <c r="BW129" t="s">
        <v>90</v>
      </c>
      <c r="BX129" t="s">
        <v>95</v>
      </c>
      <c r="BY129" t="s">
        <v>90</v>
      </c>
      <c r="BZ129" t="s">
        <v>96</v>
      </c>
      <c r="CA129" t="s">
        <v>90</v>
      </c>
      <c r="CB129" t="s">
        <v>95</v>
      </c>
      <c r="CC129" t="s">
        <v>90</v>
      </c>
      <c r="CD129" t="s">
        <v>96</v>
      </c>
      <c r="CE129" t="s">
        <v>90</v>
      </c>
      <c r="CF129" t="s">
        <v>95</v>
      </c>
      <c r="CG129" t="s">
        <v>90</v>
      </c>
      <c r="CH129" t="s">
        <v>96</v>
      </c>
      <c r="CI129" t="s">
        <v>90</v>
      </c>
      <c r="CJ129" t="s">
        <v>95</v>
      </c>
      <c r="CK129" t="s">
        <v>90</v>
      </c>
      <c r="CL129" t="s">
        <v>96</v>
      </c>
      <c r="CM129" t="s">
        <v>90</v>
      </c>
      <c r="CN129" t="s">
        <v>95</v>
      </c>
      <c r="CO129" t="s">
        <v>90</v>
      </c>
      <c r="CP129" t="s">
        <v>96</v>
      </c>
      <c r="CQ129" t="s">
        <v>90</v>
      </c>
      <c r="CR129" t="s">
        <v>95</v>
      </c>
      <c r="CS129" t="s">
        <v>90</v>
      </c>
      <c r="CT129" t="s">
        <v>96</v>
      </c>
      <c r="CU129" t="s">
        <v>90</v>
      </c>
      <c r="CV129" t="s">
        <v>95</v>
      </c>
      <c r="CW129" t="s">
        <v>90</v>
      </c>
      <c r="CX129" t="s">
        <v>96</v>
      </c>
      <c r="CY129" t="s">
        <v>90</v>
      </c>
      <c r="CZ129" t="s">
        <v>95</v>
      </c>
      <c r="DA129" t="s">
        <v>90</v>
      </c>
      <c r="DB129" t="s">
        <v>96</v>
      </c>
      <c r="DC129" t="s">
        <v>90</v>
      </c>
      <c r="DD129" t="s">
        <v>95</v>
      </c>
      <c r="DE129" t="s">
        <v>90</v>
      </c>
      <c r="DF129" t="s">
        <v>96</v>
      </c>
      <c r="DG129" t="s">
        <v>90</v>
      </c>
      <c r="DH129" t="s">
        <v>95</v>
      </c>
      <c r="DI129" t="s">
        <v>90</v>
      </c>
      <c r="DJ129" t="s">
        <v>96</v>
      </c>
      <c r="DK129" t="s">
        <v>90</v>
      </c>
      <c r="DL129" t="s">
        <v>95</v>
      </c>
      <c r="DM129" t="s">
        <v>90</v>
      </c>
      <c r="DN129" t="s">
        <v>96</v>
      </c>
      <c r="DO129" t="s">
        <v>90</v>
      </c>
      <c r="DP129" t="s">
        <v>95</v>
      </c>
      <c r="DQ129" t="s">
        <v>90</v>
      </c>
      <c r="DR129" t="s">
        <v>96</v>
      </c>
      <c r="DS129" t="s">
        <v>90</v>
      </c>
      <c r="DT129" t="s">
        <v>95</v>
      </c>
      <c r="DU129" t="s">
        <v>90</v>
      </c>
      <c r="DV129" t="s">
        <v>96</v>
      </c>
      <c r="DW129" t="s">
        <v>90</v>
      </c>
      <c r="DX129" t="s">
        <v>95</v>
      </c>
      <c r="DY129" t="s">
        <v>90</v>
      </c>
      <c r="DZ129" t="s">
        <v>96</v>
      </c>
      <c r="EA129" t="s">
        <v>90</v>
      </c>
      <c r="EB129" t="s">
        <v>95</v>
      </c>
      <c r="EC129" t="s">
        <v>90</v>
      </c>
      <c r="ED129" t="s">
        <v>96</v>
      </c>
    </row>
    <row r="130" spans="4:134">
      <c r="E130">
        <f>IFERROR(SMALL(E47:E127,ROW()-ROW($E$130)+1),"")</f>
        <v>0</v>
      </c>
      <c r="F130">
        <f>IFERROR(SMALL(F47:F127,ROW()-ROW($F$130)+1),"")</f>
        <v>0</v>
      </c>
      <c r="G130">
        <f>IFERROR(SMALL(G47:G127,ROW()-ROW($G$130)+1),"")</f>
        <v>0</v>
      </c>
      <c r="H130">
        <f>IFERROR(SMALL(H47:H127,ROW()-ROW($H$130)+1),"")</f>
        <v>0</v>
      </c>
      <c r="I130">
        <f>IFERROR(SMALL(I47:I127,ROW()-ROW($I$130)+1),"")</f>
        <v>0</v>
      </c>
      <c r="J130">
        <f>IFERROR(SMALL(J47:J127,ROW()-ROW($J$130)+1),"")</f>
        <v>0</v>
      </c>
      <c r="K130">
        <f>IFERROR(SMALL(K47:K127,ROW()-ROW($K$130)+1),"")</f>
        <v>0</v>
      </c>
      <c r="L130">
        <f>IFERROR(SMALL(L47:L127,ROW()-ROW($L$130)+1),"")</f>
        <v>0</v>
      </c>
      <c r="M130">
        <f>IFERROR(SMALL(M47:M127,ROW()-ROW($M$130)+1),"")</f>
        <v>0</v>
      </c>
      <c r="N130">
        <f>IFERROR(SMALL(N47:N127,ROW()-ROW($N$130)+1),"")</f>
        <v>0</v>
      </c>
      <c r="O130">
        <f>IFERROR(SMALL(O47:O127,ROW()-ROW($O$130)+1),"")</f>
        <v>0</v>
      </c>
      <c r="P130">
        <f>IFERROR(SMALL(P47:P127,ROW()-ROW($P$130)+1),"")</f>
        <v>0</v>
      </c>
      <c r="Q130">
        <f>IFERROR(SMALL(Q47:Q127,ROW()-ROW($Q$130)+1),"")</f>
        <v>0</v>
      </c>
      <c r="R130">
        <f>IFERROR(SMALL(R47:R127,ROW()-ROW($R$130)+1),"")</f>
        <v>0</v>
      </c>
      <c r="S130">
        <f>IFERROR(SMALL(S47:S127,ROW()-ROW($S$130)+1),"")</f>
        <v>0</v>
      </c>
      <c r="T130">
        <f>IFERROR(SMALL(T47:T127,ROW()-ROW($T$130)+1),"")</f>
        <v>0</v>
      </c>
      <c r="U130">
        <f>IFERROR(SMALL(U47:U127,ROW()-ROW($U$130)+1),"")</f>
        <v>0</v>
      </c>
      <c r="V130">
        <f>IFERROR(SMALL(V47:V127,ROW()-ROW($V$130)+1),"")</f>
        <v>0</v>
      </c>
      <c r="W130">
        <f>IFERROR(SMALL(W47:W127,ROW()-ROW($W$130)+1),"")</f>
        <v>0</v>
      </c>
      <c r="X130">
        <f>IFERROR(SMALL(X47:X127,ROW()-ROW($X$130)+1),"")</f>
        <v>0</v>
      </c>
      <c r="Y130">
        <f>IFERROR(SMALL(Y47:Y127,ROW()-ROW($Y$130)+1),"")</f>
        <v>0</v>
      </c>
      <c r="Z130">
        <f>IFERROR(SMALL(Z47:Z127,ROW()-ROW($Z$130)+1),"")</f>
        <v>0</v>
      </c>
      <c r="AA130">
        <f>IFERROR(SMALL(AA47:AA127,ROW()-ROW($AA$130)+1),"")</f>
        <v>0</v>
      </c>
      <c r="AB130">
        <f>IFERROR(SMALL(AB47:AB127,ROW()-ROW($AB$130)+1),"")</f>
        <v>0</v>
      </c>
      <c r="AC130">
        <f>IFERROR(SMALL(AC47:AC127,ROW()-ROW($AC$130)+1),"")</f>
        <v>0</v>
      </c>
      <c r="AD130">
        <f>IFERROR(SMALL(AD47:AD127,ROW()-ROW($AD$130)+1),"")</f>
        <v>0</v>
      </c>
      <c r="AE130">
        <f>IFERROR(SMALL(AE47:AE127,ROW()-ROW($AE$130)+1),"")</f>
        <v>0</v>
      </c>
      <c r="AF130">
        <f>IFERROR(SMALL(AF47:AF127,ROW()-ROW($AF$130)+1),"")</f>
        <v>0</v>
      </c>
      <c r="AG130">
        <f>IFERROR(SMALL(AG47:AG127,ROW()-ROW($AG$130)+1),"")</f>
        <v>0</v>
      </c>
      <c r="AH130">
        <f>IFERROR(SMALL(AH47:AH127,ROW()-ROW($AH$130)+1),"")</f>
        <v>0</v>
      </c>
      <c r="AI130">
        <f>IFERROR(SMALL(AI47:AI127,ROW()-ROW($AI$130)+1),"")</f>
        <v>0</v>
      </c>
      <c r="AJ130">
        <f>IFERROR(SMALL(AJ47:AJ127,ROW()-ROW($AJ$130)+1),"")</f>
        <v>0</v>
      </c>
      <c r="AK130">
        <f>IFERROR(SMALL(AK47:AK127,ROW()-ROW($AK$130)+1),"")</f>
        <v>0</v>
      </c>
      <c r="AL130">
        <f>IFERROR(SMALL(AL47:AL127,ROW()-ROW($AL$130)+1),"")</f>
        <v>0</v>
      </c>
      <c r="AM130">
        <f>IFERROR(SMALL(AM47:AM127,ROW()-ROW($AM$130)+1),"")</f>
        <v>0</v>
      </c>
      <c r="AN130">
        <f>IFERROR(SMALL(AN47:AN127,ROW()-ROW($AN$130)+1),"")</f>
        <v>0</v>
      </c>
      <c r="AO130">
        <f>IFERROR(SMALL(AO47:AO127,ROW()-ROW($AO$130)+1),"")</f>
        <v>0</v>
      </c>
      <c r="AP130">
        <f>IFERROR(SMALL(AP47:AP127,ROW()-ROW($AP$130)+1),"")</f>
        <v>0</v>
      </c>
      <c r="AQ130">
        <f>IFERROR(SMALL(AQ47:AQ127,ROW()-ROW($AQ$130)+1),"")</f>
        <v>0</v>
      </c>
      <c r="AR130">
        <f>IFERROR(SMALL(AR47:AR127,ROW()-ROW($AR$130)+1),"")</f>
        <v>0</v>
      </c>
      <c r="AS130">
        <f>IFERROR(SMALL(AS47:AS127,ROW()-ROW($AS$130)+1),"")</f>
        <v>0</v>
      </c>
      <c r="AT130">
        <f>IFERROR(SMALL(AT47:AT127,ROW()-ROW($AT$130)+1),"")</f>
        <v>0</v>
      </c>
      <c r="AU130">
        <f>IFERROR(SMALL(AU47:AU127,ROW()-ROW($AU$130)+1),"")</f>
        <v>0</v>
      </c>
      <c r="AV130">
        <f>IFERROR(SMALL(AV47:AV127,ROW()-ROW($AV$130)+1),"")</f>
        <v>0</v>
      </c>
      <c r="AW130">
        <f>IFERROR(SMALL(AW47:AW127,ROW()-ROW($AW$130)+1),"")</f>
        <v>0</v>
      </c>
      <c r="AX130">
        <f>IFERROR(SMALL(AX47:AX127,ROW()-ROW($AX$130)+1),"")</f>
        <v>0</v>
      </c>
      <c r="AY130">
        <f>IFERROR(SMALL(AY47:AY127,ROW()-ROW($AY$130)+1),"")</f>
        <v>0</v>
      </c>
      <c r="AZ130">
        <f>IFERROR(SMALL(AZ47:AZ127,ROW()-ROW($AZ$130)+1),"")</f>
        <v>0</v>
      </c>
      <c r="BA130">
        <f>IFERROR(SMALL(BA47:BA127,ROW()-ROW($BA$130)+1),"")</f>
        <v>0</v>
      </c>
      <c r="BB130">
        <f>IFERROR(SMALL(BB47:BB127,ROW()-ROW($BB$130)+1),"")</f>
        <v>0</v>
      </c>
      <c r="BC130">
        <f>IFERROR(SMALL(BC47:BC127,ROW()-ROW($BC$130)+1),"")</f>
        <v>0</v>
      </c>
      <c r="BD130">
        <f>IFERROR(SMALL(BD47:BD127,ROW()-ROW($BD$130)+1),"")</f>
        <v>0</v>
      </c>
      <c r="BE130">
        <f>IFERROR(SMALL(BE47:BE127,ROW()-ROW($BE$130)+1),"")</f>
        <v>0</v>
      </c>
      <c r="BF130">
        <f>IFERROR(SMALL(BF47:BF127,ROW()-ROW($BF$130)+1),"")</f>
        <v>0</v>
      </c>
      <c r="BG130">
        <f>IFERROR(SMALL(BG47:BG127,ROW()-ROW($BG$130)+1),"")</f>
        <v>0</v>
      </c>
      <c r="BH130">
        <f>IFERROR(SMALL(BH47:BH127,ROW()-ROW($BH$130)+1),"")</f>
        <v>0</v>
      </c>
      <c r="BI130">
        <f>IFERROR(SMALL(BI47:BI127,ROW()-ROW($BI$130)+1),"")</f>
        <v>0</v>
      </c>
      <c r="BJ130">
        <f>IFERROR(SMALL(BJ47:BJ127,ROW()-ROW($BJ$130)+1),"")</f>
        <v>0</v>
      </c>
      <c r="BK130">
        <f>IFERROR(SMALL(BK47:BK127,ROW()-ROW($BK$130)+1),"")</f>
        <v>0</v>
      </c>
      <c r="BL130">
        <f>IFERROR(SMALL(BL47:BL127,ROW()-ROW($BL$130)+1),"")</f>
        <v>0</v>
      </c>
      <c r="BM130">
        <f>IFERROR(SMALL(BM47:BM127,ROW()-ROW($BM$130)+1),"")</f>
        <v>0</v>
      </c>
      <c r="BN130">
        <f>IFERROR(SMALL(BN47:BN127,ROW()-ROW($BN$130)+1),"")</f>
        <v>0</v>
      </c>
      <c r="BO130">
        <f>IFERROR(SMALL(BO47:BO127,ROW()-ROW($BO$130)+1),"")</f>
        <v>0</v>
      </c>
      <c r="BP130">
        <f>IFERROR(SMALL(BP47:BP127,ROW()-ROW($BP$130)+1),"")</f>
        <v>0</v>
      </c>
      <c r="BS130">
        <f>IFERROR(SMALL(BS47:BS127,ROW()-ROW($BS$130)+1),"")</f>
        <v>0</v>
      </c>
      <c r="BT130">
        <f>IFERROR(SMALL(BT47:BT127,ROW()-ROW($BT$130)+1),"")</f>
        <v>0</v>
      </c>
      <c r="BU130">
        <f>IFERROR(SMALL(BU47:BU127,ROW()-ROW($BU$130)+1),"")</f>
        <v>0</v>
      </c>
      <c r="BV130">
        <f>IFERROR(SMALL(BV47:BV127,ROW()-ROW($BV$130)+1),"")</f>
        <v>0</v>
      </c>
      <c r="BW130">
        <f>IFERROR(SMALL(BW47:BW127,ROW()-ROW($BW$130)+1),"")</f>
        <v>0</v>
      </c>
      <c r="BX130">
        <f>IFERROR(SMALL(BX47:BX127,ROW()-ROW($BX$130)+1),"")</f>
        <v>0</v>
      </c>
      <c r="BY130">
        <f>IFERROR(SMALL(BY47:BY127,ROW()-ROW($BY$130)+1),"")</f>
        <v>0</v>
      </c>
      <c r="BZ130">
        <f>IFERROR(SMALL(BZ47:BZ127,ROW()-ROW($BZ$130)+1),"")</f>
        <v>0</v>
      </c>
      <c r="CA130">
        <f>IFERROR(SMALL(CA47:CA127,ROW()-ROW($CA$130)+1),"")</f>
        <v>0</v>
      </c>
      <c r="CB130">
        <f>IFERROR(SMALL(CB47:CB127,ROW()-ROW($CB$130)+1),"")</f>
        <v>0</v>
      </c>
      <c r="CC130">
        <f>IFERROR(SMALL(CC47:CC127,ROW()-ROW($CC$130)+1),"")</f>
        <v>0</v>
      </c>
      <c r="CD130">
        <f>IFERROR(SMALL(CD47:CD127,ROW()-ROW($CD$130)+1),"")</f>
        <v>0</v>
      </c>
      <c r="CE130">
        <f>IFERROR(SMALL(CE47:CE127,ROW()-ROW($CE$130)+1),"")</f>
        <v>0</v>
      </c>
      <c r="CF130">
        <f>IFERROR(SMALL(CF47:CF127,ROW()-ROW($CF$130)+1),"")</f>
        <v>0</v>
      </c>
      <c r="CG130">
        <f>IFERROR(SMALL(CG47:CG127,ROW()-ROW($CG$130)+1),"")</f>
        <v>0</v>
      </c>
      <c r="CH130">
        <f>IFERROR(SMALL(CH47:CH127,ROW()-ROW($CH$130)+1),"")</f>
        <v>0</v>
      </c>
      <c r="CI130">
        <f>IFERROR(SMALL(CI47:CI127,ROW()-ROW($CI$130)+1),"")</f>
        <v>0</v>
      </c>
      <c r="CJ130">
        <f>IFERROR(SMALL(CJ47:CJ127,ROW()-ROW($CJ$130)+1),"")</f>
        <v>0</v>
      </c>
      <c r="CK130">
        <f>IFERROR(SMALL(CK47:CK127,ROW()-ROW($CK$130)+1),"")</f>
        <v>0</v>
      </c>
      <c r="CL130">
        <f>IFERROR(SMALL(CL47:CL127,ROW()-ROW($CL$130)+1),"")</f>
        <v>0</v>
      </c>
      <c r="CM130">
        <f>IFERROR(SMALL(CM47:CM127,ROW()-ROW($CM$130)+1),"")</f>
        <v>0</v>
      </c>
      <c r="CN130">
        <f>IFERROR(SMALL(CN47:CN127,ROW()-ROW($CN$130)+1),"")</f>
        <v>0</v>
      </c>
      <c r="CO130">
        <f>IFERROR(SMALL(CO47:CO127,ROW()-ROW($CO$130)+1),"")</f>
        <v>0</v>
      </c>
      <c r="CP130">
        <f>IFERROR(SMALL(CP47:CP127,ROW()-ROW($CP$130)+1),"")</f>
        <v>0</v>
      </c>
      <c r="CQ130">
        <f>IFERROR(SMALL(CQ47:CQ127,ROW()-ROW($CQ$130)+1),"")</f>
        <v>0</v>
      </c>
      <c r="CR130">
        <f>IFERROR(SMALL(CR47:CR127,ROW()-ROW($CR$130)+1),"")</f>
        <v>0</v>
      </c>
      <c r="CS130">
        <f>IFERROR(SMALL(CS47:CS127,ROW()-ROW($CS$130)+1),"")</f>
        <v>0</v>
      </c>
      <c r="CT130">
        <f>IFERROR(SMALL(CT47:CT127,ROW()-ROW($CT$130)+1),"")</f>
        <v>0</v>
      </c>
      <c r="CU130">
        <f>IFERROR(SMALL(CU47:CU127,ROW()-ROW($CU$130)+1),"")</f>
        <v>0</v>
      </c>
      <c r="CV130">
        <f>IFERROR(SMALL(CV47:CV127,ROW()-ROW($CV$130)+1),"")</f>
        <v>0</v>
      </c>
      <c r="CW130">
        <f>IFERROR(SMALL(CW47:CW127,ROW()-ROW($CW$130)+1),"")</f>
        <v>0</v>
      </c>
      <c r="CX130">
        <f>IFERROR(SMALL(CX47:CX127,ROW()-ROW($CX$130)+1),"")</f>
        <v>0</v>
      </c>
      <c r="CY130">
        <f>IFERROR(SMALL(CY47:CY127,ROW()-ROW($CY$130)+1),"")</f>
        <v>0</v>
      </c>
      <c r="CZ130">
        <f>IFERROR(SMALL(CZ47:CZ127,ROW()-ROW($CZ$130)+1),"")</f>
        <v>0</v>
      </c>
      <c r="DA130">
        <f>IFERROR(SMALL(DA47:DA127,ROW()-ROW($DA$130)+1),"")</f>
        <v>0</v>
      </c>
      <c r="DB130">
        <f>IFERROR(SMALL(DB47:DB127,ROW()-ROW($DB$130)+1),"")</f>
        <v>0</v>
      </c>
      <c r="DC130">
        <f>IFERROR(SMALL(DC47:DC127,ROW()-ROW($DC$130)+1),"")</f>
        <v>0</v>
      </c>
      <c r="DD130">
        <f>IFERROR(SMALL(DD47:DD127,ROW()-ROW($DD$130)+1),"")</f>
        <v>0</v>
      </c>
      <c r="DE130">
        <f>IFERROR(SMALL(DE47:DE127,ROW()-ROW($DE$130)+1),"")</f>
        <v>0</v>
      </c>
      <c r="DF130">
        <f>IFERROR(SMALL(DF47:DF127,ROW()-ROW($DF$130)+1),"")</f>
        <v>0</v>
      </c>
      <c r="DG130">
        <f>IFERROR(SMALL(DG47:DG127,ROW()-ROW($DG$130)+1),"")</f>
        <v>0</v>
      </c>
      <c r="DH130">
        <f>IFERROR(SMALL(DH47:DH127,ROW()-ROW($DH$130)+1),"")</f>
        <v>0</v>
      </c>
      <c r="DI130">
        <f>IFERROR(SMALL(DI47:DI127,ROW()-ROW($DI$130)+1),"")</f>
        <v>0</v>
      </c>
      <c r="DJ130">
        <f>IFERROR(SMALL(DJ47:DJ127,ROW()-ROW($DJ$130)+1),"")</f>
        <v>0</v>
      </c>
      <c r="DK130">
        <f>IFERROR(SMALL(DK47:DK127,ROW()-ROW($DK$130)+1),"")</f>
        <v>0</v>
      </c>
      <c r="DL130">
        <f>IFERROR(SMALL(DL47:DL127,ROW()-ROW($DL$130)+1),"")</f>
        <v>0</v>
      </c>
      <c r="DM130">
        <f>IFERROR(SMALL(DM47:DM127,ROW()-ROW($DM$130)+1),"")</f>
        <v>0</v>
      </c>
      <c r="DN130">
        <f>IFERROR(SMALL(DN47:DN127,ROW()-ROW($DN$130)+1),"")</f>
        <v>0</v>
      </c>
      <c r="DO130">
        <f>IFERROR(SMALL(DO47:DO127,ROW()-ROW($DO$130)+1),"")</f>
        <v>0</v>
      </c>
      <c r="DP130">
        <f>IFERROR(SMALL(DP47:DP127,ROW()-ROW($DP$130)+1),"")</f>
        <v>0</v>
      </c>
      <c r="DQ130">
        <f>IFERROR(SMALL(DQ47:DQ127,ROW()-ROW($DQ$130)+1),"")</f>
        <v>0</v>
      </c>
      <c r="DR130">
        <f>IFERROR(SMALL(DR47:DR127,ROW()-ROW($DR$130)+1),"")</f>
        <v>0</v>
      </c>
      <c r="DS130">
        <f>IFERROR(SMALL(DS47:DS127,ROW()-ROW($DS$130)+1),"")</f>
        <v>0</v>
      </c>
      <c r="DT130">
        <f>IFERROR(SMALL(DT47:DT127,ROW()-ROW($DT$130)+1),"")</f>
        <v>0</v>
      </c>
      <c r="DU130">
        <f>IFERROR(SMALL(DU47:DU127,ROW()-ROW($DU$130)+1),"")</f>
        <v>0</v>
      </c>
      <c r="DV130">
        <f>IFERROR(SMALL(DV47:DV127,ROW()-ROW($DV$130)+1),"")</f>
        <v>0</v>
      </c>
      <c r="DW130">
        <f>IFERROR(SMALL(DW47:DW127,ROW()-ROW($DW$130)+1),"")</f>
        <v>0</v>
      </c>
      <c r="DX130">
        <f>IFERROR(SMALL(DX47:DX127,ROW()-ROW($DX$130)+1),"")</f>
        <v>0</v>
      </c>
      <c r="DY130">
        <f>IFERROR(SMALL(DY47:DY127,ROW()-ROW($DY$130)+1),"")</f>
        <v>0</v>
      </c>
      <c r="DZ130">
        <f>IFERROR(SMALL(DZ47:DZ127,ROW()-ROW($DZ$130)+1),"")</f>
        <v>0</v>
      </c>
      <c r="EA130">
        <f>IFERROR(SMALL(EA47:EA127,ROW()-ROW($EA$130)+1),"")</f>
        <v>0</v>
      </c>
      <c r="EB130">
        <f>IFERROR(SMALL(EB47:EB127,ROW()-ROW($EB$130)+1),"")</f>
        <v>0</v>
      </c>
      <c r="EC130">
        <f>IFERROR(SMALL(EC47:EC127,ROW()-ROW($EC$130)+1),"")</f>
        <v>0</v>
      </c>
      <c r="ED130">
        <f>IFERROR(SMALL(ED47:ED127,ROW()-ROW($ED$130)+1),"")</f>
        <v>0</v>
      </c>
    </row>
    <row r="131" spans="4:134">
      <c r="E131">
        <f>IFERROR(SMALL(E47:E127,ROW()-ROW($E$130)+1),"")</f>
        <v>0</v>
      </c>
      <c r="F131">
        <f>IFERROR(SMALL(F47:F127,ROW()-ROW($F$130)+1),"")</f>
        <v>0</v>
      </c>
      <c r="G131">
        <f>IFERROR(SMALL(G47:G127,ROW()-ROW($G$130)+1),"")</f>
        <v>0</v>
      </c>
      <c r="H131">
        <f>IFERROR(SMALL(H47:H127,ROW()-ROW($H$130)+1),"")</f>
        <v>0</v>
      </c>
      <c r="I131">
        <f>IFERROR(SMALL(I47:I127,ROW()-ROW($I$130)+1),"")</f>
        <v>0</v>
      </c>
      <c r="J131">
        <f>IFERROR(SMALL(J47:J127,ROW()-ROW($J$130)+1),"")</f>
        <v>0</v>
      </c>
      <c r="K131">
        <f>IFERROR(SMALL(K47:K127,ROW()-ROW($K$130)+1),"")</f>
        <v>0</v>
      </c>
      <c r="L131">
        <f>IFERROR(SMALL(L47:L127,ROW()-ROW($L$130)+1),"")</f>
        <v>0</v>
      </c>
      <c r="M131">
        <f>IFERROR(SMALL(M47:M127,ROW()-ROW($M$130)+1),"")</f>
        <v>0</v>
      </c>
      <c r="N131">
        <f>IFERROR(SMALL(N47:N127,ROW()-ROW($N$130)+1),"")</f>
        <v>0</v>
      </c>
      <c r="O131">
        <f>IFERROR(SMALL(O47:O127,ROW()-ROW($O$130)+1),"")</f>
        <v>0</v>
      </c>
      <c r="P131">
        <f>IFERROR(SMALL(P47:P127,ROW()-ROW($P$130)+1),"")</f>
        <v>0</v>
      </c>
      <c r="Q131">
        <f>IFERROR(SMALL(Q47:Q127,ROW()-ROW($Q$130)+1),"")</f>
        <v>0</v>
      </c>
      <c r="R131">
        <f>IFERROR(SMALL(R47:R127,ROW()-ROW($R$130)+1),"")</f>
        <v>0</v>
      </c>
      <c r="S131">
        <f>IFERROR(SMALL(S47:S127,ROW()-ROW($S$130)+1),"")</f>
        <v>0</v>
      </c>
      <c r="T131">
        <f>IFERROR(SMALL(T47:T127,ROW()-ROW($T$130)+1),"")</f>
        <v>0</v>
      </c>
      <c r="U131">
        <f>IFERROR(SMALL(U47:U127,ROW()-ROW($U$130)+1),"")</f>
        <v>0</v>
      </c>
      <c r="V131">
        <f>IFERROR(SMALL(V47:V127,ROW()-ROW($V$130)+1),"")</f>
        <v>0</v>
      </c>
      <c r="W131">
        <f>IFERROR(SMALL(W47:W127,ROW()-ROW($W$130)+1),"")</f>
        <v>0</v>
      </c>
      <c r="X131">
        <f>IFERROR(SMALL(X47:X127,ROW()-ROW($X$130)+1),"")</f>
        <v>0</v>
      </c>
      <c r="Y131">
        <f>IFERROR(SMALL(Y47:Y127,ROW()-ROW($Y$130)+1),"")</f>
        <v>0</v>
      </c>
      <c r="Z131">
        <f>IFERROR(SMALL(Z47:Z127,ROW()-ROW($Z$130)+1),"")</f>
        <v>0</v>
      </c>
      <c r="AA131">
        <f>IFERROR(SMALL(AA47:AA127,ROW()-ROW($AA$130)+1),"")</f>
        <v>0</v>
      </c>
      <c r="AB131">
        <f>IFERROR(SMALL(AB47:AB127,ROW()-ROW($AB$130)+1),"")</f>
        <v>0</v>
      </c>
      <c r="AC131">
        <f>IFERROR(SMALL(AC47:AC127,ROW()-ROW($AC$130)+1),"")</f>
        <v>0</v>
      </c>
      <c r="AD131">
        <f>IFERROR(SMALL(AD47:AD127,ROW()-ROW($AD$130)+1),"")</f>
        <v>0</v>
      </c>
      <c r="AE131">
        <f>IFERROR(SMALL(AE47:AE127,ROW()-ROW($AE$130)+1),"")</f>
        <v>0</v>
      </c>
      <c r="AF131">
        <f>IFERROR(SMALL(AF47:AF127,ROW()-ROW($AF$130)+1),"")</f>
        <v>0</v>
      </c>
      <c r="AG131">
        <f>IFERROR(SMALL(AG47:AG127,ROW()-ROW($AG$130)+1),"")</f>
        <v>0</v>
      </c>
      <c r="AH131">
        <f>IFERROR(SMALL(AH47:AH127,ROW()-ROW($AH$130)+1),"")</f>
        <v>0</v>
      </c>
      <c r="AI131">
        <f>IFERROR(SMALL(AI47:AI127,ROW()-ROW($AI$130)+1),"")</f>
        <v>0</v>
      </c>
      <c r="AJ131">
        <f>IFERROR(SMALL(AJ47:AJ127,ROW()-ROW($AJ$130)+1),"")</f>
        <v>0</v>
      </c>
      <c r="AK131">
        <f>IFERROR(SMALL(AK47:AK127,ROW()-ROW($AK$130)+1),"")</f>
        <v>0</v>
      </c>
      <c r="AL131">
        <f>IFERROR(SMALL(AL47:AL127,ROW()-ROW($AL$130)+1),"")</f>
        <v>0</v>
      </c>
      <c r="AM131">
        <f>IFERROR(SMALL(AM47:AM127,ROW()-ROW($AM$130)+1),"")</f>
        <v>0</v>
      </c>
      <c r="AN131">
        <f>IFERROR(SMALL(AN47:AN127,ROW()-ROW($AN$130)+1),"")</f>
        <v>0</v>
      </c>
      <c r="AO131">
        <f>IFERROR(SMALL(AO47:AO127,ROW()-ROW($AO$130)+1),"")</f>
        <v>0</v>
      </c>
      <c r="AP131">
        <f>IFERROR(SMALL(AP47:AP127,ROW()-ROW($AP$130)+1),"")</f>
        <v>0</v>
      </c>
      <c r="AQ131">
        <f>IFERROR(SMALL(AQ47:AQ127,ROW()-ROW($AQ$130)+1),"")</f>
        <v>0</v>
      </c>
      <c r="AR131">
        <f>IFERROR(SMALL(AR47:AR127,ROW()-ROW($AR$130)+1),"")</f>
        <v>0</v>
      </c>
      <c r="AS131">
        <f>IFERROR(SMALL(AS47:AS127,ROW()-ROW($AS$130)+1),"")</f>
        <v>0</v>
      </c>
      <c r="AT131">
        <f>IFERROR(SMALL(AT47:AT127,ROW()-ROW($AT$130)+1),"")</f>
        <v>0</v>
      </c>
      <c r="AU131">
        <f>IFERROR(SMALL(AU47:AU127,ROW()-ROW($AU$130)+1),"")</f>
        <v>0</v>
      </c>
      <c r="AV131">
        <f>IFERROR(SMALL(AV47:AV127,ROW()-ROW($AV$130)+1),"")</f>
        <v>0</v>
      </c>
      <c r="AW131">
        <f>IFERROR(SMALL(AW47:AW127,ROW()-ROW($AW$130)+1),"")</f>
        <v>0</v>
      </c>
      <c r="AX131">
        <f>IFERROR(SMALL(AX47:AX127,ROW()-ROW($AX$130)+1),"")</f>
        <v>0</v>
      </c>
      <c r="AY131">
        <f>IFERROR(SMALL(AY47:AY127,ROW()-ROW($AY$130)+1),"")</f>
        <v>0</v>
      </c>
      <c r="AZ131">
        <f>IFERROR(SMALL(AZ47:AZ127,ROW()-ROW($AZ$130)+1),"")</f>
        <v>0</v>
      </c>
      <c r="BA131">
        <f>IFERROR(SMALL(BA47:BA127,ROW()-ROW($BA$130)+1),"")</f>
        <v>0</v>
      </c>
      <c r="BB131">
        <f>IFERROR(SMALL(BB47:BB127,ROW()-ROW($BB$130)+1),"")</f>
        <v>0</v>
      </c>
      <c r="BC131">
        <f>IFERROR(SMALL(BC47:BC127,ROW()-ROW($BC$130)+1),"")</f>
        <v>0</v>
      </c>
      <c r="BD131">
        <f>IFERROR(SMALL(BD47:BD127,ROW()-ROW($BD$130)+1),"")</f>
        <v>0</v>
      </c>
      <c r="BE131">
        <f>IFERROR(SMALL(BE47:BE127,ROW()-ROW($BE$130)+1),"")</f>
        <v>0</v>
      </c>
      <c r="BF131">
        <f>IFERROR(SMALL(BF47:BF127,ROW()-ROW($BF$130)+1),"")</f>
        <v>0</v>
      </c>
      <c r="BG131">
        <f>IFERROR(SMALL(BG47:BG127,ROW()-ROW($BG$130)+1),"")</f>
        <v>0</v>
      </c>
      <c r="BH131">
        <f>IFERROR(SMALL(BH47:BH127,ROW()-ROW($BH$130)+1),"")</f>
        <v>0</v>
      </c>
      <c r="BI131">
        <f>IFERROR(SMALL(BI47:BI127,ROW()-ROW($BI$130)+1),"")</f>
        <v>0</v>
      </c>
      <c r="BJ131">
        <f>IFERROR(SMALL(BJ47:BJ127,ROW()-ROW($BJ$130)+1),"")</f>
        <v>0</v>
      </c>
      <c r="BK131">
        <f>IFERROR(SMALL(BK47:BK127,ROW()-ROW($BK$130)+1),"")</f>
        <v>0</v>
      </c>
      <c r="BL131">
        <f>IFERROR(SMALL(BL47:BL127,ROW()-ROW($BL$130)+1),"")</f>
        <v>0</v>
      </c>
      <c r="BM131">
        <f>IFERROR(SMALL(BM47:BM127,ROW()-ROW($BM$130)+1),"")</f>
        <v>0</v>
      </c>
      <c r="BN131">
        <f>IFERROR(SMALL(BN47:BN127,ROW()-ROW($BN$130)+1),"")</f>
        <v>0</v>
      </c>
      <c r="BO131">
        <f>IFERROR(SMALL(BO47:BO127,ROW()-ROW($BO$130)+1),"")</f>
        <v>0</v>
      </c>
      <c r="BP131">
        <f>IFERROR(SMALL(BP47:BP127,ROW()-ROW($BP$130)+1),"")</f>
        <v>0</v>
      </c>
      <c r="BS131">
        <f>IFERROR(SMALL(BS47:BS127,ROW()-ROW($BS$130)+1),"")</f>
        <v>0</v>
      </c>
      <c r="BT131">
        <f>IFERROR(SMALL(BT47:BT127,ROW()-ROW($BT$130)+1),"")</f>
        <v>0</v>
      </c>
      <c r="BU131">
        <f>IFERROR(SMALL(BU47:BU127,ROW()-ROW($BU$130)+1),"")</f>
        <v>0</v>
      </c>
      <c r="BV131">
        <f>IFERROR(SMALL(BV47:BV127,ROW()-ROW($BV$130)+1),"")</f>
        <v>0</v>
      </c>
      <c r="BW131">
        <f>IFERROR(SMALL(BW47:BW127,ROW()-ROW($BW$130)+1),"")</f>
        <v>0</v>
      </c>
      <c r="BX131">
        <f>IFERROR(SMALL(BX47:BX127,ROW()-ROW($BX$130)+1),"")</f>
        <v>0</v>
      </c>
      <c r="BY131">
        <f>IFERROR(SMALL(BY47:BY127,ROW()-ROW($BY$130)+1),"")</f>
        <v>0</v>
      </c>
      <c r="BZ131">
        <f>IFERROR(SMALL(BZ47:BZ127,ROW()-ROW($BZ$130)+1),"")</f>
        <v>0</v>
      </c>
      <c r="CA131">
        <f>IFERROR(SMALL(CA47:CA127,ROW()-ROW($CA$130)+1),"")</f>
        <v>0</v>
      </c>
      <c r="CB131">
        <f>IFERROR(SMALL(CB47:CB127,ROW()-ROW($CB$130)+1),"")</f>
        <v>0</v>
      </c>
      <c r="CC131">
        <f>IFERROR(SMALL(CC47:CC127,ROW()-ROW($CC$130)+1),"")</f>
        <v>0</v>
      </c>
      <c r="CD131">
        <f>IFERROR(SMALL(CD47:CD127,ROW()-ROW($CD$130)+1),"")</f>
        <v>0</v>
      </c>
      <c r="CE131">
        <f>IFERROR(SMALL(CE47:CE127,ROW()-ROW($CE$130)+1),"")</f>
        <v>0</v>
      </c>
      <c r="CF131">
        <f>IFERROR(SMALL(CF47:CF127,ROW()-ROW($CF$130)+1),"")</f>
        <v>0</v>
      </c>
      <c r="CG131">
        <f>IFERROR(SMALL(CG47:CG127,ROW()-ROW($CG$130)+1),"")</f>
        <v>0</v>
      </c>
      <c r="CH131">
        <f>IFERROR(SMALL(CH47:CH127,ROW()-ROW($CH$130)+1),"")</f>
        <v>0</v>
      </c>
      <c r="CI131">
        <f>IFERROR(SMALL(CI47:CI127,ROW()-ROW($CI$130)+1),"")</f>
        <v>0</v>
      </c>
      <c r="CJ131">
        <f>IFERROR(SMALL(CJ47:CJ127,ROW()-ROW($CJ$130)+1),"")</f>
        <v>0</v>
      </c>
      <c r="CK131">
        <f>IFERROR(SMALL(CK47:CK127,ROW()-ROW($CK$130)+1),"")</f>
        <v>0</v>
      </c>
      <c r="CL131">
        <f>IFERROR(SMALL(CL47:CL127,ROW()-ROW($CL$130)+1),"")</f>
        <v>0</v>
      </c>
      <c r="CM131">
        <f>IFERROR(SMALL(CM47:CM127,ROW()-ROW($CM$130)+1),"")</f>
        <v>0</v>
      </c>
      <c r="CN131">
        <f>IFERROR(SMALL(CN47:CN127,ROW()-ROW($CN$130)+1),"")</f>
        <v>0</v>
      </c>
      <c r="CO131">
        <f>IFERROR(SMALL(CO47:CO127,ROW()-ROW($CO$130)+1),"")</f>
        <v>0</v>
      </c>
      <c r="CP131">
        <f>IFERROR(SMALL(CP47:CP127,ROW()-ROW($CP$130)+1),"")</f>
        <v>0</v>
      </c>
      <c r="CQ131">
        <f>IFERROR(SMALL(CQ47:CQ127,ROW()-ROW($CQ$130)+1),"")</f>
        <v>0</v>
      </c>
      <c r="CR131">
        <f>IFERROR(SMALL(CR47:CR127,ROW()-ROW($CR$130)+1),"")</f>
        <v>0</v>
      </c>
      <c r="CS131">
        <f>IFERROR(SMALL(CS47:CS127,ROW()-ROW($CS$130)+1),"")</f>
        <v>0</v>
      </c>
      <c r="CT131">
        <f>IFERROR(SMALL(CT47:CT127,ROW()-ROW($CT$130)+1),"")</f>
        <v>0</v>
      </c>
      <c r="CU131">
        <f>IFERROR(SMALL(CU47:CU127,ROW()-ROW($CU$130)+1),"")</f>
        <v>0</v>
      </c>
      <c r="CV131">
        <f>IFERROR(SMALL(CV47:CV127,ROW()-ROW($CV$130)+1),"")</f>
        <v>0</v>
      </c>
      <c r="CW131">
        <f>IFERROR(SMALL(CW47:CW127,ROW()-ROW($CW$130)+1),"")</f>
        <v>0</v>
      </c>
      <c r="CX131">
        <f>IFERROR(SMALL(CX47:CX127,ROW()-ROW($CX$130)+1),"")</f>
        <v>0</v>
      </c>
      <c r="CY131">
        <f>IFERROR(SMALL(CY47:CY127,ROW()-ROW($CY$130)+1),"")</f>
        <v>0</v>
      </c>
      <c r="CZ131">
        <f>IFERROR(SMALL(CZ47:CZ127,ROW()-ROW($CZ$130)+1),"")</f>
        <v>0</v>
      </c>
      <c r="DA131">
        <f>IFERROR(SMALL(DA47:DA127,ROW()-ROW($DA$130)+1),"")</f>
        <v>0</v>
      </c>
      <c r="DB131">
        <f>IFERROR(SMALL(DB47:DB127,ROW()-ROW($DB$130)+1),"")</f>
        <v>0</v>
      </c>
      <c r="DC131">
        <f>IFERROR(SMALL(DC47:DC127,ROW()-ROW($DC$130)+1),"")</f>
        <v>0</v>
      </c>
      <c r="DD131">
        <f>IFERROR(SMALL(DD47:DD127,ROW()-ROW($DD$130)+1),"")</f>
        <v>0</v>
      </c>
      <c r="DE131">
        <f>IFERROR(SMALL(DE47:DE127,ROW()-ROW($DE$130)+1),"")</f>
        <v>0</v>
      </c>
      <c r="DF131">
        <f>IFERROR(SMALL(DF47:DF127,ROW()-ROW($DF$130)+1),"")</f>
        <v>0</v>
      </c>
      <c r="DG131">
        <f>IFERROR(SMALL(DG47:DG127,ROW()-ROW($DG$130)+1),"")</f>
        <v>0</v>
      </c>
      <c r="DH131">
        <f>IFERROR(SMALL(DH47:DH127,ROW()-ROW($DH$130)+1),"")</f>
        <v>0</v>
      </c>
      <c r="DI131">
        <f>IFERROR(SMALL(DI47:DI127,ROW()-ROW($DI$130)+1),"")</f>
        <v>0</v>
      </c>
      <c r="DJ131">
        <f>IFERROR(SMALL(DJ47:DJ127,ROW()-ROW($DJ$130)+1),"")</f>
        <v>0</v>
      </c>
      <c r="DK131">
        <f>IFERROR(SMALL(DK47:DK127,ROW()-ROW($DK$130)+1),"")</f>
        <v>0</v>
      </c>
      <c r="DL131">
        <f>IFERROR(SMALL(DL47:DL127,ROW()-ROW($DL$130)+1),"")</f>
        <v>0</v>
      </c>
      <c r="DM131">
        <f>IFERROR(SMALL(DM47:DM127,ROW()-ROW($DM$130)+1),"")</f>
        <v>0</v>
      </c>
      <c r="DN131">
        <f>IFERROR(SMALL(DN47:DN127,ROW()-ROW($DN$130)+1),"")</f>
        <v>0</v>
      </c>
      <c r="DO131">
        <f>IFERROR(SMALL(DO47:DO127,ROW()-ROW($DO$130)+1),"")</f>
        <v>0</v>
      </c>
      <c r="DP131">
        <f>IFERROR(SMALL(DP47:DP127,ROW()-ROW($DP$130)+1),"")</f>
        <v>0</v>
      </c>
      <c r="DQ131">
        <f>IFERROR(SMALL(DQ47:DQ127,ROW()-ROW($DQ$130)+1),"")</f>
        <v>0</v>
      </c>
      <c r="DR131">
        <f>IFERROR(SMALL(DR47:DR127,ROW()-ROW($DR$130)+1),"")</f>
        <v>0</v>
      </c>
      <c r="DS131">
        <f>IFERROR(SMALL(DS47:DS127,ROW()-ROW($DS$130)+1),"")</f>
        <v>0</v>
      </c>
      <c r="DT131">
        <f>IFERROR(SMALL(DT47:DT127,ROW()-ROW($DT$130)+1),"")</f>
        <v>0</v>
      </c>
      <c r="DU131">
        <f>IFERROR(SMALL(DU47:DU127,ROW()-ROW($DU$130)+1),"")</f>
        <v>0</v>
      </c>
      <c r="DV131">
        <f>IFERROR(SMALL(DV47:DV127,ROW()-ROW($DV$130)+1),"")</f>
        <v>0</v>
      </c>
      <c r="DW131">
        <f>IFERROR(SMALL(DW47:DW127,ROW()-ROW($DW$130)+1),"")</f>
        <v>0</v>
      </c>
      <c r="DX131">
        <f>IFERROR(SMALL(DX47:DX127,ROW()-ROW($DX$130)+1),"")</f>
        <v>0</v>
      </c>
      <c r="DY131">
        <f>IFERROR(SMALL(DY47:DY127,ROW()-ROW($DY$130)+1),"")</f>
        <v>0</v>
      </c>
      <c r="DZ131">
        <f>IFERROR(SMALL(DZ47:DZ127,ROW()-ROW($DZ$130)+1),"")</f>
        <v>0</v>
      </c>
      <c r="EA131">
        <f>IFERROR(SMALL(EA47:EA127,ROW()-ROW($EA$130)+1),"")</f>
        <v>0</v>
      </c>
      <c r="EB131">
        <f>IFERROR(SMALL(EB47:EB127,ROW()-ROW($EB$130)+1),"")</f>
        <v>0</v>
      </c>
      <c r="EC131">
        <f>IFERROR(SMALL(EC47:EC127,ROW()-ROW($EC$130)+1),"")</f>
        <v>0</v>
      </c>
      <c r="ED131">
        <f>IFERROR(SMALL(ED47:ED127,ROW()-ROW($ED$130)+1),"")</f>
        <v>0</v>
      </c>
    </row>
    <row r="132" spans="4:134">
      <c r="E132">
        <f>IFERROR(SMALL(E47:E127,ROW()-ROW($E$130)+1),"")</f>
        <v>0</v>
      </c>
      <c r="F132">
        <f>IFERROR(SMALL(F47:F127,ROW()-ROW($F$130)+1),"")</f>
        <v>0</v>
      </c>
      <c r="G132">
        <f>IFERROR(SMALL(G47:G127,ROW()-ROW($G$130)+1),"")</f>
        <v>0</v>
      </c>
      <c r="H132">
        <f>IFERROR(SMALL(H47:H127,ROW()-ROW($H$130)+1),"")</f>
        <v>0</v>
      </c>
      <c r="I132">
        <f>IFERROR(SMALL(I47:I127,ROW()-ROW($I$130)+1),"")</f>
        <v>0</v>
      </c>
      <c r="J132">
        <f>IFERROR(SMALL(J47:J127,ROW()-ROW($J$130)+1),"")</f>
        <v>0</v>
      </c>
      <c r="K132">
        <f>IFERROR(SMALL(K47:K127,ROW()-ROW($K$130)+1),"")</f>
        <v>0</v>
      </c>
      <c r="L132">
        <f>IFERROR(SMALL(L47:L127,ROW()-ROW($L$130)+1),"")</f>
        <v>0</v>
      </c>
      <c r="M132">
        <f>IFERROR(SMALL(M47:M127,ROW()-ROW($M$130)+1),"")</f>
        <v>0</v>
      </c>
      <c r="N132">
        <f>IFERROR(SMALL(N47:N127,ROW()-ROW($N$130)+1),"")</f>
        <v>0</v>
      </c>
      <c r="O132">
        <f>IFERROR(SMALL(O47:O127,ROW()-ROW($O$130)+1),"")</f>
        <v>0</v>
      </c>
      <c r="P132">
        <f>IFERROR(SMALL(P47:P127,ROW()-ROW($P$130)+1),"")</f>
        <v>0</v>
      </c>
      <c r="Q132">
        <f>IFERROR(SMALL(Q47:Q127,ROW()-ROW($Q$130)+1),"")</f>
        <v>0</v>
      </c>
      <c r="R132">
        <f>IFERROR(SMALL(R47:R127,ROW()-ROW($R$130)+1),"")</f>
        <v>0</v>
      </c>
      <c r="S132">
        <f>IFERROR(SMALL(S47:S127,ROW()-ROW($S$130)+1),"")</f>
        <v>0</v>
      </c>
      <c r="T132">
        <f>IFERROR(SMALL(T47:T127,ROW()-ROW($T$130)+1),"")</f>
        <v>0</v>
      </c>
      <c r="U132">
        <f>IFERROR(SMALL(U47:U127,ROW()-ROW($U$130)+1),"")</f>
        <v>0</v>
      </c>
      <c r="V132">
        <f>IFERROR(SMALL(V47:V127,ROW()-ROW($V$130)+1),"")</f>
        <v>0</v>
      </c>
      <c r="W132">
        <f>IFERROR(SMALL(W47:W127,ROW()-ROW($W$130)+1),"")</f>
        <v>0</v>
      </c>
      <c r="X132">
        <f>IFERROR(SMALL(X47:X127,ROW()-ROW($X$130)+1),"")</f>
        <v>0</v>
      </c>
      <c r="Y132">
        <f>IFERROR(SMALL(Y47:Y127,ROW()-ROW($Y$130)+1),"")</f>
        <v>0</v>
      </c>
      <c r="Z132">
        <f>IFERROR(SMALL(Z47:Z127,ROW()-ROW($Z$130)+1),"")</f>
        <v>0</v>
      </c>
      <c r="AA132">
        <f>IFERROR(SMALL(AA47:AA127,ROW()-ROW($AA$130)+1),"")</f>
        <v>0</v>
      </c>
      <c r="AB132">
        <f>IFERROR(SMALL(AB47:AB127,ROW()-ROW($AB$130)+1),"")</f>
        <v>0</v>
      </c>
      <c r="AC132">
        <f>IFERROR(SMALL(AC47:AC127,ROW()-ROW($AC$130)+1),"")</f>
        <v>0</v>
      </c>
      <c r="AD132">
        <f>IFERROR(SMALL(AD47:AD127,ROW()-ROW($AD$130)+1),"")</f>
        <v>0</v>
      </c>
      <c r="AE132">
        <f>IFERROR(SMALL(AE47:AE127,ROW()-ROW($AE$130)+1),"")</f>
        <v>0</v>
      </c>
      <c r="AF132">
        <f>IFERROR(SMALL(AF47:AF127,ROW()-ROW($AF$130)+1),"")</f>
        <v>0</v>
      </c>
      <c r="AG132">
        <f>IFERROR(SMALL(AG47:AG127,ROW()-ROW($AG$130)+1),"")</f>
        <v>0</v>
      </c>
      <c r="AH132">
        <f>IFERROR(SMALL(AH47:AH127,ROW()-ROW($AH$130)+1),"")</f>
        <v>0</v>
      </c>
      <c r="AI132">
        <f>IFERROR(SMALL(AI47:AI127,ROW()-ROW($AI$130)+1),"")</f>
        <v>0</v>
      </c>
      <c r="AJ132">
        <f>IFERROR(SMALL(AJ47:AJ127,ROW()-ROW($AJ$130)+1),"")</f>
        <v>0</v>
      </c>
      <c r="AK132">
        <f>IFERROR(SMALL(AK47:AK127,ROW()-ROW($AK$130)+1),"")</f>
        <v>0</v>
      </c>
      <c r="AL132">
        <f>IFERROR(SMALL(AL47:AL127,ROW()-ROW($AL$130)+1),"")</f>
        <v>0</v>
      </c>
      <c r="AM132">
        <f>IFERROR(SMALL(AM47:AM127,ROW()-ROW($AM$130)+1),"")</f>
        <v>0</v>
      </c>
      <c r="AN132">
        <f>IFERROR(SMALL(AN47:AN127,ROW()-ROW($AN$130)+1),"")</f>
        <v>0</v>
      </c>
      <c r="AO132">
        <f>IFERROR(SMALL(AO47:AO127,ROW()-ROW($AO$130)+1),"")</f>
        <v>0</v>
      </c>
      <c r="AP132">
        <f>IFERROR(SMALL(AP47:AP127,ROW()-ROW($AP$130)+1),"")</f>
        <v>0</v>
      </c>
      <c r="AQ132">
        <f>IFERROR(SMALL(AQ47:AQ127,ROW()-ROW($AQ$130)+1),"")</f>
        <v>0</v>
      </c>
      <c r="AR132">
        <f>IFERROR(SMALL(AR47:AR127,ROW()-ROW($AR$130)+1),"")</f>
        <v>0</v>
      </c>
      <c r="AS132">
        <f>IFERROR(SMALL(AS47:AS127,ROW()-ROW($AS$130)+1),"")</f>
        <v>0</v>
      </c>
      <c r="AT132">
        <f>IFERROR(SMALL(AT47:AT127,ROW()-ROW($AT$130)+1),"")</f>
        <v>0</v>
      </c>
      <c r="AU132">
        <f>IFERROR(SMALL(AU47:AU127,ROW()-ROW($AU$130)+1),"")</f>
        <v>0</v>
      </c>
      <c r="AV132">
        <f>IFERROR(SMALL(AV47:AV127,ROW()-ROW($AV$130)+1),"")</f>
        <v>0</v>
      </c>
      <c r="AW132">
        <f>IFERROR(SMALL(AW47:AW127,ROW()-ROW($AW$130)+1),"")</f>
        <v>0</v>
      </c>
      <c r="AX132">
        <f>IFERROR(SMALL(AX47:AX127,ROW()-ROW($AX$130)+1),"")</f>
        <v>0</v>
      </c>
      <c r="AY132">
        <f>IFERROR(SMALL(AY47:AY127,ROW()-ROW($AY$130)+1),"")</f>
        <v>0</v>
      </c>
      <c r="AZ132">
        <f>IFERROR(SMALL(AZ47:AZ127,ROW()-ROW($AZ$130)+1),"")</f>
        <v>0</v>
      </c>
      <c r="BA132">
        <f>IFERROR(SMALL(BA47:BA127,ROW()-ROW($BA$130)+1),"")</f>
        <v>0</v>
      </c>
      <c r="BB132">
        <f>IFERROR(SMALL(BB47:BB127,ROW()-ROW($BB$130)+1),"")</f>
        <v>0</v>
      </c>
      <c r="BC132">
        <f>IFERROR(SMALL(BC47:BC127,ROW()-ROW($BC$130)+1),"")</f>
        <v>0</v>
      </c>
      <c r="BD132">
        <f>IFERROR(SMALL(BD47:BD127,ROW()-ROW($BD$130)+1),"")</f>
        <v>0</v>
      </c>
      <c r="BE132">
        <f>IFERROR(SMALL(BE47:BE127,ROW()-ROW($BE$130)+1),"")</f>
        <v>0</v>
      </c>
      <c r="BF132">
        <f>IFERROR(SMALL(BF47:BF127,ROW()-ROW($BF$130)+1),"")</f>
        <v>0</v>
      </c>
      <c r="BG132">
        <f>IFERROR(SMALL(BG47:BG127,ROW()-ROW($BG$130)+1),"")</f>
        <v>0</v>
      </c>
      <c r="BH132">
        <f>IFERROR(SMALL(BH47:BH127,ROW()-ROW($BH$130)+1),"")</f>
        <v>0</v>
      </c>
      <c r="BI132">
        <f>IFERROR(SMALL(BI47:BI127,ROW()-ROW($BI$130)+1),"")</f>
        <v>0</v>
      </c>
      <c r="BJ132">
        <f>IFERROR(SMALL(BJ47:BJ127,ROW()-ROW($BJ$130)+1),"")</f>
        <v>0</v>
      </c>
      <c r="BK132">
        <f>IFERROR(SMALL(BK47:BK127,ROW()-ROW($BK$130)+1),"")</f>
        <v>0</v>
      </c>
      <c r="BL132">
        <f>IFERROR(SMALL(BL47:BL127,ROW()-ROW($BL$130)+1),"")</f>
        <v>0</v>
      </c>
      <c r="BM132">
        <f>IFERROR(SMALL(BM47:BM127,ROW()-ROW($BM$130)+1),"")</f>
        <v>0</v>
      </c>
      <c r="BN132">
        <f>IFERROR(SMALL(BN47:BN127,ROW()-ROW($BN$130)+1),"")</f>
        <v>0</v>
      </c>
      <c r="BO132">
        <f>IFERROR(SMALL(BO47:BO127,ROW()-ROW($BO$130)+1),"")</f>
        <v>0</v>
      </c>
      <c r="BP132">
        <f>IFERROR(SMALL(BP47:BP127,ROW()-ROW($BP$130)+1),"")</f>
        <v>0</v>
      </c>
      <c r="BS132">
        <f>IFERROR(SMALL(BS47:BS127,ROW()-ROW($BS$130)+1),"")</f>
        <v>0</v>
      </c>
      <c r="BT132">
        <f>IFERROR(SMALL(BT47:BT127,ROW()-ROW($BT$130)+1),"")</f>
        <v>0</v>
      </c>
      <c r="BU132">
        <f>IFERROR(SMALL(BU47:BU127,ROW()-ROW($BU$130)+1),"")</f>
        <v>0</v>
      </c>
      <c r="BV132">
        <f>IFERROR(SMALL(BV47:BV127,ROW()-ROW($BV$130)+1),"")</f>
        <v>0</v>
      </c>
      <c r="BW132">
        <f>IFERROR(SMALL(BW47:BW127,ROW()-ROW($BW$130)+1),"")</f>
        <v>0</v>
      </c>
      <c r="BX132">
        <f>IFERROR(SMALL(BX47:BX127,ROW()-ROW($BX$130)+1),"")</f>
        <v>0</v>
      </c>
      <c r="BY132">
        <f>IFERROR(SMALL(BY47:BY127,ROW()-ROW($BY$130)+1),"")</f>
        <v>0</v>
      </c>
      <c r="BZ132">
        <f>IFERROR(SMALL(BZ47:BZ127,ROW()-ROW($BZ$130)+1),"")</f>
        <v>0</v>
      </c>
      <c r="CA132">
        <f>IFERROR(SMALL(CA47:CA127,ROW()-ROW($CA$130)+1),"")</f>
        <v>0</v>
      </c>
      <c r="CB132">
        <f>IFERROR(SMALL(CB47:CB127,ROW()-ROW($CB$130)+1),"")</f>
        <v>0</v>
      </c>
      <c r="CC132">
        <f>IFERROR(SMALL(CC47:CC127,ROW()-ROW($CC$130)+1),"")</f>
        <v>0</v>
      </c>
      <c r="CD132">
        <f>IFERROR(SMALL(CD47:CD127,ROW()-ROW($CD$130)+1),"")</f>
        <v>0</v>
      </c>
      <c r="CE132">
        <f>IFERROR(SMALL(CE47:CE127,ROW()-ROW($CE$130)+1),"")</f>
        <v>0</v>
      </c>
      <c r="CF132">
        <f>IFERROR(SMALL(CF47:CF127,ROW()-ROW($CF$130)+1),"")</f>
        <v>0</v>
      </c>
      <c r="CG132">
        <f>IFERROR(SMALL(CG47:CG127,ROW()-ROW($CG$130)+1),"")</f>
        <v>0</v>
      </c>
      <c r="CH132">
        <f>IFERROR(SMALL(CH47:CH127,ROW()-ROW($CH$130)+1),"")</f>
        <v>0</v>
      </c>
      <c r="CI132">
        <f>IFERROR(SMALL(CI47:CI127,ROW()-ROW($CI$130)+1),"")</f>
        <v>0</v>
      </c>
      <c r="CJ132">
        <f>IFERROR(SMALL(CJ47:CJ127,ROW()-ROW($CJ$130)+1),"")</f>
        <v>0</v>
      </c>
      <c r="CK132">
        <f>IFERROR(SMALL(CK47:CK127,ROW()-ROW($CK$130)+1),"")</f>
        <v>0</v>
      </c>
      <c r="CL132">
        <f>IFERROR(SMALL(CL47:CL127,ROW()-ROW($CL$130)+1),"")</f>
        <v>0</v>
      </c>
      <c r="CM132">
        <f>IFERROR(SMALL(CM47:CM127,ROW()-ROW($CM$130)+1),"")</f>
        <v>0</v>
      </c>
      <c r="CN132">
        <f>IFERROR(SMALL(CN47:CN127,ROW()-ROW($CN$130)+1),"")</f>
        <v>0</v>
      </c>
      <c r="CO132">
        <f>IFERROR(SMALL(CO47:CO127,ROW()-ROW($CO$130)+1),"")</f>
        <v>0</v>
      </c>
      <c r="CP132">
        <f>IFERROR(SMALL(CP47:CP127,ROW()-ROW($CP$130)+1),"")</f>
        <v>0</v>
      </c>
      <c r="CQ132">
        <f>IFERROR(SMALL(CQ47:CQ127,ROW()-ROW($CQ$130)+1),"")</f>
        <v>0</v>
      </c>
      <c r="CR132">
        <f>IFERROR(SMALL(CR47:CR127,ROW()-ROW($CR$130)+1),"")</f>
        <v>0</v>
      </c>
      <c r="CS132">
        <f>IFERROR(SMALL(CS47:CS127,ROW()-ROW($CS$130)+1),"")</f>
        <v>0</v>
      </c>
      <c r="CT132">
        <f>IFERROR(SMALL(CT47:CT127,ROW()-ROW($CT$130)+1),"")</f>
        <v>0</v>
      </c>
      <c r="CU132">
        <f>IFERROR(SMALL(CU47:CU127,ROW()-ROW($CU$130)+1),"")</f>
        <v>0</v>
      </c>
      <c r="CV132">
        <f>IFERROR(SMALL(CV47:CV127,ROW()-ROW($CV$130)+1),"")</f>
        <v>0</v>
      </c>
      <c r="CW132">
        <f>IFERROR(SMALL(CW47:CW127,ROW()-ROW($CW$130)+1),"")</f>
        <v>0</v>
      </c>
      <c r="CX132">
        <f>IFERROR(SMALL(CX47:CX127,ROW()-ROW($CX$130)+1),"")</f>
        <v>0</v>
      </c>
      <c r="CY132">
        <f>IFERROR(SMALL(CY47:CY127,ROW()-ROW($CY$130)+1),"")</f>
        <v>0</v>
      </c>
      <c r="CZ132">
        <f>IFERROR(SMALL(CZ47:CZ127,ROW()-ROW($CZ$130)+1),"")</f>
        <v>0</v>
      </c>
      <c r="DA132">
        <f>IFERROR(SMALL(DA47:DA127,ROW()-ROW($DA$130)+1),"")</f>
        <v>0</v>
      </c>
      <c r="DB132">
        <f>IFERROR(SMALL(DB47:DB127,ROW()-ROW($DB$130)+1),"")</f>
        <v>0</v>
      </c>
      <c r="DC132">
        <f>IFERROR(SMALL(DC47:DC127,ROW()-ROW($DC$130)+1),"")</f>
        <v>0</v>
      </c>
      <c r="DD132">
        <f>IFERROR(SMALL(DD47:DD127,ROW()-ROW($DD$130)+1),"")</f>
        <v>0</v>
      </c>
      <c r="DE132">
        <f>IFERROR(SMALL(DE47:DE127,ROW()-ROW($DE$130)+1),"")</f>
        <v>0</v>
      </c>
      <c r="DF132">
        <f>IFERROR(SMALL(DF47:DF127,ROW()-ROW($DF$130)+1),"")</f>
        <v>0</v>
      </c>
      <c r="DG132">
        <f>IFERROR(SMALL(DG47:DG127,ROW()-ROW($DG$130)+1),"")</f>
        <v>0</v>
      </c>
      <c r="DH132">
        <f>IFERROR(SMALL(DH47:DH127,ROW()-ROW($DH$130)+1),"")</f>
        <v>0</v>
      </c>
      <c r="DI132">
        <f>IFERROR(SMALL(DI47:DI127,ROW()-ROW($DI$130)+1),"")</f>
        <v>0</v>
      </c>
      <c r="DJ132">
        <f>IFERROR(SMALL(DJ47:DJ127,ROW()-ROW($DJ$130)+1),"")</f>
        <v>0</v>
      </c>
      <c r="DK132">
        <f>IFERROR(SMALL(DK47:DK127,ROW()-ROW($DK$130)+1),"")</f>
        <v>0</v>
      </c>
      <c r="DL132">
        <f>IFERROR(SMALL(DL47:DL127,ROW()-ROW($DL$130)+1),"")</f>
        <v>0</v>
      </c>
      <c r="DM132">
        <f>IFERROR(SMALL(DM47:DM127,ROW()-ROW($DM$130)+1),"")</f>
        <v>0</v>
      </c>
      <c r="DN132">
        <f>IFERROR(SMALL(DN47:DN127,ROW()-ROW($DN$130)+1),"")</f>
        <v>0</v>
      </c>
      <c r="DO132">
        <f>IFERROR(SMALL(DO47:DO127,ROW()-ROW($DO$130)+1),"")</f>
        <v>0</v>
      </c>
      <c r="DP132">
        <f>IFERROR(SMALL(DP47:DP127,ROW()-ROW($DP$130)+1),"")</f>
        <v>0</v>
      </c>
      <c r="DQ132">
        <f>IFERROR(SMALL(DQ47:DQ127,ROW()-ROW($DQ$130)+1),"")</f>
        <v>0</v>
      </c>
      <c r="DR132">
        <f>IFERROR(SMALL(DR47:DR127,ROW()-ROW($DR$130)+1),"")</f>
        <v>0</v>
      </c>
      <c r="DS132">
        <f>IFERROR(SMALL(DS47:DS127,ROW()-ROW($DS$130)+1),"")</f>
        <v>0</v>
      </c>
      <c r="DT132">
        <f>IFERROR(SMALL(DT47:DT127,ROW()-ROW($DT$130)+1),"")</f>
        <v>0</v>
      </c>
      <c r="DU132">
        <f>IFERROR(SMALL(DU47:DU127,ROW()-ROW($DU$130)+1),"")</f>
        <v>0</v>
      </c>
      <c r="DV132">
        <f>IFERROR(SMALL(DV47:DV127,ROW()-ROW($DV$130)+1),"")</f>
        <v>0</v>
      </c>
      <c r="DW132">
        <f>IFERROR(SMALL(DW47:DW127,ROW()-ROW($DW$130)+1),"")</f>
        <v>0</v>
      </c>
      <c r="DX132">
        <f>IFERROR(SMALL(DX47:DX127,ROW()-ROW($DX$130)+1),"")</f>
        <v>0</v>
      </c>
      <c r="DY132">
        <f>IFERROR(SMALL(DY47:DY127,ROW()-ROW($DY$130)+1),"")</f>
        <v>0</v>
      </c>
      <c r="DZ132">
        <f>IFERROR(SMALL(DZ47:DZ127,ROW()-ROW($DZ$130)+1),"")</f>
        <v>0</v>
      </c>
      <c r="EA132">
        <f>IFERROR(SMALL(EA47:EA127,ROW()-ROW($EA$130)+1),"")</f>
        <v>0</v>
      </c>
      <c r="EB132">
        <f>IFERROR(SMALL(EB47:EB127,ROW()-ROW($EB$130)+1),"")</f>
        <v>0</v>
      </c>
      <c r="EC132">
        <f>IFERROR(SMALL(EC47:EC127,ROW()-ROW($EC$130)+1),"")</f>
        <v>0</v>
      </c>
      <c r="ED132">
        <f>IFERROR(SMALL(ED47:ED127,ROW()-ROW($ED$130)+1),"")</f>
        <v>0</v>
      </c>
    </row>
    <row r="133" spans="4:134">
      <c r="E133">
        <f>IFERROR(SMALL(E47:E127,ROW()-ROW($E$130)+1),"")</f>
        <v>0</v>
      </c>
      <c r="F133">
        <f>IFERROR(SMALL(F47:F127,ROW()-ROW($F$130)+1),"")</f>
        <v>0</v>
      </c>
      <c r="G133">
        <f>IFERROR(SMALL(G47:G127,ROW()-ROW($G$130)+1),"")</f>
        <v>0</v>
      </c>
      <c r="H133">
        <f>IFERROR(SMALL(H47:H127,ROW()-ROW($H$130)+1),"")</f>
        <v>0</v>
      </c>
      <c r="I133">
        <f>IFERROR(SMALL(I47:I127,ROW()-ROW($I$130)+1),"")</f>
        <v>0</v>
      </c>
      <c r="J133">
        <f>IFERROR(SMALL(J47:J127,ROW()-ROW($J$130)+1),"")</f>
        <v>0</v>
      </c>
      <c r="K133">
        <f>IFERROR(SMALL(K47:K127,ROW()-ROW($K$130)+1),"")</f>
        <v>0</v>
      </c>
      <c r="L133">
        <f>IFERROR(SMALL(L47:L127,ROW()-ROW($L$130)+1),"")</f>
        <v>0</v>
      </c>
      <c r="M133">
        <f>IFERROR(SMALL(M47:M127,ROW()-ROW($M$130)+1),"")</f>
        <v>0</v>
      </c>
      <c r="N133">
        <f>IFERROR(SMALL(N47:N127,ROW()-ROW($N$130)+1),"")</f>
        <v>0</v>
      </c>
      <c r="O133">
        <f>IFERROR(SMALL(O47:O127,ROW()-ROW($O$130)+1),"")</f>
        <v>0</v>
      </c>
      <c r="P133">
        <f>IFERROR(SMALL(P47:P127,ROW()-ROW($P$130)+1),"")</f>
        <v>0</v>
      </c>
      <c r="Q133">
        <f>IFERROR(SMALL(Q47:Q127,ROW()-ROW($Q$130)+1),"")</f>
        <v>0</v>
      </c>
      <c r="R133">
        <f>IFERROR(SMALL(R47:R127,ROW()-ROW($R$130)+1),"")</f>
        <v>0</v>
      </c>
      <c r="S133">
        <f>IFERROR(SMALL(S47:S127,ROW()-ROW($S$130)+1),"")</f>
        <v>0</v>
      </c>
      <c r="T133">
        <f>IFERROR(SMALL(T47:T127,ROW()-ROW($T$130)+1),"")</f>
        <v>0</v>
      </c>
      <c r="U133">
        <f>IFERROR(SMALL(U47:U127,ROW()-ROW($U$130)+1),"")</f>
        <v>0</v>
      </c>
      <c r="V133">
        <f>IFERROR(SMALL(V47:V127,ROW()-ROW($V$130)+1),"")</f>
        <v>0</v>
      </c>
      <c r="W133">
        <f>IFERROR(SMALL(W47:W127,ROW()-ROW($W$130)+1),"")</f>
        <v>0</v>
      </c>
      <c r="X133">
        <f>IFERROR(SMALL(X47:X127,ROW()-ROW($X$130)+1),"")</f>
        <v>0</v>
      </c>
      <c r="Y133">
        <f>IFERROR(SMALL(Y47:Y127,ROW()-ROW($Y$130)+1),"")</f>
        <v>0</v>
      </c>
      <c r="Z133">
        <f>IFERROR(SMALL(Z47:Z127,ROW()-ROW($Z$130)+1),"")</f>
        <v>0</v>
      </c>
      <c r="AA133">
        <f>IFERROR(SMALL(AA47:AA127,ROW()-ROW($AA$130)+1),"")</f>
        <v>0</v>
      </c>
      <c r="AB133">
        <f>IFERROR(SMALL(AB47:AB127,ROW()-ROW($AB$130)+1),"")</f>
        <v>0</v>
      </c>
      <c r="AC133">
        <f>IFERROR(SMALL(AC47:AC127,ROW()-ROW($AC$130)+1),"")</f>
        <v>0</v>
      </c>
      <c r="AD133">
        <f>IFERROR(SMALL(AD47:AD127,ROW()-ROW($AD$130)+1),"")</f>
        <v>0</v>
      </c>
      <c r="AE133">
        <f>IFERROR(SMALL(AE47:AE127,ROW()-ROW($AE$130)+1),"")</f>
        <v>0</v>
      </c>
      <c r="AF133">
        <f>IFERROR(SMALL(AF47:AF127,ROW()-ROW($AF$130)+1),"")</f>
        <v>0</v>
      </c>
      <c r="AG133">
        <f>IFERROR(SMALL(AG47:AG127,ROW()-ROW($AG$130)+1),"")</f>
        <v>0</v>
      </c>
      <c r="AH133">
        <f>IFERROR(SMALL(AH47:AH127,ROW()-ROW($AH$130)+1),"")</f>
        <v>0</v>
      </c>
      <c r="AI133">
        <f>IFERROR(SMALL(AI47:AI127,ROW()-ROW($AI$130)+1),"")</f>
        <v>0</v>
      </c>
      <c r="AJ133">
        <f>IFERROR(SMALL(AJ47:AJ127,ROW()-ROW($AJ$130)+1),"")</f>
        <v>0</v>
      </c>
      <c r="AK133">
        <f>IFERROR(SMALL(AK47:AK127,ROW()-ROW($AK$130)+1),"")</f>
        <v>0</v>
      </c>
      <c r="AL133">
        <f>IFERROR(SMALL(AL47:AL127,ROW()-ROW($AL$130)+1),"")</f>
        <v>0</v>
      </c>
      <c r="AM133">
        <f>IFERROR(SMALL(AM47:AM127,ROW()-ROW($AM$130)+1),"")</f>
        <v>0</v>
      </c>
      <c r="AN133">
        <f>IFERROR(SMALL(AN47:AN127,ROW()-ROW($AN$130)+1),"")</f>
        <v>0</v>
      </c>
      <c r="AO133">
        <f>IFERROR(SMALL(AO47:AO127,ROW()-ROW($AO$130)+1),"")</f>
        <v>0</v>
      </c>
      <c r="AP133">
        <f>IFERROR(SMALL(AP47:AP127,ROW()-ROW($AP$130)+1),"")</f>
        <v>0</v>
      </c>
      <c r="AQ133">
        <f>IFERROR(SMALL(AQ47:AQ127,ROW()-ROW($AQ$130)+1),"")</f>
        <v>0</v>
      </c>
      <c r="AR133">
        <f>IFERROR(SMALL(AR47:AR127,ROW()-ROW($AR$130)+1),"")</f>
        <v>0</v>
      </c>
      <c r="AS133">
        <f>IFERROR(SMALL(AS47:AS127,ROW()-ROW($AS$130)+1),"")</f>
        <v>0</v>
      </c>
      <c r="AT133">
        <f>IFERROR(SMALL(AT47:AT127,ROW()-ROW($AT$130)+1),"")</f>
        <v>0</v>
      </c>
      <c r="AU133">
        <f>IFERROR(SMALL(AU47:AU127,ROW()-ROW($AU$130)+1),"")</f>
        <v>0</v>
      </c>
      <c r="AV133">
        <f>IFERROR(SMALL(AV47:AV127,ROW()-ROW($AV$130)+1),"")</f>
        <v>0</v>
      </c>
      <c r="AW133">
        <f>IFERROR(SMALL(AW47:AW127,ROW()-ROW($AW$130)+1),"")</f>
        <v>0</v>
      </c>
      <c r="AX133">
        <f>IFERROR(SMALL(AX47:AX127,ROW()-ROW($AX$130)+1),"")</f>
        <v>0</v>
      </c>
      <c r="AY133">
        <f>IFERROR(SMALL(AY47:AY127,ROW()-ROW($AY$130)+1),"")</f>
        <v>0</v>
      </c>
      <c r="AZ133">
        <f>IFERROR(SMALL(AZ47:AZ127,ROW()-ROW($AZ$130)+1),"")</f>
        <v>0</v>
      </c>
      <c r="BA133">
        <f>IFERROR(SMALL(BA47:BA127,ROW()-ROW($BA$130)+1),"")</f>
        <v>0</v>
      </c>
      <c r="BB133">
        <f>IFERROR(SMALL(BB47:BB127,ROW()-ROW($BB$130)+1),"")</f>
        <v>0</v>
      </c>
      <c r="BC133">
        <f>IFERROR(SMALL(BC47:BC127,ROW()-ROW($BC$130)+1),"")</f>
        <v>0</v>
      </c>
      <c r="BD133">
        <f>IFERROR(SMALL(BD47:BD127,ROW()-ROW($BD$130)+1),"")</f>
        <v>0</v>
      </c>
      <c r="BE133">
        <f>IFERROR(SMALL(BE47:BE127,ROW()-ROW($BE$130)+1),"")</f>
        <v>0</v>
      </c>
      <c r="BF133">
        <f>IFERROR(SMALL(BF47:BF127,ROW()-ROW($BF$130)+1),"")</f>
        <v>0</v>
      </c>
      <c r="BG133">
        <f>IFERROR(SMALL(BG47:BG127,ROW()-ROW($BG$130)+1),"")</f>
        <v>0</v>
      </c>
      <c r="BH133">
        <f>IFERROR(SMALL(BH47:BH127,ROW()-ROW($BH$130)+1),"")</f>
        <v>0</v>
      </c>
      <c r="BI133">
        <f>IFERROR(SMALL(BI47:BI127,ROW()-ROW($BI$130)+1),"")</f>
        <v>0</v>
      </c>
      <c r="BJ133">
        <f>IFERROR(SMALL(BJ47:BJ127,ROW()-ROW($BJ$130)+1),"")</f>
        <v>0</v>
      </c>
      <c r="BK133">
        <f>IFERROR(SMALL(BK47:BK127,ROW()-ROW($BK$130)+1),"")</f>
        <v>0</v>
      </c>
      <c r="BL133">
        <f>IFERROR(SMALL(BL47:BL127,ROW()-ROW($BL$130)+1),"")</f>
        <v>0</v>
      </c>
      <c r="BM133">
        <f>IFERROR(SMALL(BM47:BM127,ROW()-ROW($BM$130)+1),"")</f>
        <v>0</v>
      </c>
      <c r="BN133">
        <f>IFERROR(SMALL(BN47:BN127,ROW()-ROW($BN$130)+1),"")</f>
        <v>0</v>
      </c>
      <c r="BO133">
        <f>IFERROR(SMALL(BO47:BO127,ROW()-ROW($BO$130)+1),"")</f>
        <v>0</v>
      </c>
      <c r="BP133">
        <f>IFERROR(SMALL(BP47:BP127,ROW()-ROW($BP$130)+1),"")</f>
        <v>0</v>
      </c>
      <c r="BS133">
        <f>IFERROR(SMALL(BS47:BS127,ROW()-ROW($BS$130)+1),"")</f>
        <v>0</v>
      </c>
      <c r="BT133">
        <f>IFERROR(SMALL(BT47:BT127,ROW()-ROW($BT$130)+1),"")</f>
        <v>0</v>
      </c>
      <c r="BU133">
        <f>IFERROR(SMALL(BU47:BU127,ROW()-ROW($BU$130)+1),"")</f>
        <v>0</v>
      </c>
      <c r="BV133">
        <f>IFERROR(SMALL(BV47:BV127,ROW()-ROW($BV$130)+1),"")</f>
        <v>0</v>
      </c>
      <c r="BW133">
        <f>IFERROR(SMALL(BW47:BW127,ROW()-ROW($BW$130)+1),"")</f>
        <v>0</v>
      </c>
      <c r="BX133">
        <f>IFERROR(SMALL(BX47:BX127,ROW()-ROW($BX$130)+1),"")</f>
        <v>0</v>
      </c>
      <c r="BY133">
        <f>IFERROR(SMALL(BY47:BY127,ROW()-ROW($BY$130)+1),"")</f>
        <v>0</v>
      </c>
      <c r="BZ133">
        <f>IFERROR(SMALL(BZ47:BZ127,ROW()-ROW($BZ$130)+1),"")</f>
        <v>0</v>
      </c>
      <c r="CA133">
        <f>IFERROR(SMALL(CA47:CA127,ROW()-ROW($CA$130)+1),"")</f>
        <v>0</v>
      </c>
      <c r="CB133">
        <f>IFERROR(SMALL(CB47:CB127,ROW()-ROW($CB$130)+1),"")</f>
        <v>0</v>
      </c>
      <c r="CC133">
        <f>IFERROR(SMALL(CC47:CC127,ROW()-ROW($CC$130)+1),"")</f>
        <v>0</v>
      </c>
      <c r="CD133">
        <f>IFERROR(SMALL(CD47:CD127,ROW()-ROW($CD$130)+1),"")</f>
        <v>0</v>
      </c>
      <c r="CE133">
        <f>IFERROR(SMALL(CE47:CE127,ROW()-ROW($CE$130)+1),"")</f>
        <v>0</v>
      </c>
      <c r="CF133">
        <f>IFERROR(SMALL(CF47:CF127,ROW()-ROW($CF$130)+1),"")</f>
        <v>0</v>
      </c>
      <c r="CG133">
        <f>IFERROR(SMALL(CG47:CG127,ROW()-ROW($CG$130)+1),"")</f>
        <v>0</v>
      </c>
      <c r="CH133">
        <f>IFERROR(SMALL(CH47:CH127,ROW()-ROW($CH$130)+1),"")</f>
        <v>0</v>
      </c>
      <c r="CI133">
        <f>IFERROR(SMALL(CI47:CI127,ROW()-ROW($CI$130)+1),"")</f>
        <v>0</v>
      </c>
      <c r="CJ133">
        <f>IFERROR(SMALL(CJ47:CJ127,ROW()-ROW($CJ$130)+1),"")</f>
        <v>0</v>
      </c>
      <c r="CK133">
        <f>IFERROR(SMALL(CK47:CK127,ROW()-ROW($CK$130)+1),"")</f>
        <v>0</v>
      </c>
      <c r="CL133">
        <f>IFERROR(SMALL(CL47:CL127,ROW()-ROW($CL$130)+1),"")</f>
        <v>0</v>
      </c>
      <c r="CM133">
        <f>IFERROR(SMALL(CM47:CM127,ROW()-ROW($CM$130)+1),"")</f>
        <v>0</v>
      </c>
      <c r="CN133">
        <f>IFERROR(SMALL(CN47:CN127,ROW()-ROW($CN$130)+1),"")</f>
        <v>0</v>
      </c>
      <c r="CO133">
        <f>IFERROR(SMALL(CO47:CO127,ROW()-ROW($CO$130)+1),"")</f>
        <v>0</v>
      </c>
      <c r="CP133">
        <f>IFERROR(SMALL(CP47:CP127,ROW()-ROW($CP$130)+1),"")</f>
        <v>0</v>
      </c>
      <c r="CQ133">
        <f>IFERROR(SMALL(CQ47:CQ127,ROW()-ROW($CQ$130)+1),"")</f>
        <v>0</v>
      </c>
      <c r="CR133">
        <f>IFERROR(SMALL(CR47:CR127,ROW()-ROW($CR$130)+1),"")</f>
        <v>0</v>
      </c>
      <c r="CS133">
        <f>IFERROR(SMALL(CS47:CS127,ROW()-ROW($CS$130)+1),"")</f>
        <v>0</v>
      </c>
      <c r="CT133">
        <f>IFERROR(SMALL(CT47:CT127,ROW()-ROW($CT$130)+1),"")</f>
        <v>0</v>
      </c>
      <c r="CU133">
        <f>IFERROR(SMALL(CU47:CU127,ROW()-ROW($CU$130)+1),"")</f>
        <v>0</v>
      </c>
      <c r="CV133">
        <f>IFERROR(SMALL(CV47:CV127,ROW()-ROW($CV$130)+1),"")</f>
        <v>0</v>
      </c>
      <c r="CW133">
        <f>IFERROR(SMALL(CW47:CW127,ROW()-ROW($CW$130)+1),"")</f>
        <v>0</v>
      </c>
      <c r="CX133">
        <f>IFERROR(SMALL(CX47:CX127,ROW()-ROW($CX$130)+1),"")</f>
        <v>0</v>
      </c>
      <c r="CY133">
        <f>IFERROR(SMALL(CY47:CY127,ROW()-ROW($CY$130)+1),"")</f>
        <v>0</v>
      </c>
      <c r="CZ133">
        <f>IFERROR(SMALL(CZ47:CZ127,ROW()-ROW($CZ$130)+1),"")</f>
        <v>0</v>
      </c>
      <c r="DA133">
        <f>IFERROR(SMALL(DA47:DA127,ROW()-ROW($DA$130)+1),"")</f>
        <v>0</v>
      </c>
      <c r="DB133">
        <f>IFERROR(SMALL(DB47:DB127,ROW()-ROW($DB$130)+1),"")</f>
        <v>0</v>
      </c>
      <c r="DC133">
        <f>IFERROR(SMALL(DC47:DC127,ROW()-ROW($DC$130)+1),"")</f>
        <v>0</v>
      </c>
      <c r="DD133">
        <f>IFERROR(SMALL(DD47:DD127,ROW()-ROW($DD$130)+1),"")</f>
        <v>0</v>
      </c>
      <c r="DE133">
        <f>IFERROR(SMALL(DE47:DE127,ROW()-ROW($DE$130)+1),"")</f>
        <v>0</v>
      </c>
      <c r="DF133">
        <f>IFERROR(SMALL(DF47:DF127,ROW()-ROW($DF$130)+1),"")</f>
        <v>0</v>
      </c>
      <c r="DG133">
        <f>IFERROR(SMALL(DG47:DG127,ROW()-ROW($DG$130)+1),"")</f>
        <v>0</v>
      </c>
      <c r="DH133">
        <f>IFERROR(SMALL(DH47:DH127,ROW()-ROW($DH$130)+1),"")</f>
        <v>0</v>
      </c>
      <c r="DI133">
        <f>IFERROR(SMALL(DI47:DI127,ROW()-ROW($DI$130)+1),"")</f>
        <v>0</v>
      </c>
      <c r="DJ133">
        <f>IFERROR(SMALL(DJ47:DJ127,ROW()-ROW($DJ$130)+1),"")</f>
        <v>0</v>
      </c>
      <c r="DK133">
        <f>IFERROR(SMALL(DK47:DK127,ROW()-ROW($DK$130)+1),"")</f>
        <v>0</v>
      </c>
      <c r="DL133">
        <f>IFERROR(SMALL(DL47:DL127,ROW()-ROW($DL$130)+1),"")</f>
        <v>0</v>
      </c>
      <c r="DM133">
        <f>IFERROR(SMALL(DM47:DM127,ROW()-ROW($DM$130)+1),"")</f>
        <v>0</v>
      </c>
      <c r="DN133">
        <f>IFERROR(SMALL(DN47:DN127,ROW()-ROW($DN$130)+1),"")</f>
        <v>0</v>
      </c>
      <c r="DO133">
        <f>IFERROR(SMALL(DO47:DO127,ROW()-ROW($DO$130)+1),"")</f>
        <v>0</v>
      </c>
      <c r="DP133">
        <f>IFERROR(SMALL(DP47:DP127,ROW()-ROW($DP$130)+1),"")</f>
        <v>0</v>
      </c>
      <c r="DQ133">
        <f>IFERROR(SMALL(DQ47:DQ127,ROW()-ROW($DQ$130)+1),"")</f>
        <v>0</v>
      </c>
      <c r="DR133">
        <f>IFERROR(SMALL(DR47:DR127,ROW()-ROW($DR$130)+1),"")</f>
        <v>0</v>
      </c>
      <c r="DS133">
        <f>IFERROR(SMALL(DS47:DS127,ROW()-ROW($DS$130)+1),"")</f>
        <v>0</v>
      </c>
      <c r="DT133">
        <f>IFERROR(SMALL(DT47:DT127,ROW()-ROW($DT$130)+1),"")</f>
        <v>0</v>
      </c>
      <c r="DU133">
        <f>IFERROR(SMALL(DU47:DU127,ROW()-ROW($DU$130)+1),"")</f>
        <v>0</v>
      </c>
      <c r="DV133">
        <f>IFERROR(SMALL(DV47:DV127,ROW()-ROW($DV$130)+1),"")</f>
        <v>0</v>
      </c>
      <c r="DW133">
        <f>IFERROR(SMALL(DW47:DW127,ROW()-ROW($DW$130)+1),"")</f>
        <v>0</v>
      </c>
      <c r="DX133">
        <f>IFERROR(SMALL(DX47:DX127,ROW()-ROW($DX$130)+1),"")</f>
        <v>0</v>
      </c>
      <c r="DY133">
        <f>IFERROR(SMALL(DY47:DY127,ROW()-ROW($DY$130)+1),"")</f>
        <v>0</v>
      </c>
      <c r="DZ133">
        <f>IFERROR(SMALL(DZ47:DZ127,ROW()-ROW($DZ$130)+1),"")</f>
        <v>0</v>
      </c>
      <c r="EA133">
        <f>IFERROR(SMALL(EA47:EA127,ROW()-ROW($EA$130)+1),"")</f>
        <v>0</v>
      </c>
      <c r="EB133">
        <f>IFERROR(SMALL(EB47:EB127,ROW()-ROW($EB$130)+1),"")</f>
        <v>0</v>
      </c>
      <c r="EC133">
        <f>IFERROR(SMALL(EC47:EC127,ROW()-ROW($EC$130)+1),"")</f>
        <v>0</v>
      </c>
      <c r="ED133">
        <f>IFERROR(SMALL(ED47:ED127,ROW()-ROW($ED$130)+1),"")</f>
        <v>0</v>
      </c>
    </row>
    <row r="134" spans="4:134">
      <c r="E134">
        <f>IFERROR(SMALL(E47:E127,ROW()-ROW($E$130)+1),"")</f>
        <v>0</v>
      </c>
      <c r="F134">
        <f>IFERROR(SMALL(F47:F127,ROW()-ROW($F$130)+1),"")</f>
        <v>0</v>
      </c>
      <c r="G134">
        <f>IFERROR(SMALL(G47:G127,ROW()-ROW($G$130)+1),"")</f>
        <v>0</v>
      </c>
      <c r="H134">
        <f>IFERROR(SMALL(H47:H127,ROW()-ROW($H$130)+1),"")</f>
        <v>0</v>
      </c>
      <c r="I134">
        <f>IFERROR(SMALL(I47:I127,ROW()-ROW($I$130)+1),"")</f>
        <v>0</v>
      </c>
      <c r="J134">
        <f>IFERROR(SMALL(J47:J127,ROW()-ROW($J$130)+1),"")</f>
        <v>0</v>
      </c>
      <c r="K134">
        <f>IFERROR(SMALL(K47:K127,ROW()-ROW($K$130)+1),"")</f>
        <v>0</v>
      </c>
      <c r="L134">
        <f>IFERROR(SMALL(L47:L127,ROW()-ROW($L$130)+1),"")</f>
        <v>0</v>
      </c>
      <c r="M134">
        <f>IFERROR(SMALL(M47:M127,ROW()-ROW($M$130)+1),"")</f>
        <v>0</v>
      </c>
      <c r="N134">
        <f>IFERROR(SMALL(N47:N127,ROW()-ROW($N$130)+1),"")</f>
        <v>0</v>
      </c>
      <c r="O134">
        <f>IFERROR(SMALL(O47:O127,ROW()-ROW($O$130)+1),"")</f>
        <v>0</v>
      </c>
      <c r="P134">
        <f>IFERROR(SMALL(P47:P127,ROW()-ROW($P$130)+1),"")</f>
        <v>0</v>
      </c>
      <c r="Q134">
        <f>IFERROR(SMALL(Q47:Q127,ROW()-ROW($Q$130)+1),"")</f>
        <v>0</v>
      </c>
      <c r="R134">
        <f>IFERROR(SMALL(R47:R127,ROW()-ROW($R$130)+1),"")</f>
        <v>0</v>
      </c>
      <c r="S134">
        <f>IFERROR(SMALL(S47:S127,ROW()-ROW($S$130)+1),"")</f>
        <v>0</v>
      </c>
      <c r="T134">
        <f>IFERROR(SMALL(T47:T127,ROW()-ROW($T$130)+1),"")</f>
        <v>0</v>
      </c>
      <c r="U134">
        <f>IFERROR(SMALL(U47:U127,ROW()-ROW($U$130)+1),"")</f>
        <v>0</v>
      </c>
      <c r="V134">
        <f>IFERROR(SMALL(V47:V127,ROW()-ROW($V$130)+1),"")</f>
        <v>0</v>
      </c>
      <c r="W134">
        <f>IFERROR(SMALL(W47:W127,ROW()-ROW($W$130)+1),"")</f>
        <v>0</v>
      </c>
      <c r="X134">
        <f>IFERROR(SMALL(X47:X127,ROW()-ROW($X$130)+1),"")</f>
        <v>0</v>
      </c>
      <c r="Y134">
        <f>IFERROR(SMALL(Y47:Y127,ROW()-ROW($Y$130)+1),"")</f>
        <v>0</v>
      </c>
      <c r="Z134">
        <f>IFERROR(SMALL(Z47:Z127,ROW()-ROW($Z$130)+1),"")</f>
        <v>0</v>
      </c>
      <c r="AA134">
        <f>IFERROR(SMALL(AA47:AA127,ROW()-ROW($AA$130)+1),"")</f>
        <v>0</v>
      </c>
      <c r="AB134">
        <f>IFERROR(SMALL(AB47:AB127,ROW()-ROW($AB$130)+1),"")</f>
        <v>0</v>
      </c>
      <c r="AC134">
        <f>IFERROR(SMALL(AC47:AC127,ROW()-ROW($AC$130)+1),"")</f>
        <v>0</v>
      </c>
      <c r="AD134">
        <f>IFERROR(SMALL(AD47:AD127,ROW()-ROW($AD$130)+1),"")</f>
        <v>0</v>
      </c>
      <c r="AE134">
        <f>IFERROR(SMALL(AE47:AE127,ROW()-ROW($AE$130)+1),"")</f>
        <v>0</v>
      </c>
      <c r="AF134">
        <f>IFERROR(SMALL(AF47:AF127,ROW()-ROW($AF$130)+1),"")</f>
        <v>0</v>
      </c>
      <c r="AG134">
        <f>IFERROR(SMALL(AG47:AG127,ROW()-ROW($AG$130)+1),"")</f>
        <v>0</v>
      </c>
      <c r="AH134">
        <f>IFERROR(SMALL(AH47:AH127,ROW()-ROW($AH$130)+1),"")</f>
        <v>0</v>
      </c>
      <c r="AI134">
        <f>IFERROR(SMALL(AI47:AI127,ROW()-ROW($AI$130)+1),"")</f>
        <v>0</v>
      </c>
      <c r="AJ134">
        <f>IFERROR(SMALL(AJ47:AJ127,ROW()-ROW($AJ$130)+1),"")</f>
        <v>0</v>
      </c>
      <c r="AK134">
        <f>IFERROR(SMALL(AK47:AK127,ROW()-ROW($AK$130)+1),"")</f>
        <v>0</v>
      </c>
      <c r="AL134">
        <f>IFERROR(SMALL(AL47:AL127,ROW()-ROW($AL$130)+1),"")</f>
        <v>0</v>
      </c>
      <c r="AM134">
        <f>IFERROR(SMALL(AM47:AM127,ROW()-ROW($AM$130)+1),"")</f>
        <v>0</v>
      </c>
      <c r="AN134">
        <f>IFERROR(SMALL(AN47:AN127,ROW()-ROW($AN$130)+1),"")</f>
        <v>0</v>
      </c>
      <c r="AO134">
        <f>IFERROR(SMALL(AO47:AO127,ROW()-ROW($AO$130)+1),"")</f>
        <v>0</v>
      </c>
      <c r="AP134">
        <f>IFERROR(SMALL(AP47:AP127,ROW()-ROW($AP$130)+1),"")</f>
        <v>0</v>
      </c>
      <c r="AQ134">
        <f>IFERROR(SMALL(AQ47:AQ127,ROW()-ROW($AQ$130)+1),"")</f>
        <v>0</v>
      </c>
      <c r="AR134">
        <f>IFERROR(SMALL(AR47:AR127,ROW()-ROW($AR$130)+1),"")</f>
        <v>0</v>
      </c>
      <c r="AS134">
        <f>IFERROR(SMALL(AS47:AS127,ROW()-ROW($AS$130)+1),"")</f>
        <v>0</v>
      </c>
      <c r="AT134">
        <f>IFERROR(SMALL(AT47:AT127,ROW()-ROW($AT$130)+1),"")</f>
        <v>0</v>
      </c>
      <c r="AU134">
        <f>IFERROR(SMALL(AU47:AU127,ROW()-ROW($AU$130)+1),"")</f>
        <v>0</v>
      </c>
      <c r="AV134">
        <f>IFERROR(SMALL(AV47:AV127,ROW()-ROW($AV$130)+1),"")</f>
        <v>0</v>
      </c>
      <c r="AW134">
        <f>IFERROR(SMALL(AW47:AW127,ROW()-ROW($AW$130)+1),"")</f>
        <v>0</v>
      </c>
      <c r="AX134">
        <f>IFERROR(SMALL(AX47:AX127,ROW()-ROW($AX$130)+1),"")</f>
        <v>0</v>
      </c>
      <c r="AY134">
        <f>IFERROR(SMALL(AY47:AY127,ROW()-ROW($AY$130)+1),"")</f>
        <v>0</v>
      </c>
      <c r="AZ134">
        <f>IFERROR(SMALL(AZ47:AZ127,ROW()-ROW($AZ$130)+1),"")</f>
        <v>0</v>
      </c>
      <c r="BA134">
        <f>IFERROR(SMALL(BA47:BA127,ROW()-ROW($BA$130)+1),"")</f>
        <v>0</v>
      </c>
      <c r="BB134">
        <f>IFERROR(SMALL(BB47:BB127,ROW()-ROW($BB$130)+1),"")</f>
        <v>0</v>
      </c>
      <c r="BC134">
        <f>IFERROR(SMALL(BC47:BC127,ROW()-ROW($BC$130)+1),"")</f>
        <v>0</v>
      </c>
      <c r="BD134">
        <f>IFERROR(SMALL(BD47:BD127,ROW()-ROW($BD$130)+1),"")</f>
        <v>0</v>
      </c>
      <c r="BE134">
        <f>IFERROR(SMALL(BE47:BE127,ROW()-ROW($BE$130)+1),"")</f>
        <v>0</v>
      </c>
      <c r="BF134">
        <f>IFERROR(SMALL(BF47:BF127,ROW()-ROW($BF$130)+1),"")</f>
        <v>0</v>
      </c>
      <c r="BG134">
        <f>IFERROR(SMALL(BG47:BG127,ROW()-ROW($BG$130)+1),"")</f>
        <v>0</v>
      </c>
      <c r="BH134">
        <f>IFERROR(SMALL(BH47:BH127,ROW()-ROW($BH$130)+1),"")</f>
        <v>0</v>
      </c>
      <c r="BI134">
        <f>IFERROR(SMALL(BI47:BI127,ROW()-ROW($BI$130)+1),"")</f>
        <v>0</v>
      </c>
      <c r="BJ134">
        <f>IFERROR(SMALL(BJ47:BJ127,ROW()-ROW($BJ$130)+1),"")</f>
        <v>0</v>
      </c>
      <c r="BK134">
        <f>IFERROR(SMALL(BK47:BK127,ROW()-ROW($BK$130)+1),"")</f>
        <v>0</v>
      </c>
      <c r="BL134">
        <f>IFERROR(SMALL(BL47:BL127,ROW()-ROW($BL$130)+1),"")</f>
        <v>0</v>
      </c>
      <c r="BM134">
        <f>IFERROR(SMALL(BM47:BM127,ROW()-ROW($BM$130)+1),"")</f>
        <v>0</v>
      </c>
      <c r="BN134">
        <f>IFERROR(SMALL(BN47:BN127,ROW()-ROW($BN$130)+1),"")</f>
        <v>0</v>
      </c>
      <c r="BO134">
        <f>IFERROR(SMALL(BO47:BO127,ROW()-ROW($BO$130)+1),"")</f>
        <v>0</v>
      </c>
      <c r="BP134">
        <f>IFERROR(SMALL(BP47:BP127,ROW()-ROW($BP$130)+1),"")</f>
        <v>0</v>
      </c>
      <c r="BS134">
        <f>IFERROR(SMALL(BS47:BS127,ROW()-ROW($BS$130)+1),"")</f>
        <v>0</v>
      </c>
      <c r="BT134">
        <f>IFERROR(SMALL(BT47:BT127,ROW()-ROW($BT$130)+1),"")</f>
        <v>0</v>
      </c>
      <c r="BU134">
        <f>IFERROR(SMALL(BU47:BU127,ROW()-ROW($BU$130)+1),"")</f>
        <v>0</v>
      </c>
      <c r="BV134">
        <f>IFERROR(SMALL(BV47:BV127,ROW()-ROW($BV$130)+1),"")</f>
        <v>0</v>
      </c>
      <c r="BW134">
        <f>IFERROR(SMALL(BW47:BW127,ROW()-ROW($BW$130)+1),"")</f>
        <v>0</v>
      </c>
      <c r="BX134">
        <f>IFERROR(SMALL(BX47:BX127,ROW()-ROW($BX$130)+1),"")</f>
        <v>0</v>
      </c>
      <c r="BY134">
        <f>IFERROR(SMALL(BY47:BY127,ROW()-ROW($BY$130)+1),"")</f>
        <v>0</v>
      </c>
      <c r="BZ134">
        <f>IFERROR(SMALL(BZ47:BZ127,ROW()-ROW($BZ$130)+1),"")</f>
        <v>0</v>
      </c>
      <c r="CA134">
        <f>IFERROR(SMALL(CA47:CA127,ROW()-ROW($CA$130)+1),"")</f>
        <v>0</v>
      </c>
      <c r="CB134">
        <f>IFERROR(SMALL(CB47:CB127,ROW()-ROW($CB$130)+1),"")</f>
        <v>0</v>
      </c>
      <c r="CC134">
        <f>IFERROR(SMALL(CC47:CC127,ROW()-ROW($CC$130)+1),"")</f>
        <v>0</v>
      </c>
      <c r="CD134">
        <f>IFERROR(SMALL(CD47:CD127,ROW()-ROW($CD$130)+1),"")</f>
        <v>0</v>
      </c>
      <c r="CE134">
        <f>IFERROR(SMALL(CE47:CE127,ROW()-ROW($CE$130)+1),"")</f>
        <v>0</v>
      </c>
      <c r="CF134">
        <f>IFERROR(SMALL(CF47:CF127,ROW()-ROW($CF$130)+1),"")</f>
        <v>0</v>
      </c>
      <c r="CG134">
        <f>IFERROR(SMALL(CG47:CG127,ROW()-ROW($CG$130)+1),"")</f>
        <v>0</v>
      </c>
      <c r="CH134">
        <f>IFERROR(SMALL(CH47:CH127,ROW()-ROW($CH$130)+1),"")</f>
        <v>0</v>
      </c>
      <c r="CI134">
        <f>IFERROR(SMALL(CI47:CI127,ROW()-ROW($CI$130)+1),"")</f>
        <v>0</v>
      </c>
      <c r="CJ134">
        <f>IFERROR(SMALL(CJ47:CJ127,ROW()-ROW($CJ$130)+1),"")</f>
        <v>0</v>
      </c>
      <c r="CK134">
        <f>IFERROR(SMALL(CK47:CK127,ROW()-ROW($CK$130)+1),"")</f>
        <v>0</v>
      </c>
      <c r="CL134">
        <f>IFERROR(SMALL(CL47:CL127,ROW()-ROW($CL$130)+1),"")</f>
        <v>0</v>
      </c>
      <c r="CM134">
        <f>IFERROR(SMALL(CM47:CM127,ROW()-ROW($CM$130)+1),"")</f>
        <v>0</v>
      </c>
      <c r="CN134">
        <f>IFERROR(SMALL(CN47:CN127,ROW()-ROW($CN$130)+1),"")</f>
        <v>0</v>
      </c>
      <c r="CO134">
        <f>IFERROR(SMALL(CO47:CO127,ROW()-ROW($CO$130)+1),"")</f>
        <v>0</v>
      </c>
      <c r="CP134">
        <f>IFERROR(SMALL(CP47:CP127,ROW()-ROW($CP$130)+1),"")</f>
        <v>0</v>
      </c>
      <c r="CQ134">
        <f>IFERROR(SMALL(CQ47:CQ127,ROW()-ROW($CQ$130)+1),"")</f>
        <v>0</v>
      </c>
      <c r="CR134">
        <f>IFERROR(SMALL(CR47:CR127,ROW()-ROW($CR$130)+1),"")</f>
        <v>0</v>
      </c>
      <c r="CS134">
        <f>IFERROR(SMALL(CS47:CS127,ROW()-ROW($CS$130)+1),"")</f>
        <v>0</v>
      </c>
      <c r="CT134">
        <f>IFERROR(SMALL(CT47:CT127,ROW()-ROW($CT$130)+1),"")</f>
        <v>0</v>
      </c>
      <c r="CU134">
        <f>IFERROR(SMALL(CU47:CU127,ROW()-ROW($CU$130)+1),"")</f>
        <v>0</v>
      </c>
      <c r="CV134">
        <f>IFERROR(SMALL(CV47:CV127,ROW()-ROW($CV$130)+1),"")</f>
        <v>0</v>
      </c>
      <c r="CW134">
        <f>IFERROR(SMALL(CW47:CW127,ROW()-ROW($CW$130)+1),"")</f>
        <v>0</v>
      </c>
      <c r="CX134">
        <f>IFERROR(SMALL(CX47:CX127,ROW()-ROW($CX$130)+1),"")</f>
        <v>0</v>
      </c>
      <c r="CY134">
        <f>IFERROR(SMALL(CY47:CY127,ROW()-ROW($CY$130)+1),"")</f>
        <v>0</v>
      </c>
      <c r="CZ134">
        <f>IFERROR(SMALL(CZ47:CZ127,ROW()-ROW($CZ$130)+1),"")</f>
        <v>0</v>
      </c>
      <c r="DA134">
        <f>IFERROR(SMALL(DA47:DA127,ROW()-ROW($DA$130)+1),"")</f>
        <v>0</v>
      </c>
      <c r="DB134">
        <f>IFERROR(SMALL(DB47:DB127,ROW()-ROW($DB$130)+1),"")</f>
        <v>0</v>
      </c>
      <c r="DC134">
        <f>IFERROR(SMALL(DC47:DC127,ROW()-ROW($DC$130)+1),"")</f>
        <v>0</v>
      </c>
      <c r="DD134">
        <f>IFERROR(SMALL(DD47:DD127,ROW()-ROW($DD$130)+1),"")</f>
        <v>0</v>
      </c>
      <c r="DE134">
        <f>IFERROR(SMALL(DE47:DE127,ROW()-ROW($DE$130)+1),"")</f>
        <v>0</v>
      </c>
      <c r="DF134">
        <f>IFERROR(SMALL(DF47:DF127,ROW()-ROW($DF$130)+1),"")</f>
        <v>0</v>
      </c>
      <c r="DG134">
        <f>IFERROR(SMALL(DG47:DG127,ROW()-ROW($DG$130)+1),"")</f>
        <v>0</v>
      </c>
      <c r="DH134">
        <f>IFERROR(SMALL(DH47:DH127,ROW()-ROW($DH$130)+1),"")</f>
        <v>0</v>
      </c>
      <c r="DI134">
        <f>IFERROR(SMALL(DI47:DI127,ROW()-ROW($DI$130)+1),"")</f>
        <v>0</v>
      </c>
      <c r="DJ134">
        <f>IFERROR(SMALL(DJ47:DJ127,ROW()-ROW($DJ$130)+1),"")</f>
        <v>0</v>
      </c>
      <c r="DK134">
        <f>IFERROR(SMALL(DK47:DK127,ROW()-ROW($DK$130)+1),"")</f>
        <v>0</v>
      </c>
      <c r="DL134">
        <f>IFERROR(SMALL(DL47:DL127,ROW()-ROW($DL$130)+1),"")</f>
        <v>0</v>
      </c>
      <c r="DM134">
        <f>IFERROR(SMALL(DM47:DM127,ROW()-ROW($DM$130)+1),"")</f>
        <v>0</v>
      </c>
      <c r="DN134">
        <f>IFERROR(SMALL(DN47:DN127,ROW()-ROW($DN$130)+1),"")</f>
        <v>0</v>
      </c>
      <c r="DO134">
        <f>IFERROR(SMALL(DO47:DO127,ROW()-ROW($DO$130)+1),"")</f>
        <v>0</v>
      </c>
      <c r="DP134">
        <f>IFERROR(SMALL(DP47:DP127,ROW()-ROW($DP$130)+1),"")</f>
        <v>0</v>
      </c>
      <c r="DQ134">
        <f>IFERROR(SMALL(DQ47:DQ127,ROW()-ROW($DQ$130)+1),"")</f>
        <v>0</v>
      </c>
      <c r="DR134">
        <f>IFERROR(SMALL(DR47:DR127,ROW()-ROW($DR$130)+1),"")</f>
        <v>0</v>
      </c>
      <c r="DS134">
        <f>IFERROR(SMALL(DS47:DS127,ROW()-ROW($DS$130)+1),"")</f>
        <v>0</v>
      </c>
      <c r="DT134">
        <f>IFERROR(SMALL(DT47:DT127,ROW()-ROW($DT$130)+1),"")</f>
        <v>0</v>
      </c>
      <c r="DU134">
        <f>IFERROR(SMALL(DU47:DU127,ROW()-ROW($DU$130)+1),"")</f>
        <v>0</v>
      </c>
      <c r="DV134">
        <f>IFERROR(SMALL(DV47:DV127,ROW()-ROW($DV$130)+1),"")</f>
        <v>0</v>
      </c>
      <c r="DW134">
        <f>IFERROR(SMALL(DW47:DW127,ROW()-ROW($DW$130)+1),"")</f>
        <v>0</v>
      </c>
      <c r="DX134">
        <f>IFERROR(SMALL(DX47:DX127,ROW()-ROW($DX$130)+1),"")</f>
        <v>0</v>
      </c>
      <c r="DY134">
        <f>IFERROR(SMALL(DY47:DY127,ROW()-ROW($DY$130)+1),"")</f>
        <v>0</v>
      </c>
      <c r="DZ134">
        <f>IFERROR(SMALL(DZ47:DZ127,ROW()-ROW($DZ$130)+1),"")</f>
        <v>0</v>
      </c>
      <c r="EA134">
        <f>IFERROR(SMALL(EA47:EA127,ROW()-ROW($EA$130)+1),"")</f>
        <v>0</v>
      </c>
      <c r="EB134">
        <f>IFERROR(SMALL(EB47:EB127,ROW()-ROW($EB$130)+1),"")</f>
        <v>0</v>
      </c>
      <c r="EC134">
        <f>IFERROR(SMALL(EC47:EC127,ROW()-ROW($EC$130)+1),"")</f>
        <v>0</v>
      </c>
      <c r="ED134">
        <f>IFERROR(SMALL(ED47:ED127,ROW()-ROW($ED$130)+1),"")</f>
        <v>0</v>
      </c>
    </row>
    <row r="135" spans="4:134">
      <c r="E135">
        <f>IFERROR(SMALL(E47:E127,ROW()-ROW($E$130)+1),"")</f>
        <v>0</v>
      </c>
      <c r="F135">
        <f>IFERROR(SMALL(F47:F127,ROW()-ROW($F$130)+1),"")</f>
        <v>0</v>
      </c>
      <c r="G135">
        <f>IFERROR(SMALL(G47:G127,ROW()-ROW($G$130)+1),"")</f>
        <v>0</v>
      </c>
      <c r="H135">
        <f>IFERROR(SMALL(H47:H127,ROW()-ROW($H$130)+1),"")</f>
        <v>0</v>
      </c>
      <c r="I135">
        <f>IFERROR(SMALL(I47:I127,ROW()-ROW($I$130)+1),"")</f>
        <v>0</v>
      </c>
      <c r="J135">
        <f>IFERROR(SMALL(J47:J127,ROW()-ROW($J$130)+1),"")</f>
        <v>0</v>
      </c>
      <c r="K135">
        <f>IFERROR(SMALL(K47:K127,ROW()-ROW($K$130)+1),"")</f>
        <v>0</v>
      </c>
      <c r="L135">
        <f>IFERROR(SMALL(L47:L127,ROW()-ROW($L$130)+1),"")</f>
        <v>0</v>
      </c>
      <c r="M135">
        <f>IFERROR(SMALL(M47:M127,ROW()-ROW($M$130)+1),"")</f>
        <v>0</v>
      </c>
      <c r="N135">
        <f>IFERROR(SMALL(N47:N127,ROW()-ROW($N$130)+1),"")</f>
        <v>0</v>
      </c>
      <c r="O135">
        <f>IFERROR(SMALL(O47:O127,ROW()-ROW($O$130)+1),"")</f>
        <v>0</v>
      </c>
      <c r="P135">
        <f>IFERROR(SMALL(P47:P127,ROW()-ROW($P$130)+1),"")</f>
        <v>0</v>
      </c>
      <c r="Q135">
        <f>IFERROR(SMALL(Q47:Q127,ROW()-ROW($Q$130)+1),"")</f>
        <v>0</v>
      </c>
      <c r="R135">
        <f>IFERROR(SMALL(R47:R127,ROW()-ROW($R$130)+1),"")</f>
        <v>0</v>
      </c>
      <c r="S135">
        <f>IFERROR(SMALL(S47:S127,ROW()-ROW($S$130)+1),"")</f>
        <v>0</v>
      </c>
      <c r="T135">
        <f>IFERROR(SMALL(T47:T127,ROW()-ROW($T$130)+1),"")</f>
        <v>0</v>
      </c>
      <c r="U135">
        <f>IFERROR(SMALL(U47:U127,ROW()-ROW($U$130)+1),"")</f>
        <v>0</v>
      </c>
      <c r="V135">
        <f>IFERROR(SMALL(V47:V127,ROW()-ROW($V$130)+1),"")</f>
        <v>0</v>
      </c>
      <c r="W135">
        <f>IFERROR(SMALL(W47:W127,ROW()-ROW($W$130)+1),"")</f>
        <v>0</v>
      </c>
      <c r="X135">
        <f>IFERROR(SMALL(X47:X127,ROW()-ROW($X$130)+1),"")</f>
        <v>0</v>
      </c>
      <c r="Y135">
        <f>IFERROR(SMALL(Y47:Y127,ROW()-ROW($Y$130)+1),"")</f>
        <v>0</v>
      </c>
      <c r="Z135">
        <f>IFERROR(SMALL(Z47:Z127,ROW()-ROW($Z$130)+1),"")</f>
        <v>0</v>
      </c>
      <c r="AA135">
        <f>IFERROR(SMALL(AA47:AA127,ROW()-ROW($AA$130)+1),"")</f>
        <v>0</v>
      </c>
      <c r="AB135">
        <f>IFERROR(SMALL(AB47:AB127,ROW()-ROW($AB$130)+1),"")</f>
        <v>0</v>
      </c>
      <c r="AC135">
        <f>IFERROR(SMALL(AC47:AC127,ROW()-ROW($AC$130)+1),"")</f>
        <v>0</v>
      </c>
      <c r="AD135">
        <f>IFERROR(SMALL(AD47:AD127,ROW()-ROW($AD$130)+1),"")</f>
        <v>0</v>
      </c>
      <c r="AE135">
        <f>IFERROR(SMALL(AE47:AE127,ROW()-ROW($AE$130)+1),"")</f>
        <v>0</v>
      </c>
      <c r="AF135">
        <f>IFERROR(SMALL(AF47:AF127,ROW()-ROW($AF$130)+1),"")</f>
        <v>0</v>
      </c>
      <c r="AG135">
        <f>IFERROR(SMALL(AG47:AG127,ROW()-ROW($AG$130)+1),"")</f>
        <v>0</v>
      </c>
      <c r="AH135">
        <f>IFERROR(SMALL(AH47:AH127,ROW()-ROW($AH$130)+1),"")</f>
        <v>0</v>
      </c>
      <c r="AI135">
        <f>IFERROR(SMALL(AI47:AI127,ROW()-ROW($AI$130)+1),"")</f>
        <v>0</v>
      </c>
      <c r="AJ135">
        <f>IFERROR(SMALL(AJ47:AJ127,ROW()-ROW($AJ$130)+1),"")</f>
        <v>0</v>
      </c>
      <c r="AK135">
        <f>IFERROR(SMALL(AK47:AK127,ROW()-ROW($AK$130)+1),"")</f>
        <v>0</v>
      </c>
      <c r="AL135">
        <f>IFERROR(SMALL(AL47:AL127,ROW()-ROW($AL$130)+1),"")</f>
        <v>0</v>
      </c>
      <c r="AM135">
        <f>IFERROR(SMALL(AM47:AM127,ROW()-ROW($AM$130)+1),"")</f>
        <v>0</v>
      </c>
      <c r="AN135">
        <f>IFERROR(SMALL(AN47:AN127,ROW()-ROW($AN$130)+1),"")</f>
        <v>0</v>
      </c>
      <c r="AO135">
        <f>IFERROR(SMALL(AO47:AO127,ROW()-ROW($AO$130)+1),"")</f>
        <v>0</v>
      </c>
      <c r="AP135">
        <f>IFERROR(SMALL(AP47:AP127,ROW()-ROW($AP$130)+1),"")</f>
        <v>0</v>
      </c>
      <c r="AQ135">
        <f>IFERROR(SMALL(AQ47:AQ127,ROW()-ROW($AQ$130)+1),"")</f>
        <v>0</v>
      </c>
      <c r="AR135">
        <f>IFERROR(SMALL(AR47:AR127,ROW()-ROW($AR$130)+1),"")</f>
        <v>0</v>
      </c>
      <c r="AS135">
        <f>IFERROR(SMALL(AS47:AS127,ROW()-ROW($AS$130)+1),"")</f>
        <v>0</v>
      </c>
      <c r="AT135">
        <f>IFERROR(SMALL(AT47:AT127,ROW()-ROW($AT$130)+1),"")</f>
        <v>0</v>
      </c>
      <c r="AU135">
        <f>IFERROR(SMALL(AU47:AU127,ROW()-ROW($AU$130)+1),"")</f>
        <v>0</v>
      </c>
      <c r="AV135">
        <f>IFERROR(SMALL(AV47:AV127,ROW()-ROW($AV$130)+1),"")</f>
        <v>0</v>
      </c>
      <c r="AW135">
        <f>IFERROR(SMALL(AW47:AW127,ROW()-ROW($AW$130)+1),"")</f>
        <v>0</v>
      </c>
      <c r="AX135">
        <f>IFERROR(SMALL(AX47:AX127,ROW()-ROW($AX$130)+1),"")</f>
        <v>0</v>
      </c>
      <c r="AY135">
        <f>IFERROR(SMALL(AY47:AY127,ROW()-ROW($AY$130)+1),"")</f>
        <v>0</v>
      </c>
      <c r="AZ135">
        <f>IFERROR(SMALL(AZ47:AZ127,ROW()-ROW($AZ$130)+1),"")</f>
        <v>0</v>
      </c>
      <c r="BA135">
        <f>IFERROR(SMALL(BA47:BA127,ROW()-ROW($BA$130)+1),"")</f>
        <v>0</v>
      </c>
      <c r="BB135">
        <f>IFERROR(SMALL(BB47:BB127,ROW()-ROW($BB$130)+1),"")</f>
        <v>0</v>
      </c>
      <c r="BC135">
        <f>IFERROR(SMALL(BC47:BC127,ROW()-ROW($BC$130)+1),"")</f>
        <v>0</v>
      </c>
      <c r="BD135">
        <f>IFERROR(SMALL(BD47:BD127,ROW()-ROW($BD$130)+1),"")</f>
        <v>0</v>
      </c>
      <c r="BE135">
        <f>IFERROR(SMALL(BE47:BE127,ROW()-ROW($BE$130)+1),"")</f>
        <v>0</v>
      </c>
      <c r="BF135">
        <f>IFERROR(SMALL(BF47:BF127,ROW()-ROW($BF$130)+1),"")</f>
        <v>0</v>
      </c>
      <c r="BG135">
        <f>IFERROR(SMALL(BG47:BG127,ROW()-ROW($BG$130)+1),"")</f>
        <v>0</v>
      </c>
      <c r="BH135">
        <f>IFERROR(SMALL(BH47:BH127,ROW()-ROW($BH$130)+1),"")</f>
        <v>0</v>
      </c>
      <c r="BI135">
        <f>IFERROR(SMALL(BI47:BI127,ROW()-ROW($BI$130)+1),"")</f>
        <v>0</v>
      </c>
      <c r="BJ135">
        <f>IFERROR(SMALL(BJ47:BJ127,ROW()-ROW($BJ$130)+1),"")</f>
        <v>0</v>
      </c>
      <c r="BK135">
        <f>IFERROR(SMALL(BK47:BK127,ROW()-ROW($BK$130)+1),"")</f>
        <v>0</v>
      </c>
      <c r="BL135">
        <f>IFERROR(SMALL(BL47:BL127,ROW()-ROW($BL$130)+1),"")</f>
        <v>0</v>
      </c>
      <c r="BM135">
        <f>IFERROR(SMALL(BM47:BM127,ROW()-ROW($BM$130)+1),"")</f>
        <v>0</v>
      </c>
      <c r="BN135">
        <f>IFERROR(SMALL(BN47:BN127,ROW()-ROW($BN$130)+1),"")</f>
        <v>0</v>
      </c>
      <c r="BO135">
        <f>IFERROR(SMALL(BO47:BO127,ROW()-ROW($BO$130)+1),"")</f>
        <v>0</v>
      </c>
      <c r="BP135">
        <f>IFERROR(SMALL(BP47:BP127,ROW()-ROW($BP$130)+1),"")</f>
        <v>0</v>
      </c>
      <c r="BS135">
        <f>IFERROR(SMALL(BS47:BS127,ROW()-ROW($BS$130)+1),"")</f>
        <v>0</v>
      </c>
      <c r="BT135">
        <f>IFERROR(SMALL(BT47:BT127,ROW()-ROW($BT$130)+1),"")</f>
        <v>0</v>
      </c>
      <c r="BU135">
        <f>IFERROR(SMALL(BU47:BU127,ROW()-ROW($BU$130)+1),"")</f>
        <v>0</v>
      </c>
      <c r="BV135">
        <f>IFERROR(SMALL(BV47:BV127,ROW()-ROW($BV$130)+1),"")</f>
        <v>0</v>
      </c>
      <c r="BW135">
        <f>IFERROR(SMALL(BW47:BW127,ROW()-ROW($BW$130)+1),"")</f>
        <v>0</v>
      </c>
      <c r="BX135">
        <f>IFERROR(SMALL(BX47:BX127,ROW()-ROW($BX$130)+1),"")</f>
        <v>0</v>
      </c>
      <c r="BY135">
        <f>IFERROR(SMALL(BY47:BY127,ROW()-ROW($BY$130)+1),"")</f>
        <v>0</v>
      </c>
      <c r="BZ135">
        <f>IFERROR(SMALL(BZ47:BZ127,ROW()-ROW($BZ$130)+1),"")</f>
        <v>0</v>
      </c>
      <c r="CA135">
        <f>IFERROR(SMALL(CA47:CA127,ROW()-ROW($CA$130)+1),"")</f>
        <v>0</v>
      </c>
      <c r="CB135">
        <f>IFERROR(SMALL(CB47:CB127,ROW()-ROW($CB$130)+1),"")</f>
        <v>0</v>
      </c>
      <c r="CC135">
        <f>IFERROR(SMALL(CC47:CC127,ROW()-ROW($CC$130)+1),"")</f>
        <v>0</v>
      </c>
      <c r="CD135">
        <f>IFERROR(SMALL(CD47:CD127,ROW()-ROW($CD$130)+1),"")</f>
        <v>0</v>
      </c>
      <c r="CE135">
        <f>IFERROR(SMALL(CE47:CE127,ROW()-ROW($CE$130)+1),"")</f>
        <v>0</v>
      </c>
      <c r="CF135">
        <f>IFERROR(SMALL(CF47:CF127,ROW()-ROW($CF$130)+1),"")</f>
        <v>0</v>
      </c>
      <c r="CG135">
        <f>IFERROR(SMALL(CG47:CG127,ROW()-ROW($CG$130)+1),"")</f>
        <v>0</v>
      </c>
      <c r="CH135">
        <f>IFERROR(SMALL(CH47:CH127,ROW()-ROW($CH$130)+1),"")</f>
        <v>0</v>
      </c>
      <c r="CI135">
        <f>IFERROR(SMALL(CI47:CI127,ROW()-ROW($CI$130)+1),"")</f>
        <v>0</v>
      </c>
      <c r="CJ135">
        <f>IFERROR(SMALL(CJ47:CJ127,ROW()-ROW($CJ$130)+1),"")</f>
        <v>0</v>
      </c>
      <c r="CK135">
        <f>IFERROR(SMALL(CK47:CK127,ROW()-ROW($CK$130)+1),"")</f>
        <v>0</v>
      </c>
      <c r="CL135">
        <f>IFERROR(SMALL(CL47:CL127,ROW()-ROW($CL$130)+1),"")</f>
        <v>0</v>
      </c>
      <c r="CM135">
        <f>IFERROR(SMALL(CM47:CM127,ROW()-ROW($CM$130)+1),"")</f>
        <v>0</v>
      </c>
      <c r="CN135">
        <f>IFERROR(SMALL(CN47:CN127,ROW()-ROW($CN$130)+1),"")</f>
        <v>0</v>
      </c>
      <c r="CO135">
        <f>IFERROR(SMALL(CO47:CO127,ROW()-ROW($CO$130)+1),"")</f>
        <v>0</v>
      </c>
      <c r="CP135">
        <f>IFERROR(SMALL(CP47:CP127,ROW()-ROW($CP$130)+1),"")</f>
        <v>0</v>
      </c>
      <c r="CQ135">
        <f>IFERROR(SMALL(CQ47:CQ127,ROW()-ROW($CQ$130)+1),"")</f>
        <v>0</v>
      </c>
      <c r="CR135">
        <f>IFERROR(SMALL(CR47:CR127,ROW()-ROW($CR$130)+1),"")</f>
        <v>0</v>
      </c>
      <c r="CS135">
        <f>IFERROR(SMALL(CS47:CS127,ROW()-ROW($CS$130)+1),"")</f>
        <v>0</v>
      </c>
      <c r="CT135">
        <f>IFERROR(SMALL(CT47:CT127,ROW()-ROW($CT$130)+1),"")</f>
        <v>0</v>
      </c>
      <c r="CU135">
        <f>IFERROR(SMALL(CU47:CU127,ROW()-ROW($CU$130)+1),"")</f>
        <v>0</v>
      </c>
      <c r="CV135">
        <f>IFERROR(SMALL(CV47:CV127,ROW()-ROW($CV$130)+1),"")</f>
        <v>0</v>
      </c>
      <c r="CW135">
        <f>IFERROR(SMALL(CW47:CW127,ROW()-ROW($CW$130)+1),"")</f>
        <v>0</v>
      </c>
      <c r="CX135">
        <f>IFERROR(SMALL(CX47:CX127,ROW()-ROW($CX$130)+1),"")</f>
        <v>0</v>
      </c>
      <c r="CY135">
        <f>IFERROR(SMALL(CY47:CY127,ROW()-ROW($CY$130)+1),"")</f>
        <v>0</v>
      </c>
      <c r="CZ135">
        <f>IFERROR(SMALL(CZ47:CZ127,ROW()-ROW($CZ$130)+1),"")</f>
        <v>0</v>
      </c>
      <c r="DA135">
        <f>IFERROR(SMALL(DA47:DA127,ROW()-ROW($DA$130)+1),"")</f>
        <v>0</v>
      </c>
      <c r="DB135">
        <f>IFERROR(SMALL(DB47:DB127,ROW()-ROW($DB$130)+1),"")</f>
        <v>0</v>
      </c>
      <c r="DC135">
        <f>IFERROR(SMALL(DC47:DC127,ROW()-ROW($DC$130)+1),"")</f>
        <v>0</v>
      </c>
      <c r="DD135">
        <f>IFERROR(SMALL(DD47:DD127,ROW()-ROW($DD$130)+1),"")</f>
        <v>0</v>
      </c>
      <c r="DE135">
        <f>IFERROR(SMALL(DE47:DE127,ROW()-ROW($DE$130)+1),"")</f>
        <v>0</v>
      </c>
      <c r="DF135">
        <f>IFERROR(SMALL(DF47:DF127,ROW()-ROW($DF$130)+1),"")</f>
        <v>0</v>
      </c>
      <c r="DG135">
        <f>IFERROR(SMALL(DG47:DG127,ROW()-ROW($DG$130)+1),"")</f>
        <v>0</v>
      </c>
      <c r="DH135">
        <f>IFERROR(SMALL(DH47:DH127,ROW()-ROW($DH$130)+1),"")</f>
        <v>0</v>
      </c>
      <c r="DI135">
        <f>IFERROR(SMALL(DI47:DI127,ROW()-ROW($DI$130)+1),"")</f>
        <v>0</v>
      </c>
      <c r="DJ135">
        <f>IFERROR(SMALL(DJ47:DJ127,ROW()-ROW($DJ$130)+1),"")</f>
        <v>0</v>
      </c>
      <c r="DK135">
        <f>IFERROR(SMALL(DK47:DK127,ROW()-ROW($DK$130)+1),"")</f>
        <v>0</v>
      </c>
      <c r="DL135">
        <f>IFERROR(SMALL(DL47:DL127,ROW()-ROW($DL$130)+1),"")</f>
        <v>0</v>
      </c>
      <c r="DM135">
        <f>IFERROR(SMALL(DM47:DM127,ROW()-ROW($DM$130)+1),"")</f>
        <v>0</v>
      </c>
      <c r="DN135">
        <f>IFERROR(SMALL(DN47:DN127,ROW()-ROW($DN$130)+1),"")</f>
        <v>0</v>
      </c>
      <c r="DO135">
        <f>IFERROR(SMALL(DO47:DO127,ROW()-ROW($DO$130)+1),"")</f>
        <v>0</v>
      </c>
      <c r="DP135">
        <f>IFERROR(SMALL(DP47:DP127,ROW()-ROW($DP$130)+1),"")</f>
        <v>0</v>
      </c>
      <c r="DQ135">
        <f>IFERROR(SMALL(DQ47:DQ127,ROW()-ROW($DQ$130)+1),"")</f>
        <v>0</v>
      </c>
      <c r="DR135">
        <f>IFERROR(SMALL(DR47:DR127,ROW()-ROW($DR$130)+1),"")</f>
        <v>0</v>
      </c>
      <c r="DS135">
        <f>IFERROR(SMALL(DS47:DS127,ROW()-ROW($DS$130)+1),"")</f>
        <v>0</v>
      </c>
      <c r="DT135">
        <f>IFERROR(SMALL(DT47:DT127,ROW()-ROW($DT$130)+1),"")</f>
        <v>0</v>
      </c>
      <c r="DU135">
        <f>IFERROR(SMALL(DU47:DU127,ROW()-ROW($DU$130)+1),"")</f>
        <v>0</v>
      </c>
      <c r="DV135">
        <f>IFERROR(SMALL(DV47:DV127,ROW()-ROW($DV$130)+1),"")</f>
        <v>0</v>
      </c>
      <c r="DW135">
        <f>IFERROR(SMALL(DW47:DW127,ROW()-ROW($DW$130)+1),"")</f>
        <v>0</v>
      </c>
      <c r="DX135">
        <f>IFERROR(SMALL(DX47:DX127,ROW()-ROW($DX$130)+1),"")</f>
        <v>0</v>
      </c>
      <c r="DY135">
        <f>IFERROR(SMALL(DY47:DY127,ROW()-ROW($DY$130)+1),"")</f>
        <v>0</v>
      </c>
      <c r="DZ135">
        <f>IFERROR(SMALL(DZ47:DZ127,ROW()-ROW($DZ$130)+1),"")</f>
        <v>0</v>
      </c>
      <c r="EA135">
        <f>IFERROR(SMALL(EA47:EA127,ROW()-ROW($EA$130)+1),"")</f>
        <v>0</v>
      </c>
      <c r="EB135">
        <f>IFERROR(SMALL(EB47:EB127,ROW()-ROW($EB$130)+1),"")</f>
        <v>0</v>
      </c>
      <c r="EC135">
        <f>IFERROR(SMALL(EC47:EC127,ROW()-ROW($EC$130)+1),"")</f>
        <v>0</v>
      </c>
      <c r="ED135">
        <f>IFERROR(SMALL(ED47:ED127,ROW()-ROW($ED$130)+1),"")</f>
        <v>0</v>
      </c>
    </row>
    <row r="136" spans="4:134">
      <c r="E136">
        <f>IFERROR(SMALL(E47:E127,ROW()-ROW($E$130)+1),"")</f>
        <v>0</v>
      </c>
      <c r="F136">
        <f>IFERROR(SMALL(F47:F127,ROW()-ROW($F$130)+1),"")</f>
        <v>0</v>
      </c>
      <c r="G136">
        <f>IFERROR(SMALL(G47:G127,ROW()-ROW($G$130)+1),"")</f>
        <v>0</v>
      </c>
      <c r="H136">
        <f>IFERROR(SMALL(H47:H127,ROW()-ROW($H$130)+1),"")</f>
        <v>0</v>
      </c>
      <c r="I136">
        <f>IFERROR(SMALL(I47:I127,ROW()-ROW($I$130)+1),"")</f>
        <v>0</v>
      </c>
      <c r="J136">
        <f>IFERROR(SMALL(J47:J127,ROW()-ROW($J$130)+1),"")</f>
        <v>0</v>
      </c>
      <c r="K136">
        <f>IFERROR(SMALL(K47:K127,ROW()-ROW($K$130)+1),"")</f>
        <v>0</v>
      </c>
      <c r="L136">
        <f>IFERROR(SMALL(L47:L127,ROW()-ROW($L$130)+1),"")</f>
        <v>0</v>
      </c>
      <c r="M136">
        <f>IFERROR(SMALL(M47:M127,ROW()-ROW($M$130)+1),"")</f>
        <v>0</v>
      </c>
      <c r="N136">
        <f>IFERROR(SMALL(N47:N127,ROW()-ROW($N$130)+1),"")</f>
        <v>0</v>
      </c>
      <c r="O136">
        <f>IFERROR(SMALL(O47:O127,ROW()-ROW($O$130)+1),"")</f>
        <v>0</v>
      </c>
      <c r="P136">
        <f>IFERROR(SMALL(P47:P127,ROW()-ROW($P$130)+1),"")</f>
        <v>0</v>
      </c>
      <c r="Q136">
        <f>IFERROR(SMALL(Q47:Q127,ROW()-ROW($Q$130)+1),"")</f>
        <v>0</v>
      </c>
      <c r="R136">
        <f>IFERROR(SMALL(R47:R127,ROW()-ROW($R$130)+1),"")</f>
        <v>0</v>
      </c>
      <c r="S136">
        <f>IFERROR(SMALL(S47:S127,ROW()-ROW($S$130)+1),"")</f>
        <v>0</v>
      </c>
      <c r="T136">
        <f>IFERROR(SMALL(T47:T127,ROW()-ROW($T$130)+1),"")</f>
        <v>0</v>
      </c>
      <c r="U136">
        <f>IFERROR(SMALL(U47:U127,ROW()-ROW($U$130)+1),"")</f>
        <v>0</v>
      </c>
      <c r="V136">
        <f>IFERROR(SMALL(V47:V127,ROW()-ROW($V$130)+1),"")</f>
        <v>0</v>
      </c>
      <c r="W136">
        <f>IFERROR(SMALL(W47:W127,ROW()-ROW($W$130)+1),"")</f>
        <v>0</v>
      </c>
      <c r="X136">
        <f>IFERROR(SMALL(X47:X127,ROW()-ROW($X$130)+1),"")</f>
        <v>0</v>
      </c>
      <c r="Y136">
        <f>IFERROR(SMALL(Y47:Y127,ROW()-ROW($Y$130)+1),"")</f>
        <v>0</v>
      </c>
      <c r="Z136">
        <f>IFERROR(SMALL(Z47:Z127,ROW()-ROW($Z$130)+1),"")</f>
        <v>0</v>
      </c>
      <c r="AA136">
        <f>IFERROR(SMALL(AA47:AA127,ROW()-ROW($AA$130)+1),"")</f>
        <v>0</v>
      </c>
      <c r="AB136">
        <f>IFERROR(SMALL(AB47:AB127,ROW()-ROW($AB$130)+1),"")</f>
        <v>0</v>
      </c>
      <c r="AC136">
        <f>IFERROR(SMALL(AC47:AC127,ROW()-ROW($AC$130)+1),"")</f>
        <v>0</v>
      </c>
      <c r="AD136">
        <f>IFERROR(SMALL(AD47:AD127,ROW()-ROW($AD$130)+1),"")</f>
        <v>0</v>
      </c>
      <c r="AE136">
        <f>IFERROR(SMALL(AE47:AE127,ROW()-ROW($AE$130)+1),"")</f>
        <v>0</v>
      </c>
      <c r="AF136">
        <f>IFERROR(SMALL(AF47:AF127,ROW()-ROW($AF$130)+1),"")</f>
        <v>0</v>
      </c>
      <c r="AG136">
        <f>IFERROR(SMALL(AG47:AG127,ROW()-ROW($AG$130)+1),"")</f>
        <v>0</v>
      </c>
      <c r="AH136">
        <f>IFERROR(SMALL(AH47:AH127,ROW()-ROW($AH$130)+1),"")</f>
        <v>0</v>
      </c>
      <c r="AI136">
        <f>IFERROR(SMALL(AI47:AI127,ROW()-ROW($AI$130)+1),"")</f>
        <v>0</v>
      </c>
      <c r="AJ136">
        <f>IFERROR(SMALL(AJ47:AJ127,ROW()-ROW($AJ$130)+1),"")</f>
        <v>0</v>
      </c>
      <c r="AK136">
        <f>IFERROR(SMALL(AK47:AK127,ROW()-ROW($AK$130)+1),"")</f>
        <v>0</v>
      </c>
      <c r="AL136">
        <f>IFERROR(SMALL(AL47:AL127,ROW()-ROW($AL$130)+1),"")</f>
        <v>0</v>
      </c>
      <c r="AM136">
        <f>IFERROR(SMALL(AM47:AM127,ROW()-ROW($AM$130)+1),"")</f>
        <v>0</v>
      </c>
      <c r="AN136">
        <f>IFERROR(SMALL(AN47:AN127,ROW()-ROW($AN$130)+1),"")</f>
        <v>0</v>
      </c>
      <c r="AO136">
        <f>IFERROR(SMALL(AO47:AO127,ROW()-ROW($AO$130)+1),"")</f>
        <v>0</v>
      </c>
      <c r="AP136">
        <f>IFERROR(SMALL(AP47:AP127,ROW()-ROW($AP$130)+1),"")</f>
        <v>0</v>
      </c>
      <c r="AQ136">
        <f>IFERROR(SMALL(AQ47:AQ127,ROW()-ROW($AQ$130)+1),"")</f>
        <v>0</v>
      </c>
      <c r="AR136">
        <f>IFERROR(SMALL(AR47:AR127,ROW()-ROW($AR$130)+1),"")</f>
        <v>0</v>
      </c>
      <c r="AS136">
        <f>IFERROR(SMALL(AS47:AS127,ROW()-ROW($AS$130)+1),"")</f>
        <v>0</v>
      </c>
      <c r="AT136">
        <f>IFERROR(SMALL(AT47:AT127,ROW()-ROW($AT$130)+1),"")</f>
        <v>0</v>
      </c>
      <c r="AU136">
        <f>IFERROR(SMALL(AU47:AU127,ROW()-ROW($AU$130)+1),"")</f>
        <v>0</v>
      </c>
      <c r="AV136">
        <f>IFERROR(SMALL(AV47:AV127,ROW()-ROW($AV$130)+1),"")</f>
        <v>0</v>
      </c>
      <c r="AW136">
        <f>IFERROR(SMALL(AW47:AW127,ROW()-ROW($AW$130)+1),"")</f>
        <v>0</v>
      </c>
      <c r="AX136">
        <f>IFERROR(SMALL(AX47:AX127,ROW()-ROW($AX$130)+1),"")</f>
        <v>0</v>
      </c>
      <c r="AY136">
        <f>IFERROR(SMALL(AY47:AY127,ROW()-ROW($AY$130)+1),"")</f>
        <v>0</v>
      </c>
      <c r="AZ136">
        <f>IFERROR(SMALL(AZ47:AZ127,ROW()-ROW($AZ$130)+1),"")</f>
        <v>0</v>
      </c>
      <c r="BA136">
        <f>IFERROR(SMALL(BA47:BA127,ROW()-ROW($BA$130)+1),"")</f>
        <v>0</v>
      </c>
      <c r="BB136">
        <f>IFERROR(SMALL(BB47:BB127,ROW()-ROW($BB$130)+1),"")</f>
        <v>0</v>
      </c>
      <c r="BC136">
        <f>IFERROR(SMALL(BC47:BC127,ROW()-ROW($BC$130)+1),"")</f>
        <v>0</v>
      </c>
      <c r="BD136">
        <f>IFERROR(SMALL(BD47:BD127,ROW()-ROW($BD$130)+1),"")</f>
        <v>0</v>
      </c>
      <c r="BE136">
        <f>IFERROR(SMALL(BE47:BE127,ROW()-ROW($BE$130)+1),"")</f>
        <v>0</v>
      </c>
      <c r="BF136">
        <f>IFERROR(SMALL(BF47:BF127,ROW()-ROW($BF$130)+1),"")</f>
        <v>0</v>
      </c>
      <c r="BG136">
        <f>IFERROR(SMALL(BG47:BG127,ROW()-ROW($BG$130)+1),"")</f>
        <v>0</v>
      </c>
      <c r="BH136">
        <f>IFERROR(SMALL(BH47:BH127,ROW()-ROW($BH$130)+1),"")</f>
        <v>0</v>
      </c>
      <c r="BI136">
        <f>IFERROR(SMALL(BI47:BI127,ROW()-ROW($BI$130)+1),"")</f>
        <v>0</v>
      </c>
      <c r="BJ136">
        <f>IFERROR(SMALL(BJ47:BJ127,ROW()-ROW($BJ$130)+1),"")</f>
        <v>0</v>
      </c>
      <c r="BK136">
        <f>IFERROR(SMALL(BK47:BK127,ROW()-ROW($BK$130)+1),"")</f>
        <v>0</v>
      </c>
      <c r="BL136">
        <f>IFERROR(SMALL(BL47:BL127,ROW()-ROW($BL$130)+1),"")</f>
        <v>0</v>
      </c>
      <c r="BM136">
        <f>IFERROR(SMALL(BM47:BM127,ROW()-ROW($BM$130)+1),"")</f>
        <v>0</v>
      </c>
      <c r="BN136">
        <f>IFERROR(SMALL(BN47:BN127,ROW()-ROW($BN$130)+1),"")</f>
        <v>0</v>
      </c>
      <c r="BO136">
        <f>IFERROR(SMALL(BO47:BO127,ROW()-ROW($BO$130)+1),"")</f>
        <v>0</v>
      </c>
      <c r="BP136">
        <f>IFERROR(SMALL(BP47:BP127,ROW()-ROW($BP$130)+1),"")</f>
        <v>0</v>
      </c>
      <c r="BS136">
        <f>IFERROR(SMALL(BS47:BS127,ROW()-ROW($BS$130)+1),"")</f>
        <v>0</v>
      </c>
      <c r="BT136">
        <f>IFERROR(SMALL(BT47:BT127,ROW()-ROW($BT$130)+1),"")</f>
        <v>0</v>
      </c>
      <c r="BU136">
        <f>IFERROR(SMALL(BU47:BU127,ROW()-ROW($BU$130)+1),"")</f>
        <v>0</v>
      </c>
      <c r="BV136">
        <f>IFERROR(SMALL(BV47:BV127,ROW()-ROW($BV$130)+1),"")</f>
        <v>0</v>
      </c>
      <c r="BW136">
        <f>IFERROR(SMALL(BW47:BW127,ROW()-ROW($BW$130)+1),"")</f>
        <v>0</v>
      </c>
      <c r="BX136">
        <f>IFERROR(SMALL(BX47:BX127,ROW()-ROW($BX$130)+1),"")</f>
        <v>0</v>
      </c>
      <c r="BY136">
        <f>IFERROR(SMALL(BY47:BY127,ROW()-ROW($BY$130)+1),"")</f>
        <v>0</v>
      </c>
      <c r="BZ136">
        <f>IFERROR(SMALL(BZ47:BZ127,ROW()-ROW($BZ$130)+1),"")</f>
        <v>0</v>
      </c>
      <c r="CA136">
        <f>IFERROR(SMALL(CA47:CA127,ROW()-ROW($CA$130)+1),"")</f>
        <v>0</v>
      </c>
      <c r="CB136">
        <f>IFERROR(SMALL(CB47:CB127,ROW()-ROW($CB$130)+1),"")</f>
        <v>0</v>
      </c>
      <c r="CC136">
        <f>IFERROR(SMALL(CC47:CC127,ROW()-ROW($CC$130)+1),"")</f>
        <v>0</v>
      </c>
      <c r="CD136">
        <f>IFERROR(SMALL(CD47:CD127,ROW()-ROW($CD$130)+1),"")</f>
        <v>0</v>
      </c>
      <c r="CE136">
        <f>IFERROR(SMALL(CE47:CE127,ROW()-ROW($CE$130)+1),"")</f>
        <v>0</v>
      </c>
      <c r="CF136">
        <f>IFERROR(SMALL(CF47:CF127,ROW()-ROW($CF$130)+1),"")</f>
        <v>0</v>
      </c>
      <c r="CG136">
        <f>IFERROR(SMALL(CG47:CG127,ROW()-ROW($CG$130)+1),"")</f>
        <v>0</v>
      </c>
      <c r="CH136">
        <f>IFERROR(SMALL(CH47:CH127,ROW()-ROW($CH$130)+1),"")</f>
        <v>0</v>
      </c>
      <c r="CI136">
        <f>IFERROR(SMALL(CI47:CI127,ROW()-ROW($CI$130)+1),"")</f>
        <v>0</v>
      </c>
      <c r="CJ136">
        <f>IFERROR(SMALL(CJ47:CJ127,ROW()-ROW($CJ$130)+1),"")</f>
        <v>0</v>
      </c>
      <c r="CK136">
        <f>IFERROR(SMALL(CK47:CK127,ROW()-ROW($CK$130)+1),"")</f>
        <v>0</v>
      </c>
      <c r="CL136">
        <f>IFERROR(SMALL(CL47:CL127,ROW()-ROW($CL$130)+1),"")</f>
        <v>0</v>
      </c>
      <c r="CM136">
        <f>IFERROR(SMALL(CM47:CM127,ROW()-ROW($CM$130)+1),"")</f>
        <v>0</v>
      </c>
      <c r="CN136">
        <f>IFERROR(SMALL(CN47:CN127,ROW()-ROW($CN$130)+1),"")</f>
        <v>0</v>
      </c>
      <c r="CO136">
        <f>IFERROR(SMALL(CO47:CO127,ROW()-ROW($CO$130)+1),"")</f>
        <v>0</v>
      </c>
      <c r="CP136">
        <f>IFERROR(SMALL(CP47:CP127,ROW()-ROW($CP$130)+1),"")</f>
        <v>0</v>
      </c>
      <c r="CQ136">
        <f>IFERROR(SMALL(CQ47:CQ127,ROW()-ROW($CQ$130)+1),"")</f>
        <v>0</v>
      </c>
      <c r="CR136">
        <f>IFERROR(SMALL(CR47:CR127,ROW()-ROW($CR$130)+1),"")</f>
        <v>0</v>
      </c>
      <c r="CS136">
        <f>IFERROR(SMALL(CS47:CS127,ROW()-ROW($CS$130)+1),"")</f>
        <v>0</v>
      </c>
      <c r="CT136">
        <f>IFERROR(SMALL(CT47:CT127,ROW()-ROW($CT$130)+1),"")</f>
        <v>0</v>
      </c>
      <c r="CU136">
        <f>IFERROR(SMALL(CU47:CU127,ROW()-ROW($CU$130)+1),"")</f>
        <v>0</v>
      </c>
      <c r="CV136">
        <f>IFERROR(SMALL(CV47:CV127,ROW()-ROW($CV$130)+1),"")</f>
        <v>0</v>
      </c>
      <c r="CW136">
        <f>IFERROR(SMALL(CW47:CW127,ROW()-ROW($CW$130)+1),"")</f>
        <v>0</v>
      </c>
      <c r="CX136">
        <f>IFERROR(SMALL(CX47:CX127,ROW()-ROW($CX$130)+1),"")</f>
        <v>0</v>
      </c>
      <c r="CY136">
        <f>IFERROR(SMALL(CY47:CY127,ROW()-ROW($CY$130)+1),"")</f>
        <v>0</v>
      </c>
      <c r="CZ136">
        <f>IFERROR(SMALL(CZ47:CZ127,ROW()-ROW($CZ$130)+1),"")</f>
        <v>0</v>
      </c>
      <c r="DA136">
        <f>IFERROR(SMALL(DA47:DA127,ROW()-ROW($DA$130)+1),"")</f>
        <v>0</v>
      </c>
      <c r="DB136">
        <f>IFERROR(SMALL(DB47:DB127,ROW()-ROW($DB$130)+1),"")</f>
        <v>0</v>
      </c>
      <c r="DC136">
        <f>IFERROR(SMALL(DC47:DC127,ROW()-ROW($DC$130)+1),"")</f>
        <v>0</v>
      </c>
      <c r="DD136">
        <f>IFERROR(SMALL(DD47:DD127,ROW()-ROW($DD$130)+1),"")</f>
        <v>0</v>
      </c>
      <c r="DE136">
        <f>IFERROR(SMALL(DE47:DE127,ROW()-ROW($DE$130)+1),"")</f>
        <v>0</v>
      </c>
      <c r="DF136">
        <f>IFERROR(SMALL(DF47:DF127,ROW()-ROW($DF$130)+1),"")</f>
        <v>0</v>
      </c>
      <c r="DG136">
        <f>IFERROR(SMALL(DG47:DG127,ROW()-ROW($DG$130)+1),"")</f>
        <v>0</v>
      </c>
      <c r="DH136">
        <f>IFERROR(SMALL(DH47:DH127,ROW()-ROW($DH$130)+1),"")</f>
        <v>0</v>
      </c>
      <c r="DI136">
        <f>IFERROR(SMALL(DI47:DI127,ROW()-ROW($DI$130)+1),"")</f>
        <v>0</v>
      </c>
      <c r="DJ136">
        <f>IFERROR(SMALL(DJ47:DJ127,ROW()-ROW($DJ$130)+1),"")</f>
        <v>0</v>
      </c>
      <c r="DK136">
        <f>IFERROR(SMALL(DK47:DK127,ROW()-ROW($DK$130)+1),"")</f>
        <v>0</v>
      </c>
      <c r="DL136">
        <f>IFERROR(SMALL(DL47:DL127,ROW()-ROW($DL$130)+1),"")</f>
        <v>0</v>
      </c>
      <c r="DM136">
        <f>IFERROR(SMALL(DM47:DM127,ROW()-ROW($DM$130)+1),"")</f>
        <v>0</v>
      </c>
      <c r="DN136">
        <f>IFERROR(SMALL(DN47:DN127,ROW()-ROW($DN$130)+1),"")</f>
        <v>0</v>
      </c>
      <c r="DO136">
        <f>IFERROR(SMALL(DO47:DO127,ROW()-ROW($DO$130)+1),"")</f>
        <v>0</v>
      </c>
      <c r="DP136">
        <f>IFERROR(SMALL(DP47:DP127,ROW()-ROW($DP$130)+1),"")</f>
        <v>0</v>
      </c>
      <c r="DQ136">
        <f>IFERROR(SMALL(DQ47:DQ127,ROW()-ROW($DQ$130)+1),"")</f>
        <v>0</v>
      </c>
      <c r="DR136">
        <f>IFERROR(SMALL(DR47:DR127,ROW()-ROW($DR$130)+1),"")</f>
        <v>0</v>
      </c>
      <c r="DS136">
        <f>IFERROR(SMALL(DS47:DS127,ROW()-ROW($DS$130)+1),"")</f>
        <v>0</v>
      </c>
      <c r="DT136">
        <f>IFERROR(SMALL(DT47:DT127,ROW()-ROW($DT$130)+1),"")</f>
        <v>0</v>
      </c>
      <c r="DU136">
        <f>IFERROR(SMALL(DU47:DU127,ROW()-ROW($DU$130)+1),"")</f>
        <v>0</v>
      </c>
      <c r="DV136">
        <f>IFERROR(SMALL(DV47:DV127,ROW()-ROW($DV$130)+1),"")</f>
        <v>0</v>
      </c>
      <c r="DW136">
        <f>IFERROR(SMALL(DW47:DW127,ROW()-ROW($DW$130)+1),"")</f>
        <v>0</v>
      </c>
      <c r="DX136">
        <f>IFERROR(SMALL(DX47:DX127,ROW()-ROW($DX$130)+1),"")</f>
        <v>0</v>
      </c>
      <c r="DY136">
        <f>IFERROR(SMALL(DY47:DY127,ROW()-ROW($DY$130)+1),"")</f>
        <v>0</v>
      </c>
      <c r="DZ136">
        <f>IFERROR(SMALL(DZ47:DZ127,ROW()-ROW($DZ$130)+1),"")</f>
        <v>0</v>
      </c>
      <c r="EA136">
        <f>IFERROR(SMALL(EA47:EA127,ROW()-ROW($EA$130)+1),"")</f>
        <v>0</v>
      </c>
      <c r="EB136">
        <f>IFERROR(SMALL(EB47:EB127,ROW()-ROW($EB$130)+1),"")</f>
        <v>0</v>
      </c>
      <c r="EC136">
        <f>IFERROR(SMALL(EC47:EC127,ROW()-ROW($EC$130)+1),"")</f>
        <v>0</v>
      </c>
      <c r="ED136">
        <f>IFERROR(SMALL(ED47:ED127,ROW()-ROW($ED$130)+1),"")</f>
        <v>0</v>
      </c>
    </row>
    <row r="137" spans="4:134">
      <c r="E137">
        <f>IFERROR(SMALL(E47:E127,ROW()-ROW($E$130)+1),"")</f>
        <v>0</v>
      </c>
      <c r="F137">
        <f>IFERROR(SMALL(F47:F127,ROW()-ROW($F$130)+1),"")</f>
        <v>0</v>
      </c>
      <c r="G137">
        <f>IFERROR(SMALL(G47:G127,ROW()-ROW($G$130)+1),"")</f>
        <v>0</v>
      </c>
      <c r="H137">
        <f>IFERROR(SMALL(H47:H127,ROW()-ROW($H$130)+1),"")</f>
        <v>0</v>
      </c>
      <c r="I137">
        <f>IFERROR(SMALL(I47:I127,ROW()-ROW($I$130)+1),"")</f>
        <v>0</v>
      </c>
      <c r="J137">
        <f>IFERROR(SMALL(J47:J127,ROW()-ROW($J$130)+1),"")</f>
        <v>0</v>
      </c>
      <c r="K137">
        <f>IFERROR(SMALL(K47:K127,ROW()-ROW($K$130)+1),"")</f>
        <v>0</v>
      </c>
      <c r="L137">
        <f>IFERROR(SMALL(L47:L127,ROW()-ROW($L$130)+1),"")</f>
        <v>0</v>
      </c>
      <c r="M137">
        <f>IFERROR(SMALL(M47:M127,ROW()-ROW($M$130)+1),"")</f>
        <v>0</v>
      </c>
      <c r="N137">
        <f>IFERROR(SMALL(N47:N127,ROW()-ROW($N$130)+1),"")</f>
        <v>0</v>
      </c>
      <c r="O137">
        <f>IFERROR(SMALL(O47:O127,ROW()-ROW($O$130)+1),"")</f>
        <v>0</v>
      </c>
      <c r="P137">
        <f>IFERROR(SMALL(P47:P127,ROW()-ROW($P$130)+1),"")</f>
        <v>0</v>
      </c>
      <c r="Q137">
        <f>IFERROR(SMALL(Q47:Q127,ROW()-ROW($Q$130)+1),"")</f>
        <v>0</v>
      </c>
      <c r="R137">
        <f>IFERROR(SMALL(R47:R127,ROW()-ROW($R$130)+1),"")</f>
        <v>0</v>
      </c>
      <c r="S137">
        <f>IFERROR(SMALL(S47:S127,ROW()-ROW($S$130)+1),"")</f>
        <v>0</v>
      </c>
      <c r="T137">
        <f>IFERROR(SMALL(T47:T127,ROW()-ROW($T$130)+1),"")</f>
        <v>0</v>
      </c>
      <c r="U137">
        <f>IFERROR(SMALL(U47:U127,ROW()-ROW($U$130)+1),"")</f>
        <v>0</v>
      </c>
      <c r="V137">
        <f>IFERROR(SMALL(V47:V127,ROW()-ROW($V$130)+1),"")</f>
        <v>0</v>
      </c>
      <c r="W137">
        <f>IFERROR(SMALL(W47:W127,ROW()-ROW($W$130)+1),"")</f>
        <v>0</v>
      </c>
      <c r="X137">
        <f>IFERROR(SMALL(X47:X127,ROW()-ROW($X$130)+1),"")</f>
        <v>0</v>
      </c>
      <c r="Y137">
        <f>IFERROR(SMALL(Y47:Y127,ROW()-ROW($Y$130)+1),"")</f>
        <v>0</v>
      </c>
      <c r="Z137">
        <f>IFERROR(SMALL(Z47:Z127,ROW()-ROW($Z$130)+1),"")</f>
        <v>0</v>
      </c>
      <c r="AA137">
        <f>IFERROR(SMALL(AA47:AA127,ROW()-ROW($AA$130)+1),"")</f>
        <v>0</v>
      </c>
      <c r="AB137">
        <f>IFERROR(SMALL(AB47:AB127,ROW()-ROW($AB$130)+1),"")</f>
        <v>0</v>
      </c>
      <c r="AC137">
        <f>IFERROR(SMALL(AC47:AC127,ROW()-ROW($AC$130)+1),"")</f>
        <v>0</v>
      </c>
      <c r="AD137">
        <f>IFERROR(SMALL(AD47:AD127,ROW()-ROW($AD$130)+1),"")</f>
        <v>0</v>
      </c>
      <c r="AE137">
        <f>IFERROR(SMALL(AE47:AE127,ROW()-ROW($AE$130)+1),"")</f>
        <v>0</v>
      </c>
      <c r="AF137">
        <f>IFERROR(SMALL(AF47:AF127,ROW()-ROW($AF$130)+1),"")</f>
        <v>0</v>
      </c>
      <c r="AG137">
        <f>IFERROR(SMALL(AG47:AG127,ROW()-ROW($AG$130)+1),"")</f>
        <v>0</v>
      </c>
      <c r="AH137">
        <f>IFERROR(SMALL(AH47:AH127,ROW()-ROW($AH$130)+1),"")</f>
        <v>0</v>
      </c>
      <c r="AI137">
        <f>IFERROR(SMALL(AI47:AI127,ROW()-ROW($AI$130)+1),"")</f>
        <v>0</v>
      </c>
      <c r="AJ137">
        <f>IFERROR(SMALL(AJ47:AJ127,ROW()-ROW($AJ$130)+1),"")</f>
        <v>0</v>
      </c>
      <c r="AK137">
        <f>IFERROR(SMALL(AK47:AK127,ROW()-ROW($AK$130)+1),"")</f>
        <v>0</v>
      </c>
      <c r="AL137">
        <f>IFERROR(SMALL(AL47:AL127,ROW()-ROW($AL$130)+1),"")</f>
        <v>0</v>
      </c>
      <c r="AM137">
        <f>IFERROR(SMALL(AM47:AM127,ROW()-ROW($AM$130)+1),"")</f>
        <v>0</v>
      </c>
      <c r="AN137">
        <f>IFERROR(SMALL(AN47:AN127,ROW()-ROW($AN$130)+1),"")</f>
        <v>0</v>
      </c>
      <c r="AO137">
        <f>IFERROR(SMALL(AO47:AO127,ROW()-ROW($AO$130)+1),"")</f>
        <v>0</v>
      </c>
      <c r="AP137">
        <f>IFERROR(SMALL(AP47:AP127,ROW()-ROW($AP$130)+1),"")</f>
        <v>0</v>
      </c>
      <c r="AQ137">
        <f>IFERROR(SMALL(AQ47:AQ127,ROW()-ROW($AQ$130)+1),"")</f>
        <v>0</v>
      </c>
      <c r="AR137">
        <f>IFERROR(SMALL(AR47:AR127,ROW()-ROW($AR$130)+1),"")</f>
        <v>0</v>
      </c>
      <c r="AS137">
        <f>IFERROR(SMALL(AS47:AS127,ROW()-ROW($AS$130)+1),"")</f>
        <v>0</v>
      </c>
      <c r="AT137">
        <f>IFERROR(SMALL(AT47:AT127,ROW()-ROW($AT$130)+1),"")</f>
        <v>0</v>
      </c>
      <c r="AU137">
        <f>IFERROR(SMALL(AU47:AU127,ROW()-ROW($AU$130)+1),"")</f>
        <v>0</v>
      </c>
      <c r="AV137">
        <f>IFERROR(SMALL(AV47:AV127,ROW()-ROW($AV$130)+1),"")</f>
        <v>0</v>
      </c>
      <c r="AW137">
        <f>IFERROR(SMALL(AW47:AW127,ROW()-ROW($AW$130)+1),"")</f>
        <v>0</v>
      </c>
      <c r="AX137">
        <f>IFERROR(SMALL(AX47:AX127,ROW()-ROW($AX$130)+1),"")</f>
        <v>0</v>
      </c>
      <c r="AY137">
        <f>IFERROR(SMALL(AY47:AY127,ROW()-ROW($AY$130)+1),"")</f>
        <v>0</v>
      </c>
      <c r="AZ137">
        <f>IFERROR(SMALL(AZ47:AZ127,ROW()-ROW($AZ$130)+1),"")</f>
        <v>0</v>
      </c>
      <c r="BA137">
        <f>IFERROR(SMALL(BA47:BA127,ROW()-ROW($BA$130)+1),"")</f>
        <v>0</v>
      </c>
      <c r="BB137">
        <f>IFERROR(SMALL(BB47:BB127,ROW()-ROW($BB$130)+1),"")</f>
        <v>0</v>
      </c>
      <c r="BC137">
        <f>IFERROR(SMALL(BC47:BC127,ROW()-ROW($BC$130)+1),"")</f>
        <v>0</v>
      </c>
      <c r="BD137">
        <f>IFERROR(SMALL(BD47:BD127,ROW()-ROW($BD$130)+1),"")</f>
        <v>0</v>
      </c>
      <c r="BE137">
        <f>IFERROR(SMALL(BE47:BE127,ROW()-ROW($BE$130)+1),"")</f>
        <v>0</v>
      </c>
      <c r="BF137">
        <f>IFERROR(SMALL(BF47:BF127,ROW()-ROW($BF$130)+1),"")</f>
        <v>0</v>
      </c>
      <c r="BG137">
        <f>IFERROR(SMALL(BG47:BG127,ROW()-ROW($BG$130)+1),"")</f>
        <v>0</v>
      </c>
      <c r="BH137">
        <f>IFERROR(SMALL(BH47:BH127,ROW()-ROW($BH$130)+1),"")</f>
        <v>0</v>
      </c>
      <c r="BI137">
        <f>IFERROR(SMALL(BI47:BI127,ROW()-ROW($BI$130)+1),"")</f>
        <v>0</v>
      </c>
      <c r="BJ137">
        <f>IFERROR(SMALL(BJ47:BJ127,ROW()-ROW($BJ$130)+1),"")</f>
        <v>0</v>
      </c>
      <c r="BK137">
        <f>IFERROR(SMALL(BK47:BK127,ROW()-ROW($BK$130)+1),"")</f>
        <v>0</v>
      </c>
      <c r="BL137">
        <f>IFERROR(SMALL(BL47:BL127,ROW()-ROW($BL$130)+1),"")</f>
        <v>0</v>
      </c>
      <c r="BM137">
        <f>IFERROR(SMALL(BM47:BM127,ROW()-ROW($BM$130)+1),"")</f>
        <v>0</v>
      </c>
      <c r="BN137">
        <f>IFERROR(SMALL(BN47:BN127,ROW()-ROW($BN$130)+1),"")</f>
        <v>0</v>
      </c>
      <c r="BO137">
        <f>IFERROR(SMALL(BO47:BO127,ROW()-ROW($BO$130)+1),"")</f>
        <v>0</v>
      </c>
      <c r="BP137">
        <f>IFERROR(SMALL(BP47:BP127,ROW()-ROW($BP$130)+1),"")</f>
        <v>0</v>
      </c>
      <c r="BS137">
        <f>IFERROR(SMALL(BS47:BS127,ROW()-ROW($BS$130)+1),"")</f>
        <v>0</v>
      </c>
      <c r="BT137">
        <f>IFERROR(SMALL(BT47:BT127,ROW()-ROW($BT$130)+1),"")</f>
        <v>0</v>
      </c>
      <c r="BU137">
        <f>IFERROR(SMALL(BU47:BU127,ROW()-ROW($BU$130)+1),"")</f>
        <v>0</v>
      </c>
      <c r="BV137">
        <f>IFERROR(SMALL(BV47:BV127,ROW()-ROW($BV$130)+1),"")</f>
        <v>0</v>
      </c>
      <c r="BW137">
        <f>IFERROR(SMALL(BW47:BW127,ROW()-ROW($BW$130)+1),"")</f>
        <v>0</v>
      </c>
      <c r="BX137">
        <f>IFERROR(SMALL(BX47:BX127,ROW()-ROW($BX$130)+1),"")</f>
        <v>0</v>
      </c>
      <c r="BY137">
        <f>IFERROR(SMALL(BY47:BY127,ROW()-ROW($BY$130)+1),"")</f>
        <v>0</v>
      </c>
      <c r="BZ137">
        <f>IFERROR(SMALL(BZ47:BZ127,ROW()-ROW($BZ$130)+1),"")</f>
        <v>0</v>
      </c>
      <c r="CA137">
        <f>IFERROR(SMALL(CA47:CA127,ROW()-ROW($CA$130)+1),"")</f>
        <v>0</v>
      </c>
      <c r="CB137">
        <f>IFERROR(SMALL(CB47:CB127,ROW()-ROW($CB$130)+1),"")</f>
        <v>0</v>
      </c>
      <c r="CC137">
        <f>IFERROR(SMALL(CC47:CC127,ROW()-ROW($CC$130)+1),"")</f>
        <v>0</v>
      </c>
      <c r="CD137">
        <f>IFERROR(SMALL(CD47:CD127,ROW()-ROW($CD$130)+1),"")</f>
        <v>0</v>
      </c>
      <c r="CE137">
        <f>IFERROR(SMALL(CE47:CE127,ROW()-ROW($CE$130)+1),"")</f>
        <v>0</v>
      </c>
      <c r="CF137">
        <f>IFERROR(SMALL(CF47:CF127,ROW()-ROW($CF$130)+1),"")</f>
        <v>0</v>
      </c>
      <c r="CG137">
        <f>IFERROR(SMALL(CG47:CG127,ROW()-ROW($CG$130)+1),"")</f>
        <v>0</v>
      </c>
      <c r="CH137">
        <f>IFERROR(SMALL(CH47:CH127,ROW()-ROW($CH$130)+1),"")</f>
        <v>0</v>
      </c>
      <c r="CI137">
        <f>IFERROR(SMALL(CI47:CI127,ROW()-ROW($CI$130)+1),"")</f>
        <v>0</v>
      </c>
      <c r="CJ137">
        <f>IFERROR(SMALL(CJ47:CJ127,ROW()-ROW($CJ$130)+1),"")</f>
        <v>0</v>
      </c>
      <c r="CK137">
        <f>IFERROR(SMALL(CK47:CK127,ROW()-ROW($CK$130)+1),"")</f>
        <v>0</v>
      </c>
      <c r="CL137">
        <f>IFERROR(SMALL(CL47:CL127,ROW()-ROW($CL$130)+1),"")</f>
        <v>0</v>
      </c>
      <c r="CM137">
        <f>IFERROR(SMALL(CM47:CM127,ROW()-ROW($CM$130)+1),"")</f>
        <v>0</v>
      </c>
      <c r="CN137">
        <f>IFERROR(SMALL(CN47:CN127,ROW()-ROW($CN$130)+1),"")</f>
        <v>0</v>
      </c>
      <c r="CO137">
        <f>IFERROR(SMALL(CO47:CO127,ROW()-ROW($CO$130)+1),"")</f>
        <v>0</v>
      </c>
      <c r="CP137">
        <f>IFERROR(SMALL(CP47:CP127,ROW()-ROW($CP$130)+1),"")</f>
        <v>0</v>
      </c>
      <c r="CQ137">
        <f>IFERROR(SMALL(CQ47:CQ127,ROW()-ROW($CQ$130)+1),"")</f>
        <v>0</v>
      </c>
      <c r="CR137">
        <f>IFERROR(SMALL(CR47:CR127,ROW()-ROW($CR$130)+1),"")</f>
        <v>0</v>
      </c>
      <c r="CS137">
        <f>IFERROR(SMALL(CS47:CS127,ROW()-ROW($CS$130)+1),"")</f>
        <v>0</v>
      </c>
      <c r="CT137">
        <f>IFERROR(SMALL(CT47:CT127,ROW()-ROW($CT$130)+1),"")</f>
        <v>0</v>
      </c>
      <c r="CU137">
        <f>IFERROR(SMALL(CU47:CU127,ROW()-ROW($CU$130)+1),"")</f>
        <v>0</v>
      </c>
      <c r="CV137">
        <f>IFERROR(SMALL(CV47:CV127,ROW()-ROW($CV$130)+1),"")</f>
        <v>0</v>
      </c>
      <c r="CW137">
        <f>IFERROR(SMALL(CW47:CW127,ROW()-ROW($CW$130)+1),"")</f>
        <v>0</v>
      </c>
      <c r="CX137">
        <f>IFERROR(SMALL(CX47:CX127,ROW()-ROW($CX$130)+1),"")</f>
        <v>0</v>
      </c>
      <c r="CY137">
        <f>IFERROR(SMALL(CY47:CY127,ROW()-ROW($CY$130)+1),"")</f>
        <v>0</v>
      </c>
      <c r="CZ137">
        <f>IFERROR(SMALL(CZ47:CZ127,ROW()-ROW($CZ$130)+1),"")</f>
        <v>0</v>
      </c>
      <c r="DA137">
        <f>IFERROR(SMALL(DA47:DA127,ROW()-ROW($DA$130)+1),"")</f>
        <v>0</v>
      </c>
      <c r="DB137">
        <f>IFERROR(SMALL(DB47:DB127,ROW()-ROW($DB$130)+1),"")</f>
        <v>0</v>
      </c>
      <c r="DC137">
        <f>IFERROR(SMALL(DC47:DC127,ROW()-ROW($DC$130)+1),"")</f>
        <v>0</v>
      </c>
      <c r="DD137">
        <f>IFERROR(SMALL(DD47:DD127,ROW()-ROW($DD$130)+1),"")</f>
        <v>0</v>
      </c>
      <c r="DE137">
        <f>IFERROR(SMALL(DE47:DE127,ROW()-ROW($DE$130)+1),"")</f>
        <v>0</v>
      </c>
      <c r="DF137">
        <f>IFERROR(SMALL(DF47:DF127,ROW()-ROW($DF$130)+1),"")</f>
        <v>0</v>
      </c>
      <c r="DG137">
        <f>IFERROR(SMALL(DG47:DG127,ROW()-ROW($DG$130)+1),"")</f>
        <v>0</v>
      </c>
      <c r="DH137">
        <f>IFERROR(SMALL(DH47:DH127,ROW()-ROW($DH$130)+1),"")</f>
        <v>0</v>
      </c>
      <c r="DI137">
        <f>IFERROR(SMALL(DI47:DI127,ROW()-ROW($DI$130)+1),"")</f>
        <v>0</v>
      </c>
      <c r="DJ137">
        <f>IFERROR(SMALL(DJ47:DJ127,ROW()-ROW($DJ$130)+1),"")</f>
        <v>0</v>
      </c>
      <c r="DK137">
        <f>IFERROR(SMALL(DK47:DK127,ROW()-ROW($DK$130)+1),"")</f>
        <v>0</v>
      </c>
      <c r="DL137">
        <f>IFERROR(SMALL(DL47:DL127,ROW()-ROW($DL$130)+1),"")</f>
        <v>0</v>
      </c>
      <c r="DM137">
        <f>IFERROR(SMALL(DM47:DM127,ROW()-ROW($DM$130)+1),"")</f>
        <v>0</v>
      </c>
      <c r="DN137">
        <f>IFERROR(SMALL(DN47:DN127,ROW()-ROW($DN$130)+1),"")</f>
        <v>0</v>
      </c>
      <c r="DO137">
        <f>IFERROR(SMALL(DO47:DO127,ROW()-ROW($DO$130)+1),"")</f>
        <v>0</v>
      </c>
      <c r="DP137">
        <f>IFERROR(SMALL(DP47:DP127,ROW()-ROW($DP$130)+1),"")</f>
        <v>0</v>
      </c>
      <c r="DQ137">
        <f>IFERROR(SMALL(DQ47:DQ127,ROW()-ROW($DQ$130)+1),"")</f>
        <v>0</v>
      </c>
      <c r="DR137">
        <f>IFERROR(SMALL(DR47:DR127,ROW()-ROW($DR$130)+1),"")</f>
        <v>0</v>
      </c>
      <c r="DS137">
        <f>IFERROR(SMALL(DS47:DS127,ROW()-ROW($DS$130)+1),"")</f>
        <v>0</v>
      </c>
      <c r="DT137">
        <f>IFERROR(SMALL(DT47:DT127,ROW()-ROW($DT$130)+1),"")</f>
        <v>0</v>
      </c>
      <c r="DU137">
        <f>IFERROR(SMALL(DU47:DU127,ROW()-ROW($DU$130)+1),"")</f>
        <v>0</v>
      </c>
      <c r="DV137">
        <f>IFERROR(SMALL(DV47:DV127,ROW()-ROW($DV$130)+1),"")</f>
        <v>0</v>
      </c>
      <c r="DW137">
        <f>IFERROR(SMALL(DW47:DW127,ROW()-ROW($DW$130)+1),"")</f>
        <v>0</v>
      </c>
      <c r="DX137">
        <f>IFERROR(SMALL(DX47:DX127,ROW()-ROW($DX$130)+1),"")</f>
        <v>0</v>
      </c>
      <c r="DY137">
        <f>IFERROR(SMALL(DY47:DY127,ROW()-ROW($DY$130)+1),"")</f>
        <v>0</v>
      </c>
      <c r="DZ137">
        <f>IFERROR(SMALL(DZ47:DZ127,ROW()-ROW($DZ$130)+1),"")</f>
        <v>0</v>
      </c>
      <c r="EA137">
        <f>IFERROR(SMALL(EA47:EA127,ROW()-ROW($EA$130)+1),"")</f>
        <v>0</v>
      </c>
      <c r="EB137">
        <f>IFERROR(SMALL(EB47:EB127,ROW()-ROW($EB$130)+1),"")</f>
        <v>0</v>
      </c>
      <c r="EC137">
        <f>IFERROR(SMALL(EC47:EC127,ROW()-ROW($EC$130)+1),"")</f>
        <v>0</v>
      </c>
      <c r="ED137">
        <f>IFERROR(SMALL(ED47:ED127,ROW()-ROW($ED$130)+1),"")</f>
        <v>0</v>
      </c>
    </row>
    <row r="138" spans="4:134">
      <c r="E138">
        <f>IFERROR(SMALL(E47:E127,ROW()-ROW($E$130)+1),"")</f>
        <v>0</v>
      </c>
      <c r="F138">
        <f>IFERROR(SMALL(F47:F127,ROW()-ROW($F$130)+1),"")</f>
        <v>0</v>
      </c>
      <c r="G138">
        <f>IFERROR(SMALL(G47:G127,ROW()-ROW($G$130)+1),"")</f>
        <v>0</v>
      </c>
      <c r="H138">
        <f>IFERROR(SMALL(H47:H127,ROW()-ROW($H$130)+1),"")</f>
        <v>0</v>
      </c>
      <c r="I138">
        <f>IFERROR(SMALL(I47:I127,ROW()-ROW($I$130)+1),"")</f>
        <v>0</v>
      </c>
      <c r="J138">
        <f>IFERROR(SMALL(J47:J127,ROW()-ROW($J$130)+1),"")</f>
        <v>0</v>
      </c>
      <c r="K138">
        <f>IFERROR(SMALL(K47:K127,ROW()-ROW($K$130)+1),"")</f>
        <v>0</v>
      </c>
      <c r="L138">
        <f>IFERROR(SMALL(L47:L127,ROW()-ROW($L$130)+1),"")</f>
        <v>0</v>
      </c>
      <c r="M138">
        <f>IFERROR(SMALL(M47:M127,ROW()-ROW($M$130)+1),"")</f>
        <v>0</v>
      </c>
      <c r="N138">
        <f>IFERROR(SMALL(N47:N127,ROW()-ROW($N$130)+1),"")</f>
        <v>0</v>
      </c>
      <c r="O138">
        <f>IFERROR(SMALL(O47:O127,ROW()-ROW($O$130)+1),"")</f>
        <v>0</v>
      </c>
      <c r="P138">
        <f>IFERROR(SMALL(P47:P127,ROW()-ROW($P$130)+1),"")</f>
        <v>0</v>
      </c>
      <c r="Q138">
        <f>IFERROR(SMALL(Q47:Q127,ROW()-ROW($Q$130)+1),"")</f>
        <v>0</v>
      </c>
      <c r="R138">
        <f>IFERROR(SMALL(R47:R127,ROW()-ROW($R$130)+1),"")</f>
        <v>0</v>
      </c>
      <c r="S138">
        <f>IFERROR(SMALL(S47:S127,ROW()-ROW($S$130)+1),"")</f>
        <v>0</v>
      </c>
      <c r="T138">
        <f>IFERROR(SMALL(T47:T127,ROW()-ROW($T$130)+1),"")</f>
        <v>0</v>
      </c>
      <c r="U138">
        <f>IFERROR(SMALL(U47:U127,ROW()-ROW($U$130)+1),"")</f>
        <v>0</v>
      </c>
      <c r="V138">
        <f>IFERROR(SMALL(V47:V127,ROW()-ROW($V$130)+1),"")</f>
        <v>0</v>
      </c>
      <c r="W138">
        <f>IFERROR(SMALL(W47:W127,ROW()-ROW($W$130)+1),"")</f>
        <v>0</v>
      </c>
      <c r="X138">
        <f>IFERROR(SMALL(X47:X127,ROW()-ROW($X$130)+1),"")</f>
        <v>0</v>
      </c>
      <c r="Y138">
        <f>IFERROR(SMALL(Y47:Y127,ROW()-ROW($Y$130)+1),"")</f>
        <v>0</v>
      </c>
      <c r="Z138">
        <f>IFERROR(SMALL(Z47:Z127,ROW()-ROW($Z$130)+1),"")</f>
        <v>0</v>
      </c>
      <c r="AA138">
        <f>IFERROR(SMALL(AA47:AA127,ROW()-ROW($AA$130)+1),"")</f>
        <v>0</v>
      </c>
      <c r="AB138">
        <f>IFERROR(SMALL(AB47:AB127,ROW()-ROW($AB$130)+1),"")</f>
        <v>0</v>
      </c>
      <c r="AC138">
        <f>IFERROR(SMALL(AC47:AC127,ROW()-ROW($AC$130)+1),"")</f>
        <v>0</v>
      </c>
      <c r="AD138">
        <f>IFERROR(SMALL(AD47:AD127,ROW()-ROW($AD$130)+1),"")</f>
        <v>0</v>
      </c>
      <c r="AE138">
        <f>IFERROR(SMALL(AE47:AE127,ROW()-ROW($AE$130)+1),"")</f>
        <v>0</v>
      </c>
      <c r="AF138">
        <f>IFERROR(SMALL(AF47:AF127,ROW()-ROW($AF$130)+1),"")</f>
        <v>0</v>
      </c>
      <c r="AG138">
        <f>IFERROR(SMALL(AG47:AG127,ROW()-ROW($AG$130)+1),"")</f>
        <v>0</v>
      </c>
      <c r="AH138">
        <f>IFERROR(SMALL(AH47:AH127,ROW()-ROW($AH$130)+1),"")</f>
        <v>0</v>
      </c>
      <c r="AI138">
        <f>IFERROR(SMALL(AI47:AI127,ROW()-ROW($AI$130)+1),"")</f>
        <v>0</v>
      </c>
      <c r="AJ138">
        <f>IFERROR(SMALL(AJ47:AJ127,ROW()-ROW($AJ$130)+1),"")</f>
        <v>0</v>
      </c>
      <c r="AK138">
        <f>IFERROR(SMALL(AK47:AK127,ROW()-ROW($AK$130)+1),"")</f>
        <v>0</v>
      </c>
      <c r="AL138">
        <f>IFERROR(SMALL(AL47:AL127,ROW()-ROW($AL$130)+1),"")</f>
        <v>0</v>
      </c>
      <c r="AM138">
        <f>IFERROR(SMALL(AM47:AM127,ROW()-ROW($AM$130)+1),"")</f>
        <v>0</v>
      </c>
      <c r="AN138">
        <f>IFERROR(SMALL(AN47:AN127,ROW()-ROW($AN$130)+1),"")</f>
        <v>0</v>
      </c>
      <c r="AO138">
        <f>IFERROR(SMALL(AO47:AO127,ROW()-ROW($AO$130)+1),"")</f>
        <v>0</v>
      </c>
      <c r="AP138">
        <f>IFERROR(SMALL(AP47:AP127,ROW()-ROW($AP$130)+1),"")</f>
        <v>0</v>
      </c>
      <c r="AQ138">
        <f>IFERROR(SMALL(AQ47:AQ127,ROW()-ROW($AQ$130)+1),"")</f>
        <v>0</v>
      </c>
      <c r="AR138">
        <f>IFERROR(SMALL(AR47:AR127,ROW()-ROW($AR$130)+1),"")</f>
        <v>0</v>
      </c>
      <c r="AS138">
        <f>IFERROR(SMALL(AS47:AS127,ROW()-ROW($AS$130)+1),"")</f>
        <v>0</v>
      </c>
      <c r="AT138">
        <f>IFERROR(SMALL(AT47:AT127,ROW()-ROW($AT$130)+1),"")</f>
        <v>0</v>
      </c>
      <c r="AU138">
        <f>IFERROR(SMALL(AU47:AU127,ROW()-ROW($AU$130)+1),"")</f>
        <v>0</v>
      </c>
      <c r="AV138">
        <f>IFERROR(SMALL(AV47:AV127,ROW()-ROW($AV$130)+1),"")</f>
        <v>0</v>
      </c>
      <c r="AW138">
        <f>IFERROR(SMALL(AW47:AW127,ROW()-ROW($AW$130)+1),"")</f>
        <v>0</v>
      </c>
      <c r="AX138">
        <f>IFERROR(SMALL(AX47:AX127,ROW()-ROW($AX$130)+1),"")</f>
        <v>0</v>
      </c>
      <c r="AY138">
        <f>IFERROR(SMALL(AY47:AY127,ROW()-ROW($AY$130)+1),"")</f>
        <v>0</v>
      </c>
      <c r="AZ138">
        <f>IFERROR(SMALL(AZ47:AZ127,ROW()-ROW($AZ$130)+1),"")</f>
        <v>0</v>
      </c>
      <c r="BA138">
        <f>IFERROR(SMALL(BA47:BA127,ROW()-ROW($BA$130)+1),"")</f>
        <v>0</v>
      </c>
      <c r="BB138">
        <f>IFERROR(SMALL(BB47:BB127,ROW()-ROW($BB$130)+1),"")</f>
        <v>0</v>
      </c>
      <c r="BC138">
        <f>IFERROR(SMALL(BC47:BC127,ROW()-ROW($BC$130)+1),"")</f>
        <v>0</v>
      </c>
      <c r="BD138">
        <f>IFERROR(SMALL(BD47:BD127,ROW()-ROW($BD$130)+1),"")</f>
        <v>0</v>
      </c>
      <c r="BE138">
        <f>IFERROR(SMALL(BE47:BE127,ROW()-ROW($BE$130)+1),"")</f>
        <v>0</v>
      </c>
      <c r="BF138">
        <f>IFERROR(SMALL(BF47:BF127,ROW()-ROW($BF$130)+1),"")</f>
        <v>0</v>
      </c>
      <c r="BG138">
        <f>IFERROR(SMALL(BG47:BG127,ROW()-ROW($BG$130)+1),"")</f>
        <v>0</v>
      </c>
      <c r="BH138">
        <f>IFERROR(SMALL(BH47:BH127,ROW()-ROW($BH$130)+1),"")</f>
        <v>0</v>
      </c>
      <c r="BI138">
        <f>IFERROR(SMALL(BI47:BI127,ROW()-ROW($BI$130)+1),"")</f>
        <v>0</v>
      </c>
      <c r="BJ138">
        <f>IFERROR(SMALL(BJ47:BJ127,ROW()-ROW($BJ$130)+1),"")</f>
        <v>0</v>
      </c>
      <c r="BK138">
        <f>IFERROR(SMALL(BK47:BK127,ROW()-ROW($BK$130)+1),"")</f>
        <v>0</v>
      </c>
      <c r="BL138">
        <f>IFERROR(SMALL(BL47:BL127,ROW()-ROW($BL$130)+1),"")</f>
        <v>0</v>
      </c>
      <c r="BM138">
        <f>IFERROR(SMALL(BM47:BM127,ROW()-ROW($BM$130)+1),"")</f>
        <v>0</v>
      </c>
      <c r="BN138">
        <f>IFERROR(SMALL(BN47:BN127,ROW()-ROW($BN$130)+1),"")</f>
        <v>0</v>
      </c>
      <c r="BO138">
        <f>IFERROR(SMALL(BO47:BO127,ROW()-ROW($BO$130)+1),"")</f>
        <v>0</v>
      </c>
      <c r="BP138">
        <f>IFERROR(SMALL(BP47:BP127,ROW()-ROW($BP$130)+1),"")</f>
        <v>0</v>
      </c>
      <c r="BS138">
        <f>IFERROR(SMALL(BS47:BS127,ROW()-ROW($BS$130)+1),"")</f>
        <v>0</v>
      </c>
      <c r="BT138">
        <f>IFERROR(SMALL(BT47:BT127,ROW()-ROW($BT$130)+1),"")</f>
        <v>0</v>
      </c>
      <c r="BU138">
        <f>IFERROR(SMALL(BU47:BU127,ROW()-ROW($BU$130)+1),"")</f>
        <v>0</v>
      </c>
      <c r="BV138">
        <f>IFERROR(SMALL(BV47:BV127,ROW()-ROW($BV$130)+1),"")</f>
        <v>0</v>
      </c>
      <c r="BW138">
        <f>IFERROR(SMALL(BW47:BW127,ROW()-ROW($BW$130)+1),"")</f>
        <v>0</v>
      </c>
      <c r="BX138">
        <f>IFERROR(SMALL(BX47:BX127,ROW()-ROW($BX$130)+1),"")</f>
        <v>0</v>
      </c>
      <c r="BY138">
        <f>IFERROR(SMALL(BY47:BY127,ROW()-ROW($BY$130)+1),"")</f>
        <v>0</v>
      </c>
      <c r="BZ138">
        <f>IFERROR(SMALL(BZ47:BZ127,ROW()-ROW($BZ$130)+1),"")</f>
        <v>0</v>
      </c>
      <c r="CA138">
        <f>IFERROR(SMALL(CA47:CA127,ROW()-ROW($CA$130)+1),"")</f>
        <v>0</v>
      </c>
      <c r="CB138">
        <f>IFERROR(SMALL(CB47:CB127,ROW()-ROW($CB$130)+1),"")</f>
        <v>0</v>
      </c>
      <c r="CC138">
        <f>IFERROR(SMALL(CC47:CC127,ROW()-ROW($CC$130)+1),"")</f>
        <v>0</v>
      </c>
      <c r="CD138">
        <f>IFERROR(SMALL(CD47:CD127,ROW()-ROW($CD$130)+1),"")</f>
        <v>0</v>
      </c>
      <c r="CE138">
        <f>IFERROR(SMALL(CE47:CE127,ROW()-ROW($CE$130)+1),"")</f>
        <v>0</v>
      </c>
      <c r="CF138">
        <f>IFERROR(SMALL(CF47:CF127,ROW()-ROW($CF$130)+1),"")</f>
        <v>0</v>
      </c>
      <c r="CG138">
        <f>IFERROR(SMALL(CG47:CG127,ROW()-ROW($CG$130)+1),"")</f>
        <v>0</v>
      </c>
      <c r="CH138">
        <f>IFERROR(SMALL(CH47:CH127,ROW()-ROW($CH$130)+1),"")</f>
        <v>0</v>
      </c>
      <c r="CI138">
        <f>IFERROR(SMALL(CI47:CI127,ROW()-ROW($CI$130)+1),"")</f>
        <v>0</v>
      </c>
      <c r="CJ138">
        <f>IFERROR(SMALL(CJ47:CJ127,ROW()-ROW($CJ$130)+1),"")</f>
        <v>0</v>
      </c>
      <c r="CK138">
        <f>IFERROR(SMALL(CK47:CK127,ROW()-ROW($CK$130)+1),"")</f>
        <v>0</v>
      </c>
      <c r="CL138">
        <f>IFERROR(SMALL(CL47:CL127,ROW()-ROW($CL$130)+1),"")</f>
        <v>0</v>
      </c>
      <c r="CM138">
        <f>IFERROR(SMALL(CM47:CM127,ROW()-ROW($CM$130)+1),"")</f>
        <v>0</v>
      </c>
      <c r="CN138">
        <f>IFERROR(SMALL(CN47:CN127,ROW()-ROW($CN$130)+1),"")</f>
        <v>0</v>
      </c>
      <c r="CO138">
        <f>IFERROR(SMALL(CO47:CO127,ROW()-ROW($CO$130)+1),"")</f>
        <v>0</v>
      </c>
      <c r="CP138">
        <f>IFERROR(SMALL(CP47:CP127,ROW()-ROW($CP$130)+1),"")</f>
        <v>0</v>
      </c>
      <c r="CQ138">
        <f>IFERROR(SMALL(CQ47:CQ127,ROW()-ROW($CQ$130)+1),"")</f>
        <v>0</v>
      </c>
      <c r="CR138">
        <f>IFERROR(SMALL(CR47:CR127,ROW()-ROW($CR$130)+1),"")</f>
        <v>0</v>
      </c>
      <c r="CS138">
        <f>IFERROR(SMALL(CS47:CS127,ROW()-ROW($CS$130)+1),"")</f>
        <v>0</v>
      </c>
      <c r="CT138">
        <f>IFERROR(SMALL(CT47:CT127,ROW()-ROW($CT$130)+1),"")</f>
        <v>0</v>
      </c>
      <c r="CU138">
        <f>IFERROR(SMALL(CU47:CU127,ROW()-ROW($CU$130)+1),"")</f>
        <v>0</v>
      </c>
      <c r="CV138">
        <f>IFERROR(SMALL(CV47:CV127,ROW()-ROW($CV$130)+1),"")</f>
        <v>0</v>
      </c>
      <c r="CW138">
        <f>IFERROR(SMALL(CW47:CW127,ROW()-ROW($CW$130)+1),"")</f>
        <v>0</v>
      </c>
      <c r="CX138">
        <f>IFERROR(SMALL(CX47:CX127,ROW()-ROW($CX$130)+1),"")</f>
        <v>0</v>
      </c>
      <c r="CY138">
        <f>IFERROR(SMALL(CY47:CY127,ROW()-ROW($CY$130)+1),"")</f>
        <v>0</v>
      </c>
      <c r="CZ138">
        <f>IFERROR(SMALL(CZ47:CZ127,ROW()-ROW($CZ$130)+1),"")</f>
        <v>0</v>
      </c>
      <c r="DA138">
        <f>IFERROR(SMALL(DA47:DA127,ROW()-ROW($DA$130)+1),"")</f>
        <v>0</v>
      </c>
      <c r="DB138">
        <f>IFERROR(SMALL(DB47:DB127,ROW()-ROW($DB$130)+1),"")</f>
        <v>0</v>
      </c>
      <c r="DC138">
        <f>IFERROR(SMALL(DC47:DC127,ROW()-ROW($DC$130)+1),"")</f>
        <v>0</v>
      </c>
      <c r="DD138">
        <f>IFERROR(SMALL(DD47:DD127,ROW()-ROW($DD$130)+1),"")</f>
        <v>0</v>
      </c>
      <c r="DE138">
        <f>IFERROR(SMALL(DE47:DE127,ROW()-ROW($DE$130)+1),"")</f>
        <v>0</v>
      </c>
      <c r="DF138">
        <f>IFERROR(SMALL(DF47:DF127,ROW()-ROW($DF$130)+1),"")</f>
        <v>0</v>
      </c>
      <c r="DG138">
        <f>IFERROR(SMALL(DG47:DG127,ROW()-ROW($DG$130)+1),"")</f>
        <v>0</v>
      </c>
      <c r="DH138">
        <f>IFERROR(SMALL(DH47:DH127,ROW()-ROW($DH$130)+1),"")</f>
        <v>0</v>
      </c>
      <c r="DI138">
        <f>IFERROR(SMALL(DI47:DI127,ROW()-ROW($DI$130)+1),"")</f>
        <v>0</v>
      </c>
      <c r="DJ138">
        <f>IFERROR(SMALL(DJ47:DJ127,ROW()-ROW($DJ$130)+1),"")</f>
        <v>0</v>
      </c>
      <c r="DK138">
        <f>IFERROR(SMALL(DK47:DK127,ROW()-ROW($DK$130)+1),"")</f>
        <v>0</v>
      </c>
      <c r="DL138">
        <f>IFERROR(SMALL(DL47:DL127,ROW()-ROW($DL$130)+1),"")</f>
        <v>0</v>
      </c>
      <c r="DM138">
        <f>IFERROR(SMALL(DM47:DM127,ROW()-ROW($DM$130)+1),"")</f>
        <v>0</v>
      </c>
      <c r="DN138">
        <f>IFERROR(SMALL(DN47:DN127,ROW()-ROW($DN$130)+1),"")</f>
        <v>0</v>
      </c>
      <c r="DO138">
        <f>IFERROR(SMALL(DO47:DO127,ROW()-ROW($DO$130)+1),"")</f>
        <v>0</v>
      </c>
      <c r="DP138">
        <f>IFERROR(SMALL(DP47:DP127,ROW()-ROW($DP$130)+1),"")</f>
        <v>0</v>
      </c>
      <c r="DQ138">
        <f>IFERROR(SMALL(DQ47:DQ127,ROW()-ROW($DQ$130)+1),"")</f>
        <v>0</v>
      </c>
      <c r="DR138">
        <f>IFERROR(SMALL(DR47:DR127,ROW()-ROW($DR$130)+1),"")</f>
        <v>0</v>
      </c>
      <c r="DS138">
        <f>IFERROR(SMALL(DS47:DS127,ROW()-ROW($DS$130)+1),"")</f>
        <v>0</v>
      </c>
      <c r="DT138">
        <f>IFERROR(SMALL(DT47:DT127,ROW()-ROW($DT$130)+1),"")</f>
        <v>0</v>
      </c>
      <c r="DU138">
        <f>IFERROR(SMALL(DU47:DU127,ROW()-ROW($DU$130)+1),"")</f>
        <v>0</v>
      </c>
      <c r="DV138">
        <f>IFERROR(SMALL(DV47:DV127,ROW()-ROW($DV$130)+1),"")</f>
        <v>0</v>
      </c>
      <c r="DW138">
        <f>IFERROR(SMALL(DW47:DW127,ROW()-ROW($DW$130)+1),"")</f>
        <v>0</v>
      </c>
      <c r="DX138">
        <f>IFERROR(SMALL(DX47:DX127,ROW()-ROW($DX$130)+1),"")</f>
        <v>0</v>
      </c>
      <c r="DY138">
        <f>IFERROR(SMALL(DY47:DY127,ROW()-ROW($DY$130)+1),"")</f>
        <v>0</v>
      </c>
      <c r="DZ138">
        <f>IFERROR(SMALL(DZ47:DZ127,ROW()-ROW($DZ$130)+1),"")</f>
        <v>0</v>
      </c>
      <c r="EA138">
        <f>IFERROR(SMALL(EA47:EA127,ROW()-ROW($EA$130)+1),"")</f>
        <v>0</v>
      </c>
      <c r="EB138">
        <f>IFERROR(SMALL(EB47:EB127,ROW()-ROW($EB$130)+1),"")</f>
        <v>0</v>
      </c>
      <c r="EC138">
        <f>IFERROR(SMALL(EC47:EC127,ROW()-ROW($EC$130)+1),"")</f>
        <v>0</v>
      </c>
      <c r="ED138">
        <f>IFERROR(SMALL(ED47:ED127,ROW()-ROW($ED$130)+1),"")</f>
        <v>0</v>
      </c>
    </row>
    <row r="139" spans="4:134">
      <c r="E139">
        <f>IFERROR(SMALL(E47:E127,ROW()-ROW($E$130)+1),"")</f>
        <v>0</v>
      </c>
      <c r="F139">
        <f>IFERROR(SMALL(F47:F127,ROW()-ROW($F$130)+1),"")</f>
        <v>0</v>
      </c>
      <c r="G139">
        <f>IFERROR(SMALL(G47:G127,ROW()-ROW($G$130)+1),"")</f>
        <v>0</v>
      </c>
      <c r="H139">
        <f>IFERROR(SMALL(H47:H127,ROW()-ROW($H$130)+1),"")</f>
        <v>0</v>
      </c>
      <c r="I139">
        <f>IFERROR(SMALL(I47:I127,ROW()-ROW($I$130)+1),"")</f>
        <v>0</v>
      </c>
      <c r="J139">
        <f>IFERROR(SMALL(J47:J127,ROW()-ROW($J$130)+1),"")</f>
        <v>0</v>
      </c>
      <c r="K139">
        <f>IFERROR(SMALL(K47:K127,ROW()-ROW($K$130)+1),"")</f>
        <v>0</v>
      </c>
      <c r="L139">
        <f>IFERROR(SMALL(L47:L127,ROW()-ROW($L$130)+1),"")</f>
        <v>0</v>
      </c>
      <c r="M139">
        <f>IFERROR(SMALL(M47:M127,ROW()-ROW($M$130)+1),"")</f>
        <v>0</v>
      </c>
      <c r="N139">
        <f>IFERROR(SMALL(N47:N127,ROW()-ROW($N$130)+1),"")</f>
        <v>0</v>
      </c>
      <c r="O139">
        <f>IFERROR(SMALL(O47:O127,ROW()-ROW($O$130)+1),"")</f>
        <v>0</v>
      </c>
      <c r="P139">
        <f>IFERROR(SMALL(P47:P127,ROW()-ROW($P$130)+1),"")</f>
        <v>0</v>
      </c>
      <c r="Q139">
        <f>IFERROR(SMALL(Q47:Q127,ROW()-ROW($Q$130)+1),"")</f>
        <v>0</v>
      </c>
      <c r="R139">
        <f>IFERROR(SMALL(R47:R127,ROW()-ROW($R$130)+1),"")</f>
        <v>0</v>
      </c>
      <c r="S139">
        <f>IFERROR(SMALL(S47:S127,ROW()-ROW($S$130)+1),"")</f>
        <v>0</v>
      </c>
      <c r="T139">
        <f>IFERROR(SMALL(T47:T127,ROW()-ROW($T$130)+1),"")</f>
        <v>0</v>
      </c>
      <c r="U139">
        <f>IFERROR(SMALL(U47:U127,ROW()-ROW($U$130)+1),"")</f>
        <v>0</v>
      </c>
      <c r="V139">
        <f>IFERROR(SMALL(V47:V127,ROW()-ROW($V$130)+1),"")</f>
        <v>0</v>
      </c>
      <c r="W139">
        <f>IFERROR(SMALL(W47:W127,ROW()-ROW($W$130)+1),"")</f>
        <v>0</v>
      </c>
      <c r="X139">
        <f>IFERROR(SMALL(X47:X127,ROW()-ROW($X$130)+1),"")</f>
        <v>0</v>
      </c>
      <c r="Y139">
        <f>IFERROR(SMALL(Y47:Y127,ROW()-ROW($Y$130)+1),"")</f>
        <v>0</v>
      </c>
      <c r="Z139">
        <f>IFERROR(SMALL(Z47:Z127,ROW()-ROW($Z$130)+1),"")</f>
        <v>0</v>
      </c>
      <c r="AA139">
        <f>IFERROR(SMALL(AA47:AA127,ROW()-ROW($AA$130)+1),"")</f>
        <v>0</v>
      </c>
      <c r="AB139">
        <f>IFERROR(SMALL(AB47:AB127,ROW()-ROW($AB$130)+1),"")</f>
        <v>0</v>
      </c>
      <c r="AC139">
        <f>IFERROR(SMALL(AC47:AC127,ROW()-ROW($AC$130)+1),"")</f>
        <v>0</v>
      </c>
      <c r="AD139">
        <f>IFERROR(SMALL(AD47:AD127,ROW()-ROW($AD$130)+1),"")</f>
        <v>0</v>
      </c>
      <c r="AE139">
        <f>IFERROR(SMALL(AE47:AE127,ROW()-ROW($AE$130)+1),"")</f>
        <v>0</v>
      </c>
      <c r="AF139">
        <f>IFERROR(SMALL(AF47:AF127,ROW()-ROW($AF$130)+1),"")</f>
        <v>0</v>
      </c>
      <c r="AG139">
        <f>IFERROR(SMALL(AG47:AG127,ROW()-ROW($AG$130)+1),"")</f>
        <v>0</v>
      </c>
      <c r="AH139">
        <f>IFERROR(SMALL(AH47:AH127,ROW()-ROW($AH$130)+1),"")</f>
        <v>0</v>
      </c>
      <c r="AI139">
        <f>IFERROR(SMALL(AI47:AI127,ROW()-ROW($AI$130)+1),"")</f>
        <v>0</v>
      </c>
      <c r="AJ139">
        <f>IFERROR(SMALL(AJ47:AJ127,ROW()-ROW($AJ$130)+1),"")</f>
        <v>0</v>
      </c>
      <c r="AK139">
        <f>IFERROR(SMALL(AK47:AK127,ROW()-ROW($AK$130)+1),"")</f>
        <v>0</v>
      </c>
      <c r="AL139">
        <f>IFERROR(SMALL(AL47:AL127,ROW()-ROW($AL$130)+1),"")</f>
        <v>0</v>
      </c>
      <c r="AM139">
        <f>IFERROR(SMALL(AM47:AM127,ROW()-ROW($AM$130)+1),"")</f>
        <v>0</v>
      </c>
      <c r="AN139">
        <f>IFERROR(SMALL(AN47:AN127,ROW()-ROW($AN$130)+1),"")</f>
        <v>0</v>
      </c>
      <c r="AO139">
        <f>IFERROR(SMALL(AO47:AO127,ROW()-ROW($AO$130)+1),"")</f>
        <v>0</v>
      </c>
      <c r="AP139">
        <f>IFERROR(SMALL(AP47:AP127,ROW()-ROW($AP$130)+1),"")</f>
        <v>0</v>
      </c>
      <c r="AQ139">
        <f>IFERROR(SMALL(AQ47:AQ127,ROW()-ROW($AQ$130)+1),"")</f>
        <v>0</v>
      </c>
      <c r="AR139">
        <f>IFERROR(SMALL(AR47:AR127,ROW()-ROW($AR$130)+1),"")</f>
        <v>0</v>
      </c>
      <c r="AS139">
        <f>IFERROR(SMALL(AS47:AS127,ROW()-ROW($AS$130)+1),"")</f>
        <v>0</v>
      </c>
      <c r="AT139">
        <f>IFERROR(SMALL(AT47:AT127,ROW()-ROW($AT$130)+1),"")</f>
        <v>0</v>
      </c>
      <c r="AU139">
        <f>IFERROR(SMALL(AU47:AU127,ROW()-ROW($AU$130)+1),"")</f>
        <v>0</v>
      </c>
      <c r="AV139">
        <f>IFERROR(SMALL(AV47:AV127,ROW()-ROW($AV$130)+1),"")</f>
        <v>0</v>
      </c>
      <c r="AW139">
        <f>IFERROR(SMALL(AW47:AW127,ROW()-ROW($AW$130)+1),"")</f>
        <v>0</v>
      </c>
      <c r="AX139">
        <f>IFERROR(SMALL(AX47:AX127,ROW()-ROW($AX$130)+1),"")</f>
        <v>0</v>
      </c>
      <c r="AY139">
        <f>IFERROR(SMALL(AY47:AY127,ROW()-ROW($AY$130)+1),"")</f>
        <v>0</v>
      </c>
      <c r="AZ139">
        <f>IFERROR(SMALL(AZ47:AZ127,ROW()-ROW($AZ$130)+1),"")</f>
        <v>0</v>
      </c>
      <c r="BA139">
        <f>IFERROR(SMALL(BA47:BA127,ROW()-ROW($BA$130)+1),"")</f>
        <v>0</v>
      </c>
      <c r="BB139">
        <f>IFERROR(SMALL(BB47:BB127,ROW()-ROW($BB$130)+1),"")</f>
        <v>0</v>
      </c>
      <c r="BC139">
        <f>IFERROR(SMALL(BC47:BC127,ROW()-ROW($BC$130)+1),"")</f>
        <v>0</v>
      </c>
      <c r="BD139">
        <f>IFERROR(SMALL(BD47:BD127,ROW()-ROW($BD$130)+1),"")</f>
        <v>0</v>
      </c>
      <c r="BE139">
        <f>IFERROR(SMALL(BE47:BE127,ROW()-ROW($BE$130)+1),"")</f>
        <v>0</v>
      </c>
      <c r="BF139">
        <f>IFERROR(SMALL(BF47:BF127,ROW()-ROW($BF$130)+1),"")</f>
        <v>0</v>
      </c>
      <c r="BG139">
        <f>IFERROR(SMALL(BG47:BG127,ROW()-ROW($BG$130)+1),"")</f>
        <v>0</v>
      </c>
      <c r="BH139">
        <f>IFERROR(SMALL(BH47:BH127,ROW()-ROW($BH$130)+1),"")</f>
        <v>0</v>
      </c>
      <c r="BI139">
        <f>IFERROR(SMALL(BI47:BI127,ROW()-ROW($BI$130)+1),"")</f>
        <v>0</v>
      </c>
      <c r="BJ139">
        <f>IFERROR(SMALL(BJ47:BJ127,ROW()-ROW($BJ$130)+1),"")</f>
        <v>0</v>
      </c>
      <c r="BK139">
        <f>IFERROR(SMALL(BK47:BK127,ROW()-ROW($BK$130)+1),"")</f>
        <v>0</v>
      </c>
      <c r="BL139">
        <f>IFERROR(SMALL(BL47:BL127,ROW()-ROW($BL$130)+1),"")</f>
        <v>0</v>
      </c>
      <c r="BM139">
        <f>IFERROR(SMALL(BM47:BM127,ROW()-ROW($BM$130)+1),"")</f>
        <v>0</v>
      </c>
      <c r="BN139">
        <f>IFERROR(SMALL(BN47:BN127,ROW()-ROW($BN$130)+1),"")</f>
        <v>0</v>
      </c>
      <c r="BO139">
        <f>IFERROR(SMALL(BO47:BO127,ROW()-ROW($BO$130)+1),"")</f>
        <v>0</v>
      </c>
      <c r="BP139">
        <f>IFERROR(SMALL(BP47:BP127,ROW()-ROW($BP$130)+1),"")</f>
        <v>0</v>
      </c>
      <c r="BS139">
        <f>IFERROR(SMALL(BS47:BS127,ROW()-ROW($BS$130)+1),"")</f>
        <v>0</v>
      </c>
      <c r="BT139">
        <f>IFERROR(SMALL(BT47:BT127,ROW()-ROW($BT$130)+1),"")</f>
        <v>0</v>
      </c>
      <c r="BU139">
        <f>IFERROR(SMALL(BU47:BU127,ROW()-ROW($BU$130)+1),"")</f>
        <v>0</v>
      </c>
      <c r="BV139">
        <f>IFERROR(SMALL(BV47:BV127,ROW()-ROW($BV$130)+1),"")</f>
        <v>0</v>
      </c>
      <c r="BW139">
        <f>IFERROR(SMALL(BW47:BW127,ROW()-ROW($BW$130)+1),"")</f>
        <v>0</v>
      </c>
      <c r="BX139">
        <f>IFERROR(SMALL(BX47:BX127,ROW()-ROW($BX$130)+1),"")</f>
        <v>0</v>
      </c>
      <c r="BY139">
        <f>IFERROR(SMALL(BY47:BY127,ROW()-ROW($BY$130)+1),"")</f>
        <v>0</v>
      </c>
      <c r="BZ139">
        <f>IFERROR(SMALL(BZ47:BZ127,ROW()-ROW($BZ$130)+1),"")</f>
        <v>0</v>
      </c>
      <c r="CA139">
        <f>IFERROR(SMALL(CA47:CA127,ROW()-ROW($CA$130)+1),"")</f>
        <v>0</v>
      </c>
      <c r="CB139">
        <f>IFERROR(SMALL(CB47:CB127,ROW()-ROW($CB$130)+1),"")</f>
        <v>0</v>
      </c>
      <c r="CC139">
        <f>IFERROR(SMALL(CC47:CC127,ROW()-ROW($CC$130)+1),"")</f>
        <v>0</v>
      </c>
      <c r="CD139">
        <f>IFERROR(SMALL(CD47:CD127,ROW()-ROW($CD$130)+1),"")</f>
        <v>0</v>
      </c>
      <c r="CE139">
        <f>IFERROR(SMALL(CE47:CE127,ROW()-ROW($CE$130)+1),"")</f>
        <v>0</v>
      </c>
      <c r="CF139">
        <f>IFERROR(SMALL(CF47:CF127,ROW()-ROW($CF$130)+1),"")</f>
        <v>0</v>
      </c>
      <c r="CG139">
        <f>IFERROR(SMALL(CG47:CG127,ROW()-ROW($CG$130)+1),"")</f>
        <v>0</v>
      </c>
      <c r="CH139">
        <f>IFERROR(SMALL(CH47:CH127,ROW()-ROW($CH$130)+1),"")</f>
        <v>0</v>
      </c>
      <c r="CI139">
        <f>IFERROR(SMALL(CI47:CI127,ROW()-ROW($CI$130)+1),"")</f>
        <v>0</v>
      </c>
      <c r="CJ139">
        <f>IFERROR(SMALL(CJ47:CJ127,ROW()-ROW($CJ$130)+1),"")</f>
        <v>0</v>
      </c>
      <c r="CK139">
        <f>IFERROR(SMALL(CK47:CK127,ROW()-ROW($CK$130)+1),"")</f>
        <v>0</v>
      </c>
      <c r="CL139">
        <f>IFERROR(SMALL(CL47:CL127,ROW()-ROW($CL$130)+1),"")</f>
        <v>0</v>
      </c>
      <c r="CM139">
        <f>IFERROR(SMALL(CM47:CM127,ROW()-ROW($CM$130)+1),"")</f>
        <v>0</v>
      </c>
      <c r="CN139">
        <f>IFERROR(SMALL(CN47:CN127,ROW()-ROW($CN$130)+1),"")</f>
        <v>0</v>
      </c>
      <c r="CO139">
        <f>IFERROR(SMALL(CO47:CO127,ROW()-ROW($CO$130)+1),"")</f>
        <v>0</v>
      </c>
      <c r="CP139">
        <f>IFERROR(SMALL(CP47:CP127,ROW()-ROW($CP$130)+1),"")</f>
        <v>0</v>
      </c>
      <c r="CQ139">
        <f>IFERROR(SMALL(CQ47:CQ127,ROW()-ROW($CQ$130)+1),"")</f>
        <v>0</v>
      </c>
      <c r="CR139">
        <f>IFERROR(SMALL(CR47:CR127,ROW()-ROW($CR$130)+1),"")</f>
        <v>0</v>
      </c>
      <c r="CS139">
        <f>IFERROR(SMALL(CS47:CS127,ROW()-ROW($CS$130)+1),"")</f>
        <v>0</v>
      </c>
      <c r="CT139">
        <f>IFERROR(SMALL(CT47:CT127,ROW()-ROW($CT$130)+1),"")</f>
        <v>0</v>
      </c>
      <c r="CU139">
        <f>IFERROR(SMALL(CU47:CU127,ROW()-ROW($CU$130)+1),"")</f>
        <v>0</v>
      </c>
      <c r="CV139">
        <f>IFERROR(SMALL(CV47:CV127,ROW()-ROW($CV$130)+1),"")</f>
        <v>0</v>
      </c>
      <c r="CW139">
        <f>IFERROR(SMALL(CW47:CW127,ROW()-ROW($CW$130)+1),"")</f>
        <v>0</v>
      </c>
      <c r="CX139">
        <f>IFERROR(SMALL(CX47:CX127,ROW()-ROW($CX$130)+1),"")</f>
        <v>0</v>
      </c>
      <c r="CY139">
        <f>IFERROR(SMALL(CY47:CY127,ROW()-ROW($CY$130)+1),"")</f>
        <v>0</v>
      </c>
      <c r="CZ139">
        <f>IFERROR(SMALL(CZ47:CZ127,ROW()-ROW($CZ$130)+1),"")</f>
        <v>0</v>
      </c>
      <c r="DA139">
        <f>IFERROR(SMALL(DA47:DA127,ROW()-ROW($DA$130)+1),"")</f>
        <v>0</v>
      </c>
      <c r="DB139">
        <f>IFERROR(SMALL(DB47:DB127,ROW()-ROW($DB$130)+1),"")</f>
        <v>0</v>
      </c>
      <c r="DC139">
        <f>IFERROR(SMALL(DC47:DC127,ROW()-ROW($DC$130)+1),"")</f>
        <v>0</v>
      </c>
      <c r="DD139">
        <f>IFERROR(SMALL(DD47:DD127,ROW()-ROW($DD$130)+1),"")</f>
        <v>0</v>
      </c>
      <c r="DE139">
        <f>IFERROR(SMALL(DE47:DE127,ROW()-ROW($DE$130)+1),"")</f>
        <v>0</v>
      </c>
      <c r="DF139">
        <f>IFERROR(SMALL(DF47:DF127,ROW()-ROW($DF$130)+1),"")</f>
        <v>0</v>
      </c>
      <c r="DG139">
        <f>IFERROR(SMALL(DG47:DG127,ROW()-ROW($DG$130)+1),"")</f>
        <v>0</v>
      </c>
      <c r="DH139">
        <f>IFERROR(SMALL(DH47:DH127,ROW()-ROW($DH$130)+1),"")</f>
        <v>0</v>
      </c>
      <c r="DI139">
        <f>IFERROR(SMALL(DI47:DI127,ROW()-ROW($DI$130)+1),"")</f>
        <v>0</v>
      </c>
      <c r="DJ139">
        <f>IFERROR(SMALL(DJ47:DJ127,ROW()-ROW($DJ$130)+1),"")</f>
        <v>0</v>
      </c>
      <c r="DK139">
        <f>IFERROR(SMALL(DK47:DK127,ROW()-ROW($DK$130)+1),"")</f>
        <v>0</v>
      </c>
      <c r="DL139">
        <f>IFERROR(SMALL(DL47:DL127,ROW()-ROW($DL$130)+1),"")</f>
        <v>0</v>
      </c>
      <c r="DM139">
        <f>IFERROR(SMALL(DM47:DM127,ROW()-ROW($DM$130)+1),"")</f>
        <v>0</v>
      </c>
      <c r="DN139">
        <f>IFERROR(SMALL(DN47:DN127,ROW()-ROW($DN$130)+1),"")</f>
        <v>0</v>
      </c>
      <c r="DO139">
        <f>IFERROR(SMALL(DO47:DO127,ROW()-ROW($DO$130)+1),"")</f>
        <v>0</v>
      </c>
      <c r="DP139">
        <f>IFERROR(SMALL(DP47:DP127,ROW()-ROW($DP$130)+1),"")</f>
        <v>0</v>
      </c>
      <c r="DQ139">
        <f>IFERROR(SMALL(DQ47:DQ127,ROW()-ROW($DQ$130)+1),"")</f>
        <v>0</v>
      </c>
      <c r="DR139">
        <f>IFERROR(SMALL(DR47:DR127,ROW()-ROW($DR$130)+1),"")</f>
        <v>0</v>
      </c>
      <c r="DS139">
        <f>IFERROR(SMALL(DS47:DS127,ROW()-ROW($DS$130)+1),"")</f>
        <v>0</v>
      </c>
      <c r="DT139">
        <f>IFERROR(SMALL(DT47:DT127,ROW()-ROW($DT$130)+1),"")</f>
        <v>0</v>
      </c>
      <c r="DU139">
        <f>IFERROR(SMALL(DU47:DU127,ROW()-ROW($DU$130)+1),"")</f>
        <v>0</v>
      </c>
      <c r="DV139">
        <f>IFERROR(SMALL(DV47:DV127,ROW()-ROW($DV$130)+1),"")</f>
        <v>0</v>
      </c>
      <c r="DW139">
        <f>IFERROR(SMALL(DW47:DW127,ROW()-ROW($DW$130)+1),"")</f>
        <v>0</v>
      </c>
      <c r="DX139">
        <f>IFERROR(SMALL(DX47:DX127,ROW()-ROW($DX$130)+1),"")</f>
        <v>0</v>
      </c>
      <c r="DY139">
        <f>IFERROR(SMALL(DY47:DY127,ROW()-ROW($DY$130)+1),"")</f>
        <v>0</v>
      </c>
      <c r="DZ139">
        <f>IFERROR(SMALL(DZ47:DZ127,ROW()-ROW($DZ$130)+1),"")</f>
        <v>0</v>
      </c>
      <c r="EA139">
        <f>IFERROR(SMALL(EA47:EA127,ROW()-ROW($EA$130)+1),"")</f>
        <v>0</v>
      </c>
      <c r="EB139">
        <f>IFERROR(SMALL(EB47:EB127,ROW()-ROW($EB$130)+1),"")</f>
        <v>0</v>
      </c>
      <c r="EC139">
        <f>IFERROR(SMALL(EC47:EC127,ROW()-ROW($EC$130)+1),"")</f>
        <v>0</v>
      </c>
      <c r="ED139">
        <f>IFERROR(SMALL(ED47:ED127,ROW()-ROW($ED$130)+1),"")</f>
        <v>0</v>
      </c>
    </row>
    <row r="140" spans="4:134">
      <c r="E140">
        <f>IFERROR(SMALL(E47:E127,ROW()-ROW($E$130)+1),"")</f>
        <v>0</v>
      </c>
      <c r="F140">
        <f>IFERROR(SMALL(F47:F127,ROW()-ROW($F$130)+1),"")</f>
        <v>0</v>
      </c>
      <c r="G140">
        <f>IFERROR(SMALL(G47:G127,ROW()-ROW($G$130)+1),"")</f>
        <v>0</v>
      </c>
      <c r="H140">
        <f>IFERROR(SMALL(H47:H127,ROW()-ROW($H$130)+1),"")</f>
        <v>0</v>
      </c>
      <c r="I140">
        <f>IFERROR(SMALL(I47:I127,ROW()-ROW($I$130)+1),"")</f>
        <v>0</v>
      </c>
      <c r="J140">
        <f>IFERROR(SMALL(J47:J127,ROW()-ROW($J$130)+1),"")</f>
        <v>0</v>
      </c>
      <c r="K140">
        <f>IFERROR(SMALL(K47:K127,ROW()-ROW($K$130)+1),"")</f>
        <v>0</v>
      </c>
      <c r="L140">
        <f>IFERROR(SMALL(L47:L127,ROW()-ROW($L$130)+1),"")</f>
        <v>0</v>
      </c>
      <c r="M140">
        <f>IFERROR(SMALL(M47:M127,ROW()-ROW($M$130)+1),"")</f>
        <v>0</v>
      </c>
      <c r="N140">
        <f>IFERROR(SMALL(N47:N127,ROW()-ROW($N$130)+1),"")</f>
        <v>0</v>
      </c>
      <c r="O140">
        <f>IFERROR(SMALL(O47:O127,ROW()-ROW($O$130)+1),"")</f>
        <v>0</v>
      </c>
      <c r="P140">
        <f>IFERROR(SMALL(P47:P127,ROW()-ROW($P$130)+1),"")</f>
        <v>0</v>
      </c>
      <c r="Q140">
        <f>IFERROR(SMALL(Q47:Q127,ROW()-ROW($Q$130)+1),"")</f>
        <v>0</v>
      </c>
      <c r="R140">
        <f>IFERROR(SMALL(R47:R127,ROW()-ROW($R$130)+1),"")</f>
        <v>0</v>
      </c>
      <c r="S140">
        <f>IFERROR(SMALL(S47:S127,ROW()-ROW($S$130)+1),"")</f>
        <v>0</v>
      </c>
      <c r="T140">
        <f>IFERROR(SMALL(T47:T127,ROW()-ROW($T$130)+1),"")</f>
        <v>0</v>
      </c>
      <c r="U140">
        <f>IFERROR(SMALL(U47:U127,ROW()-ROW($U$130)+1),"")</f>
        <v>0</v>
      </c>
      <c r="V140">
        <f>IFERROR(SMALL(V47:V127,ROW()-ROW($V$130)+1),"")</f>
        <v>0</v>
      </c>
      <c r="W140">
        <f>IFERROR(SMALL(W47:W127,ROW()-ROW($W$130)+1),"")</f>
        <v>0</v>
      </c>
      <c r="X140">
        <f>IFERROR(SMALL(X47:X127,ROW()-ROW($X$130)+1),"")</f>
        <v>0</v>
      </c>
      <c r="Y140">
        <f>IFERROR(SMALL(Y47:Y127,ROW()-ROW($Y$130)+1),"")</f>
        <v>0</v>
      </c>
      <c r="Z140">
        <f>IFERROR(SMALL(Z47:Z127,ROW()-ROW($Z$130)+1),"")</f>
        <v>0</v>
      </c>
      <c r="AA140">
        <f>IFERROR(SMALL(AA47:AA127,ROW()-ROW($AA$130)+1),"")</f>
        <v>0</v>
      </c>
      <c r="AB140">
        <f>IFERROR(SMALL(AB47:AB127,ROW()-ROW($AB$130)+1),"")</f>
        <v>0</v>
      </c>
      <c r="AC140">
        <f>IFERROR(SMALL(AC47:AC127,ROW()-ROW($AC$130)+1),"")</f>
        <v>0</v>
      </c>
      <c r="AD140">
        <f>IFERROR(SMALL(AD47:AD127,ROW()-ROW($AD$130)+1),"")</f>
        <v>0</v>
      </c>
      <c r="AE140">
        <f>IFERROR(SMALL(AE47:AE127,ROW()-ROW($AE$130)+1),"")</f>
        <v>0</v>
      </c>
      <c r="AF140">
        <f>IFERROR(SMALL(AF47:AF127,ROW()-ROW($AF$130)+1),"")</f>
        <v>0</v>
      </c>
      <c r="AG140">
        <f>IFERROR(SMALL(AG47:AG127,ROW()-ROW($AG$130)+1),"")</f>
        <v>0</v>
      </c>
      <c r="AH140">
        <f>IFERROR(SMALL(AH47:AH127,ROW()-ROW($AH$130)+1),"")</f>
        <v>0</v>
      </c>
      <c r="AI140">
        <f>IFERROR(SMALL(AI47:AI127,ROW()-ROW($AI$130)+1),"")</f>
        <v>0</v>
      </c>
      <c r="AJ140">
        <f>IFERROR(SMALL(AJ47:AJ127,ROW()-ROW($AJ$130)+1),"")</f>
        <v>0</v>
      </c>
      <c r="AK140">
        <f>IFERROR(SMALL(AK47:AK127,ROW()-ROW($AK$130)+1),"")</f>
        <v>0</v>
      </c>
      <c r="AL140">
        <f>IFERROR(SMALL(AL47:AL127,ROW()-ROW($AL$130)+1),"")</f>
        <v>0</v>
      </c>
      <c r="AM140">
        <f>IFERROR(SMALL(AM47:AM127,ROW()-ROW($AM$130)+1),"")</f>
        <v>0</v>
      </c>
      <c r="AN140">
        <f>IFERROR(SMALL(AN47:AN127,ROW()-ROW($AN$130)+1),"")</f>
        <v>0</v>
      </c>
      <c r="AO140">
        <f>IFERROR(SMALL(AO47:AO127,ROW()-ROW($AO$130)+1),"")</f>
        <v>0</v>
      </c>
      <c r="AP140">
        <f>IFERROR(SMALL(AP47:AP127,ROW()-ROW($AP$130)+1),"")</f>
        <v>0</v>
      </c>
      <c r="AQ140">
        <f>IFERROR(SMALL(AQ47:AQ127,ROW()-ROW($AQ$130)+1),"")</f>
        <v>0</v>
      </c>
      <c r="AR140">
        <f>IFERROR(SMALL(AR47:AR127,ROW()-ROW($AR$130)+1),"")</f>
        <v>0</v>
      </c>
      <c r="AS140">
        <f>IFERROR(SMALL(AS47:AS127,ROW()-ROW($AS$130)+1),"")</f>
        <v>0</v>
      </c>
      <c r="AT140">
        <f>IFERROR(SMALL(AT47:AT127,ROW()-ROW($AT$130)+1),"")</f>
        <v>0</v>
      </c>
      <c r="AU140">
        <f>IFERROR(SMALL(AU47:AU127,ROW()-ROW($AU$130)+1),"")</f>
        <v>0</v>
      </c>
      <c r="AV140">
        <f>IFERROR(SMALL(AV47:AV127,ROW()-ROW($AV$130)+1),"")</f>
        <v>0</v>
      </c>
      <c r="AW140">
        <f>IFERROR(SMALL(AW47:AW127,ROW()-ROW($AW$130)+1),"")</f>
        <v>0</v>
      </c>
      <c r="AX140">
        <f>IFERROR(SMALL(AX47:AX127,ROW()-ROW($AX$130)+1),"")</f>
        <v>0</v>
      </c>
      <c r="AY140">
        <f>IFERROR(SMALL(AY47:AY127,ROW()-ROW($AY$130)+1),"")</f>
        <v>0</v>
      </c>
      <c r="AZ140">
        <f>IFERROR(SMALL(AZ47:AZ127,ROW()-ROW($AZ$130)+1),"")</f>
        <v>0</v>
      </c>
      <c r="BA140">
        <f>IFERROR(SMALL(BA47:BA127,ROW()-ROW($BA$130)+1),"")</f>
        <v>0</v>
      </c>
      <c r="BB140">
        <f>IFERROR(SMALL(BB47:BB127,ROW()-ROW($BB$130)+1),"")</f>
        <v>0</v>
      </c>
      <c r="BC140">
        <f>IFERROR(SMALL(BC47:BC127,ROW()-ROW($BC$130)+1),"")</f>
        <v>0</v>
      </c>
      <c r="BD140">
        <f>IFERROR(SMALL(BD47:BD127,ROW()-ROW($BD$130)+1),"")</f>
        <v>0</v>
      </c>
      <c r="BE140">
        <f>IFERROR(SMALL(BE47:BE127,ROW()-ROW($BE$130)+1),"")</f>
        <v>0</v>
      </c>
      <c r="BF140">
        <f>IFERROR(SMALL(BF47:BF127,ROW()-ROW($BF$130)+1),"")</f>
        <v>0</v>
      </c>
      <c r="BG140">
        <f>IFERROR(SMALL(BG47:BG127,ROW()-ROW($BG$130)+1),"")</f>
        <v>0</v>
      </c>
      <c r="BH140">
        <f>IFERROR(SMALL(BH47:BH127,ROW()-ROW($BH$130)+1),"")</f>
        <v>0</v>
      </c>
      <c r="BI140">
        <f>IFERROR(SMALL(BI47:BI127,ROW()-ROW($BI$130)+1),"")</f>
        <v>0</v>
      </c>
      <c r="BJ140">
        <f>IFERROR(SMALL(BJ47:BJ127,ROW()-ROW($BJ$130)+1),"")</f>
        <v>0</v>
      </c>
      <c r="BK140">
        <f>IFERROR(SMALL(BK47:BK127,ROW()-ROW($BK$130)+1),"")</f>
        <v>0</v>
      </c>
      <c r="BL140">
        <f>IFERROR(SMALL(BL47:BL127,ROW()-ROW($BL$130)+1),"")</f>
        <v>0</v>
      </c>
      <c r="BM140">
        <f>IFERROR(SMALL(BM47:BM127,ROW()-ROW($BM$130)+1),"")</f>
        <v>0</v>
      </c>
      <c r="BN140">
        <f>IFERROR(SMALL(BN47:BN127,ROW()-ROW($BN$130)+1),"")</f>
        <v>0</v>
      </c>
      <c r="BO140">
        <f>IFERROR(SMALL(BO47:BO127,ROW()-ROW($BO$130)+1),"")</f>
        <v>0</v>
      </c>
      <c r="BP140">
        <f>IFERROR(SMALL(BP47:BP127,ROW()-ROW($BP$130)+1),"")</f>
        <v>0</v>
      </c>
      <c r="BS140">
        <f>IFERROR(SMALL(BS47:BS127,ROW()-ROW($BS$130)+1),"")</f>
        <v>0</v>
      </c>
      <c r="BT140">
        <f>IFERROR(SMALL(BT47:BT127,ROW()-ROW($BT$130)+1),"")</f>
        <v>0</v>
      </c>
      <c r="BU140">
        <f>IFERROR(SMALL(BU47:BU127,ROW()-ROW($BU$130)+1),"")</f>
        <v>0</v>
      </c>
      <c r="BV140">
        <f>IFERROR(SMALL(BV47:BV127,ROW()-ROW($BV$130)+1),"")</f>
        <v>0</v>
      </c>
      <c r="BW140">
        <f>IFERROR(SMALL(BW47:BW127,ROW()-ROW($BW$130)+1),"")</f>
        <v>0</v>
      </c>
      <c r="BX140">
        <f>IFERROR(SMALL(BX47:BX127,ROW()-ROW($BX$130)+1),"")</f>
        <v>0</v>
      </c>
      <c r="BY140">
        <f>IFERROR(SMALL(BY47:BY127,ROW()-ROW($BY$130)+1),"")</f>
        <v>0</v>
      </c>
      <c r="BZ140">
        <f>IFERROR(SMALL(BZ47:BZ127,ROW()-ROW($BZ$130)+1),"")</f>
        <v>0</v>
      </c>
      <c r="CA140">
        <f>IFERROR(SMALL(CA47:CA127,ROW()-ROW($CA$130)+1),"")</f>
        <v>0</v>
      </c>
      <c r="CB140">
        <f>IFERROR(SMALL(CB47:CB127,ROW()-ROW($CB$130)+1),"")</f>
        <v>0</v>
      </c>
      <c r="CC140">
        <f>IFERROR(SMALL(CC47:CC127,ROW()-ROW($CC$130)+1),"")</f>
        <v>0</v>
      </c>
      <c r="CD140">
        <f>IFERROR(SMALL(CD47:CD127,ROW()-ROW($CD$130)+1),"")</f>
        <v>0</v>
      </c>
      <c r="CE140">
        <f>IFERROR(SMALL(CE47:CE127,ROW()-ROW($CE$130)+1),"")</f>
        <v>0</v>
      </c>
      <c r="CF140">
        <f>IFERROR(SMALL(CF47:CF127,ROW()-ROW($CF$130)+1),"")</f>
        <v>0</v>
      </c>
      <c r="CG140">
        <f>IFERROR(SMALL(CG47:CG127,ROW()-ROW($CG$130)+1),"")</f>
        <v>0</v>
      </c>
      <c r="CH140">
        <f>IFERROR(SMALL(CH47:CH127,ROW()-ROW($CH$130)+1),"")</f>
        <v>0</v>
      </c>
      <c r="CI140">
        <f>IFERROR(SMALL(CI47:CI127,ROW()-ROW($CI$130)+1),"")</f>
        <v>0</v>
      </c>
      <c r="CJ140">
        <f>IFERROR(SMALL(CJ47:CJ127,ROW()-ROW($CJ$130)+1),"")</f>
        <v>0</v>
      </c>
      <c r="CK140">
        <f>IFERROR(SMALL(CK47:CK127,ROW()-ROW($CK$130)+1),"")</f>
        <v>0</v>
      </c>
      <c r="CL140">
        <f>IFERROR(SMALL(CL47:CL127,ROW()-ROW($CL$130)+1),"")</f>
        <v>0</v>
      </c>
      <c r="CM140">
        <f>IFERROR(SMALL(CM47:CM127,ROW()-ROW($CM$130)+1),"")</f>
        <v>0</v>
      </c>
      <c r="CN140">
        <f>IFERROR(SMALL(CN47:CN127,ROW()-ROW($CN$130)+1),"")</f>
        <v>0</v>
      </c>
      <c r="CO140">
        <f>IFERROR(SMALL(CO47:CO127,ROW()-ROW($CO$130)+1),"")</f>
        <v>0</v>
      </c>
      <c r="CP140">
        <f>IFERROR(SMALL(CP47:CP127,ROW()-ROW($CP$130)+1),"")</f>
        <v>0</v>
      </c>
      <c r="CQ140">
        <f>IFERROR(SMALL(CQ47:CQ127,ROW()-ROW($CQ$130)+1),"")</f>
        <v>0</v>
      </c>
      <c r="CR140">
        <f>IFERROR(SMALL(CR47:CR127,ROW()-ROW($CR$130)+1),"")</f>
        <v>0</v>
      </c>
      <c r="CS140">
        <f>IFERROR(SMALL(CS47:CS127,ROW()-ROW($CS$130)+1),"")</f>
        <v>0</v>
      </c>
      <c r="CT140">
        <f>IFERROR(SMALL(CT47:CT127,ROW()-ROW($CT$130)+1),"")</f>
        <v>0</v>
      </c>
      <c r="CU140">
        <f>IFERROR(SMALL(CU47:CU127,ROW()-ROW($CU$130)+1),"")</f>
        <v>0</v>
      </c>
      <c r="CV140">
        <f>IFERROR(SMALL(CV47:CV127,ROW()-ROW($CV$130)+1),"")</f>
        <v>0</v>
      </c>
      <c r="CW140">
        <f>IFERROR(SMALL(CW47:CW127,ROW()-ROW($CW$130)+1),"")</f>
        <v>0</v>
      </c>
      <c r="CX140">
        <f>IFERROR(SMALL(CX47:CX127,ROW()-ROW($CX$130)+1),"")</f>
        <v>0</v>
      </c>
      <c r="CY140">
        <f>IFERROR(SMALL(CY47:CY127,ROW()-ROW($CY$130)+1),"")</f>
        <v>0</v>
      </c>
      <c r="CZ140">
        <f>IFERROR(SMALL(CZ47:CZ127,ROW()-ROW($CZ$130)+1),"")</f>
        <v>0</v>
      </c>
      <c r="DA140">
        <f>IFERROR(SMALL(DA47:DA127,ROW()-ROW($DA$130)+1),"")</f>
        <v>0</v>
      </c>
      <c r="DB140">
        <f>IFERROR(SMALL(DB47:DB127,ROW()-ROW($DB$130)+1),"")</f>
        <v>0</v>
      </c>
      <c r="DC140">
        <f>IFERROR(SMALL(DC47:DC127,ROW()-ROW($DC$130)+1),"")</f>
        <v>0</v>
      </c>
      <c r="DD140">
        <f>IFERROR(SMALL(DD47:DD127,ROW()-ROW($DD$130)+1),"")</f>
        <v>0</v>
      </c>
      <c r="DE140">
        <f>IFERROR(SMALL(DE47:DE127,ROW()-ROW($DE$130)+1),"")</f>
        <v>0</v>
      </c>
      <c r="DF140">
        <f>IFERROR(SMALL(DF47:DF127,ROW()-ROW($DF$130)+1),"")</f>
        <v>0</v>
      </c>
      <c r="DG140">
        <f>IFERROR(SMALL(DG47:DG127,ROW()-ROW($DG$130)+1),"")</f>
        <v>0</v>
      </c>
      <c r="DH140">
        <f>IFERROR(SMALL(DH47:DH127,ROW()-ROW($DH$130)+1),"")</f>
        <v>0</v>
      </c>
      <c r="DI140">
        <f>IFERROR(SMALL(DI47:DI127,ROW()-ROW($DI$130)+1),"")</f>
        <v>0</v>
      </c>
      <c r="DJ140">
        <f>IFERROR(SMALL(DJ47:DJ127,ROW()-ROW($DJ$130)+1),"")</f>
        <v>0</v>
      </c>
      <c r="DK140">
        <f>IFERROR(SMALL(DK47:DK127,ROW()-ROW($DK$130)+1),"")</f>
        <v>0</v>
      </c>
      <c r="DL140">
        <f>IFERROR(SMALL(DL47:DL127,ROW()-ROW($DL$130)+1),"")</f>
        <v>0</v>
      </c>
      <c r="DM140">
        <f>IFERROR(SMALL(DM47:DM127,ROW()-ROW($DM$130)+1),"")</f>
        <v>0</v>
      </c>
      <c r="DN140">
        <f>IFERROR(SMALL(DN47:DN127,ROW()-ROW($DN$130)+1),"")</f>
        <v>0</v>
      </c>
      <c r="DO140">
        <f>IFERROR(SMALL(DO47:DO127,ROW()-ROW($DO$130)+1),"")</f>
        <v>0</v>
      </c>
      <c r="DP140">
        <f>IFERROR(SMALL(DP47:DP127,ROW()-ROW($DP$130)+1),"")</f>
        <v>0</v>
      </c>
      <c r="DQ140">
        <f>IFERROR(SMALL(DQ47:DQ127,ROW()-ROW($DQ$130)+1),"")</f>
        <v>0</v>
      </c>
      <c r="DR140">
        <f>IFERROR(SMALL(DR47:DR127,ROW()-ROW($DR$130)+1),"")</f>
        <v>0</v>
      </c>
      <c r="DS140">
        <f>IFERROR(SMALL(DS47:DS127,ROW()-ROW($DS$130)+1),"")</f>
        <v>0</v>
      </c>
      <c r="DT140">
        <f>IFERROR(SMALL(DT47:DT127,ROW()-ROW($DT$130)+1),"")</f>
        <v>0</v>
      </c>
      <c r="DU140">
        <f>IFERROR(SMALL(DU47:DU127,ROW()-ROW($DU$130)+1),"")</f>
        <v>0</v>
      </c>
      <c r="DV140">
        <f>IFERROR(SMALL(DV47:DV127,ROW()-ROW($DV$130)+1),"")</f>
        <v>0</v>
      </c>
      <c r="DW140">
        <f>IFERROR(SMALL(DW47:DW127,ROW()-ROW($DW$130)+1),"")</f>
        <v>0</v>
      </c>
      <c r="DX140">
        <f>IFERROR(SMALL(DX47:DX127,ROW()-ROW($DX$130)+1),"")</f>
        <v>0</v>
      </c>
      <c r="DY140">
        <f>IFERROR(SMALL(DY47:DY127,ROW()-ROW($DY$130)+1),"")</f>
        <v>0</v>
      </c>
      <c r="DZ140">
        <f>IFERROR(SMALL(DZ47:DZ127,ROW()-ROW($DZ$130)+1),"")</f>
        <v>0</v>
      </c>
      <c r="EA140">
        <f>IFERROR(SMALL(EA47:EA127,ROW()-ROW($EA$130)+1),"")</f>
        <v>0</v>
      </c>
      <c r="EB140">
        <f>IFERROR(SMALL(EB47:EB127,ROW()-ROW($EB$130)+1),"")</f>
        <v>0</v>
      </c>
      <c r="EC140">
        <f>IFERROR(SMALL(EC47:EC127,ROW()-ROW($EC$130)+1),"")</f>
        <v>0</v>
      </c>
      <c r="ED140">
        <f>IFERROR(SMALL(ED47:ED127,ROW()-ROW($ED$130)+1),"")</f>
        <v>0</v>
      </c>
    </row>
    <row r="141" spans="4:134">
      <c r="E141">
        <f>IFERROR(SMALL(E47:E127,ROW()-ROW($E$130)+1),"")</f>
        <v>0</v>
      </c>
      <c r="F141">
        <f>IFERROR(SMALL(F47:F127,ROW()-ROW($F$130)+1),"")</f>
        <v>0</v>
      </c>
      <c r="G141">
        <f>IFERROR(SMALL(G47:G127,ROW()-ROW($G$130)+1),"")</f>
        <v>0</v>
      </c>
      <c r="H141">
        <f>IFERROR(SMALL(H47:H127,ROW()-ROW($H$130)+1),"")</f>
        <v>0</v>
      </c>
      <c r="I141">
        <f>IFERROR(SMALL(I47:I127,ROW()-ROW($I$130)+1),"")</f>
        <v>0</v>
      </c>
      <c r="J141">
        <f>IFERROR(SMALL(J47:J127,ROW()-ROW($J$130)+1),"")</f>
        <v>0</v>
      </c>
      <c r="K141">
        <f>IFERROR(SMALL(K47:K127,ROW()-ROW($K$130)+1),"")</f>
        <v>0</v>
      </c>
      <c r="L141">
        <f>IFERROR(SMALL(L47:L127,ROW()-ROW($L$130)+1),"")</f>
        <v>0</v>
      </c>
      <c r="M141">
        <f>IFERROR(SMALL(M47:M127,ROW()-ROW($M$130)+1),"")</f>
        <v>0</v>
      </c>
      <c r="N141">
        <f>IFERROR(SMALL(N47:N127,ROW()-ROW($N$130)+1),"")</f>
        <v>0</v>
      </c>
      <c r="O141">
        <f>IFERROR(SMALL(O47:O127,ROW()-ROW($O$130)+1),"")</f>
        <v>0</v>
      </c>
      <c r="P141">
        <f>IFERROR(SMALL(P47:P127,ROW()-ROW($P$130)+1),"")</f>
        <v>0</v>
      </c>
      <c r="Q141">
        <f>IFERROR(SMALL(Q47:Q127,ROW()-ROW($Q$130)+1),"")</f>
        <v>0</v>
      </c>
      <c r="R141">
        <f>IFERROR(SMALL(R47:R127,ROW()-ROW($R$130)+1),"")</f>
        <v>0</v>
      </c>
      <c r="S141">
        <f>IFERROR(SMALL(S47:S127,ROW()-ROW($S$130)+1),"")</f>
        <v>0</v>
      </c>
      <c r="T141">
        <f>IFERROR(SMALL(T47:T127,ROW()-ROW($T$130)+1),"")</f>
        <v>0</v>
      </c>
      <c r="U141">
        <f>IFERROR(SMALL(U47:U127,ROW()-ROW($U$130)+1),"")</f>
        <v>0</v>
      </c>
      <c r="V141">
        <f>IFERROR(SMALL(V47:V127,ROW()-ROW($V$130)+1),"")</f>
        <v>0</v>
      </c>
      <c r="W141">
        <f>IFERROR(SMALL(W47:W127,ROW()-ROW($W$130)+1),"")</f>
        <v>0</v>
      </c>
      <c r="X141">
        <f>IFERROR(SMALL(X47:X127,ROW()-ROW($X$130)+1),"")</f>
        <v>0</v>
      </c>
      <c r="Y141">
        <f>IFERROR(SMALL(Y47:Y127,ROW()-ROW($Y$130)+1),"")</f>
        <v>0</v>
      </c>
      <c r="Z141">
        <f>IFERROR(SMALL(Z47:Z127,ROW()-ROW($Z$130)+1),"")</f>
        <v>0</v>
      </c>
      <c r="AA141">
        <f>IFERROR(SMALL(AA47:AA127,ROW()-ROW($AA$130)+1),"")</f>
        <v>0</v>
      </c>
      <c r="AB141">
        <f>IFERROR(SMALL(AB47:AB127,ROW()-ROW($AB$130)+1),"")</f>
        <v>0</v>
      </c>
      <c r="AC141">
        <f>IFERROR(SMALL(AC47:AC127,ROW()-ROW($AC$130)+1),"")</f>
        <v>0</v>
      </c>
      <c r="AD141">
        <f>IFERROR(SMALL(AD47:AD127,ROW()-ROW($AD$130)+1),"")</f>
        <v>0</v>
      </c>
      <c r="AE141">
        <f>IFERROR(SMALL(AE47:AE127,ROW()-ROW($AE$130)+1),"")</f>
        <v>0</v>
      </c>
      <c r="AF141">
        <f>IFERROR(SMALL(AF47:AF127,ROW()-ROW($AF$130)+1),"")</f>
        <v>0</v>
      </c>
      <c r="AG141">
        <f>IFERROR(SMALL(AG47:AG127,ROW()-ROW($AG$130)+1),"")</f>
        <v>0</v>
      </c>
      <c r="AH141">
        <f>IFERROR(SMALL(AH47:AH127,ROW()-ROW($AH$130)+1),"")</f>
        <v>0</v>
      </c>
      <c r="AI141">
        <f>IFERROR(SMALL(AI47:AI127,ROW()-ROW($AI$130)+1),"")</f>
        <v>0</v>
      </c>
      <c r="AJ141">
        <f>IFERROR(SMALL(AJ47:AJ127,ROW()-ROW($AJ$130)+1),"")</f>
        <v>0</v>
      </c>
      <c r="AK141">
        <f>IFERROR(SMALL(AK47:AK127,ROW()-ROW($AK$130)+1),"")</f>
        <v>0</v>
      </c>
      <c r="AL141">
        <f>IFERROR(SMALL(AL47:AL127,ROW()-ROW($AL$130)+1),"")</f>
        <v>0</v>
      </c>
      <c r="AM141">
        <f>IFERROR(SMALL(AM47:AM127,ROW()-ROW($AM$130)+1),"")</f>
        <v>0</v>
      </c>
      <c r="AN141">
        <f>IFERROR(SMALL(AN47:AN127,ROW()-ROW($AN$130)+1),"")</f>
        <v>0</v>
      </c>
      <c r="AO141">
        <f>IFERROR(SMALL(AO47:AO127,ROW()-ROW($AO$130)+1),"")</f>
        <v>0</v>
      </c>
      <c r="AP141">
        <f>IFERROR(SMALL(AP47:AP127,ROW()-ROW($AP$130)+1),"")</f>
        <v>0</v>
      </c>
      <c r="AQ141">
        <f>IFERROR(SMALL(AQ47:AQ127,ROW()-ROW($AQ$130)+1),"")</f>
        <v>0</v>
      </c>
      <c r="AR141">
        <f>IFERROR(SMALL(AR47:AR127,ROW()-ROW($AR$130)+1),"")</f>
        <v>0</v>
      </c>
      <c r="AS141">
        <f>IFERROR(SMALL(AS47:AS127,ROW()-ROW($AS$130)+1),"")</f>
        <v>0</v>
      </c>
      <c r="AT141">
        <f>IFERROR(SMALL(AT47:AT127,ROW()-ROW($AT$130)+1),"")</f>
        <v>0</v>
      </c>
      <c r="AU141">
        <f>IFERROR(SMALL(AU47:AU127,ROW()-ROW($AU$130)+1),"")</f>
        <v>0</v>
      </c>
      <c r="AV141">
        <f>IFERROR(SMALL(AV47:AV127,ROW()-ROW($AV$130)+1),"")</f>
        <v>0</v>
      </c>
      <c r="AW141">
        <f>IFERROR(SMALL(AW47:AW127,ROW()-ROW($AW$130)+1),"")</f>
        <v>0</v>
      </c>
      <c r="AX141">
        <f>IFERROR(SMALL(AX47:AX127,ROW()-ROW($AX$130)+1),"")</f>
        <v>0</v>
      </c>
      <c r="AY141">
        <f>IFERROR(SMALL(AY47:AY127,ROW()-ROW($AY$130)+1),"")</f>
        <v>0</v>
      </c>
      <c r="AZ141">
        <f>IFERROR(SMALL(AZ47:AZ127,ROW()-ROW($AZ$130)+1),"")</f>
        <v>0</v>
      </c>
      <c r="BA141">
        <f>IFERROR(SMALL(BA47:BA127,ROW()-ROW($BA$130)+1),"")</f>
        <v>0</v>
      </c>
      <c r="BB141">
        <f>IFERROR(SMALL(BB47:BB127,ROW()-ROW($BB$130)+1),"")</f>
        <v>0</v>
      </c>
      <c r="BC141">
        <f>IFERROR(SMALL(BC47:BC127,ROW()-ROW($BC$130)+1),"")</f>
        <v>0</v>
      </c>
      <c r="BD141">
        <f>IFERROR(SMALL(BD47:BD127,ROW()-ROW($BD$130)+1),"")</f>
        <v>0</v>
      </c>
      <c r="BE141">
        <f>IFERROR(SMALL(BE47:BE127,ROW()-ROW($BE$130)+1),"")</f>
        <v>0</v>
      </c>
      <c r="BF141">
        <f>IFERROR(SMALL(BF47:BF127,ROW()-ROW($BF$130)+1),"")</f>
        <v>0</v>
      </c>
      <c r="BG141">
        <f>IFERROR(SMALL(BG47:BG127,ROW()-ROW($BG$130)+1),"")</f>
        <v>0</v>
      </c>
      <c r="BH141">
        <f>IFERROR(SMALL(BH47:BH127,ROW()-ROW($BH$130)+1),"")</f>
        <v>0</v>
      </c>
      <c r="BI141">
        <f>IFERROR(SMALL(BI47:BI127,ROW()-ROW($BI$130)+1),"")</f>
        <v>0</v>
      </c>
      <c r="BJ141">
        <f>IFERROR(SMALL(BJ47:BJ127,ROW()-ROW($BJ$130)+1),"")</f>
        <v>0</v>
      </c>
      <c r="BK141">
        <f>IFERROR(SMALL(BK47:BK127,ROW()-ROW($BK$130)+1),"")</f>
        <v>0</v>
      </c>
      <c r="BL141">
        <f>IFERROR(SMALL(BL47:BL127,ROW()-ROW($BL$130)+1),"")</f>
        <v>0</v>
      </c>
      <c r="BM141">
        <f>IFERROR(SMALL(BM47:BM127,ROW()-ROW($BM$130)+1),"")</f>
        <v>0</v>
      </c>
      <c r="BN141">
        <f>IFERROR(SMALL(BN47:BN127,ROW()-ROW($BN$130)+1),"")</f>
        <v>0</v>
      </c>
      <c r="BO141">
        <f>IFERROR(SMALL(BO47:BO127,ROW()-ROW($BO$130)+1),"")</f>
        <v>0</v>
      </c>
      <c r="BP141">
        <f>IFERROR(SMALL(BP47:BP127,ROW()-ROW($BP$130)+1),"")</f>
        <v>0</v>
      </c>
      <c r="BS141">
        <f>IFERROR(SMALL(BS47:BS127,ROW()-ROW($BS$130)+1),"")</f>
        <v>0</v>
      </c>
      <c r="BT141">
        <f>IFERROR(SMALL(BT47:BT127,ROW()-ROW($BT$130)+1),"")</f>
        <v>0</v>
      </c>
      <c r="BU141">
        <f>IFERROR(SMALL(BU47:BU127,ROW()-ROW($BU$130)+1),"")</f>
        <v>0</v>
      </c>
      <c r="BV141">
        <f>IFERROR(SMALL(BV47:BV127,ROW()-ROW($BV$130)+1),"")</f>
        <v>0</v>
      </c>
      <c r="BW141">
        <f>IFERROR(SMALL(BW47:BW127,ROW()-ROW($BW$130)+1),"")</f>
        <v>0</v>
      </c>
      <c r="BX141">
        <f>IFERROR(SMALL(BX47:BX127,ROW()-ROW($BX$130)+1),"")</f>
        <v>0</v>
      </c>
      <c r="BY141">
        <f>IFERROR(SMALL(BY47:BY127,ROW()-ROW($BY$130)+1),"")</f>
        <v>0</v>
      </c>
      <c r="BZ141">
        <f>IFERROR(SMALL(BZ47:BZ127,ROW()-ROW($BZ$130)+1),"")</f>
        <v>0</v>
      </c>
      <c r="CA141">
        <f>IFERROR(SMALL(CA47:CA127,ROW()-ROW($CA$130)+1),"")</f>
        <v>0</v>
      </c>
      <c r="CB141">
        <f>IFERROR(SMALL(CB47:CB127,ROW()-ROW($CB$130)+1),"")</f>
        <v>0</v>
      </c>
      <c r="CC141">
        <f>IFERROR(SMALL(CC47:CC127,ROW()-ROW($CC$130)+1),"")</f>
        <v>0</v>
      </c>
      <c r="CD141">
        <f>IFERROR(SMALL(CD47:CD127,ROW()-ROW($CD$130)+1),"")</f>
        <v>0</v>
      </c>
      <c r="CE141">
        <f>IFERROR(SMALL(CE47:CE127,ROW()-ROW($CE$130)+1),"")</f>
        <v>0</v>
      </c>
      <c r="CF141">
        <f>IFERROR(SMALL(CF47:CF127,ROW()-ROW($CF$130)+1),"")</f>
        <v>0</v>
      </c>
      <c r="CG141">
        <f>IFERROR(SMALL(CG47:CG127,ROW()-ROW($CG$130)+1),"")</f>
        <v>0</v>
      </c>
      <c r="CH141">
        <f>IFERROR(SMALL(CH47:CH127,ROW()-ROW($CH$130)+1),"")</f>
        <v>0</v>
      </c>
      <c r="CI141">
        <f>IFERROR(SMALL(CI47:CI127,ROW()-ROW($CI$130)+1),"")</f>
        <v>0</v>
      </c>
      <c r="CJ141">
        <f>IFERROR(SMALL(CJ47:CJ127,ROW()-ROW($CJ$130)+1),"")</f>
        <v>0</v>
      </c>
      <c r="CK141">
        <f>IFERROR(SMALL(CK47:CK127,ROW()-ROW($CK$130)+1),"")</f>
        <v>0</v>
      </c>
      <c r="CL141">
        <f>IFERROR(SMALL(CL47:CL127,ROW()-ROW($CL$130)+1),"")</f>
        <v>0</v>
      </c>
      <c r="CM141">
        <f>IFERROR(SMALL(CM47:CM127,ROW()-ROW($CM$130)+1),"")</f>
        <v>0</v>
      </c>
      <c r="CN141">
        <f>IFERROR(SMALL(CN47:CN127,ROW()-ROW($CN$130)+1),"")</f>
        <v>0</v>
      </c>
      <c r="CO141">
        <f>IFERROR(SMALL(CO47:CO127,ROW()-ROW($CO$130)+1),"")</f>
        <v>0</v>
      </c>
      <c r="CP141">
        <f>IFERROR(SMALL(CP47:CP127,ROW()-ROW($CP$130)+1),"")</f>
        <v>0</v>
      </c>
      <c r="CQ141">
        <f>IFERROR(SMALL(CQ47:CQ127,ROW()-ROW($CQ$130)+1),"")</f>
        <v>0</v>
      </c>
      <c r="CR141">
        <f>IFERROR(SMALL(CR47:CR127,ROW()-ROW($CR$130)+1),"")</f>
        <v>0</v>
      </c>
      <c r="CS141">
        <f>IFERROR(SMALL(CS47:CS127,ROW()-ROW($CS$130)+1),"")</f>
        <v>0</v>
      </c>
      <c r="CT141">
        <f>IFERROR(SMALL(CT47:CT127,ROW()-ROW($CT$130)+1),"")</f>
        <v>0</v>
      </c>
      <c r="CU141">
        <f>IFERROR(SMALL(CU47:CU127,ROW()-ROW($CU$130)+1),"")</f>
        <v>0</v>
      </c>
      <c r="CV141">
        <f>IFERROR(SMALL(CV47:CV127,ROW()-ROW($CV$130)+1),"")</f>
        <v>0</v>
      </c>
      <c r="CW141">
        <f>IFERROR(SMALL(CW47:CW127,ROW()-ROW($CW$130)+1),"")</f>
        <v>0</v>
      </c>
      <c r="CX141">
        <f>IFERROR(SMALL(CX47:CX127,ROW()-ROW($CX$130)+1),"")</f>
        <v>0</v>
      </c>
      <c r="CY141">
        <f>IFERROR(SMALL(CY47:CY127,ROW()-ROW($CY$130)+1),"")</f>
        <v>0</v>
      </c>
      <c r="CZ141">
        <f>IFERROR(SMALL(CZ47:CZ127,ROW()-ROW($CZ$130)+1),"")</f>
        <v>0</v>
      </c>
      <c r="DA141">
        <f>IFERROR(SMALL(DA47:DA127,ROW()-ROW($DA$130)+1),"")</f>
        <v>0</v>
      </c>
      <c r="DB141">
        <f>IFERROR(SMALL(DB47:DB127,ROW()-ROW($DB$130)+1),"")</f>
        <v>0</v>
      </c>
      <c r="DC141">
        <f>IFERROR(SMALL(DC47:DC127,ROW()-ROW($DC$130)+1),"")</f>
        <v>0</v>
      </c>
      <c r="DD141">
        <f>IFERROR(SMALL(DD47:DD127,ROW()-ROW($DD$130)+1),"")</f>
        <v>0</v>
      </c>
      <c r="DE141">
        <f>IFERROR(SMALL(DE47:DE127,ROW()-ROW($DE$130)+1),"")</f>
        <v>0</v>
      </c>
      <c r="DF141">
        <f>IFERROR(SMALL(DF47:DF127,ROW()-ROW($DF$130)+1),"")</f>
        <v>0</v>
      </c>
      <c r="DG141">
        <f>IFERROR(SMALL(DG47:DG127,ROW()-ROW($DG$130)+1),"")</f>
        <v>0</v>
      </c>
      <c r="DH141">
        <f>IFERROR(SMALL(DH47:DH127,ROW()-ROW($DH$130)+1),"")</f>
        <v>0</v>
      </c>
      <c r="DI141">
        <f>IFERROR(SMALL(DI47:DI127,ROW()-ROW($DI$130)+1),"")</f>
        <v>0</v>
      </c>
      <c r="DJ141">
        <f>IFERROR(SMALL(DJ47:DJ127,ROW()-ROW($DJ$130)+1),"")</f>
        <v>0</v>
      </c>
      <c r="DK141">
        <f>IFERROR(SMALL(DK47:DK127,ROW()-ROW($DK$130)+1),"")</f>
        <v>0</v>
      </c>
      <c r="DL141">
        <f>IFERROR(SMALL(DL47:DL127,ROW()-ROW($DL$130)+1),"")</f>
        <v>0</v>
      </c>
      <c r="DM141">
        <f>IFERROR(SMALL(DM47:DM127,ROW()-ROW($DM$130)+1),"")</f>
        <v>0</v>
      </c>
      <c r="DN141">
        <f>IFERROR(SMALL(DN47:DN127,ROW()-ROW($DN$130)+1),"")</f>
        <v>0</v>
      </c>
      <c r="DO141">
        <f>IFERROR(SMALL(DO47:DO127,ROW()-ROW($DO$130)+1),"")</f>
        <v>0</v>
      </c>
      <c r="DP141">
        <f>IFERROR(SMALL(DP47:DP127,ROW()-ROW($DP$130)+1),"")</f>
        <v>0</v>
      </c>
      <c r="DQ141">
        <f>IFERROR(SMALL(DQ47:DQ127,ROW()-ROW($DQ$130)+1),"")</f>
        <v>0</v>
      </c>
      <c r="DR141">
        <f>IFERROR(SMALL(DR47:DR127,ROW()-ROW($DR$130)+1),"")</f>
        <v>0</v>
      </c>
      <c r="DS141">
        <f>IFERROR(SMALL(DS47:DS127,ROW()-ROW($DS$130)+1),"")</f>
        <v>0</v>
      </c>
      <c r="DT141">
        <f>IFERROR(SMALL(DT47:DT127,ROW()-ROW($DT$130)+1),"")</f>
        <v>0</v>
      </c>
      <c r="DU141">
        <f>IFERROR(SMALL(DU47:DU127,ROW()-ROW($DU$130)+1),"")</f>
        <v>0</v>
      </c>
      <c r="DV141">
        <f>IFERROR(SMALL(DV47:DV127,ROW()-ROW($DV$130)+1),"")</f>
        <v>0</v>
      </c>
      <c r="DW141">
        <f>IFERROR(SMALL(DW47:DW127,ROW()-ROW($DW$130)+1),"")</f>
        <v>0</v>
      </c>
      <c r="DX141">
        <f>IFERROR(SMALL(DX47:DX127,ROW()-ROW($DX$130)+1),"")</f>
        <v>0</v>
      </c>
      <c r="DY141">
        <f>IFERROR(SMALL(DY47:DY127,ROW()-ROW($DY$130)+1),"")</f>
        <v>0</v>
      </c>
      <c r="DZ141">
        <f>IFERROR(SMALL(DZ47:DZ127,ROW()-ROW($DZ$130)+1),"")</f>
        <v>0</v>
      </c>
      <c r="EA141">
        <f>IFERROR(SMALL(EA47:EA127,ROW()-ROW($EA$130)+1),"")</f>
        <v>0</v>
      </c>
      <c r="EB141">
        <f>IFERROR(SMALL(EB47:EB127,ROW()-ROW($EB$130)+1),"")</f>
        <v>0</v>
      </c>
      <c r="EC141">
        <f>IFERROR(SMALL(EC47:EC127,ROW()-ROW($EC$130)+1),"")</f>
        <v>0</v>
      </c>
      <c r="ED141">
        <f>IFERROR(SMALL(ED47:ED127,ROW()-ROW($ED$130)+1),"")</f>
        <v>0</v>
      </c>
    </row>
    <row r="142" spans="4:134">
      <c r="E142">
        <f>IFERROR(SMALL(E47:E127,ROW()-ROW($E$130)+1),"")</f>
        <v>0</v>
      </c>
      <c r="F142">
        <f>IFERROR(SMALL(F47:F127,ROW()-ROW($F$130)+1),"")</f>
        <v>0</v>
      </c>
      <c r="G142">
        <f>IFERROR(SMALL(G47:G127,ROW()-ROW($G$130)+1),"")</f>
        <v>0</v>
      </c>
      <c r="H142">
        <f>IFERROR(SMALL(H47:H127,ROW()-ROW($H$130)+1),"")</f>
        <v>0</v>
      </c>
      <c r="I142">
        <f>IFERROR(SMALL(I47:I127,ROW()-ROW($I$130)+1),"")</f>
        <v>0</v>
      </c>
      <c r="J142">
        <f>IFERROR(SMALL(J47:J127,ROW()-ROW($J$130)+1),"")</f>
        <v>0</v>
      </c>
      <c r="K142">
        <f>IFERROR(SMALL(K47:K127,ROW()-ROW($K$130)+1),"")</f>
        <v>0</v>
      </c>
      <c r="L142">
        <f>IFERROR(SMALL(L47:L127,ROW()-ROW($L$130)+1),"")</f>
        <v>0</v>
      </c>
      <c r="M142">
        <f>IFERROR(SMALL(M47:M127,ROW()-ROW($M$130)+1),"")</f>
        <v>0</v>
      </c>
      <c r="N142">
        <f>IFERROR(SMALL(N47:N127,ROW()-ROW($N$130)+1),"")</f>
        <v>0</v>
      </c>
      <c r="O142">
        <f>IFERROR(SMALL(O47:O127,ROW()-ROW($O$130)+1),"")</f>
        <v>0</v>
      </c>
      <c r="P142">
        <f>IFERROR(SMALL(P47:P127,ROW()-ROW($P$130)+1),"")</f>
        <v>0</v>
      </c>
      <c r="Q142">
        <f>IFERROR(SMALL(Q47:Q127,ROW()-ROW($Q$130)+1),"")</f>
        <v>0</v>
      </c>
      <c r="R142">
        <f>IFERROR(SMALL(R47:R127,ROW()-ROW($R$130)+1),"")</f>
        <v>0</v>
      </c>
      <c r="S142">
        <f>IFERROR(SMALL(S47:S127,ROW()-ROW($S$130)+1),"")</f>
        <v>0</v>
      </c>
      <c r="T142">
        <f>IFERROR(SMALL(T47:T127,ROW()-ROW($T$130)+1),"")</f>
        <v>0</v>
      </c>
      <c r="U142">
        <f>IFERROR(SMALL(U47:U127,ROW()-ROW($U$130)+1),"")</f>
        <v>0</v>
      </c>
      <c r="V142">
        <f>IFERROR(SMALL(V47:V127,ROW()-ROW($V$130)+1),"")</f>
        <v>0</v>
      </c>
      <c r="W142">
        <f>IFERROR(SMALL(W47:W127,ROW()-ROW($W$130)+1),"")</f>
        <v>0</v>
      </c>
      <c r="X142">
        <f>IFERROR(SMALL(X47:X127,ROW()-ROW($X$130)+1),"")</f>
        <v>0</v>
      </c>
      <c r="Y142">
        <f>IFERROR(SMALL(Y47:Y127,ROW()-ROW($Y$130)+1),"")</f>
        <v>0</v>
      </c>
      <c r="Z142">
        <f>IFERROR(SMALL(Z47:Z127,ROW()-ROW($Z$130)+1),"")</f>
        <v>0</v>
      </c>
      <c r="AA142">
        <f>IFERROR(SMALL(AA47:AA127,ROW()-ROW($AA$130)+1),"")</f>
        <v>0</v>
      </c>
      <c r="AB142">
        <f>IFERROR(SMALL(AB47:AB127,ROW()-ROW($AB$130)+1),"")</f>
        <v>0</v>
      </c>
      <c r="AC142">
        <f>IFERROR(SMALL(AC47:AC127,ROW()-ROW($AC$130)+1),"")</f>
        <v>0</v>
      </c>
      <c r="AD142">
        <f>IFERROR(SMALL(AD47:AD127,ROW()-ROW($AD$130)+1),"")</f>
        <v>0</v>
      </c>
      <c r="AE142">
        <f>IFERROR(SMALL(AE47:AE127,ROW()-ROW($AE$130)+1),"")</f>
        <v>0</v>
      </c>
      <c r="AF142">
        <f>IFERROR(SMALL(AF47:AF127,ROW()-ROW($AF$130)+1),"")</f>
        <v>0</v>
      </c>
      <c r="AG142">
        <f>IFERROR(SMALL(AG47:AG127,ROW()-ROW($AG$130)+1),"")</f>
        <v>0</v>
      </c>
      <c r="AH142">
        <f>IFERROR(SMALL(AH47:AH127,ROW()-ROW($AH$130)+1),"")</f>
        <v>0</v>
      </c>
      <c r="AI142">
        <f>IFERROR(SMALL(AI47:AI127,ROW()-ROW($AI$130)+1),"")</f>
        <v>0</v>
      </c>
      <c r="AJ142">
        <f>IFERROR(SMALL(AJ47:AJ127,ROW()-ROW($AJ$130)+1),"")</f>
        <v>0</v>
      </c>
      <c r="AK142">
        <f>IFERROR(SMALL(AK47:AK127,ROW()-ROW($AK$130)+1),"")</f>
        <v>0</v>
      </c>
      <c r="AL142">
        <f>IFERROR(SMALL(AL47:AL127,ROW()-ROW($AL$130)+1),"")</f>
        <v>0</v>
      </c>
      <c r="AM142">
        <f>IFERROR(SMALL(AM47:AM127,ROW()-ROW($AM$130)+1),"")</f>
        <v>0</v>
      </c>
      <c r="AN142">
        <f>IFERROR(SMALL(AN47:AN127,ROW()-ROW($AN$130)+1),"")</f>
        <v>0</v>
      </c>
      <c r="AO142">
        <f>IFERROR(SMALL(AO47:AO127,ROW()-ROW($AO$130)+1),"")</f>
        <v>0</v>
      </c>
      <c r="AP142">
        <f>IFERROR(SMALL(AP47:AP127,ROW()-ROW($AP$130)+1),"")</f>
        <v>0</v>
      </c>
      <c r="AQ142">
        <f>IFERROR(SMALL(AQ47:AQ127,ROW()-ROW($AQ$130)+1),"")</f>
        <v>0</v>
      </c>
      <c r="AR142">
        <f>IFERROR(SMALL(AR47:AR127,ROW()-ROW($AR$130)+1),"")</f>
        <v>0</v>
      </c>
      <c r="AS142">
        <f>IFERROR(SMALL(AS47:AS127,ROW()-ROW($AS$130)+1),"")</f>
        <v>0</v>
      </c>
      <c r="AT142">
        <f>IFERROR(SMALL(AT47:AT127,ROW()-ROW($AT$130)+1),"")</f>
        <v>0</v>
      </c>
      <c r="AU142">
        <f>IFERROR(SMALL(AU47:AU127,ROW()-ROW($AU$130)+1),"")</f>
        <v>0</v>
      </c>
      <c r="AV142">
        <f>IFERROR(SMALL(AV47:AV127,ROW()-ROW($AV$130)+1),"")</f>
        <v>0</v>
      </c>
      <c r="AW142">
        <f>IFERROR(SMALL(AW47:AW127,ROW()-ROW($AW$130)+1),"")</f>
        <v>0</v>
      </c>
      <c r="AX142">
        <f>IFERROR(SMALL(AX47:AX127,ROW()-ROW($AX$130)+1),"")</f>
        <v>0</v>
      </c>
      <c r="AY142">
        <f>IFERROR(SMALL(AY47:AY127,ROW()-ROW($AY$130)+1),"")</f>
        <v>0</v>
      </c>
      <c r="AZ142">
        <f>IFERROR(SMALL(AZ47:AZ127,ROW()-ROW($AZ$130)+1),"")</f>
        <v>0</v>
      </c>
      <c r="BA142">
        <f>IFERROR(SMALL(BA47:BA127,ROW()-ROW($BA$130)+1),"")</f>
        <v>0</v>
      </c>
      <c r="BB142">
        <f>IFERROR(SMALL(BB47:BB127,ROW()-ROW($BB$130)+1),"")</f>
        <v>0</v>
      </c>
      <c r="BC142">
        <f>IFERROR(SMALL(BC47:BC127,ROW()-ROW($BC$130)+1),"")</f>
        <v>0</v>
      </c>
      <c r="BD142">
        <f>IFERROR(SMALL(BD47:BD127,ROW()-ROW($BD$130)+1),"")</f>
        <v>0</v>
      </c>
      <c r="BE142">
        <f>IFERROR(SMALL(BE47:BE127,ROW()-ROW($BE$130)+1),"")</f>
        <v>0</v>
      </c>
      <c r="BF142">
        <f>IFERROR(SMALL(BF47:BF127,ROW()-ROW($BF$130)+1),"")</f>
        <v>0</v>
      </c>
      <c r="BG142">
        <f>IFERROR(SMALL(BG47:BG127,ROW()-ROW($BG$130)+1),"")</f>
        <v>0</v>
      </c>
      <c r="BH142">
        <f>IFERROR(SMALL(BH47:BH127,ROW()-ROW($BH$130)+1),"")</f>
        <v>0</v>
      </c>
      <c r="BI142">
        <f>IFERROR(SMALL(BI47:BI127,ROW()-ROW($BI$130)+1),"")</f>
        <v>0</v>
      </c>
      <c r="BJ142">
        <f>IFERROR(SMALL(BJ47:BJ127,ROW()-ROW($BJ$130)+1),"")</f>
        <v>0</v>
      </c>
      <c r="BK142">
        <f>IFERROR(SMALL(BK47:BK127,ROW()-ROW($BK$130)+1),"")</f>
        <v>0</v>
      </c>
      <c r="BL142">
        <f>IFERROR(SMALL(BL47:BL127,ROW()-ROW($BL$130)+1),"")</f>
        <v>0</v>
      </c>
      <c r="BM142">
        <f>IFERROR(SMALL(BM47:BM127,ROW()-ROW($BM$130)+1),"")</f>
        <v>0</v>
      </c>
      <c r="BN142">
        <f>IFERROR(SMALL(BN47:BN127,ROW()-ROW($BN$130)+1),"")</f>
        <v>0</v>
      </c>
      <c r="BO142">
        <f>IFERROR(SMALL(BO47:BO127,ROW()-ROW($BO$130)+1),"")</f>
        <v>0</v>
      </c>
      <c r="BP142">
        <f>IFERROR(SMALL(BP47:BP127,ROW()-ROW($BP$130)+1),"")</f>
        <v>0</v>
      </c>
      <c r="BS142">
        <f>IFERROR(SMALL(BS47:BS127,ROW()-ROW($BS$130)+1),"")</f>
        <v>0</v>
      </c>
      <c r="BT142">
        <f>IFERROR(SMALL(BT47:BT127,ROW()-ROW($BT$130)+1),"")</f>
        <v>0</v>
      </c>
      <c r="BU142">
        <f>IFERROR(SMALL(BU47:BU127,ROW()-ROW($BU$130)+1),"")</f>
        <v>0</v>
      </c>
      <c r="BV142">
        <f>IFERROR(SMALL(BV47:BV127,ROW()-ROW($BV$130)+1),"")</f>
        <v>0</v>
      </c>
      <c r="BW142">
        <f>IFERROR(SMALL(BW47:BW127,ROW()-ROW($BW$130)+1),"")</f>
        <v>0</v>
      </c>
      <c r="BX142">
        <f>IFERROR(SMALL(BX47:BX127,ROW()-ROW($BX$130)+1),"")</f>
        <v>0</v>
      </c>
      <c r="BY142">
        <f>IFERROR(SMALL(BY47:BY127,ROW()-ROW($BY$130)+1),"")</f>
        <v>0</v>
      </c>
      <c r="BZ142">
        <f>IFERROR(SMALL(BZ47:BZ127,ROW()-ROW($BZ$130)+1),"")</f>
        <v>0</v>
      </c>
      <c r="CA142">
        <f>IFERROR(SMALL(CA47:CA127,ROW()-ROW($CA$130)+1),"")</f>
        <v>0</v>
      </c>
      <c r="CB142">
        <f>IFERROR(SMALL(CB47:CB127,ROW()-ROW($CB$130)+1),"")</f>
        <v>0</v>
      </c>
      <c r="CC142">
        <f>IFERROR(SMALL(CC47:CC127,ROW()-ROW($CC$130)+1),"")</f>
        <v>0</v>
      </c>
      <c r="CD142">
        <f>IFERROR(SMALL(CD47:CD127,ROW()-ROW($CD$130)+1),"")</f>
        <v>0</v>
      </c>
      <c r="CE142">
        <f>IFERROR(SMALL(CE47:CE127,ROW()-ROW($CE$130)+1),"")</f>
        <v>0</v>
      </c>
      <c r="CF142">
        <f>IFERROR(SMALL(CF47:CF127,ROW()-ROW($CF$130)+1),"")</f>
        <v>0</v>
      </c>
      <c r="CG142">
        <f>IFERROR(SMALL(CG47:CG127,ROW()-ROW($CG$130)+1),"")</f>
        <v>0</v>
      </c>
      <c r="CH142">
        <f>IFERROR(SMALL(CH47:CH127,ROW()-ROW($CH$130)+1),"")</f>
        <v>0</v>
      </c>
      <c r="CI142">
        <f>IFERROR(SMALL(CI47:CI127,ROW()-ROW($CI$130)+1),"")</f>
        <v>0</v>
      </c>
      <c r="CJ142">
        <f>IFERROR(SMALL(CJ47:CJ127,ROW()-ROW($CJ$130)+1),"")</f>
        <v>0</v>
      </c>
      <c r="CK142">
        <f>IFERROR(SMALL(CK47:CK127,ROW()-ROW($CK$130)+1),"")</f>
        <v>0</v>
      </c>
      <c r="CL142">
        <f>IFERROR(SMALL(CL47:CL127,ROW()-ROW($CL$130)+1),"")</f>
        <v>0</v>
      </c>
      <c r="CM142">
        <f>IFERROR(SMALL(CM47:CM127,ROW()-ROW($CM$130)+1),"")</f>
        <v>0</v>
      </c>
      <c r="CN142">
        <f>IFERROR(SMALL(CN47:CN127,ROW()-ROW($CN$130)+1),"")</f>
        <v>0</v>
      </c>
      <c r="CO142">
        <f>IFERROR(SMALL(CO47:CO127,ROW()-ROW($CO$130)+1),"")</f>
        <v>0</v>
      </c>
      <c r="CP142">
        <f>IFERROR(SMALL(CP47:CP127,ROW()-ROW($CP$130)+1),"")</f>
        <v>0</v>
      </c>
      <c r="CQ142">
        <f>IFERROR(SMALL(CQ47:CQ127,ROW()-ROW($CQ$130)+1),"")</f>
        <v>0</v>
      </c>
      <c r="CR142">
        <f>IFERROR(SMALL(CR47:CR127,ROW()-ROW($CR$130)+1),"")</f>
        <v>0</v>
      </c>
      <c r="CS142">
        <f>IFERROR(SMALL(CS47:CS127,ROW()-ROW($CS$130)+1),"")</f>
        <v>0</v>
      </c>
      <c r="CT142">
        <f>IFERROR(SMALL(CT47:CT127,ROW()-ROW($CT$130)+1),"")</f>
        <v>0</v>
      </c>
      <c r="CU142">
        <f>IFERROR(SMALL(CU47:CU127,ROW()-ROW($CU$130)+1),"")</f>
        <v>0</v>
      </c>
      <c r="CV142">
        <f>IFERROR(SMALL(CV47:CV127,ROW()-ROW($CV$130)+1),"")</f>
        <v>0</v>
      </c>
      <c r="CW142">
        <f>IFERROR(SMALL(CW47:CW127,ROW()-ROW($CW$130)+1),"")</f>
        <v>0</v>
      </c>
      <c r="CX142">
        <f>IFERROR(SMALL(CX47:CX127,ROW()-ROW($CX$130)+1),"")</f>
        <v>0</v>
      </c>
      <c r="CY142">
        <f>IFERROR(SMALL(CY47:CY127,ROW()-ROW($CY$130)+1),"")</f>
        <v>0</v>
      </c>
      <c r="CZ142">
        <f>IFERROR(SMALL(CZ47:CZ127,ROW()-ROW($CZ$130)+1),"")</f>
        <v>0</v>
      </c>
      <c r="DA142">
        <f>IFERROR(SMALL(DA47:DA127,ROW()-ROW($DA$130)+1),"")</f>
        <v>0</v>
      </c>
      <c r="DB142">
        <f>IFERROR(SMALL(DB47:DB127,ROW()-ROW($DB$130)+1),"")</f>
        <v>0</v>
      </c>
      <c r="DC142">
        <f>IFERROR(SMALL(DC47:DC127,ROW()-ROW($DC$130)+1),"")</f>
        <v>0</v>
      </c>
      <c r="DD142">
        <f>IFERROR(SMALL(DD47:DD127,ROW()-ROW($DD$130)+1),"")</f>
        <v>0</v>
      </c>
      <c r="DE142">
        <f>IFERROR(SMALL(DE47:DE127,ROW()-ROW($DE$130)+1),"")</f>
        <v>0</v>
      </c>
      <c r="DF142">
        <f>IFERROR(SMALL(DF47:DF127,ROW()-ROW($DF$130)+1),"")</f>
        <v>0</v>
      </c>
      <c r="DG142">
        <f>IFERROR(SMALL(DG47:DG127,ROW()-ROW($DG$130)+1),"")</f>
        <v>0</v>
      </c>
      <c r="DH142">
        <f>IFERROR(SMALL(DH47:DH127,ROW()-ROW($DH$130)+1),"")</f>
        <v>0</v>
      </c>
      <c r="DI142">
        <f>IFERROR(SMALL(DI47:DI127,ROW()-ROW($DI$130)+1),"")</f>
        <v>0</v>
      </c>
      <c r="DJ142">
        <f>IFERROR(SMALL(DJ47:DJ127,ROW()-ROW($DJ$130)+1),"")</f>
        <v>0</v>
      </c>
      <c r="DK142">
        <f>IFERROR(SMALL(DK47:DK127,ROW()-ROW($DK$130)+1),"")</f>
        <v>0</v>
      </c>
      <c r="DL142">
        <f>IFERROR(SMALL(DL47:DL127,ROW()-ROW($DL$130)+1),"")</f>
        <v>0</v>
      </c>
      <c r="DM142">
        <f>IFERROR(SMALL(DM47:DM127,ROW()-ROW($DM$130)+1),"")</f>
        <v>0</v>
      </c>
      <c r="DN142">
        <f>IFERROR(SMALL(DN47:DN127,ROW()-ROW($DN$130)+1),"")</f>
        <v>0</v>
      </c>
      <c r="DO142">
        <f>IFERROR(SMALL(DO47:DO127,ROW()-ROW($DO$130)+1),"")</f>
        <v>0</v>
      </c>
      <c r="DP142">
        <f>IFERROR(SMALL(DP47:DP127,ROW()-ROW($DP$130)+1),"")</f>
        <v>0</v>
      </c>
      <c r="DQ142">
        <f>IFERROR(SMALL(DQ47:DQ127,ROW()-ROW($DQ$130)+1),"")</f>
        <v>0</v>
      </c>
      <c r="DR142">
        <f>IFERROR(SMALL(DR47:DR127,ROW()-ROW($DR$130)+1),"")</f>
        <v>0</v>
      </c>
      <c r="DS142">
        <f>IFERROR(SMALL(DS47:DS127,ROW()-ROW($DS$130)+1),"")</f>
        <v>0</v>
      </c>
      <c r="DT142">
        <f>IFERROR(SMALL(DT47:DT127,ROW()-ROW($DT$130)+1),"")</f>
        <v>0</v>
      </c>
      <c r="DU142">
        <f>IFERROR(SMALL(DU47:DU127,ROW()-ROW($DU$130)+1),"")</f>
        <v>0</v>
      </c>
      <c r="DV142">
        <f>IFERROR(SMALL(DV47:DV127,ROW()-ROW($DV$130)+1),"")</f>
        <v>0</v>
      </c>
      <c r="DW142">
        <f>IFERROR(SMALL(DW47:DW127,ROW()-ROW($DW$130)+1),"")</f>
        <v>0</v>
      </c>
      <c r="DX142">
        <f>IFERROR(SMALL(DX47:DX127,ROW()-ROW($DX$130)+1),"")</f>
        <v>0</v>
      </c>
      <c r="DY142">
        <f>IFERROR(SMALL(DY47:DY127,ROW()-ROW($DY$130)+1),"")</f>
        <v>0</v>
      </c>
      <c r="DZ142">
        <f>IFERROR(SMALL(DZ47:DZ127,ROW()-ROW($DZ$130)+1),"")</f>
        <v>0</v>
      </c>
      <c r="EA142">
        <f>IFERROR(SMALL(EA47:EA127,ROW()-ROW($EA$130)+1),"")</f>
        <v>0</v>
      </c>
      <c r="EB142">
        <f>IFERROR(SMALL(EB47:EB127,ROW()-ROW($EB$130)+1),"")</f>
        <v>0</v>
      </c>
      <c r="EC142">
        <f>IFERROR(SMALL(EC47:EC127,ROW()-ROW($EC$130)+1),"")</f>
        <v>0</v>
      </c>
      <c r="ED142">
        <f>IFERROR(SMALL(ED47:ED127,ROW()-ROW($ED$130)+1),"")</f>
        <v>0</v>
      </c>
    </row>
    <row r="143" spans="4:134">
      <c r="E143">
        <f>IFERROR(SMALL(E47:E127,ROW()-ROW($E$130)+1),"")</f>
        <v>0</v>
      </c>
      <c r="F143">
        <f>IFERROR(SMALL(F47:F127,ROW()-ROW($F$130)+1),"")</f>
        <v>0</v>
      </c>
      <c r="G143">
        <f>IFERROR(SMALL(G47:G127,ROW()-ROW($G$130)+1),"")</f>
        <v>0</v>
      </c>
      <c r="H143">
        <f>IFERROR(SMALL(H47:H127,ROW()-ROW($H$130)+1),"")</f>
        <v>0</v>
      </c>
      <c r="I143">
        <f>IFERROR(SMALL(I47:I127,ROW()-ROW($I$130)+1),"")</f>
        <v>0</v>
      </c>
      <c r="J143">
        <f>IFERROR(SMALL(J47:J127,ROW()-ROW($J$130)+1),"")</f>
        <v>0</v>
      </c>
      <c r="K143">
        <f>IFERROR(SMALL(K47:K127,ROW()-ROW($K$130)+1),"")</f>
        <v>0</v>
      </c>
      <c r="L143">
        <f>IFERROR(SMALL(L47:L127,ROW()-ROW($L$130)+1),"")</f>
        <v>0</v>
      </c>
      <c r="M143">
        <f>IFERROR(SMALL(M47:M127,ROW()-ROW($M$130)+1),"")</f>
        <v>0</v>
      </c>
      <c r="N143">
        <f>IFERROR(SMALL(N47:N127,ROW()-ROW($N$130)+1),"")</f>
        <v>0</v>
      </c>
      <c r="O143">
        <f>IFERROR(SMALL(O47:O127,ROW()-ROW($O$130)+1),"")</f>
        <v>0</v>
      </c>
      <c r="P143">
        <f>IFERROR(SMALL(P47:P127,ROW()-ROW($P$130)+1),"")</f>
        <v>0</v>
      </c>
      <c r="Q143">
        <f>IFERROR(SMALL(Q47:Q127,ROW()-ROW($Q$130)+1),"")</f>
        <v>0</v>
      </c>
      <c r="R143">
        <f>IFERROR(SMALL(R47:R127,ROW()-ROW($R$130)+1),"")</f>
        <v>0</v>
      </c>
      <c r="S143">
        <f>IFERROR(SMALL(S47:S127,ROW()-ROW($S$130)+1),"")</f>
        <v>0</v>
      </c>
      <c r="T143">
        <f>IFERROR(SMALL(T47:T127,ROW()-ROW($T$130)+1),"")</f>
        <v>0</v>
      </c>
      <c r="U143">
        <f>IFERROR(SMALL(U47:U127,ROW()-ROW($U$130)+1),"")</f>
        <v>0</v>
      </c>
      <c r="V143">
        <f>IFERROR(SMALL(V47:V127,ROW()-ROW($V$130)+1),"")</f>
        <v>0</v>
      </c>
      <c r="W143">
        <f>IFERROR(SMALL(W47:W127,ROW()-ROW($W$130)+1),"")</f>
        <v>0</v>
      </c>
      <c r="X143">
        <f>IFERROR(SMALL(X47:X127,ROW()-ROW($X$130)+1),"")</f>
        <v>0</v>
      </c>
      <c r="Y143">
        <f>IFERROR(SMALL(Y47:Y127,ROW()-ROW($Y$130)+1),"")</f>
        <v>0</v>
      </c>
      <c r="Z143">
        <f>IFERROR(SMALL(Z47:Z127,ROW()-ROW($Z$130)+1),"")</f>
        <v>0</v>
      </c>
      <c r="AA143">
        <f>IFERROR(SMALL(AA47:AA127,ROW()-ROW($AA$130)+1),"")</f>
        <v>0</v>
      </c>
      <c r="AB143">
        <f>IFERROR(SMALL(AB47:AB127,ROW()-ROW($AB$130)+1),"")</f>
        <v>0</v>
      </c>
      <c r="AC143">
        <f>IFERROR(SMALL(AC47:AC127,ROW()-ROW($AC$130)+1),"")</f>
        <v>0</v>
      </c>
      <c r="AD143">
        <f>IFERROR(SMALL(AD47:AD127,ROW()-ROW($AD$130)+1),"")</f>
        <v>0</v>
      </c>
      <c r="AE143">
        <f>IFERROR(SMALL(AE47:AE127,ROW()-ROW($AE$130)+1),"")</f>
        <v>0</v>
      </c>
      <c r="AF143">
        <f>IFERROR(SMALL(AF47:AF127,ROW()-ROW($AF$130)+1),"")</f>
        <v>0</v>
      </c>
      <c r="AG143">
        <f>IFERROR(SMALL(AG47:AG127,ROW()-ROW($AG$130)+1),"")</f>
        <v>0</v>
      </c>
      <c r="AH143">
        <f>IFERROR(SMALL(AH47:AH127,ROW()-ROW($AH$130)+1),"")</f>
        <v>0</v>
      </c>
      <c r="AI143">
        <f>IFERROR(SMALL(AI47:AI127,ROW()-ROW($AI$130)+1),"")</f>
        <v>0</v>
      </c>
      <c r="AJ143">
        <f>IFERROR(SMALL(AJ47:AJ127,ROW()-ROW($AJ$130)+1),"")</f>
        <v>0</v>
      </c>
      <c r="AK143">
        <f>IFERROR(SMALL(AK47:AK127,ROW()-ROW($AK$130)+1),"")</f>
        <v>0</v>
      </c>
      <c r="AL143">
        <f>IFERROR(SMALL(AL47:AL127,ROW()-ROW($AL$130)+1),"")</f>
        <v>0</v>
      </c>
      <c r="AM143">
        <f>IFERROR(SMALL(AM47:AM127,ROW()-ROW($AM$130)+1),"")</f>
        <v>0</v>
      </c>
      <c r="AN143">
        <f>IFERROR(SMALL(AN47:AN127,ROW()-ROW($AN$130)+1),"")</f>
        <v>0</v>
      </c>
      <c r="AO143">
        <f>IFERROR(SMALL(AO47:AO127,ROW()-ROW($AO$130)+1),"")</f>
        <v>0</v>
      </c>
      <c r="AP143">
        <f>IFERROR(SMALL(AP47:AP127,ROW()-ROW($AP$130)+1),"")</f>
        <v>0</v>
      </c>
      <c r="AQ143">
        <f>IFERROR(SMALL(AQ47:AQ127,ROW()-ROW($AQ$130)+1),"")</f>
        <v>0</v>
      </c>
      <c r="AR143">
        <f>IFERROR(SMALL(AR47:AR127,ROW()-ROW($AR$130)+1),"")</f>
        <v>0</v>
      </c>
      <c r="AS143">
        <f>IFERROR(SMALL(AS47:AS127,ROW()-ROW($AS$130)+1),"")</f>
        <v>0</v>
      </c>
      <c r="AT143">
        <f>IFERROR(SMALL(AT47:AT127,ROW()-ROW($AT$130)+1),"")</f>
        <v>0</v>
      </c>
      <c r="AU143">
        <f>IFERROR(SMALL(AU47:AU127,ROW()-ROW($AU$130)+1),"")</f>
        <v>0</v>
      </c>
      <c r="AV143">
        <f>IFERROR(SMALL(AV47:AV127,ROW()-ROW($AV$130)+1),"")</f>
        <v>0</v>
      </c>
      <c r="AW143">
        <f>IFERROR(SMALL(AW47:AW127,ROW()-ROW($AW$130)+1),"")</f>
        <v>0</v>
      </c>
      <c r="AX143">
        <f>IFERROR(SMALL(AX47:AX127,ROW()-ROW($AX$130)+1),"")</f>
        <v>0</v>
      </c>
      <c r="AY143">
        <f>IFERROR(SMALL(AY47:AY127,ROW()-ROW($AY$130)+1),"")</f>
        <v>0</v>
      </c>
      <c r="AZ143">
        <f>IFERROR(SMALL(AZ47:AZ127,ROW()-ROW($AZ$130)+1),"")</f>
        <v>0</v>
      </c>
      <c r="BA143">
        <f>IFERROR(SMALL(BA47:BA127,ROW()-ROW($BA$130)+1),"")</f>
        <v>0</v>
      </c>
      <c r="BB143">
        <f>IFERROR(SMALL(BB47:BB127,ROW()-ROW($BB$130)+1),"")</f>
        <v>0</v>
      </c>
      <c r="BC143">
        <f>IFERROR(SMALL(BC47:BC127,ROW()-ROW($BC$130)+1),"")</f>
        <v>0</v>
      </c>
      <c r="BD143">
        <f>IFERROR(SMALL(BD47:BD127,ROW()-ROW($BD$130)+1),"")</f>
        <v>0</v>
      </c>
      <c r="BE143">
        <f>IFERROR(SMALL(BE47:BE127,ROW()-ROW($BE$130)+1),"")</f>
        <v>0</v>
      </c>
      <c r="BF143">
        <f>IFERROR(SMALL(BF47:BF127,ROW()-ROW($BF$130)+1),"")</f>
        <v>0</v>
      </c>
      <c r="BG143">
        <f>IFERROR(SMALL(BG47:BG127,ROW()-ROW($BG$130)+1),"")</f>
        <v>0</v>
      </c>
      <c r="BH143">
        <f>IFERROR(SMALL(BH47:BH127,ROW()-ROW($BH$130)+1),"")</f>
        <v>0</v>
      </c>
      <c r="BI143">
        <f>IFERROR(SMALL(BI47:BI127,ROW()-ROW($BI$130)+1),"")</f>
        <v>0</v>
      </c>
      <c r="BJ143">
        <f>IFERROR(SMALL(BJ47:BJ127,ROW()-ROW($BJ$130)+1),"")</f>
        <v>0</v>
      </c>
      <c r="BK143">
        <f>IFERROR(SMALL(BK47:BK127,ROW()-ROW($BK$130)+1),"")</f>
        <v>0</v>
      </c>
      <c r="BL143">
        <f>IFERROR(SMALL(BL47:BL127,ROW()-ROW($BL$130)+1),"")</f>
        <v>0</v>
      </c>
      <c r="BM143">
        <f>IFERROR(SMALL(BM47:BM127,ROW()-ROW($BM$130)+1),"")</f>
        <v>0</v>
      </c>
      <c r="BN143">
        <f>IFERROR(SMALL(BN47:BN127,ROW()-ROW($BN$130)+1),"")</f>
        <v>0</v>
      </c>
      <c r="BO143">
        <f>IFERROR(SMALL(BO47:BO127,ROW()-ROW($BO$130)+1),"")</f>
        <v>0</v>
      </c>
      <c r="BP143">
        <f>IFERROR(SMALL(BP47:BP127,ROW()-ROW($BP$130)+1),"")</f>
        <v>0</v>
      </c>
      <c r="BS143">
        <f>IFERROR(SMALL(BS47:BS127,ROW()-ROW($BS$130)+1),"")</f>
        <v>0</v>
      </c>
      <c r="BT143">
        <f>IFERROR(SMALL(BT47:BT127,ROW()-ROW($BT$130)+1),"")</f>
        <v>0</v>
      </c>
      <c r="BU143">
        <f>IFERROR(SMALL(BU47:BU127,ROW()-ROW($BU$130)+1),"")</f>
        <v>0</v>
      </c>
      <c r="BV143">
        <f>IFERROR(SMALL(BV47:BV127,ROW()-ROW($BV$130)+1),"")</f>
        <v>0</v>
      </c>
      <c r="BW143">
        <f>IFERROR(SMALL(BW47:BW127,ROW()-ROW($BW$130)+1),"")</f>
        <v>0</v>
      </c>
      <c r="BX143">
        <f>IFERROR(SMALL(BX47:BX127,ROW()-ROW($BX$130)+1),"")</f>
        <v>0</v>
      </c>
      <c r="BY143">
        <f>IFERROR(SMALL(BY47:BY127,ROW()-ROW($BY$130)+1),"")</f>
        <v>0</v>
      </c>
      <c r="BZ143">
        <f>IFERROR(SMALL(BZ47:BZ127,ROW()-ROW($BZ$130)+1),"")</f>
        <v>0</v>
      </c>
      <c r="CA143">
        <f>IFERROR(SMALL(CA47:CA127,ROW()-ROW($CA$130)+1),"")</f>
        <v>0</v>
      </c>
      <c r="CB143">
        <f>IFERROR(SMALL(CB47:CB127,ROW()-ROW($CB$130)+1),"")</f>
        <v>0</v>
      </c>
      <c r="CC143">
        <f>IFERROR(SMALL(CC47:CC127,ROW()-ROW($CC$130)+1),"")</f>
        <v>0</v>
      </c>
      <c r="CD143">
        <f>IFERROR(SMALL(CD47:CD127,ROW()-ROW($CD$130)+1),"")</f>
        <v>0</v>
      </c>
      <c r="CE143">
        <f>IFERROR(SMALL(CE47:CE127,ROW()-ROW($CE$130)+1),"")</f>
        <v>0</v>
      </c>
      <c r="CF143">
        <f>IFERROR(SMALL(CF47:CF127,ROW()-ROW($CF$130)+1),"")</f>
        <v>0</v>
      </c>
      <c r="CG143">
        <f>IFERROR(SMALL(CG47:CG127,ROW()-ROW($CG$130)+1),"")</f>
        <v>0</v>
      </c>
      <c r="CH143">
        <f>IFERROR(SMALL(CH47:CH127,ROW()-ROW($CH$130)+1),"")</f>
        <v>0</v>
      </c>
      <c r="CI143">
        <f>IFERROR(SMALL(CI47:CI127,ROW()-ROW($CI$130)+1),"")</f>
        <v>0</v>
      </c>
      <c r="CJ143">
        <f>IFERROR(SMALL(CJ47:CJ127,ROW()-ROW($CJ$130)+1),"")</f>
        <v>0</v>
      </c>
      <c r="CK143">
        <f>IFERROR(SMALL(CK47:CK127,ROW()-ROW($CK$130)+1),"")</f>
        <v>0</v>
      </c>
      <c r="CL143">
        <f>IFERROR(SMALL(CL47:CL127,ROW()-ROW($CL$130)+1),"")</f>
        <v>0</v>
      </c>
      <c r="CM143">
        <f>IFERROR(SMALL(CM47:CM127,ROW()-ROW($CM$130)+1),"")</f>
        <v>0</v>
      </c>
      <c r="CN143">
        <f>IFERROR(SMALL(CN47:CN127,ROW()-ROW($CN$130)+1),"")</f>
        <v>0</v>
      </c>
      <c r="CO143">
        <f>IFERROR(SMALL(CO47:CO127,ROW()-ROW($CO$130)+1),"")</f>
        <v>0</v>
      </c>
      <c r="CP143">
        <f>IFERROR(SMALL(CP47:CP127,ROW()-ROW($CP$130)+1),"")</f>
        <v>0</v>
      </c>
      <c r="CQ143">
        <f>IFERROR(SMALL(CQ47:CQ127,ROW()-ROW($CQ$130)+1),"")</f>
        <v>0</v>
      </c>
      <c r="CR143">
        <f>IFERROR(SMALL(CR47:CR127,ROW()-ROW($CR$130)+1),"")</f>
        <v>0</v>
      </c>
      <c r="CS143">
        <f>IFERROR(SMALL(CS47:CS127,ROW()-ROW($CS$130)+1),"")</f>
        <v>0</v>
      </c>
      <c r="CT143">
        <f>IFERROR(SMALL(CT47:CT127,ROW()-ROW($CT$130)+1),"")</f>
        <v>0</v>
      </c>
      <c r="CU143">
        <f>IFERROR(SMALL(CU47:CU127,ROW()-ROW($CU$130)+1),"")</f>
        <v>0</v>
      </c>
      <c r="CV143">
        <f>IFERROR(SMALL(CV47:CV127,ROW()-ROW($CV$130)+1),"")</f>
        <v>0</v>
      </c>
      <c r="CW143">
        <f>IFERROR(SMALL(CW47:CW127,ROW()-ROW($CW$130)+1),"")</f>
        <v>0</v>
      </c>
      <c r="CX143">
        <f>IFERROR(SMALL(CX47:CX127,ROW()-ROW($CX$130)+1),"")</f>
        <v>0</v>
      </c>
      <c r="CY143">
        <f>IFERROR(SMALL(CY47:CY127,ROW()-ROW($CY$130)+1),"")</f>
        <v>0</v>
      </c>
      <c r="CZ143">
        <f>IFERROR(SMALL(CZ47:CZ127,ROW()-ROW($CZ$130)+1),"")</f>
        <v>0</v>
      </c>
      <c r="DA143">
        <f>IFERROR(SMALL(DA47:DA127,ROW()-ROW($DA$130)+1),"")</f>
        <v>0</v>
      </c>
      <c r="DB143">
        <f>IFERROR(SMALL(DB47:DB127,ROW()-ROW($DB$130)+1),"")</f>
        <v>0</v>
      </c>
      <c r="DC143">
        <f>IFERROR(SMALL(DC47:DC127,ROW()-ROW($DC$130)+1),"")</f>
        <v>0</v>
      </c>
      <c r="DD143">
        <f>IFERROR(SMALL(DD47:DD127,ROW()-ROW($DD$130)+1),"")</f>
        <v>0</v>
      </c>
      <c r="DE143">
        <f>IFERROR(SMALL(DE47:DE127,ROW()-ROW($DE$130)+1),"")</f>
        <v>0</v>
      </c>
      <c r="DF143">
        <f>IFERROR(SMALL(DF47:DF127,ROW()-ROW($DF$130)+1),"")</f>
        <v>0</v>
      </c>
      <c r="DG143">
        <f>IFERROR(SMALL(DG47:DG127,ROW()-ROW($DG$130)+1),"")</f>
        <v>0</v>
      </c>
      <c r="DH143">
        <f>IFERROR(SMALL(DH47:DH127,ROW()-ROW($DH$130)+1),"")</f>
        <v>0</v>
      </c>
      <c r="DI143">
        <f>IFERROR(SMALL(DI47:DI127,ROW()-ROW($DI$130)+1),"")</f>
        <v>0</v>
      </c>
      <c r="DJ143">
        <f>IFERROR(SMALL(DJ47:DJ127,ROW()-ROW($DJ$130)+1),"")</f>
        <v>0</v>
      </c>
      <c r="DK143">
        <f>IFERROR(SMALL(DK47:DK127,ROW()-ROW($DK$130)+1),"")</f>
        <v>0</v>
      </c>
      <c r="DL143">
        <f>IFERROR(SMALL(DL47:DL127,ROW()-ROW($DL$130)+1),"")</f>
        <v>0</v>
      </c>
      <c r="DM143">
        <f>IFERROR(SMALL(DM47:DM127,ROW()-ROW($DM$130)+1),"")</f>
        <v>0</v>
      </c>
      <c r="DN143">
        <f>IFERROR(SMALL(DN47:DN127,ROW()-ROW($DN$130)+1),"")</f>
        <v>0</v>
      </c>
      <c r="DO143">
        <f>IFERROR(SMALL(DO47:DO127,ROW()-ROW($DO$130)+1),"")</f>
        <v>0</v>
      </c>
      <c r="DP143">
        <f>IFERROR(SMALL(DP47:DP127,ROW()-ROW($DP$130)+1),"")</f>
        <v>0</v>
      </c>
      <c r="DQ143">
        <f>IFERROR(SMALL(DQ47:DQ127,ROW()-ROW($DQ$130)+1),"")</f>
        <v>0</v>
      </c>
      <c r="DR143">
        <f>IFERROR(SMALL(DR47:DR127,ROW()-ROW($DR$130)+1),"")</f>
        <v>0</v>
      </c>
      <c r="DS143">
        <f>IFERROR(SMALL(DS47:DS127,ROW()-ROW($DS$130)+1),"")</f>
        <v>0</v>
      </c>
      <c r="DT143">
        <f>IFERROR(SMALL(DT47:DT127,ROW()-ROW($DT$130)+1),"")</f>
        <v>0</v>
      </c>
      <c r="DU143">
        <f>IFERROR(SMALL(DU47:DU127,ROW()-ROW($DU$130)+1),"")</f>
        <v>0</v>
      </c>
      <c r="DV143">
        <f>IFERROR(SMALL(DV47:DV127,ROW()-ROW($DV$130)+1),"")</f>
        <v>0</v>
      </c>
      <c r="DW143">
        <f>IFERROR(SMALL(DW47:DW127,ROW()-ROW($DW$130)+1),"")</f>
        <v>0</v>
      </c>
      <c r="DX143">
        <f>IFERROR(SMALL(DX47:DX127,ROW()-ROW($DX$130)+1),"")</f>
        <v>0</v>
      </c>
      <c r="DY143">
        <f>IFERROR(SMALL(DY47:DY127,ROW()-ROW($DY$130)+1),"")</f>
        <v>0</v>
      </c>
      <c r="DZ143">
        <f>IFERROR(SMALL(DZ47:DZ127,ROW()-ROW($DZ$130)+1),"")</f>
        <v>0</v>
      </c>
      <c r="EA143">
        <f>IFERROR(SMALL(EA47:EA127,ROW()-ROW($EA$130)+1),"")</f>
        <v>0</v>
      </c>
      <c r="EB143">
        <f>IFERROR(SMALL(EB47:EB127,ROW()-ROW($EB$130)+1),"")</f>
        <v>0</v>
      </c>
      <c r="EC143">
        <f>IFERROR(SMALL(EC47:EC127,ROW()-ROW($EC$130)+1),"")</f>
        <v>0</v>
      </c>
      <c r="ED143">
        <f>IFERROR(SMALL(ED47:ED127,ROW()-ROW($ED$130)+1),"")</f>
        <v>0</v>
      </c>
    </row>
    <row r="144" spans="4:134">
      <c r="E144">
        <f>IFERROR(SMALL(E47:E127,ROW()-ROW($E$130)+1),"")</f>
        <v>0</v>
      </c>
      <c r="F144">
        <f>IFERROR(SMALL(F47:F127,ROW()-ROW($F$130)+1),"")</f>
        <v>0</v>
      </c>
      <c r="G144">
        <f>IFERROR(SMALL(G47:G127,ROW()-ROW($G$130)+1),"")</f>
        <v>0</v>
      </c>
      <c r="H144">
        <f>IFERROR(SMALL(H47:H127,ROW()-ROW($H$130)+1),"")</f>
        <v>0</v>
      </c>
      <c r="I144">
        <f>IFERROR(SMALL(I47:I127,ROW()-ROW($I$130)+1),"")</f>
        <v>0</v>
      </c>
      <c r="J144">
        <f>IFERROR(SMALL(J47:J127,ROW()-ROW($J$130)+1),"")</f>
        <v>0</v>
      </c>
      <c r="K144">
        <f>IFERROR(SMALL(K47:K127,ROW()-ROW($K$130)+1),"")</f>
        <v>0</v>
      </c>
      <c r="L144">
        <f>IFERROR(SMALL(L47:L127,ROW()-ROW($L$130)+1),"")</f>
        <v>0</v>
      </c>
      <c r="M144">
        <f>IFERROR(SMALL(M47:M127,ROW()-ROW($M$130)+1),"")</f>
        <v>0</v>
      </c>
      <c r="N144">
        <f>IFERROR(SMALL(N47:N127,ROW()-ROW($N$130)+1),"")</f>
        <v>0</v>
      </c>
      <c r="O144">
        <f>IFERROR(SMALL(O47:O127,ROW()-ROW($O$130)+1),"")</f>
        <v>0</v>
      </c>
      <c r="P144">
        <f>IFERROR(SMALL(P47:P127,ROW()-ROW($P$130)+1),"")</f>
        <v>0</v>
      </c>
      <c r="Q144">
        <f>IFERROR(SMALL(Q47:Q127,ROW()-ROW($Q$130)+1),"")</f>
        <v>0</v>
      </c>
      <c r="R144">
        <f>IFERROR(SMALL(R47:R127,ROW()-ROW($R$130)+1),"")</f>
        <v>0</v>
      </c>
      <c r="S144">
        <f>IFERROR(SMALL(S47:S127,ROW()-ROW($S$130)+1),"")</f>
        <v>0</v>
      </c>
      <c r="T144">
        <f>IFERROR(SMALL(T47:T127,ROW()-ROW($T$130)+1),"")</f>
        <v>0</v>
      </c>
      <c r="U144">
        <f>IFERROR(SMALL(U47:U127,ROW()-ROW($U$130)+1),"")</f>
        <v>0</v>
      </c>
      <c r="V144">
        <f>IFERROR(SMALL(V47:V127,ROW()-ROW($V$130)+1),"")</f>
        <v>0</v>
      </c>
      <c r="W144">
        <f>IFERROR(SMALL(W47:W127,ROW()-ROW($W$130)+1),"")</f>
        <v>0</v>
      </c>
      <c r="X144">
        <f>IFERROR(SMALL(X47:X127,ROW()-ROW($X$130)+1),"")</f>
        <v>0</v>
      </c>
      <c r="Y144">
        <f>IFERROR(SMALL(Y47:Y127,ROW()-ROW($Y$130)+1),"")</f>
        <v>0</v>
      </c>
      <c r="Z144">
        <f>IFERROR(SMALL(Z47:Z127,ROW()-ROW($Z$130)+1),"")</f>
        <v>0</v>
      </c>
      <c r="AA144">
        <f>IFERROR(SMALL(AA47:AA127,ROW()-ROW($AA$130)+1),"")</f>
        <v>0</v>
      </c>
      <c r="AB144">
        <f>IFERROR(SMALL(AB47:AB127,ROW()-ROW($AB$130)+1),"")</f>
        <v>0</v>
      </c>
      <c r="AC144">
        <f>IFERROR(SMALL(AC47:AC127,ROW()-ROW($AC$130)+1),"")</f>
        <v>0</v>
      </c>
      <c r="AD144">
        <f>IFERROR(SMALL(AD47:AD127,ROW()-ROW($AD$130)+1),"")</f>
        <v>0</v>
      </c>
      <c r="AE144">
        <f>IFERROR(SMALL(AE47:AE127,ROW()-ROW($AE$130)+1),"")</f>
        <v>0</v>
      </c>
      <c r="AF144">
        <f>IFERROR(SMALL(AF47:AF127,ROW()-ROW($AF$130)+1),"")</f>
        <v>0</v>
      </c>
      <c r="AG144">
        <f>IFERROR(SMALL(AG47:AG127,ROW()-ROW($AG$130)+1),"")</f>
        <v>0</v>
      </c>
      <c r="AH144">
        <f>IFERROR(SMALL(AH47:AH127,ROW()-ROW($AH$130)+1),"")</f>
        <v>0</v>
      </c>
      <c r="AI144">
        <f>IFERROR(SMALL(AI47:AI127,ROW()-ROW($AI$130)+1),"")</f>
        <v>0</v>
      </c>
      <c r="AJ144">
        <f>IFERROR(SMALL(AJ47:AJ127,ROW()-ROW($AJ$130)+1),"")</f>
        <v>0</v>
      </c>
      <c r="AK144">
        <f>IFERROR(SMALL(AK47:AK127,ROW()-ROW($AK$130)+1),"")</f>
        <v>0</v>
      </c>
      <c r="AL144">
        <f>IFERROR(SMALL(AL47:AL127,ROW()-ROW($AL$130)+1),"")</f>
        <v>0</v>
      </c>
      <c r="AM144">
        <f>IFERROR(SMALL(AM47:AM127,ROW()-ROW($AM$130)+1),"")</f>
        <v>0</v>
      </c>
      <c r="AN144">
        <f>IFERROR(SMALL(AN47:AN127,ROW()-ROW($AN$130)+1),"")</f>
        <v>0</v>
      </c>
      <c r="AO144">
        <f>IFERROR(SMALL(AO47:AO127,ROW()-ROW($AO$130)+1),"")</f>
        <v>0</v>
      </c>
      <c r="AP144">
        <f>IFERROR(SMALL(AP47:AP127,ROW()-ROW($AP$130)+1),"")</f>
        <v>0</v>
      </c>
      <c r="AQ144">
        <f>IFERROR(SMALL(AQ47:AQ127,ROW()-ROW($AQ$130)+1),"")</f>
        <v>0</v>
      </c>
      <c r="AR144">
        <f>IFERROR(SMALL(AR47:AR127,ROW()-ROW($AR$130)+1),"")</f>
        <v>0</v>
      </c>
      <c r="AS144">
        <f>IFERROR(SMALL(AS47:AS127,ROW()-ROW($AS$130)+1),"")</f>
        <v>0</v>
      </c>
      <c r="AT144">
        <f>IFERROR(SMALL(AT47:AT127,ROW()-ROW($AT$130)+1),"")</f>
        <v>0</v>
      </c>
      <c r="AU144">
        <f>IFERROR(SMALL(AU47:AU127,ROW()-ROW($AU$130)+1),"")</f>
        <v>0</v>
      </c>
      <c r="AV144">
        <f>IFERROR(SMALL(AV47:AV127,ROW()-ROW($AV$130)+1),"")</f>
        <v>0</v>
      </c>
      <c r="AW144">
        <f>IFERROR(SMALL(AW47:AW127,ROW()-ROW($AW$130)+1),"")</f>
        <v>0</v>
      </c>
      <c r="AX144">
        <f>IFERROR(SMALL(AX47:AX127,ROW()-ROW($AX$130)+1),"")</f>
        <v>0</v>
      </c>
      <c r="AY144">
        <f>IFERROR(SMALL(AY47:AY127,ROW()-ROW($AY$130)+1),"")</f>
        <v>0</v>
      </c>
      <c r="AZ144">
        <f>IFERROR(SMALL(AZ47:AZ127,ROW()-ROW($AZ$130)+1),"")</f>
        <v>0</v>
      </c>
      <c r="BA144">
        <f>IFERROR(SMALL(BA47:BA127,ROW()-ROW($BA$130)+1),"")</f>
        <v>0</v>
      </c>
      <c r="BB144">
        <f>IFERROR(SMALL(BB47:BB127,ROW()-ROW($BB$130)+1),"")</f>
        <v>0</v>
      </c>
      <c r="BC144">
        <f>IFERROR(SMALL(BC47:BC127,ROW()-ROW($BC$130)+1),"")</f>
        <v>0</v>
      </c>
      <c r="BD144">
        <f>IFERROR(SMALL(BD47:BD127,ROW()-ROW($BD$130)+1),"")</f>
        <v>0</v>
      </c>
      <c r="BE144">
        <f>IFERROR(SMALL(BE47:BE127,ROW()-ROW($BE$130)+1),"")</f>
        <v>0</v>
      </c>
      <c r="BF144">
        <f>IFERROR(SMALL(BF47:BF127,ROW()-ROW($BF$130)+1),"")</f>
        <v>0</v>
      </c>
      <c r="BG144">
        <f>IFERROR(SMALL(BG47:BG127,ROW()-ROW($BG$130)+1),"")</f>
        <v>0</v>
      </c>
      <c r="BH144">
        <f>IFERROR(SMALL(BH47:BH127,ROW()-ROW($BH$130)+1),"")</f>
        <v>0</v>
      </c>
      <c r="BI144">
        <f>IFERROR(SMALL(BI47:BI127,ROW()-ROW($BI$130)+1),"")</f>
        <v>0</v>
      </c>
      <c r="BJ144">
        <f>IFERROR(SMALL(BJ47:BJ127,ROW()-ROW($BJ$130)+1),"")</f>
        <v>0</v>
      </c>
      <c r="BK144">
        <f>IFERROR(SMALL(BK47:BK127,ROW()-ROW($BK$130)+1),"")</f>
        <v>0</v>
      </c>
      <c r="BL144">
        <f>IFERROR(SMALL(BL47:BL127,ROW()-ROW($BL$130)+1),"")</f>
        <v>0</v>
      </c>
      <c r="BM144">
        <f>IFERROR(SMALL(BM47:BM127,ROW()-ROW($BM$130)+1),"")</f>
        <v>0</v>
      </c>
      <c r="BN144">
        <f>IFERROR(SMALL(BN47:BN127,ROW()-ROW($BN$130)+1),"")</f>
        <v>0</v>
      </c>
      <c r="BO144">
        <f>IFERROR(SMALL(BO47:BO127,ROW()-ROW($BO$130)+1),"")</f>
        <v>0</v>
      </c>
      <c r="BP144">
        <f>IFERROR(SMALL(BP47:BP127,ROW()-ROW($BP$130)+1),"")</f>
        <v>0</v>
      </c>
      <c r="BS144">
        <f>IFERROR(SMALL(BS47:BS127,ROW()-ROW($BS$130)+1),"")</f>
        <v>0</v>
      </c>
      <c r="BT144">
        <f>IFERROR(SMALL(BT47:BT127,ROW()-ROW($BT$130)+1),"")</f>
        <v>0</v>
      </c>
      <c r="BU144">
        <f>IFERROR(SMALL(BU47:BU127,ROW()-ROW($BU$130)+1),"")</f>
        <v>0</v>
      </c>
      <c r="BV144">
        <f>IFERROR(SMALL(BV47:BV127,ROW()-ROW($BV$130)+1),"")</f>
        <v>0</v>
      </c>
      <c r="BW144">
        <f>IFERROR(SMALL(BW47:BW127,ROW()-ROW($BW$130)+1),"")</f>
        <v>0</v>
      </c>
      <c r="BX144">
        <f>IFERROR(SMALL(BX47:BX127,ROW()-ROW($BX$130)+1),"")</f>
        <v>0</v>
      </c>
      <c r="BY144">
        <f>IFERROR(SMALL(BY47:BY127,ROW()-ROW($BY$130)+1),"")</f>
        <v>0</v>
      </c>
      <c r="BZ144">
        <f>IFERROR(SMALL(BZ47:BZ127,ROW()-ROW($BZ$130)+1),"")</f>
        <v>0</v>
      </c>
      <c r="CA144">
        <f>IFERROR(SMALL(CA47:CA127,ROW()-ROW($CA$130)+1),"")</f>
        <v>0</v>
      </c>
      <c r="CB144">
        <f>IFERROR(SMALL(CB47:CB127,ROW()-ROW($CB$130)+1),"")</f>
        <v>0</v>
      </c>
      <c r="CC144">
        <f>IFERROR(SMALL(CC47:CC127,ROW()-ROW($CC$130)+1),"")</f>
        <v>0</v>
      </c>
      <c r="CD144">
        <f>IFERROR(SMALL(CD47:CD127,ROW()-ROW($CD$130)+1),"")</f>
        <v>0</v>
      </c>
      <c r="CE144">
        <f>IFERROR(SMALL(CE47:CE127,ROW()-ROW($CE$130)+1),"")</f>
        <v>0</v>
      </c>
      <c r="CF144">
        <f>IFERROR(SMALL(CF47:CF127,ROW()-ROW($CF$130)+1),"")</f>
        <v>0</v>
      </c>
      <c r="CG144">
        <f>IFERROR(SMALL(CG47:CG127,ROW()-ROW($CG$130)+1),"")</f>
        <v>0</v>
      </c>
      <c r="CH144">
        <f>IFERROR(SMALL(CH47:CH127,ROW()-ROW($CH$130)+1),"")</f>
        <v>0</v>
      </c>
      <c r="CI144">
        <f>IFERROR(SMALL(CI47:CI127,ROW()-ROW($CI$130)+1),"")</f>
        <v>0</v>
      </c>
      <c r="CJ144">
        <f>IFERROR(SMALL(CJ47:CJ127,ROW()-ROW($CJ$130)+1),"")</f>
        <v>0</v>
      </c>
      <c r="CK144">
        <f>IFERROR(SMALL(CK47:CK127,ROW()-ROW($CK$130)+1),"")</f>
        <v>0</v>
      </c>
      <c r="CL144">
        <f>IFERROR(SMALL(CL47:CL127,ROW()-ROW($CL$130)+1),"")</f>
        <v>0</v>
      </c>
      <c r="CM144">
        <f>IFERROR(SMALL(CM47:CM127,ROW()-ROW($CM$130)+1),"")</f>
        <v>0</v>
      </c>
      <c r="CN144">
        <f>IFERROR(SMALL(CN47:CN127,ROW()-ROW($CN$130)+1),"")</f>
        <v>0</v>
      </c>
      <c r="CO144">
        <f>IFERROR(SMALL(CO47:CO127,ROW()-ROW($CO$130)+1),"")</f>
        <v>0</v>
      </c>
      <c r="CP144">
        <f>IFERROR(SMALL(CP47:CP127,ROW()-ROW($CP$130)+1),"")</f>
        <v>0</v>
      </c>
      <c r="CQ144">
        <f>IFERROR(SMALL(CQ47:CQ127,ROW()-ROW($CQ$130)+1),"")</f>
        <v>0</v>
      </c>
      <c r="CR144">
        <f>IFERROR(SMALL(CR47:CR127,ROW()-ROW($CR$130)+1),"")</f>
        <v>0</v>
      </c>
      <c r="CS144">
        <f>IFERROR(SMALL(CS47:CS127,ROW()-ROW($CS$130)+1),"")</f>
        <v>0</v>
      </c>
      <c r="CT144">
        <f>IFERROR(SMALL(CT47:CT127,ROW()-ROW($CT$130)+1),"")</f>
        <v>0</v>
      </c>
      <c r="CU144">
        <f>IFERROR(SMALL(CU47:CU127,ROW()-ROW($CU$130)+1),"")</f>
        <v>0</v>
      </c>
      <c r="CV144">
        <f>IFERROR(SMALL(CV47:CV127,ROW()-ROW($CV$130)+1),"")</f>
        <v>0</v>
      </c>
      <c r="CW144">
        <f>IFERROR(SMALL(CW47:CW127,ROW()-ROW($CW$130)+1),"")</f>
        <v>0</v>
      </c>
      <c r="CX144">
        <f>IFERROR(SMALL(CX47:CX127,ROW()-ROW($CX$130)+1),"")</f>
        <v>0</v>
      </c>
      <c r="CY144">
        <f>IFERROR(SMALL(CY47:CY127,ROW()-ROW($CY$130)+1),"")</f>
        <v>0</v>
      </c>
      <c r="CZ144">
        <f>IFERROR(SMALL(CZ47:CZ127,ROW()-ROW($CZ$130)+1),"")</f>
        <v>0</v>
      </c>
      <c r="DA144">
        <f>IFERROR(SMALL(DA47:DA127,ROW()-ROW($DA$130)+1),"")</f>
        <v>0</v>
      </c>
      <c r="DB144">
        <f>IFERROR(SMALL(DB47:DB127,ROW()-ROW($DB$130)+1),"")</f>
        <v>0</v>
      </c>
      <c r="DC144">
        <f>IFERROR(SMALL(DC47:DC127,ROW()-ROW($DC$130)+1),"")</f>
        <v>0</v>
      </c>
      <c r="DD144">
        <f>IFERROR(SMALL(DD47:DD127,ROW()-ROW($DD$130)+1),"")</f>
        <v>0</v>
      </c>
      <c r="DE144">
        <f>IFERROR(SMALL(DE47:DE127,ROW()-ROW($DE$130)+1),"")</f>
        <v>0</v>
      </c>
      <c r="DF144">
        <f>IFERROR(SMALL(DF47:DF127,ROW()-ROW($DF$130)+1),"")</f>
        <v>0</v>
      </c>
      <c r="DG144">
        <f>IFERROR(SMALL(DG47:DG127,ROW()-ROW($DG$130)+1),"")</f>
        <v>0</v>
      </c>
      <c r="DH144">
        <f>IFERROR(SMALL(DH47:DH127,ROW()-ROW($DH$130)+1),"")</f>
        <v>0</v>
      </c>
      <c r="DI144">
        <f>IFERROR(SMALL(DI47:DI127,ROW()-ROW($DI$130)+1),"")</f>
        <v>0</v>
      </c>
      <c r="DJ144">
        <f>IFERROR(SMALL(DJ47:DJ127,ROW()-ROW($DJ$130)+1),"")</f>
        <v>0</v>
      </c>
      <c r="DK144">
        <f>IFERROR(SMALL(DK47:DK127,ROW()-ROW($DK$130)+1),"")</f>
        <v>0</v>
      </c>
      <c r="DL144">
        <f>IFERROR(SMALL(DL47:DL127,ROW()-ROW($DL$130)+1),"")</f>
        <v>0</v>
      </c>
      <c r="DM144">
        <f>IFERROR(SMALL(DM47:DM127,ROW()-ROW($DM$130)+1),"")</f>
        <v>0</v>
      </c>
      <c r="DN144">
        <f>IFERROR(SMALL(DN47:DN127,ROW()-ROW($DN$130)+1),"")</f>
        <v>0</v>
      </c>
      <c r="DO144">
        <f>IFERROR(SMALL(DO47:DO127,ROW()-ROW($DO$130)+1),"")</f>
        <v>0</v>
      </c>
      <c r="DP144">
        <f>IFERROR(SMALL(DP47:DP127,ROW()-ROW($DP$130)+1),"")</f>
        <v>0</v>
      </c>
      <c r="DQ144">
        <f>IFERROR(SMALL(DQ47:DQ127,ROW()-ROW($DQ$130)+1),"")</f>
        <v>0</v>
      </c>
      <c r="DR144">
        <f>IFERROR(SMALL(DR47:DR127,ROW()-ROW($DR$130)+1),"")</f>
        <v>0</v>
      </c>
      <c r="DS144">
        <f>IFERROR(SMALL(DS47:DS127,ROW()-ROW($DS$130)+1),"")</f>
        <v>0</v>
      </c>
      <c r="DT144">
        <f>IFERROR(SMALL(DT47:DT127,ROW()-ROW($DT$130)+1),"")</f>
        <v>0</v>
      </c>
      <c r="DU144">
        <f>IFERROR(SMALL(DU47:DU127,ROW()-ROW($DU$130)+1),"")</f>
        <v>0</v>
      </c>
      <c r="DV144">
        <f>IFERROR(SMALL(DV47:DV127,ROW()-ROW($DV$130)+1),"")</f>
        <v>0</v>
      </c>
      <c r="DW144">
        <f>IFERROR(SMALL(DW47:DW127,ROW()-ROW($DW$130)+1),"")</f>
        <v>0</v>
      </c>
      <c r="DX144">
        <f>IFERROR(SMALL(DX47:DX127,ROW()-ROW($DX$130)+1),"")</f>
        <v>0</v>
      </c>
      <c r="DY144">
        <f>IFERROR(SMALL(DY47:DY127,ROW()-ROW($DY$130)+1),"")</f>
        <v>0</v>
      </c>
      <c r="DZ144">
        <f>IFERROR(SMALL(DZ47:DZ127,ROW()-ROW($DZ$130)+1),"")</f>
        <v>0</v>
      </c>
      <c r="EA144">
        <f>IFERROR(SMALL(EA47:EA127,ROW()-ROW($EA$130)+1),"")</f>
        <v>0</v>
      </c>
      <c r="EB144">
        <f>IFERROR(SMALL(EB47:EB127,ROW()-ROW($EB$130)+1),"")</f>
        <v>0</v>
      </c>
      <c r="EC144">
        <f>IFERROR(SMALL(EC47:EC127,ROW()-ROW($EC$130)+1),"")</f>
        <v>0</v>
      </c>
      <c r="ED144">
        <f>IFERROR(SMALL(ED47:ED127,ROW()-ROW($ED$130)+1),"")</f>
        <v>0</v>
      </c>
    </row>
    <row r="145" spans="5:134">
      <c r="E145">
        <f>IFERROR(SMALL(E47:E127,ROW()-ROW($E$130)+1),"")</f>
        <v>0</v>
      </c>
      <c r="F145">
        <f>IFERROR(SMALL(F47:F127,ROW()-ROW($F$130)+1),"")</f>
        <v>0</v>
      </c>
      <c r="G145">
        <f>IFERROR(SMALL(G47:G127,ROW()-ROW($G$130)+1),"")</f>
        <v>0</v>
      </c>
      <c r="H145">
        <f>IFERROR(SMALL(H47:H127,ROW()-ROW($H$130)+1),"")</f>
        <v>0</v>
      </c>
      <c r="I145">
        <f>IFERROR(SMALL(I47:I127,ROW()-ROW($I$130)+1),"")</f>
        <v>0</v>
      </c>
      <c r="J145">
        <f>IFERROR(SMALL(J47:J127,ROW()-ROW($J$130)+1),"")</f>
        <v>0</v>
      </c>
      <c r="K145">
        <f>IFERROR(SMALL(K47:K127,ROW()-ROW($K$130)+1),"")</f>
        <v>0</v>
      </c>
      <c r="L145">
        <f>IFERROR(SMALL(L47:L127,ROW()-ROW($L$130)+1),"")</f>
        <v>0</v>
      </c>
      <c r="M145">
        <f>IFERROR(SMALL(M47:M127,ROW()-ROW($M$130)+1),"")</f>
        <v>0</v>
      </c>
      <c r="N145">
        <f>IFERROR(SMALL(N47:N127,ROW()-ROW($N$130)+1),"")</f>
        <v>0</v>
      </c>
      <c r="O145">
        <f>IFERROR(SMALL(O47:O127,ROW()-ROW($O$130)+1),"")</f>
        <v>0</v>
      </c>
      <c r="P145">
        <f>IFERROR(SMALL(P47:P127,ROW()-ROW($P$130)+1),"")</f>
        <v>0</v>
      </c>
      <c r="Q145">
        <f>IFERROR(SMALL(Q47:Q127,ROW()-ROW($Q$130)+1),"")</f>
        <v>0</v>
      </c>
      <c r="R145">
        <f>IFERROR(SMALL(R47:R127,ROW()-ROW($R$130)+1),"")</f>
        <v>0</v>
      </c>
      <c r="S145">
        <f>IFERROR(SMALL(S47:S127,ROW()-ROW($S$130)+1),"")</f>
        <v>0</v>
      </c>
      <c r="T145">
        <f>IFERROR(SMALL(T47:T127,ROW()-ROW($T$130)+1),"")</f>
        <v>0</v>
      </c>
      <c r="U145">
        <f>IFERROR(SMALL(U47:U127,ROW()-ROW($U$130)+1),"")</f>
        <v>0</v>
      </c>
      <c r="V145">
        <f>IFERROR(SMALL(V47:V127,ROW()-ROW($V$130)+1),"")</f>
        <v>0</v>
      </c>
      <c r="W145">
        <f>IFERROR(SMALL(W47:W127,ROW()-ROW($W$130)+1),"")</f>
        <v>0</v>
      </c>
      <c r="X145">
        <f>IFERROR(SMALL(X47:X127,ROW()-ROW($X$130)+1),"")</f>
        <v>0</v>
      </c>
      <c r="Y145">
        <f>IFERROR(SMALL(Y47:Y127,ROW()-ROW($Y$130)+1),"")</f>
        <v>0</v>
      </c>
      <c r="Z145">
        <f>IFERROR(SMALL(Z47:Z127,ROW()-ROW($Z$130)+1),"")</f>
        <v>0</v>
      </c>
      <c r="AA145">
        <f>IFERROR(SMALL(AA47:AA127,ROW()-ROW($AA$130)+1),"")</f>
        <v>0</v>
      </c>
      <c r="AB145">
        <f>IFERROR(SMALL(AB47:AB127,ROW()-ROW($AB$130)+1),"")</f>
        <v>0</v>
      </c>
      <c r="AC145">
        <f>IFERROR(SMALL(AC47:AC127,ROW()-ROW($AC$130)+1),"")</f>
        <v>0</v>
      </c>
      <c r="AD145">
        <f>IFERROR(SMALL(AD47:AD127,ROW()-ROW($AD$130)+1),"")</f>
        <v>0</v>
      </c>
      <c r="AE145">
        <f>IFERROR(SMALL(AE47:AE127,ROW()-ROW($AE$130)+1),"")</f>
        <v>0</v>
      </c>
      <c r="AF145">
        <f>IFERROR(SMALL(AF47:AF127,ROW()-ROW($AF$130)+1),"")</f>
        <v>0</v>
      </c>
      <c r="AG145">
        <f>IFERROR(SMALL(AG47:AG127,ROW()-ROW($AG$130)+1),"")</f>
        <v>0</v>
      </c>
      <c r="AH145">
        <f>IFERROR(SMALL(AH47:AH127,ROW()-ROW($AH$130)+1),"")</f>
        <v>0</v>
      </c>
      <c r="AI145">
        <f>IFERROR(SMALL(AI47:AI127,ROW()-ROW($AI$130)+1),"")</f>
        <v>0</v>
      </c>
      <c r="AJ145">
        <f>IFERROR(SMALL(AJ47:AJ127,ROW()-ROW($AJ$130)+1),"")</f>
        <v>0</v>
      </c>
      <c r="AK145">
        <f>IFERROR(SMALL(AK47:AK127,ROW()-ROW($AK$130)+1),"")</f>
        <v>0</v>
      </c>
      <c r="AL145">
        <f>IFERROR(SMALL(AL47:AL127,ROW()-ROW($AL$130)+1),"")</f>
        <v>0</v>
      </c>
      <c r="AM145">
        <f>IFERROR(SMALL(AM47:AM127,ROW()-ROW($AM$130)+1),"")</f>
        <v>0</v>
      </c>
      <c r="AN145">
        <f>IFERROR(SMALL(AN47:AN127,ROW()-ROW($AN$130)+1),"")</f>
        <v>0</v>
      </c>
      <c r="AO145">
        <f>IFERROR(SMALL(AO47:AO127,ROW()-ROW($AO$130)+1),"")</f>
        <v>0</v>
      </c>
      <c r="AP145">
        <f>IFERROR(SMALL(AP47:AP127,ROW()-ROW($AP$130)+1),"")</f>
        <v>0</v>
      </c>
      <c r="AQ145">
        <f>IFERROR(SMALL(AQ47:AQ127,ROW()-ROW($AQ$130)+1),"")</f>
        <v>0</v>
      </c>
      <c r="AR145">
        <f>IFERROR(SMALL(AR47:AR127,ROW()-ROW($AR$130)+1),"")</f>
        <v>0</v>
      </c>
      <c r="AS145">
        <f>IFERROR(SMALL(AS47:AS127,ROW()-ROW($AS$130)+1),"")</f>
        <v>0</v>
      </c>
      <c r="AT145">
        <f>IFERROR(SMALL(AT47:AT127,ROW()-ROW($AT$130)+1),"")</f>
        <v>0</v>
      </c>
      <c r="AU145">
        <f>IFERROR(SMALL(AU47:AU127,ROW()-ROW($AU$130)+1),"")</f>
        <v>0</v>
      </c>
      <c r="AV145">
        <f>IFERROR(SMALL(AV47:AV127,ROW()-ROW($AV$130)+1),"")</f>
        <v>0</v>
      </c>
      <c r="AW145">
        <f>IFERROR(SMALL(AW47:AW127,ROW()-ROW($AW$130)+1),"")</f>
        <v>0</v>
      </c>
      <c r="AX145">
        <f>IFERROR(SMALL(AX47:AX127,ROW()-ROW($AX$130)+1),"")</f>
        <v>0</v>
      </c>
      <c r="AY145">
        <f>IFERROR(SMALL(AY47:AY127,ROW()-ROW($AY$130)+1),"")</f>
        <v>0</v>
      </c>
      <c r="AZ145">
        <f>IFERROR(SMALL(AZ47:AZ127,ROW()-ROW($AZ$130)+1),"")</f>
        <v>0</v>
      </c>
      <c r="BA145">
        <f>IFERROR(SMALL(BA47:BA127,ROW()-ROW($BA$130)+1),"")</f>
        <v>0</v>
      </c>
      <c r="BB145">
        <f>IFERROR(SMALL(BB47:BB127,ROW()-ROW($BB$130)+1),"")</f>
        <v>0</v>
      </c>
      <c r="BC145">
        <f>IFERROR(SMALL(BC47:BC127,ROW()-ROW($BC$130)+1),"")</f>
        <v>0</v>
      </c>
      <c r="BD145">
        <f>IFERROR(SMALL(BD47:BD127,ROW()-ROW($BD$130)+1),"")</f>
        <v>0</v>
      </c>
      <c r="BE145">
        <f>IFERROR(SMALL(BE47:BE127,ROW()-ROW($BE$130)+1),"")</f>
        <v>0</v>
      </c>
      <c r="BF145">
        <f>IFERROR(SMALL(BF47:BF127,ROW()-ROW($BF$130)+1),"")</f>
        <v>0</v>
      </c>
      <c r="BG145">
        <f>IFERROR(SMALL(BG47:BG127,ROW()-ROW($BG$130)+1),"")</f>
        <v>0</v>
      </c>
      <c r="BH145">
        <f>IFERROR(SMALL(BH47:BH127,ROW()-ROW($BH$130)+1),"")</f>
        <v>0</v>
      </c>
      <c r="BI145">
        <f>IFERROR(SMALL(BI47:BI127,ROW()-ROW($BI$130)+1),"")</f>
        <v>0</v>
      </c>
      <c r="BJ145">
        <f>IFERROR(SMALL(BJ47:BJ127,ROW()-ROW($BJ$130)+1),"")</f>
        <v>0</v>
      </c>
      <c r="BK145">
        <f>IFERROR(SMALL(BK47:BK127,ROW()-ROW($BK$130)+1),"")</f>
        <v>0</v>
      </c>
      <c r="BL145">
        <f>IFERROR(SMALL(BL47:BL127,ROW()-ROW($BL$130)+1),"")</f>
        <v>0</v>
      </c>
      <c r="BM145">
        <f>IFERROR(SMALL(BM47:BM127,ROW()-ROW($BM$130)+1),"")</f>
        <v>0</v>
      </c>
      <c r="BN145">
        <f>IFERROR(SMALL(BN47:BN127,ROW()-ROW($BN$130)+1),"")</f>
        <v>0</v>
      </c>
      <c r="BO145">
        <f>IFERROR(SMALL(BO47:BO127,ROW()-ROW($BO$130)+1),"")</f>
        <v>0</v>
      </c>
      <c r="BP145">
        <f>IFERROR(SMALL(BP47:BP127,ROW()-ROW($BP$130)+1),"")</f>
        <v>0</v>
      </c>
      <c r="BS145">
        <f>IFERROR(SMALL(BS47:BS127,ROW()-ROW($BS$130)+1),"")</f>
        <v>0</v>
      </c>
      <c r="BT145">
        <f>IFERROR(SMALL(BT47:BT127,ROW()-ROW($BT$130)+1),"")</f>
        <v>0</v>
      </c>
      <c r="BU145">
        <f>IFERROR(SMALL(BU47:BU127,ROW()-ROW($BU$130)+1),"")</f>
        <v>0</v>
      </c>
      <c r="BV145">
        <f>IFERROR(SMALL(BV47:BV127,ROW()-ROW($BV$130)+1),"")</f>
        <v>0</v>
      </c>
      <c r="BW145">
        <f>IFERROR(SMALL(BW47:BW127,ROW()-ROW($BW$130)+1),"")</f>
        <v>0</v>
      </c>
      <c r="BX145">
        <f>IFERROR(SMALL(BX47:BX127,ROW()-ROW($BX$130)+1),"")</f>
        <v>0</v>
      </c>
      <c r="BY145">
        <f>IFERROR(SMALL(BY47:BY127,ROW()-ROW($BY$130)+1),"")</f>
        <v>0</v>
      </c>
      <c r="BZ145">
        <f>IFERROR(SMALL(BZ47:BZ127,ROW()-ROW($BZ$130)+1),"")</f>
        <v>0</v>
      </c>
      <c r="CA145">
        <f>IFERROR(SMALL(CA47:CA127,ROW()-ROW($CA$130)+1),"")</f>
        <v>0</v>
      </c>
      <c r="CB145">
        <f>IFERROR(SMALL(CB47:CB127,ROW()-ROW($CB$130)+1),"")</f>
        <v>0</v>
      </c>
      <c r="CC145">
        <f>IFERROR(SMALL(CC47:CC127,ROW()-ROW($CC$130)+1),"")</f>
        <v>0</v>
      </c>
      <c r="CD145">
        <f>IFERROR(SMALL(CD47:CD127,ROW()-ROW($CD$130)+1),"")</f>
        <v>0</v>
      </c>
      <c r="CE145">
        <f>IFERROR(SMALL(CE47:CE127,ROW()-ROW($CE$130)+1),"")</f>
        <v>0</v>
      </c>
      <c r="CF145">
        <f>IFERROR(SMALL(CF47:CF127,ROW()-ROW($CF$130)+1),"")</f>
        <v>0</v>
      </c>
      <c r="CG145">
        <f>IFERROR(SMALL(CG47:CG127,ROW()-ROW($CG$130)+1),"")</f>
        <v>0</v>
      </c>
      <c r="CH145">
        <f>IFERROR(SMALL(CH47:CH127,ROW()-ROW($CH$130)+1),"")</f>
        <v>0</v>
      </c>
      <c r="CI145">
        <f>IFERROR(SMALL(CI47:CI127,ROW()-ROW($CI$130)+1),"")</f>
        <v>0</v>
      </c>
      <c r="CJ145">
        <f>IFERROR(SMALL(CJ47:CJ127,ROW()-ROW($CJ$130)+1),"")</f>
        <v>0</v>
      </c>
      <c r="CK145">
        <f>IFERROR(SMALL(CK47:CK127,ROW()-ROW($CK$130)+1),"")</f>
        <v>0</v>
      </c>
      <c r="CL145">
        <f>IFERROR(SMALL(CL47:CL127,ROW()-ROW($CL$130)+1),"")</f>
        <v>0</v>
      </c>
      <c r="CM145">
        <f>IFERROR(SMALL(CM47:CM127,ROW()-ROW($CM$130)+1),"")</f>
        <v>0</v>
      </c>
      <c r="CN145">
        <f>IFERROR(SMALL(CN47:CN127,ROW()-ROW($CN$130)+1),"")</f>
        <v>0</v>
      </c>
      <c r="CO145">
        <f>IFERROR(SMALL(CO47:CO127,ROW()-ROW($CO$130)+1),"")</f>
        <v>0</v>
      </c>
      <c r="CP145">
        <f>IFERROR(SMALL(CP47:CP127,ROW()-ROW($CP$130)+1),"")</f>
        <v>0</v>
      </c>
      <c r="CQ145">
        <f>IFERROR(SMALL(CQ47:CQ127,ROW()-ROW($CQ$130)+1),"")</f>
        <v>0</v>
      </c>
      <c r="CR145">
        <f>IFERROR(SMALL(CR47:CR127,ROW()-ROW($CR$130)+1),"")</f>
        <v>0</v>
      </c>
      <c r="CS145">
        <f>IFERROR(SMALL(CS47:CS127,ROW()-ROW($CS$130)+1),"")</f>
        <v>0</v>
      </c>
      <c r="CT145">
        <f>IFERROR(SMALL(CT47:CT127,ROW()-ROW($CT$130)+1),"")</f>
        <v>0</v>
      </c>
      <c r="CU145">
        <f>IFERROR(SMALL(CU47:CU127,ROW()-ROW($CU$130)+1),"")</f>
        <v>0</v>
      </c>
      <c r="CV145">
        <f>IFERROR(SMALL(CV47:CV127,ROW()-ROW($CV$130)+1),"")</f>
        <v>0</v>
      </c>
      <c r="CW145">
        <f>IFERROR(SMALL(CW47:CW127,ROW()-ROW($CW$130)+1),"")</f>
        <v>0</v>
      </c>
      <c r="CX145">
        <f>IFERROR(SMALL(CX47:CX127,ROW()-ROW($CX$130)+1),"")</f>
        <v>0</v>
      </c>
      <c r="CY145">
        <f>IFERROR(SMALL(CY47:CY127,ROW()-ROW($CY$130)+1),"")</f>
        <v>0</v>
      </c>
      <c r="CZ145">
        <f>IFERROR(SMALL(CZ47:CZ127,ROW()-ROW($CZ$130)+1),"")</f>
        <v>0</v>
      </c>
      <c r="DA145">
        <f>IFERROR(SMALL(DA47:DA127,ROW()-ROW($DA$130)+1),"")</f>
        <v>0</v>
      </c>
      <c r="DB145">
        <f>IFERROR(SMALL(DB47:DB127,ROW()-ROW($DB$130)+1),"")</f>
        <v>0</v>
      </c>
      <c r="DC145">
        <f>IFERROR(SMALL(DC47:DC127,ROW()-ROW($DC$130)+1),"")</f>
        <v>0</v>
      </c>
      <c r="DD145">
        <f>IFERROR(SMALL(DD47:DD127,ROW()-ROW($DD$130)+1),"")</f>
        <v>0</v>
      </c>
      <c r="DE145">
        <f>IFERROR(SMALL(DE47:DE127,ROW()-ROW($DE$130)+1),"")</f>
        <v>0</v>
      </c>
      <c r="DF145">
        <f>IFERROR(SMALL(DF47:DF127,ROW()-ROW($DF$130)+1),"")</f>
        <v>0</v>
      </c>
      <c r="DG145">
        <f>IFERROR(SMALL(DG47:DG127,ROW()-ROW($DG$130)+1),"")</f>
        <v>0</v>
      </c>
      <c r="DH145">
        <f>IFERROR(SMALL(DH47:DH127,ROW()-ROW($DH$130)+1),"")</f>
        <v>0</v>
      </c>
      <c r="DI145">
        <f>IFERROR(SMALL(DI47:DI127,ROW()-ROW($DI$130)+1),"")</f>
        <v>0</v>
      </c>
      <c r="DJ145">
        <f>IFERROR(SMALL(DJ47:DJ127,ROW()-ROW($DJ$130)+1),"")</f>
        <v>0</v>
      </c>
      <c r="DK145">
        <f>IFERROR(SMALL(DK47:DK127,ROW()-ROW($DK$130)+1),"")</f>
        <v>0</v>
      </c>
      <c r="DL145">
        <f>IFERROR(SMALL(DL47:DL127,ROW()-ROW($DL$130)+1),"")</f>
        <v>0</v>
      </c>
      <c r="DM145">
        <f>IFERROR(SMALL(DM47:DM127,ROW()-ROW($DM$130)+1),"")</f>
        <v>0</v>
      </c>
      <c r="DN145">
        <f>IFERROR(SMALL(DN47:DN127,ROW()-ROW($DN$130)+1),"")</f>
        <v>0</v>
      </c>
      <c r="DO145">
        <f>IFERROR(SMALL(DO47:DO127,ROW()-ROW($DO$130)+1),"")</f>
        <v>0</v>
      </c>
      <c r="DP145">
        <f>IFERROR(SMALL(DP47:DP127,ROW()-ROW($DP$130)+1),"")</f>
        <v>0</v>
      </c>
      <c r="DQ145">
        <f>IFERROR(SMALL(DQ47:DQ127,ROW()-ROW($DQ$130)+1),"")</f>
        <v>0</v>
      </c>
      <c r="DR145">
        <f>IFERROR(SMALL(DR47:DR127,ROW()-ROW($DR$130)+1),"")</f>
        <v>0</v>
      </c>
      <c r="DS145">
        <f>IFERROR(SMALL(DS47:DS127,ROW()-ROW($DS$130)+1),"")</f>
        <v>0</v>
      </c>
      <c r="DT145">
        <f>IFERROR(SMALL(DT47:DT127,ROW()-ROW($DT$130)+1),"")</f>
        <v>0</v>
      </c>
      <c r="DU145">
        <f>IFERROR(SMALL(DU47:DU127,ROW()-ROW($DU$130)+1),"")</f>
        <v>0</v>
      </c>
      <c r="DV145">
        <f>IFERROR(SMALL(DV47:DV127,ROW()-ROW($DV$130)+1),"")</f>
        <v>0</v>
      </c>
      <c r="DW145">
        <f>IFERROR(SMALL(DW47:DW127,ROW()-ROW($DW$130)+1),"")</f>
        <v>0</v>
      </c>
      <c r="DX145">
        <f>IFERROR(SMALL(DX47:DX127,ROW()-ROW($DX$130)+1),"")</f>
        <v>0</v>
      </c>
      <c r="DY145">
        <f>IFERROR(SMALL(DY47:DY127,ROW()-ROW($DY$130)+1),"")</f>
        <v>0</v>
      </c>
      <c r="DZ145">
        <f>IFERROR(SMALL(DZ47:DZ127,ROW()-ROW($DZ$130)+1),"")</f>
        <v>0</v>
      </c>
      <c r="EA145">
        <f>IFERROR(SMALL(EA47:EA127,ROW()-ROW($EA$130)+1),"")</f>
        <v>0</v>
      </c>
      <c r="EB145">
        <f>IFERROR(SMALL(EB47:EB127,ROW()-ROW($EB$130)+1),"")</f>
        <v>0</v>
      </c>
      <c r="EC145">
        <f>IFERROR(SMALL(EC47:EC127,ROW()-ROW($EC$130)+1),"")</f>
        <v>0</v>
      </c>
      <c r="ED145">
        <f>IFERROR(SMALL(ED47:ED127,ROW()-ROW($ED$130)+1),"")</f>
        <v>0</v>
      </c>
    </row>
    <row r="146" spans="5:134">
      <c r="E146">
        <f>IFERROR(SMALL(E47:E127,ROW()-ROW($E$130)+1),"")</f>
        <v>0</v>
      </c>
      <c r="F146">
        <f>IFERROR(SMALL(F47:F127,ROW()-ROW($F$130)+1),"")</f>
        <v>0</v>
      </c>
      <c r="G146">
        <f>IFERROR(SMALL(G47:G127,ROW()-ROW($G$130)+1),"")</f>
        <v>0</v>
      </c>
      <c r="H146">
        <f>IFERROR(SMALL(H47:H127,ROW()-ROW($H$130)+1),"")</f>
        <v>0</v>
      </c>
      <c r="I146">
        <f>IFERROR(SMALL(I47:I127,ROW()-ROW($I$130)+1),"")</f>
        <v>0</v>
      </c>
      <c r="J146">
        <f>IFERROR(SMALL(J47:J127,ROW()-ROW($J$130)+1),"")</f>
        <v>0</v>
      </c>
      <c r="K146">
        <f>IFERROR(SMALL(K47:K127,ROW()-ROW($K$130)+1),"")</f>
        <v>0</v>
      </c>
      <c r="L146">
        <f>IFERROR(SMALL(L47:L127,ROW()-ROW($L$130)+1),"")</f>
        <v>0</v>
      </c>
      <c r="M146">
        <f>IFERROR(SMALL(M47:M127,ROW()-ROW($M$130)+1),"")</f>
        <v>0</v>
      </c>
      <c r="N146">
        <f>IFERROR(SMALL(N47:N127,ROW()-ROW($N$130)+1),"")</f>
        <v>0</v>
      </c>
      <c r="O146">
        <f>IFERROR(SMALL(O47:O127,ROW()-ROW($O$130)+1),"")</f>
        <v>0</v>
      </c>
      <c r="P146">
        <f>IFERROR(SMALL(P47:P127,ROW()-ROW($P$130)+1),"")</f>
        <v>0</v>
      </c>
      <c r="Q146">
        <f>IFERROR(SMALL(Q47:Q127,ROW()-ROW($Q$130)+1),"")</f>
        <v>0</v>
      </c>
      <c r="R146">
        <f>IFERROR(SMALL(R47:R127,ROW()-ROW($R$130)+1),"")</f>
        <v>0</v>
      </c>
      <c r="S146">
        <f>IFERROR(SMALL(S47:S127,ROW()-ROW($S$130)+1),"")</f>
        <v>0</v>
      </c>
      <c r="T146">
        <f>IFERROR(SMALL(T47:T127,ROW()-ROW($T$130)+1),"")</f>
        <v>0</v>
      </c>
      <c r="U146">
        <f>IFERROR(SMALL(U47:U127,ROW()-ROW($U$130)+1),"")</f>
        <v>0</v>
      </c>
      <c r="V146">
        <f>IFERROR(SMALL(V47:V127,ROW()-ROW($V$130)+1),"")</f>
        <v>0</v>
      </c>
      <c r="W146">
        <f>IFERROR(SMALL(W47:W127,ROW()-ROW($W$130)+1),"")</f>
        <v>0</v>
      </c>
      <c r="X146">
        <f>IFERROR(SMALL(X47:X127,ROW()-ROW($X$130)+1),"")</f>
        <v>0</v>
      </c>
      <c r="Y146">
        <f>IFERROR(SMALL(Y47:Y127,ROW()-ROW($Y$130)+1),"")</f>
        <v>0</v>
      </c>
      <c r="Z146">
        <f>IFERROR(SMALL(Z47:Z127,ROW()-ROW($Z$130)+1),"")</f>
        <v>0</v>
      </c>
      <c r="AA146">
        <f>IFERROR(SMALL(AA47:AA127,ROW()-ROW($AA$130)+1),"")</f>
        <v>0</v>
      </c>
      <c r="AB146">
        <f>IFERROR(SMALL(AB47:AB127,ROW()-ROW($AB$130)+1),"")</f>
        <v>0</v>
      </c>
      <c r="AC146">
        <f>IFERROR(SMALL(AC47:AC127,ROW()-ROW($AC$130)+1),"")</f>
        <v>0</v>
      </c>
      <c r="AD146">
        <f>IFERROR(SMALL(AD47:AD127,ROW()-ROW($AD$130)+1),"")</f>
        <v>0</v>
      </c>
      <c r="AE146">
        <f>IFERROR(SMALL(AE47:AE127,ROW()-ROW($AE$130)+1),"")</f>
        <v>0</v>
      </c>
      <c r="AF146">
        <f>IFERROR(SMALL(AF47:AF127,ROW()-ROW($AF$130)+1),"")</f>
        <v>0</v>
      </c>
      <c r="AG146">
        <f>IFERROR(SMALL(AG47:AG127,ROW()-ROW($AG$130)+1),"")</f>
        <v>0</v>
      </c>
      <c r="AH146">
        <f>IFERROR(SMALL(AH47:AH127,ROW()-ROW($AH$130)+1),"")</f>
        <v>0</v>
      </c>
      <c r="AI146">
        <f>IFERROR(SMALL(AI47:AI127,ROW()-ROW($AI$130)+1),"")</f>
        <v>0</v>
      </c>
      <c r="AJ146">
        <f>IFERROR(SMALL(AJ47:AJ127,ROW()-ROW($AJ$130)+1),"")</f>
        <v>0</v>
      </c>
      <c r="AK146">
        <f>IFERROR(SMALL(AK47:AK127,ROW()-ROW($AK$130)+1),"")</f>
        <v>0</v>
      </c>
      <c r="AL146">
        <f>IFERROR(SMALL(AL47:AL127,ROW()-ROW($AL$130)+1),"")</f>
        <v>0</v>
      </c>
      <c r="AM146">
        <f>IFERROR(SMALL(AM47:AM127,ROW()-ROW($AM$130)+1),"")</f>
        <v>0</v>
      </c>
      <c r="AN146">
        <f>IFERROR(SMALL(AN47:AN127,ROW()-ROW($AN$130)+1),"")</f>
        <v>0</v>
      </c>
      <c r="AO146">
        <f>IFERROR(SMALL(AO47:AO127,ROW()-ROW($AO$130)+1),"")</f>
        <v>0</v>
      </c>
      <c r="AP146">
        <f>IFERROR(SMALL(AP47:AP127,ROW()-ROW($AP$130)+1),"")</f>
        <v>0</v>
      </c>
      <c r="AQ146">
        <f>IFERROR(SMALL(AQ47:AQ127,ROW()-ROW($AQ$130)+1),"")</f>
        <v>0</v>
      </c>
      <c r="AR146">
        <f>IFERROR(SMALL(AR47:AR127,ROW()-ROW($AR$130)+1),"")</f>
        <v>0</v>
      </c>
      <c r="AS146">
        <f>IFERROR(SMALL(AS47:AS127,ROW()-ROW($AS$130)+1),"")</f>
        <v>0</v>
      </c>
      <c r="AT146">
        <f>IFERROR(SMALL(AT47:AT127,ROW()-ROW($AT$130)+1),"")</f>
        <v>0</v>
      </c>
      <c r="AU146">
        <f>IFERROR(SMALL(AU47:AU127,ROW()-ROW($AU$130)+1),"")</f>
        <v>0</v>
      </c>
      <c r="AV146">
        <f>IFERROR(SMALL(AV47:AV127,ROW()-ROW($AV$130)+1),"")</f>
        <v>0</v>
      </c>
      <c r="AW146">
        <f>IFERROR(SMALL(AW47:AW127,ROW()-ROW($AW$130)+1),"")</f>
        <v>0</v>
      </c>
      <c r="AX146">
        <f>IFERROR(SMALL(AX47:AX127,ROW()-ROW($AX$130)+1),"")</f>
        <v>0</v>
      </c>
      <c r="AY146">
        <f>IFERROR(SMALL(AY47:AY127,ROW()-ROW($AY$130)+1),"")</f>
        <v>0</v>
      </c>
      <c r="AZ146">
        <f>IFERROR(SMALL(AZ47:AZ127,ROW()-ROW($AZ$130)+1),"")</f>
        <v>0</v>
      </c>
      <c r="BA146">
        <f>IFERROR(SMALL(BA47:BA127,ROW()-ROW($BA$130)+1),"")</f>
        <v>0</v>
      </c>
      <c r="BB146">
        <f>IFERROR(SMALL(BB47:BB127,ROW()-ROW($BB$130)+1),"")</f>
        <v>0</v>
      </c>
      <c r="BC146">
        <f>IFERROR(SMALL(BC47:BC127,ROW()-ROW($BC$130)+1),"")</f>
        <v>0</v>
      </c>
      <c r="BD146">
        <f>IFERROR(SMALL(BD47:BD127,ROW()-ROW($BD$130)+1),"")</f>
        <v>0</v>
      </c>
      <c r="BE146">
        <f>IFERROR(SMALL(BE47:BE127,ROW()-ROW($BE$130)+1),"")</f>
        <v>0</v>
      </c>
      <c r="BF146">
        <f>IFERROR(SMALL(BF47:BF127,ROW()-ROW($BF$130)+1),"")</f>
        <v>0</v>
      </c>
      <c r="BG146">
        <f>IFERROR(SMALL(BG47:BG127,ROW()-ROW($BG$130)+1),"")</f>
        <v>0</v>
      </c>
      <c r="BH146">
        <f>IFERROR(SMALL(BH47:BH127,ROW()-ROW($BH$130)+1),"")</f>
        <v>0</v>
      </c>
      <c r="BI146">
        <f>IFERROR(SMALL(BI47:BI127,ROW()-ROW($BI$130)+1),"")</f>
        <v>0</v>
      </c>
      <c r="BJ146">
        <f>IFERROR(SMALL(BJ47:BJ127,ROW()-ROW($BJ$130)+1),"")</f>
        <v>0</v>
      </c>
      <c r="BK146">
        <f>IFERROR(SMALL(BK47:BK127,ROW()-ROW($BK$130)+1),"")</f>
        <v>0</v>
      </c>
      <c r="BL146">
        <f>IFERROR(SMALL(BL47:BL127,ROW()-ROW($BL$130)+1),"")</f>
        <v>0</v>
      </c>
      <c r="BM146">
        <f>IFERROR(SMALL(BM47:BM127,ROW()-ROW($BM$130)+1),"")</f>
        <v>0</v>
      </c>
      <c r="BN146">
        <f>IFERROR(SMALL(BN47:BN127,ROW()-ROW($BN$130)+1),"")</f>
        <v>0</v>
      </c>
      <c r="BO146">
        <f>IFERROR(SMALL(BO47:BO127,ROW()-ROW($BO$130)+1),"")</f>
        <v>0</v>
      </c>
      <c r="BP146">
        <f>IFERROR(SMALL(BP47:BP127,ROW()-ROW($BP$130)+1),"")</f>
        <v>0</v>
      </c>
      <c r="BS146">
        <f>IFERROR(SMALL(BS47:BS127,ROW()-ROW($BS$130)+1),"")</f>
        <v>0</v>
      </c>
      <c r="BT146">
        <f>IFERROR(SMALL(BT47:BT127,ROW()-ROW($BT$130)+1),"")</f>
        <v>0</v>
      </c>
      <c r="BU146">
        <f>IFERROR(SMALL(BU47:BU127,ROW()-ROW($BU$130)+1),"")</f>
        <v>0</v>
      </c>
      <c r="BV146">
        <f>IFERROR(SMALL(BV47:BV127,ROW()-ROW($BV$130)+1),"")</f>
        <v>0</v>
      </c>
      <c r="BW146">
        <f>IFERROR(SMALL(BW47:BW127,ROW()-ROW($BW$130)+1),"")</f>
        <v>0</v>
      </c>
      <c r="BX146">
        <f>IFERROR(SMALL(BX47:BX127,ROW()-ROW($BX$130)+1),"")</f>
        <v>0</v>
      </c>
      <c r="BY146">
        <f>IFERROR(SMALL(BY47:BY127,ROW()-ROW($BY$130)+1),"")</f>
        <v>0</v>
      </c>
      <c r="BZ146">
        <f>IFERROR(SMALL(BZ47:BZ127,ROW()-ROW($BZ$130)+1),"")</f>
        <v>0</v>
      </c>
      <c r="CA146">
        <f>IFERROR(SMALL(CA47:CA127,ROW()-ROW($CA$130)+1),"")</f>
        <v>0</v>
      </c>
      <c r="CB146">
        <f>IFERROR(SMALL(CB47:CB127,ROW()-ROW($CB$130)+1),"")</f>
        <v>0</v>
      </c>
      <c r="CC146">
        <f>IFERROR(SMALL(CC47:CC127,ROW()-ROW($CC$130)+1),"")</f>
        <v>0</v>
      </c>
      <c r="CD146">
        <f>IFERROR(SMALL(CD47:CD127,ROW()-ROW($CD$130)+1),"")</f>
        <v>0</v>
      </c>
      <c r="CE146">
        <f>IFERROR(SMALL(CE47:CE127,ROW()-ROW($CE$130)+1),"")</f>
        <v>0</v>
      </c>
      <c r="CF146">
        <f>IFERROR(SMALL(CF47:CF127,ROW()-ROW($CF$130)+1),"")</f>
        <v>0</v>
      </c>
      <c r="CG146">
        <f>IFERROR(SMALL(CG47:CG127,ROW()-ROW($CG$130)+1),"")</f>
        <v>0</v>
      </c>
      <c r="CH146">
        <f>IFERROR(SMALL(CH47:CH127,ROW()-ROW($CH$130)+1),"")</f>
        <v>0</v>
      </c>
      <c r="CI146">
        <f>IFERROR(SMALL(CI47:CI127,ROW()-ROW($CI$130)+1),"")</f>
        <v>0</v>
      </c>
      <c r="CJ146">
        <f>IFERROR(SMALL(CJ47:CJ127,ROW()-ROW($CJ$130)+1),"")</f>
        <v>0</v>
      </c>
      <c r="CK146">
        <f>IFERROR(SMALL(CK47:CK127,ROW()-ROW($CK$130)+1),"")</f>
        <v>0</v>
      </c>
      <c r="CL146">
        <f>IFERROR(SMALL(CL47:CL127,ROW()-ROW($CL$130)+1),"")</f>
        <v>0</v>
      </c>
      <c r="CM146">
        <f>IFERROR(SMALL(CM47:CM127,ROW()-ROW($CM$130)+1),"")</f>
        <v>0</v>
      </c>
      <c r="CN146">
        <f>IFERROR(SMALL(CN47:CN127,ROW()-ROW($CN$130)+1),"")</f>
        <v>0</v>
      </c>
      <c r="CO146">
        <f>IFERROR(SMALL(CO47:CO127,ROW()-ROW($CO$130)+1),"")</f>
        <v>0</v>
      </c>
      <c r="CP146">
        <f>IFERROR(SMALL(CP47:CP127,ROW()-ROW($CP$130)+1),"")</f>
        <v>0</v>
      </c>
      <c r="CQ146">
        <f>IFERROR(SMALL(CQ47:CQ127,ROW()-ROW($CQ$130)+1),"")</f>
        <v>0</v>
      </c>
      <c r="CR146">
        <f>IFERROR(SMALL(CR47:CR127,ROW()-ROW($CR$130)+1),"")</f>
        <v>0</v>
      </c>
      <c r="CS146">
        <f>IFERROR(SMALL(CS47:CS127,ROW()-ROW($CS$130)+1),"")</f>
        <v>0</v>
      </c>
      <c r="CT146">
        <f>IFERROR(SMALL(CT47:CT127,ROW()-ROW($CT$130)+1),"")</f>
        <v>0</v>
      </c>
      <c r="CU146">
        <f>IFERROR(SMALL(CU47:CU127,ROW()-ROW($CU$130)+1),"")</f>
        <v>0</v>
      </c>
      <c r="CV146">
        <f>IFERROR(SMALL(CV47:CV127,ROW()-ROW($CV$130)+1),"")</f>
        <v>0</v>
      </c>
      <c r="CW146">
        <f>IFERROR(SMALL(CW47:CW127,ROW()-ROW($CW$130)+1),"")</f>
        <v>0</v>
      </c>
      <c r="CX146">
        <f>IFERROR(SMALL(CX47:CX127,ROW()-ROW($CX$130)+1),"")</f>
        <v>0</v>
      </c>
      <c r="CY146">
        <f>IFERROR(SMALL(CY47:CY127,ROW()-ROW($CY$130)+1),"")</f>
        <v>0</v>
      </c>
      <c r="CZ146">
        <f>IFERROR(SMALL(CZ47:CZ127,ROW()-ROW($CZ$130)+1),"")</f>
        <v>0</v>
      </c>
      <c r="DA146">
        <f>IFERROR(SMALL(DA47:DA127,ROW()-ROW($DA$130)+1),"")</f>
        <v>0</v>
      </c>
      <c r="DB146">
        <f>IFERROR(SMALL(DB47:DB127,ROW()-ROW($DB$130)+1),"")</f>
        <v>0</v>
      </c>
      <c r="DC146">
        <f>IFERROR(SMALL(DC47:DC127,ROW()-ROW($DC$130)+1),"")</f>
        <v>0</v>
      </c>
      <c r="DD146">
        <f>IFERROR(SMALL(DD47:DD127,ROW()-ROW($DD$130)+1),"")</f>
        <v>0</v>
      </c>
      <c r="DE146">
        <f>IFERROR(SMALL(DE47:DE127,ROW()-ROW($DE$130)+1),"")</f>
        <v>0</v>
      </c>
      <c r="DF146">
        <f>IFERROR(SMALL(DF47:DF127,ROW()-ROW($DF$130)+1),"")</f>
        <v>0</v>
      </c>
      <c r="DG146">
        <f>IFERROR(SMALL(DG47:DG127,ROW()-ROW($DG$130)+1),"")</f>
        <v>0</v>
      </c>
      <c r="DH146">
        <f>IFERROR(SMALL(DH47:DH127,ROW()-ROW($DH$130)+1),"")</f>
        <v>0</v>
      </c>
      <c r="DI146">
        <f>IFERROR(SMALL(DI47:DI127,ROW()-ROW($DI$130)+1),"")</f>
        <v>0</v>
      </c>
      <c r="DJ146">
        <f>IFERROR(SMALL(DJ47:DJ127,ROW()-ROW($DJ$130)+1),"")</f>
        <v>0</v>
      </c>
      <c r="DK146">
        <f>IFERROR(SMALL(DK47:DK127,ROW()-ROW($DK$130)+1),"")</f>
        <v>0</v>
      </c>
      <c r="DL146">
        <f>IFERROR(SMALL(DL47:DL127,ROW()-ROW($DL$130)+1),"")</f>
        <v>0</v>
      </c>
      <c r="DM146">
        <f>IFERROR(SMALL(DM47:DM127,ROW()-ROW($DM$130)+1),"")</f>
        <v>0</v>
      </c>
      <c r="DN146">
        <f>IFERROR(SMALL(DN47:DN127,ROW()-ROW($DN$130)+1),"")</f>
        <v>0</v>
      </c>
      <c r="DO146">
        <f>IFERROR(SMALL(DO47:DO127,ROW()-ROW($DO$130)+1),"")</f>
        <v>0</v>
      </c>
      <c r="DP146">
        <f>IFERROR(SMALL(DP47:DP127,ROW()-ROW($DP$130)+1),"")</f>
        <v>0</v>
      </c>
      <c r="DQ146">
        <f>IFERROR(SMALL(DQ47:DQ127,ROW()-ROW($DQ$130)+1),"")</f>
        <v>0</v>
      </c>
      <c r="DR146">
        <f>IFERROR(SMALL(DR47:DR127,ROW()-ROW($DR$130)+1),"")</f>
        <v>0</v>
      </c>
      <c r="DS146">
        <f>IFERROR(SMALL(DS47:DS127,ROW()-ROW($DS$130)+1),"")</f>
        <v>0</v>
      </c>
      <c r="DT146">
        <f>IFERROR(SMALL(DT47:DT127,ROW()-ROW($DT$130)+1),"")</f>
        <v>0</v>
      </c>
      <c r="DU146">
        <f>IFERROR(SMALL(DU47:DU127,ROW()-ROW($DU$130)+1),"")</f>
        <v>0</v>
      </c>
      <c r="DV146">
        <f>IFERROR(SMALL(DV47:DV127,ROW()-ROW($DV$130)+1),"")</f>
        <v>0</v>
      </c>
      <c r="DW146">
        <f>IFERROR(SMALL(DW47:DW127,ROW()-ROW($DW$130)+1),"")</f>
        <v>0</v>
      </c>
      <c r="DX146">
        <f>IFERROR(SMALL(DX47:DX127,ROW()-ROW($DX$130)+1),"")</f>
        <v>0</v>
      </c>
      <c r="DY146">
        <f>IFERROR(SMALL(DY47:DY127,ROW()-ROW($DY$130)+1),"")</f>
        <v>0</v>
      </c>
      <c r="DZ146">
        <f>IFERROR(SMALL(DZ47:DZ127,ROW()-ROW($DZ$130)+1),"")</f>
        <v>0</v>
      </c>
      <c r="EA146">
        <f>IFERROR(SMALL(EA47:EA127,ROW()-ROW($EA$130)+1),"")</f>
        <v>0</v>
      </c>
      <c r="EB146">
        <f>IFERROR(SMALL(EB47:EB127,ROW()-ROW($EB$130)+1),"")</f>
        <v>0</v>
      </c>
      <c r="EC146">
        <f>IFERROR(SMALL(EC47:EC127,ROW()-ROW($EC$130)+1),"")</f>
        <v>0</v>
      </c>
      <c r="ED146">
        <f>IFERROR(SMALL(ED47:ED127,ROW()-ROW($ED$130)+1),"")</f>
        <v>0</v>
      </c>
    </row>
    <row r="147" spans="5:134">
      <c r="E147">
        <f>IFERROR(SMALL(E47:E127,ROW()-ROW($E$130)+1),"")</f>
        <v>0</v>
      </c>
      <c r="F147">
        <f>IFERROR(SMALL(F47:F127,ROW()-ROW($F$130)+1),"")</f>
        <v>0</v>
      </c>
      <c r="G147">
        <f>IFERROR(SMALL(G47:G127,ROW()-ROW($G$130)+1),"")</f>
        <v>0</v>
      </c>
      <c r="H147">
        <f>IFERROR(SMALL(H47:H127,ROW()-ROW($H$130)+1),"")</f>
        <v>0</v>
      </c>
      <c r="I147">
        <f>IFERROR(SMALL(I47:I127,ROW()-ROW($I$130)+1),"")</f>
        <v>0</v>
      </c>
      <c r="J147">
        <f>IFERROR(SMALL(J47:J127,ROW()-ROW($J$130)+1),"")</f>
        <v>0</v>
      </c>
      <c r="K147">
        <f>IFERROR(SMALL(K47:K127,ROW()-ROW($K$130)+1),"")</f>
        <v>0</v>
      </c>
      <c r="L147">
        <f>IFERROR(SMALL(L47:L127,ROW()-ROW($L$130)+1),"")</f>
        <v>0</v>
      </c>
      <c r="M147">
        <f>IFERROR(SMALL(M47:M127,ROW()-ROW($M$130)+1),"")</f>
        <v>0</v>
      </c>
      <c r="N147">
        <f>IFERROR(SMALL(N47:N127,ROW()-ROW($N$130)+1),"")</f>
        <v>0</v>
      </c>
      <c r="O147">
        <f>IFERROR(SMALL(O47:O127,ROW()-ROW($O$130)+1),"")</f>
        <v>0</v>
      </c>
      <c r="P147">
        <f>IFERROR(SMALL(P47:P127,ROW()-ROW($P$130)+1),"")</f>
        <v>0</v>
      </c>
      <c r="Q147">
        <f>IFERROR(SMALL(Q47:Q127,ROW()-ROW($Q$130)+1),"")</f>
        <v>0</v>
      </c>
      <c r="R147">
        <f>IFERROR(SMALL(R47:R127,ROW()-ROW($R$130)+1),"")</f>
        <v>0</v>
      </c>
      <c r="S147">
        <f>IFERROR(SMALL(S47:S127,ROW()-ROW($S$130)+1),"")</f>
        <v>0</v>
      </c>
      <c r="T147">
        <f>IFERROR(SMALL(T47:T127,ROW()-ROW($T$130)+1),"")</f>
        <v>0</v>
      </c>
      <c r="U147">
        <f>IFERROR(SMALL(U47:U127,ROW()-ROW($U$130)+1),"")</f>
        <v>0</v>
      </c>
      <c r="V147">
        <f>IFERROR(SMALL(V47:V127,ROW()-ROW($V$130)+1),"")</f>
        <v>0</v>
      </c>
      <c r="W147">
        <f>IFERROR(SMALL(W47:W127,ROW()-ROW($W$130)+1),"")</f>
        <v>0</v>
      </c>
      <c r="X147">
        <f>IFERROR(SMALL(X47:X127,ROW()-ROW($X$130)+1),"")</f>
        <v>0</v>
      </c>
      <c r="Y147">
        <f>IFERROR(SMALL(Y47:Y127,ROW()-ROW($Y$130)+1),"")</f>
        <v>0</v>
      </c>
      <c r="Z147">
        <f>IFERROR(SMALL(Z47:Z127,ROW()-ROW($Z$130)+1),"")</f>
        <v>0</v>
      </c>
      <c r="AA147">
        <f>IFERROR(SMALL(AA47:AA127,ROW()-ROW($AA$130)+1),"")</f>
        <v>0</v>
      </c>
      <c r="AB147">
        <f>IFERROR(SMALL(AB47:AB127,ROW()-ROW($AB$130)+1),"")</f>
        <v>0</v>
      </c>
      <c r="AC147">
        <f>IFERROR(SMALL(AC47:AC127,ROW()-ROW($AC$130)+1),"")</f>
        <v>0</v>
      </c>
      <c r="AD147">
        <f>IFERROR(SMALL(AD47:AD127,ROW()-ROW($AD$130)+1),"")</f>
        <v>0</v>
      </c>
      <c r="AE147">
        <f>IFERROR(SMALL(AE47:AE127,ROW()-ROW($AE$130)+1),"")</f>
        <v>0</v>
      </c>
      <c r="AF147">
        <f>IFERROR(SMALL(AF47:AF127,ROW()-ROW($AF$130)+1),"")</f>
        <v>0</v>
      </c>
      <c r="AG147">
        <f>IFERROR(SMALL(AG47:AG127,ROW()-ROW($AG$130)+1),"")</f>
        <v>0</v>
      </c>
      <c r="AH147">
        <f>IFERROR(SMALL(AH47:AH127,ROW()-ROW($AH$130)+1),"")</f>
        <v>0</v>
      </c>
      <c r="AI147">
        <f>IFERROR(SMALL(AI47:AI127,ROW()-ROW($AI$130)+1),"")</f>
        <v>0</v>
      </c>
      <c r="AJ147">
        <f>IFERROR(SMALL(AJ47:AJ127,ROW()-ROW($AJ$130)+1),"")</f>
        <v>0</v>
      </c>
      <c r="AK147">
        <f>IFERROR(SMALL(AK47:AK127,ROW()-ROW($AK$130)+1),"")</f>
        <v>0</v>
      </c>
      <c r="AL147">
        <f>IFERROR(SMALL(AL47:AL127,ROW()-ROW($AL$130)+1),"")</f>
        <v>0</v>
      </c>
      <c r="AM147">
        <f>IFERROR(SMALL(AM47:AM127,ROW()-ROW($AM$130)+1),"")</f>
        <v>0</v>
      </c>
      <c r="AN147">
        <f>IFERROR(SMALL(AN47:AN127,ROW()-ROW($AN$130)+1),"")</f>
        <v>0</v>
      </c>
      <c r="AO147">
        <f>IFERROR(SMALL(AO47:AO127,ROW()-ROW($AO$130)+1),"")</f>
        <v>0</v>
      </c>
      <c r="AP147">
        <f>IFERROR(SMALL(AP47:AP127,ROW()-ROW($AP$130)+1),"")</f>
        <v>0</v>
      </c>
      <c r="AQ147">
        <f>IFERROR(SMALL(AQ47:AQ127,ROW()-ROW($AQ$130)+1),"")</f>
        <v>0</v>
      </c>
      <c r="AR147">
        <f>IFERROR(SMALL(AR47:AR127,ROW()-ROW($AR$130)+1),"")</f>
        <v>0</v>
      </c>
      <c r="AS147">
        <f>IFERROR(SMALL(AS47:AS127,ROW()-ROW($AS$130)+1),"")</f>
        <v>0</v>
      </c>
      <c r="AT147">
        <f>IFERROR(SMALL(AT47:AT127,ROW()-ROW($AT$130)+1),"")</f>
        <v>0</v>
      </c>
      <c r="AU147">
        <f>IFERROR(SMALL(AU47:AU127,ROW()-ROW($AU$130)+1),"")</f>
        <v>0</v>
      </c>
      <c r="AV147">
        <f>IFERROR(SMALL(AV47:AV127,ROW()-ROW($AV$130)+1),"")</f>
        <v>0</v>
      </c>
      <c r="AW147">
        <f>IFERROR(SMALL(AW47:AW127,ROW()-ROW($AW$130)+1),"")</f>
        <v>0</v>
      </c>
      <c r="AX147">
        <f>IFERROR(SMALL(AX47:AX127,ROW()-ROW($AX$130)+1),"")</f>
        <v>0</v>
      </c>
      <c r="AY147">
        <f>IFERROR(SMALL(AY47:AY127,ROW()-ROW($AY$130)+1),"")</f>
        <v>0</v>
      </c>
      <c r="AZ147">
        <f>IFERROR(SMALL(AZ47:AZ127,ROW()-ROW($AZ$130)+1),"")</f>
        <v>0</v>
      </c>
      <c r="BA147">
        <f>IFERROR(SMALL(BA47:BA127,ROW()-ROW($BA$130)+1),"")</f>
        <v>0</v>
      </c>
      <c r="BB147">
        <f>IFERROR(SMALL(BB47:BB127,ROW()-ROW($BB$130)+1),"")</f>
        <v>0</v>
      </c>
      <c r="BC147">
        <f>IFERROR(SMALL(BC47:BC127,ROW()-ROW($BC$130)+1),"")</f>
        <v>0</v>
      </c>
      <c r="BD147">
        <f>IFERROR(SMALL(BD47:BD127,ROW()-ROW($BD$130)+1),"")</f>
        <v>0</v>
      </c>
      <c r="BE147">
        <f>IFERROR(SMALL(BE47:BE127,ROW()-ROW($BE$130)+1),"")</f>
        <v>0</v>
      </c>
      <c r="BF147">
        <f>IFERROR(SMALL(BF47:BF127,ROW()-ROW($BF$130)+1),"")</f>
        <v>0</v>
      </c>
      <c r="BG147">
        <f>IFERROR(SMALL(BG47:BG127,ROW()-ROW($BG$130)+1),"")</f>
        <v>0</v>
      </c>
      <c r="BH147">
        <f>IFERROR(SMALL(BH47:BH127,ROW()-ROW($BH$130)+1),"")</f>
        <v>0</v>
      </c>
      <c r="BI147">
        <f>IFERROR(SMALL(BI47:BI127,ROW()-ROW($BI$130)+1),"")</f>
        <v>0</v>
      </c>
      <c r="BJ147">
        <f>IFERROR(SMALL(BJ47:BJ127,ROW()-ROW($BJ$130)+1),"")</f>
        <v>0</v>
      </c>
      <c r="BK147">
        <f>IFERROR(SMALL(BK47:BK127,ROW()-ROW($BK$130)+1),"")</f>
        <v>0</v>
      </c>
      <c r="BL147">
        <f>IFERROR(SMALL(BL47:BL127,ROW()-ROW($BL$130)+1),"")</f>
        <v>0</v>
      </c>
      <c r="BM147">
        <f>IFERROR(SMALL(BM47:BM127,ROW()-ROW($BM$130)+1),"")</f>
        <v>0</v>
      </c>
      <c r="BN147">
        <f>IFERROR(SMALL(BN47:BN127,ROW()-ROW($BN$130)+1),"")</f>
        <v>0</v>
      </c>
      <c r="BO147">
        <f>IFERROR(SMALL(BO47:BO127,ROW()-ROW($BO$130)+1),"")</f>
        <v>0</v>
      </c>
      <c r="BP147">
        <f>IFERROR(SMALL(BP47:BP127,ROW()-ROW($BP$130)+1),"")</f>
        <v>0</v>
      </c>
      <c r="BS147">
        <f>IFERROR(SMALL(BS47:BS127,ROW()-ROW($BS$130)+1),"")</f>
        <v>0</v>
      </c>
      <c r="BT147">
        <f>IFERROR(SMALL(BT47:BT127,ROW()-ROW($BT$130)+1),"")</f>
        <v>0</v>
      </c>
      <c r="BU147">
        <f>IFERROR(SMALL(BU47:BU127,ROW()-ROW($BU$130)+1),"")</f>
        <v>0</v>
      </c>
      <c r="BV147">
        <f>IFERROR(SMALL(BV47:BV127,ROW()-ROW($BV$130)+1),"")</f>
        <v>0</v>
      </c>
      <c r="BW147">
        <f>IFERROR(SMALL(BW47:BW127,ROW()-ROW($BW$130)+1),"")</f>
        <v>0</v>
      </c>
      <c r="BX147">
        <f>IFERROR(SMALL(BX47:BX127,ROW()-ROW($BX$130)+1),"")</f>
        <v>0</v>
      </c>
      <c r="BY147">
        <f>IFERROR(SMALL(BY47:BY127,ROW()-ROW($BY$130)+1),"")</f>
        <v>0</v>
      </c>
      <c r="BZ147">
        <f>IFERROR(SMALL(BZ47:BZ127,ROW()-ROW($BZ$130)+1),"")</f>
        <v>0</v>
      </c>
      <c r="CA147">
        <f>IFERROR(SMALL(CA47:CA127,ROW()-ROW($CA$130)+1),"")</f>
        <v>0</v>
      </c>
      <c r="CB147">
        <f>IFERROR(SMALL(CB47:CB127,ROW()-ROW($CB$130)+1),"")</f>
        <v>0</v>
      </c>
      <c r="CC147">
        <f>IFERROR(SMALL(CC47:CC127,ROW()-ROW($CC$130)+1),"")</f>
        <v>0</v>
      </c>
      <c r="CD147">
        <f>IFERROR(SMALL(CD47:CD127,ROW()-ROW($CD$130)+1),"")</f>
        <v>0</v>
      </c>
      <c r="CE147">
        <f>IFERROR(SMALL(CE47:CE127,ROW()-ROW($CE$130)+1),"")</f>
        <v>0</v>
      </c>
      <c r="CF147">
        <f>IFERROR(SMALL(CF47:CF127,ROW()-ROW($CF$130)+1),"")</f>
        <v>0</v>
      </c>
      <c r="CG147">
        <f>IFERROR(SMALL(CG47:CG127,ROW()-ROW($CG$130)+1),"")</f>
        <v>0</v>
      </c>
      <c r="CH147">
        <f>IFERROR(SMALL(CH47:CH127,ROW()-ROW($CH$130)+1),"")</f>
        <v>0</v>
      </c>
      <c r="CI147">
        <f>IFERROR(SMALL(CI47:CI127,ROW()-ROW($CI$130)+1),"")</f>
        <v>0</v>
      </c>
      <c r="CJ147">
        <f>IFERROR(SMALL(CJ47:CJ127,ROW()-ROW($CJ$130)+1),"")</f>
        <v>0</v>
      </c>
      <c r="CK147">
        <f>IFERROR(SMALL(CK47:CK127,ROW()-ROW($CK$130)+1),"")</f>
        <v>0</v>
      </c>
      <c r="CL147">
        <f>IFERROR(SMALL(CL47:CL127,ROW()-ROW($CL$130)+1),"")</f>
        <v>0</v>
      </c>
      <c r="CM147">
        <f>IFERROR(SMALL(CM47:CM127,ROW()-ROW($CM$130)+1),"")</f>
        <v>0</v>
      </c>
      <c r="CN147">
        <f>IFERROR(SMALL(CN47:CN127,ROW()-ROW($CN$130)+1),"")</f>
        <v>0</v>
      </c>
      <c r="CO147">
        <f>IFERROR(SMALL(CO47:CO127,ROW()-ROW($CO$130)+1),"")</f>
        <v>0</v>
      </c>
      <c r="CP147">
        <f>IFERROR(SMALL(CP47:CP127,ROW()-ROW($CP$130)+1),"")</f>
        <v>0</v>
      </c>
      <c r="CQ147">
        <f>IFERROR(SMALL(CQ47:CQ127,ROW()-ROW($CQ$130)+1),"")</f>
        <v>0</v>
      </c>
      <c r="CR147">
        <f>IFERROR(SMALL(CR47:CR127,ROW()-ROW($CR$130)+1),"")</f>
        <v>0</v>
      </c>
      <c r="CS147">
        <f>IFERROR(SMALL(CS47:CS127,ROW()-ROW($CS$130)+1),"")</f>
        <v>0</v>
      </c>
      <c r="CT147">
        <f>IFERROR(SMALL(CT47:CT127,ROW()-ROW($CT$130)+1),"")</f>
        <v>0</v>
      </c>
      <c r="CU147">
        <f>IFERROR(SMALL(CU47:CU127,ROW()-ROW($CU$130)+1),"")</f>
        <v>0</v>
      </c>
      <c r="CV147">
        <f>IFERROR(SMALL(CV47:CV127,ROW()-ROW($CV$130)+1),"")</f>
        <v>0</v>
      </c>
      <c r="CW147">
        <f>IFERROR(SMALL(CW47:CW127,ROW()-ROW($CW$130)+1),"")</f>
        <v>0</v>
      </c>
      <c r="CX147">
        <f>IFERROR(SMALL(CX47:CX127,ROW()-ROW($CX$130)+1),"")</f>
        <v>0</v>
      </c>
      <c r="CY147">
        <f>IFERROR(SMALL(CY47:CY127,ROW()-ROW($CY$130)+1),"")</f>
        <v>0</v>
      </c>
      <c r="CZ147">
        <f>IFERROR(SMALL(CZ47:CZ127,ROW()-ROW($CZ$130)+1),"")</f>
        <v>0</v>
      </c>
      <c r="DA147">
        <f>IFERROR(SMALL(DA47:DA127,ROW()-ROW($DA$130)+1),"")</f>
        <v>0</v>
      </c>
      <c r="DB147">
        <f>IFERROR(SMALL(DB47:DB127,ROW()-ROW($DB$130)+1),"")</f>
        <v>0</v>
      </c>
      <c r="DC147">
        <f>IFERROR(SMALL(DC47:DC127,ROW()-ROW($DC$130)+1),"")</f>
        <v>0</v>
      </c>
      <c r="DD147">
        <f>IFERROR(SMALL(DD47:DD127,ROW()-ROW($DD$130)+1),"")</f>
        <v>0</v>
      </c>
      <c r="DE147">
        <f>IFERROR(SMALL(DE47:DE127,ROW()-ROW($DE$130)+1),"")</f>
        <v>0</v>
      </c>
      <c r="DF147">
        <f>IFERROR(SMALL(DF47:DF127,ROW()-ROW($DF$130)+1),"")</f>
        <v>0</v>
      </c>
      <c r="DG147">
        <f>IFERROR(SMALL(DG47:DG127,ROW()-ROW($DG$130)+1),"")</f>
        <v>0</v>
      </c>
      <c r="DH147">
        <f>IFERROR(SMALL(DH47:DH127,ROW()-ROW($DH$130)+1),"")</f>
        <v>0</v>
      </c>
      <c r="DI147">
        <f>IFERROR(SMALL(DI47:DI127,ROW()-ROW($DI$130)+1),"")</f>
        <v>0</v>
      </c>
      <c r="DJ147">
        <f>IFERROR(SMALL(DJ47:DJ127,ROW()-ROW($DJ$130)+1),"")</f>
        <v>0</v>
      </c>
      <c r="DK147">
        <f>IFERROR(SMALL(DK47:DK127,ROW()-ROW($DK$130)+1),"")</f>
        <v>0</v>
      </c>
      <c r="DL147">
        <f>IFERROR(SMALL(DL47:DL127,ROW()-ROW($DL$130)+1),"")</f>
        <v>0</v>
      </c>
      <c r="DM147">
        <f>IFERROR(SMALL(DM47:DM127,ROW()-ROW($DM$130)+1),"")</f>
        <v>0</v>
      </c>
      <c r="DN147">
        <f>IFERROR(SMALL(DN47:DN127,ROW()-ROW($DN$130)+1),"")</f>
        <v>0</v>
      </c>
      <c r="DO147">
        <f>IFERROR(SMALL(DO47:DO127,ROW()-ROW($DO$130)+1),"")</f>
        <v>0</v>
      </c>
      <c r="DP147">
        <f>IFERROR(SMALL(DP47:DP127,ROW()-ROW($DP$130)+1),"")</f>
        <v>0</v>
      </c>
      <c r="DQ147">
        <f>IFERROR(SMALL(DQ47:DQ127,ROW()-ROW($DQ$130)+1),"")</f>
        <v>0</v>
      </c>
      <c r="DR147">
        <f>IFERROR(SMALL(DR47:DR127,ROW()-ROW($DR$130)+1),"")</f>
        <v>0</v>
      </c>
      <c r="DS147">
        <f>IFERROR(SMALL(DS47:DS127,ROW()-ROW($DS$130)+1),"")</f>
        <v>0</v>
      </c>
      <c r="DT147">
        <f>IFERROR(SMALL(DT47:DT127,ROW()-ROW($DT$130)+1),"")</f>
        <v>0</v>
      </c>
      <c r="DU147">
        <f>IFERROR(SMALL(DU47:DU127,ROW()-ROW($DU$130)+1),"")</f>
        <v>0</v>
      </c>
      <c r="DV147">
        <f>IFERROR(SMALL(DV47:DV127,ROW()-ROW($DV$130)+1),"")</f>
        <v>0</v>
      </c>
      <c r="DW147">
        <f>IFERROR(SMALL(DW47:DW127,ROW()-ROW($DW$130)+1),"")</f>
        <v>0</v>
      </c>
      <c r="DX147">
        <f>IFERROR(SMALL(DX47:DX127,ROW()-ROW($DX$130)+1),"")</f>
        <v>0</v>
      </c>
      <c r="DY147">
        <f>IFERROR(SMALL(DY47:DY127,ROW()-ROW($DY$130)+1),"")</f>
        <v>0</v>
      </c>
      <c r="DZ147">
        <f>IFERROR(SMALL(DZ47:DZ127,ROW()-ROW($DZ$130)+1),"")</f>
        <v>0</v>
      </c>
      <c r="EA147">
        <f>IFERROR(SMALL(EA47:EA127,ROW()-ROW($EA$130)+1),"")</f>
        <v>0</v>
      </c>
      <c r="EB147">
        <f>IFERROR(SMALL(EB47:EB127,ROW()-ROW($EB$130)+1),"")</f>
        <v>0</v>
      </c>
      <c r="EC147">
        <f>IFERROR(SMALL(EC47:EC127,ROW()-ROW($EC$130)+1),"")</f>
        <v>0</v>
      </c>
      <c r="ED147">
        <f>IFERROR(SMALL(ED47:ED127,ROW()-ROW($ED$130)+1),"")</f>
        <v>0</v>
      </c>
    </row>
    <row r="148" spans="5:134">
      <c r="E148">
        <f>IFERROR(SMALL(E47:E127,ROW()-ROW($E$130)+1),"")</f>
        <v>0</v>
      </c>
      <c r="F148">
        <f>IFERROR(SMALL(F47:F127,ROW()-ROW($F$130)+1),"")</f>
        <v>0</v>
      </c>
      <c r="G148">
        <f>IFERROR(SMALL(G47:G127,ROW()-ROW($G$130)+1),"")</f>
        <v>0</v>
      </c>
      <c r="H148">
        <f>IFERROR(SMALL(H47:H127,ROW()-ROW($H$130)+1),"")</f>
        <v>0</v>
      </c>
      <c r="I148">
        <f>IFERROR(SMALL(I47:I127,ROW()-ROW($I$130)+1),"")</f>
        <v>0</v>
      </c>
      <c r="J148">
        <f>IFERROR(SMALL(J47:J127,ROW()-ROW($J$130)+1),"")</f>
        <v>0</v>
      </c>
      <c r="K148">
        <f>IFERROR(SMALL(K47:K127,ROW()-ROW($K$130)+1),"")</f>
        <v>0</v>
      </c>
      <c r="L148">
        <f>IFERROR(SMALL(L47:L127,ROW()-ROW($L$130)+1),"")</f>
        <v>0</v>
      </c>
      <c r="M148">
        <f>IFERROR(SMALL(M47:M127,ROW()-ROW($M$130)+1),"")</f>
        <v>0</v>
      </c>
      <c r="N148">
        <f>IFERROR(SMALL(N47:N127,ROW()-ROW($N$130)+1),"")</f>
        <v>0</v>
      </c>
      <c r="O148">
        <f>IFERROR(SMALL(O47:O127,ROW()-ROW($O$130)+1),"")</f>
        <v>0</v>
      </c>
      <c r="P148">
        <f>IFERROR(SMALL(P47:P127,ROW()-ROW($P$130)+1),"")</f>
        <v>0</v>
      </c>
      <c r="Q148">
        <f>IFERROR(SMALL(Q47:Q127,ROW()-ROW($Q$130)+1),"")</f>
        <v>0</v>
      </c>
      <c r="R148">
        <f>IFERROR(SMALL(R47:R127,ROW()-ROW($R$130)+1),"")</f>
        <v>0</v>
      </c>
      <c r="S148">
        <f>IFERROR(SMALL(S47:S127,ROW()-ROW($S$130)+1),"")</f>
        <v>0</v>
      </c>
      <c r="T148">
        <f>IFERROR(SMALL(T47:T127,ROW()-ROW($T$130)+1),"")</f>
        <v>0</v>
      </c>
      <c r="U148">
        <f>IFERROR(SMALL(U47:U127,ROW()-ROW($U$130)+1),"")</f>
        <v>0</v>
      </c>
      <c r="V148">
        <f>IFERROR(SMALL(V47:V127,ROW()-ROW($V$130)+1),"")</f>
        <v>0</v>
      </c>
      <c r="W148">
        <f>IFERROR(SMALL(W47:W127,ROW()-ROW($W$130)+1),"")</f>
        <v>0</v>
      </c>
      <c r="X148">
        <f>IFERROR(SMALL(X47:X127,ROW()-ROW($X$130)+1),"")</f>
        <v>0</v>
      </c>
      <c r="Y148">
        <f>IFERROR(SMALL(Y47:Y127,ROW()-ROW($Y$130)+1),"")</f>
        <v>0</v>
      </c>
      <c r="Z148">
        <f>IFERROR(SMALL(Z47:Z127,ROW()-ROW($Z$130)+1),"")</f>
        <v>0</v>
      </c>
      <c r="AA148">
        <f>IFERROR(SMALL(AA47:AA127,ROW()-ROW($AA$130)+1),"")</f>
        <v>0</v>
      </c>
      <c r="AB148">
        <f>IFERROR(SMALL(AB47:AB127,ROW()-ROW($AB$130)+1),"")</f>
        <v>0</v>
      </c>
      <c r="AC148">
        <f>IFERROR(SMALL(AC47:AC127,ROW()-ROW($AC$130)+1),"")</f>
        <v>0</v>
      </c>
      <c r="AD148">
        <f>IFERROR(SMALL(AD47:AD127,ROW()-ROW($AD$130)+1),"")</f>
        <v>0</v>
      </c>
      <c r="AE148">
        <f>IFERROR(SMALL(AE47:AE127,ROW()-ROW($AE$130)+1),"")</f>
        <v>0</v>
      </c>
      <c r="AF148">
        <f>IFERROR(SMALL(AF47:AF127,ROW()-ROW($AF$130)+1),"")</f>
        <v>0</v>
      </c>
      <c r="AG148">
        <f>IFERROR(SMALL(AG47:AG127,ROW()-ROW($AG$130)+1),"")</f>
        <v>0</v>
      </c>
      <c r="AH148">
        <f>IFERROR(SMALL(AH47:AH127,ROW()-ROW($AH$130)+1),"")</f>
        <v>0</v>
      </c>
      <c r="AI148">
        <f>IFERROR(SMALL(AI47:AI127,ROW()-ROW($AI$130)+1),"")</f>
        <v>0</v>
      </c>
      <c r="AJ148">
        <f>IFERROR(SMALL(AJ47:AJ127,ROW()-ROW($AJ$130)+1),"")</f>
        <v>0</v>
      </c>
      <c r="AK148">
        <f>IFERROR(SMALL(AK47:AK127,ROW()-ROW($AK$130)+1),"")</f>
        <v>0</v>
      </c>
      <c r="AL148">
        <f>IFERROR(SMALL(AL47:AL127,ROW()-ROW($AL$130)+1),"")</f>
        <v>0</v>
      </c>
      <c r="AM148">
        <f>IFERROR(SMALL(AM47:AM127,ROW()-ROW($AM$130)+1),"")</f>
        <v>0</v>
      </c>
      <c r="AN148">
        <f>IFERROR(SMALL(AN47:AN127,ROW()-ROW($AN$130)+1),"")</f>
        <v>0</v>
      </c>
      <c r="AO148">
        <f>IFERROR(SMALL(AO47:AO127,ROW()-ROW($AO$130)+1),"")</f>
        <v>0</v>
      </c>
      <c r="AP148">
        <f>IFERROR(SMALL(AP47:AP127,ROW()-ROW($AP$130)+1),"")</f>
        <v>0</v>
      </c>
      <c r="AQ148">
        <f>IFERROR(SMALL(AQ47:AQ127,ROW()-ROW($AQ$130)+1),"")</f>
        <v>0</v>
      </c>
      <c r="AR148">
        <f>IFERROR(SMALL(AR47:AR127,ROW()-ROW($AR$130)+1),"")</f>
        <v>0</v>
      </c>
      <c r="AS148">
        <f>IFERROR(SMALL(AS47:AS127,ROW()-ROW($AS$130)+1),"")</f>
        <v>0</v>
      </c>
      <c r="AT148">
        <f>IFERROR(SMALL(AT47:AT127,ROW()-ROW($AT$130)+1),"")</f>
        <v>0</v>
      </c>
      <c r="AU148">
        <f>IFERROR(SMALL(AU47:AU127,ROW()-ROW($AU$130)+1),"")</f>
        <v>0</v>
      </c>
      <c r="AV148">
        <f>IFERROR(SMALL(AV47:AV127,ROW()-ROW($AV$130)+1),"")</f>
        <v>0</v>
      </c>
      <c r="AW148">
        <f>IFERROR(SMALL(AW47:AW127,ROW()-ROW($AW$130)+1),"")</f>
        <v>0</v>
      </c>
      <c r="AX148">
        <f>IFERROR(SMALL(AX47:AX127,ROW()-ROW($AX$130)+1),"")</f>
        <v>0</v>
      </c>
      <c r="AY148">
        <f>IFERROR(SMALL(AY47:AY127,ROW()-ROW($AY$130)+1),"")</f>
        <v>0</v>
      </c>
      <c r="AZ148">
        <f>IFERROR(SMALL(AZ47:AZ127,ROW()-ROW($AZ$130)+1),"")</f>
        <v>0</v>
      </c>
      <c r="BA148">
        <f>IFERROR(SMALL(BA47:BA127,ROW()-ROW($BA$130)+1),"")</f>
        <v>0</v>
      </c>
      <c r="BB148">
        <f>IFERROR(SMALL(BB47:BB127,ROW()-ROW($BB$130)+1),"")</f>
        <v>0</v>
      </c>
      <c r="BC148">
        <f>IFERROR(SMALL(BC47:BC127,ROW()-ROW($BC$130)+1),"")</f>
        <v>0</v>
      </c>
      <c r="BD148">
        <f>IFERROR(SMALL(BD47:BD127,ROW()-ROW($BD$130)+1),"")</f>
        <v>0</v>
      </c>
      <c r="BE148">
        <f>IFERROR(SMALL(BE47:BE127,ROW()-ROW($BE$130)+1),"")</f>
        <v>0</v>
      </c>
      <c r="BF148">
        <f>IFERROR(SMALL(BF47:BF127,ROW()-ROW($BF$130)+1),"")</f>
        <v>0</v>
      </c>
      <c r="BG148">
        <f>IFERROR(SMALL(BG47:BG127,ROW()-ROW($BG$130)+1),"")</f>
        <v>0</v>
      </c>
      <c r="BH148">
        <f>IFERROR(SMALL(BH47:BH127,ROW()-ROW($BH$130)+1),"")</f>
        <v>0</v>
      </c>
      <c r="BI148">
        <f>IFERROR(SMALL(BI47:BI127,ROW()-ROW($BI$130)+1),"")</f>
        <v>0</v>
      </c>
      <c r="BJ148">
        <f>IFERROR(SMALL(BJ47:BJ127,ROW()-ROW($BJ$130)+1),"")</f>
        <v>0</v>
      </c>
      <c r="BK148">
        <f>IFERROR(SMALL(BK47:BK127,ROW()-ROW($BK$130)+1),"")</f>
        <v>0</v>
      </c>
      <c r="BL148">
        <f>IFERROR(SMALL(BL47:BL127,ROW()-ROW($BL$130)+1),"")</f>
        <v>0</v>
      </c>
      <c r="BM148">
        <f>IFERROR(SMALL(BM47:BM127,ROW()-ROW($BM$130)+1),"")</f>
        <v>0</v>
      </c>
      <c r="BN148">
        <f>IFERROR(SMALL(BN47:BN127,ROW()-ROW($BN$130)+1),"")</f>
        <v>0</v>
      </c>
      <c r="BO148">
        <f>IFERROR(SMALL(BO47:BO127,ROW()-ROW($BO$130)+1),"")</f>
        <v>0</v>
      </c>
      <c r="BP148">
        <f>IFERROR(SMALL(BP47:BP127,ROW()-ROW($BP$130)+1),"")</f>
        <v>0</v>
      </c>
      <c r="BS148">
        <f>IFERROR(SMALL(BS47:BS127,ROW()-ROW($BS$130)+1),"")</f>
        <v>0</v>
      </c>
      <c r="BT148">
        <f>IFERROR(SMALL(BT47:BT127,ROW()-ROW($BT$130)+1),"")</f>
        <v>0</v>
      </c>
      <c r="BU148">
        <f>IFERROR(SMALL(BU47:BU127,ROW()-ROW($BU$130)+1),"")</f>
        <v>0</v>
      </c>
      <c r="BV148">
        <f>IFERROR(SMALL(BV47:BV127,ROW()-ROW($BV$130)+1),"")</f>
        <v>0</v>
      </c>
      <c r="BW148">
        <f>IFERROR(SMALL(BW47:BW127,ROW()-ROW($BW$130)+1),"")</f>
        <v>0</v>
      </c>
      <c r="BX148">
        <f>IFERROR(SMALL(BX47:BX127,ROW()-ROW($BX$130)+1),"")</f>
        <v>0</v>
      </c>
      <c r="BY148">
        <f>IFERROR(SMALL(BY47:BY127,ROW()-ROW($BY$130)+1),"")</f>
        <v>0</v>
      </c>
      <c r="BZ148">
        <f>IFERROR(SMALL(BZ47:BZ127,ROW()-ROW($BZ$130)+1),"")</f>
        <v>0</v>
      </c>
      <c r="CA148">
        <f>IFERROR(SMALL(CA47:CA127,ROW()-ROW($CA$130)+1),"")</f>
        <v>0</v>
      </c>
      <c r="CB148">
        <f>IFERROR(SMALL(CB47:CB127,ROW()-ROW($CB$130)+1),"")</f>
        <v>0</v>
      </c>
      <c r="CC148">
        <f>IFERROR(SMALL(CC47:CC127,ROW()-ROW($CC$130)+1),"")</f>
        <v>0</v>
      </c>
      <c r="CD148">
        <f>IFERROR(SMALL(CD47:CD127,ROW()-ROW($CD$130)+1),"")</f>
        <v>0</v>
      </c>
      <c r="CE148">
        <f>IFERROR(SMALL(CE47:CE127,ROW()-ROW($CE$130)+1),"")</f>
        <v>0</v>
      </c>
      <c r="CF148">
        <f>IFERROR(SMALL(CF47:CF127,ROW()-ROW($CF$130)+1),"")</f>
        <v>0</v>
      </c>
      <c r="CG148">
        <f>IFERROR(SMALL(CG47:CG127,ROW()-ROW($CG$130)+1),"")</f>
        <v>0</v>
      </c>
      <c r="CH148">
        <f>IFERROR(SMALL(CH47:CH127,ROW()-ROW($CH$130)+1),"")</f>
        <v>0</v>
      </c>
      <c r="CI148">
        <f>IFERROR(SMALL(CI47:CI127,ROW()-ROW($CI$130)+1),"")</f>
        <v>0</v>
      </c>
      <c r="CJ148">
        <f>IFERROR(SMALL(CJ47:CJ127,ROW()-ROW($CJ$130)+1),"")</f>
        <v>0</v>
      </c>
      <c r="CK148">
        <f>IFERROR(SMALL(CK47:CK127,ROW()-ROW($CK$130)+1),"")</f>
        <v>0</v>
      </c>
      <c r="CL148">
        <f>IFERROR(SMALL(CL47:CL127,ROW()-ROW($CL$130)+1),"")</f>
        <v>0</v>
      </c>
      <c r="CM148">
        <f>IFERROR(SMALL(CM47:CM127,ROW()-ROW($CM$130)+1),"")</f>
        <v>0</v>
      </c>
      <c r="CN148">
        <f>IFERROR(SMALL(CN47:CN127,ROW()-ROW($CN$130)+1),"")</f>
        <v>0</v>
      </c>
      <c r="CO148">
        <f>IFERROR(SMALL(CO47:CO127,ROW()-ROW($CO$130)+1),"")</f>
        <v>0</v>
      </c>
      <c r="CP148">
        <f>IFERROR(SMALL(CP47:CP127,ROW()-ROW($CP$130)+1),"")</f>
        <v>0</v>
      </c>
      <c r="CQ148">
        <f>IFERROR(SMALL(CQ47:CQ127,ROW()-ROW($CQ$130)+1),"")</f>
        <v>0</v>
      </c>
      <c r="CR148">
        <f>IFERROR(SMALL(CR47:CR127,ROW()-ROW($CR$130)+1),"")</f>
        <v>0</v>
      </c>
      <c r="CS148">
        <f>IFERROR(SMALL(CS47:CS127,ROW()-ROW($CS$130)+1),"")</f>
        <v>0</v>
      </c>
      <c r="CT148">
        <f>IFERROR(SMALL(CT47:CT127,ROW()-ROW($CT$130)+1),"")</f>
        <v>0</v>
      </c>
      <c r="CU148">
        <f>IFERROR(SMALL(CU47:CU127,ROW()-ROW($CU$130)+1),"")</f>
        <v>0</v>
      </c>
      <c r="CV148">
        <f>IFERROR(SMALL(CV47:CV127,ROW()-ROW($CV$130)+1),"")</f>
        <v>0</v>
      </c>
      <c r="CW148">
        <f>IFERROR(SMALL(CW47:CW127,ROW()-ROW($CW$130)+1),"")</f>
        <v>0</v>
      </c>
      <c r="CX148">
        <f>IFERROR(SMALL(CX47:CX127,ROW()-ROW($CX$130)+1),"")</f>
        <v>0</v>
      </c>
      <c r="CY148">
        <f>IFERROR(SMALL(CY47:CY127,ROW()-ROW($CY$130)+1),"")</f>
        <v>0</v>
      </c>
      <c r="CZ148">
        <f>IFERROR(SMALL(CZ47:CZ127,ROW()-ROW($CZ$130)+1),"")</f>
        <v>0</v>
      </c>
      <c r="DA148">
        <f>IFERROR(SMALL(DA47:DA127,ROW()-ROW($DA$130)+1),"")</f>
        <v>0</v>
      </c>
      <c r="DB148">
        <f>IFERROR(SMALL(DB47:DB127,ROW()-ROW($DB$130)+1),"")</f>
        <v>0</v>
      </c>
      <c r="DC148">
        <f>IFERROR(SMALL(DC47:DC127,ROW()-ROW($DC$130)+1),"")</f>
        <v>0</v>
      </c>
      <c r="DD148">
        <f>IFERROR(SMALL(DD47:DD127,ROW()-ROW($DD$130)+1),"")</f>
        <v>0</v>
      </c>
      <c r="DE148">
        <f>IFERROR(SMALL(DE47:DE127,ROW()-ROW($DE$130)+1),"")</f>
        <v>0</v>
      </c>
      <c r="DF148">
        <f>IFERROR(SMALL(DF47:DF127,ROW()-ROW($DF$130)+1),"")</f>
        <v>0</v>
      </c>
      <c r="DG148">
        <f>IFERROR(SMALL(DG47:DG127,ROW()-ROW($DG$130)+1),"")</f>
        <v>0</v>
      </c>
      <c r="DH148">
        <f>IFERROR(SMALL(DH47:DH127,ROW()-ROW($DH$130)+1),"")</f>
        <v>0</v>
      </c>
      <c r="DI148">
        <f>IFERROR(SMALL(DI47:DI127,ROW()-ROW($DI$130)+1),"")</f>
        <v>0</v>
      </c>
      <c r="DJ148">
        <f>IFERROR(SMALL(DJ47:DJ127,ROW()-ROW($DJ$130)+1),"")</f>
        <v>0</v>
      </c>
      <c r="DK148">
        <f>IFERROR(SMALL(DK47:DK127,ROW()-ROW($DK$130)+1),"")</f>
        <v>0</v>
      </c>
      <c r="DL148">
        <f>IFERROR(SMALL(DL47:DL127,ROW()-ROW($DL$130)+1),"")</f>
        <v>0</v>
      </c>
      <c r="DM148">
        <f>IFERROR(SMALL(DM47:DM127,ROW()-ROW($DM$130)+1),"")</f>
        <v>0</v>
      </c>
      <c r="DN148">
        <f>IFERROR(SMALL(DN47:DN127,ROW()-ROW($DN$130)+1),"")</f>
        <v>0</v>
      </c>
      <c r="DO148">
        <f>IFERROR(SMALL(DO47:DO127,ROW()-ROW($DO$130)+1),"")</f>
        <v>0</v>
      </c>
      <c r="DP148">
        <f>IFERROR(SMALL(DP47:DP127,ROW()-ROW($DP$130)+1),"")</f>
        <v>0</v>
      </c>
      <c r="DQ148">
        <f>IFERROR(SMALL(DQ47:DQ127,ROW()-ROW($DQ$130)+1),"")</f>
        <v>0</v>
      </c>
      <c r="DR148">
        <f>IFERROR(SMALL(DR47:DR127,ROW()-ROW($DR$130)+1),"")</f>
        <v>0</v>
      </c>
      <c r="DS148">
        <f>IFERROR(SMALL(DS47:DS127,ROW()-ROW($DS$130)+1),"")</f>
        <v>0</v>
      </c>
      <c r="DT148">
        <f>IFERROR(SMALL(DT47:DT127,ROW()-ROW($DT$130)+1),"")</f>
        <v>0</v>
      </c>
      <c r="DU148">
        <f>IFERROR(SMALL(DU47:DU127,ROW()-ROW($DU$130)+1),"")</f>
        <v>0</v>
      </c>
      <c r="DV148">
        <f>IFERROR(SMALL(DV47:DV127,ROW()-ROW($DV$130)+1),"")</f>
        <v>0</v>
      </c>
      <c r="DW148">
        <f>IFERROR(SMALL(DW47:DW127,ROW()-ROW($DW$130)+1),"")</f>
        <v>0</v>
      </c>
      <c r="DX148">
        <f>IFERROR(SMALL(DX47:DX127,ROW()-ROW($DX$130)+1),"")</f>
        <v>0</v>
      </c>
      <c r="DY148">
        <f>IFERROR(SMALL(DY47:DY127,ROW()-ROW($DY$130)+1),"")</f>
        <v>0</v>
      </c>
      <c r="DZ148">
        <f>IFERROR(SMALL(DZ47:DZ127,ROW()-ROW($DZ$130)+1),"")</f>
        <v>0</v>
      </c>
      <c r="EA148">
        <f>IFERROR(SMALL(EA47:EA127,ROW()-ROW($EA$130)+1),"")</f>
        <v>0</v>
      </c>
      <c r="EB148">
        <f>IFERROR(SMALL(EB47:EB127,ROW()-ROW($EB$130)+1),"")</f>
        <v>0</v>
      </c>
      <c r="EC148">
        <f>IFERROR(SMALL(EC47:EC127,ROW()-ROW($EC$130)+1),"")</f>
        <v>0</v>
      </c>
      <c r="ED148">
        <f>IFERROR(SMALL(ED47:ED127,ROW()-ROW($ED$130)+1),"")</f>
        <v>0</v>
      </c>
    </row>
    <row r="149" spans="5:134">
      <c r="E149">
        <f>IFERROR(SMALL(E47:E127,ROW()-ROW($E$130)+1),"")</f>
        <v>0</v>
      </c>
      <c r="F149">
        <f>IFERROR(SMALL(F47:F127,ROW()-ROW($F$130)+1),"")</f>
        <v>0</v>
      </c>
      <c r="G149">
        <f>IFERROR(SMALL(G47:G127,ROW()-ROW($G$130)+1),"")</f>
        <v>0</v>
      </c>
      <c r="H149">
        <f>IFERROR(SMALL(H47:H127,ROW()-ROW($H$130)+1),"")</f>
        <v>0</v>
      </c>
      <c r="I149">
        <f>IFERROR(SMALL(I47:I127,ROW()-ROW($I$130)+1),"")</f>
        <v>0</v>
      </c>
      <c r="J149">
        <f>IFERROR(SMALL(J47:J127,ROW()-ROW($J$130)+1),"")</f>
        <v>0</v>
      </c>
      <c r="K149">
        <f>IFERROR(SMALL(K47:K127,ROW()-ROW($K$130)+1),"")</f>
        <v>0</v>
      </c>
      <c r="L149">
        <f>IFERROR(SMALL(L47:L127,ROW()-ROW($L$130)+1),"")</f>
        <v>0</v>
      </c>
      <c r="M149">
        <f>IFERROR(SMALL(M47:M127,ROW()-ROW($M$130)+1),"")</f>
        <v>0</v>
      </c>
      <c r="N149">
        <f>IFERROR(SMALL(N47:N127,ROW()-ROW($N$130)+1),"")</f>
        <v>0</v>
      </c>
      <c r="O149">
        <f>IFERROR(SMALL(O47:O127,ROW()-ROW($O$130)+1),"")</f>
        <v>0</v>
      </c>
      <c r="P149">
        <f>IFERROR(SMALL(P47:P127,ROW()-ROW($P$130)+1),"")</f>
        <v>0</v>
      </c>
      <c r="Q149">
        <f>IFERROR(SMALL(Q47:Q127,ROW()-ROW($Q$130)+1),"")</f>
        <v>0</v>
      </c>
      <c r="R149">
        <f>IFERROR(SMALL(R47:R127,ROW()-ROW($R$130)+1),"")</f>
        <v>0</v>
      </c>
      <c r="S149">
        <f>IFERROR(SMALL(S47:S127,ROW()-ROW($S$130)+1),"")</f>
        <v>0</v>
      </c>
      <c r="T149">
        <f>IFERROR(SMALL(T47:T127,ROW()-ROW($T$130)+1),"")</f>
        <v>0</v>
      </c>
      <c r="U149">
        <f>IFERROR(SMALL(U47:U127,ROW()-ROW($U$130)+1),"")</f>
        <v>0</v>
      </c>
      <c r="V149">
        <f>IFERROR(SMALL(V47:V127,ROW()-ROW($V$130)+1),"")</f>
        <v>0</v>
      </c>
      <c r="W149">
        <f>IFERROR(SMALL(W47:W127,ROW()-ROW($W$130)+1),"")</f>
        <v>0</v>
      </c>
      <c r="X149">
        <f>IFERROR(SMALL(X47:X127,ROW()-ROW($X$130)+1),"")</f>
        <v>0</v>
      </c>
      <c r="Y149">
        <f>IFERROR(SMALL(Y47:Y127,ROW()-ROW($Y$130)+1),"")</f>
        <v>0</v>
      </c>
      <c r="Z149">
        <f>IFERROR(SMALL(Z47:Z127,ROW()-ROW($Z$130)+1),"")</f>
        <v>0</v>
      </c>
      <c r="AA149">
        <f>IFERROR(SMALL(AA47:AA127,ROW()-ROW($AA$130)+1),"")</f>
        <v>0</v>
      </c>
      <c r="AB149">
        <f>IFERROR(SMALL(AB47:AB127,ROW()-ROW($AB$130)+1),"")</f>
        <v>0</v>
      </c>
      <c r="AC149">
        <f>IFERROR(SMALL(AC47:AC127,ROW()-ROW($AC$130)+1),"")</f>
        <v>0</v>
      </c>
      <c r="AD149">
        <f>IFERROR(SMALL(AD47:AD127,ROW()-ROW($AD$130)+1),"")</f>
        <v>0</v>
      </c>
      <c r="AE149">
        <f>IFERROR(SMALL(AE47:AE127,ROW()-ROW($AE$130)+1),"")</f>
        <v>0</v>
      </c>
      <c r="AF149">
        <f>IFERROR(SMALL(AF47:AF127,ROW()-ROW($AF$130)+1),"")</f>
        <v>0</v>
      </c>
      <c r="AG149">
        <f>IFERROR(SMALL(AG47:AG127,ROW()-ROW($AG$130)+1),"")</f>
        <v>0</v>
      </c>
      <c r="AH149">
        <f>IFERROR(SMALL(AH47:AH127,ROW()-ROW($AH$130)+1),"")</f>
        <v>0</v>
      </c>
      <c r="AI149">
        <f>IFERROR(SMALL(AI47:AI127,ROW()-ROW($AI$130)+1),"")</f>
        <v>0</v>
      </c>
      <c r="AJ149">
        <f>IFERROR(SMALL(AJ47:AJ127,ROW()-ROW($AJ$130)+1),"")</f>
        <v>0</v>
      </c>
      <c r="AK149">
        <f>IFERROR(SMALL(AK47:AK127,ROW()-ROW($AK$130)+1),"")</f>
        <v>0</v>
      </c>
      <c r="AL149">
        <f>IFERROR(SMALL(AL47:AL127,ROW()-ROW($AL$130)+1),"")</f>
        <v>0</v>
      </c>
      <c r="AM149">
        <f>IFERROR(SMALL(AM47:AM127,ROW()-ROW($AM$130)+1),"")</f>
        <v>0</v>
      </c>
      <c r="AN149">
        <f>IFERROR(SMALL(AN47:AN127,ROW()-ROW($AN$130)+1),"")</f>
        <v>0</v>
      </c>
      <c r="AO149">
        <f>IFERROR(SMALL(AO47:AO127,ROW()-ROW($AO$130)+1),"")</f>
        <v>0</v>
      </c>
      <c r="AP149">
        <f>IFERROR(SMALL(AP47:AP127,ROW()-ROW($AP$130)+1),"")</f>
        <v>0</v>
      </c>
      <c r="AQ149">
        <f>IFERROR(SMALL(AQ47:AQ127,ROW()-ROW($AQ$130)+1),"")</f>
        <v>0</v>
      </c>
      <c r="AR149">
        <f>IFERROR(SMALL(AR47:AR127,ROW()-ROW($AR$130)+1),"")</f>
        <v>0</v>
      </c>
      <c r="AS149">
        <f>IFERROR(SMALL(AS47:AS127,ROW()-ROW($AS$130)+1),"")</f>
        <v>0</v>
      </c>
      <c r="AT149">
        <f>IFERROR(SMALL(AT47:AT127,ROW()-ROW($AT$130)+1),"")</f>
        <v>0</v>
      </c>
      <c r="AU149">
        <f>IFERROR(SMALL(AU47:AU127,ROW()-ROW($AU$130)+1),"")</f>
        <v>0</v>
      </c>
      <c r="AV149">
        <f>IFERROR(SMALL(AV47:AV127,ROW()-ROW($AV$130)+1),"")</f>
        <v>0</v>
      </c>
      <c r="AW149">
        <f>IFERROR(SMALL(AW47:AW127,ROW()-ROW($AW$130)+1),"")</f>
        <v>0</v>
      </c>
      <c r="AX149">
        <f>IFERROR(SMALL(AX47:AX127,ROW()-ROW($AX$130)+1),"")</f>
        <v>0</v>
      </c>
      <c r="AY149">
        <f>IFERROR(SMALL(AY47:AY127,ROW()-ROW($AY$130)+1),"")</f>
        <v>0</v>
      </c>
      <c r="AZ149">
        <f>IFERROR(SMALL(AZ47:AZ127,ROW()-ROW($AZ$130)+1),"")</f>
        <v>0</v>
      </c>
      <c r="BA149">
        <f>IFERROR(SMALL(BA47:BA127,ROW()-ROW($BA$130)+1),"")</f>
        <v>0</v>
      </c>
      <c r="BB149">
        <f>IFERROR(SMALL(BB47:BB127,ROW()-ROW($BB$130)+1),"")</f>
        <v>0</v>
      </c>
      <c r="BC149">
        <f>IFERROR(SMALL(BC47:BC127,ROW()-ROW($BC$130)+1),"")</f>
        <v>0</v>
      </c>
      <c r="BD149">
        <f>IFERROR(SMALL(BD47:BD127,ROW()-ROW($BD$130)+1),"")</f>
        <v>0</v>
      </c>
      <c r="BE149">
        <f>IFERROR(SMALL(BE47:BE127,ROW()-ROW($BE$130)+1),"")</f>
        <v>0</v>
      </c>
      <c r="BF149">
        <f>IFERROR(SMALL(BF47:BF127,ROW()-ROW($BF$130)+1),"")</f>
        <v>0</v>
      </c>
      <c r="BG149">
        <f>IFERROR(SMALL(BG47:BG127,ROW()-ROW($BG$130)+1),"")</f>
        <v>0</v>
      </c>
      <c r="BH149">
        <f>IFERROR(SMALL(BH47:BH127,ROW()-ROW($BH$130)+1),"")</f>
        <v>0</v>
      </c>
      <c r="BI149">
        <f>IFERROR(SMALL(BI47:BI127,ROW()-ROW($BI$130)+1),"")</f>
        <v>0</v>
      </c>
      <c r="BJ149">
        <f>IFERROR(SMALL(BJ47:BJ127,ROW()-ROW($BJ$130)+1),"")</f>
        <v>0</v>
      </c>
      <c r="BK149">
        <f>IFERROR(SMALL(BK47:BK127,ROW()-ROW($BK$130)+1),"")</f>
        <v>0</v>
      </c>
      <c r="BL149">
        <f>IFERROR(SMALL(BL47:BL127,ROW()-ROW($BL$130)+1),"")</f>
        <v>0</v>
      </c>
      <c r="BM149">
        <f>IFERROR(SMALL(BM47:BM127,ROW()-ROW($BM$130)+1),"")</f>
        <v>0</v>
      </c>
      <c r="BN149">
        <f>IFERROR(SMALL(BN47:BN127,ROW()-ROW($BN$130)+1),"")</f>
        <v>0</v>
      </c>
      <c r="BO149">
        <f>IFERROR(SMALL(BO47:BO127,ROW()-ROW($BO$130)+1),"")</f>
        <v>0</v>
      </c>
      <c r="BP149">
        <f>IFERROR(SMALL(BP47:BP127,ROW()-ROW($BP$130)+1),"")</f>
        <v>0</v>
      </c>
      <c r="BS149">
        <f>IFERROR(SMALL(BS47:BS127,ROW()-ROW($BS$130)+1),"")</f>
        <v>0</v>
      </c>
      <c r="BT149">
        <f>IFERROR(SMALL(BT47:BT127,ROW()-ROW($BT$130)+1),"")</f>
        <v>0</v>
      </c>
      <c r="BU149">
        <f>IFERROR(SMALL(BU47:BU127,ROW()-ROW($BU$130)+1),"")</f>
        <v>0</v>
      </c>
      <c r="BV149">
        <f>IFERROR(SMALL(BV47:BV127,ROW()-ROW($BV$130)+1),"")</f>
        <v>0</v>
      </c>
      <c r="BW149">
        <f>IFERROR(SMALL(BW47:BW127,ROW()-ROW($BW$130)+1),"")</f>
        <v>0</v>
      </c>
      <c r="BX149">
        <f>IFERROR(SMALL(BX47:BX127,ROW()-ROW($BX$130)+1),"")</f>
        <v>0</v>
      </c>
      <c r="BY149">
        <f>IFERROR(SMALL(BY47:BY127,ROW()-ROW($BY$130)+1),"")</f>
        <v>0</v>
      </c>
      <c r="BZ149">
        <f>IFERROR(SMALL(BZ47:BZ127,ROW()-ROW($BZ$130)+1),"")</f>
        <v>0</v>
      </c>
      <c r="CA149">
        <f>IFERROR(SMALL(CA47:CA127,ROW()-ROW($CA$130)+1),"")</f>
        <v>0</v>
      </c>
      <c r="CB149">
        <f>IFERROR(SMALL(CB47:CB127,ROW()-ROW($CB$130)+1),"")</f>
        <v>0</v>
      </c>
      <c r="CC149">
        <f>IFERROR(SMALL(CC47:CC127,ROW()-ROW($CC$130)+1),"")</f>
        <v>0</v>
      </c>
      <c r="CD149">
        <f>IFERROR(SMALL(CD47:CD127,ROW()-ROW($CD$130)+1),"")</f>
        <v>0</v>
      </c>
      <c r="CE149">
        <f>IFERROR(SMALL(CE47:CE127,ROW()-ROW($CE$130)+1),"")</f>
        <v>0</v>
      </c>
      <c r="CF149">
        <f>IFERROR(SMALL(CF47:CF127,ROW()-ROW($CF$130)+1),"")</f>
        <v>0</v>
      </c>
      <c r="CG149">
        <f>IFERROR(SMALL(CG47:CG127,ROW()-ROW($CG$130)+1),"")</f>
        <v>0</v>
      </c>
      <c r="CH149">
        <f>IFERROR(SMALL(CH47:CH127,ROW()-ROW($CH$130)+1),"")</f>
        <v>0</v>
      </c>
      <c r="CI149">
        <f>IFERROR(SMALL(CI47:CI127,ROW()-ROW($CI$130)+1),"")</f>
        <v>0</v>
      </c>
      <c r="CJ149">
        <f>IFERROR(SMALL(CJ47:CJ127,ROW()-ROW($CJ$130)+1),"")</f>
        <v>0</v>
      </c>
      <c r="CK149">
        <f>IFERROR(SMALL(CK47:CK127,ROW()-ROW($CK$130)+1),"")</f>
        <v>0</v>
      </c>
      <c r="CL149">
        <f>IFERROR(SMALL(CL47:CL127,ROW()-ROW($CL$130)+1),"")</f>
        <v>0</v>
      </c>
      <c r="CM149">
        <f>IFERROR(SMALL(CM47:CM127,ROW()-ROW($CM$130)+1),"")</f>
        <v>0</v>
      </c>
      <c r="CN149">
        <f>IFERROR(SMALL(CN47:CN127,ROW()-ROW($CN$130)+1),"")</f>
        <v>0</v>
      </c>
      <c r="CO149">
        <f>IFERROR(SMALL(CO47:CO127,ROW()-ROW($CO$130)+1),"")</f>
        <v>0</v>
      </c>
      <c r="CP149">
        <f>IFERROR(SMALL(CP47:CP127,ROW()-ROW($CP$130)+1),"")</f>
        <v>0</v>
      </c>
      <c r="CQ149">
        <f>IFERROR(SMALL(CQ47:CQ127,ROW()-ROW($CQ$130)+1),"")</f>
        <v>0</v>
      </c>
      <c r="CR149">
        <f>IFERROR(SMALL(CR47:CR127,ROW()-ROW($CR$130)+1),"")</f>
        <v>0</v>
      </c>
      <c r="CS149">
        <f>IFERROR(SMALL(CS47:CS127,ROW()-ROW($CS$130)+1),"")</f>
        <v>0</v>
      </c>
      <c r="CT149">
        <f>IFERROR(SMALL(CT47:CT127,ROW()-ROW($CT$130)+1),"")</f>
        <v>0</v>
      </c>
      <c r="CU149">
        <f>IFERROR(SMALL(CU47:CU127,ROW()-ROW($CU$130)+1),"")</f>
        <v>0</v>
      </c>
      <c r="CV149">
        <f>IFERROR(SMALL(CV47:CV127,ROW()-ROW($CV$130)+1),"")</f>
        <v>0</v>
      </c>
      <c r="CW149">
        <f>IFERROR(SMALL(CW47:CW127,ROW()-ROW($CW$130)+1),"")</f>
        <v>0</v>
      </c>
      <c r="CX149">
        <f>IFERROR(SMALL(CX47:CX127,ROW()-ROW($CX$130)+1),"")</f>
        <v>0</v>
      </c>
      <c r="CY149">
        <f>IFERROR(SMALL(CY47:CY127,ROW()-ROW($CY$130)+1),"")</f>
        <v>0</v>
      </c>
      <c r="CZ149">
        <f>IFERROR(SMALL(CZ47:CZ127,ROW()-ROW($CZ$130)+1),"")</f>
        <v>0</v>
      </c>
      <c r="DA149">
        <f>IFERROR(SMALL(DA47:DA127,ROW()-ROW($DA$130)+1),"")</f>
        <v>0</v>
      </c>
      <c r="DB149">
        <f>IFERROR(SMALL(DB47:DB127,ROW()-ROW($DB$130)+1),"")</f>
        <v>0</v>
      </c>
      <c r="DC149">
        <f>IFERROR(SMALL(DC47:DC127,ROW()-ROW($DC$130)+1),"")</f>
        <v>0</v>
      </c>
      <c r="DD149">
        <f>IFERROR(SMALL(DD47:DD127,ROW()-ROW($DD$130)+1),"")</f>
        <v>0</v>
      </c>
      <c r="DE149">
        <f>IFERROR(SMALL(DE47:DE127,ROW()-ROW($DE$130)+1),"")</f>
        <v>0</v>
      </c>
      <c r="DF149">
        <f>IFERROR(SMALL(DF47:DF127,ROW()-ROW($DF$130)+1),"")</f>
        <v>0</v>
      </c>
      <c r="DG149">
        <f>IFERROR(SMALL(DG47:DG127,ROW()-ROW($DG$130)+1),"")</f>
        <v>0</v>
      </c>
      <c r="DH149">
        <f>IFERROR(SMALL(DH47:DH127,ROW()-ROW($DH$130)+1),"")</f>
        <v>0</v>
      </c>
      <c r="DI149">
        <f>IFERROR(SMALL(DI47:DI127,ROW()-ROW($DI$130)+1),"")</f>
        <v>0</v>
      </c>
      <c r="DJ149">
        <f>IFERROR(SMALL(DJ47:DJ127,ROW()-ROW($DJ$130)+1),"")</f>
        <v>0</v>
      </c>
      <c r="DK149">
        <f>IFERROR(SMALL(DK47:DK127,ROW()-ROW($DK$130)+1),"")</f>
        <v>0</v>
      </c>
      <c r="DL149">
        <f>IFERROR(SMALL(DL47:DL127,ROW()-ROW($DL$130)+1),"")</f>
        <v>0</v>
      </c>
      <c r="DM149">
        <f>IFERROR(SMALL(DM47:DM127,ROW()-ROW($DM$130)+1),"")</f>
        <v>0</v>
      </c>
      <c r="DN149">
        <f>IFERROR(SMALL(DN47:DN127,ROW()-ROW($DN$130)+1),"")</f>
        <v>0</v>
      </c>
      <c r="DO149">
        <f>IFERROR(SMALL(DO47:DO127,ROW()-ROW($DO$130)+1),"")</f>
        <v>0</v>
      </c>
      <c r="DP149">
        <f>IFERROR(SMALL(DP47:DP127,ROW()-ROW($DP$130)+1),"")</f>
        <v>0</v>
      </c>
      <c r="DQ149">
        <f>IFERROR(SMALL(DQ47:DQ127,ROW()-ROW($DQ$130)+1),"")</f>
        <v>0</v>
      </c>
      <c r="DR149">
        <f>IFERROR(SMALL(DR47:DR127,ROW()-ROW($DR$130)+1),"")</f>
        <v>0</v>
      </c>
      <c r="DS149">
        <f>IFERROR(SMALL(DS47:DS127,ROW()-ROW($DS$130)+1),"")</f>
        <v>0</v>
      </c>
      <c r="DT149">
        <f>IFERROR(SMALL(DT47:DT127,ROW()-ROW($DT$130)+1),"")</f>
        <v>0</v>
      </c>
      <c r="DU149">
        <f>IFERROR(SMALL(DU47:DU127,ROW()-ROW($DU$130)+1),"")</f>
        <v>0</v>
      </c>
      <c r="DV149">
        <f>IFERROR(SMALL(DV47:DV127,ROW()-ROW($DV$130)+1),"")</f>
        <v>0</v>
      </c>
      <c r="DW149">
        <f>IFERROR(SMALL(DW47:DW127,ROW()-ROW($DW$130)+1),"")</f>
        <v>0</v>
      </c>
      <c r="DX149">
        <f>IFERROR(SMALL(DX47:DX127,ROW()-ROW($DX$130)+1),"")</f>
        <v>0</v>
      </c>
      <c r="DY149">
        <f>IFERROR(SMALL(DY47:DY127,ROW()-ROW($DY$130)+1),"")</f>
        <v>0</v>
      </c>
      <c r="DZ149">
        <f>IFERROR(SMALL(DZ47:DZ127,ROW()-ROW($DZ$130)+1),"")</f>
        <v>0</v>
      </c>
      <c r="EA149">
        <f>IFERROR(SMALL(EA47:EA127,ROW()-ROW($EA$130)+1),"")</f>
        <v>0</v>
      </c>
      <c r="EB149">
        <f>IFERROR(SMALL(EB47:EB127,ROW()-ROW($EB$130)+1),"")</f>
        <v>0</v>
      </c>
      <c r="EC149">
        <f>IFERROR(SMALL(EC47:EC127,ROW()-ROW($EC$130)+1),"")</f>
        <v>0</v>
      </c>
      <c r="ED149">
        <f>IFERROR(SMALL(ED47:ED127,ROW()-ROW($ED$130)+1),"")</f>
        <v>0</v>
      </c>
    </row>
    <row r="150" spans="5:134">
      <c r="E150">
        <f>IFERROR(SMALL(E47:E127,ROW()-ROW($E$130)+1),"")</f>
        <v>0</v>
      </c>
      <c r="F150">
        <f>IFERROR(SMALL(F47:F127,ROW()-ROW($F$130)+1),"")</f>
        <v>0</v>
      </c>
      <c r="G150">
        <f>IFERROR(SMALL(G47:G127,ROW()-ROW($G$130)+1),"")</f>
        <v>0</v>
      </c>
      <c r="H150">
        <f>IFERROR(SMALL(H47:H127,ROW()-ROW($H$130)+1),"")</f>
        <v>0</v>
      </c>
      <c r="I150">
        <f>IFERROR(SMALL(I47:I127,ROW()-ROW($I$130)+1),"")</f>
        <v>0</v>
      </c>
      <c r="J150">
        <f>IFERROR(SMALL(J47:J127,ROW()-ROW($J$130)+1),"")</f>
        <v>0</v>
      </c>
      <c r="K150">
        <f>IFERROR(SMALL(K47:K127,ROW()-ROW($K$130)+1),"")</f>
        <v>0</v>
      </c>
      <c r="L150">
        <f>IFERROR(SMALL(L47:L127,ROW()-ROW($L$130)+1),"")</f>
        <v>0</v>
      </c>
      <c r="M150">
        <f>IFERROR(SMALL(M47:M127,ROW()-ROW($M$130)+1),"")</f>
        <v>0</v>
      </c>
      <c r="N150">
        <f>IFERROR(SMALL(N47:N127,ROW()-ROW($N$130)+1),"")</f>
        <v>0</v>
      </c>
      <c r="O150">
        <f>IFERROR(SMALL(O47:O127,ROW()-ROW($O$130)+1),"")</f>
        <v>0</v>
      </c>
      <c r="P150">
        <f>IFERROR(SMALL(P47:P127,ROW()-ROW($P$130)+1),"")</f>
        <v>0</v>
      </c>
      <c r="Q150">
        <f>IFERROR(SMALL(Q47:Q127,ROW()-ROW($Q$130)+1),"")</f>
        <v>0</v>
      </c>
      <c r="R150">
        <f>IFERROR(SMALL(R47:R127,ROW()-ROW($R$130)+1),"")</f>
        <v>0</v>
      </c>
      <c r="S150">
        <f>IFERROR(SMALL(S47:S127,ROW()-ROW($S$130)+1),"")</f>
        <v>0</v>
      </c>
      <c r="T150">
        <f>IFERROR(SMALL(T47:T127,ROW()-ROW($T$130)+1),"")</f>
        <v>0</v>
      </c>
      <c r="U150">
        <f>IFERROR(SMALL(U47:U127,ROW()-ROW($U$130)+1),"")</f>
        <v>0</v>
      </c>
      <c r="V150">
        <f>IFERROR(SMALL(V47:V127,ROW()-ROW($V$130)+1),"")</f>
        <v>0</v>
      </c>
      <c r="W150">
        <f>IFERROR(SMALL(W47:W127,ROW()-ROW($W$130)+1),"")</f>
        <v>0</v>
      </c>
      <c r="X150">
        <f>IFERROR(SMALL(X47:X127,ROW()-ROW($X$130)+1),"")</f>
        <v>0</v>
      </c>
      <c r="Y150">
        <f>IFERROR(SMALL(Y47:Y127,ROW()-ROW($Y$130)+1),"")</f>
        <v>0</v>
      </c>
      <c r="Z150">
        <f>IFERROR(SMALL(Z47:Z127,ROW()-ROW($Z$130)+1),"")</f>
        <v>0</v>
      </c>
      <c r="AA150">
        <f>IFERROR(SMALL(AA47:AA127,ROW()-ROW($AA$130)+1),"")</f>
        <v>0</v>
      </c>
      <c r="AB150">
        <f>IFERROR(SMALL(AB47:AB127,ROW()-ROW($AB$130)+1),"")</f>
        <v>0</v>
      </c>
      <c r="AC150">
        <f>IFERROR(SMALL(AC47:AC127,ROW()-ROW($AC$130)+1),"")</f>
        <v>0</v>
      </c>
      <c r="AD150">
        <f>IFERROR(SMALL(AD47:AD127,ROW()-ROW($AD$130)+1),"")</f>
        <v>0</v>
      </c>
      <c r="AE150">
        <f>IFERROR(SMALL(AE47:AE127,ROW()-ROW($AE$130)+1),"")</f>
        <v>0</v>
      </c>
      <c r="AF150">
        <f>IFERROR(SMALL(AF47:AF127,ROW()-ROW($AF$130)+1),"")</f>
        <v>0</v>
      </c>
      <c r="AG150">
        <f>IFERROR(SMALL(AG47:AG127,ROW()-ROW($AG$130)+1),"")</f>
        <v>0</v>
      </c>
      <c r="AH150">
        <f>IFERROR(SMALL(AH47:AH127,ROW()-ROW($AH$130)+1),"")</f>
        <v>0</v>
      </c>
      <c r="AI150">
        <f>IFERROR(SMALL(AI47:AI127,ROW()-ROW($AI$130)+1),"")</f>
        <v>0</v>
      </c>
      <c r="AJ150">
        <f>IFERROR(SMALL(AJ47:AJ127,ROW()-ROW($AJ$130)+1),"")</f>
        <v>0</v>
      </c>
      <c r="AK150">
        <f>IFERROR(SMALL(AK47:AK127,ROW()-ROW($AK$130)+1),"")</f>
        <v>0</v>
      </c>
      <c r="AL150">
        <f>IFERROR(SMALL(AL47:AL127,ROW()-ROW($AL$130)+1),"")</f>
        <v>0</v>
      </c>
      <c r="AM150">
        <f>IFERROR(SMALL(AM47:AM127,ROW()-ROW($AM$130)+1),"")</f>
        <v>0</v>
      </c>
      <c r="AN150">
        <f>IFERROR(SMALL(AN47:AN127,ROW()-ROW($AN$130)+1),"")</f>
        <v>0</v>
      </c>
      <c r="AO150">
        <f>IFERROR(SMALL(AO47:AO127,ROW()-ROW($AO$130)+1),"")</f>
        <v>0</v>
      </c>
      <c r="AP150">
        <f>IFERROR(SMALL(AP47:AP127,ROW()-ROW($AP$130)+1),"")</f>
        <v>0</v>
      </c>
      <c r="AQ150">
        <f>IFERROR(SMALL(AQ47:AQ127,ROW()-ROW($AQ$130)+1),"")</f>
        <v>0</v>
      </c>
      <c r="AR150">
        <f>IFERROR(SMALL(AR47:AR127,ROW()-ROW($AR$130)+1),"")</f>
        <v>0</v>
      </c>
      <c r="AS150">
        <f>IFERROR(SMALL(AS47:AS127,ROW()-ROW($AS$130)+1),"")</f>
        <v>0</v>
      </c>
      <c r="AT150">
        <f>IFERROR(SMALL(AT47:AT127,ROW()-ROW($AT$130)+1),"")</f>
        <v>0</v>
      </c>
      <c r="AU150">
        <f>IFERROR(SMALL(AU47:AU127,ROW()-ROW($AU$130)+1),"")</f>
        <v>0</v>
      </c>
      <c r="AV150">
        <f>IFERROR(SMALL(AV47:AV127,ROW()-ROW($AV$130)+1),"")</f>
        <v>0</v>
      </c>
      <c r="AW150">
        <f>IFERROR(SMALL(AW47:AW127,ROW()-ROW($AW$130)+1),"")</f>
        <v>0</v>
      </c>
      <c r="AX150">
        <f>IFERROR(SMALL(AX47:AX127,ROW()-ROW($AX$130)+1),"")</f>
        <v>0</v>
      </c>
      <c r="AY150">
        <f>IFERROR(SMALL(AY47:AY127,ROW()-ROW($AY$130)+1),"")</f>
        <v>0</v>
      </c>
      <c r="AZ150">
        <f>IFERROR(SMALL(AZ47:AZ127,ROW()-ROW($AZ$130)+1),"")</f>
        <v>0</v>
      </c>
      <c r="BA150">
        <f>IFERROR(SMALL(BA47:BA127,ROW()-ROW($BA$130)+1),"")</f>
        <v>0</v>
      </c>
      <c r="BB150">
        <f>IFERROR(SMALL(BB47:BB127,ROW()-ROW($BB$130)+1),"")</f>
        <v>0</v>
      </c>
      <c r="BC150">
        <f>IFERROR(SMALL(BC47:BC127,ROW()-ROW($BC$130)+1),"")</f>
        <v>0</v>
      </c>
      <c r="BD150">
        <f>IFERROR(SMALL(BD47:BD127,ROW()-ROW($BD$130)+1),"")</f>
        <v>0</v>
      </c>
      <c r="BE150">
        <f>IFERROR(SMALL(BE47:BE127,ROW()-ROW($BE$130)+1),"")</f>
        <v>0</v>
      </c>
      <c r="BF150">
        <f>IFERROR(SMALL(BF47:BF127,ROW()-ROW($BF$130)+1),"")</f>
        <v>0</v>
      </c>
      <c r="BG150">
        <f>IFERROR(SMALL(BG47:BG127,ROW()-ROW($BG$130)+1),"")</f>
        <v>0</v>
      </c>
      <c r="BH150">
        <f>IFERROR(SMALL(BH47:BH127,ROW()-ROW($BH$130)+1),"")</f>
        <v>0</v>
      </c>
      <c r="BI150">
        <f>IFERROR(SMALL(BI47:BI127,ROW()-ROW($BI$130)+1),"")</f>
        <v>0</v>
      </c>
      <c r="BJ150">
        <f>IFERROR(SMALL(BJ47:BJ127,ROW()-ROW($BJ$130)+1),"")</f>
        <v>0</v>
      </c>
      <c r="BK150">
        <f>IFERROR(SMALL(BK47:BK127,ROW()-ROW($BK$130)+1),"")</f>
        <v>0</v>
      </c>
      <c r="BL150">
        <f>IFERROR(SMALL(BL47:BL127,ROW()-ROW($BL$130)+1),"")</f>
        <v>0</v>
      </c>
      <c r="BM150">
        <f>IFERROR(SMALL(BM47:BM127,ROW()-ROW($BM$130)+1),"")</f>
        <v>0</v>
      </c>
      <c r="BN150">
        <f>IFERROR(SMALL(BN47:BN127,ROW()-ROW($BN$130)+1),"")</f>
        <v>0</v>
      </c>
      <c r="BO150">
        <f>IFERROR(SMALL(BO47:BO127,ROW()-ROW($BO$130)+1),"")</f>
        <v>0</v>
      </c>
      <c r="BP150">
        <f>IFERROR(SMALL(BP47:BP127,ROW()-ROW($BP$130)+1),"")</f>
        <v>0</v>
      </c>
      <c r="BS150">
        <f>IFERROR(SMALL(BS47:BS127,ROW()-ROW($BS$130)+1),"")</f>
        <v>0</v>
      </c>
      <c r="BT150">
        <f>IFERROR(SMALL(BT47:BT127,ROW()-ROW($BT$130)+1),"")</f>
        <v>0</v>
      </c>
      <c r="BU150">
        <f>IFERROR(SMALL(BU47:BU127,ROW()-ROW($BU$130)+1),"")</f>
        <v>0</v>
      </c>
      <c r="BV150">
        <f>IFERROR(SMALL(BV47:BV127,ROW()-ROW($BV$130)+1),"")</f>
        <v>0</v>
      </c>
      <c r="BW150">
        <f>IFERROR(SMALL(BW47:BW127,ROW()-ROW($BW$130)+1),"")</f>
        <v>0</v>
      </c>
      <c r="BX150">
        <f>IFERROR(SMALL(BX47:BX127,ROW()-ROW($BX$130)+1),"")</f>
        <v>0</v>
      </c>
      <c r="BY150">
        <f>IFERROR(SMALL(BY47:BY127,ROW()-ROW($BY$130)+1),"")</f>
        <v>0</v>
      </c>
      <c r="BZ150">
        <f>IFERROR(SMALL(BZ47:BZ127,ROW()-ROW($BZ$130)+1),"")</f>
        <v>0</v>
      </c>
      <c r="CA150">
        <f>IFERROR(SMALL(CA47:CA127,ROW()-ROW($CA$130)+1),"")</f>
        <v>0</v>
      </c>
      <c r="CB150">
        <f>IFERROR(SMALL(CB47:CB127,ROW()-ROW($CB$130)+1),"")</f>
        <v>0</v>
      </c>
      <c r="CC150">
        <f>IFERROR(SMALL(CC47:CC127,ROW()-ROW($CC$130)+1),"")</f>
        <v>0</v>
      </c>
      <c r="CD150">
        <f>IFERROR(SMALL(CD47:CD127,ROW()-ROW($CD$130)+1),"")</f>
        <v>0</v>
      </c>
      <c r="CE150">
        <f>IFERROR(SMALL(CE47:CE127,ROW()-ROW($CE$130)+1),"")</f>
        <v>0</v>
      </c>
      <c r="CF150">
        <f>IFERROR(SMALL(CF47:CF127,ROW()-ROW($CF$130)+1),"")</f>
        <v>0</v>
      </c>
      <c r="CG150">
        <f>IFERROR(SMALL(CG47:CG127,ROW()-ROW($CG$130)+1),"")</f>
        <v>0</v>
      </c>
      <c r="CH150">
        <f>IFERROR(SMALL(CH47:CH127,ROW()-ROW($CH$130)+1),"")</f>
        <v>0</v>
      </c>
      <c r="CI150">
        <f>IFERROR(SMALL(CI47:CI127,ROW()-ROW($CI$130)+1),"")</f>
        <v>0</v>
      </c>
      <c r="CJ150">
        <f>IFERROR(SMALL(CJ47:CJ127,ROW()-ROW($CJ$130)+1),"")</f>
        <v>0</v>
      </c>
      <c r="CK150">
        <f>IFERROR(SMALL(CK47:CK127,ROW()-ROW($CK$130)+1),"")</f>
        <v>0</v>
      </c>
      <c r="CL150">
        <f>IFERROR(SMALL(CL47:CL127,ROW()-ROW($CL$130)+1),"")</f>
        <v>0</v>
      </c>
      <c r="CM150">
        <f>IFERROR(SMALL(CM47:CM127,ROW()-ROW($CM$130)+1),"")</f>
        <v>0</v>
      </c>
      <c r="CN150">
        <f>IFERROR(SMALL(CN47:CN127,ROW()-ROW($CN$130)+1),"")</f>
        <v>0</v>
      </c>
      <c r="CO150">
        <f>IFERROR(SMALL(CO47:CO127,ROW()-ROW($CO$130)+1),"")</f>
        <v>0</v>
      </c>
      <c r="CP150">
        <f>IFERROR(SMALL(CP47:CP127,ROW()-ROW($CP$130)+1),"")</f>
        <v>0</v>
      </c>
      <c r="CQ150">
        <f>IFERROR(SMALL(CQ47:CQ127,ROW()-ROW($CQ$130)+1),"")</f>
        <v>0</v>
      </c>
      <c r="CR150">
        <f>IFERROR(SMALL(CR47:CR127,ROW()-ROW($CR$130)+1),"")</f>
        <v>0</v>
      </c>
      <c r="CS150">
        <f>IFERROR(SMALL(CS47:CS127,ROW()-ROW($CS$130)+1),"")</f>
        <v>0</v>
      </c>
      <c r="CT150">
        <f>IFERROR(SMALL(CT47:CT127,ROW()-ROW($CT$130)+1),"")</f>
        <v>0</v>
      </c>
      <c r="CU150">
        <f>IFERROR(SMALL(CU47:CU127,ROW()-ROW($CU$130)+1),"")</f>
        <v>0</v>
      </c>
      <c r="CV150">
        <f>IFERROR(SMALL(CV47:CV127,ROW()-ROW($CV$130)+1),"")</f>
        <v>0</v>
      </c>
      <c r="CW150">
        <f>IFERROR(SMALL(CW47:CW127,ROW()-ROW($CW$130)+1),"")</f>
        <v>0</v>
      </c>
      <c r="CX150">
        <f>IFERROR(SMALL(CX47:CX127,ROW()-ROW($CX$130)+1),"")</f>
        <v>0</v>
      </c>
      <c r="CY150">
        <f>IFERROR(SMALL(CY47:CY127,ROW()-ROW($CY$130)+1),"")</f>
        <v>0</v>
      </c>
      <c r="CZ150">
        <f>IFERROR(SMALL(CZ47:CZ127,ROW()-ROW($CZ$130)+1),"")</f>
        <v>0</v>
      </c>
      <c r="DA150">
        <f>IFERROR(SMALL(DA47:DA127,ROW()-ROW($DA$130)+1),"")</f>
        <v>0</v>
      </c>
      <c r="DB150">
        <f>IFERROR(SMALL(DB47:DB127,ROW()-ROW($DB$130)+1),"")</f>
        <v>0</v>
      </c>
      <c r="DC150">
        <f>IFERROR(SMALL(DC47:DC127,ROW()-ROW($DC$130)+1),"")</f>
        <v>0</v>
      </c>
      <c r="DD150">
        <f>IFERROR(SMALL(DD47:DD127,ROW()-ROW($DD$130)+1),"")</f>
        <v>0</v>
      </c>
      <c r="DE150">
        <f>IFERROR(SMALL(DE47:DE127,ROW()-ROW($DE$130)+1),"")</f>
        <v>0</v>
      </c>
      <c r="DF150">
        <f>IFERROR(SMALL(DF47:DF127,ROW()-ROW($DF$130)+1),"")</f>
        <v>0</v>
      </c>
      <c r="DG150">
        <f>IFERROR(SMALL(DG47:DG127,ROW()-ROW($DG$130)+1),"")</f>
        <v>0</v>
      </c>
      <c r="DH150">
        <f>IFERROR(SMALL(DH47:DH127,ROW()-ROW($DH$130)+1),"")</f>
        <v>0</v>
      </c>
      <c r="DI150">
        <f>IFERROR(SMALL(DI47:DI127,ROW()-ROW($DI$130)+1),"")</f>
        <v>0</v>
      </c>
      <c r="DJ150">
        <f>IFERROR(SMALL(DJ47:DJ127,ROW()-ROW($DJ$130)+1),"")</f>
        <v>0</v>
      </c>
      <c r="DK150">
        <f>IFERROR(SMALL(DK47:DK127,ROW()-ROW($DK$130)+1),"")</f>
        <v>0</v>
      </c>
      <c r="DL150">
        <f>IFERROR(SMALL(DL47:DL127,ROW()-ROW($DL$130)+1),"")</f>
        <v>0</v>
      </c>
      <c r="DM150">
        <f>IFERROR(SMALL(DM47:DM127,ROW()-ROW($DM$130)+1),"")</f>
        <v>0</v>
      </c>
      <c r="DN150">
        <f>IFERROR(SMALL(DN47:DN127,ROW()-ROW($DN$130)+1),"")</f>
        <v>0</v>
      </c>
      <c r="DO150">
        <f>IFERROR(SMALL(DO47:DO127,ROW()-ROW($DO$130)+1),"")</f>
        <v>0</v>
      </c>
      <c r="DP150">
        <f>IFERROR(SMALL(DP47:DP127,ROW()-ROW($DP$130)+1),"")</f>
        <v>0</v>
      </c>
      <c r="DQ150">
        <f>IFERROR(SMALL(DQ47:DQ127,ROW()-ROW($DQ$130)+1),"")</f>
        <v>0</v>
      </c>
      <c r="DR150">
        <f>IFERROR(SMALL(DR47:DR127,ROW()-ROW($DR$130)+1),"")</f>
        <v>0</v>
      </c>
      <c r="DS150">
        <f>IFERROR(SMALL(DS47:DS127,ROW()-ROW($DS$130)+1),"")</f>
        <v>0</v>
      </c>
      <c r="DT150">
        <f>IFERROR(SMALL(DT47:DT127,ROW()-ROW($DT$130)+1),"")</f>
        <v>0</v>
      </c>
      <c r="DU150">
        <f>IFERROR(SMALL(DU47:DU127,ROW()-ROW($DU$130)+1),"")</f>
        <v>0</v>
      </c>
      <c r="DV150">
        <f>IFERROR(SMALL(DV47:DV127,ROW()-ROW($DV$130)+1),"")</f>
        <v>0</v>
      </c>
      <c r="DW150">
        <f>IFERROR(SMALL(DW47:DW127,ROW()-ROW($DW$130)+1),"")</f>
        <v>0</v>
      </c>
      <c r="DX150">
        <f>IFERROR(SMALL(DX47:DX127,ROW()-ROW($DX$130)+1),"")</f>
        <v>0</v>
      </c>
      <c r="DY150">
        <f>IFERROR(SMALL(DY47:DY127,ROW()-ROW($DY$130)+1),"")</f>
        <v>0</v>
      </c>
      <c r="DZ150">
        <f>IFERROR(SMALL(DZ47:DZ127,ROW()-ROW($DZ$130)+1),"")</f>
        <v>0</v>
      </c>
      <c r="EA150">
        <f>IFERROR(SMALL(EA47:EA127,ROW()-ROW($EA$130)+1),"")</f>
        <v>0</v>
      </c>
      <c r="EB150">
        <f>IFERROR(SMALL(EB47:EB127,ROW()-ROW($EB$130)+1),"")</f>
        <v>0</v>
      </c>
      <c r="EC150">
        <f>IFERROR(SMALL(EC47:EC127,ROW()-ROW($EC$130)+1),"")</f>
        <v>0</v>
      </c>
      <c r="ED150">
        <f>IFERROR(SMALL(ED47:ED127,ROW()-ROW($ED$130)+1),"")</f>
        <v>0</v>
      </c>
    </row>
    <row r="151" spans="5:134">
      <c r="E151">
        <f>IFERROR(SMALL(E47:E127,ROW()-ROW($E$130)+1),"")</f>
        <v>0</v>
      </c>
      <c r="F151">
        <f>IFERROR(SMALL(F47:F127,ROW()-ROW($F$130)+1),"")</f>
        <v>0</v>
      </c>
      <c r="G151">
        <f>IFERROR(SMALL(G47:G127,ROW()-ROW($G$130)+1),"")</f>
        <v>0</v>
      </c>
      <c r="H151">
        <f>IFERROR(SMALL(H47:H127,ROW()-ROW($H$130)+1),"")</f>
        <v>0</v>
      </c>
      <c r="I151">
        <f>IFERROR(SMALL(I47:I127,ROW()-ROW($I$130)+1),"")</f>
        <v>0</v>
      </c>
      <c r="J151">
        <f>IFERROR(SMALL(J47:J127,ROW()-ROW($J$130)+1),"")</f>
        <v>0</v>
      </c>
      <c r="K151">
        <f>IFERROR(SMALL(K47:K127,ROW()-ROW($K$130)+1),"")</f>
        <v>0</v>
      </c>
      <c r="L151">
        <f>IFERROR(SMALL(L47:L127,ROW()-ROW($L$130)+1),"")</f>
        <v>0</v>
      </c>
      <c r="M151">
        <f>IFERROR(SMALL(M47:M127,ROW()-ROW($M$130)+1),"")</f>
        <v>0</v>
      </c>
      <c r="N151">
        <f>IFERROR(SMALL(N47:N127,ROW()-ROW($N$130)+1),"")</f>
        <v>0</v>
      </c>
      <c r="O151">
        <f>IFERROR(SMALL(O47:O127,ROW()-ROW($O$130)+1),"")</f>
        <v>0</v>
      </c>
      <c r="P151">
        <f>IFERROR(SMALL(P47:P127,ROW()-ROW($P$130)+1),"")</f>
        <v>0</v>
      </c>
      <c r="Q151">
        <f>IFERROR(SMALL(Q47:Q127,ROW()-ROW($Q$130)+1),"")</f>
        <v>0</v>
      </c>
      <c r="R151">
        <f>IFERROR(SMALL(R47:R127,ROW()-ROW($R$130)+1),"")</f>
        <v>0</v>
      </c>
      <c r="S151">
        <f>IFERROR(SMALL(S47:S127,ROW()-ROW($S$130)+1),"")</f>
        <v>0</v>
      </c>
      <c r="T151">
        <f>IFERROR(SMALL(T47:T127,ROW()-ROW($T$130)+1),"")</f>
        <v>0</v>
      </c>
      <c r="U151">
        <f>IFERROR(SMALL(U47:U127,ROW()-ROW($U$130)+1),"")</f>
        <v>0</v>
      </c>
      <c r="V151">
        <f>IFERROR(SMALL(V47:V127,ROW()-ROW($V$130)+1),"")</f>
        <v>0</v>
      </c>
      <c r="W151">
        <f>IFERROR(SMALL(W47:W127,ROW()-ROW($W$130)+1),"")</f>
        <v>0</v>
      </c>
      <c r="X151">
        <f>IFERROR(SMALL(X47:X127,ROW()-ROW($X$130)+1),"")</f>
        <v>0</v>
      </c>
      <c r="Y151">
        <f>IFERROR(SMALL(Y47:Y127,ROW()-ROW($Y$130)+1),"")</f>
        <v>0</v>
      </c>
      <c r="Z151">
        <f>IFERROR(SMALL(Z47:Z127,ROW()-ROW($Z$130)+1),"")</f>
        <v>0</v>
      </c>
      <c r="AA151">
        <f>IFERROR(SMALL(AA47:AA127,ROW()-ROW($AA$130)+1),"")</f>
        <v>0</v>
      </c>
      <c r="AB151">
        <f>IFERROR(SMALL(AB47:AB127,ROW()-ROW($AB$130)+1),"")</f>
        <v>0</v>
      </c>
      <c r="AC151">
        <f>IFERROR(SMALL(AC47:AC127,ROW()-ROW($AC$130)+1),"")</f>
        <v>0</v>
      </c>
      <c r="AD151">
        <f>IFERROR(SMALL(AD47:AD127,ROW()-ROW($AD$130)+1),"")</f>
        <v>0</v>
      </c>
      <c r="AE151">
        <f>IFERROR(SMALL(AE47:AE127,ROW()-ROW($AE$130)+1),"")</f>
        <v>0</v>
      </c>
      <c r="AF151">
        <f>IFERROR(SMALL(AF47:AF127,ROW()-ROW($AF$130)+1),"")</f>
        <v>0</v>
      </c>
      <c r="AG151">
        <f>IFERROR(SMALL(AG47:AG127,ROW()-ROW($AG$130)+1),"")</f>
        <v>0</v>
      </c>
      <c r="AH151">
        <f>IFERROR(SMALL(AH47:AH127,ROW()-ROW($AH$130)+1),"")</f>
        <v>0</v>
      </c>
      <c r="AI151">
        <f>IFERROR(SMALL(AI47:AI127,ROW()-ROW($AI$130)+1),"")</f>
        <v>0</v>
      </c>
      <c r="AJ151">
        <f>IFERROR(SMALL(AJ47:AJ127,ROW()-ROW($AJ$130)+1),"")</f>
        <v>0</v>
      </c>
      <c r="AK151">
        <f>IFERROR(SMALL(AK47:AK127,ROW()-ROW($AK$130)+1),"")</f>
        <v>0</v>
      </c>
      <c r="AL151">
        <f>IFERROR(SMALL(AL47:AL127,ROW()-ROW($AL$130)+1),"")</f>
        <v>0</v>
      </c>
      <c r="AM151">
        <f>IFERROR(SMALL(AM47:AM127,ROW()-ROW($AM$130)+1),"")</f>
        <v>0</v>
      </c>
      <c r="AN151">
        <f>IFERROR(SMALL(AN47:AN127,ROW()-ROW($AN$130)+1),"")</f>
        <v>0</v>
      </c>
      <c r="AO151">
        <f>IFERROR(SMALL(AO47:AO127,ROW()-ROW($AO$130)+1),"")</f>
        <v>0</v>
      </c>
      <c r="AP151">
        <f>IFERROR(SMALL(AP47:AP127,ROW()-ROW($AP$130)+1),"")</f>
        <v>0</v>
      </c>
      <c r="AQ151">
        <f>IFERROR(SMALL(AQ47:AQ127,ROW()-ROW($AQ$130)+1),"")</f>
        <v>0</v>
      </c>
      <c r="AR151">
        <f>IFERROR(SMALL(AR47:AR127,ROW()-ROW($AR$130)+1),"")</f>
        <v>0</v>
      </c>
      <c r="AS151">
        <f>IFERROR(SMALL(AS47:AS127,ROW()-ROW($AS$130)+1),"")</f>
        <v>0</v>
      </c>
      <c r="AT151">
        <f>IFERROR(SMALL(AT47:AT127,ROW()-ROW($AT$130)+1),"")</f>
        <v>0</v>
      </c>
      <c r="AU151">
        <f>IFERROR(SMALL(AU47:AU127,ROW()-ROW($AU$130)+1),"")</f>
        <v>0</v>
      </c>
      <c r="AV151">
        <f>IFERROR(SMALL(AV47:AV127,ROW()-ROW($AV$130)+1),"")</f>
        <v>0</v>
      </c>
      <c r="AW151">
        <f>IFERROR(SMALL(AW47:AW127,ROW()-ROW($AW$130)+1),"")</f>
        <v>0</v>
      </c>
      <c r="AX151">
        <f>IFERROR(SMALL(AX47:AX127,ROW()-ROW($AX$130)+1),"")</f>
        <v>0</v>
      </c>
      <c r="AY151">
        <f>IFERROR(SMALL(AY47:AY127,ROW()-ROW($AY$130)+1),"")</f>
        <v>0</v>
      </c>
      <c r="AZ151">
        <f>IFERROR(SMALL(AZ47:AZ127,ROW()-ROW($AZ$130)+1),"")</f>
        <v>0</v>
      </c>
      <c r="BA151">
        <f>IFERROR(SMALL(BA47:BA127,ROW()-ROW($BA$130)+1),"")</f>
        <v>0</v>
      </c>
      <c r="BB151">
        <f>IFERROR(SMALL(BB47:BB127,ROW()-ROW($BB$130)+1),"")</f>
        <v>0</v>
      </c>
      <c r="BC151">
        <f>IFERROR(SMALL(BC47:BC127,ROW()-ROW($BC$130)+1),"")</f>
        <v>0</v>
      </c>
      <c r="BD151">
        <f>IFERROR(SMALL(BD47:BD127,ROW()-ROW($BD$130)+1),"")</f>
        <v>0</v>
      </c>
      <c r="BE151">
        <f>IFERROR(SMALL(BE47:BE127,ROW()-ROW($BE$130)+1),"")</f>
        <v>0</v>
      </c>
      <c r="BF151">
        <f>IFERROR(SMALL(BF47:BF127,ROW()-ROW($BF$130)+1),"")</f>
        <v>0</v>
      </c>
      <c r="BG151">
        <f>IFERROR(SMALL(BG47:BG127,ROW()-ROW($BG$130)+1),"")</f>
        <v>0</v>
      </c>
      <c r="BH151">
        <f>IFERROR(SMALL(BH47:BH127,ROW()-ROW($BH$130)+1),"")</f>
        <v>0</v>
      </c>
      <c r="BI151">
        <f>IFERROR(SMALL(BI47:BI127,ROW()-ROW($BI$130)+1),"")</f>
        <v>0</v>
      </c>
      <c r="BJ151">
        <f>IFERROR(SMALL(BJ47:BJ127,ROW()-ROW($BJ$130)+1),"")</f>
        <v>0</v>
      </c>
      <c r="BK151">
        <f>IFERROR(SMALL(BK47:BK127,ROW()-ROW($BK$130)+1),"")</f>
        <v>0</v>
      </c>
      <c r="BL151">
        <f>IFERROR(SMALL(BL47:BL127,ROW()-ROW($BL$130)+1),"")</f>
        <v>0</v>
      </c>
      <c r="BM151">
        <f>IFERROR(SMALL(BM47:BM127,ROW()-ROW($BM$130)+1),"")</f>
        <v>0</v>
      </c>
      <c r="BN151">
        <f>IFERROR(SMALL(BN47:BN127,ROW()-ROW($BN$130)+1),"")</f>
        <v>0</v>
      </c>
      <c r="BO151">
        <f>IFERROR(SMALL(BO47:BO127,ROW()-ROW($BO$130)+1),"")</f>
        <v>0</v>
      </c>
      <c r="BP151">
        <f>IFERROR(SMALL(BP47:BP127,ROW()-ROW($BP$130)+1),"")</f>
        <v>0</v>
      </c>
      <c r="BS151">
        <f>IFERROR(SMALL(BS47:BS127,ROW()-ROW($BS$130)+1),"")</f>
        <v>0</v>
      </c>
      <c r="BT151">
        <f>IFERROR(SMALL(BT47:BT127,ROW()-ROW($BT$130)+1),"")</f>
        <v>0</v>
      </c>
      <c r="BU151">
        <f>IFERROR(SMALL(BU47:BU127,ROW()-ROW($BU$130)+1),"")</f>
        <v>0</v>
      </c>
      <c r="BV151">
        <f>IFERROR(SMALL(BV47:BV127,ROW()-ROW($BV$130)+1),"")</f>
        <v>0</v>
      </c>
      <c r="BW151">
        <f>IFERROR(SMALL(BW47:BW127,ROW()-ROW($BW$130)+1),"")</f>
        <v>0</v>
      </c>
      <c r="BX151">
        <f>IFERROR(SMALL(BX47:BX127,ROW()-ROW($BX$130)+1),"")</f>
        <v>0</v>
      </c>
      <c r="BY151">
        <f>IFERROR(SMALL(BY47:BY127,ROW()-ROW($BY$130)+1),"")</f>
        <v>0</v>
      </c>
      <c r="BZ151">
        <f>IFERROR(SMALL(BZ47:BZ127,ROW()-ROW($BZ$130)+1),"")</f>
        <v>0</v>
      </c>
      <c r="CA151">
        <f>IFERROR(SMALL(CA47:CA127,ROW()-ROW($CA$130)+1),"")</f>
        <v>0</v>
      </c>
      <c r="CB151">
        <f>IFERROR(SMALL(CB47:CB127,ROW()-ROW($CB$130)+1),"")</f>
        <v>0</v>
      </c>
      <c r="CC151">
        <f>IFERROR(SMALL(CC47:CC127,ROW()-ROW($CC$130)+1),"")</f>
        <v>0</v>
      </c>
      <c r="CD151">
        <f>IFERROR(SMALL(CD47:CD127,ROW()-ROW($CD$130)+1),"")</f>
        <v>0</v>
      </c>
      <c r="CE151">
        <f>IFERROR(SMALL(CE47:CE127,ROW()-ROW($CE$130)+1),"")</f>
        <v>0</v>
      </c>
      <c r="CF151">
        <f>IFERROR(SMALL(CF47:CF127,ROW()-ROW($CF$130)+1),"")</f>
        <v>0</v>
      </c>
      <c r="CG151">
        <f>IFERROR(SMALL(CG47:CG127,ROW()-ROW($CG$130)+1),"")</f>
        <v>0</v>
      </c>
      <c r="CH151">
        <f>IFERROR(SMALL(CH47:CH127,ROW()-ROW($CH$130)+1),"")</f>
        <v>0</v>
      </c>
      <c r="CI151">
        <f>IFERROR(SMALL(CI47:CI127,ROW()-ROW($CI$130)+1),"")</f>
        <v>0</v>
      </c>
      <c r="CJ151">
        <f>IFERROR(SMALL(CJ47:CJ127,ROW()-ROW($CJ$130)+1),"")</f>
        <v>0</v>
      </c>
      <c r="CK151">
        <f>IFERROR(SMALL(CK47:CK127,ROW()-ROW($CK$130)+1),"")</f>
        <v>0</v>
      </c>
      <c r="CL151">
        <f>IFERROR(SMALL(CL47:CL127,ROW()-ROW($CL$130)+1),"")</f>
        <v>0</v>
      </c>
      <c r="CM151">
        <f>IFERROR(SMALL(CM47:CM127,ROW()-ROW($CM$130)+1),"")</f>
        <v>0</v>
      </c>
      <c r="CN151">
        <f>IFERROR(SMALL(CN47:CN127,ROW()-ROW($CN$130)+1),"")</f>
        <v>0</v>
      </c>
      <c r="CO151">
        <f>IFERROR(SMALL(CO47:CO127,ROW()-ROW($CO$130)+1),"")</f>
        <v>0</v>
      </c>
      <c r="CP151">
        <f>IFERROR(SMALL(CP47:CP127,ROW()-ROW($CP$130)+1),"")</f>
        <v>0</v>
      </c>
      <c r="CQ151">
        <f>IFERROR(SMALL(CQ47:CQ127,ROW()-ROW($CQ$130)+1),"")</f>
        <v>0</v>
      </c>
      <c r="CR151">
        <f>IFERROR(SMALL(CR47:CR127,ROW()-ROW($CR$130)+1),"")</f>
        <v>0</v>
      </c>
      <c r="CS151">
        <f>IFERROR(SMALL(CS47:CS127,ROW()-ROW($CS$130)+1),"")</f>
        <v>0</v>
      </c>
      <c r="CT151">
        <f>IFERROR(SMALL(CT47:CT127,ROW()-ROW($CT$130)+1),"")</f>
        <v>0</v>
      </c>
      <c r="CU151">
        <f>IFERROR(SMALL(CU47:CU127,ROW()-ROW($CU$130)+1),"")</f>
        <v>0</v>
      </c>
      <c r="CV151">
        <f>IFERROR(SMALL(CV47:CV127,ROW()-ROW($CV$130)+1),"")</f>
        <v>0</v>
      </c>
      <c r="CW151">
        <f>IFERROR(SMALL(CW47:CW127,ROW()-ROW($CW$130)+1),"")</f>
        <v>0</v>
      </c>
      <c r="CX151">
        <f>IFERROR(SMALL(CX47:CX127,ROW()-ROW($CX$130)+1),"")</f>
        <v>0</v>
      </c>
      <c r="CY151">
        <f>IFERROR(SMALL(CY47:CY127,ROW()-ROW($CY$130)+1),"")</f>
        <v>0</v>
      </c>
      <c r="CZ151">
        <f>IFERROR(SMALL(CZ47:CZ127,ROW()-ROW($CZ$130)+1),"")</f>
        <v>0</v>
      </c>
      <c r="DA151">
        <f>IFERROR(SMALL(DA47:DA127,ROW()-ROW($DA$130)+1),"")</f>
        <v>0</v>
      </c>
      <c r="DB151">
        <f>IFERROR(SMALL(DB47:DB127,ROW()-ROW($DB$130)+1),"")</f>
        <v>0</v>
      </c>
      <c r="DC151">
        <f>IFERROR(SMALL(DC47:DC127,ROW()-ROW($DC$130)+1),"")</f>
        <v>0</v>
      </c>
      <c r="DD151">
        <f>IFERROR(SMALL(DD47:DD127,ROW()-ROW($DD$130)+1),"")</f>
        <v>0</v>
      </c>
      <c r="DE151">
        <f>IFERROR(SMALL(DE47:DE127,ROW()-ROW($DE$130)+1),"")</f>
        <v>0</v>
      </c>
      <c r="DF151">
        <f>IFERROR(SMALL(DF47:DF127,ROW()-ROW($DF$130)+1),"")</f>
        <v>0</v>
      </c>
      <c r="DG151">
        <f>IFERROR(SMALL(DG47:DG127,ROW()-ROW($DG$130)+1),"")</f>
        <v>0</v>
      </c>
      <c r="DH151">
        <f>IFERROR(SMALL(DH47:DH127,ROW()-ROW($DH$130)+1),"")</f>
        <v>0</v>
      </c>
      <c r="DI151">
        <f>IFERROR(SMALL(DI47:DI127,ROW()-ROW($DI$130)+1),"")</f>
        <v>0</v>
      </c>
      <c r="DJ151">
        <f>IFERROR(SMALL(DJ47:DJ127,ROW()-ROW($DJ$130)+1),"")</f>
        <v>0</v>
      </c>
      <c r="DK151">
        <f>IFERROR(SMALL(DK47:DK127,ROW()-ROW($DK$130)+1),"")</f>
        <v>0</v>
      </c>
      <c r="DL151">
        <f>IFERROR(SMALL(DL47:DL127,ROW()-ROW($DL$130)+1),"")</f>
        <v>0</v>
      </c>
      <c r="DM151">
        <f>IFERROR(SMALL(DM47:DM127,ROW()-ROW($DM$130)+1),"")</f>
        <v>0</v>
      </c>
      <c r="DN151">
        <f>IFERROR(SMALL(DN47:DN127,ROW()-ROW($DN$130)+1),"")</f>
        <v>0</v>
      </c>
      <c r="DO151">
        <f>IFERROR(SMALL(DO47:DO127,ROW()-ROW($DO$130)+1),"")</f>
        <v>0</v>
      </c>
      <c r="DP151">
        <f>IFERROR(SMALL(DP47:DP127,ROW()-ROW($DP$130)+1),"")</f>
        <v>0</v>
      </c>
      <c r="DQ151">
        <f>IFERROR(SMALL(DQ47:DQ127,ROW()-ROW($DQ$130)+1),"")</f>
        <v>0</v>
      </c>
      <c r="DR151">
        <f>IFERROR(SMALL(DR47:DR127,ROW()-ROW($DR$130)+1),"")</f>
        <v>0</v>
      </c>
      <c r="DS151">
        <f>IFERROR(SMALL(DS47:DS127,ROW()-ROW($DS$130)+1),"")</f>
        <v>0</v>
      </c>
      <c r="DT151">
        <f>IFERROR(SMALL(DT47:DT127,ROW()-ROW($DT$130)+1),"")</f>
        <v>0</v>
      </c>
      <c r="DU151">
        <f>IFERROR(SMALL(DU47:DU127,ROW()-ROW($DU$130)+1),"")</f>
        <v>0</v>
      </c>
      <c r="DV151">
        <f>IFERROR(SMALL(DV47:DV127,ROW()-ROW($DV$130)+1),"")</f>
        <v>0</v>
      </c>
      <c r="DW151">
        <f>IFERROR(SMALL(DW47:DW127,ROW()-ROW($DW$130)+1),"")</f>
        <v>0</v>
      </c>
      <c r="DX151">
        <f>IFERROR(SMALL(DX47:DX127,ROW()-ROW($DX$130)+1),"")</f>
        <v>0</v>
      </c>
      <c r="DY151">
        <f>IFERROR(SMALL(DY47:DY127,ROW()-ROW($DY$130)+1),"")</f>
        <v>0</v>
      </c>
      <c r="DZ151">
        <f>IFERROR(SMALL(DZ47:DZ127,ROW()-ROW($DZ$130)+1),"")</f>
        <v>0</v>
      </c>
      <c r="EA151">
        <f>IFERROR(SMALL(EA47:EA127,ROW()-ROW($EA$130)+1),"")</f>
        <v>0</v>
      </c>
      <c r="EB151">
        <f>IFERROR(SMALL(EB47:EB127,ROW()-ROW($EB$130)+1),"")</f>
        <v>0</v>
      </c>
      <c r="EC151">
        <f>IFERROR(SMALL(EC47:EC127,ROW()-ROW($EC$130)+1),"")</f>
        <v>0</v>
      </c>
      <c r="ED151">
        <f>IFERROR(SMALL(ED47:ED127,ROW()-ROW($ED$130)+1),"")</f>
        <v>0</v>
      </c>
    </row>
    <row r="152" spans="5:134">
      <c r="E152">
        <f>IFERROR(SMALL(E47:E127,ROW()-ROW($E$130)+1),"")</f>
        <v>0</v>
      </c>
      <c r="F152">
        <f>IFERROR(SMALL(F47:F127,ROW()-ROW($F$130)+1),"")</f>
        <v>0</v>
      </c>
      <c r="G152">
        <f>IFERROR(SMALL(G47:G127,ROW()-ROW($G$130)+1),"")</f>
        <v>0</v>
      </c>
      <c r="H152">
        <f>IFERROR(SMALL(H47:H127,ROW()-ROW($H$130)+1),"")</f>
        <v>0</v>
      </c>
      <c r="I152">
        <f>IFERROR(SMALL(I47:I127,ROW()-ROW($I$130)+1),"")</f>
        <v>0</v>
      </c>
      <c r="J152">
        <f>IFERROR(SMALL(J47:J127,ROW()-ROW($J$130)+1),"")</f>
        <v>0</v>
      </c>
      <c r="K152">
        <f>IFERROR(SMALL(K47:K127,ROW()-ROW($K$130)+1),"")</f>
        <v>0</v>
      </c>
      <c r="L152">
        <f>IFERROR(SMALL(L47:L127,ROW()-ROW($L$130)+1),"")</f>
        <v>0</v>
      </c>
      <c r="M152">
        <f>IFERROR(SMALL(M47:M127,ROW()-ROW($M$130)+1),"")</f>
        <v>0</v>
      </c>
      <c r="N152">
        <f>IFERROR(SMALL(N47:N127,ROW()-ROW($N$130)+1),"")</f>
        <v>0</v>
      </c>
      <c r="O152">
        <f>IFERROR(SMALL(O47:O127,ROW()-ROW($O$130)+1),"")</f>
        <v>0</v>
      </c>
      <c r="P152">
        <f>IFERROR(SMALL(P47:P127,ROW()-ROW($P$130)+1),"")</f>
        <v>0</v>
      </c>
      <c r="Q152">
        <f>IFERROR(SMALL(Q47:Q127,ROW()-ROW($Q$130)+1),"")</f>
        <v>0</v>
      </c>
      <c r="R152">
        <f>IFERROR(SMALL(R47:R127,ROW()-ROW($R$130)+1),"")</f>
        <v>0</v>
      </c>
      <c r="S152">
        <f>IFERROR(SMALL(S47:S127,ROW()-ROW($S$130)+1),"")</f>
        <v>0</v>
      </c>
      <c r="T152">
        <f>IFERROR(SMALL(T47:T127,ROW()-ROW($T$130)+1),"")</f>
        <v>0</v>
      </c>
      <c r="U152">
        <f>IFERROR(SMALL(U47:U127,ROW()-ROW($U$130)+1),"")</f>
        <v>0</v>
      </c>
      <c r="V152">
        <f>IFERROR(SMALL(V47:V127,ROW()-ROW($V$130)+1),"")</f>
        <v>0</v>
      </c>
      <c r="W152">
        <f>IFERROR(SMALL(W47:W127,ROW()-ROW($W$130)+1),"")</f>
        <v>0</v>
      </c>
      <c r="X152">
        <f>IFERROR(SMALL(X47:X127,ROW()-ROW($X$130)+1),"")</f>
        <v>0</v>
      </c>
      <c r="Y152">
        <f>IFERROR(SMALL(Y47:Y127,ROW()-ROW($Y$130)+1),"")</f>
        <v>0</v>
      </c>
      <c r="Z152">
        <f>IFERROR(SMALL(Z47:Z127,ROW()-ROW($Z$130)+1),"")</f>
        <v>0</v>
      </c>
      <c r="AA152">
        <f>IFERROR(SMALL(AA47:AA127,ROW()-ROW($AA$130)+1),"")</f>
        <v>0</v>
      </c>
      <c r="AB152">
        <f>IFERROR(SMALL(AB47:AB127,ROW()-ROW($AB$130)+1),"")</f>
        <v>0</v>
      </c>
      <c r="AC152">
        <f>IFERROR(SMALL(AC47:AC127,ROW()-ROW($AC$130)+1),"")</f>
        <v>0</v>
      </c>
      <c r="AD152">
        <f>IFERROR(SMALL(AD47:AD127,ROW()-ROW($AD$130)+1),"")</f>
        <v>0</v>
      </c>
      <c r="AE152">
        <f>IFERROR(SMALL(AE47:AE127,ROW()-ROW($AE$130)+1),"")</f>
        <v>0</v>
      </c>
      <c r="AF152">
        <f>IFERROR(SMALL(AF47:AF127,ROW()-ROW($AF$130)+1),"")</f>
        <v>0</v>
      </c>
      <c r="AG152">
        <f>IFERROR(SMALL(AG47:AG127,ROW()-ROW($AG$130)+1),"")</f>
        <v>0</v>
      </c>
      <c r="AH152">
        <f>IFERROR(SMALL(AH47:AH127,ROW()-ROW($AH$130)+1),"")</f>
        <v>0</v>
      </c>
      <c r="AI152">
        <f>IFERROR(SMALL(AI47:AI127,ROW()-ROW($AI$130)+1),"")</f>
        <v>0</v>
      </c>
      <c r="AJ152">
        <f>IFERROR(SMALL(AJ47:AJ127,ROW()-ROW($AJ$130)+1),"")</f>
        <v>0</v>
      </c>
      <c r="AK152">
        <f>IFERROR(SMALL(AK47:AK127,ROW()-ROW($AK$130)+1),"")</f>
        <v>0</v>
      </c>
      <c r="AL152">
        <f>IFERROR(SMALL(AL47:AL127,ROW()-ROW($AL$130)+1),"")</f>
        <v>0</v>
      </c>
      <c r="AM152">
        <f>IFERROR(SMALL(AM47:AM127,ROW()-ROW($AM$130)+1),"")</f>
        <v>0</v>
      </c>
      <c r="AN152">
        <f>IFERROR(SMALL(AN47:AN127,ROW()-ROW($AN$130)+1),"")</f>
        <v>0</v>
      </c>
      <c r="AO152">
        <f>IFERROR(SMALL(AO47:AO127,ROW()-ROW($AO$130)+1),"")</f>
        <v>0</v>
      </c>
      <c r="AP152">
        <f>IFERROR(SMALL(AP47:AP127,ROW()-ROW($AP$130)+1),"")</f>
        <v>0</v>
      </c>
      <c r="AQ152">
        <f>IFERROR(SMALL(AQ47:AQ127,ROW()-ROW($AQ$130)+1),"")</f>
        <v>0</v>
      </c>
      <c r="AR152">
        <f>IFERROR(SMALL(AR47:AR127,ROW()-ROW($AR$130)+1),"")</f>
        <v>0</v>
      </c>
      <c r="AS152">
        <f>IFERROR(SMALL(AS47:AS127,ROW()-ROW($AS$130)+1),"")</f>
        <v>0</v>
      </c>
      <c r="AT152">
        <f>IFERROR(SMALL(AT47:AT127,ROW()-ROW($AT$130)+1),"")</f>
        <v>0</v>
      </c>
      <c r="AU152">
        <f>IFERROR(SMALL(AU47:AU127,ROW()-ROW($AU$130)+1),"")</f>
        <v>0</v>
      </c>
      <c r="AV152">
        <f>IFERROR(SMALL(AV47:AV127,ROW()-ROW($AV$130)+1),"")</f>
        <v>0</v>
      </c>
      <c r="AW152">
        <f>IFERROR(SMALL(AW47:AW127,ROW()-ROW($AW$130)+1),"")</f>
        <v>0</v>
      </c>
      <c r="AX152">
        <f>IFERROR(SMALL(AX47:AX127,ROW()-ROW($AX$130)+1),"")</f>
        <v>0</v>
      </c>
      <c r="AY152">
        <f>IFERROR(SMALL(AY47:AY127,ROW()-ROW($AY$130)+1),"")</f>
        <v>0</v>
      </c>
      <c r="AZ152">
        <f>IFERROR(SMALL(AZ47:AZ127,ROW()-ROW($AZ$130)+1),"")</f>
        <v>0</v>
      </c>
      <c r="BA152">
        <f>IFERROR(SMALL(BA47:BA127,ROW()-ROW($BA$130)+1),"")</f>
        <v>0</v>
      </c>
      <c r="BB152">
        <f>IFERROR(SMALL(BB47:BB127,ROW()-ROW($BB$130)+1),"")</f>
        <v>0</v>
      </c>
      <c r="BC152">
        <f>IFERROR(SMALL(BC47:BC127,ROW()-ROW($BC$130)+1),"")</f>
        <v>0</v>
      </c>
      <c r="BD152">
        <f>IFERROR(SMALL(BD47:BD127,ROW()-ROW($BD$130)+1),"")</f>
        <v>0</v>
      </c>
      <c r="BE152">
        <f>IFERROR(SMALL(BE47:BE127,ROW()-ROW($BE$130)+1),"")</f>
        <v>0</v>
      </c>
      <c r="BF152">
        <f>IFERROR(SMALL(BF47:BF127,ROW()-ROW($BF$130)+1),"")</f>
        <v>0</v>
      </c>
      <c r="BG152">
        <f>IFERROR(SMALL(BG47:BG127,ROW()-ROW($BG$130)+1),"")</f>
        <v>0</v>
      </c>
      <c r="BH152">
        <f>IFERROR(SMALL(BH47:BH127,ROW()-ROW($BH$130)+1),"")</f>
        <v>0</v>
      </c>
      <c r="BI152">
        <f>IFERROR(SMALL(BI47:BI127,ROW()-ROW($BI$130)+1),"")</f>
        <v>0</v>
      </c>
      <c r="BJ152">
        <f>IFERROR(SMALL(BJ47:BJ127,ROW()-ROW($BJ$130)+1),"")</f>
        <v>0</v>
      </c>
      <c r="BK152">
        <f>IFERROR(SMALL(BK47:BK127,ROW()-ROW($BK$130)+1),"")</f>
        <v>0</v>
      </c>
      <c r="BL152">
        <f>IFERROR(SMALL(BL47:BL127,ROW()-ROW($BL$130)+1),"")</f>
        <v>0</v>
      </c>
      <c r="BM152">
        <f>IFERROR(SMALL(BM47:BM127,ROW()-ROW($BM$130)+1),"")</f>
        <v>0</v>
      </c>
      <c r="BN152">
        <f>IFERROR(SMALL(BN47:BN127,ROW()-ROW($BN$130)+1),"")</f>
        <v>0</v>
      </c>
      <c r="BO152">
        <f>IFERROR(SMALL(BO47:BO127,ROW()-ROW($BO$130)+1),"")</f>
        <v>0</v>
      </c>
      <c r="BP152">
        <f>IFERROR(SMALL(BP47:BP127,ROW()-ROW($BP$130)+1),"")</f>
        <v>0</v>
      </c>
      <c r="BS152">
        <f>IFERROR(SMALL(BS47:BS127,ROW()-ROW($BS$130)+1),"")</f>
        <v>0</v>
      </c>
      <c r="BT152">
        <f>IFERROR(SMALL(BT47:BT127,ROW()-ROW($BT$130)+1),"")</f>
        <v>0</v>
      </c>
      <c r="BU152">
        <f>IFERROR(SMALL(BU47:BU127,ROW()-ROW($BU$130)+1),"")</f>
        <v>0</v>
      </c>
      <c r="BV152">
        <f>IFERROR(SMALL(BV47:BV127,ROW()-ROW($BV$130)+1),"")</f>
        <v>0</v>
      </c>
      <c r="BW152">
        <f>IFERROR(SMALL(BW47:BW127,ROW()-ROW($BW$130)+1),"")</f>
        <v>0</v>
      </c>
      <c r="BX152">
        <f>IFERROR(SMALL(BX47:BX127,ROW()-ROW($BX$130)+1),"")</f>
        <v>0</v>
      </c>
      <c r="BY152">
        <f>IFERROR(SMALL(BY47:BY127,ROW()-ROW($BY$130)+1),"")</f>
        <v>0</v>
      </c>
      <c r="BZ152">
        <f>IFERROR(SMALL(BZ47:BZ127,ROW()-ROW($BZ$130)+1),"")</f>
        <v>0</v>
      </c>
      <c r="CA152">
        <f>IFERROR(SMALL(CA47:CA127,ROW()-ROW($CA$130)+1),"")</f>
        <v>0</v>
      </c>
      <c r="CB152">
        <f>IFERROR(SMALL(CB47:CB127,ROW()-ROW($CB$130)+1),"")</f>
        <v>0</v>
      </c>
      <c r="CC152">
        <f>IFERROR(SMALL(CC47:CC127,ROW()-ROW($CC$130)+1),"")</f>
        <v>0</v>
      </c>
      <c r="CD152">
        <f>IFERROR(SMALL(CD47:CD127,ROW()-ROW($CD$130)+1),"")</f>
        <v>0</v>
      </c>
      <c r="CE152">
        <f>IFERROR(SMALL(CE47:CE127,ROW()-ROW($CE$130)+1),"")</f>
        <v>0</v>
      </c>
      <c r="CF152">
        <f>IFERROR(SMALL(CF47:CF127,ROW()-ROW($CF$130)+1),"")</f>
        <v>0</v>
      </c>
      <c r="CG152">
        <f>IFERROR(SMALL(CG47:CG127,ROW()-ROW($CG$130)+1),"")</f>
        <v>0</v>
      </c>
      <c r="CH152">
        <f>IFERROR(SMALL(CH47:CH127,ROW()-ROW($CH$130)+1),"")</f>
        <v>0</v>
      </c>
      <c r="CI152">
        <f>IFERROR(SMALL(CI47:CI127,ROW()-ROW($CI$130)+1),"")</f>
        <v>0</v>
      </c>
      <c r="CJ152">
        <f>IFERROR(SMALL(CJ47:CJ127,ROW()-ROW($CJ$130)+1),"")</f>
        <v>0</v>
      </c>
      <c r="CK152">
        <f>IFERROR(SMALL(CK47:CK127,ROW()-ROW($CK$130)+1),"")</f>
        <v>0</v>
      </c>
      <c r="CL152">
        <f>IFERROR(SMALL(CL47:CL127,ROW()-ROW($CL$130)+1),"")</f>
        <v>0</v>
      </c>
      <c r="CM152">
        <f>IFERROR(SMALL(CM47:CM127,ROW()-ROW($CM$130)+1),"")</f>
        <v>0</v>
      </c>
      <c r="CN152">
        <f>IFERROR(SMALL(CN47:CN127,ROW()-ROW($CN$130)+1),"")</f>
        <v>0</v>
      </c>
      <c r="CO152">
        <f>IFERROR(SMALL(CO47:CO127,ROW()-ROW($CO$130)+1),"")</f>
        <v>0</v>
      </c>
      <c r="CP152">
        <f>IFERROR(SMALL(CP47:CP127,ROW()-ROW($CP$130)+1),"")</f>
        <v>0</v>
      </c>
      <c r="CQ152">
        <f>IFERROR(SMALL(CQ47:CQ127,ROW()-ROW($CQ$130)+1),"")</f>
        <v>0</v>
      </c>
      <c r="CR152">
        <f>IFERROR(SMALL(CR47:CR127,ROW()-ROW($CR$130)+1),"")</f>
        <v>0</v>
      </c>
      <c r="CS152">
        <f>IFERROR(SMALL(CS47:CS127,ROW()-ROW($CS$130)+1),"")</f>
        <v>0</v>
      </c>
      <c r="CT152">
        <f>IFERROR(SMALL(CT47:CT127,ROW()-ROW($CT$130)+1),"")</f>
        <v>0</v>
      </c>
      <c r="CU152">
        <f>IFERROR(SMALL(CU47:CU127,ROW()-ROW($CU$130)+1),"")</f>
        <v>0</v>
      </c>
      <c r="CV152">
        <f>IFERROR(SMALL(CV47:CV127,ROW()-ROW($CV$130)+1),"")</f>
        <v>0</v>
      </c>
      <c r="CW152">
        <f>IFERROR(SMALL(CW47:CW127,ROW()-ROW($CW$130)+1),"")</f>
        <v>0</v>
      </c>
      <c r="CX152">
        <f>IFERROR(SMALL(CX47:CX127,ROW()-ROW($CX$130)+1),"")</f>
        <v>0</v>
      </c>
      <c r="CY152">
        <f>IFERROR(SMALL(CY47:CY127,ROW()-ROW($CY$130)+1),"")</f>
        <v>0</v>
      </c>
      <c r="CZ152">
        <f>IFERROR(SMALL(CZ47:CZ127,ROW()-ROW($CZ$130)+1),"")</f>
        <v>0</v>
      </c>
      <c r="DA152">
        <f>IFERROR(SMALL(DA47:DA127,ROW()-ROW($DA$130)+1),"")</f>
        <v>0</v>
      </c>
      <c r="DB152">
        <f>IFERROR(SMALL(DB47:DB127,ROW()-ROW($DB$130)+1),"")</f>
        <v>0</v>
      </c>
      <c r="DC152">
        <f>IFERROR(SMALL(DC47:DC127,ROW()-ROW($DC$130)+1),"")</f>
        <v>0</v>
      </c>
      <c r="DD152">
        <f>IFERROR(SMALL(DD47:DD127,ROW()-ROW($DD$130)+1),"")</f>
        <v>0</v>
      </c>
      <c r="DE152">
        <f>IFERROR(SMALL(DE47:DE127,ROW()-ROW($DE$130)+1),"")</f>
        <v>0</v>
      </c>
      <c r="DF152">
        <f>IFERROR(SMALL(DF47:DF127,ROW()-ROW($DF$130)+1),"")</f>
        <v>0</v>
      </c>
      <c r="DG152">
        <f>IFERROR(SMALL(DG47:DG127,ROW()-ROW($DG$130)+1),"")</f>
        <v>0</v>
      </c>
      <c r="DH152">
        <f>IFERROR(SMALL(DH47:DH127,ROW()-ROW($DH$130)+1),"")</f>
        <v>0</v>
      </c>
      <c r="DI152">
        <f>IFERROR(SMALL(DI47:DI127,ROW()-ROW($DI$130)+1),"")</f>
        <v>0</v>
      </c>
      <c r="DJ152">
        <f>IFERROR(SMALL(DJ47:DJ127,ROW()-ROW($DJ$130)+1),"")</f>
        <v>0</v>
      </c>
      <c r="DK152">
        <f>IFERROR(SMALL(DK47:DK127,ROW()-ROW($DK$130)+1),"")</f>
        <v>0</v>
      </c>
      <c r="DL152">
        <f>IFERROR(SMALL(DL47:DL127,ROW()-ROW($DL$130)+1),"")</f>
        <v>0</v>
      </c>
      <c r="DM152">
        <f>IFERROR(SMALL(DM47:DM127,ROW()-ROW($DM$130)+1),"")</f>
        <v>0</v>
      </c>
      <c r="DN152">
        <f>IFERROR(SMALL(DN47:DN127,ROW()-ROW($DN$130)+1),"")</f>
        <v>0</v>
      </c>
      <c r="DO152">
        <f>IFERROR(SMALL(DO47:DO127,ROW()-ROW($DO$130)+1),"")</f>
        <v>0</v>
      </c>
      <c r="DP152">
        <f>IFERROR(SMALL(DP47:DP127,ROW()-ROW($DP$130)+1),"")</f>
        <v>0</v>
      </c>
      <c r="DQ152">
        <f>IFERROR(SMALL(DQ47:DQ127,ROW()-ROW($DQ$130)+1),"")</f>
        <v>0</v>
      </c>
      <c r="DR152">
        <f>IFERROR(SMALL(DR47:DR127,ROW()-ROW($DR$130)+1),"")</f>
        <v>0</v>
      </c>
      <c r="DS152">
        <f>IFERROR(SMALL(DS47:DS127,ROW()-ROW($DS$130)+1),"")</f>
        <v>0</v>
      </c>
      <c r="DT152">
        <f>IFERROR(SMALL(DT47:DT127,ROW()-ROW($DT$130)+1),"")</f>
        <v>0</v>
      </c>
      <c r="DU152">
        <f>IFERROR(SMALL(DU47:DU127,ROW()-ROW($DU$130)+1),"")</f>
        <v>0</v>
      </c>
      <c r="DV152">
        <f>IFERROR(SMALL(DV47:DV127,ROW()-ROW($DV$130)+1),"")</f>
        <v>0</v>
      </c>
      <c r="DW152">
        <f>IFERROR(SMALL(DW47:DW127,ROW()-ROW($DW$130)+1),"")</f>
        <v>0</v>
      </c>
      <c r="DX152">
        <f>IFERROR(SMALL(DX47:DX127,ROW()-ROW($DX$130)+1),"")</f>
        <v>0</v>
      </c>
      <c r="DY152">
        <f>IFERROR(SMALL(DY47:DY127,ROW()-ROW($DY$130)+1),"")</f>
        <v>0</v>
      </c>
      <c r="DZ152">
        <f>IFERROR(SMALL(DZ47:DZ127,ROW()-ROW($DZ$130)+1),"")</f>
        <v>0</v>
      </c>
      <c r="EA152">
        <f>IFERROR(SMALL(EA47:EA127,ROW()-ROW($EA$130)+1),"")</f>
        <v>0</v>
      </c>
      <c r="EB152">
        <f>IFERROR(SMALL(EB47:EB127,ROW()-ROW($EB$130)+1),"")</f>
        <v>0</v>
      </c>
      <c r="EC152">
        <f>IFERROR(SMALL(EC47:EC127,ROW()-ROW($EC$130)+1),"")</f>
        <v>0</v>
      </c>
      <c r="ED152">
        <f>IFERROR(SMALL(ED47:ED127,ROW()-ROW($ED$130)+1),"")</f>
        <v>0</v>
      </c>
    </row>
    <row r="153" spans="5:134">
      <c r="E153">
        <f>IFERROR(SMALL(E47:E127,ROW()-ROW($E$130)+1),"")</f>
        <v>0</v>
      </c>
      <c r="F153">
        <f>IFERROR(SMALL(F47:F127,ROW()-ROW($F$130)+1),"")</f>
        <v>0</v>
      </c>
      <c r="G153">
        <f>IFERROR(SMALL(G47:G127,ROW()-ROW($G$130)+1),"")</f>
        <v>0</v>
      </c>
      <c r="H153">
        <f>IFERROR(SMALL(H47:H127,ROW()-ROW($H$130)+1),"")</f>
        <v>0</v>
      </c>
      <c r="I153">
        <f>IFERROR(SMALL(I47:I127,ROW()-ROW($I$130)+1),"")</f>
        <v>0</v>
      </c>
      <c r="J153">
        <f>IFERROR(SMALL(J47:J127,ROW()-ROW($J$130)+1),"")</f>
        <v>0</v>
      </c>
      <c r="K153">
        <f>IFERROR(SMALL(K47:K127,ROW()-ROW($K$130)+1),"")</f>
        <v>0</v>
      </c>
      <c r="L153">
        <f>IFERROR(SMALL(L47:L127,ROW()-ROW($L$130)+1),"")</f>
        <v>0</v>
      </c>
      <c r="M153">
        <f>IFERROR(SMALL(M47:M127,ROW()-ROW($M$130)+1),"")</f>
        <v>0</v>
      </c>
      <c r="N153">
        <f>IFERROR(SMALL(N47:N127,ROW()-ROW($N$130)+1),"")</f>
        <v>0</v>
      </c>
      <c r="O153">
        <f>IFERROR(SMALL(O47:O127,ROW()-ROW($O$130)+1),"")</f>
        <v>0</v>
      </c>
      <c r="P153">
        <f>IFERROR(SMALL(P47:P127,ROW()-ROW($P$130)+1),"")</f>
        <v>0</v>
      </c>
      <c r="Q153">
        <f>IFERROR(SMALL(Q47:Q127,ROW()-ROW($Q$130)+1),"")</f>
        <v>0</v>
      </c>
      <c r="R153">
        <f>IFERROR(SMALL(R47:R127,ROW()-ROW($R$130)+1),"")</f>
        <v>0</v>
      </c>
      <c r="S153">
        <f>IFERROR(SMALL(S47:S127,ROW()-ROW($S$130)+1),"")</f>
        <v>0</v>
      </c>
      <c r="T153">
        <f>IFERROR(SMALL(T47:T127,ROW()-ROW($T$130)+1),"")</f>
        <v>0</v>
      </c>
      <c r="U153">
        <f>IFERROR(SMALL(U47:U127,ROW()-ROW($U$130)+1),"")</f>
        <v>0</v>
      </c>
      <c r="V153">
        <f>IFERROR(SMALL(V47:V127,ROW()-ROW($V$130)+1),"")</f>
        <v>0</v>
      </c>
      <c r="W153">
        <f>IFERROR(SMALL(W47:W127,ROW()-ROW($W$130)+1),"")</f>
        <v>0</v>
      </c>
      <c r="X153">
        <f>IFERROR(SMALL(X47:X127,ROW()-ROW($X$130)+1),"")</f>
        <v>0</v>
      </c>
      <c r="Y153">
        <f>IFERROR(SMALL(Y47:Y127,ROW()-ROW($Y$130)+1),"")</f>
        <v>0</v>
      </c>
      <c r="Z153">
        <f>IFERROR(SMALL(Z47:Z127,ROW()-ROW($Z$130)+1),"")</f>
        <v>0</v>
      </c>
      <c r="AA153">
        <f>IFERROR(SMALL(AA47:AA127,ROW()-ROW($AA$130)+1),"")</f>
        <v>0</v>
      </c>
      <c r="AB153">
        <f>IFERROR(SMALL(AB47:AB127,ROW()-ROW($AB$130)+1),"")</f>
        <v>0</v>
      </c>
      <c r="AC153">
        <f>IFERROR(SMALL(AC47:AC127,ROW()-ROW($AC$130)+1),"")</f>
        <v>0</v>
      </c>
      <c r="AD153">
        <f>IFERROR(SMALL(AD47:AD127,ROW()-ROW($AD$130)+1),"")</f>
        <v>0</v>
      </c>
      <c r="AE153">
        <f>IFERROR(SMALL(AE47:AE127,ROW()-ROW($AE$130)+1),"")</f>
        <v>0</v>
      </c>
      <c r="AF153">
        <f>IFERROR(SMALL(AF47:AF127,ROW()-ROW($AF$130)+1),"")</f>
        <v>0</v>
      </c>
      <c r="AG153">
        <f>IFERROR(SMALL(AG47:AG127,ROW()-ROW($AG$130)+1),"")</f>
        <v>0</v>
      </c>
      <c r="AH153">
        <f>IFERROR(SMALL(AH47:AH127,ROW()-ROW($AH$130)+1),"")</f>
        <v>0</v>
      </c>
      <c r="AI153">
        <f>IFERROR(SMALL(AI47:AI127,ROW()-ROW($AI$130)+1),"")</f>
        <v>0</v>
      </c>
      <c r="AJ153">
        <f>IFERROR(SMALL(AJ47:AJ127,ROW()-ROW($AJ$130)+1),"")</f>
        <v>0</v>
      </c>
      <c r="AK153">
        <f>IFERROR(SMALL(AK47:AK127,ROW()-ROW($AK$130)+1),"")</f>
        <v>0</v>
      </c>
      <c r="AL153">
        <f>IFERROR(SMALL(AL47:AL127,ROW()-ROW($AL$130)+1),"")</f>
        <v>0</v>
      </c>
      <c r="AM153">
        <f>IFERROR(SMALL(AM47:AM127,ROW()-ROW($AM$130)+1),"")</f>
        <v>0</v>
      </c>
      <c r="AN153">
        <f>IFERROR(SMALL(AN47:AN127,ROW()-ROW($AN$130)+1),"")</f>
        <v>0</v>
      </c>
      <c r="AO153">
        <f>IFERROR(SMALL(AO47:AO127,ROW()-ROW($AO$130)+1),"")</f>
        <v>0</v>
      </c>
      <c r="AP153">
        <f>IFERROR(SMALL(AP47:AP127,ROW()-ROW($AP$130)+1),"")</f>
        <v>0</v>
      </c>
      <c r="AQ153">
        <f>IFERROR(SMALL(AQ47:AQ127,ROW()-ROW($AQ$130)+1),"")</f>
        <v>0</v>
      </c>
      <c r="AR153">
        <f>IFERROR(SMALL(AR47:AR127,ROW()-ROW($AR$130)+1),"")</f>
        <v>0</v>
      </c>
      <c r="AS153">
        <f>IFERROR(SMALL(AS47:AS127,ROW()-ROW($AS$130)+1),"")</f>
        <v>0</v>
      </c>
      <c r="AT153">
        <f>IFERROR(SMALL(AT47:AT127,ROW()-ROW($AT$130)+1),"")</f>
        <v>0</v>
      </c>
      <c r="AU153">
        <f>IFERROR(SMALL(AU47:AU127,ROW()-ROW($AU$130)+1),"")</f>
        <v>0</v>
      </c>
      <c r="AV153">
        <f>IFERROR(SMALL(AV47:AV127,ROW()-ROW($AV$130)+1),"")</f>
        <v>0</v>
      </c>
      <c r="AW153">
        <f>IFERROR(SMALL(AW47:AW127,ROW()-ROW($AW$130)+1),"")</f>
        <v>0</v>
      </c>
      <c r="AX153">
        <f>IFERROR(SMALL(AX47:AX127,ROW()-ROW($AX$130)+1),"")</f>
        <v>0</v>
      </c>
      <c r="AY153">
        <f>IFERROR(SMALL(AY47:AY127,ROW()-ROW($AY$130)+1),"")</f>
        <v>0</v>
      </c>
      <c r="AZ153">
        <f>IFERROR(SMALL(AZ47:AZ127,ROW()-ROW($AZ$130)+1),"")</f>
        <v>0</v>
      </c>
      <c r="BA153">
        <f>IFERROR(SMALL(BA47:BA127,ROW()-ROW($BA$130)+1),"")</f>
        <v>0</v>
      </c>
      <c r="BB153">
        <f>IFERROR(SMALL(BB47:BB127,ROW()-ROW($BB$130)+1),"")</f>
        <v>0</v>
      </c>
      <c r="BC153">
        <f>IFERROR(SMALL(BC47:BC127,ROW()-ROW($BC$130)+1),"")</f>
        <v>0</v>
      </c>
      <c r="BD153">
        <f>IFERROR(SMALL(BD47:BD127,ROW()-ROW($BD$130)+1),"")</f>
        <v>0</v>
      </c>
      <c r="BE153">
        <f>IFERROR(SMALL(BE47:BE127,ROW()-ROW($BE$130)+1),"")</f>
        <v>0</v>
      </c>
      <c r="BF153">
        <f>IFERROR(SMALL(BF47:BF127,ROW()-ROW($BF$130)+1),"")</f>
        <v>0</v>
      </c>
      <c r="BG153">
        <f>IFERROR(SMALL(BG47:BG127,ROW()-ROW($BG$130)+1),"")</f>
        <v>0</v>
      </c>
      <c r="BH153">
        <f>IFERROR(SMALL(BH47:BH127,ROW()-ROW($BH$130)+1),"")</f>
        <v>0</v>
      </c>
      <c r="BI153">
        <f>IFERROR(SMALL(BI47:BI127,ROW()-ROW($BI$130)+1),"")</f>
        <v>0</v>
      </c>
      <c r="BJ153">
        <f>IFERROR(SMALL(BJ47:BJ127,ROW()-ROW($BJ$130)+1),"")</f>
        <v>0</v>
      </c>
      <c r="BK153">
        <f>IFERROR(SMALL(BK47:BK127,ROW()-ROW($BK$130)+1),"")</f>
        <v>0</v>
      </c>
      <c r="BL153">
        <f>IFERROR(SMALL(BL47:BL127,ROW()-ROW($BL$130)+1),"")</f>
        <v>0</v>
      </c>
      <c r="BM153">
        <f>IFERROR(SMALL(BM47:BM127,ROW()-ROW($BM$130)+1),"")</f>
        <v>0</v>
      </c>
      <c r="BN153">
        <f>IFERROR(SMALL(BN47:BN127,ROW()-ROW($BN$130)+1),"")</f>
        <v>0</v>
      </c>
      <c r="BO153">
        <f>IFERROR(SMALL(BO47:BO127,ROW()-ROW($BO$130)+1),"")</f>
        <v>0</v>
      </c>
      <c r="BP153">
        <f>IFERROR(SMALL(BP47:BP127,ROW()-ROW($BP$130)+1),"")</f>
        <v>0</v>
      </c>
      <c r="BS153">
        <f>IFERROR(SMALL(BS47:BS127,ROW()-ROW($BS$130)+1),"")</f>
        <v>0</v>
      </c>
      <c r="BT153">
        <f>IFERROR(SMALL(BT47:BT127,ROW()-ROW($BT$130)+1),"")</f>
        <v>0</v>
      </c>
      <c r="BU153">
        <f>IFERROR(SMALL(BU47:BU127,ROW()-ROW($BU$130)+1),"")</f>
        <v>0</v>
      </c>
      <c r="BV153">
        <f>IFERROR(SMALL(BV47:BV127,ROW()-ROW($BV$130)+1),"")</f>
        <v>0</v>
      </c>
      <c r="BW153">
        <f>IFERROR(SMALL(BW47:BW127,ROW()-ROW($BW$130)+1),"")</f>
        <v>0</v>
      </c>
      <c r="BX153">
        <f>IFERROR(SMALL(BX47:BX127,ROW()-ROW($BX$130)+1),"")</f>
        <v>0</v>
      </c>
      <c r="BY153">
        <f>IFERROR(SMALL(BY47:BY127,ROW()-ROW($BY$130)+1),"")</f>
        <v>0</v>
      </c>
      <c r="BZ153">
        <f>IFERROR(SMALL(BZ47:BZ127,ROW()-ROW($BZ$130)+1),"")</f>
        <v>0</v>
      </c>
      <c r="CA153">
        <f>IFERROR(SMALL(CA47:CA127,ROW()-ROW($CA$130)+1),"")</f>
        <v>0</v>
      </c>
      <c r="CB153">
        <f>IFERROR(SMALL(CB47:CB127,ROW()-ROW($CB$130)+1),"")</f>
        <v>0</v>
      </c>
      <c r="CC153">
        <f>IFERROR(SMALL(CC47:CC127,ROW()-ROW($CC$130)+1),"")</f>
        <v>0</v>
      </c>
      <c r="CD153">
        <f>IFERROR(SMALL(CD47:CD127,ROW()-ROW($CD$130)+1),"")</f>
        <v>0</v>
      </c>
      <c r="CE153">
        <f>IFERROR(SMALL(CE47:CE127,ROW()-ROW($CE$130)+1),"")</f>
        <v>0</v>
      </c>
      <c r="CF153">
        <f>IFERROR(SMALL(CF47:CF127,ROW()-ROW($CF$130)+1),"")</f>
        <v>0</v>
      </c>
      <c r="CG153">
        <f>IFERROR(SMALL(CG47:CG127,ROW()-ROW($CG$130)+1),"")</f>
        <v>0</v>
      </c>
      <c r="CH153">
        <f>IFERROR(SMALL(CH47:CH127,ROW()-ROW($CH$130)+1),"")</f>
        <v>0</v>
      </c>
      <c r="CI153">
        <f>IFERROR(SMALL(CI47:CI127,ROW()-ROW($CI$130)+1),"")</f>
        <v>0</v>
      </c>
      <c r="CJ153">
        <f>IFERROR(SMALL(CJ47:CJ127,ROW()-ROW($CJ$130)+1),"")</f>
        <v>0</v>
      </c>
      <c r="CK153">
        <f>IFERROR(SMALL(CK47:CK127,ROW()-ROW($CK$130)+1),"")</f>
        <v>0</v>
      </c>
      <c r="CL153">
        <f>IFERROR(SMALL(CL47:CL127,ROW()-ROW($CL$130)+1),"")</f>
        <v>0</v>
      </c>
      <c r="CM153">
        <f>IFERROR(SMALL(CM47:CM127,ROW()-ROW($CM$130)+1),"")</f>
        <v>0</v>
      </c>
      <c r="CN153">
        <f>IFERROR(SMALL(CN47:CN127,ROW()-ROW($CN$130)+1),"")</f>
        <v>0</v>
      </c>
      <c r="CO153">
        <f>IFERROR(SMALL(CO47:CO127,ROW()-ROW($CO$130)+1),"")</f>
        <v>0</v>
      </c>
      <c r="CP153">
        <f>IFERROR(SMALL(CP47:CP127,ROW()-ROW($CP$130)+1),"")</f>
        <v>0</v>
      </c>
      <c r="CQ153">
        <f>IFERROR(SMALL(CQ47:CQ127,ROW()-ROW($CQ$130)+1),"")</f>
        <v>0</v>
      </c>
      <c r="CR153">
        <f>IFERROR(SMALL(CR47:CR127,ROW()-ROW($CR$130)+1),"")</f>
        <v>0</v>
      </c>
      <c r="CS153">
        <f>IFERROR(SMALL(CS47:CS127,ROW()-ROW($CS$130)+1),"")</f>
        <v>0</v>
      </c>
      <c r="CT153">
        <f>IFERROR(SMALL(CT47:CT127,ROW()-ROW($CT$130)+1),"")</f>
        <v>0</v>
      </c>
      <c r="CU153">
        <f>IFERROR(SMALL(CU47:CU127,ROW()-ROW($CU$130)+1),"")</f>
        <v>0</v>
      </c>
      <c r="CV153">
        <f>IFERROR(SMALL(CV47:CV127,ROW()-ROW($CV$130)+1),"")</f>
        <v>0</v>
      </c>
      <c r="CW153">
        <f>IFERROR(SMALL(CW47:CW127,ROW()-ROW($CW$130)+1),"")</f>
        <v>0</v>
      </c>
      <c r="CX153">
        <f>IFERROR(SMALL(CX47:CX127,ROW()-ROW($CX$130)+1),"")</f>
        <v>0</v>
      </c>
      <c r="CY153">
        <f>IFERROR(SMALL(CY47:CY127,ROW()-ROW($CY$130)+1),"")</f>
        <v>0</v>
      </c>
      <c r="CZ153">
        <f>IFERROR(SMALL(CZ47:CZ127,ROW()-ROW($CZ$130)+1),"")</f>
        <v>0</v>
      </c>
      <c r="DA153">
        <f>IFERROR(SMALL(DA47:DA127,ROW()-ROW($DA$130)+1),"")</f>
        <v>0</v>
      </c>
      <c r="DB153">
        <f>IFERROR(SMALL(DB47:DB127,ROW()-ROW($DB$130)+1),"")</f>
        <v>0</v>
      </c>
      <c r="DC153">
        <f>IFERROR(SMALL(DC47:DC127,ROW()-ROW($DC$130)+1),"")</f>
        <v>0</v>
      </c>
      <c r="DD153">
        <f>IFERROR(SMALL(DD47:DD127,ROW()-ROW($DD$130)+1),"")</f>
        <v>0</v>
      </c>
      <c r="DE153">
        <f>IFERROR(SMALL(DE47:DE127,ROW()-ROW($DE$130)+1),"")</f>
        <v>0</v>
      </c>
      <c r="DF153">
        <f>IFERROR(SMALL(DF47:DF127,ROW()-ROW($DF$130)+1),"")</f>
        <v>0</v>
      </c>
      <c r="DG153">
        <f>IFERROR(SMALL(DG47:DG127,ROW()-ROW($DG$130)+1),"")</f>
        <v>0</v>
      </c>
      <c r="DH153">
        <f>IFERROR(SMALL(DH47:DH127,ROW()-ROW($DH$130)+1),"")</f>
        <v>0</v>
      </c>
      <c r="DI153">
        <f>IFERROR(SMALL(DI47:DI127,ROW()-ROW($DI$130)+1),"")</f>
        <v>0</v>
      </c>
      <c r="DJ153">
        <f>IFERROR(SMALL(DJ47:DJ127,ROW()-ROW($DJ$130)+1),"")</f>
        <v>0</v>
      </c>
      <c r="DK153">
        <f>IFERROR(SMALL(DK47:DK127,ROW()-ROW($DK$130)+1),"")</f>
        <v>0</v>
      </c>
      <c r="DL153">
        <f>IFERROR(SMALL(DL47:DL127,ROW()-ROW($DL$130)+1),"")</f>
        <v>0</v>
      </c>
      <c r="DM153">
        <f>IFERROR(SMALL(DM47:DM127,ROW()-ROW($DM$130)+1),"")</f>
        <v>0</v>
      </c>
      <c r="DN153">
        <f>IFERROR(SMALL(DN47:DN127,ROW()-ROW($DN$130)+1),"")</f>
        <v>0</v>
      </c>
      <c r="DO153">
        <f>IFERROR(SMALL(DO47:DO127,ROW()-ROW($DO$130)+1),"")</f>
        <v>0</v>
      </c>
      <c r="DP153">
        <f>IFERROR(SMALL(DP47:DP127,ROW()-ROW($DP$130)+1),"")</f>
        <v>0</v>
      </c>
      <c r="DQ153">
        <f>IFERROR(SMALL(DQ47:DQ127,ROW()-ROW($DQ$130)+1),"")</f>
        <v>0</v>
      </c>
      <c r="DR153">
        <f>IFERROR(SMALL(DR47:DR127,ROW()-ROW($DR$130)+1),"")</f>
        <v>0</v>
      </c>
      <c r="DS153">
        <f>IFERROR(SMALL(DS47:DS127,ROW()-ROW($DS$130)+1),"")</f>
        <v>0</v>
      </c>
      <c r="DT153">
        <f>IFERROR(SMALL(DT47:DT127,ROW()-ROW($DT$130)+1),"")</f>
        <v>0</v>
      </c>
      <c r="DU153">
        <f>IFERROR(SMALL(DU47:DU127,ROW()-ROW($DU$130)+1),"")</f>
        <v>0</v>
      </c>
      <c r="DV153">
        <f>IFERROR(SMALL(DV47:DV127,ROW()-ROW($DV$130)+1),"")</f>
        <v>0</v>
      </c>
      <c r="DW153">
        <f>IFERROR(SMALL(DW47:DW127,ROW()-ROW($DW$130)+1),"")</f>
        <v>0</v>
      </c>
      <c r="DX153">
        <f>IFERROR(SMALL(DX47:DX127,ROW()-ROW($DX$130)+1),"")</f>
        <v>0</v>
      </c>
      <c r="DY153">
        <f>IFERROR(SMALL(DY47:DY127,ROW()-ROW($DY$130)+1),"")</f>
        <v>0</v>
      </c>
      <c r="DZ153">
        <f>IFERROR(SMALL(DZ47:DZ127,ROW()-ROW($DZ$130)+1),"")</f>
        <v>0</v>
      </c>
      <c r="EA153">
        <f>IFERROR(SMALL(EA47:EA127,ROW()-ROW($EA$130)+1),"")</f>
        <v>0</v>
      </c>
      <c r="EB153">
        <f>IFERROR(SMALL(EB47:EB127,ROW()-ROW($EB$130)+1),"")</f>
        <v>0</v>
      </c>
      <c r="EC153">
        <f>IFERROR(SMALL(EC47:EC127,ROW()-ROW($EC$130)+1),"")</f>
        <v>0</v>
      </c>
      <c r="ED153">
        <f>IFERROR(SMALL(ED47:ED127,ROW()-ROW($ED$130)+1),"")</f>
        <v>0</v>
      </c>
    </row>
    <row r="154" spans="5:134">
      <c r="E154">
        <f>IFERROR(SMALL(E47:E127,ROW()-ROW($E$130)+1),"")</f>
        <v>0</v>
      </c>
      <c r="F154">
        <f>IFERROR(SMALL(F47:F127,ROW()-ROW($F$130)+1),"")</f>
        <v>0</v>
      </c>
      <c r="G154">
        <f>IFERROR(SMALL(G47:G127,ROW()-ROW($G$130)+1),"")</f>
        <v>0</v>
      </c>
      <c r="H154">
        <f>IFERROR(SMALL(H47:H127,ROW()-ROW($H$130)+1),"")</f>
        <v>0</v>
      </c>
      <c r="I154">
        <f>IFERROR(SMALL(I47:I127,ROW()-ROW($I$130)+1),"")</f>
        <v>0</v>
      </c>
      <c r="J154">
        <f>IFERROR(SMALL(J47:J127,ROW()-ROW($J$130)+1),"")</f>
        <v>0</v>
      </c>
      <c r="K154">
        <f>IFERROR(SMALL(K47:K127,ROW()-ROW($K$130)+1),"")</f>
        <v>0</v>
      </c>
      <c r="L154">
        <f>IFERROR(SMALL(L47:L127,ROW()-ROW($L$130)+1),"")</f>
        <v>0</v>
      </c>
      <c r="M154">
        <f>IFERROR(SMALL(M47:M127,ROW()-ROW($M$130)+1),"")</f>
        <v>0</v>
      </c>
      <c r="N154">
        <f>IFERROR(SMALL(N47:N127,ROW()-ROW($N$130)+1),"")</f>
        <v>0</v>
      </c>
      <c r="O154">
        <f>IFERROR(SMALL(O47:O127,ROW()-ROW($O$130)+1),"")</f>
        <v>0</v>
      </c>
      <c r="P154">
        <f>IFERROR(SMALL(P47:P127,ROW()-ROW($P$130)+1),"")</f>
        <v>0</v>
      </c>
      <c r="Q154">
        <f>IFERROR(SMALL(Q47:Q127,ROW()-ROW($Q$130)+1),"")</f>
        <v>0</v>
      </c>
      <c r="R154">
        <f>IFERROR(SMALL(R47:R127,ROW()-ROW($R$130)+1),"")</f>
        <v>0</v>
      </c>
      <c r="S154">
        <f>IFERROR(SMALL(S47:S127,ROW()-ROW($S$130)+1),"")</f>
        <v>0</v>
      </c>
      <c r="T154">
        <f>IFERROR(SMALL(T47:T127,ROW()-ROW($T$130)+1),"")</f>
        <v>0</v>
      </c>
      <c r="U154">
        <f>IFERROR(SMALL(U47:U127,ROW()-ROW($U$130)+1),"")</f>
        <v>0</v>
      </c>
      <c r="V154">
        <f>IFERROR(SMALL(V47:V127,ROW()-ROW($V$130)+1),"")</f>
        <v>0</v>
      </c>
      <c r="W154">
        <f>IFERROR(SMALL(W47:W127,ROW()-ROW($W$130)+1),"")</f>
        <v>0</v>
      </c>
      <c r="X154">
        <f>IFERROR(SMALL(X47:X127,ROW()-ROW($X$130)+1),"")</f>
        <v>0</v>
      </c>
      <c r="Y154">
        <f>IFERROR(SMALL(Y47:Y127,ROW()-ROW($Y$130)+1),"")</f>
        <v>0</v>
      </c>
      <c r="Z154">
        <f>IFERROR(SMALL(Z47:Z127,ROW()-ROW($Z$130)+1),"")</f>
        <v>0</v>
      </c>
      <c r="AA154">
        <f>IFERROR(SMALL(AA47:AA127,ROW()-ROW($AA$130)+1),"")</f>
        <v>0</v>
      </c>
      <c r="AB154">
        <f>IFERROR(SMALL(AB47:AB127,ROW()-ROW($AB$130)+1),"")</f>
        <v>0</v>
      </c>
      <c r="AC154">
        <f>IFERROR(SMALL(AC47:AC127,ROW()-ROW($AC$130)+1),"")</f>
        <v>0</v>
      </c>
      <c r="AD154">
        <f>IFERROR(SMALL(AD47:AD127,ROW()-ROW($AD$130)+1),"")</f>
        <v>0</v>
      </c>
      <c r="AE154">
        <f>IFERROR(SMALL(AE47:AE127,ROW()-ROW($AE$130)+1),"")</f>
        <v>0</v>
      </c>
      <c r="AF154">
        <f>IFERROR(SMALL(AF47:AF127,ROW()-ROW($AF$130)+1),"")</f>
        <v>0</v>
      </c>
      <c r="AG154">
        <f>IFERROR(SMALL(AG47:AG127,ROW()-ROW($AG$130)+1),"")</f>
        <v>0</v>
      </c>
      <c r="AH154">
        <f>IFERROR(SMALL(AH47:AH127,ROW()-ROW($AH$130)+1),"")</f>
        <v>0</v>
      </c>
      <c r="AI154">
        <f>IFERROR(SMALL(AI47:AI127,ROW()-ROW($AI$130)+1),"")</f>
        <v>0</v>
      </c>
      <c r="AJ154">
        <f>IFERROR(SMALL(AJ47:AJ127,ROW()-ROW($AJ$130)+1),"")</f>
        <v>0</v>
      </c>
      <c r="AK154">
        <f>IFERROR(SMALL(AK47:AK127,ROW()-ROW($AK$130)+1),"")</f>
        <v>0</v>
      </c>
      <c r="AL154">
        <f>IFERROR(SMALL(AL47:AL127,ROW()-ROW($AL$130)+1),"")</f>
        <v>0</v>
      </c>
      <c r="AM154">
        <f>IFERROR(SMALL(AM47:AM127,ROW()-ROW($AM$130)+1),"")</f>
        <v>0</v>
      </c>
      <c r="AN154">
        <f>IFERROR(SMALL(AN47:AN127,ROW()-ROW($AN$130)+1),"")</f>
        <v>0</v>
      </c>
      <c r="AO154">
        <f>IFERROR(SMALL(AO47:AO127,ROW()-ROW($AO$130)+1),"")</f>
        <v>0</v>
      </c>
      <c r="AP154">
        <f>IFERROR(SMALL(AP47:AP127,ROW()-ROW($AP$130)+1),"")</f>
        <v>0</v>
      </c>
      <c r="AQ154">
        <f>IFERROR(SMALL(AQ47:AQ127,ROW()-ROW($AQ$130)+1),"")</f>
        <v>0</v>
      </c>
      <c r="AR154">
        <f>IFERROR(SMALL(AR47:AR127,ROW()-ROW($AR$130)+1),"")</f>
        <v>0</v>
      </c>
      <c r="AS154">
        <f>IFERROR(SMALL(AS47:AS127,ROW()-ROW($AS$130)+1),"")</f>
        <v>0</v>
      </c>
      <c r="AT154">
        <f>IFERROR(SMALL(AT47:AT127,ROW()-ROW($AT$130)+1),"")</f>
        <v>0</v>
      </c>
      <c r="AU154">
        <f>IFERROR(SMALL(AU47:AU127,ROW()-ROW($AU$130)+1),"")</f>
        <v>0</v>
      </c>
      <c r="AV154">
        <f>IFERROR(SMALL(AV47:AV127,ROW()-ROW($AV$130)+1),"")</f>
        <v>0</v>
      </c>
      <c r="AW154">
        <f>IFERROR(SMALL(AW47:AW127,ROW()-ROW($AW$130)+1),"")</f>
        <v>0</v>
      </c>
      <c r="AX154">
        <f>IFERROR(SMALL(AX47:AX127,ROW()-ROW($AX$130)+1),"")</f>
        <v>0</v>
      </c>
      <c r="AY154">
        <f>IFERROR(SMALL(AY47:AY127,ROW()-ROW($AY$130)+1),"")</f>
        <v>0</v>
      </c>
      <c r="AZ154">
        <f>IFERROR(SMALL(AZ47:AZ127,ROW()-ROW($AZ$130)+1),"")</f>
        <v>0</v>
      </c>
      <c r="BA154">
        <f>IFERROR(SMALL(BA47:BA127,ROW()-ROW($BA$130)+1),"")</f>
        <v>0</v>
      </c>
      <c r="BB154">
        <f>IFERROR(SMALL(BB47:BB127,ROW()-ROW($BB$130)+1),"")</f>
        <v>0</v>
      </c>
      <c r="BC154">
        <f>IFERROR(SMALL(BC47:BC127,ROW()-ROW($BC$130)+1),"")</f>
        <v>0</v>
      </c>
      <c r="BD154">
        <f>IFERROR(SMALL(BD47:BD127,ROW()-ROW($BD$130)+1),"")</f>
        <v>0</v>
      </c>
      <c r="BE154">
        <f>IFERROR(SMALL(BE47:BE127,ROW()-ROW($BE$130)+1),"")</f>
        <v>0</v>
      </c>
      <c r="BF154">
        <f>IFERROR(SMALL(BF47:BF127,ROW()-ROW($BF$130)+1),"")</f>
        <v>0</v>
      </c>
      <c r="BG154">
        <f>IFERROR(SMALL(BG47:BG127,ROW()-ROW($BG$130)+1),"")</f>
        <v>0</v>
      </c>
      <c r="BH154">
        <f>IFERROR(SMALL(BH47:BH127,ROW()-ROW($BH$130)+1),"")</f>
        <v>0</v>
      </c>
      <c r="BI154">
        <f>IFERROR(SMALL(BI47:BI127,ROW()-ROW($BI$130)+1),"")</f>
        <v>0</v>
      </c>
      <c r="BJ154">
        <f>IFERROR(SMALL(BJ47:BJ127,ROW()-ROW($BJ$130)+1),"")</f>
        <v>0</v>
      </c>
      <c r="BK154">
        <f>IFERROR(SMALL(BK47:BK127,ROW()-ROW($BK$130)+1),"")</f>
        <v>0</v>
      </c>
      <c r="BL154">
        <f>IFERROR(SMALL(BL47:BL127,ROW()-ROW($BL$130)+1),"")</f>
        <v>0</v>
      </c>
      <c r="BM154">
        <f>IFERROR(SMALL(BM47:BM127,ROW()-ROW($BM$130)+1),"")</f>
        <v>0</v>
      </c>
      <c r="BN154">
        <f>IFERROR(SMALL(BN47:BN127,ROW()-ROW($BN$130)+1),"")</f>
        <v>0</v>
      </c>
      <c r="BO154">
        <f>IFERROR(SMALL(BO47:BO127,ROW()-ROW($BO$130)+1),"")</f>
        <v>0</v>
      </c>
      <c r="BP154">
        <f>IFERROR(SMALL(BP47:BP127,ROW()-ROW($BP$130)+1),"")</f>
        <v>0</v>
      </c>
      <c r="BS154">
        <f>IFERROR(SMALL(BS47:BS127,ROW()-ROW($BS$130)+1),"")</f>
        <v>0</v>
      </c>
      <c r="BT154">
        <f>IFERROR(SMALL(BT47:BT127,ROW()-ROW($BT$130)+1),"")</f>
        <v>0</v>
      </c>
      <c r="BU154">
        <f>IFERROR(SMALL(BU47:BU127,ROW()-ROW($BU$130)+1),"")</f>
        <v>0</v>
      </c>
      <c r="BV154">
        <f>IFERROR(SMALL(BV47:BV127,ROW()-ROW($BV$130)+1),"")</f>
        <v>0</v>
      </c>
      <c r="BW154">
        <f>IFERROR(SMALL(BW47:BW127,ROW()-ROW($BW$130)+1),"")</f>
        <v>0</v>
      </c>
      <c r="BX154">
        <f>IFERROR(SMALL(BX47:BX127,ROW()-ROW($BX$130)+1),"")</f>
        <v>0</v>
      </c>
      <c r="BY154">
        <f>IFERROR(SMALL(BY47:BY127,ROW()-ROW($BY$130)+1),"")</f>
        <v>0</v>
      </c>
      <c r="BZ154">
        <f>IFERROR(SMALL(BZ47:BZ127,ROW()-ROW($BZ$130)+1),"")</f>
        <v>0</v>
      </c>
      <c r="CA154">
        <f>IFERROR(SMALL(CA47:CA127,ROW()-ROW($CA$130)+1),"")</f>
        <v>0</v>
      </c>
      <c r="CB154">
        <f>IFERROR(SMALL(CB47:CB127,ROW()-ROW($CB$130)+1),"")</f>
        <v>0</v>
      </c>
      <c r="CC154">
        <f>IFERROR(SMALL(CC47:CC127,ROW()-ROW($CC$130)+1),"")</f>
        <v>0</v>
      </c>
      <c r="CD154">
        <f>IFERROR(SMALL(CD47:CD127,ROW()-ROW($CD$130)+1),"")</f>
        <v>0</v>
      </c>
      <c r="CE154">
        <f>IFERROR(SMALL(CE47:CE127,ROW()-ROW($CE$130)+1),"")</f>
        <v>0</v>
      </c>
      <c r="CF154">
        <f>IFERROR(SMALL(CF47:CF127,ROW()-ROW($CF$130)+1),"")</f>
        <v>0</v>
      </c>
      <c r="CG154">
        <f>IFERROR(SMALL(CG47:CG127,ROW()-ROW($CG$130)+1),"")</f>
        <v>0</v>
      </c>
      <c r="CH154">
        <f>IFERROR(SMALL(CH47:CH127,ROW()-ROW($CH$130)+1),"")</f>
        <v>0</v>
      </c>
      <c r="CI154">
        <f>IFERROR(SMALL(CI47:CI127,ROW()-ROW($CI$130)+1),"")</f>
        <v>0</v>
      </c>
      <c r="CJ154">
        <f>IFERROR(SMALL(CJ47:CJ127,ROW()-ROW($CJ$130)+1),"")</f>
        <v>0</v>
      </c>
      <c r="CK154">
        <f>IFERROR(SMALL(CK47:CK127,ROW()-ROW($CK$130)+1),"")</f>
        <v>0</v>
      </c>
      <c r="CL154">
        <f>IFERROR(SMALL(CL47:CL127,ROW()-ROW($CL$130)+1),"")</f>
        <v>0</v>
      </c>
      <c r="CM154">
        <f>IFERROR(SMALL(CM47:CM127,ROW()-ROW($CM$130)+1),"")</f>
        <v>0</v>
      </c>
      <c r="CN154">
        <f>IFERROR(SMALL(CN47:CN127,ROW()-ROW($CN$130)+1),"")</f>
        <v>0</v>
      </c>
      <c r="CO154">
        <f>IFERROR(SMALL(CO47:CO127,ROW()-ROW($CO$130)+1),"")</f>
        <v>0</v>
      </c>
      <c r="CP154">
        <f>IFERROR(SMALL(CP47:CP127,ROW()-ROW($CP$130)+1),"")</f>
        <v>0</v>
      </c>
      <c r="CQ154">
        <f>IFERROR(SMALL(CQ47:CQ127,ROW()-ROW($CQ$130)+1),"")</f>
        <v>0</v>
      </c>
      <c r="CR154">
        <f>IFERROR(SMALL(CR47:CR127,ROW()-ROW($CR$130)+1),"")</f>
        <v>0</v>
      </c>
      <c r="CS154">
        <f>IFERROR(SMALL(CS47:CS127,ROW()-ROW($CS$130)+1),"")</f>
        <v>0</v>
      </c>
      <c r="CT154">
        <f>IFERROR(SMALL(CT47:CT127,ROW()-ROW($CT$130)+1),"")</f>
        <v>0</v>
      </c>
      <c r="CU154">
        <f>IFERROR(SMALL(CU47:CU127,ROW()-ROW($CU$130)+1),"")</f>
        <v>0</v>
      </c>
      <c r="CV154">
        <f>IFERROR(SMALL(CV47:CV127,ROW()-ROW($CV$130)+1),"")</f>
        <v>0</v>
      </c>
      <c r="CW154">
        <f>IFERROR(SMALL(CW47:CW127,ROW()-ROW($CW$130)+1),"")</f>
        <v>0</v>
      </c>
      <c r="CX154">
        <f>IFERROR(SMALL(CX47:CX127,ROW()-ROW($CX$130)+1),"")</f>
        <v>0</v>
      </c>
      <c r="CY154">
        <f>IFERROR(SMALL(CY47:CY127,ROW()-ROW($CY$130)+1),"")</f>
        <v>0</v>
      </c>
      <c r="CZ154">
        <f>IFERROR(SMALL(CZ47:CZ127,ROW()-ROW($CZ$130)+1),"")</f>
        <v>0</v>
      </c>
      <c r="DA154">
        <f>IFERROR(SMALL(DA47:DA127,ROW()-ROW($DA$130)+1),"")</f>
        <v>0</v>
      </c>
      <c r="DB154">
        <f>IFERROR(SMALL(DB47:DB127,ROW()-ROW($DB$130)+1),"")</f>
        <v>0</v>
      </c>
      <c r="DC154">
        <f>IFERROR(SMALL(DC47:DC127,ROW()-ROW($DC$130)+1),"")</f>
        <v>0</v>
      </c>
      <c r="DD154">
        <f>IFERROR(SMALL(DD47:DD127,ROW()-ROW($DD$130)+1),"")</f>
        <v>0</v>
      </c>
      <c r="DE154">
        <f>IFERROR(SMALL(DE47:DE127,ROW()-ROW($DE$130)+1),"")</f>
        <v>0</v>
      </c>
      <c r="DF154">
        <f>IFERROR(SMALL(DF47:DF127,ROW()-ROW($DF$130)+1),"")</f>
        <v>0</v>
      </c>
      <c r="DG154">
        <f>IFERROR(SMALL(DG47:DG127,ROW()-ROW($DG$130)+1),"")</f>
        <v>0</v>
      </c>
      <c r="DH154">
        <f>IFERROR(SMALL(DH47:DH127,ROW()-ROW($DH$130)+1),"")</f>
        <v>0</v>
      </c>
      <c r="DI154">
        <f>IFERROR(SMALL(DI47:DI127,ROW()-ROW($DI$130)+1),"")</f>
        <v>0</v>
      </c>
      <c r="DJ154">
        <f>IFERROR(SMALL(DJ47:DJ127,ROW()-ROW($DJ$130)+1),"")</f>
        <v>0</v>
      </c>
      <c r="DK154">
        <f>IFERROR(SMALL(DK47:DK127,ROW()-ROW($DK$130)+1),"")</f>
        <v>0</v>
      </c>
      <c r="DL154">
        <f>IFERROR(SMALL(DL47:DL127,ROW()-ROW($DL$130)+1),"")</f>
        <v>0</v>
      </c>
      <c r="DM154">
        <f>IFERROR(SMALL(DM47:DM127,ROW()-ROW($DM$130)+1),"")</f>
        <v>0</v>
      </c>
      <c r="DN154">
        <f>IFERROR(SMALL(DN47:DN127,ROW()-ROW($DN$130)+1),"")</f>
        <v>0</v>
      </c>
      <c r="DO154">
        <f>IFERROR(SMALL(DO47:DO127,ROW()-ROW($DO$130)+1),"")</f>
        <v>0</v>
      </c>
      <c r="DP154">
        <f>IFERROR(SMALL(DP47:DP127,ROW()-ROW($DP$130)+1),"")</f>
        <v>0</v>
      </c>
      <c r="DQ154">
        <f>IFERROR(SMALL(DQ47:DQ127,ROW()-ROW($DQ$130)+1),"")</f>
        <v>0</v>
      </c>
      <c r="DR154">
        <f>IFERROR(SMALL(DR47:DR127,ROW()-ROW($DR$130)+1),"")</f>
        <v>0</v>
      </c>
      <c r="DS154">
        <f>IFERROR(SMALL(DS47:DS127,ROW()-ROW($DS$130)+1),"")</f>
        <v>0</v>
      </c>
      <c r="DT154">
        <f>IFERROR(SMALL(DT47:DT127,ROW()-ROW($DT$130)+1),"")</f>
        <v>0</v>
      </c>
      <c r="DU154">
        <f>IFERROR(SMALL(DU47:DU127,ROW()-ROW($DU$130)+1),"")</f>
        <v>0</v>
      </c>
      <c r="DV154">
        <f>IFERROR(SMALL(DV47:DV127,ROW()-ROW($DV$130)+1),"")</f>
        <v>0</v>
      </c>
      <c r="DW154">
        <f>IFERROR(SMALL(DW47:DW127,ROW()-ROW($DW$130)+1),"")</f>
        <v>0</v>
      </c>
      <c r="DX154">
        <f>IFERROR(SMALL(DX47:DX127,ROW()-ROW($DX$130)+1),"")</f>
        <v>0</v>
      </c>
      <c r="DY154">
        <f>IFERROR(SMALL(DY47:DY127,ROW()-ROW($DY$130)+1),"")</f>
        <v>0</v>
      </c>
      <c r="DZ154">
        <f>IFERROR(SMALL(DZ47:DZ127,ROW()-ROW($DZ$130)+1),"")</f>
        <v>0</v>
      </c>
      <c r="EA154">
        <f>IFERROR(SMALL(EA47:EA127,ROW()-ROW($EA$130)+1),"")</f>
        <v>0</v>
      </c>
      <c r="EB154">
        <f>IFERROR(SMALL(EB47:EB127,ROW()-ROW($EB$130)+1),"")</f>
        <v>0</v>
      </c>
      <c r="EC154">
        <f>IFERROR(SMALL(EC47:EC127,ROW()-ROW($EC$130)+1),"")</f>
        <v>0</v>
      </c>
      <c r="ED154">
        <f>IFERROR(SMALL(ED47:ED127,ROW()-ROW($ED$130)+1),"")</f>
        <v>0</v>
      </c>
    </row>
    <row r="155" spans="5:134">
      <c r="E155">
        <f>IFERROR(SMALL(E47:E127,ROW()-ROW($E$130)+1),"")</f>
        <v>0</v>
      </c>
      <c r="F155">
        <f>IFERROR(SMALL(F47:F127,ROW()-ROW($F$130)+1),"")</f>
        <v>0</v>
      </c>
      <c r="G155">
        <f>IFERROR(SMALL(G47:G127,ROW()-ROW($G$130)+1),"")</f>
        <v>0</v>
      </c>
      <c r="H155">
        <f>IFERROR(SMALL(H47:H127,ROW()-ROW($H$130)+1),"")</f>
        <v>0</v>
      </c>
      <c r="I155">
        <f>IFERROR(SMALL(I47:I127,ROW()-ROW($I$130)+1),"")</f>
        <v>0</v>
      </c>
      <c r="J155">
        <f>IFERROR(SMALL(J47:J127,ROW()-ROW($J$130)+1),"")</f>
        <v>0</v>
      </c>
      <c r="K155">
        <f>IFERROR(SMALL(K47:K127,ROW()-ROW($K$130)+1),"")</f>
        <v>0</v>
      </c>
      <c r="L155">
        <f>IFERROR(SMALL(L47:L127,ROW()-ROW($L$130)+1),"")</f>
        <v>0</v>
      </c>
      <c r="M155">
        <f>IFERROR(SMALL(M47:M127,ROW()-ROW($M$130)+1),"")</f>
        <v>0</v>
      </c>
      <c r="N155">
        <f>IFERROR(SMALL(N47:N127,ROW()-ROW($N$130)+1),"")</f>
        <v>0</v>
      </c>
      <c r="O155">
        <f>IFERROR(SMALL(O47:O127,ROW()-ROW($O$130)+1),"")</f>
        <v>0</v>
      </c>
      <c r="P155">
        <f>IFERROR(SMALL(P47:P127,ROW()-ROW($P$130)+1),"")</f>
        <v>0</v>
      </c>
      <c r="Q155">
        <f>IFERROR(SMALL(Q47:Q127,ROW()-ROW($Q$130)+1),"")</f>
        <v>0</v>
      </c>
      <c r="R155">
        <f>IFERROR(SMALL(R47:R127,ROW()-ROW($R$130)+1),"")</f>
        <v>0</v>
      </c>
      <c r="S155">
        <f>IFERROR(SMALL(S47:S127,ROW()-ROW($S$130)+1),"")</f>
        <v>0</v>
      </c>
      <c r="T155">
        <f>IFERROR(SMALL(T47:T127,ROW()-ROW($T$130)+1),"")</f>
        <v>0</v>
      </c>
      <c r="U155">
        <f>IFERROR(SMALL(U47:U127,ROW()-ROW($U$130)+1),"")</f>
        <v>0</v>
      </c>
      <c r="V155">
        <f>IFERROR(SMALL(V47:V127,ROW()-ROW($V$130)+1),"")</f>
        <v>0</v>
      </c>
      <c r="W155">
        <f>IFERROR(SMALL(W47:W127,ROW()-ROW($W$130)+1),"")</f>
        <v>0</v>
      </c>
      <c r="X155">
        <f>IFERROR(SMALL(X47:X127,ROW()-ROW($X$130)+1),"")</f>
        <v>0</v>
      </c>
      <c r="Y155">
        <f>IFERROR(SMALL(Y47:Y127,ROW()-ROW($Y$130)+1),"")</f>
        <v>0</v>
      </c>
      <c r="Z155">
        <f>IFERROR(SMALL(Z47:Z127,ROW()-ROW($Z$130)+1),"")</f>
        <v>0</v>
      </c>
      <c r="AA155">
        <f>IFERROR(SMALL(AA47:AA127,ROW()-ROW($AA$130)+1),"")</f>
        <v>0</v>
      </c>
      <c r="AB155">
        <f>IFERROR(SMALL(AB47:AB127,ROW()-ROW($AB$130)+1),"")</f>
        <v>0</v>
      </c>
      <c r="AC155">
        <f>IFERROR(SMALL(AC47:AC127,ROW()-ROW($AC$130)+1),"")</f>
        <v>0</v>
      </c>
      <c r="AD155">
        <f>IFERROR(SMALL(AD47:AD127,ROW()-ROW($AD$130)+1),"")</f>
        <v>0</v>
      </c>
      <c r="AE155">
        <f>IFERROR(SMALL(AE47:AE127,ROW()-ROW($AE$130)+1),"")</f>
        <v>0</v>
      </c>
      <c r="AF155">
        <f>IFERROR(SMALL(AF47:AF127,ROW()-ROW($AF$130)+1),"")</f>
        <v>0</v>
      </c>
      <c r="AG155">
        <f>IFERROR(SMALL(AG47:AG127,ROW()-ROW($AG$130)+1),"")</f>
        <v>0</v>
      </c>
      <c r="AH155">
        <f>IFERROR(SMALL(AH47:AH127,ROW()-ROW($AH$130)+1),"")</f>
        <v>0</v>
      </c>
      <c r="AI155">
        <f>IFERROR(SMALL(AI47:AI127,ROW()-ROW($AI$130)+1),"")</f>
        <v>0</v>
      </c>
      <c r="AJ155">
        <f>IFERROR(SMALL(AJ47:AJ127,ROW()-ROW($AJ$130)+1),"")</f>
        <v>0</v>
      </c>
      <c r="AK155">
        <f>IFERROR(SMALL(AK47:AK127,ROW()-ROW($AK$130)+1),"")</f>
        <v>0</v>
      </c>
      <c r="AL155">
        <f>IFERROR(SMALL(AL47:AL127,ROW()-ROW($AL$130)+1),"")</f>
        <v>0</v>
      </c>
      <c r="AM155">
        <f>IFERROR(SMALL(AM47:AM127,ROW()-ROW($AM$130)+1),"")</f>
        <v>0</v>
      </c>
      <c r="AN155">
        <f>IFERROR(SMALL(AN47:AN127,ROW()-ROW($AN$130)+1),"")</f>
        <v>0</v>
      </c>
      <c r="AO155">
        <f>IFERROR(SMALL(AO47:AO127,ROW()-ROW($AO$130)+1),"")</f>
        <v>0</v>
      </c>
      <c r="AP155">
        <f>IFERROR(SMALL(AP47:AP127,ROW()-ROW($AP$130)+1),"")</f>
        <v>0</v>
      </c>
      <c r="AQ155">
        <f>IFERROR(SMALL(AQ47:AQ127,ROW()-ROW($AQ$130)+1),"")</f>
        <v>0</v>
      </c>
      <c r="AR155">
        <f>IFERROR(SMALL(AR47:AR127,ROW()-ROW($AR$130)+1),"")</f>
        <v>0</v>
      </c>
      <c r="AS155">
        <f>IFERROR(SMALL(AS47:AS127,ROW()-ROW($AS$130)+1),"")</f>
        <v>0</v>
      </c>
      <c r="AT155">
        <f>IFERROR(SMALL(AT47:AT127,ROW()-ROW($AT$130)+1),"")</f>
        <v>0</v>
      </c>
      <c r="AU155">
        <f>IFERROR(SMALL(AU47:AU127,ROW()-ROW($AU$130)+1),"")</f>
        <v>0</v>
      </c>
      <c r="AV155">
        <f>IFERROR(SMALL(AV47:AV127,ROW()-ROW($AV$130)+1),"")</f>
        <v>0</v>
      </c>
      <c r="AW155">
        <f>IFERROR(SMALL(AW47:AW127,ROW()-ROW($AW$130)+1),"")</f>
        <v>0</v>
      </c>
      <c r="AX155">
        <f>IFERROR(SMALL(AX47:AX127,ROW()-ROW($AX$130)+1),"")</f>
        <v>0</v>
      </c>
      <c r="AY155">
        <f>IFERROR(SMALL(AY47:AY127,ROW()-ROW($AY$130)+1),"")</f>
        <v>0</v>
      </c>
      <c r="AZ155">
        <f>IFERROR(SMALL(AZ47:AZ127,ROW()-ROW($AZ$130)+1),"")</f>
        <v>0</v>
      </c>
      <c r="BA155">
        <f>IFERROR(SMALL(BA47:BA127,ROW()-ROW($BA$130)+1),"")</f>
        <v>0</v>
      </c>
      <c r="BB155">
        <f>IFERROR(SMALL(BB47:BB127,ROW()-ROW($BB$130)+1),"")</f>
        <v>0</v>
      </c>
      <c r="BC155">
        <f>IFERROR(SMALL(BC47:BC127,ROW()-ROW($BC$130)+1),"")</f>
        <v>0</v>
      </c>
      <c r="BD155">
        <f>IFERROR(SMALL(BD47:BD127,ROW()-ROW($BD$130)+1),"")</f>
        <v>0</v>
      </c>
      <c r="BE155">
        <f>IFERROR(SMALL(BE47:BE127,ROW()-ROW($BE$130)+1),"")</f>
        <v>0</v>
      </c>
      <c r="BF155">
        <f>IFERROR(SMALL(BF47:BF127,ROW()-ROW($BF$130)+1),"")</f>
        <v>0</v>
      </c>
      <c r="BG155">
        <f>IFERROR(SMALL(BG47:BG127,ROW()-ROW($BG$130)+1),"")</f>
        <v>0</v>
      </c>
      <c r="BH155">
        <f>IFERROR(SMALL(BH47:BH127,ROW()-ROW($BH$130)+1),"")</f>
        <v>0</v>
      </c>
      <c r="BI155">
        <f>IFERROR(SMALL(BI47:BI127,ROW()-ROW($BI$130)+1),"")</f>
        <v>0</v>
      </c>
      <c r="BJ155">
        <f>IFERROR(SMALL(BJ47:BJ127,ROW()-ROW($BJ$130)+1),"")</f>
        <v>0</v>
      </c>
      <c r="BK155">
        <f>IFERROR(SMALL(BK47:BK127,ROW()-ROW($BK$130)+1),"")</f>
        <v>0</v>
      </c>
      <c r="BL155">
        <f>IFERROR(SMALL(BL47:BL127,ROW()-ROW($BL$130)+1),"")</f>
        <v>0</v>
      </c>
      <c r="BM155">
        <f>IFERROR(SMALL(BM47:BM127,ROW()-ROW($BM$130)+1),"")</f>
        <v>0</v>
      </c>
      <c r="BN155">
        <f>IFERROR(SMALL(BN47:BN127,ROW()-ROW($BN$130)+1),"")</f>
        <v>0</v>
      </c>
      <c r="BO155">
        <f>IFERROR(SMALL(BO47:BO127,ROW()-ROW($BO$130)+1),"")</f>
        <v>0</v>
      </c>
      <c r="BP155">
        <f>IFERROR(SMALL(BP47:BP127,ROW()-ROW($BP$130)+1),"")</f>
        <v>0</v>
      </c>
      <c r="BS155">
        <f>IFERROR(SMALL(BS47:BS127,ROW()-ROW($BS$130)+1),"")</f>
        <v>0</v>
      </c>
      <c r="BT155">
        <f>IFERROR(SMALL(BT47:BT127,ROW()-ROW($BT$130)+1),"")</f>
        <v>0</v>
      </c>
      <c r="BU155">
        <f>IFERROR(SMALL(BU47:BU127,ROW()-ROW($BU$130)+1),"")</f>
        <v>0</v>
      </c>
      <c r="BV155">
        <f>IFERROR(SMALL(BV47:BV127,ROW()-ROW($BV$130)+1),"")</f>
        <v>0</v>
      </c>
      <c r="BW155">
        <f>IFERROR(SMALL(BW47:BW127,ROW()-ROW($BW$130)+1),"")</f>
        <v>0</v>
      </c>
      <c r="BX155">
        <f>IFERROR(SMALL(BX47:BX127,ROW()-ROW($BX$130)+1),"")</f>
        <v>0</v>
      </c>
      <c r="BY155">
        <f>IFERROR(SMALL(BY47:BY127,ROW()-ROW($BY$130)+1),"")</f>
        <v>0</v>
      </c>
      <c r="BZ155">
        <f>IFERROR(SMALL(BZ47:BZ127,ROW()-ROW($BZ$130)+1),"")</f>
        <v>0</v>
      </c>
      <c r="CA155">
        <f>IFERROR(SMALL(CA47:CA127,ROW()-ROW($CA$130)+1),"")</f>
        <v>0</v>
      </c>
      <c r="CB155">
        <f>IFERROR(SMALL(CB47:CB127,ROW()-ROW($CB$130)+1),"")</f>
        <v>0</v>
      </c>
      <c r="CC155">
        <f>IFERROR(SMALL(CC47:CC127,ROW()-ROW($CC$130)+1),"")</f>
        <v>0</v>
      </c>
      <c r="CD155">
        <f>IFERROR(SMALL(CD47:CD127,ROW()-ROW($CD$130)+1),"")</f>
        <v>0</v>
      </c>
      <c r="CE155">
        <f>IFERROR(SMALL(CE47:CE127,ROW()-ROW($CE$130)+1),"")</f>
        <v>0</v>
      </c>
      <c r="CF155">
        <f>IFERROR(SMALL(CF47:CF127,ROW()-ROW($CF$130)+1),"")</f>
        <v>0</v>
      </c>
      <c r="CG155">
        <f>IFERROR(SMALL(CG47:CG127,ROW()-ROW($CG$130)+1),"")</f>
        <v>0</v>
      </c>
      <c r="CH155">
        <f>IFERROR(SMALL(CH47:CH127,ROW()-ROW($CH$130)+1),"")</f>
        <v>0</v>
      </c>
      <c r="CI155">
        <f>IFERROR(SMALL(CI47:CI127,ROW()-ROW($CI$130)+1),"")</f>
        <v>0</v>
      </c>
      <c r="CJ155">
        <f>IFERROR(SMALL(CJ47:CJ127,ROW()-ROW($CJ$130)+1),"")</f>
        <v>0</v>
      </c>
      <c r="CK155">
        <f>IFERROR(SMALL(CK47:CK127,ROW()-ROW($CK$130)+1),"")</f>
        <v>0</v>
      </c>
      <c r="CL155">
        <f>IFERROR(SMALL(CL47:CL127,ROW()-ROW($CL$130)+1),"")</f>
        <v>0</v>
      </c>
      <c r="CM155">
        <f>IFERROR(SMALL(CM47:CM127,ROW()-ROW($CM$130)+1),"")</f>
        <v>0</v>
      </c>
      <c r="CN155">
        <f>IFERROR(SMALL(CN47:CN127,ROW()-ROW($CN$130)+1),"")</f>
        <v>0</v>
      </c>
      <c r="CO155">
        <f>IFERROR(SMALL(CO47:CO127,ROW()-ROW($CO$130)+1),"")</f>
        <v>0</v>
      </c>
      <c r="CP155">
        <f>IFERROR(SMALL(CP47:CP127,ROW()-ROW($CP$130)+1),"")</f>
        <v>0</v>
      </c>
      <c r="CQ155">
        <f>IFERROR(SMALL(CQ47:CQ127,ROW()-ROW($CQ$130)+1),"")</f>
        <v>0</v>
      </c>
      <c r="CR155">
        <f>IFERROR(SMALL(CR47:CR127,ROW()-ROW($CR$130)+1),"")</f>
        <v>0</v>
      </c>
      <c r="CS155">
        <f>IFERROR(SMALL(CS47:CS127,ROW()-ROW($CS$130)+1),"")</f>
        <v>0</v>
      </c>
      <c r="CT155">
        <f>IFERROR(SMALL(CT47:CT127,ROW()-ROW($CT$130)+1),"")</f>
        <v>0</v>
      </c>
      <c r="CU155">
        <f>IFERROR(SMALL(CU47:CU127,ROW()-ROW($CU$130)+1),"")</f>
        <v>0</v>
      </c>
      <c r="CV155">
        <f>IFERROR(SMALL(CV47:CV127,ROW()-ROW($CV$130)+1),"")</f>
        <v>0</v>
      </c>
      <c r="CW155">
        <f>IFERROR(SMALL(CW47:CW127,ROW()-ROW($CW$130)+1),"")</f>
        <v>0</v>
      </c>
      <c r="CX155">
        <f>IFERROR(SMALL(CX47:CX127,ROW()-ROW($CX$130)+1),"")</f>
        <v>0</v>
      </c>
      <c r="CY155">
        <f>IFERROR(SMALL(CY47:CY127,ROW()-ROW($CY$130)+1),"")</f>
        <v>0</v>
      </c>
      <c r="CZ155">
        <f>IFERROR(SMALL(CZ47:CZ127,ROW()-ROW($CZ$130)+1),"")</f>
        <v>0</v>
      </c>
      <c r="DA155">
        <f>IFERROR(SMALL(DA47:DA127,ROW()-ROW($DA$130)+1),"")</f>
        <v>0</v>
      </c>
      <c r="DB155">
        <f>IFERROR(SMALL(DB47:DB127,ROW()-ROW($DB$130)+1),"")</f>
        <v>0</v>
      </c>
      <c r="DC155">
        <f>IFERROR(SMALL(DC47:DC127,ROW()-ROW($DC$130)+1),"")</f>
        <v>0</v>
      </c>
      <c r="DD155">
        <f>IFERROR(SMALL(DD47:DD127,ROW()-ROW($DD$130)+1),"")</f>
        <v>0</v>
      </c>
      <c r="DE155">
        <f>IFERROR(SMALL(DE47:DE127,ROW()-ROW($DE$130)+1),"")</f>
        <v>0</v>
      </c>
      <c r="DF155">
        <f>IFERROR(SMALL(DF47:DF127,ROW()-ROW($DF$130)+1),"")</f>
        <v>0</v>
      </c>
      <c r="DG155">
        <f>IFERROR(SMALL(DG47:DG127,ROW()-ROW($DG$130)+1),"")</f>
        <v>0</v>
      </c>
      <c r="DH155">
        <f>IFERROR(SMALL(DH47:DH127,ROW()-ROW($DH$130)+1),"")</f>
        <v>0</v>
      </c>
      <c r="DI155">
        <f>IFERROR(SMALL(DI47:DI127,ROW()-ROW($DI$130)+1),"")</f>
        <v>0</v>
      </c>
      <c r="DJ155">
        <f>IFERROR(SMALL(DJ47:DJ127,ROW()-ROW($DJ$130)+1),"")</f>
        <v>0</v>
      </c>
      <c r="DK155">
        <f>IFERROR(SMALL(DK47:DK127,ROW()-ROW($DK$130)+1),"")</f>
        <v>0</v>
      </c>
      <c r="DL155">
        <f>IFERROR(SMALL(DL47:DL127,ROW()-ROW($DL$130)+1),"")</f>
        <v>0</v>
      </c>
      <c r="DM155">
        <f>IFERROR(SMALL(DM47:DM127,ROW()-ROW($DM$130)+1),"")</f>
        <v>0</v>
      </c>
      <c r="DN155">
        <f>IFERROR(SMALL(DN47:DN127,ROW()-ROW($DN$130)+1),"")</f>
        <v>0</v>
      </c>
      <c r="DO155">
        <f>IFERROR(SMALL(DO47:DO127,ROW()-ROW($DO$130)+1),"")</f>
        <v>0</v>
      </c>
      <c r="DP155">
        <f>IFERROR(SMALL(DP47:DP127,ROW()-ROW($DP$130)+1),"")</f>
        <v>0</v>
      </c>
      <c r="DQ155">
        <f>IFERROR(SMALL(DQ47:DQ127,ROW()-ROW($DQ$130)+1),"")</f>
        <v>0</v>
      </c>
      <c r="DR155">
        <f>IFERROR(SMALL(DR47:DR127,ROW()-ROW($DR$130)+1),"")</f>
        <v>0</v>
      </c>
      <c r="DS155">
        <f>IFERROR(SMALL(DS47:DS127,ROW()-ROW($DS$130)+1),"")</f>
        <v>0</v>
      </c>
      <c r="DT155">
        <f>IFERROR(SMALL(DT47:DT127,ROW()-ROW($DT$130)+1),"")</f>
        <v>0</v>
      </c>
      <c r="DU155">
        <f>IFERROR(SMALL(DU47:DU127,ROW()-ROW($DU$130)+1),"")</f>
        <v>0</v>
      </c>
      <c r="DV155">
        <f>IFERROR(SMALL(DV47:DV127,ROW()-ROW($DV$130)+1),"")</f>
        <v>0</v>
      </c>
      <c r="DW155">
        <f>IFERROR(SMALL(DW47:DW127,ROW()-ROW($DW$130)+1),"")</f>
        <v>0</v>
      </c>
      <c r="DX155">
        <f>IFERROR(SMALL(DX47:DX127,ROW()-ROW($DX$130)+1),"")</f>
        <v>0</v>
      </c>
      <c r="DY155">
        <f>IFERROR(SMALL(DY47:DY127,ROW()-ROW($DY$130)+1),"")</f>
        <v>0</v>
      </c>
      <c r="DZ155">
        <f>IFERROR(SMALL(DZ47:DZ127,ROW()-ROW($DZ$130)+1),"")</f>
        <v>0</v>
      </c>
      <c r="EA155">
        <f>IFERROR(SMALL(EA47:EA127,ROW()-ROW($EA$130)+1),"")</f>
        <v>0</v>
      </c>
      <c r="EB155">
        <f>IFERROR(SMALL(EB47:EB127,ROW()-ROW($EB$130)+1),"")</f>
        <v>0</v>
      </c>
      <c r="EC155">
        <f>IFERROR(SMALL(EC47:EC127,ROW()-ROW($EC$130)+1),"")</f>
        <v>0</v>
      </c>
      <c r="ED155">
        <f>IFERROR(SMALL(ED47:ED127,ROW()-ROW($ED$130)+1),"")</f>
        <v>0</v>
      </c>
    </row>
    <row r="156" spans="5:134">
      <c r="E156">
        <f>IFERROR(SMALL(E47:E127,ROW()-ROW($E$130)+1),"")</f>
        <v>0</v>
      </c>
      <c r="F156">
        <f>IFERROR(SMALL(F47:F127,ROW()-ROW($F$130)+1),"")</f>
        <v>0</v>
      </c>
      <c r="G156">
        <f>IFERROR(SMALL(G47:G127,ROW()-ROW($G$130)+1),"")</f>
        <v>0</v>
      </c>
      <c r="H156">
        <f>IFERROR(SMALL(H47:H127,ROW()-ROW($H$130)+1),"")</f>
        <v>0</v>
      </c>
      <c r="I156">
        <f>IFERROR(SMALL(I47:I127,ROW()-ROW($I$130)+1),"")</f>
        <v>0</v>
      </c>
      <c r="J156">
        <f>IFERROR(SMALL(J47:J127,ROW()-ROW($J$130)+1),"")</f>
        <v>0</v>
      </c>
      <c r="K156">
        <f>IFERROR(SMALL(K47:K127,ROW()-ROW($K$130)+1),"")</f>
        <v>0</v>
      </c>
      <c r="L156">
        <f>IFERROR(SMALL(L47:L127,ROW()-ROW($L$130)+1),"")</f>
        <v>0</v>
      </c>
      <c r="M156">
        <f>IFERROR(SMALL(M47:M127,ROW()-ROW($M$130)+1),"")</f>
        <v>0</v>
      </c>
      <c r="N156">
        <f>IFERROR(SMALL(N47:N127,ROW()-ROW($N$130)+1),"")</f>
        <v>0</v>
      </c>
      <c r="O156">
        <f>IFERROR(SMALL(O47:O127,ROW()-ROW($O$130)+1),"")</f>
        <v>0</v>
      </c>
      <c r="P156">
        <f>IFERROR(SMALL(P47:P127,ROW()-ROW($P$130)+1),"")</f>
        <v>0</v>
      </c>
      <c r="Q156">
        <f>IFERROR(SMALL(Q47:Q127,ROW()-ROW($Q$130)+1),"")</f>
        <v>0</v>
      </c>
      <c r="R156">
        <f>IFERROR(SMALL(R47:R127,ROW()-ROW($R$130)+1),"")</f>
        <v>0</v>
      </c>
      <c r="S156">
        <f>IFERROR(SMALL(S47:S127,ROW()-ROW($S$130)+1),"")</f>
        <v>0</v>
      </c>
      <c r="T156">
        <f>IFERROR(SMALL(T47:T127,ROW()-ROW($T$130)+1),"")</f>
        <v>0</v>
      </c>
      <c r="U156">
        <f>IFERROR(SMALL(U47:U127,ROW()-ROW($U$130)+1),"")</f>
        <v>0</v>
      </c>
      <c r="V156">
        <f>IFERROR(SMALL(V47:V127,ROW()-ROW($V$130)+1),"")</f>
        <v>0</v>
      </c>
      <c r="W156">
        <f>IFERROR(SMALL(W47:W127,ROW()-ROW($W$130)+1),"")</f>
        <v>0</v>
      </c>
      <c r="X156">
        <f>IFERROR(SMALL(X47:X127,ROW()-ROW($X$130)+1),"")</f>
        <v>0</v>
      </c>
      <c r="Y156">
        <f>IFERROR(SMALL(Y47:Y127,ROW()-ROW($Y$130)+1),"")</f>
        <v>0</v>
      </c>
      <c r="Z156">
        <f>IFERROR(SMALL(Z47:Z127,ROW()-ROW($Z$130)+1),"")</f>
        <v>0</v>
      </c>
      <c r="AA156">
        <f>IFERROR(SMALL(AA47:AA127,ROW()-ROW($AA$130)+1),"")</f>
        <v>0</v>
      </c>
      <c r="AB156">
        <f>IFERROR(SMALL(AB47:AB127,ROW()-ROW($AB$130)+1),"")</f>
        <v>0</v>
      </c>
      <c r="AC156">
        <f>IFERROR(SMALL(AC47:AC127,ROW()-ROW($AC$130)+1),"")</f>
        <v>0</v>
      </c>
      <c r="AD156">
        <f>IFERROR(SMALL(AD47:AD127,ROW()-ROW($AD$130)+1),"")</f>
        <v>0</v>
      </c>
      <c r="AE156">
        <f>IFERROR(SMALL(AE47:AE127,ROW()-ROW($AE$130)+1),"")</f>
        <v>0</v>
      </c>
      <c r="AF156">
        <f>IFERROR(SMALL(AF47:AF127,ROW()-ROW($AF$130)+1),"")</f>
        <v>0</v>
      </c>
      <c r="AG156">
        <f>IFERROR(SMALL(AG47:AG127,ROW()-ROW($AG$130)+1),"")</f>
        <v>0</v>
      </c>
      <c r="AH156">
        <f>IFERROR(SMALL(AH47:AH127,ROW()-ROW($AH$130)+1),"")</f>
        <v>0</v>
      </c>
      <c r="AI156">
        <f>IFERROR(SMALL(AI47:AI127,ROW()-ROW($AI$130)+1),"")</f>
        <v>0</v>
      </c>
      <c r="AJ156">
        <f>IFERROR(SMALL(AJ47:AJ127,ROW()-ROW($AJ$130)+1),"")</f>
        <v>0</v>
      </c>
      <c r="AK156">
        <f>IFERROR(SMALL(AK47:AK127,ROW()-ROW($AK$130)+1),"")</f>
        <v>0</v>
      </c>
      <c r="AL156">
        <f>IFERROR(SMALL(AL47:AL127,ROW()-ROW($AL$130)+1),"")</f>
        <v>0</v>
      </c>
      <c r="AM156">
        <f>IFERROR(SMALL(AM47:AM127,ROW()-ROW($AM$130)+1),"")</f>
        <v>0</v>
      </c>
      <c r="AN156">
        <f>IFERROR(SMALL(AN47:AN127,ROW()-ROW($AN$130)+1),"")</f>
        <v>0</v>
      </c>
      <c r="AO156">
        <f>IFERROR(SMALL(AO47:AO127,ROW()-ROW($AO$130)+1),"")</f>
        <v>0</v>
      </c>
      <c r="AP156">
        <f>IFERROR(SMALL(AP47:AP127,ROW()-ROW($AP$130)+1),"")</f>
        <v>0</v>
      </c>
      <c r="AQ156">
        <f>IFERROR(SMALL(AQ47:AQ127,ROW()-ROW($AQ$130)+1),"")</f>
        <v>0</v>
      </c>
      <c r="AR156">
        <f>IFERROR(SMALL(AR47:AR127,ROW()-ROW($AR$130)+1),"")</f>
        <v>0</v>
      </c>
      <c r="AS156">
        <f>IFERROR(SMALL(AS47:AS127,ROW()-ROW($AS$130)+1),"")</f>
        <v>0</v>
      </c>
      <c r="AT156">
        <f>IFERROR(SMALL(AT47:AT127,ROW()-ROW($AT$130)+1),"")</f>
        <v>0</v>
      </c>
      <c r="AU156">
        <f>IFERROR(SMALL(AU47:AU127,ROW()-ROW($AU$130)+1),"")</f>
        <v>0</v>
      </c>
      <c r="AV156">
        <f>IFERROR(SMALL(AV47:AV127,ROW()-ROW($AV$130)+1),"")</f>
        <v>0</v>
      </c>
      <c r="AW156">
        <f>IFERROR(SMALL(AW47:AW127,ROW()-ROW($AW$130)+1),"")</f>
        <v>0</v>
      </c>
      <c r="AX156">
        <f>IFERROR(SMALL(AX47:AX127,ROW()-ROW($AX$130)+1),"")</f>
        <v>0</v>
      </c>
      <c r="AY156">
        <f>IFERROR(SMALL(AY47:AY127,ROW()-ROW($AY$130)+1),"")</f>
        <v>0</v>
      </c>
      <c r="AZ156">
        <f>IFERROR(SMALL(AZ47:AZ127,ROW()-ROW($AZ$130)+1),"")</f>
        <v>0</v>
      </c>
      <c r="BA156">
        <f>IFERROR(SMALL(BA47:BA127,ROW()-ROW($BA$130)+1),"")</f>
        <v>0</v>
      </c>
      <c r="BB156">
        <f>IFERROR(SMALL(BB47:BB127,ROW()-ROW($BB$130)+1),"")</f>
        <v>0</v>
      </c>
      <c r="BC156">
        <f>IFERROR(SMALL(BC47:BC127,ROW()-ROW($BC$130)+1),"")</f>
        <v>0</v>
      </c>
      <c r="BD156">
        <f>IFERROR(SMALL(BD47:BD127,ROW()-ROW($BD$130)+1),"")</f>
        <v>0</v>
      </c>
      <c r="BE156">
        <f>IFERROR(SMALL(BE47:BE127,ROW()-ROW($BE$130)+1),"")</f>
        <v>0</v>
      </c>
      <c r="BF156">
        <f>IFERROR(SMALL(BF47:BF127,ROW()-ROW($BF$130)+1),"")</f>
        <v>0</v>
      </c>
      <c r="BG156">
        <f>IFERROR(SMALL(BG47:BG127,ROW()-ROW($BG$130)+1),"")</f>
        <v>0</v>
      </c>
      <c r="BH156">
        <f>IFERROR(SMALL(BH47:BH127,ROW()-ROW($BH$130)+1),"")</f>
        <v>0</v>
      </c>
      <c r="BI156">
        <f>IFERROR(SMALL(BI47:BI127,ROW()-ROW($BI$130)+1),"")</f>
        <v>0</v>
      </c>
      <c r="BJ156">
        <f>IFERROR(SMALL(BJ47:BJ127,ROW()-ROW($BJ$130)+1),"")</f>
        <v>0</v>
      </c>
      <c r="BK156">
        <f>IFERROR(SMALL(BK47:BK127,ROW()-ROW($BK$130)+1),"")</f>
        <v>0</v>
      </c>
      <c r="BL156">
        <f>IFERROR(SMALL(BL47:BL127,ROW()-ROW($BL$130)+1),"")</f>
        <v>0</v>
      </c>
      <c r="BM156">
        <f>IFERROR(SMALL(BM47:BM127,ROW()-ROW($BM$130)+1),"")</f>
        <v>0</v>
      </c>
      <c r="BN156">
        <f>IFERROR(SMALL(BN47:BN127,ROW()-ROW($BN$130)+1),"")</f>
        <v>0</v>
      </c>
      <c r="BO156">
        <f>IFERROR(SMALL(BO47:BO127,ROW()-ROW($BO$130)+1),"")</f>
        <v>0</v>
      </c>
      <c r="BP156">
        <f>IFERROR(SMALL(BP47:BP127,ROW()-ROW($BP$130)+1),"")</f>
        <v>0</v>
      </c>
      <c r="BS156">
        <f>IFERROR(SMALL(BS47:BS127,ROW()-ROW($BS$130)+1),"")</f>
        <v>0</v>
      </c>
      <c r="BT156">
        <f>IFERROR(SMALL(BT47:BT127,ROW()-ROW($BT$130)+1),"")</f>
        <v>0</v>
      </c>
      <c r="BU156">
        <f>IFERROR(SMALL(BU47:BU127,ROW()-ROW($BU$130)+1),"")</f>
        <v>0</v>
      </c>
      <c r="BV156">
        <f>IFERROR(SMALL(BV47:BV127,ROW()-ROW($BV$130)+1),"")</f>
        <v>0</v>
      </c>
      <c r="BW156">
        <f>IFERROR(SMALL(BW47:BW127,ROW()-ROW($BW$130)+1),"")</f>
        <v>0</v>
      </c>
      <c r="BX156">
        <f>IFERROR(SMALL(BX47:BX127,ROW()-ROW($BX$130)+1),"")</f>
        <v>0</v>
      </c>
      <c r="BY156">
        <f>IFERROR(SMALL(BY47:BY127,ROW()-ROW($BY$130)+1),"")</f>
        <v>0</v>
      </c>
      <c r="BZ156">
        <f>IFERROR(SMALL(BZ47:BZ127,ROW()-ROW($BZ$130)+1),"")</f>
        <v>0</v>
      </c>
      <c r="CA156">
        <f>IFERROR(SMALL(CA47:CA127,ROW()-ROW($CA$130)+1),"")</f>
        <v>0</v>
      </c>
      <c r="CB156">
        <f>IFERROR(SMALL(CB47:CB127,ROW()-ROW($CB$130)+1),"")</f>
        <v>0</v>
      </c>
      <c r="CC156">
        <f>IFERROR(SMALL(CC47:CC127,ROW()-ROW($CC$130)+1),"")</f>
        <v>0</v>
      </c>
      <c r="CD156">
        <f>IFERROR(SMALL(CD47:CD127,ROW()-ROW($CD$130)+1),"")</f>
        <v>0</v>
      </c>
      <c r="CE156">
        <f>IFERROR(SMALL(CE47:CE127,ROW()-ROW($CE$130)+1),"")</f>
        <v>0</v>
      </c>
      <c r="CF156">
        <f>IFERROR(SMALL(CF47:CF127,ROW()-ROW($CF$130)+1),"")</f>
        <v>0</v>
      </c>
      <c r="CG156">
        <f>IFERROR(SMALL(CG47:CG127,ROW()-ROW($CG$130)+1),"")</f>
        <v>0</v>
      </c>
      <c r="CH156">
        <f>IFERROR(SMALL(CH47:CH127,ROW()-ROW($CH$130)+1),"")</f>
        <v>0</v>
      </c>
      <c r="CI156">
        <f>IFERROR(SMALL(CI47:CI127,ROW()-ROW($CI$130)+1),"")</f>
        <v>0</v>
      </c>
      <c r="CJ156">
        <f>IFERROR(SMALL(CJ47:CJ127,ROW()-ROW($CJ$130)+1),"")</f>
        <v>0</v>
      </c>
      <c r="CK156">
        <f>IFERROR(SMALL(CK47:CK127,ROW()-ROW($CK$130)+1),"")</f>
        <v>0</v>
      </c>
      <c r="CL156">
        <f>IFERROR(SMALL(CL47:CL127,ROW()-ROW($CL$130)+1),"")</f>
        <v>0</v>
      </c>
      <c r="CM156">
        <f>IFERROR(SMALL(CM47:CM127,ROW()-ROW($CM$130)+1),"")</f>
        <v>0</v>
      </c>
      <c r="CN156">
        <f>IFERROR(SMALL(CN47:CN127,ROW()-ROW($CN$130)+1),"")</f>
        <v>0</v>
      </c>
      <c r="CO156">
        <f>IFERROR(SMALL(CO47:CO127,ROW()-ROW($CO$130)+1),"")</f>
        <v>0</v>
      </c>
      <c r="CP156">
        <f>IFERROR(SMALL(CP47:CP127,ROW()-ROW($CP$130)+1),"")</f>
        <v>0</v>
      </c>
      <c r="CQ156">
        <f>IFERROR(SMALL(CQ47:CQ127,ROW()-ROW($CQ$130)+1),"")</f>
        <v>0</v>
      </c>
      <c r="CR156">
        <f>IFERROR(SMALL(CR47:CR127,ROW()-ROW($CR$130)+1),"")</f>
        <v>0</v>
      </c>
      <c r="CS156">
        <f>IFERROR(SMALL(CS47:CS127,ROW()-ROW($CS$130)+1),"")</f>
        <v>0</v>
      </c>
      <c r="CT156">
        <f>IFERROR(SMALL(CT47:CT127,ROW()-ROW($CT$130)+1),"")</f>
        <v>0</v>
      </c>
      <c r="CU156">
        <f>IFERROR(SMALL(CU47:CU127,ROW()-ROW($CU$130)+1),"")</f>
        <v>0</v>
      </c>
      <c r="CV156">
        <f>IFERROR(SMALL(CV47:CV127,ROW()-ROW($CV$130)+1),"")</f>
        <v>0</v>
      </c>
      <c r="CW156">
        <f>IFERROR(SMALL(CW47:CW127,ROW()-ROW($CW$130)+1),"")</f>
        <v>0</v>
      </c>
      <c r="CX156">
        <f>IFERROR(SMALL(CX47:CX127,ROW()-ROW($CX$130)+1),"")</f>
        <v>0</v>
      </c>
      <c r="CY156">
        <f>IFERROR(SMALL(CY47:CY127,ROW()-ROW($CY$130)+1),"")</f>
        <v>0</v>
      </c>
      <c r="CZ156">
        <f>IFERROR(SMALL(CZ47:CZ127,ROW()-ROW($CZ$130)+1),"")</f>
        <v>0</v>
      </c>
      <c r="DA156">
        <f>IFERROR(SMALL(DA47:DA127,ROW()-ROW($DA$130)+1),"")</f>
        <v>0</v>
      </c>
      <c r="DB156">
        <f>IFERROR(SMALL(DB47:DB127,ROW()-ROW($DB$130)+1),"")</f>
        <v>0</v>
      </c>
      <c r="DC156">
        <f>IFERROR(SMALL(DC47:DC127,ROW()-ROW($DC$130)+1),"")</f>
        <v>0</v>
      </c>
      <c r="DD156">
        <f>IFERROR(SMALL(DD47:DD127,ROW()-ROW($DD$130)+1),"")</f>
        <v>0</v>
      </c>
      <c r="DE156">
        <f>IFERROR(SMALL(DE47:DE127,ROW()-ROW($DE$130)+1),"")</f>
        <v>0</v>
      </c>
      <c r="DF156">
        <f>IFERROR(SMALL(DF47:DF127,ROW()-ROW($DF$130)+1),"")</f>
        <v>0</v>
      </c>
      <c r="DG156">
        <f>IFERROR(SMALL(DG47:DG127,ROW()-ROW($DG$130)+1),"")</f>
        <v>0</v>
      </c>
      <c r="DH156">
        <f>IFERROR(SMALL(DH47:DH127,ROW()-ROW($DH$130)+1),"")</f>
        <v>0</v>
      </c>
      <c r="DI156">
        <f>IFERROR(SMALL(DI47:DI127,ROW()-ROW($DI$130)+1),"")</f>
        <v>0</v>
      </c>
      <c r="DJ156">
        <f>IFERROR(SMALL(DJ47:DJ127,ROW()-ROW($DJ$130)+1),"")</f>
        <v>0</v>
      </c>
      <c r="DK156">
        <f>IFERROR(SMALL(DK47:DK127,ROW()-ROW($DK$130)+1),"")</f>
        <v>0</v>
      </c>
      <c r="DL156">
        <f>IFERROR(SMALL(DL47:DL127,ROW()-ROW($DL$130)+1),"")</f>
        <v>0</v>
      </c>
      <c r="DM156">
        <f>IFERROR(SMALL(DM47:DM127,ROW()-ROW($DM$130)+1),"")</f>
        <v>0</v>
      </c>
      <c r="DN156">
        <f>IFERROR(SMALL(DN47:DN127,ROW()-ROW($DN$130)+1),"")</f>
        <v>0</v>
      </c>
      <c r="DO156">
        <f>IFERROR(SMALL(DO47:DO127,ROW()-ROW($DO$130)+1),"")</f>
        <v>0</v>
      </c>
      <c r="DP156">
        <f>IFERROR(SMALL(DP47:DP127,ROW()-ROW($DP$130)+1),"")</f>
        <v>0</v>
      </c>
      <c r="DQ156">
        <f>IFERROR(SMALL(DQ47:DQ127,ROW()-ROW($DQ$130)+1),"")</f>
        <v>0</v>
      </c>
      <c r="DR156">
        <f>IFERROR(SMALL(DR47:DR127,ROW()-ROW($DR$130)+1),"")</f>
        <v>0</v>
      </c>
      <c r="DS156">
        <f>IFERROR(SMALL(DS47:DS127,ROW()-ROW($DS$130)+1),"")</f>
        <v>0</v>
      </c>
      <c r="DT156">
        <f>IFERROR(SMALL(DT47:DT127,ROW()-ROW($DT$130)+1),"")</f>
        <v>0</v>
      </c>
      <c r="DU156">
        <f>IFERROR(SMALL(DU47:DU127,ROW()-ROW($DU$130)+1),"")</f>
        <v>0</v>
      </c>
      <c r="DV156">
        <f>IFERROR(SMALL(DV47:DV127,ROW()-ROW($DV$130)+1),"")</f>
        <v>0</v>
      </c>
      <c r="DW156">
        <f>IFERROR(SMALL(DW47:DW127,ROW()-ROW($DW$130)+1),"")</f>
        <v>0</v>
      </c>
      <c r="DX156">
        <f>IFERROR(SMALL(DX47:DX127,ROW()-ROW($DX$130)+1),"")</f>
        <v>0</v>
      </c>
      <c r="DY156">
        <f>IFERROR(SMALL(DY47:DY127,ROW()-ROW($DY$130)+1),"")</f>
        <v>0</v>
      </c>
      <c r="DZ156">
        <f>IFERROR(SMALL(DZ47:DZ127,ROW()-ROW($DZ$130)+1),"")</f>
        <v>0</v>
      </c>
      <c r="EA156">
        <f>IFERROR(SMALL(EA47:EA127,ROW()-ROW($EA$130)+1),"")</f>
        <v>0</v>
      </c>
      <c r="EB156">
        <f>IFERROR(SMALL(EB47:EB127,ROW()-ROW($EB$130)+1),"")</f>
        <v>0</v>
      </c>
      <c r="EC156">
        <f>IFERROR(SMALL(EC47:EC127,ROW()-ROW($EC$130)+1),"")</f>
        <v>0</v>
      </c>
      <c r="ED156">
        <f>IFERROR(SMALL(ED47:ED127,ROW()-ROW($ED$130)+1),"")</f>
        <v>0</v>
      </c>
    </row>
    <row r="157" spans="5:134">
      <c r="E157">
        <f>IFERROR(SMALL(E47:E127,ROW()-ROW($E$130)+1),"")</f>
        <v>0</v>
      </c>
      <c r="F157">
        <f>IFERROR(SMALL(F47:F127,ROW()-ROW($F$130)+1),"")</f>
        <v>0</v>
      </c>
      <c r="G157">
        <f>IFERROR(SMALL(G47:G127,ROW()-ROW($G$130)+1),"")</f>
        <v>0</v>
      </c>
      <c r="H157">
        <f>IFERROR(SMALL(H47:H127,ROW()-ROW($H$130)+1),"")</f>
        <v>0</v>
      </c>
      <c r="I157">
        <f>IFERROR(SMALL(I47:I127,ROW()-ROW($I$130)+1),"")</f>
        <v>0</v>
      </c>
      <c r="J157">
        <f>IFERROR(SMALL(J47:J127,ROW()-ROW($J$130)+1),"")</f>
        <v>0</v>
      </c>
      <c r="K157">
        <f>IFERROR(SMALL(K47:K127,ROW()-ROW($K$130)+1),"")</f>
        <v>0</v>
      </c>
      <c r="L157">
        <f>IFERROR(SMALL(L47:L127,ROW()-ROW($L$130)+1),"")</f>
        <v>0</v>
      </c>
      <c r="M157">
        <f>IFERROR(SMALL(M47:M127,ROW()-ROW($M$130)+1),"")</f>
        <v>0</v>
      </c>
      <c r="N157">
        <f>IFERROR(SMALL(N47:N127,ROW()-ROW($N$130)+1),"")</f>
        <v>0</v>
      </c>
      <c r="O157">
        <f>IFERROR(SMALL(O47:O127,ROW()-ROW($O$130)+1),"")</f>
        <v>0</v>
      </c>
      <c r="P157">
        <f>IFERROR(SMALL(P47:P127,ROW()-ROW($P$130)+1),"")</f>
        <v>0</v>
      </c>
      <c r="Q157">
        <f>IFERROR(SMALL(Q47:Q127,ROW()-ROW($Q$130)+1),"")</f>
        <v>0</v>
      </c>
      <c r="R157">
        <f>IFERROR(SMALL(R47:R127,ROW()-ROW($R$130)+1),"")</f>
        <v>0</v>
      </c>
      <c r="S157">
        <f>IFERROR(SMALL(S47:S127,ROW()-ROW($S$130)+1),"")</f>
        <v>0</v>
      </c>
      <c r="T157">
        <f>IFERROR(SMALL(T47:T127,ROW()-ROW($T$130)+1),"")</f>
        <v>0</v>
      </c>
      <c r="U157">
        <f>IFERROR(SMALL(U47:U127,ROW()-ROW($U$130)+1),"")</f>
        <v>0</v>
      </c>
      <c r="V157">
        <f>IFERROR(SMALL(V47:V127,ROW()-ROW($V$130)+1),"")</f>
        <v>0</v>
      </c>
      <c r="W157">
        <f>IFERROR(SMALL(W47:W127,ROW()-ROW($W$130)+1),"")</f>
        <v>0</v>
      </c>
      <c r="X157">
        <f>IFERROR(SMALL(X47:X127,ROW()-ROW($X$130)+1),"")</f>
        <v>0</v>
      </c>
      <c r="Y157">
        <f>IFERROR(SMALL(Y47:Y127,ROW()-ROW($Y$130)+1),"")</f>
        <v>0</v>
      </c>
      <c r="Z157">
        <f>IFERROR(SMALL(Z47:Z127,ROW()-ROW($Z$130)+1),"")</f>
        <v>0</v>
      </c>
      <c r="AA157">
        <f>IFERROR(SMALL(AA47:AA127,ROW()-ROW($AA$130)+1),"")</f>
        <v>0</v>
      </c>
      <c r="AB157">
        <f>IFERROR(SMALL(AB47:AB127,ROW()-ROW($AB$130)+1),"")</f>
        <v>0</v>
      </c>
      <c r="AC157">
        <f>IFERROR(SMALL(AC47:AC127,ROW()-ROW($AC$130)+1),"")</f>
        <v>0</v>
      </c>
      <c r="AD157">
        <f>IFERROR(SMALL(AD47:AD127,ROW()-ROW($AD$130)+1),"")</f>
        <v>0</v>
      </c>
      <c r="AE157">
        <f>IFERROR(SMALL(AE47:AE127,ROW()-ROW($AE$130)+1),"")</f>
        <v>0</v>
      </c>
      <c r="AF157">
        <f>IFERROR(SMALL(AF47:AF127,ROW()-ROW($AF$130)+1),"")</f>
        <v>0</v>
      </c>
      <c r="AG157">
        <f>IFERROR(SMALL(AG47:AG127,ROW()-ROW($AG$130)+1),"")</f>
        <v>0</v>
      </c>
      <c r="AH157">
        <f>IFERROR(SMALL(AH47:AH127,ROW()-ROW($AH$130)+1),"")</f>
        <v>0</v>
      </c>
      <c r="AI157">
        <f>IFERROR(SMALL(AI47:AI127,ROW()-ROW($AI$130)+1),"")</f>
        <v>0</v>
      </c>
      <c r="AJ157">
        <f>IFERROR(SMALL(AJ47:AJ127,ROW()-ROW($AJ$130)+1),"")</f>
        <v>0</v>
      </c>
      <c r="AK157">
        <f>IFERROR(SMALL(AK47:AK127,ROW()-ROW($AK$130)+1),"")</f>
        <v>0</v>
      </c>
      <c r="AL157">
        <f>IFERROR(SMALL(AL47:AL127,ROW()-ROW($AL$130)+1),"")</f>
        <v>0</v>
      </c>
      <c r="AM157">
        <f>IFERROR(SMALL(AM47:AM127,ROW()-ROW($AM$130)+1),"")</f>
        <v>0</v>
      </c>
      <c r="AN157">
        <f>IFERROR(SMALL(AN47:AN127,ROW()-ROW($AN$130)+1),"")</f>
        <v>0</v>
      </c>
      <c r="AO157">
        <f>IFERROR(SMALL(AO47:AO127,ROW()-ROW($AO$130)+1),"")</f>
        <v>0</v>
      </c>
      <c r="AP157">
        <f>IFERROR(SMALL(AP47:AP127,ROW()-ROW($AP$130)+1),"")</f>
        <v>0</v>
      </c>
      <c r="AQ157">
        <f>IFERROR(SMALL(AQ47:AQ127,ROW()-ROW($AQ$130)+1),"")</f>
        <v>0</v>
      </c>
      <c r="AR157">
        <f>IFERROR(SMALL(AR47:AR127,ROW()-ROW($AR$130)+1),"")</f>
        <v>0</v>
      </c>
      <c r="AS157">
        <f>IFERROR(SMALL(AS47:AS127,ROW()-ROW($AS$130)+1),"")</f>
        <v>0</v>
      </c>
      <c r="AT157">
        <f>IFERROR(SMALL(AT47:AT127,ROW()-ROW($AT$130)+1),"")</f>
        <v>0</v>
      </c>
      <c r="AU157">
        <f>IFERROR(SMALL(AU47:AU127,ROW()-ROW($AU$130)+1),"")</f>
        <v>0</v>
      </c>
      <c r="AV157">
        <f>IFERROR(SMALL(AV47:AV127,ROW()-ROW($AV$130)+1),"")</f>
        <v>0</v>
      </c>
      <c r="AW157">
        <f>IFERROR(SMALL(AW47:AW127,ROW()-ROW($AW$130)+1),"")</f>
        <v>0</v>
      </c>
      <c r="AX157">
        <f>IFERROR(SMALL(AX47:AX127,ROW()-ROW($AX$130)+1),"")</f>
        <v>0</v>
      </c>
      <c r="AY157">
        <f>IFERROR(SMALL(AY47:AY127,ROW()-ROW($AY$130)+1),"")</f>
        <v>0</v>
      </c>
      <c r="AZ157">
        <f>IFERROR(SMALL(AZ47:AZ127,ROW()-ROW($AZ$130)+1),"")</f>
        <v>0</v>
      </c>
      <c r="BA157">
        <f>IFERROR(SMALL(BA47:BA127,ROW()-ROW($BA$130)+1),"")</f>
        <v>0</v>
      </c>
      <c r="BB157">
        <f>IFERROR(SMALL(BB47:BB127,ROW()-ROW($BB$130)+1),"")</f>
        <v>0</v>
      </c>
      <c r="BC157">
        <f>IFERROR(SMALL(BC47:BC127,ROW()-ROW($BC$130)+1),"")</f>
        <v>0</v>
      </c>
      <c r="BD157">
        <f>IFERROR(SMALL(BD47:BD127,ROW()-ROW($BD$130)+1),"")</f>
        <v>0</v>
      </c>
      <c r="BE157">
        <f>IFERROR(SMALL(BE47:BE127,ROW()-ROW($BE$130)+1),"")</f>
        <v>0</v>
      </c>
      <c r="BF157">
        <f>IFERROR(SMALL(BF47:BF127,ROW()-ROW($BF$130)+1),"")</f>
        <v>0</v>
      </c>
      <c r="BG157">
        <f>IFERROR(SMALL(BG47:BG127,ROW()-ROW($BG$130)+1),"")</f>
        <v>0</v>
      </c>
      <c r="BH157">
        <f>IFERROR(SMALL(BH47:BH127,ROW()-ROW($BH$130)+1),"")</f>
        <v>0</v>
      </c>
      <c r="BI157">
        <f>IFERROR(SMALL(BI47:BI127,ROW()-ROW($BI$130)+1),"")</f>
        <v>0</v>
      </c>
      <c r="BJ157">
        <f>IFERROR(SMALL(BJ47:BJ127,ROW()-ROW($BJ$130)+1),"")</f>
        <v>0</v>
      </c>
      <c r="BK157">
        <f>IFERROR(SMALL(BK47:BK127,ROW()-ROW($BK$130)+1),"")</f>
        <v>0</v>
      </c>
      <c r="BL157">
        <f>IFERROR(SMALL(BL47:BL127,ROW()-ROW($BL$130)+1),"")</f>
        <v>0</v>
      </c>
      <c r="BM157">
        <f>IFERROR(SMALL(BM47:BM127,ROW()-ROW($BM$130)+1),"")</f>
        <v>0</v>
      </c>
      <c r="BN157">
        <f>IFERROR(SMALL(BN47:BN127,ROW()-ROW($BN$130)+1),"")</f>
        <v>0</v>
      </c>
      <c r="BO157">
        <f>IFERROR(SMALL(BO47:BO127,ROW()-ROW($BO$130)+1),"")</f>
        <v>0</v>
      </c>
      <c r="BP157">
        <f>IFERROR(SMALL(BP47:BP127,ROW()-ROW($BP$130)+1),"")</f>
        <v>0</v>
      </c>
      <c r="BS157">
        <f>IFERROR(SMALL(BS47:BS127,ROW()-ROW($BS$130)+1),"")</f>
        <v>0</v>
      </c>
      <c r="BT157">
        <f>IFERROR(SMALL(BT47:BT127,ROW()-ROW($BT$130)+1),"")</f>
        <v>0</v>
      </c>
      <c r="BU157">
        <f>IFERROR(SMALL(BU47:BU127,ROW()-ROW($BU$130)+1),"")</f>
        <v>0</v>
      </c>
      <c r="BV157">
        <f>IFERROR(SMALL(BV47:BV127,ROW()-ROW($BV$130)+1),"")</f>
        <v>0</v>
      </c>
      <c r="BW157">
        <f>IFERROR(SMALL(BW47:BW127,ROW()-ROW($BW$130)+1),"")</f>
        <v>0</v>
      </c>
      <c r="BX157">
        <f>IFERROR(SMALL(BX47:BX127,ROW()-ROW($BX$130)+1),"")</f>
        <v>0</v>
      </c>
      <c r="BY157">
        <f>IFERROR(SMALL(BY47:BY127,ROW()-ROW($BY$130)+1),"")</f>
        <v>0</v>
      </c>
      <c r="BZ157">
        <f>IFERROR(SMALL(BZ47:BZ127,ROW()-ROW($BZ$130)+1),"")</f>
        <v>0</v>
      </c>
      <c r="CA157">
        <f>IFERROR(SMALL(CA47:CA127,ROW()-ROW($CA$130)+1),"")</f>
        <v>0</v>
      </c>
      <c r="CB157">
        <f>IFERROR(SMALL(CB47:CB127,ROW()-ROW($CB$130)+1),"")</f>
        <v>0</v>
      </c>
      <c r="CC157">
        <f>IFERROR(SMALL(CC47:CC127,ROW()-ROW($CC$130)+1),"")</f>
        <v>0</v>
      </c>
      <c r="CD157">
        <f>IFERROR(SMALL(CD47:CD127,ROW()-ROW($CD$130)+1),"")</f>
        <v>0</v>
      </c>
      <c r="CE157">
        <f>IFERROR(SMALL(CE47:CE127,ROW()-ROW($CE$130)+1),"")</f>
        <v>0</v>
      </c>
      <c r="CF157">
        <f>IFERROR(SMALL(CF47:CF127,ROW()-ROW($CF$130)+1),"")</f>
        <v>0</v>
      </c>
      <c r="CG157">
        <f>IFERROR(SMALL(CG47:CG127,ROW()-ROW($CG$130)+1),"")</f>
        <v>0</v>
      </c>
      <c r="CH157">
        <f>IFERROR(SMALL(CH47:CH127,ROW()-ROW($CH$130)+1),"")</f>
        <v>0</v>
      </c>
      <c r="CI157">
        <f>IFERROR(SMALL(CI47:CI127,ROW()-ROW($CI$130)+1),"")</f>
        <v>0</v>
      </c>
      <c r="CJ157">
        <f>IFERROR(SMALL(CJ47:CJ127,ROW()-ROW($CJ$130)+1),"")</f>
        <v>0</v>
      </c>
      <c r="CK157">
        <f>IFERROR(SMALL(CK47:CK127,ROW()-ROW($CK$130)+1),"")</f>
        <v>0</v>
      </c>
      <c r="CL157">
        <f>IFERROR(SMALL(CL47:CL127,ROW()-ROW($CL$130)+1),"")</f>
        <v>0</v>
      </c>
      <c r="CM157">
        <f>IFERROR(SMALL(CM47:CM127,ROW()-ROW($CM$130)+1),"")</f>
        <v>0</v>
      </c>
      <c r="CN157">
        <f>IFERROR(SMALL(CN47:CN127,ROW()-ROW($CN$130)+1),"")</f>
        <v>0</v>
      </c>
      <c r="CO157">
        <f>IFERROR(SMALL(CO47:CO127,ROW()-ROW($CO$130)+1),"")</f>
        <v>0</v>
      </c>
      <c r="CP157">
        <f>IFERROR(SMALL(CP47:CP127,ROW()-ROW($CP$130)+1),"")</f>
        <v>0</v>
      </c>
      <c r="CQ157">
        <f>IFERROR(SMALL(CQ47:CQ127,ROW()-ROW($CQ$130)+1),"")</f>
        <v>0</v>
      </c>
      <c r="CR157">
        <f>IFERROR(SMALL(CR47:CR127,ROW()-ROW($CR$130)+1),"")</f>
        <v>0</v>
      </c>
      <c r="CS157">
        <f>IFERROR(SMALL(CS47:CS127,ROW()-ROW($CS$130)+1),"")</f>
        <v>0</v>
      </c>
      <c r="CT157">
        <f>IFERROR(SMALL(CT47:CT127,ROW()-ROW($CT$130)+1),"")</f>
        <v>0</v>
      </c>
      <c r="CU157">
        <f>IFERROR(SMALL(CU47:CU127,ROW()-ROW($CU$130)+1),"")</f>
        <v>0</v>
      </c>
      <c r="CV157">
        <f>IFERROR(SMALL(CV47:CV127,ROW()-ROW($CV$130)+1),"")</f>
        <v>0</v>
      </c>
      <c r="CW157">
        <f>IFERROR(SMALL(CW47:CW127,ROW()-ROW($CW$130)+1),"")</f>
        <v>0</v>
      </c>
      <c r="CX157">
        <f>IFERROR(SMALL(CX47:CX127,ROW()-ROW($CX$130)+1),"")</f>
        <v>0</v>
      </c>
      <c r="CY157">
        <f>IFERROR(SMALL(CY47:CY127,ROW()-ROW($CY$130)+1),"")</f>
        <v>0</v>
      </c>
      <c r="CZ157">
        <f>IFERROR(SMALL(CZ47:CZ127,ROW()-ROW($CZ$130)+1),"")</f>
        <v>0</v>
      </c>
      <c r="DA157">
        <f>IFERROR(SMALL(DA47:DA127,ROW()-ROW($DA$130)+1),"")</f>
        <v>0</v>
      </c>
      <c r="DB157">
        <f>IFERROR(SMALL(DB47:DB127,ROW()-ROW($DB$130)+1),"")</f>
        <v>0</v>
      </c>
      <c r="DC157">
        <f>IFERROR(SMALL(DC47:DC127,ROW()-ROW($DC$130)+1),"")</f>
        <v>0</v>
      </c>
      <c r="DD157">
        <f>IFERROR(SMALL(DD47:DD127,ROW()-ROW($DD$130)+1),"")</f>
        <v>0</v>
      </c>
      <c r="DE157">
        <f>IFERROR(SMALL(DE47:DE127,ROW()-ROW($DE$130)+1),"")</f>
        <v>0</v>
      </c>
      <c r="DF157">
        <f>IFERROR(SMALL(DF47:DF127,ROW()-ROW($DF$130)+1),"")</f>
        <v>0</v>
      </c>
      <c r="DG157">
        <f>IFERROR(SMALL(DG47:DG127,ROW()-ROW($DG$130)+1),"")</f>
        <v>0</v>
      </c>
      <c r="DH157">
        <f>IFERROR(SMALL(DH47:DH127,ROW()-ROW($DH$130)+1),"")</f>
        <v>0</v>
      </c>
      <c r="DI157">
        <f>IFERROR(SMALL(DI47:DI127,ROW()-ROW($DI$130)+1),"")</f>
        <v>0</v>
      </c>
      <c r="DJ157">
        <f>IFERROR(SMALL(DJ47:DJ127,ROW()-ROW($DJ$130)+1),"")</f>
        <v>0</v>
      </c>
      <c r="DK157">
        <f>IFERROR(SMALL(DK47:DK127,ROW()-ROW($DK$130)+1),"")</f>
        <v>0</v>
      </c>
      <c r="DL157">
        <f>IFERROR(SMALL(DL47:DL127,ROW()-ROW($DL$130)+1),"")</f>
        <v>0</v>
      </c>
      <c r="DM157">
        <f>IFERROR(SMALL(DM47:DM127,ROW()-ROW($DM$130)+1),"")</f>
        <v>0</v>
      </c>
      <c r="DN157">
        <f>IFERROR(SMALL(DN47:DN127,ROW()-ROW($DN$130)+1),"")</f>
        <v>0</v>
      </c>
      <c r="DO157">
        <f>IFERROR(SMALL(DO47:DO127,ROW()-ROW($DO$130)+1),"")</f>
        <v>0</v>
      </c>
      <c r="DP157">
        <f>IFERROR(SMALL(DP47:DP127,ROW()-ROW($DP$130)+1),"")</f>
        <v>0</v>
      </c>
      <c r="DQ157">
        <f>IFERROR(SMALL(DQ47:DQ127,ROW()-ROW($DQ$130)+1),"")</f>
        <v>0</v>
      </c>
      <c r="DR157">
        <f>IFERROR(SMALL(DR47:DR127,ROW()-ROW($DR$130)+1),"")</f>
        <v>0</v>
      </c>
      <c r="DS157">
        <f>IFERROR(SMALL(DS47:DS127,ROW()-ROW($DS$130)+1),"")</f>
        <v>0</v>
      </c>
      <c r="DT157">
        <f>IFERROR(SMALL(DT47:DT127,ROW()-ROW($DT$130)+1),"")</f>
        <v>0</v>
      </c>
      <c r="DU157">
        <f>IFERROR(SMALL(DU47:DU127,ROW()-ROW($DU$130)+1),"")</f>
        <v>0</v>
      </c>
      <c r="DV157">
        <f>IFERROR(SMALL(DV47:DV127,ROW()-ROW($DV$130)+1),"")</f>
        <v>0</v>
      </c>
      <c r="DW157">
        <f>IFERROR(SMALL(DW47:DW127,ROW()-ROW($DW$130)+1),"")</f>
        <v>0</v>
      </c>
      <c r="DX157">
        <f>IFERROR(SMALL(DX47:DX127,ROW()-ROW($DX$130)+1),"")</f>
        <v>0</v>
      </c>
      <c r="DY157">
        <f>IFERROR(SMALL(DY47:DY127,ROW()-ROW($DY$130)+1),"")</f>
        <v>0</v>
      </c>
      <c r="DZ157">
        <f>IFERROR(SMALL(DZ47:DZ127,ROW()-ROW($DZ$130)+1),"")</f>
        <v>0</v>
      </c>
      <c r="EA157">
        <f>IFERROR(SMALL(EA47:EA127,ROW()-ROW($EA$130)+1),"")</f>
        <v>0</v>
      </c>
      <c r="EB157">
        <f>IFERROR(SMALL(EB47:EB127,ROW()-ROW($EB$130)+1),"")</f>
        <v>0</v>
      </c>
      <c r="EC157">
        <f>IFERROR(SMALL(EC47:EC127,ROW()-ROW($EC$130)+1),"")</f>
        <v>0</v>
      </c>
      <c r="ED157">
        <f>IFERROR(SMALL(ED47:ED127,ROW()-ROW($ED$130)+1),"")</f>
        <v>0</v>
      </c>
    </row>
    <row r="158" spans="5:134">
      <c r="E158">
        <f>IFERROR(SMALL(E47:E127,ROW()-ROW($E$130)+1),"")</f>
        <v>0</v>
      </c>
      <c r="F158">
        <f>IFERROR(SMALL(F47:F127,ROW()-ROW($F$130)+1),"")</f>
        <v>0</v>
      </c>
      <c r="G158">
        <f>IFERROR(SMALL(G47:G127,ROW()-ROW($G$130)+1),"")</f>
        <v>0</v>
      </c>
      <c r="H158">
        <f>IFERROR(SMALL(H47:H127,ROW()-ROW($H$130)+1),"")</f>
        <v>0</v>
      </c>
      <c r="I158">
        <f>IFERROR(SMALL(I47:I127,ROW()-ROW($I$130)+1),"")</f>
        <v>0</v>
      </c>
      <c r="J158">
        <f>IFERROR(SMALL(J47:J127,ROW()-ROW($J$130)+1),"")</f>
        <v>0</v>
      </c>
      <c r="K158">
        <f>IFERROR(SMALL(K47:K127,ROW()-ROW($K$130)+1),"")</f>
        <v>0</v>
      </c>
      <c r="L158">
        <f>IFERROR(SMALL(L47:L127,ROW()-ROW($L$130)+1),"")</f>
        <v>0</v>
      </c>
      <c r="M158">
        <f>IFERROR(SMALL(M47:M127,ROW()-ROW($M$130)+1),"")</f>
        <v>0</v>
      </c>
      <c r="N158">
        <f>IFERROR(SMALL(N47:N127,ROW()-ROW($N$130)+1),"")</f>
        <v>0</v>
      </c>
      <c r="O158">
        <f>IFERROR(SMALL(O47:O127,ROW()-ROW($O$130)+1),"")</f>
        <v>0</v>
      </c>
      <c r="P158">
        <f>IFERROR(SMALL(P47:P127,ROW()-ROW($P$130)+1),"")</f>
        <v>0</v>
      </c>
      <c r="Q158">
        <f>IFERROR(SMALL(Q47:Q127,ROW()-ROW($Q$130)+1),"")</f>
        <v>0</v>
      </c>
      <c r="R158">
        <f>IFERROR(SMALL(R47:R127,ROW()-ROW($R$130)+1),"")</f>
        <v>0</v>
      </c>
      <c r="S158">
        <f>IFERROR(SMALL(S47:S127,ROW()-ROW($S$130)+1),"")</f>
        <v>0</v>
      </c>
      <c r="T158">
        <f>IFERROR(SMALL(T47:T127,ROW()-ROW($T$130)+1),"")</f>
        <v>0</v>
      </c>
      <c r="U158">
        <f>IFERROR(SMALL(U47:U127,ROW()-ROW($U$130)+1),"")</f>
        <v>0</v>
      </c>
      <c r="V158">
        <f>IFERROR(SMALL(V47:V127,ROW()-ROW($V$130)+1),"")</f>
        <v>0</v>
      </c>
      <c r="W158">
        <f>IFERROR(SMALL(W47:W127,ROW()-ROW($W$130)+1),"")</f>
        <v>0</v>
      </c>
      <c r="X158">
        <f>IFERROR(SMALL(X47:X127,ROW()-ROW($X$130)+1),"")</f>
        <v>0</v>
      </c>
      <c r="Y158">
        <f>IFERROR(SMALL(Y47:Y127,ROW()-ROW($Y$130)+1),"")</f>
        <v>0</v>
      </c>
      <c r="Z158">
        <f>IFERROR(SMALL(Z47:Z127,ROW()-ROW($Z$130)+1),"")</f>
        <v>0</v>
      </c>
      <c r="AA158">
        <f>IFERROR(SMALL(AA47:AA127,ROW()-ROW($AA$130)+1),"")</f>
        <v>0</v>
      </c>
      <c r="AB158">
        <f>IFERROR(SMALL(AB47:AB127,ROW()-ROW($AB$130)+1),"")</f>
        <v>0</v>
      </c>
      <c r="AC158">
        <f>IFERROR(SMALL(AC47:AC127,ROW()-ROW($AC$130)+1),"")</f>
        <v>0</v>
      </c>
      <c r="AD158">
        <f>IFERROR(SMALL(AD47:AD127,ROW()-ROW($AD$130)+1),"")</f>
        <v>0</v>
      </c>
      <c r="AE158">
        <f>IFERROR(SMALL(AE47:AE127,ROW()-ROW($AE$130)+1),"")</f>
        <v>0</v>
      </c>
      <c r="AF158">
        <f>IFERROR(SMALL(AF47:AF127,ROW()-ROW($AF$130)+1),"")</f>
        <v>0</v>
      </c>
      <c r="AG158">
        <f>IFERROR(SMALL(AG47:AG127,ROW()-ROW($AG$130)+1),"")</f>
        <v>0</v>
      </c>
      <c r="AH158">
        <f>IFERROR(SMALL(AH47:AH127,ROW()-ROW($AH$130)+1),"")</f>
        <v>0</v>
      </c>
      <c r="AI158">
        <f>IFERROR(SMALL(AI47:AI127,ROW()-ROW($AI$130)+1),"")</f>
        <v>0</v>
      </c>
      <c r="AJ158">
        <f>IFERROR(SMALL(AJ47:AJ127,ROW()-ROW($AJ$130)+1),"")</f>
        <v>0</v>
      </c>
      <c r="AK158">
        <f>IFERROR(SMALL(AK47:AK127,ROW()-ROW($AK$130)+1),"")</f>
        <v>0</v>
      </c>
      <c r="AL158">
        <f>IFERROR(SMALL(AL47:AL127,ROW()-ROW($AL$130)+1),"")</f>
        <v>0</v>
      </c>
      <c r="AM158">
        <f>IFERROR(SMALL(AM47:AM127,ROW()-ROW($AM$130)+1),"")</f>
        <v>0</v>
      </c>
      <c r="AN158">
        <f>IFERROR(SMALL(AN47:AN127,ROW()-ROW($AN$130)+1),"")</f>
        <v>0</v>
      </c>
      <c r="AO158">
        <f>IFERROR(SMALL(AO47:AO127,ROW()-ROW($AO$130)+1),"")</f>
        <v>0</v>
      </c>
      <c r="AP158">
        <f>IFERROR(SMALL(AP47:AP127,ROW()-ROW($AP$130)+1),"")</f>
        <v>0</v>
      </c>
      <c r="AQ158">
        <f>IFERROR(SMALL(AQ47:AQ127,ROW()-ROW($AQ$130)+1),"")</f>
        <v>0</v>
      </c>
      <c r="AR158">
        <f>IFERROR(SMALL(AR47:AR127,ROW()-ROW($AR$130)+1),"")</f>
        <v>0</v>
      </c>
      <c r="AS158">
        <f>IFERROR(SMALL(AS47:AS127,ROW()-ROW($AS$130)+1),"")</f>
        <v>0</v>
      </c>
      <c r="AT158">
        <f>IFERROR(SMALL(AT47:AT127,ROW()-ROW($AT$130)+1),"")</f>
        <v>0</v>
      </c>
      <c r="AU158">
        <f>IFERROR(SMALL(AU47:AU127,ROW()-ROW($AU$130)+1),"")</f>
        <v>0</v>
      </c>
      <c r="AV158">
        <f>IFERROR(SMALL(AV47:AV127,ROW()-ROW($AV$130)+1),"")</f>
        <v>0</v>
      </c>
      <c r="AW158">
        <f>IFERROR(SMALL(AW47:AW127,ROW()-ROW($AW$130)+1),"")</f>
        <v>0</v>
      </c>
      <c r="AX158">
        <f>IFERROR(SMALL(AX47:AX127,ROW()-ROW($AX$130)+1),"")</f>
        <v>0</v>
      </c>
      <c r="AY158">
        <f>IFERROR(SMALL(AY47:AY127,ROW()-ROW($AY$130)+1),"")</f>
        <v>0</v>
      </c>
      <c r="AZ158">
        <f>IFERROR(SMALL(AZ47:AZ127,ROW()-ROW($AZ$130)+1),"")</f>
        <v>0</v>
      </c>
      <c r="BA158">
        <f>IFERROR(SMALL(BA47:BA127,ROW()-ROW($BA$130)+1),"")</f>
        <v>0</v>
      </c>
      <c r="BB158">
        <f>IFERROR(SMALL(BB47:BB127,ROW()-ROW($BB$130)+1),"")</f>
        <v>0</v>
      </c>
      <c r="BC158">
        <f>IFERROR(SMALL(BC47:BC127,ROW()-ROW($BC$130)+1),"")</f>
        <v>0</v>
      </c>
      <c r="BD158">
        <f>IFERROR(SMALL(BD47:BD127,ROW()-ROW($BD$130)+1),"")</f>
        <v>0</v>
      </c>
      <c r="BE158">
        <f>IFERROR(SMALL(BE47:BE127,ROW()-ROW($BE$130)+1),"")</f>
        <v>0</v>
      </c>
      <c r="BF158">
        <f>IFERROR(SMALL(BF47:BF127,ROW()-ROW($BF$130)+1),"")</f>
        <v>0</v>
      </c>
      <c r="BG158">
        <f>IFERROR(SMALL(BG47:BG127,ROW()-ROW($BG$130)+1),"")</f>
        <v>0</v>
      </c>
      <c r="BH158">
        <f>IFERROR(SMALL(BH47:BH127,ROW()-ROW($BH$130)+1),"")</f>
        <v>0</v>
      </c>
      <c r="BI158">
        <f>IFERROR(SMALL(BI47:BI127,ROW()-ROW($BI$130)+1),"")</f>
        <v>0</v>
      </c>
      <c r="BJ158">
        <f>IFERROR(SMALL(BJ47:BJ127,ROW()-ROW($BJ$130)+1),"")</f>
        <v>0</v>
      </c>
      <c r="BK158">
        <f>IFERROR(SMALL(BK47:BK127,ROW()-ROW($BK$130)+1),"")</f>
        <v>0</v>
      </c>
      <c r="BL158">
        <f>IFERROR(SMALL(BL47:BL127,ROW()-ROW($BL$130)+1),"")</f>
        <v>0</v>
      </c>
      <c r="BM158">
        <f>IFERROR(SMALL(BM47:BM127,ROW()-ROW($BM$130)+1),"")</f>
        <v>0</v>
      </c>
      <c r="BN158">
        <f>IFERROR(SMALL(BN47:BN127,ROW()-ROW($BN$130)+1),"")</f>
        <v>0</v>
      </c>
      <c r="BO158">
        <f>IFERROR(SMALL(BO47:BO127,ROW()-ROW($BO$130)+1),"")</f>
        <v>0</v>
      </c>
      <c r="BP158">
        <f>IFERROR(SMALL(BP47:BP127,ROW()-ROW($BP$130)+1),"")</f>
        <v>0</v>
      </c>
      <c r="BS158">
        <f>IFERROR(SMALL(BS47:BS127,ROW()-ROW($BS$130)+1),"")</f>
        <v>0</v>
      </c>
      <c r="BT158">
        <f>IFERROR(SMALL(BT47:BT127,ROW()-ROW($BT$130)+1),"")</f>
        <v>0</v>
      </c>
      <c r="BU158">
        <f>IFERROR(SMALL(BU47:BU127,ROW()-ROW($BU$130)+1),"")</f>
        <v>0</v>
      </c>
      <c r="BV158">
        <f>IFERROR(SMALL(BV47:BV127,ROW()-ROW($BV$130)+1),"")</f>
        <v>0</v>
      </c>
      <c r="BW158">
        <f>IFERROR(SMALL(BW47:BW127,ROW()-ROW($BW$130)+1),"")</f>
        <v>0</v>
      </c>
      <c r="BX158">
        <f>IFERROR(SMALL(BX47:BX127,ROW()-ROW($BX$130)+1),"")</f>
        <v>0</v>
      </c>
      <c r="BY158">
        <f>IFERROR(SMALL(BY47:BY127,ROW()-ROW($BY$130)+1),"")</f>
        <v>0</v>
      </c>
      <c r="BZ158">
        <f>IFERROR(SMALL(BZ47:BZ127,ROW()-ROW($BZ$130)+1),"")</f>
        <v>0</v>
      </c>
      <c r="CA158">
        <f>IFERROR(SMALL(CA47:CA127,ROW()-ROW($CA$130)+1),"")</f>
        <v>0</v>
      </c>
      <c r="CB158">
        <f>IFERROR(SMALL(CB47:CB127,ROW()-ROW($CB$130)+1),"")</f>
        <v>0</v>
      </c>
      <c r="CC158">
        <f>IFERROR(SMALL(CC47:CC127,ROW()-ROW($CC$130)+1),"")</f>
        <v>0</v>
      </c>
      <c r="CD158">
        <f>IFERROR(SMALL(CD47:CD127,ROW()-ROW($CD$130)+1),"")</f>
        <v>0</v>
      </c>
      <c r="CE158">
        <f>IFERROR(SMALL(CE47:CE127,ROW()-ROW($CE$130)+1),"")</f>
        <v>0</v>
      </c>
      <c r="CF158">
        <f>IFERROR(SMALL(CF47:CF127,ROW()-ROW($CF$130)+1),"")</f>
        <v>0</v>
      </c>
      <c r="CG158">
        <f>IFERROR(SMALL(CG47:CG127,ROW()-ROW($CG$130)+1),"")</f>
        <v>0</v>
      </c>
      <c r="CH158">
        <f>IFERROR(SMALL(CH47:CH127,ROW()-ROW($CH$130)+1),"")</f>
        <v>0</v>
      </c>
      <c r="CI158">
        <f>IFERROR(SMALL(CI47:CI127,ROW()-ROW($CI$130)+1),"")</f>
        <v>0</v>
      </c>
      <c r="CJ158">
        <f>IFERROR(SMALL(CJ47:CJ127,ROW()-ROW($CJ$130)+1),"")</f>
        <v>0</v>
      </c>
      <c r="CK158">
        <f>IFERROR(SMALL(CK47:CK127,ROW()-ROW($CK$130)+1),"")</f>
        <v>0</v>
      </c>
      <c r="CL158">
        <f>IFERROR(SMALL(CL47:CL127,ROW()-ROW($CL$130)+1),"")</f>
        <v>0</v>
      </c>
      <c r="CM158">
        <f>IFERROR(SMALL(CM47:CM127,ROW()-ROW($CM$130)+1),"")</f>
        <v>0</v>
      </c>
      <c r="CN158">
        <f>IFERROR(SMALL(CN47:CN127,ROW()-ROW($CN$130)+1),"")</f>
        <v>0</v>
      </c>
      <c r="CO158">
        <f>IFERROR(SMALL(CO47:CO127,ROW()-ROW($CO$130)+1),"")</f>
        <v>0</v>
      </c>
      <c r="CP158">
        <f>IFERROR(SMALL(CP47:CP127,ROW()-ROW($CP$130)+1),"")</f>
        <v>0</v>
      </c>
      <c r="CQ158">
        <f>IFERROR(SMALL(CQ47:CQ127,ROW()-ROW($CQ$130)+1),"")</f>
        <v>0</v>
      </c>
      <c r="CR158">
        <f>IFERROR(SMALL(CR47:CR127,ROW()-ROW($CR$130)+1),"")</f>
        <v>0</v>
      </c>
      <c r="CS158">
        <f>IFERROR(SMALL(CS47:CS127,ROW()-ROW($CS$130)+1),"")</f>
        <v>0</v>
      </c>
      <c r="CT158">
        <f>IFERROR(SMALL(CT47:CT127,ROW()-ROW($CT$130)+1),"")</f>
        <v>0</v>
      </c>
      <c r="CU158">
        <f>IFERROR(SMALL(CU47:CU127,ROW()-ROW($CU$130)+1),"")</f>
        <v>0</v>
      </c>
      <c r="CV158">
        <f>IFERROR(SMALL(CV47:CV127,ROW()-ROW($CV$130)+1),"")</f>
        <v>0</v>
      </c>
      <c r="CW158">
        <f>IFERROR(SMALL(CW47:CW127,ROW()-ROW($CW$130)+1),"")</f>
        <v>0</v>
      </c>
      <c r="CX158">
        <f>IFERROR(SMALL(CX47:CX127,ROW()-ROW($CX$130)+1),"")</f>
        <v>0</v>
      </c>
      <c r="CY158">
        <f>IFERROR(SMALL(CY47:CY127,ROW()-ROW($CY$130)+1),"")</f>
        <v>0</v>
      </c>
      <c r="CZ158">
        <f>IFERROR(SMALL(CZ47:CZ127,ROW()-ROW($CZ$130)+1),"")</f>
        <v>0</v>
      </c>
      <c r="DA158">
        <f>IFERROR(SMALL(DA47:DA127,ROW()-ROW($DA$130)+1),"")</f>
        <v>0</v>
      </c>
      <c r="DB158">
        <f>IFERROR(SMALL(DB47:DB127,ROW()-ROW($DB$130)+1),"")</f>
        <v>0</v>
      </c>
      <c r="DC158">
        <f>IFERROR(SMALL(DC47:DC127,ROW()-ROW($DC$130)+1),"")</f>
        <v>0</v>
      </c>
      <c r="DD158">
        <f>IFERROR(SMALL(DD47:DD127,ROW()-ROW($DD$130)+1),"")</f>
        <v>0</v>
      </c>
      <c r="DE158">
        <f>IFERROR(SMALL(DE47:DE127,ROW()-ROW($DE$130)+1),"")</f>
        <v>0</v>
      </c>
      <c r="DF158">
        <f>IFERROR(SMALL(DF47:DF127,ROW()-ROW($DF$130)+1),"")</f>
        <v>0</v>
      </c>
      <c r="DG158">
        <f>IFERROR(SMALL(DG47:DG127,ROW()-ROW($DG$130)+1),"")</f>
        <v>0</v>
      </c>
      <c r="DH158">
        <f>IFERROR(SMALL(DH47:DH127,ROW()-ROW($DH$130)+1),"")</f>
        <v>0</v>
      </c>
      <c r="DI158">
        <f>IFERROR(SMALL(DI47:DI127,ROW()-ROW($DI$130)+1),"")</f>
        <v>0</v>
      </c>
      <c r="DJ158">
        <f>IFERROR(SMALL(DJ47:DJ127,ROW()-ROW($DJ$130)+1),"")</f>
        <v>0</v>
      </c>
      <c r="DK158">
        <f>IFERROR(SMALL(DK47:DK127,ROW()-ROW($DK$130)+1),"")</f>
        <v>0</v>
      </c>
      <c r="DL158">
        <f>IFERROR(SMALL(DL47:DL127,ROW()-ROW($DL$130)+1),"")</f>
        <v>0</v>
      </c>
      <c r="DM158">
        <f>IFERROR(SMALL(DM47:DM127,ROW()-ROW($DM$130)+1),"")</f>
        <v>0</v>
      </c>
      <c r="DN158">
        <f>IFERROR(SMALL(DN47:DN127,ROW()-ROW($DN$130)+1),"")</f>
        <v>0</v>
      </c>
      <c r="DO158">
        <f>IFERROR(SMALL(DO47:DO127,ROW()-ROW($DO$130)+1),"")</f>
        <v>0</v>
      </c>
      <c r="DP158">
        <f>IFERROR(SMALL(DP47:DP127,ROW()-ROW($DP$130)+1),"")</f>
        <v>0</v>
      </c>
      <c r="DQ158">
        <f>IFERROR(SMALL(DQ47:DQ127,ROW()-ROW($DQ$130)+1),"")</f>
        <v>0</v>
      </c>
      <c r="DR158">
        <f>IFERROR(SMALL(DR47:DR127,ROW()-ROW($DR$130)+1),"")</f>
        <v>0</v>
      </c>
      <c r="DS158">
        <f>IFERROR(SMALL(DS47:DS127,ROW()-ROW($DS$130)+1),"")</f>
        <v>0</v>
      </c>
      <c r="DT158">
        <f>IFERROR(SMALL(DT47:DT127,ROW()-ROW($DT$130)+1),"")</f>
        <v>0</v>
      </c>
      <c r="DU158">
        <f>IFERROR(SMALL(DU47:DU127,ROW()-ROW($DU$130)+1),"")</f>
        <v>0</v>
      </c>
      <c r="DV158">
        <f>IFERROR(SMALL(DV47:DV127,ROW()-ROW($DV$130)+1),"")</f>
        <v>0</v>
      </c>
      <c r="DW158">
        <f>IFERROR(SMALL(DW47:DW127,ROW()-ROW($DW$130)+1),"")</f>
        <v>0</v>
      </c>
      <c r="DX158">
        <f>IFERROR(SMALL(DX47:DX127,ROW()-ROW($DX$130)+1),"")</f>
        <v>0</v>
      </c>
      <c r="DY158">
        <f>IFERROR(SMALL(DY47:DY127,ROW()-ROW($DY$130)+1),"")</f>
        <v>0</v>
      </c>
      <c r="DZ158">
        <f>IFERROR(SMALL(DZ47:DZ127,ROW()-ROW($DZ$130)+1),"")</f>
        <v>0</v>
      </c>
      <c r="EA158">
        <f>IFERROR(SMALL(EA47:EA127,ROW()-ROW($EA$130)+1),"")</f>
        <v>0</v>
      </c>
      <c r="EB158">
        <f>IFERROR(SMALL(EB47:EB127,ROW()-ROW($EB$130)+1),"")</f>
        <v>0</v>
      </c>
      <c r="EC158">
        <f>IFERROR(SMALL(EC47:EC127,ROW()-ROW($EC$130)+1),"")</f>
        <v>0</v>
      </c>
      <c r="ED158">
        <f>IFERROR(SMALL(ED47:ED127,ROW()-ROW($ED$130)+1),"")</f>
        <v>0</v>
      </c>
    </row>
    <row r="159" spans="5:134">
      <c r="E159">
        <f>IFERROR(SMALL(E47:E127,ROW()-ROW($E$130)+1),"")</f>
        <v>0</v>
      </c>
      <c r="F159">
        <f>IFERROR(SMALL(F47:F127,ROW()-ROW($F$130)+1),"")</f>
        <v>0</v>
      </c>
      <c r="G159">
        <f>IFERROR(SMALL(G47:G127,ROW()-ROW($G$130)+1),"")</f>
        <v>0</v>
      </c>
      <c r="H159">
        <f>IFERROR(SMALL(H47:H127,ROW()-ROW($H$130)+1),"")</f>
        <v>0</v>
      </c>
      <c r="I159">
        <f>IFERROR(SMALL(I47:I127,ROW()-ROW($I$130)+1),"")</f>
        <v>0</v>
      </c>
      <c r="J159">
        <f>IFERROR(SMALL(J47:J127,ROW()-ROW($J$130)+1),"")</f>
        <v>0</v>
      </c>
      <c r="K159">
        <f>IFERROR(SMALL(K47:K127,ROW()-ROW($K$130)+1),"")</f>
        <v>0</v>
      </c>
      <c r="L159">
        <f>IFERROR(SMALL(L47:L127,ROW()-ROW($L$130)+1),"")</f>
        <v>0</v>
      </c>
      <c r="M159">
        <f>IFERROR(SMALL(M47:M127,ROW()-ROW($M$130)+1),"")</f>
        <v>0</v>
      </c>
      <c r="N159">
        <f>IFERROR(SMALL(N47:N127,ROW()-ROW($N$130)+1),"")</f>
        <v>0</v>
      </c>
      <c r="O159">
        <f>IFERROR(SMALL(O47:O127,ROW()-ROW($O$130)+1),"")</f>
        <v>0</v>
      </c>
      <c r="P159">
        <f>IFERROR(SMALL(P47:P127,ROW()-ROW($P$130)+1),"")</f>
        <v>0</v>
      </c>
      <c r="Q159">
        <f>IFERROR(SMALL(Q47:Q127,ROW()-ROW($Q$130)+1),"")</f>
        <v>0</v>
      </c>
      <c r="R159">
        <f>IFERROR(SMALL(R47:R127,ROW()-ROW($R$130)+1),"")</f>
        <v>0</v>
      </c>
      <c r="S159">
        <f>IFERROR(SMALL(S47:S127,ROW()-ROW($S$130)+1),"")</f>
        <v>0</v>
      </c>
      <c r="T159">
        <f>IFERROR(SMALL(T47:T127,ROW()-ROW($T$130)+1),"")</f>
        <v>0</v>
      </c>
      <c r="U159">
        <f>IFERROR(SMALL(U47:U127,ROW()-ROW($U$130)+1),"")</f>
        <v>0</v>
      </c>
      <c r="V159">
        <f>IFERROR(SMALL(V47:V127,ROW()-ROW($V$130)+1),"")</f>
        <v>0</v>
      </c>
      <c r="W159">
        <f>IFERROR(SMALL(W47:W127,ROW()-ROW($W$130)+1),"")</f>
        <v>0</v>
      </c>
      <c r="X159">
        <f>IFERROR(SMALL(X47:X127,ROW()-ROW($X$130)+1),"")</f>
        <v>0</v>
      </c>
      <c r="Y159">
        <f>IFERROR(SMALL(Y47:Y127,ROW()-ROW($Y$130)+1),"")</f>
        <v>0</v>
      </c>
      <c r="Z159">
        <f>IFERROR(SMALL(Z47:Z127,ROW()-ROW($Z$130)+1),"")</f>
        <v>0</v>
      </c>
      <c r="AA159">
        <f>IFERROR(SMALL(AA47:AA127,ROW()-ROW($AA$130)+1),"")</f>
        <v>0</v>
      </c>
      <c r="AB159">
        <f>IFERROR(SMALL(AB47:AB127,ROW()-ROW($AB$130)+1),"")</f>
        <v>0</v>
      </c>
      <c r="AC159">
        <f>IFERROR(SMALL(AC47:AC127,ROW()-ROW($AC$130)+1),"")</f>
        <v>0</v>
      </c>
      <c r="AD159">
        <f>IFERROR(SMALL(AD47:AD127,ROW()-ROW($AD$130)+1),"")</f>
        <v>0</v>
      </c>
      <c r="AE159">
        <f>IFERROR(SMALL(AE47:AE127,ROW()-ROW($AE$130)+1),"")</f>
        <v>0</v>
      </c>
      <c r="AF159">
        <f>IFERROR(SMALL(AF47:AF127,ROW()-ROW($AF$130)+1),"")</f>
        <v>0</v>
      </c>
      <c r="AG159">
        <f>IFERROR(SMALL(AG47:AG127,ROW()-ROW($AG$130)+1),"")</f>
        <v>0</v>
      </c>
      <c r="AH159">
        <f>IFERROR(SMALL(AH47:AH127,ROW()-ROW($AH$130)+1),"")</f>
        <v>0</v>
      </c>
      <c r="AI159">
        <f>IFERROR(SMALL(AI47:AI127,ROW()-ROW($AI$130)+1),"")</f>
        <v>0</v>
      </c>
      <c r="AJ159">
        <f>IFERROR(SMALL(AJ47:AJ127,ROW()-ROW($AJ$130)+1),"")</f>
        <v>0</v>
      </c>
      <c r="AK159">
        <f>IFERROR(SMALL(AK47:AK127,ROW()-ROW($AK$130)+1),"")</f>
        <v>0</v>
      </c>
      <c r="AL159">
        <f>IFERROR(SMALL(AL47:AL127,ROW()-ROW($AL$130)+1),"")</f>
        <v>0</v>
      </c>
      <c r="AM159">
        <f>IFERROR(SMALL(AM47:AM127,ROW()-ROW($AM$130)+1),"")</f>
        <v>0</v>
      </c>
      <c r="AN159">
        <f>IFERROR(SMALL(AN47:AN127,ROW()-ROW($AN$130)+1),"")</f>
        <v>0</v>
      </c>
      <c r="AO159">
        <f>IFERROR(SMALL(AO47:AO127,ROW()-ROW($AO$130)+1),"")</f>
        <v>0</v>
      </c>
      <c r="AP159">
        <f>IFERROR(SMALL(AP47:AP127,ROW()-ROW($AP$130)+1),"")</f>
        <v>0</v>
      </c>
      <c r="AQ159">
        <f>IFERROR(SMALL(AQ47:AQ127,ROW()-ROW($AQ$130)+1),"")</f>
        <v>0</v>
      </c>
      <c r="AR159">
        <f>IFERROR(SMALL(AR47:AR127,ROW()-ROW($AR$130)+1),"")</f>
        <v>0</v>
      </c>
      <c r="AS159">
        <f>IFERROR(SMALL(AS47:AS127,ROW()-ROW($AS$130)+1),"")</f>
        <v>0</v>
      </c>
      <c r="AT159">
        <f>IFERROR(SMALL(AT47:AT127,ROW()-ROW($AT$130)+1),"")</f>
        <v>0</v>
      </c>
      <c r="AU159">
        <f>IFERROR(SMALL(AU47:AU127,ROW()-ROW($AU$130)+1),"")</f>
        <v>0</v>
      </c>
      <c r="AV159">
        <f>IFERROR(SMALL(AV47:AV127,ROW()-ROW($AV$130)+1),"")</f>
        <v>0</v>
      </c>
      <c r="AW159">
        <f>IFERROR(SMALL(AW47:AW127,ROW()-ROW($AW$130)+1),"")</f>
        <v>0</v>
      </c>
      <c r="AX159">
        <f>IFERROR(SMALL(AX47:AX127,ROW()-ROW($AX$130)+1),"")</f>
        <v>0</v>
      </c>
      <c r="AY159">
        <f>IFERROR(SMALL(AY47:AY127,ROW()-ROW($AY$130)+1),"")</f>
        <v>0</v>
      </c>
      <c r="AZ159">
        <f>IFERROR(SMALL(AZ47:AZ127,ROW()-ROW($AZ$130)+1),"")</f>
        <v>0</v>
      </c>
      <c r="BA159">
        <f>IFERROR(SMALL(BA47:BA127,ROW()-ROW($BA$130)+1),"")</f>
        <v>0</v>
      </c>
      <c r="BB159">
        <f>IFERROR(SMALL(BB47:BB127,ROW()-ROW($BB$130)+1),"")</f>
        <v>0</v>
      </c>
      <c r="BC159">
        <f>IFERROR(SMALL(BC47:BC127,ROW()-ROW($BC$130)+1),"")</f>
        <v>0</v>
      </c>
      <c r="BD159">
        <f>IFERROR(SMALL(BD47:BD127,ROW()-ROW($BD$130)+1),"")</f>
        <v>0</v>
      </c>
      <c r="BE159">
        <f>IFERROR(SMALL(BE47:BE127,ROW()-ROW($BE$130)+1),"")</f>
        <v>0</v>
      </c>
      <c r="BF159">
        <f>IFERROR(SMALL(BF47:BF127,ROW()-ROW($BF$130)+1),"")</f>
        <v>0</v>
      </c>
      <c r="BG159">
        <f>IFERROR(SMALL(BG47:BG127,ROW()-ROW($BG$130)+1),"")</f>
        <v>0</v>
      </c>
      <c r="BH159">
        <f>IFERROR(SMALL(BH47:BH127,ROW()-ROW($BH$130)+1),"")</f>
        <v>0</v>
      </c>
      <c r="BI159">
        <f>IFERROR(SMALL(BI47:BI127,ROW()-ROW($BI$130)+1),"")</f>
        <v>0</v>
      </c>
      <c r="BJ159">
        <f>IFERROR(SMALL(BJ47:BJ127,ROW()-ROW($BJ$130)+1),"")</f>
        <v>0</v>
      </c>
      <c r="BK159">
        <f>IFERROR(SMALL(BK47:BK127,ROW()-ROW($BK$130)+1),"")</f>
        <v>0</v>
      </c>
      <c r="BL159">
        <f>IFERROR(SMALL(BL47:BL127,ROW()-ROW($BL$130)+1),"")</f>
        <v>0</v>
      </c>
      <c r="BM159">
        <f>IFERROR(SMALL(BM47:BM127,ROW()-ROW($BM$130)+1),"")</f>
        <v>0</v>
      </c>
      <c r="BN159">
        <f>IFERROR(SMALL(BN47:BN127,ROW()-ROW($BN$130)+1),"")</f>
        <v>0</v>
      </c>
      <c r="BO159">
        <f>IFERROR(SMALL(BO47:BO127,ROW()-ROW($BO$130)+1),"")</f>
        <v>0</v>
      </c>
      <c r="BP159">
        <f>IFERROR(SMALL(BP47:BP127,ROW()-ROW($BP$130)+1),"")</f>
        <v>0</v>
      </c>
      <c r="BS159">
        <f>IFERROR(SMALL(BS47:BS127,ROW()-ROW($BS$130)+1),"")</f>
        <v>0</v>
      </c>
      <c r="BT159">
        <f>IFERROR(SMALL(BT47:BT127,ROW()-ROW($BT$130)+1),"")</f>
        <v>0</v>
      </c>
      <c r="BU159">
        <f>IFERROR(SMALL(BU47:BU127,ROW()-ROW($BU$130)+1),"")</f>
        <v>0</v>
      </c>
      <c r="BV159">
        <f>IFERROR(SMALL(BV47:BV127,ROW()-ROW($BV$130)+1),"")</f>
        <v>0</v>
      </c>
      <c r="BW159">
        <f>IFERROR(SMALL(BW47:BW127,ROW()-ROW($BW$130)+1),"")</f>
        <v>0</v>
      </c>
      <c r="BX159">
        <f>IFERROR(SMALL(BX47:BX127,ROW()-ROW($BX$130)+1),"")</f>
        <v>0</v>
      </c>
      <c r="BY159">
        <f>IFERROR(SMALL(BY47:BY127,ROW()-ROW($BY$130)+1),"")</f>
        <v>0</v>
      </c>
      <c r="BZ159">
        <f>IFERROR(SMALL(BZ47:BZ127,ROW()-ROW($BZ$130)+1),"")</f>
        <v>0</v>
      </c>
      <c r="CA159">
        <f>IFERROR(SMALL(CA47:CA127,ROW()-ROW($CA$130)+1),"")</f>
        <v>0</v>
      </c>
      <c r="CB159">
        <f>IFERROR(SMALL(CB47:CB127,ROW()-ROW($CB$130)+1),"")</f>
        <v>0</v>
      </c>
      <c r="CC159">
        <f>IFERROR(SMALL(CC47:CC127,ROW()-ROW($CC$130)+1),"")</f>
        <v>0</v>
      </c>
      <c r="CD159">
        <f>IFERROR(SMALL(CD47:CD127,ROW()-ROW($CD$130)+1),"")</f>
        <v>0</v>
      </c>
      <c r="CE159">
        <f>IFERROR(SMALL(CE47:CE127,ROW()-ROW($CE$130)+1),"")</f>
        <v>0</v>
      </c>
      <c r="CF159">
        <f>IFERROR(SMALL(CF47:CF127,ROW()-ROW($CF$130)+1),"")</f>
        <v>0</v>
      </c>
      <c r="CG159">
        <f>IFERROR(SMALL(CG47:CG127,ROW()-ROW($CG$130)+1),"")</f>
        <v>0</v>
      </c>
      <c r="CH159">
        <f>IFERROR(SMALL(CH47:CH127,ROW()-ROW($CH$130)+1),"")</f>
        <v>0</v>
      </c>
      <c r="CI159">
        <f>IFERROR(SMALL(CI47:CI127,ROW()-ROW($CI$130)+1),"")</f>
        <v>0</v>
      </c>
      <c r="CJ159">
        <f>IFERROR(SMALL(CJ47:CJ127,ROW()-ROW($CJ$130)+1),"")</f>
        <v>0</v>
      </c>
      <c r="CK159">
        <f>IFERROR(SMALL(CK47:CK127,ROW()-ROW($CK$130)+1),"")</f>
        <v>0</v>
      </c>
      <c r="CL159">
        <f>IFERROR(SMALL(CL47:CL127,ROW()-ROW($CL$130)+1),"")</f>
        <v>0</v>
      </c>
      <c r="CM159">
        <f>IFERROR(SMALL(CM47:CM127,ROW()-ROW($CM$130)+1),"")</f>
        <v>0</v>
      </c>
      <c r="CN159">
        <f>IFERROR(SMALL(CN47:CN127,ROW()-ROW($CN$130)+1),"")</f>
        <v>0</v>
      </c>
      <c r="CO159">
        <f>IFERROR(SMALL(CO47:CO127,ROW()-ROW($CO$130)+1),"")</f>
        <v>0</v>
      </c>
      <c r="CP159">
        <f>IFERROR(SMALL(CP47:CP127,ROW()-ROW($CP$130)+1),"")</f>
        <v>0</v>
      </c>
      <c r="CQ159">
        <f>IFERROR(SMALL(CQ47:CQ127,ROW()-ROW($CQ$130)+1),"")</f>
        <v>0</v>
      </c>
      <c r="CR159">
        <f>IFERROR(SMALL(CR47:CR127,ROW()-ROW($CR$130)+1),"")</f>
        <v>0</v>
      </c>
      <c r="CS159">
        <f>IFERROR(SMALL(CS47:CS127,ROW()-ROW($CS$130)+1),"")</f>
        <v>0</v>
      </c>
      <c r="CT159">
        <f>IFERROR(SMALL(CT47:CT127,ROW()-ROW($CT$130)+1),"")</f>
        <v>0</v>
      </c>
      <c r="CU159">
        <f>IFERROR(SMALL(CU47:CU127,ROW()-ROW($CU$130)+1),"")</f>
        <v>0</v>
      </c>
      <c r="CV159">
        <f>IFERROR(SMALL(CV47:CV127,ROW()-ROW($CV$130)+1),"")</f>
        <v>0</v>
      </c>
      <c r="CW159">
        <f>IFERROR(SMALL(CW47:CW127,ROW()-ROW($CW$130)+1),"")</f>
        <v>0</v>
      </c>
      <c r="CX159">
        <f>IFERROR(SMALL(CX47:CX127,ROW()-ROW($CX$130)+1),"")</f>
        <v>0</v>
      </c>
      <c r="CY159">
        <f>IFERROR(SMALL(CY47:CY127,ROW()-ROW($CY$130)+1),"")</f>
        <v>0</v>
      </c>
      <c r="CZ159">
        <f>IFERROR(SMALL(CZ47:CZ127,ROW()-ROW($CZ$130)+1),"")</f>
        <v>0</v>
      </c>
      <c r="DA159">
        <f>IFERROR(SMALL(DA47:DA127,ROW()-ROW($DA$130)+1),"")</f>
        <v>0</v>
      </c>
      <c r="DB159">
        <f>IFERROR(SMALL(DB47:DB127,ROW()-ROW($DB$130)+1),"")</f>
        <v>0</v>
      </c>
      <c r="DC159">
        <f>IFERROR(SMALL(DC47:DC127,ROW()-ROW($DC$130)+1),"")</f>
        <v>0</v>
      </c>
      <c r="DD159">
        <f>IFERROR(SMALL(DD47:DD127,ROW()-ROW($DD$130)+1),"")</f>
        <v>0</v>
      </c>
      <c r="DE159">
        <f>IFERROR(SMALL(DE47:DE127,ROW()-ROW($DE$130)+1),"")</f>
        <v>0</v>
      </c>
      <c r="DF159">
        <f>IFERROR(SMALL(DF47:DF127,ROW()-ROW($DF$130)+1),"")</f>
        <v>0</v>
      </c>
      <c r="DG159">
        <f>IFERROR(SMALL(DG47:DG127,ROW()-ROW($DG$130)+1),"")</f>
        <v>0</v>
      </c>
      <c r="DH159">
        <f>IFERROR(SMALL(DH47:DH127,ROW()-ROW($DH$130)+1),"")</f>
        <v>0</v>
      </c>
      <c r="DI159">
        <f>IFERROR(SMALL(DI47:DI127,ROW()-ROW($DI$130)+1),"")</f>
        <v>0</v>
      </c>
      <c r="DJ159">
        <f>IFERROR(SMALL(DJ47:DJ127,ROW()-ROW($DJ$130)+1),"")</f>
        <v>0</v>
      </c>
      <c r="DK159">
        <f>IFERROR(SMALL(DK47:DK127,ROW()-ROW($DK$130)+1),"")</f>
        <v>0</v>
      </c>
      <c r="DL159">
        <f>IFERROR(SMALL(DL47:DL127,ROW()-ROW($DL$130)+1),"")</f>
        <v>0</v>
      </c>
      <c r="DM159">
        <f>IFERROR(SMALL(DM47:DM127,ROW()-ROW($DM$130)+1),"")</f>
        <v>0</v>
      </c>
      <c r="DN159">
        <f>IFERROR(SMALL(DN47:DN127,ROW()-ROW($DN$130)+1),"")</f>
        <v>0</v>
      </c>
      <c r="DO159">
        <f>IFERROR(SMALL(DO47:DO127,ROW()-ROW($DO$130)+1),"")</f>
        <v>0</v>
      </c>
      <c r="DP159">
        <f>IFERROR(SMALL(DP47:DP127,ROW()-ROW($DP$130)+1),"")</f>
        <v>0</v>
      </c>
      <c r="DQ159">
        <f>IFERROR(SMALL(DQ47:DQ127,ROW()-ROW($DQ$130)+1),"")</f>
        <v>0</v>
      </c>
      <c r="DR159">
        <f>IFERROR(SMALL(DR47:DR127,ROW()-ROW($DR$130)+1),"")</f>
        <v>0</v>
      </c>
      <c r="DS159">
        <f>IFERROR(SMALL(DS47:DS127,ROW()-ROW($DS$130)+1),"")</f>
        <v>0</v>
      </c>
      <c r="DT159">
        <f>IFERROR(SMALL(DT47:DT127,ROW()-ROW($DT$130)+1),"")</f>
        <v>0</v>
      </c>
      <c r="DU159">
        <f>IFERROR(SMALL(DU47:DU127,ROW()-ROW($DU$130)+1),"")</f>
        <v>0</v>
      </c>
      <c r="DV159">
        <f>IFERROR(SMALL(DV47:DV127,ROW()-ROW($DV$130)+1),"")</f>
        <v>0</v>
      </c>
      <c r="DW159">
        <f>IFERROR(SMALL(DW47:DW127,ROW()-ROW($DW$130)+1),"")</f>
        <v>0</v>
      </c>
      <c r="DX159">
        <f>IFERROR(SMALL(DX47:DX127,ROW()-ROW($DX$130)+1),"")</f>
        <v>0</v>
      </c>
      <c r="DY159">
        <f>IFERROR(SMALL(DY47:DY127,ROW()-ROW($DY$130)+1),"")</f>
        <v>0</v>
      </c>
      <c r="DZ159">
        <f>IFERROR(SMALL(DZ47:DZ127,ROW()-ROW($DZ$130)+1),"")</f>
        <v>0</v>
      </c>
      <c r="EA159">
        <f>IFERROR(SMALL(EA47:EA127,ROW()-ROW($EA$130)+1),"")</f>
        <v>0</v>
      </c>
      <c r="EB159">
        <f>IFERROR(SMALL(EB47:EB127,ROW()-ROW($EB$130)+1),"")</f>
        <v>0</v>
      </c>
      <c r="EC159">
        <f>IFERROR(SMALL(EC47:EC127,ROW()-ROW($EC$130)+1),"")</f>
        <v>0</v>
      </c>
      <c r="ED159">
        <f>IFERROR(SMALL(ED47:ED127,ROW()-ROW($ED$130)+1),"")</f>
        <v>0</v>
      </c>
    </row>
    <row r="160" spans="5:134">
      <c r="E160">
        <f>IFERROR(SMALL(E47:E127,ROW()-ROW($E$130)+1),"")</f>
        <v>0</v>
      </c>
      <c r="F160">
        <f>IFERROR(SMALL(F47:F127,ROW()-ROW($F$130)+1),"")</f>
        <v>0</v>
      </c>
      <c r="G160">
        <f>IFERROR(SMALL(G47:G127,ROW()-ROW($G$130)+1),"")</f>
        <v>0</v>
      </c>
      <c r="H160">
        <f>IFERROR(SMALL(H47:H127,ROW()-ROW($H$130)+1),"")</f>
        <v>0</v>
      </c>
      <c r="I160">
        <f>IFERROR(SMALL(I47:I127,ROW()-ROW($I$130)+1),"")</f>
        <v>0</v>
      </c>
      <c r="J160">
        <f>IFERROR(SMALL(J47:J127,ROW()-ROW($J$130)+1),"")</f>
        <v>0</v>
      </c>
      <c r="K160">
        <f>IFERROR(SMALL(K47:K127,ROW()-ROW($K$130)+1),"")</f>
        <v>0</v>
      </c>
      <c r="L160">
        <f>IFERROR(SMALL(L47:L127,ROW()-ROW($L$130)+1),"")</f>
        <v>0</v>
      </c>
      <c r="M160">
        <f>IFERROR(SMALL(M47:M127,ROW()-ROW($M$130)+1),"")</f>
        <v>0</v>
      </c>
      <c r="N160">
        <f>IFERROR(SMALL(N47:N127,ROW()-ROW($N$130)+1),"")</f>
        <v>0</v>
      </c>
      <c r="O160">
        <f>IFERROR(SMALL(O47:O127,ROW()-ROW($O$130)+1),"")</f>
        <v>0</v>
      </c>
      <c r="P160">
        <f>IFERROR(SMALL(P47:P127,ROW()-ROW($P$130)+1),"")</f>
        <v>0</v>
      </c>
      <c r="Q160">
        <f>IFERROR(SMALL(Q47:Q127,ROW()-ROW($Q$130)+1),"")</f>
        <v>0</v>
      </c>
      <c r="R160">
        <f>IFERROR(SMALL(R47:R127,ROW()-ROW($R$130)+1),"")</f>
        <v>0</v>
      </c>
      <c r="S160">
        <f>IFERROR(SMALL(S47:S127,ROW()-ROW($S$130)+1),"")</f>
        <v>0</v>
      </c>
      <c r="T160">
        <f>IFERROR(SMALL(T47:T127,ROW()-ROW($T$130)+1),"")</f>
        <v>0</v>
      </c>
      <c r="U160">
        <f>IFERROR(SMALL(U47:U127,ROW()-ROW($U$130)+1),"")</f>
        <v>0</v>
      </c>
      <c r="V160">
        <f>IFERROR(SMALL(V47:V127,ROW()-ROW($V$130)+1),"")</f>
        <v>0</v>
      </c>
      <c r="W160">
        <f>IFERROR(SMALL(W47:W127,ROW()-ROW($W$130)+1),"")</f>
        <v>0</v>
      </c>
      <c r="X160">
        <f>IFERROR(SMALL(X47:X127,ROW()-ROW($X$130)+1),"")</f>
        <v>0</v>
      </c>
      <c r="Y160">
        <f>IFERROR(SMALL(Y47:Y127,ROW()-ROW($Y$130)+1),"")</f>
        <v>0</v>
      </c>
      <c r="Z160">
        <f>IFERROR(SMALL(Z47:Z127,ROW()-ROW($Z$130)+1),"")</f>
        <v>0</v>
      </c>
      <c r="AA160">
        <f>IFERROR(SMALL(AA47:AA127,ROW()-ROW($AA$130)+1),"")</f>
        <v>0</v>
      </c>
      <c r="AB160">
        <f>IFERROR(SMALL(AB47:AB127,ROW()-ROW($AB$130)+1),"")</f>
        <v>0</v>
      </c>
      <c r="AC160">
        <f>IFERROR(SMALL(AC47:AC127,ROW()-ROW($AC$130)+1),"")</f>
        <v>0</v>
      </c>
      <c r="AD160">
        <f>IFERROR(SMALL(AD47:AD127,ROW()-ROW($AD$130)+1),"")</f>
        <v>0</v>
      </c>
      <c r="AE160">
        <f>IFERROR(SMALL(AE47:AE127,ROW()-ROW($AE$130)+1),"")</f>
        <v>0</v>
      </c>
      <c r="AF160">
        <f>IFERROR(SMALL(AF47:AF127,ROW()-ROW($AF$130)+1),"")</f>
        <v>0</v>
      </c>
      <c r="AG160">
        <f>IFERROR(SMALL(AG47:AG127,ROW()-ROW($AG$130)+1),"")</f>
        <v>0</v>
      </c>
      <c r="AH160">
        <f>IFERROR(SMALL(AH47:AH127,ROW()-ROW($AH$130)+1),"")</f>
        <v>0</v>
      </c>
      <c r="AI160">
        <f>IFERROR(SMALL(AI47:AI127,ROW()-ROW($AI$130)+1),"")</f>
        <v>0</v>
      </c>
      <c r="AJ160">
        <f>IFERROR(SMALL(AJ47:AJ127,ROW()-ROW($AJ$130)+1),"")</f>
        <v>0</v>
      </c>
      <c r="AK160">
        <f>IFERROR(SMALL(AK47:AK127,ROW()-ROW($AK$130)+1),"")</f>
        <v>0</v>
      </c>
      <c r="AL160">
        <f>IFERROR(SMALL(AL47:AL127,ROW()-ROW($AL$130)+1),"")</f>
        <v>0</v>
      </c>
      <c r="AM160">
        <f>IFERROR(SMALL(AM47:AM127,ROW()-ROW($AM$130)+1),"")</f>
        <v>0</v>
      </c>
      <c r="AN160">
        <f>IFERROR(SMALL(AN47:AN127,ROW()-ROW($AN$130)+1),"")</f>
        <v>0</v>
      </c>
      <c r="AO160">
        <f>IFERROR(SMALL(AO47:AO127,ROW()-ROW($AO$130)+1),"")</f>
        <v>0</v>
      </c>
      <c r="AP160">
        <f>IFERROR(SMALL(AP47:AP127,ROW()-ROW($AP$130)+1),"")</f>
        <v>0</v>
      </c>
      <c r="AQ160">
        <f>IFERROR(SMALL(AQ47:AQ127,ROW()-ROW($AQ$130)+1),"")</f>
        <v>0</v>
      </c>
      <c r="AR160">
        <f>IFERROR(SMALL(AR47:AR127,ROW()-ROW($AR$130)+1),"")</f>
        <v>0</v>
      </c>
      <c r="AS160">
        <f>IFERROR(SMALL(AS47:AS127,ROW()-ROW($AS$130)+1),"")</f>
        <v>0</v>
      </c>
      <c r="AT160">
        <f>IFERROR(SMALL(AT47:AT127,ROW()-ROW($AT$130)+1),"")</f>
        <v>0</v>
      </c>
      <c r="AU160">
        <f>IFERROR(SMALL(AU47:AU127,ROW()-ROW($AU$130)+1),"")</f>
        <v>0</v>
      </c>
      <c r="AV160">
        <f>IFERROR(SMALL(AV47:AV127,ROW()-ROW($AV$130)+1),"")</f>
        <v>0</v>
      </c>
      <c r="AW160">
        <f>IFERROR(SMALL(AW47:AW127,ROW()-ROW($AW$130)+1),"")</f>
        <v>0</v>
      </c>
      <c r="AX160">
        <f>IFERROR(SMALL(AX47:AX127,ROW()-ROW($AX$130)+1),"")</f>
        <v>0</v>
      </c>
      <c r="AY160">
        <f>IFERROR(SMALL(AY47:AY127,ROW()-ROW($AY$130)+1),"")</f>
        <v>0</v>
      </c>
      <c r="AZ160">
        <f>IFERROR(SMALL(AZ47:AZ127,ROW()-ROW($AZ$130)+1),"")</f>
        <v>0</v>
      </c>
      <c r="BA160">
        <f>IFERROR(SMALL(BA47:BA127,ROW()-ROW($BA$130)+1),"")</f>
        <v>0</v>
      </c>
      <c r="BB160">
        <f>IFERROR(SMALL(BB47:BB127,ROW()-ROW($BB$130)+1),"")</f>
        <v>0</v>
      </c>
      <c r="BC160">
        <f>IFERROR(SMALL(BC47:BC127,ROW()-ROW($BC$130)+1),"")</f>
        <v>0</v>
      </c>
      <c r="BD160">
        <f>IFERROR(SMALL(BD47:BD127,ROW()-ROW($BD$130)+1),"")</f>
        <v>0</v>
      </c>
      <c r="BE160">
        <f>IFERROR(SMALL(BE47:BE127,ROW()-ROW($BE$130)+1),"")</f>
        <v>0</v>
      </c>
      <c r="BF160">
        <f>IFERROR(SMALL(BF47:BF127,ROW()-ROW($BF$130)+1),"")</f>
        <v>0</v>
      </c>
      <c r="BG160">
        <f>IFERROR(SMALL(BG47:BG127,ROW()-ROW($BG$130)+1),"")</f>
        <v>0</v>
      </c>
      <c r="BH160">
        <f>IFERROR(SMALL(BH47:BH127,ROW()-ROW($BH$130)+1),"")</f>
        <v>0</v>
      </c>
      <c r="BI160">
        <f>IFERROR(SMALL(BI47:BI127,ROW()-ROW($BI$130)+1),"")</f>
        <v>0</v>
      </c>
      <c r="BJ160">
        <f>IFERROR(SMALL(BJ47:BJ127,ROW()-ROW($BJ$130)+1),"")</f>
        <v>0</v>
      </c>
      <c r="BK160">
        <f>IFERROR(SMALL(BK47:BK127,ROW()-ROW($BK$130)+1),"")</f>
        <v>0</v>
      </c>
      <c r="BL160">
        <f>IFERROR(SMALL(BL47:BL127,ROW()-ROW($BL$130)+1),"")</f>
        <v>0</v>
      </c>
      <c r="BM160">
        <f>IFERROR(SMALL(BM47:BM127,ROW()-ROW($BM$130)+1),"")</f>
        <v>0</v>
      </c>
      <c r="BN160">
        <f>IFERROR(SMALL(BN47:BN127,ROW()-ROW($BN$130)+1),"")</f>
        <v>0</v>
      </c>
      <c r="BO160">
        <f>IFERROR(SMALL(BO47:BO127,ROW()-ROW($BO$130)+1),"")</f>
        <v>0</v>
      </c>
      <c r="BP160">
        <f>IFERROR(SMALL(BP47:BP127,ROW()-ROW($BP$130)+1),"")</f>
        <v>0</v>
      </c>
      <c r="BS160">
        <f>IFERROR(SMALL(BS47:BS127,ROW()-ROW($BS$130)+1),"")</f>
        <v>0</v>
      </c>
      <c r="BT160">
        <f>IFERROR(SMALL(BT47:BT127,ROW()-ROW($BT$130)+1),"")</f>
        <v>0</v>
      </c>
      <c r="BU160">
        <f>IFERROR(SMALL(BU47:BU127,ROW()-ROW($BU$130)+1),"")</f>
        <v>0</v>
      </c>
      <c r="BV160">
        <f>IFERROR(SMALL(BV47:BV127,ROW()-ROW($BV$130)+1),"")</f>
        <v>0</v>
      </c>
      <c r="BW160">
        <f>IFERROR(SMALL(BW47:BW127,ROW()-ROW($BW$130)+1),"")</f>
        <v>0</v>
      </c>
      <c r="BX160">
        <f>IFERROR(SMALL(BX47:BX127,ROW()-ROW($BX$130)+1),"")</f>
        <v>0</v>
      </c>
      <c r="BY160">
        <f>IFERROR(SMALL(BY47:BY127,ROW()-ROW($BY$130)+1),"")</f>
        <v>0</v>
      </c>
      <c r="BZ160">
        <f>IFERROR(SMALL(BZ47:BZ127,ROW()-ROW($BZ$130)+1),"")</f>
        <v>0</v>
      </c>
      <c r="CA160">
        <f>IFERROR(SMALL(CA47:CA127,ROW()-ROW($CA$130)+1),"")</f>
        <v>0</v>
      </c>
      <c r="CB160">
        <f>IFERROR(SMALL(CB47:CB127,ROW()-ROW($CB$130)+1),"")</f>
        <v>0</v>
      </c>
      <c r="CC160">
        <f>IFERROR(SMALL(CC47:CC127,ROW()-ROW($CC$130)+1),"")</f>
        <v>0</v>
      </c>
      <c r="CD160">
        <f>IFERROR(SMALL(CD47:CD127,ROW()-ROW($CD$130)+1),"")</f>
        <v>0</v>
      </c>
      <c r="CE160">
        <f>IFERROR(SMALL(CE47:CE127,ROW()-ROW($CE$130)+1),"")</f>
        <v>0</v>
      </c>
      <c r="CF160">
        <f>IFERROR(SMALL(CF47:CF127,ROW()-ROW($CF$130)+1),"")</f>
        <v>0</v>
      </c>
      <c r="CG160">
        <f>IFERROR(SMALL(CG47:CG127,ROW()-ROW($CG$130)+1),"")</f>
        <v>0</v>
      </c>
      <c r="CH160">
        <f>IFERROR(SMALL(CH47:CH127,ROW()-ROW($CH$130)+1),"")</f>
        <v>0</v>
      </c>
      <c r="CI160">
        <f>IFERROR(SMALL(CI47:CI127,ROW()-ROW($CI$130)+1),"")</f>
        <v>0</v>
      </c>
      <c r="CJ160">
        <f>IFERROR(SMALL(CJ47:CJ127,ROW()-ROW($CJ$130)+1),"")</f>
        <v>0</v>
      </c>
      <c r="CK160">
        <f>IFERROR(SMALL(CK47:CK127,ROW()-ROW($CK$130)+1),"")</f>
        <v>0</v>
      </c>
      <c r="CL160">
        <f>IFERROR(SMALL(CL47:CL127,ROW()-ROW($CL$130)+1),"")</f>
        <v>0</v>
      </c>
      <c r="CM160">
        <f>IFERROR(SMALL(CM47:CM127,ROW()-ROW($CM$130)+1),"")</f>
        <v>0</v>
      </c>
      <c r="CN160">
        <f>IFERROR(SMALL(CN47:CN127,ROW()-ROW($CN$130)+1),"")</f>
        <v>0</v>
      </c>
      <c r="CO160">
        <f>IFERROR(SMALL(CO47:CO127,ROW()-ROW($CO$130)+1),"")</f>
        <v>0</v>
      </c>
      <c r="CP160">
        <f>IFERROR(SMALL(CP47:CP127,ROW()-ROW($CP$130)+1),"")</f>
        <v>0</v>
      </c>
      <c r="CQ160">
        <f>IFERROR(SMALL(CQ47:CQ127,ROW()-ROW($CQ$130)+1),"")</f>
        <v>0</v>
      </c>
      <c r="CR160">
        <f>IFERROR(SMALL(CR47:CR127,ROW()-ROW($CR$130)+1),"")</f>
        <v>0</v>
      </c>
      <c r="CS160">
        <f>IFERROR(SMALL(CS47:CS127,ROW()-ROW($CS$130)+1),"")</f>
        <v>0</v>
      </c>
      <c r="CT160">
        <f>IFERROR(SMALL(CT47:CT127,ROW()-ROW($CT$130)+1),"")</f>
        <v>0</v>
      </c>
      <c r="CU160">
        <f>IFERROR(SMALL(CU47:CU127,ROW()-ROW($CU$130)+1),"")</f>
        <v>0</v>
      </c>
      <c r="CV160">
        <f>IFERROR(SMALL(CV47:CV127,ROW()-ROW($CV$130)+1),"")</f>
        <v>0</v>
      </c>
      <c r="CW160">
        <f>IFERROR(SMALL(CW47:CW127,ROW()-ROW($CW$130)+1),"")</f>
        <v>0</v>
      </c>
      <c r="CX160">
        <f>IFERROR(SMALL(CX47:CX127,ROW()-ROW($CX$130)+1),"")</f>
        <v>0</v>
      </c>
      <c r="CY160">
        <f>IFERROR(SMALL(CY47:CY127,ROW()-ROW($CY$130)+1),"")</f>
        <v>0</v>
      </c>
      <c r="CZ160">
        <f>IFERROR(SMALL(CZ47:CZ127,ROW()-ROW($CZ$130)+1),"")</f>
        <v>0</v>
      </c>
      <c r="DA160">
        <f>IFERROR(SMALL(DA47:DA127,ROW()-ROW($DA$130)+1),"")</f>
        <v>0</v>
      </c>
      <c r="DB160">
        <f>IFERROR(SMALL(DB47:DB127,ROW()-ROW($DB$130)+1),"")</f>
        <v>0</v>
      </c>
      <c r="DC160">
        <f>IFERROR(SMALL(DC47:DC127,ROW()-ROW($DC$130)+1),"")</f>
        <v>0</v>
      </c>
      <c r="DD160">
        <f>IFERROR(SMALL(DD47:DD127,ROW()-ROW($DD$130)+1),"")</f>
        <v>0</v>
      </c>
      <c r="DE160">
        <f>IFERROR(SMALL(DE47:DE127,ROW()-ROW($DE$130)+1),"")</f>
        <v>0</v>
      </c>
      <c r="DF160">
        <f>IFERROR(SMALL(DF47:DF127,ROW()-ROW($DF$130)+1),"")</f>
        <v>0</v>
      </c>
      <c r="DG160">
        <f>IFERROR(SMALL(DG47:DG127,ROW()-ROW($DG$130)+1),"")</f>
        <v>0</v>
      </c>
      <c r="DH160">
        <f>IFERROR(SMALL(DH47:DH127,ROW()-ROW($DH$130)+1),"")</f>
        <v>0</v>
      </c>
      <c r="DI160">
        <f>IFERROR(SMALL(DI47:DI127,ROW()-ROW($DI$130)+1),"")</f>
        <v>0</v>
      </c>
      <c r="DJ160">
        <f>IFERROR(SMALL(DJ47:DJ127,ROW()-ROW($DJ$130)+1),"")</f>
        <v>0</v>
      </c>
      <c r="DK160">
        <f>IFERROR(SMALL(DK47:DK127,ROW()-ROW($DK$130)+1),"")</f>
        <v>0</v>
      </c>
      <c r="DL160">
        <f>IFERROR(SMALL(DL47:DL127,ROW()-ROW($DL$130)+1),"")</f>
        <v>0</v>
      </c>
      <c r="DM160">
        <f>IFERROR(SMALL(DM47:DM127,ROW()-ROW($DM$130)+1),"")</f>
        <v>0</v>
      </c>
      <c r="DN160">
        <f>IFERROR(SMALL(DN47:DN127,ROW()-ROW($DN$130)+1),"")</f>
        <v>0</v>
      </c>
      <c r="DO160">
        <f>IFERROR(SMALL(DO47:DO127,ROW()-ROW($DO$130)+1),"")</f>
        <v>0</v>
      </c>
      <c r="DP160">
        <f>IFERROR(SMALL(DP47:DP127,ROW()-ROW($DP$130)+1),"")</f>
        <v>0</v>
      </c>
      <c r="DQ160">
        <f>IFERROR(SMALL(DQ47:DQ127,ROW()-ROW($DQ$130)+1),"")</f>
        <v>0</v>
      </c>
      <c r="DR160">
        <f>IFERROR(SMALL(DR47:DR127,ROW()-ROW($DR$130)+1),"")</f>
        <v>0</v>
      </c>
      <c r="DS160">
        <f>IFERROR(SMALL(DS47:DS127,ROW()-ROW($DS$130)+1),"")</f>
        <v>0</v>
      </c>
      <c r="DT160">
        <f>IFERROR(SMALL(DT47:DT127,ROW()-ROW($DT$130)+1),"")</f>
        <v>0</v>
      </c>
      <c r="DU160">
        <f>IFERROR(SMALL(DU47:DU127,ROW()-ROW($DU$130)+1),"")</f>
        <v>0</v>
      </c>
      <c r="DV160">
        <f>IFERROR(SMALL(DV47:DV127,ROW()-ROW($DV$130)+1),"")</f>
        <v>0</v>
      </c>
      <c r="DW160">
        <f>IFERROR(SMALL(DW47:DW127,ROW()-ROW($DW$130)+1),"")</f>
        <v>0</v>
      </c>
      <c r="DX160">
        <f>IFERROR(SMALL(DX47:DX127,ROW()-ROW($DX$130)+1),"")</f>
        <v>0</v>
      </c>
      <c r="DY160">
        <f>IFERROR(SMALL(DY47:DY127,ROW()-ROW($DY$130)+1),"")</f>
        <v>0</v>
      </c>
      <c r="DZ160">
        <f>IFERROR(SMALL(DZ47:DZ127,ROW()-ROW($DZ$130)+1),"")</f>
        <v>0</v>
      </c>
      <c r="EA160">
        <f>IFERROR(SMALL(EA47:EA127,ROW()-ROW($EA$130)+1),"")</f>
        <v>0</v>
      </c>
      <c r="EB160">
        <f>IFERROR(SMALL(EB47:EB127,ROW()-ROW($EB$130)+1),"")</f>
        <v>0</v>
      </c>
      <c r="EC160">
        <f>IFERROR(SMALL(EC47:EC127,ROW()-ROW($EC$130)+1),"")</f>
        <v>0</v>
      </c>
      <c r="ED160">
        <f>IFERROR(SMALL(ED47:ED127,ROW()-ROW($ED$130)+1),"")</f>
        <v>0</v>
      </c>
    </row>
    <row r="161" spans="5:134">
      <c r="E161">
        <f>IFERROR(SMALL(E47:E127,ROW()-ROW($E$130)+1),"")</f>
        <v>0</v>
      </c>
      <c r="F161">
        <f>IFERROR(SMALL(F47:F127,ROW()-ROW($F$130)+1),"")</f>
        <v>0</v>
      </c>
      <c r="G161">
        <f>IFERROR(SMALL(G47:G127,ROW()-ROW($G$130)+1),"")</f>
        <v>0</v>
      </c>
      <c r="H161">
        <f>IFERROR(SMALL(H47:H127,ROW()-ROW($H$130)+1),"")</f>
        <v>0</v>
      </c>
      <c r="I161">
        <f>IFERROR(SMALL(I47:I127,ROW()-ROW($I$130)+1),"")</f>
        <v>0</v>
      </c>
      <c r="J161">
        <f>IFERROR(SMALL(J47:J127,ROW()-ROW($J$130)+1),"")</f>
        <v>0</v>
      </c>
      <c r="K161">
        <f>IFERROR(SMALL(K47:K127,ROW()-ROW($K$130)+1),"")</f>
        <v>0</v>
      </c>
      <c r="L161">
        <f>IFERROR(SMALL(L47:L127,ROW()-ROW($L$130)+1),"")</f>
        <v>0</v>
      </c>
      <c r="M161">
        <f>IFERROR(SMALL(M47:M127,ROW()-ROW($M$130)+1),"")</f>
        <v>0</v>
      </c>
      <c r="N161">
        <f>IFERROR(SMALL(N47:N127,ROW()-ROW($N$130)+1),"")</f>
        <v>0</v>
      </c>
      <c r="O161">
        <f>IFERROR(SMALL(O47:O127,ROW()-ROW($O$130)+1),"")</f>
        <v>0</v>
      </c>
      <c r="P161">
        <f>IFERROR(SMALL(P47:P127,ROW()-ROW($P$130)+1),"")</f>
        <v>0</v>
      </c>
      <c r="Q161">
        <f>IFERROR(SMALL(Q47:Q127,ROW()-ROW($Q$130)+1),"")</f>
        <v>0</v>
      </c>
      <c r="R161">
        <f>IFERROR(SMALL(R47:R127,ROW()-ROW($R$130)+1),"")</f>
        <v>0</v>
      </c>
      <c r="S161">
        <f>IFERROR(SMALL(S47:S127,ROW()-ROW($S$130)+1),"")</f>
        <v>0</v>
      </c>
      <c r="T161">
        <f>IFERROR(SMALL(T47:T127,ROW()-ROW($T$130)+1),"")</f>
        <v>0</v>
      </c>
      <c r="U161">
        <f>IFERROR(SMALL(U47:U127,ROW()-ROW($U$130)+1),"")</f>
        <v>0</v>
      </c>
      <c r="V161">
        <f>IFERROR(SMALL(V47:V127,ROW()-ROW($V$130)+1),"")</f>
        <v>0</v>
      </c>
      <c r="W161">
        <f>IFERROR(SMALL(W47:W127,ROW()-ROW($W$130)+1),"")</f>
        <v>0</v>
      </c>
      <c r="X161">
        <f>IFERROR(SMALL(X47:X127,ROW()-ROW($X$130)+1),"")</f>
        <v>0</v>
      </c>
      <c r="Y161">
        <f>IFERROR(SMALL(Y47:Y127,ROW()-ROW($Y$130)+1),"")</f>
        <v>0</v>
      </c>
      <c r="Z161">
        <f>IFERROR(SMALL(Z47:Z127,ROW()-ROW($Z$130)+1),"")</f>
        <v>0</v>
      </c>
      <c r="AA161">
        <f>IFERROR(SMALL(AA47:AA127,ROW()-ROW($AA$130)+1),"")</f>
        <v>0</v>
      </c>
      <c r="AB161">
        <f>IFERROR(SMALL(AB47:AB127,ROW()-ROW($AB$130)+1),"")</f>
        <v>0</v>
      </c>
      <c r="AC161">
        <f>IFERROR(SMALL(AC47:AC127,ROW()-ROW($AC$130)+1),"")</f>
        <v>0</v>
      </c>
      <c r="AD161">
        <f>IFERROR(SMALL(AD47:AD127,ROW()-ROW($AD$130)+1),"")</f>
        <v>0</v>
      </c>
      <c r="AE161">
        <f>IFERROR(SMALL(AE47:AE127,ROW()-ROW($AE$130)+1),"")</f>
        <v>0</v>
      </c>
      <c r="AF161">
        <f>IFERROR(SMALL(AF47:AF127,ROW()-ROW($AF$130)+1),"")</f>
        <v>0</v>
      </c>
      <c r="AG161">
        <f>IFERROR(SMALL(AG47:AG127,ROW()-ROW($AG$130)+1),"")</f>
        <v>0</v>
      </c>
      <c r="AH161">
        <f>IFERROR(SMALL(AH47:AH127,ROW()-ROW($AH$130)+1),"")</f>
        <v>0</v>
      </c>
      <c r="AI161">
        <f>IFERROR(SMALL(AI47:AI127,ROW()-ROW($AI$130)+1),"")</f>
        <v>0</v>
      </c>
      <c r="AJ161">
        <f>IFERROR(SMALL(AJ47:AJ127,ROW()-ROW($AJ$130)+1),"")</f>
        <v>0</v>
      </c>
      <c r="AK161">
        <f>IFERROR(SMALL(AK47:AK127,ROW()-ROW($AK$130)+1),"")</f>
        <v>0</v>
      </c>
      <c r="AL161">
        <f>IFERROR(SMALL(AL47:AL127,ROW()-ROW($AL$130)+1),"")</f>
        <v>0</v>
      </c>
      <c r="AM161">
        <f>IFERROR(SMALL(AM47:AM127,ROW()-ROW($AM$130)+1),"")</f>
        <v>0</v>
      </c>
      <c r="AN161">
        <f>IFERROR(SMALL(AN47:AN127,ROW()-ROW($AN$130)+1),"")</f>
        <v>0</v>
      </c>
      <c r="AO161">
        <f>IFERROR(SMALL(AO47:AO127,ROW()-ROW($AO$130)+1),"")</f>
        <v>0</v>
      </c>
      <c r="AP161">
        <f>IFERROR(SMALL(AP47:AP127,ROW()-ROW($AP$130)+1),"")</f>
        <v>0</v>
      </c>
      <c r="AQ161">
        <f>IFERROR(SMALL(AQ47:AQ127,ROW()-ROW($AQ$130)+1),"")</f>
        <v>0</v>
      </c>
      <c r="AR161">
        <f>IFERROR(SMALL(AR47:AR127,ROW()-ROW($AR$130)+1),"")</f>
        <v>0</v>
      </c>
      <c r="AS161">
        <f>IFERROR(SMALL(AS47:AS127,ROW()-ROW($AS$130)+1),"")</f>
        <v>0</v>
      </c>
      <c r="AT161">
        <f>IFERROR(SMALL(AT47:AT127,ROW()-ROW($AT$130)+1),"")</f>
        <v>0</v>
      </c>
      <c r="AU161">
        <f>IFERROR(SMALL(AU47:AU127,ROW()-ROW($AU$130)+1),"")</f>
        <v>0</v>
      </c>
      <c r="AV161">
        <f>IFERROR(SMALL(AV47:AV127,ROW()-ROW($AV$130)+1),"")</f>
        <v>0</v>
      </c>
      <c r="AW161">
        <f>IFERROR(SMALL(AW47:AW127,ROW()-ROW($AW$130)+1),"")</f>
        <v>0</v>
      </c>
      <c r="AX161">
        <f>IFERROR(SMALL(AX47:AX127,ROW()-ROW($AX$130)+1),"")</f>
        <v>0</v>
      </c>
      <c r="AY161">
        <f>IFERROR(SMALL(AY47:AY127,ROW()-ROW($AY$130)+1),"")</f>
        <v>0</v>
      </c>
      <c r="AZ161">
        <f>IFERROR(SMALL(AZ47:AZ127,ROW()-ROW($AZ$130)+1),"")</f>
        <v>0</v>
      </c>
      <c r="BA161">
        <f>IFERROR(SMALL(BA47:BA127,ROW()-ROW($BA$130)+1),"")</f>
        <v>0</v>
      </c>
      <c r="BB161">
        <f>IFERROR(SMALL(BB47:BB127,ROW()-ROW($BB$130)+1),"")</f>
        <v>0</v>
      </c>
      <c r="BC161">
        <f>IFERROR(SMALL(BC47:BC127,ROW()-ROW($BC$130)+1),"")</f>
        <v>0</v>
      </c>
      <c r="BD161">
        <f>IFERROR(SMALL(BD47:BD127,ROW()-ROW($BD$130)+1),"")</f>
        <v>0</v>
      </c>
      <c r="BE161">
        <f>IFERROR(SMALL(BE47:BE127,ROW()-ROW($BE$130)+1),"")</f>
        <v>0</v>
      </c>
      <c r="BF161">
        <f>IFERROR(SMALL(BF47:BF127,ROW()-ROW($BF$130)+1),"")</f>
        <v>0</v>
      </c>
      <c r="BG161">
        <f>IFERROR(SMALL(BG47:BG127,ROW()-ROW($BG$130)+1),"")</f>
        <v>0</v>
      </c>
      <c r="BH161">
        <f>IFERROR(SMALL(BH47:BH127,ROW()-ROW($BH$130)+1),"")</f>
        <v>0</v>
      </c>
      <c r="BI161">
        <f>IFERROR(SMALL(BI47:BI127,ROW()-ROW($BI$130)+1),"")</f>
        <v>0</v>
      </c>
      <c r="BJ161">
        <f>IFERROR(SMALL(BJ47:BJ127,ROW()-ROW($BJ$130)+1),"")</f>
        <v>0</v>
      </c>
      <c r="BK161">
        <f>IFERROR(SMALL(BK47:BK127,ROW()-ROW($BK$130)+1),"")</f>
        <v>0</v>
      </c>
      <c r="BL161">
        <f>IFERROR(SMALL(BL47:BL127,ROW()-ROW($BL$130)+1),"")</f>
        <v>0</v>
      </c>
      <c r="BM161">
        <f>IFERROR(SMALL(BM47:BM127,ROW()-ROW($BM$130)+1),"")</f>
        <v>0</v>
      </c>
      <c r="BN161">
        <f>IFERROR(SMALL(BN47:BN127,ROW()-ROW($BN$130)+1),"")</f>
        <v>0</v>
      </c>
      <c r="BO161">
        <f>IFERROR(SMALL(BO47:BO127,ROW()-ROW($BO$130)+1),"")</f>
        <v>0</v>
      </c>
      <c r="BP161">
        <f>IFERROR(SMALL(BP47:BP127,ROW()-ROW($BP$130)+1),"")</f>
        <v>0</v>
      </c>
      <c r="BS161">
        <f>IFERROR(SMALL(BS47:BS127,ROW()-ROW($BS$130)+1),"")</f>
        <v>0</v>
      </c>
      <c r="BT161">
        <f>IFERROR(SMALL(BT47:BT127,ROW()-ROW($BT$130)+1),"")</f>
        <v>0</v>
      </c>
      <c r="BU161">
        <f>IFERROR(SMALL(BU47:BU127,ROW()-ROW($BU$130)+1),"")</f>
        <v>0</v>
      </c>
      <c r="BV161">
        <f>IFERROR(SMALL(BV47:BV127,ROW()-ROW($BV$130)+1),"")</f>
        <v>0</v>
      </c>
      <c r="BW161">
        <f>IFERROR(SMALL(BW47:BW127,ROW()-ROW($BW$130)+1),"")</f>
        <v>0</v>
      </c>
      <c r="BX161">
        <f>IFERROR(SMALL(BX47:BX127,ROW()-ROW($BX$130)+1),"")</f>
        <v>0</v>
      </c>
      <c r="BY161">
        <f>IFERROR(SMALL(BY47:BY127,ROW()-ROW($BY$130)+1),"")</f>
        <v>0</v>
      </c>
      <c r="BZ161">
        <f>IFERROR(SMALL(BZ47:BZ127,ROW()-ROW($BZ$130)+1),"")</f>
        <v>0</v>
      </c>
      <c r="CA161">
        <f>IFERROR(SMALL(CA47:CA127,ROW()-ROW($CA$130)+1),"")</f>
        <v>0</v>
      </c>
      <c r="CB161">
        <f>IFERROR(SMALL(CB47:CB127,ROW()-ROW($CB$130)+1),"")</f>
        <v>0</v>
      </c>
      <c r="CC161">
        <f>IFERROR(SMALL(CC47:CC127,ROW()-ROW($CC$130)+1),"")</f>
        <v>0</v>
      </c>
      <c r="CD161">
        <f>IFERROR(SMALL(CD47:CD127,ROW()-ROW($CD$130)+1),"")</f>
        <v>0</v>
      </c>
      <c r="CE161">
        <f>IFERROR(SMALL(CE47:CE127,ROW()-ROW($CE$130)+1),"")</f>
        <v>0</v>
      </c>
      <c r="CF161">
        <f>IFERROR(SMALL(CF47:CF127,ROW()-ROW($CF$130)+1),"")</f>
        <v>0</v>
      </c>
      <c r="CG161">
        <f>IFERROR(SMALL(CG47:CG127,ROW()-ROW($CG$130)+1),"")</f>
        <v>0</v>
      </c>
      <c r="CH161">
        <f>IFERROR(SMALL(CH47:CH127,ROW()-ROW($CH$130)+1),"")</f>
        <v>0</v>
      </c>
      <c r="CI161">
        <f>IFERROR(SMALL(CI47:CI127,ROW()-ROW($CI$130)+1),"")</f>
        <v>0</v>
      </c>
      <c r="CJ161">
        <f>IFERROR(SMALL(CJ47:CJ127,ROW()-ROW($CJ$130)+1),"")</f>
        <v>0</v>
      </c>
      <c r="CK161">
        <f>IFERROR(SMALL(CK47:CK127,ROW()-ROW($CK$130)+1),"")</f>
        <v>0</v>
      </c>
      <c r="CL161">
        <f>IFERROR(SMALL(CL47:CL127,ROW()-ROW($CL$130)+1),"")</f>
        <v>0</v>
      </c>
      <c r="CM161">
        <f>IFERROR(SMALL(CM47:CM127,ROW()-ROW($CM$130)+1),"")</f>
        <v>0</v>
      </c>
      <c r="CN161">
        <f>IFERROR(SMALL(CN47:CN127,ROW()-ROW($CN$130)+1),"")</f>
        <v>0</v>
      </c>
      <c r="CO161">
        <f>IFERROR(SMALL(CO47:CO127,ROW()-ROW($CO$130)+1),"")</f>
        <v>0</v>
      </c>
      <c r="CP161">
        <f>IFERROR(SMALL(CP47:CP127,ROW()-ROW($CP$130)+1),"")</f>
        <v>0</v>
      </c>
      <c r="CQ161">
        <f>IFERROR(SMALL(CQ47:CQ127,ROW()-ROW($CQ$130)+1),"")</f>
        <v>0</v>
      </c>
      <c r="CR161">
        <f>IFERROR(SMALL(CR47:CR127,ROW()-ROW($CR$130)+1),"")</f>
        <v>0</v>
      </c>
      <c r="CS161">
        <f>IFERROR(SMALL(CS47:CS127,ROW()-ROW($CS$130)+1),"")</f>
        <v>0</v>
      </c>
      <c r="CT161">
        <f>IFERROR(SMALL(CT47:CT127,ROW()-ROW($CT$130)+1),"")</f>
        <v>0</v>
      </c>
      <c r="CU161">
        <f>IFERROR(SMALL(CU47:CU127,ROW()-ROW($CU$130)+1),"")</f>
        <v>0</v>
      </c>
      <c r="CV161">
        <f>IFERROR(SMALL(CV47:CV127,ROW()-ROW($CV$130)+1),"")</f>
        <v>0</v>
      </c>
      <c r="CW161">
        <f>IFERROR(SMALL(CW47:CW127,ROW()-ROW($CW$130)+1),"")</f>
        <v>0</v>
      </c>
      <c r="CX161">
        <f>IFERROR(SMALL(CX47:CX127,ROW()-ROW($CX$130)+1),"")</f>
        <v>0</v>
      </c>
      <c r="CY161">
        <f>IFERROR(SMALL(CY47:CY127,ROW()-ROW($CY$130)+1),"")</f>
        <v>0</v>
      </c>
      <c r="CZ161">
        <f>IFERROR(SMALL(CZ47:CZ127,ROW()-ROW($CZ$130)+1),"")</f>
        <v>0</v>
      </c>
      <c r="DA161">
        <f>IFERROR(SMALL(DA47:DA127,ROW()-ROW($DA$130)+1),"")</f>
        <v>0</v>
      </c>
      <c r="DB161">
        <f>IFERROR(SMALL(DB47:DB127,ROW()-ROW($DB$130)+1),"")</f>
        <v>0</v>
      </c>
      <c r="DC161">
        <f>IFERROR(SMALL(DC47:DC127,ROW()-ROW($DC$130)+1),"")</f>
        <v>0</v>
      </c>
      <c r="DD161">
        <f>IFERROR(SMALL(DD47:DD127,ROW()-ROW($DD$130)+1),"")</f>
        <v>0</v>
      </c>
      <c r="DE161">
        <f>IFERROR(SMALL(DE47:DE127,ROW()-ROW($DE$130)+1),"")</f>
        <v>0</v>
      </c>
      <c r="DF161">
        <f>IFERROR(SMALL(DF47:DF127,ROW()-ROW($DF$130)+1),"")</f>
        <v>0</v>
      </c>
      <c r="DG161">
        <f>IFERROR(SMALL(DG47:DG127,ROW()-ROW($DG$130)+1),"")</f>
        <v>0</v>
      </c>
      <c r="DH161">
        <f>IFERROR(SMALL(DH47:DH127,ROW()-ROW($DH$130)+1),"")</f>
        <v>0</v>
      </c>
      <c r="DI161">
        <f>IFERROR(SMALL(DI47:DI127,ROW()-ROW($DI$130)+1),"")</f>
        <v>0</v>
      </c>
      <c r="DJ161">
        <f>IFERROR(SMALL(DJ47:DJ127,ROW()-ROW($DJ$130)+1),"")</f>
        <v>0</v>
      </c>
      <c r="DK161">
        <f>IFERROR(SMALL(DK47:DK127,ROW()-ROW($DK$130)+1),"")</f>
        <v>0</v>
      </c>
      <c r="DL161">
        <f>IFERROR(SMALL(DL47:DL127,ROW()-ROW($DL$130)+1),"")</f>
        <v>0</v>
      </c>
      <c r="DM161">
        <f>IFERROR(SMALL(DM47:DM127,ROW()-ROW($DM$130)+1),"")</f>
        <v>0</v>
      </c>
      <c r="DN161">
        <f>IFERROR(SMALL(DN47:DN127,ROW()-ROW($DN$130)+1),"")</f>
        <v>0</v>
      </c>
      <c r="DO161">
        <f>IFERROR(SMALL(DO47:DO127,ROW()-ROW($DO$130)+1),"")</f>
        <v>0</v>
      </c>
      <c r="DP161">
        <f>IFERROR(SMALL(DP47:DP127,ROW()-ROW($DP$130)+1),"")</f>
        <v>0</v>
      </c>
      <c r="DQ161">
        <f>IFERROR(SMALL(DQ47:DQ127,ROW()-ROW($DQ$130)+1),"")</f>
        <v>0</v>
      </c>
      <c r="DR161">
        <f>IFERROR(SMALL(DR47:DR127,ROW()-ROW($DR$130)+1),"")</f>
        <v>0</v>
      </c>
      <c r="DS161">
        <f>IFERROR(SMALL(DS47:DS127,ROW()-ROW($DS$130)+1),"")</f>
        <v>0</v>
      </c>
      <c r="DT161">
        <f>IFERROR(SMALL(DT47:DT127,ROW()-ROW($DT$130)+1),"")</f>
        <v>0</v>
      </c>
      <c r="DU161">
        <f>IFERROR(SMALL(DU47:DU127,ROW()-ROW($DU$130)+1),"")</f>
        <v>0</v>
      </c>
      <c r="DV161">
        <f>IFERROR(SMALL(DV47:DV127,ROW()-ROW($DV$130)+1),"")</f>
        <v>0</v>
      </c>
      <c r="DW161">
        <f>IFERROR(SMALL(DW47:DW127,ROW()-ROW($DW$130)+1),"")</f>
        <v>0</v>
      </c>
      <c r="DX161">
        <f>IFERROR(SMALL(DX47:DX127,ROW()-ROW($DX$130)+1),"")</f>
        <v>0</v>
      </c>
      <c r="DY161">
        <f>IFERROR(SMALL(DY47:DY127,ROW()-ROW($DY$130)+1),"")</f>
        <v>0</v>
      </c>
      <c r="DZ161">
        <f>IFERROR(SMALL(DZ47:DZ127,ROW()-ROW($DZ$130)+1),"")</f>
        <v>0</v>
      </c>
      <c r="EA161">
        <f>IFERROR(SMALL(EA47:EA127,ROW()-ROW($EA$130)+1),"")</f>
        <v>0</v>
      </c>
      <c r="EB161">
        <f>IFERROR(SMALL(EB47:EB127,ROW()-ROW($EB$130)+1),"")</f>
        <v>0</v>
      </c>
      <c r="EC161">
        <f>IFERROR(SMALL(EC47:EC127,ROW()-ROW($EC$130)+1),"")</f>
        <v>0</v>
      </c>
      <c r="ED161">
        <f>IFERROR(SMALL(ED47:ED127,ROW()-ROW($ED$130)+1),"")</f>
        <v>0</v>
      </c>
    </row>
    <row r="162" spans="5:134">
      <c r="E162">
        <f>IFERROR(SMALL(E47:E127,ROW()-ROW($E$130)+1),"")</f>
        <v>0</v>
      </c>
      <c r="F162">
        <f>IFERROR(SMALL(F47:F127,ROW()-ROW($F$130)+1),"")</f>
        <v>0</v>
      </c>
      <c r="G162">
        <f>IFERROR(SMALL(G47:G127,ROW()-ROW($G$130)+1),"")</f>
        <v>0</v>
      </c>
      <c r="H162">
        <f>IFERROR(SMALL(H47:H127,ROW()-ROW($H$130)+1),"")</f>
        <v>0</v>
      </c>
      <c r="I162">
        <f>IFERROR(SMALL(I47:I127,ROW()-ROW($I$130)+1),"")</f>
        <v>0</v>
      </c>
      <c r="J162">
        <f>IFERROR(SMALL(J47:J127,ROW()-ROW($J$130)+1),"")</f>
        <v>0</v>
      </c>
      <c r="K162">
        <f>IFERROR(SMALL(K47:K127,ROW()-ROW($K$130)+1),"")</f>
        <v>0</v>
      </c>
      <c r="L162">
        <f>IFERROR(SMALL(L47:L127,ROW()-ROW($L$130)+1),"")</f>
        <v>0</v>
      </c>
      <c r="M162">
        <f>IFERROR(SMALL(M47:M127,ROW()-ROW($M$130)+1),"")</f>
        <v>0</v>
      </c>
      <c r="N162">
        <f>IFERROR(SMALL(N47:N127,ROW()-ROW($N$130)+1),"")</f>
        <v>0</v>
      </c>
      <c r="O162">
        <f>IFERROR(SMALL(O47:O127,ROW()-ROW($O$130)+1),"")</f>
        <v>0</v>
      </c>
      <c r="P162">
        <f>IFERROR(SMALL(P47:P127,ROW()-ROW($P$130)+1),"")</f>
        <v>0</v>
      </c>
      <c r="Q162">
        <f>IFERROR(SMALL(Q47:Q127,ROW()-ROW($Q$130)+1),"")</f>
        <v>0</v>
      </c>
      <c r="R162">
        <f>IFERROR(SMALL(R47:R127,ROW()-ROW($R$130)+1),"")</f>
        <v>0</v>
      </c>
      <c r="S162">
        <f>IFERROR(SMALL(S47:S127,ROW()-ROW($S$130)+1),"")</f>
        <v>0</v>
      </c>
      <c r="T162">
        <f>IFERROR(SMALL(T47:T127,ROW()-ROW($T$130)+1),"")</f>
        <v>0</v>
      </c>
      <c r="U162">
        <f>IFERROR(SMALL(U47:U127,ROW()-ROW($U$130)+1),"")</f>
        <v>0</v>
      </c>
      <c r="V162">
        <f>IFERROR(SMALL(V47:V127,ROW()-ROW($V$130)+1),"")</f>
        <v>0</v>
      </c>
      <c r="W162">
        <f>IFERROR(SMALL(W47:W127,ROW()-ROW($W$130)+1),"")</f>
        <v>0</v>
      </c>
      <c r="X162">
        <f>IFERROR(SMALL(X47:X127,ROW()-ROW($X$130)+1),"")</f>
        <v>0</v>
      </c>
      <c r="Y162">
        <f>IFERROR(SMALL(Y47:Y127,ROW()-ROW($Y$130)+1),"")</f>
        <v>0</v>
      </c>
      <c r="Z162">
        <f>IFERROR(SMALL(Z47:Z127,ROW()-ROW($Z$130)+1),"")</f>
        <v>0</v>
      </c>
      <c r="AA162">
        <f>IFERROR(SMALL(AA47:AA127,ROW()-ROW($AA$130)+1),"")</f>
        <v>0</v>
      </c>
      <c r="AB162">
        <f>IFERROR(SMALL(AB47:AB127,ROW()-ROW($AB$130)+1),"")</f>
        <v>0</v>
      </c>
      <c r="AC162">
        <f>IFERROR(SMALL(AC47:AC127,ROW()-ROW($AC$130)+1),"")</f>
        <v>0</v>
      </c>
      <c r="AD162">
        <f>IFERROR(SMALL(AD47:AD127,ROW()-ROW($AD$130)+1),"")</f>
        <v>0</v>
      </c>
      <c r="AE162">
        <f>IFERROR(SMALL(AE47:AE127,ROW()-ROW($AE$130)+1),"")</f>
        <v>0</v>
      </c>
      <c r="AF162">
        <f>IFERROR(SMALL(AF47:AF127,ROW()-ROW($AF$130)+1),"")</f>
        <v>0</v>
      </c>
      <c r="AG162">
        <f>IFERROR(SMALL(AG47:AG127,ROW()-ROW($AG$130)+1),"")</f>
        <v>0</v>
      </c>
      <c r="AH162">
        <f>IFERROR(SMALL(AH47:AH127,ROW()-ROW($AH$130)+1),"")</f>
        <v>0</v>
      </c>
      <c r="AI162">
        <f>IFERROR(SMALL(AI47:AI127,ROW()-ROW($AI$130)+1),"")</f>
        <v>0</v>
      </c>
      <c r="AJ162">
        <f>IFERROR(SMALL(AJ47:AJ127,ROW()-ROW($AJ$130)+1),"")</f>
        <v>0</v>
      </c>
      <c r="AK162">
        <f>IFERROR(SMALL(AK47:AK127,ROW()-ROW($AK$130)+1),"")</f>
        <v>0</v>
      </c>
      <c r="AL162">
        <f>IFERROR(SMALL(AL47:AL127,ROW()-ROW($AL$130)+1),"")</f>
        <v>0</v>
      </c>
      <c r="AM162">
        <f>IFERROR(SMALL(AM47:AM127,ROW()-ROW($AM$130)+1),"")</f>
        <v>0</v>
      </c>
      <c r="AN162">
        <f>IFERROR(SMALL(AN47:AN127,ROW()-ROW($AN$130)+1),"")</f>
        <v>0</v>
      </c>
      <c r="AO162">
        <f>IFERROR(SMALL(AO47:AO127,ROW()-ROW($AO$130)+1),"")</f>
        <v>0</v>
      </c>
      <c r="AP162">
        <f>IFERROR(SMALL(AP47:AP127,ROW()-ROW($AP$130)+1),"")</f>
        <v>0</v>
      </c>
      <c r="AQ162">
        <f>IFERROR(SMALL(AQ47:AQ127,ROW()-ROW($AQ$130)+1),"")</f>
        <v>0</v>
      </c>
      <c r="AR162">
        <f>IFERROR(SMALL(AR47:AR127,ROW()-ROW($AR$130)+1),"")</f>
        <v>0</v>
      </c>
      <c r="AS162">
        <f>IFERROR(SMALL(AS47:AS127,ROW()-ROW($AS$130)+1),"")</f>
        <v>0</v>
      </c>
      <c r="AT162">
        <f>IFERROR(SMALL(AT47:AT127,ROW()-ROW($AT$130)+1),"")</f>
        <v>0</v>
      </c>
      <c r="AU162">
        <f>IFERROR(SMALL(AU47:AU127,ROW()-ROW($AU$130)+1),"")</f>
        <v>0</v>
      </c>
      <c r="AV162">
        <f>IFERROR(SMALL(AV47:AV127,ROW()-ROW($AV$130)+1),"")</f>
        <v>0</v>
      </c>
      <c r="AW162">
        <f>IFERROR(SMALL(AW47:AW127,ROW()-ROW($AW$130)+1),"")</f>
        <v>0</v>
      </c>
      <c r="AX162">
        <f>IFERROR(SMALL(AX47:AX127,ROW()-ROW($AX$130)+1),"")</f>
        <v>0</v>
      </c>
      <c r="AY162">
        <f>IFERROR(SMALL(AY47:AY127,ROW()-ROW($AY$130)+1),"")</f>
        <v>0</v>
      </c>
      <c r="AZ162">
        <f>IFERROR(SMALL(AZ47:AZ127,ROW()-ROW($AZ$130)+1),"")</f>
        <v>0</v>
      </c>
      <c r="BA162">
        <f>IFERROR(SMALL(BA47:BA127,ROW()-ROW($BA$130)+1),"")</f>
        <v>0</v>
      </c>
      <c r="BB162">
        <f>IFERROR(SMALL(BB47:BB127,ROW()-ROW($BB$130)+1),"")</f>
        <v>0</v>
      </c>
      <c r="BC162">
        <f>IFERROR(SMALL(BC47:BC127,ROW()-ROW($BC$130)+1),"")</f>
        <v>0</v>
      </c>
      <c r="BD162">
        <f>IFERROR(SMALL(BD47:BD127,ROW()-ROW($BD$130)+1),"")</f>
        <v>0</v>
      </c>
      <c r="BE162">
        <f>IFERROR(SMALL(BE47:BE127,ROW()-ROW($BE$130)+1),"")</f>
        <v>0</v>
      </c>
      <c r="BF162">
        <f>IFERROR(SMALL(BF47:BF127,ROW()-ROW($BF$130)+1),"")</f>
        <v>0</v>
      </c>
      <c r="BG162">
        <f>IFERROR(SMALL(BG47:BG127,ROW()-ROW($BG$130)+1),"")</f>
        <v>0</v>
      </c>
      <c r="BH162">
        <f>IFERROR(SMALL(BH47:BH127,ROW()-ROW($BH$130)+1),"")</f>
        <v>0</v>
      </c>
      <c r="BI162">
        <f>IFERROR(SMALL(BI47:BI127,ROW()-ROW($BI$130)+1),"")</f>
        <v>0</v>
      </c>
      <c r="BJ162">
        <f>IFERROR(SMALL(BJ47:BJ127,ROW()-ROW($BJ$130)+1),"")</f>
        <v>0</v>
      </c>
      <c r="BK162">
        <f>IFERROR(SMALL(BK47:BK127,ROW()-ROW($BK$130)+1),"")</f>
        <v>0</v>
      </c>
      <c r="BL162">
        <f>IFERROR(SMALL(BL47:BL127,ROW()-ROW($BL$130)+1),"")</f>
        <v>0</v>
      </c>
      <c r="BM162">
        <f>IFERROR(SMALL(BM47:BM127,ROW()-ROW($BM$130)+1),"")</f>
        <v>0</v>
      </c>
      <c r="BN162">
        <f>IFERROR(SMALL(BN47:BN127,ROW()-ROW($BN$130)+1),"")</f>
        <v>0</v>
      </c>
      <c r="BO162">
        <f>IFERROR(SMALL(BO47:BO127,ROW()-ROW($BO$130)+1),"")</f>
        <v>0</v>
      </c>
      <c r="BP162">
        <f>IFERROR(SMALL(BP47:BP127,ROW()-ROW($BP$130)+1),"")</f>
        <v>0</v>
      </c>
      <c r="BS162">
        <f>IFERROR(SMALL(BS47:BS127,ROW()-ROW($BS$130)+1),"")</f>
        <v>0</v>
      </c>
      <c r="BT162">
        <f>IFERROR(SMALL(BT47:BT127,ROW()-ROW($BT$130)+1),"")</f>
        <v>0</v>
      </c>
      <c r="BU162">
        <f>IFERROR(SMALL(BU47:BU127,ROW()-ROW($BU$130)+1),"")</f>
        <v>0</v>
      </c>
      <c r="BV162">
        <f>IFERROR(SMALL(BV47:BV127,ROW()-ROW($BV$130)+1),"")</f>
        <v>0</v>
      </c>
      <c r="BW162">
        <f>IFERROR(SMALL(BW47:BW127,ROW()-ROW($BW$130)+1),"")</f>
        <v>0</v>
      </c>
      <c r="BX162">
        <f>IFERROR(SMALL(BX47:BX127,ROW()-ROW($BX$130)+1),"")</f>
        <v>0</v>
      </c>
      <c r="BY162">
        <f>IFERROR(SMALL(BY47:BY127,ROW()-ROW($BY$130)+1),"")</f>
        <v>0</v>
      </c>
      <c r="BZ162">
        <f>IFERROR(SMALL(BZ47:BZ127,ROW()-ROW($BZ$130)+1),"")</f>
        <v>0</v>
      </c>
      <c r="CA162">
        <f>IFERROR(SMALL(CA47:CA127,ROW()-ROW($CA$130)+1),"")</f>
        <v>0</v>
      </c>
      <c r="CB162">
        <f>IFERROR(SMALL(CB47:CB127,ROW()-ROW($CB$130)+1),"")</f>
        <v>0</v>
      </c>
      <c r="CC162">
        <f>IFERROR(SMALL(CC47:CC127,ROW()-ROW($CC$130)+1),"")</f>
        <v>0</v>
      </c>
      <c r="CD162">
        <f>IFERROR(SMALL(CD47:CD127,ROW()-ROW($CD$130)+1),"")</f>
        <v>0</v>
      </c>
      <c r="CE162">
        <f>IFERROR(SMALL(CE47:CE127,ROW()-ROW($CE$130)+1),"")</f>
        <v>0</v>
      </c>
      <c r="CF162">
        <f>IFERROR(SMALL(CF47:CF127,ROW()-ROW($CF$130)+1),"")</f>
        <v>0</v>
      </c>
      <c r="CG162">
        <f>IFERROR(SMALL(CG47:CG127,ROW()-ROW($CG$130)+1),"")</f>
        <v>0</v>
      </c>
      <c r="CH162">
        <f>IFERROR(SMALL(CH47:CH127,ROW()-ROW($CH$130)+1),"")</f>
        <v>0</v>
      </c>
      <c r="CI162">
        <f>IFERROR(SMALL(CI47:CI127,ROW()-ROW($CI$130)+1),"")</f>
        <v>0</v>
      </c>
      <c r="CJ162">
        <f>IFERROR(SMALL(CJ47:CJ127,ROW()-ROW($CJ$130)+1),"")</f>
        <v>0</v>
      </c>
      <c r="CK162">
        <f>IFERROR(SMALL(CK47:CK127,ROW()-ROW($CK$130)+1),"")</f>
        <v>0</v>
      </c>
      <c r="CL162">
        <f>IFERROR(SMALL(CL47:CL127,ROW()-ROW($CL$130)+1),"")</f>
        <v>0</v>
      </c>
      <c r="CM162">
        <f>IFERROR(SMALL(CM47:CM127,ROW()-ROW($CM$130)+1),"")</f>
        <v>0</v>
      </c>
      <c r="CN162">
        <f>IFERROR(SMALL(CN47:CN127,ROW()-ROW($CN$130)+1),"")</f>
        <v>0</v>
      </c>
      <c r="CO162">
        <f>IFERROR(SMALL(CO47:CO127,ROW()-ROW($CO$130)+1),"")</f>
        <v>0</v>
      </c>
      <c r="CP162">
        <f>IFERROR(SMALL(CP47:CP127,ROW()-ROW($CP$130)+1),"")</f>
        <v>0</v>
      </c>
      <c r="CQ162">
        <f>IFERROR(SMALL(CQ47:CQ127,ROW()-ROW($CQ$130)+1),"")</f>
        <v>0</v>
      </c>
      <c r="CR162">
        <f>IFERROR(SMALL(CR47:CR127,ROW()-ROW($CR$130)+1),"")</f>
        <v>0</v>
      </c>
      <c r="CS162">
        <f>IFERROR(SMALL(CS47:CS127,ROW()-ROW($CS$130)+1),"")</f>
        <v>0</v>
      </c>
      <c r="CT162">
        <f>IFERROR(SMALL(CT47:CT127,ROW()-ROW($CT$130)+1),"")</f>
        <v>0</v>
      </c>
      <c r="CU162">
        <f>IFERROR(SMALL(CU47:CU127,ROW()-ROW($CU$130)+1),"")</f>
        <v>0</v>
      </c>
      <c r="CV162">
        <f>IFERROR(SMALL(CV47:CV127,ROW()-ROW($CV$130)+1),"")</f>
        <v>0</v>
      </c>
      <c r="CW162">
        <f>IFERROR(SMALL(CW47:CW127,ROW()-ROW($CW$130)+1),"")</f>
        <v>0</v>
      </c>
      <c r="CX162">
        <f>IFERROR(SMALL(CX47:CX127,ROW()-ROW($CX$130)+1),"")</f>
        <v>0</v>
      </c>
      <c r="CY162">
        <f>IFERROR(SMALL(CY47:CY127,ROW()-ROW($CY$130)+1),"")</f>
        <v>0</v>
      </c>
      <c r="CZ162">
        <f>IFERROR(SMALL(CZ47:CZ127,ROW()-ROW($CZ$130)+1),"")</f>
        <v>0</v>
      </c>
      <c r="DA162">
        <f>IFERROR(SMALL(DA47:DA127,ROW()-ROW($DA$130)+1),"")</f>
        <v>0</v>
      </c>
      <c r="DB162">
        <f>IFERROR(SMALL(DB47:DB127,ROW()-ROW($DB$130)+1),"")</f>
        <v>0</v>
      </c>
      <c r="DC162">
        <f>IFERROR(SMALL(DC47:DC127,ROW()-ROW($DC$130)+1),"")</f>
        <v>0</v>
      </c>
      <c r="DD162">
        <f>IFERROR(SMALL(DD47:DD127,ROW()-ROW($DD$130)+1),"")</f>
        <v>0</v>
      </c>
      <c r="DE162">
        <f>IFERROR(SMALL(DE47:DE127,ROW()-ROW($DE$130)+1),"")</f>
        <v>0</v>
      </c>
      <c r="DF162">
        <f>IFERROR(SMALL(DF47:DF127,ROW()-ROW($DF$130)+1),"")</f>
        <v>0</v>
      </c>
      <c r="DG162">
        <f>IFERROR(SMALL(DG47:DG127,ROW()-ROW($DG$130)+1),"")</f>
        <v>0</v>
      </c>
      <c r="DH162">
        <f>IFERROR(SMALL(DH47:DH127,ROW()-ROW($DH$130)+1),"")</f>
        <v>0</v>
      </c>
      <c r="DI162">
        <f>IFERROR(SMALL(DI47:DI127,ROW()-ROW($DI$130)+1),"")</f>
        <v>0</v>
      </c>
      <c r="DJ162">
        <f>IFERROR(SMALL(DJ47:DJ127,ROW()-ROW($DJ$130)+1),"")</f>
        <v>0</v>
      </c>
      <c r="DK162">
        <f>IFERROR(SMALL(DK47:DK127,ROW()-ROW($DK$130)+1),"")</f>
        <v>0</v>
      </c>
      <c r="DL162">
        <f>IFERROR(SMALL(DL47:DL127,ROW()-ROW($DL$130)+1),"")</f>
        <v>0</v>
      </c>
      <c r="DM162">
        <f>IFERROR(SMALL(DM47:DM127,ROW()-ROW($DM$130)+1),"")</f>
        <v>0</v>
      </c>
      <c r="DN162">
        <f>IFERROR(SMALL(DN47:DN127,ROW()-ROW($DN$130)+1),"")</f>
        <v>0</v>
      </c>
      <c r="DO162">
        <f>IFERROR(SMALL(DO47:DO127,ROW()-ROW($DO$130)+1),"")</f>
        <v>0</v>
      </c>
      <c r="DP162">
        <f>IFERROR(SMALL(DP47:DP127,ROW()-ROW($DP$130)+1),"")</f>
        <v>0</v>
      </c>
      <c r="DQ162">
        <f>IFERROR(SMALL(DQ47:DQ127,ROW()-ROW($DQ$130)+1),"")</f>
        <v>0</v>
      </c>
      <c r="DR162">
        <f>IFERROR(SMALL(DR47:DR127,ROW()-ROW($DR$130)+1),"")</f>
        <v>0</v>
      </c>
      <c r="DS162">
        <f>IFERROR(SMALL(DS47:DS127,ROW()-ROW($DS$130)+1),"")</f>
        <v>0</v>
      </c>
      <c r="DT162">
        <f>IFERROR(SMALL(DT47:DT127,ROW()-ROW($DT$130)+1),"")</f>
        <v>0</v>
      </c>
      <c r="DU162">
        <f>IFERROR(SMALL(DU47:DU127,ROW()-ROW($DU$130)+1),"")</f>
        <v>0</v>
      </c>
      <c r="DV162">
        <f>IFERROR(SMALL(DV47:DV127,ROW()-ROW($DV$130)+1),"")</f>
        <v>0</v>
      </c>
      <c r="DW162">
        <f>IFERROR(SMALL(DW47:DW127,ROW()-ROW($DW$130)+1),"")</f>
        <v>0</v>
      </c>
      <c r="DX162">
        <f>IFERROR(SMALL(DX47:DX127,ROW()-ROW($DX$130)+1),"")</f>
        <v>0</v>
      </c>
      <c r="DY162">
        <f>IFERROR(SMALL(DY47:DY127,ROW()-ROW($DY$130)+1),"")</f>
        <v>0</v>
      </c>
      <c r="DZ162">
        <f>IFERROR(SMALL(DZ47:DZ127,ROW()-ROW($DZ$130)+1),"")</f>
        <v>0</v>
      </c>
      <c r="EA162">
        <f>IFERROR(SMALL(EA47:EA127,ROW()-ROW($EA$130)+1),"")</f>
        <v>0</v>
      </c>
      <c r="EB162">
        <f>IFERROR(SMALL(EB47:EB127,ROW()-ROW($EB$130)+1),"")</f>
        <v>0</v>
      </c>
      <c r="EC162">
        <f>IFERROR(SMALL(EC47:EC127,ROW()-ROW($EC$130)+1),"")</f>
        <v>0</v>
      </c>
      <c r="ED162">
        <f>IFERROR(SMALL(ED47:ED127,ROW()-ROW($ED$130)+1),"")</f>
        <v>0</v>
      </c>
    </row>
    <row r="163" spans="5:134">
      <c r="E163">
        <f>IFERROR(SMALL(E47:E127,ROW()-ROW($E$130)+1),"")</f>
        <v>0</v>
      </c>
      <c r="F163">
        <f>IFERROR(SMALL(F47:F127,ROW()-ROW($F$130)+1),"")</f>
        <v>0</v>
      </c>
      <c r="G163">
        <f>IFERROR(SMALL(G47:G127,ROW()-ROW($G$130)+1),"")</f>
        <v>0</v>
      </c>
      <c r="H163">
        <f>IFERROR(SMALL(H47:H127,ROW()-ROW($H$130)+1),"")</f>
        <v>0</v>
      </c>
      <c r="I163">
        <f>IFERROR(SMALL(I47:I127,ROW()-ROW($I$130)+1),"")</f>
        <v>0</v>
      </c>
      <c r="J163">
        <f>IFERROR(SMALL(J47:J127,ROW()-ROW($J$130)+1),"")</f>
        <v>0</v>
      </c>
      <c r="K163">
        <f>IFERROR(SMALL(K47:K127,ROW()-ROW($K$130)+1),"")</f>
        <v>0</v>
      </c>
      <c r="L163">
        <f>IFERROR(SMALL(L47:L127,ROW()-ROW($L$130)+1),"")</f>
        <v>0</v>
      </c>
      <c r="M163">
        <f>IFERROR(SMALL(M47:M127,ROW()-ROW($M$130)+1),"")</f>
        <v>0</v>
      </c>
      <c r="N163">
        <f>IFERROR(SMALL(N47:N127,ROW()-ROW($N$130)+1),"")</f>
        <v>0</v>
      </c>
      <c r="O163">
        <f>IFERROR(SMALL(O47:O127,ROW()-ROW($O$130)+1),"")</f>
        <v>0</v>
      </c>
      <c r="P163">
        <f>IFERROR(SMALL(P47:P127,ROW()-ROW($P$130)+1),"")</f>
        <v>0</v>
      </c>
      <c r="Q163">
        <f>IFERROR(SMALL(Q47:Q127,ROW()-ROW($Q$130)+1),"")</f>
        <v>0</v>
      </c>
      <c r="R163">
        <f>IFERROR(SMALL(R47:R127,ROW()-ROW($R$130)+1),"")</f>
        <v>0</v>
      </c>
      <c r="S163">
        <f>IFERROR(SMALL(S47:S127,ROW()-ROW($S$130)+1),"")</f>
        <v>0</v>
      </c>
      <c r="T163">
        <f>IFERROR(SMALL(T47:T127,ROW()-ROW($T$130)+1),"")</f>
        <v>0</v>
      </c>
      <c r="U163">
        <f>IFERROR(SMALL(U47:U127,ROW()-ROW($U$130)+1),"")</f>
        <v>0</v>
      </c>
      <c r="V163">
        <f>IFERROR(SMALL(V47:V127,ROW()-ROW($V$130)+1),"")</f>
        <v>0</v>
      </c>
      <c r="W163">
        <f>IFERROR(SMALL(W47:W127,ROW()-ROW($W$130)+1),"")</f>
        <v>0</v>
      </c>
      <c r="X163">
        <f>IFERROR(SMALL(X47:X127,ROW()-ROW($X$130)+1),"")</f>
        <v>0</v>
      </c>
      <c r="Y163">
        <f>IFERROR(SMALL(Y47:Y127,ROW()-ROW($Y$130)+1),"")</f>
        <v>0</v>
      </c>
      <c r="Z163">
        <f>IFERROR(SMALL(Z47:Z127,ROW()-ROW($Z$130)+1),"")</f>
        <v>0</v>
      </c>
      <c r="AA163">
        <f>IFERROR(SMALL(AA47:AA127,ROW()-ROW($AA$130)+1),"")</f>
        <v>0</v>
      </c>
      <c r="AB163">
        <f>IFERROR(SMALL(AB47:AB127,ROW()-ROW($AB$130)+1),"")</f>
        <v>0</v>
      </c>
      <c r="AC163">
        <f>IFERROR(SMALL(AC47:AC127,ROW()-ROW($AC$130)+1),"")</f>
        <v>0</v>
      </c>
      <c r="AD163">
        <f>IFERROR(SMALL(AD47:AD127,ROW()-ROW($AD$130)+1),"")</f>
        <v>0</v>
      </c>
      <c r="AE163">
        <f>IFERROR(SMALL(AE47:AE127,ROW()-ROW($AE$130)+1),"")</f>
        <v>0</v>
      </c>
      <c r="AF163">
        <f>IFERROR(SMALL(AF47:AF127,ROW()-ROW($AF$130)+1),"")</f>
        <v>0</v>
      </c>
      <c r="AG163">
        <f>IFERROR(SMALL(AG47:AG127,ROW()-ROW($AG$130)+1),"")</f>
        <v>0</v>
      </c>
      <c r="AH163">
        <f>IFERROR(SMALL(AH47:AH127,ROW()-ROW($AH$130)+1),"")</f>
        <v>0</v>
      </c>
      <c r="AI163">
        <f>IFERROR(SMALL(AI47:AI127,ROW()-ROW($AI$130)+1),"")</f>
        <v>0</v>
      </c>
      <c r="AJ163">
        <f>IFERROR(SMALL(AJ47:AJ127,ROW()-ROW($AJ$130)+1),"")</f>
        <v>0</v>
      </c>
      <c r="AK163">
        <f>IFERROR(SMALL(AK47:AK127,ROW()-ROW($AK$130)+1),"")</f>
        <v>0</v>
      </c>
      <c r="AL163">
        <f>IFERROR(SMALL(AL47:AL127,ROW()-ROW($AL$130)+1),"")</f>
        <v>0</v>
      </c>
      <c r="AM163">
        <f>IFERROR(SMALL(AM47:AM127,ROW()-ROW($AM$130)+1),"")</f>
        <v>0</v>
      </c>
      <c r="AN163">
        <f>IFERROR(SMALL(AN47:AN127,ROW()-ROW($AN$130)+1),"")</f>
        <v>0</v>
      </c>
      <c r="AO163">
        <f>IFERROR(SMALL(AO47:AO127,ROW()-ROW($AO$130)+1),"")</f>
        <v>0</v>
      </c>
      <c r="AP163">
        <f>IFERROR(SMALL(AP47:AP127,ROW()-ROW($AP$130)+1),"")</f>
        <v>0</v>
      </c>
      <c r="AQ163">
        <f>IFERROR(SMALL(AQ47:AQ127,ROW()-ROW($AQ$130)+1),"")</f>
        <v>0</v>
      </c>
      <c r="AR163">
        <f>IFERROR(SMALL(AR47:AR127,ROW()-ROW($AR$130)+1),"")</f>
        <v>0</v>
      </c>
      <c r="AS163">
        <f>IFERROR(SMALL(AS47:AS127,ROW()-ROW($AS$130)+1),"")</f>
        <v>0</v>
      </c>
      <c r="AT163">
        <f>IFERROR(SMALL(AT47:AT127,ROW()-ROW($AT$130)+1),"")</f>
        <v>0</v>
      </c>
      <c r="AU163">
        <f>IFERROR(SMALL(AU47:AU127,ROW()-ROW($AU$130)+1),"")</f>
        <v>0</v>
      </c>
      <c r="AV163">
        <f>IFERROR(SMALL(AV47:AV127,ROW()-ROW($AV$130)+1),"")</f>
        <v>0</v>
      </c>
      <c r="AW163">
        <f>IFERROR(SMALL(AW47:AW127,ROW()-ROW($AW$130)+1),"")</f>
        <v>0</v>
      </c>
      <c r="AX163">
        <f>IFERROR(SMALL(AX47:AX127,ROW()-ROW($AX$130)+1),"")</f>
        <v>0</v>
      </c>
      <c r="AY163">
        <f>IFERROR(SMALL(AY47:AY127,ROW()-ROW($AY$130)+1),"")</f>
        <v>0</v>
      </c>
      <c r="AZ163">
        <f>IFERROR(SMALL(AZ47:AZ127,ROW()-ROW($AZ$130)+1),"")</f>
        <v>0</v>
      </c>
      <c r="BA163">
        <f>IFERROR(SMALL(BA47:BA127,ROW()-ROW($BA$130)+1),"")</f>
        <v>0</v>
      </c>
      <c r="BB163">
        <f>IFERROR(SMALL(BB47:BB127,ROW()-ROW($BB$130)+1),"")</f>
        <v>0</v>
      </c>
      <c r="BC163">
        <f>IFERROR(SMALL(BC47:BC127,ROW()-ROW($BC$130)+1),"")</f>
        <v>0</v>
      </c>
      <c r="BD163">
        <f>IFERROR(SMALL(BD47:BD127,ROW()-ROW($BD$130)+1),"")</f>
        <v>0</v>
      </c>
      <c r="BE163">
        <f>IFERROR(SMALL(BE47:BE127,ROW()-ROW($BE$130)+1),"")</f>
        <v>0</v>
      </c>
      <c r="BF163">
        <f>IFERROR(SMALL(BF47:BF127,ROW()-ROW($BF$130)+1),"")</f>
        <v>0</v>
      </c>
      <c r="BG163">
        <f>IFERROR(SMALL(BG47:BG127,ROW()-ROW($BG$130)+1),"")</f>
        <v>0</v>
      </c>
      <c r="BH163">
        <f>IFERROR(SMALL(BH47:BH127,ROW()-ROW($BH$130)+1),"")</f>
        <v>0</v>
      </c>
      <c r="BI163">
        <f>IFERROR(SMALL(BI47:BI127,ROW()-ROW($BI$130)+1),"")</f>
        <v>0</v>
      </c>
      <c r="BJ163">
        <f>IFERROR(SMALL(BJ47:BJ127,ROW()-ROW($BJ$130)+1),"")</f>
        <v>0</v>
      </c>
      <c r="BK163">
        <f>IFERROR(SMALL(BK47:BK127,ROW()-ROW($BK$130)+1),"")</f>
        <v>0</v>
      </c>
      <c r="BL163">
        <f>IFERROR(SMALL(BL47:BL127,ROW()-ROW($BL$130)+1),"")</f>
        <v>0</v>
      </c>
      <c r="BM163">
        <f>IFERROR(SMALL(BM47:BM127,ROW()-ROW($BM$130)+1),"")</f>
        <v>0</v>
      </c>
      <c r="BN163">
        <f>IFERROR(SMALL(BN47:BN127,ROW()-ROW($BN$130)+1),"")</f>
        <v>0</v>
      </c>
      <c r="BO163">
        <f>IFERROR(SMALL(BO47:BO127,ROW()-ROW($BO$130)+1),"")</f>
        <v>0</v>
      </c>
      <c r="BP163">
        <f>IFERROR(SMALL(BP47:BP127,ROW()-ROW($BP$130)+1),"")</f>
        <v>0</v>
      </c>
      <c r="BS163">
        <f>IFERROR(SMALL(BS47:BS127,ROW()-ROW($BS$130)+1),"")</f>
        <v>0</v>
      </c>
      <c r="BT163">
        <f>IFERROR(SMALL(BT47:BT127,ROW()-ROW($BT$130)+1),"")</f>
        <v>0</v>
      </c>
      <c r="BU163">
        <f>IFERROR(SMALL(BU47:BU127,ROW()-ROW($BU$130)+1),"")</f>
        <v>0</v>
      </c>
      <c r="BV163">
        <f>IFERROR(SMALL(BV47:BV127,ROW()-ROW($BV$130)+1),"")</f>
        <v>0</v>
      </c>
      <c r="BW163">
        <f>IFERROR(SMALL(BW47:BW127,ROW()-ROW($BW$130)+1),"")</f>
        <v>0</v>
      </c>
      <c r="BX163">
        <f>IFERROR(SMALL(BX47:BX127,ROW()-ROW($BX$130)+1),"")</f>
        <v>0</v>
      </c>
      <c r="BY163">
        <f>IFERROR(SMALL(BY47:BY127,ROW()-ROW($BY$130)+1),"")</f>
        <v>0</v>
      </c>
      <c r="BZ163">
        <f>IFERROR(SMALL(BZ47:BZ127,ROW()-ROW($BZ$130)+1),"")</f>
        <v>0</v>
      </c>
      <c r="CA163">
        <f>IFERROR(SMALL(CA47:CA127,ROW()-ROW($CA$130)+1),"")</f>
        <v>0</v>
      </c>
      <c r="CB163">
        <f>IFERROR(SMALL(CB47:CB127,ROW()-ROW($CB$130)+1),"")</f>
        <v>0</v>
      </c>
      <c r="CC163">
        <f>IFERROR(SMALL(CC47:CC127,ROW()-ROW($CC$130)+1),"")</f>
        <v>0</v>
      </c>
      <c r="CD163">
        <f>IFERROR(SMALL(CD47:CD127,ROW()-ROW($CD$130)+1),"")</f>
        <v>0</v>
      </c>
      <c r="CE163">
        <f>IFERROR(SMALL(CE47:CE127,ROW()-ROW($CE$130)+1),"")</f>
        <v>0</v>
      </c>
      <c r="CF163">
        <f>IFERROR(SMALL(CF47:CF127,ROW()-ROW($CF$130)+1),"")</f>
        <v>0</v>
      </c>
      <c r="CG163">
        <f>IFERROR(SMALL(CG47:CG127,ROW()-ROW($CG$130)+1),"")</f>
        <v>0</v>
      </c>
      <c r="CH163">
        <f>IFERROR(SMALL(CH47:CH127,ROW()-ROW($CH$130)+1),"")</f>
        <v>0</v>
      </c>
      <c r="CI163">
        <f>IFERROR(SMALL(CI47:CI127,ROW()-ROW($CI$130)+1),"")</f>
        <v>0</v>
      </c>
      <c r="CJ163">
        <f>IFERROR(SMALL(CJ47:CJ127,ROW()-ROW($CJ$130)+1),"")</f>
        <v>0</v>
      </c>
      <c r="CK163">
        <f>IFERROR(SMALL(CK47:CK127,ROW()-ROW($CK$130)+1),"")</f>
        <v>0</v>
      </c>
      <c r="CL163">
        <f>IFERROR(SMALL(CL47:CL127,ROW()-ROW($CL$130)+1),"")</f>
        <v>0</v>
      </c>
      <c r="CM163">
        <f>IFERROR(SMALL(CM47:CM127,ROW()-ROW($CM$130)+1),"")</f>
        <v>0</v>
      </c>
      <c r="CN163">
        <f>IFERROR(SMALL(CN47:CN127,ROW()-ROW($CN$130)+1),"")</f>
        <v>0</v>
      </c>
      <c r="CO163">
        <f>IFERROR(SMALL(CO47:CO127,ROW()-ROW($CO$130)+1),"")</f>
        <v>0</v>
      </c>
      <c r="CP163">
        <f>IFERROR(SMALL(CP47:CP127,ROW()-ROW($CP$130)+1),"")</f>
        <v>0</v>
      </c>
      <c r="CQ163">
        <f>IFERROR(SMALL(CQ47:CQ127,ROW()-ROW($CQ$130)+1),"")</f>
        <v>0</v>
      </c>
      <c r="CR163">
        <f>IFERROR(SMALL(CR47:CR127,ROW()-ROW($CR$130)+1),"")</f>
        <v>0</v>
      </c>
      <c r="CS163">
        <f>IFERROR(SMALL(CS47:CS127,ROW()-ROW($CS$130)+1),"")</f>
        <v>0</v>
      </c>
      <c r="CT163">
        <f>IFERROR(SMALL(CT47:CT127,ROW()-ROW($CT$130)+1),"")</f>
        <v>0</v>
      </c>
      <c r="CU163">
        <f>IFERROR(SMALL(CU47:CU127,ROW()-ROW($CU$130)+1),"")</f>
        <v>0</v>
      </c>
      <c r="CV163">
        <f>IFERROR(SMALL(CV47:CV127,ROW()-ROW($CV$130)+1),"")</f>
        <v>0</v>
      </c>
      <c r="CW163">
        <f>IFERROR(SMALL(CW47:CW127,ROW()-ROW($CW$130)+1),"")</f>
        <v>0</v>
      </c>
      <c r="CX163">
        <f>IFERROR(SMALL(CX47:CX127,ROW()-ROW($CX$130)+1),"")</f>
        <v>0</v>
      </c>
      <c r="CY163">
        <f>IFERROR(SMALL(CY47:CY127,ROW()-ROW($CY$130)+1),"")</f>
        <v>0</v>
      </c>
      <c r="CZ163">
        <f>IFERROR(SMALL(CZ47:CZ127,ROW()-ROW($CZ$130)+1),"")</f>
        <v>0</v>
      </c>
      <c r="DA163">
        <f>IFERROR(SMALL(DA47:DA127,ROW()-ROW($DA$130)+1),"")</f>
        <v>0</v>
      </c>
      <c r="DB163">
        <f>IFERROR(SMALL(DB47:DB127,ROW()-ROW($DB$130)+1),"")</f>
        <v>0</v>
      </c>
      <c r="DC163">
        <f>IFERROR(SMALL(DC47:DC127,ROW()-ROW($DC$130)+1),"")</f>
        <v>0</v>
      </c>
      <c r="DD163">
        <f>IFERROR(SMALL(DD47:DD127,ROW()-ROW($DD$130)+1),"")</f>
        <v>0</v>
      </c>
      <c r="DE163">
        <f>IFERROR(SMALL(DE47:DE127,ROW()-ROW($DE$130)+1),"")</f>
        <v>0</v>
      </c>
      <c r="DF163">
        <f>IFERROR(SMALL(DF47:DF127,ROW()-ROW($DF$130)+1),"")</f>
        <v>0</v>
      </c>
      <c r="DG163">
        <f>IFERROR(SMALL(DG47:DG127,ROW()-ROW($DG$130)+1),"")</f>
        <v>0</v>
      </c>
      <c r="DH163">
        <f>IFERROR(SMALL(DH47:DH127,ROW()-ROW($DH$130)+1),"")</f>
        <v>0</v>
      </c>
      <c r="DI163">
        <f>IFERROR(SMALL(DI47:DI127,ROW()-ROW($DI$130)+1),"")</f>
        <v>0</v>
      </c>
      <c r="DJ163">
        <f>IFERROR(SMALL(DJ47:DJ127,ROW()-ROW($DJ$130)+1),"")</f>
        <v>0</v>
      </c>
      <c r="DK163">
        <f>IFERROR(SMALL(DK47:DK127,ROW()-ROW($DK$130)+1),"")</f>
        <v>0</v>
      </c>
      <c r="DL163">
        <f>IFERROR(SMALL(DL47:DL127,ROW()-ROW($DL$130)+1),"")</f>
        <v>0</v>
      </c>
      <c r="DM163">
        <f>IFERROR(SMALL(DM47:DM127,ROW()-ROW($DM$130)+1),"")</f>
        <v>0</v>
      </c>
      <c r="DN163">
        <f>IFERROR(SMALL(DN47:DN127,ROW()-ROW($DN$130)+1),"")</f>
        <v>0</v>
      </c>
      <c r="DO163">
        <f>IFERROR(SMALL(DO47:DO127,ROW()-ROW($DO$130)+1),"")</f>
        <v>0</v>
      </c>
      <c r="DP163">
        <f>IFERROR(SMALL(DP47:DP127,ROW()-ROW($DP$130)+1),"")</f>
        <v>0</v>
      </c>
      <c r="DQ163">
        <f>IFERROR(SMALL(DQ47:DQ127,ROW()-ROW($DQ$130)+1),"")</f>
        <v>0</v>
      </c>
      <c r="DR163">
        <f>IFERROR(SMALL(DR47:DR127,ROW()-ROW($DR$130)+1),"")</f>
        <v>0</v>
      </c>
      <c r="DS163">
        <f>IFERROR(SMALL(DS47:DS127,ROW()-ROW($DS$130)+1),"")</f>
        <v>0</v>
      </c>
      <c r="DT163">
        <f>IFERROR(SMALL(DT47:DT127,ROW()-ROW($DT$130)+1),"")</f>
        <v>0</v>
      </c>
      <c r="DU163">
        <f>IFERROR(SMALL(DU47:DU127,ROW()-ROW($DU$130)+1),"")</f>
        <v>0</v>
      </c>
      <c r="DV163">
        <f>IFERROR(SMALL(DV47:DV127,ROW()-ROW($DV$130)+1),"")</f>
        <v>0</v>
      </c>
      <c r="DW163">
        <f>IFERROR(SMALL(DW47:DW127,ROW()-ROW($DW$130)+1),"")</f>
        <v>0</v>
      </c>
      <c r="DX163">
        <f>IFERROR(SMALL(DX47:DX127,ROW()-ROW($DX$130)+1),"")</f>
        <v>0</v>
      </c>
      <c r="DY163">
        <f>IFERROR(SMALL(DY47:DY127,ROW()-ROW($DY$130)+1),"")</f>
        <v>0</v>
      </c>
      <c r="DZ163">
        <f>IFERROR(SMALL(DZ47:DZ127,ROW()-ROW($DZ$130)+1),"")</f>
        <v>0</v>
      </c>
      <c r="EA163">
        <f>IFERROR(SMALL(EA47:EA127,ROW()-ROW($EA$130)+1),"")</f>
        <v>0</v>
      </c>
      <c r="EB163">
        <f>IFERROR(SMALL(EB47:EB127,ROW()-ROW($EB$130)+1),"")</f>
        <v>0</v>
      </c>
      <c r="EC163">
        <f>IFERROR(SMALL(EC47:EC127,ROW()-ROW($EC$130)+1),"")</f>
        <v>0</v>
      </c>
      <c r="ED163">
        <f>IFERROR(SMALL(ED47:ED127,ROW()-ROW($ED$130)+1),"")</f>
        <v>0</v>
      </c>
    </row>
    <row r="164" spans="5:134">
      <c r="E164">
        <f>IFERROR(SMALL(E47:E127,ROW()-ROW($E$130)+1),"")</f>
        <v>0</v>
      </c>
      <c r="F164">
        <f>IFERROR(SMALL(F47:F127,ROW()-ROW($F$130)+1),"")</f>
        <v>0</v>
      </c>
      <c r="G164">
        <f>IFERROR(SMALL(G47:G127,ROW()-ROW($G$130)+1),"")</f>
        <v>0</v>
      </c>
      <c r="H164">
        <f>IFERROR(SMALL(H47:H127,ROW()-ROW($H$130)+1),"")</f>
        <v>0</v>
      </c>
      <c r="I164">
        <f>IFERROR(SMALL(I47:I127,ROW()-ROW($I$130)+1),"")</f>
        <v>0</v>
      </c>
      <c r="J164">
        <f>IFERROR(SMALL(J47:J127,ROW()-ROW($J$130)+1),"")</f>
        <v>0</v>
      </c>
      <c r="K164">
        <f>IFERROR(SMALL(K47:K127,ROW()-ROW($K$130)+1),"")</f>
        <v>0</v>
      </c>
      <c r="L164">
        <f>IFERROR(SMALL(L47:L127,ROW()-ROW($L$130)+1),"")</f>
        <v>0</v>
      </c>
      <c r="M164">
        <f>IFERROR(SMALL(M47:M127,ROW()-ROW($M$130)+1),"")</f>
        <v>0</v>
      </c>
      <c r="N164">
        <f>IFERROR(SMALL(N47:N127,ROW()-ROW($N$130)+1),"")</f>
        <v>0</v>
      </c>
      <c r="O164">
        <f>IFERROR(SMALL(O47:O127,ROW()-ROW($O$130)+1),"")</f>
        <v>0</v>
      </c>
      <c r="P164">
        <f>IFERROR(SMALL(P47:P127,ROW()-ROW($P$130)+1),"")</f>
        <v>0</v>
      </c>
      <c r="Q164">
        <f>IFERROR(SMALL(Q47:Q127,ROW()-ROW($Q$130)+1),"")</f>
        <v>0</v>
      </c>
      <c r="R164">
        <f>IFERROR(SMALL(R47:R127,ROW()-ROW($R$130)+1),"")</f>
        <v>0</v>
      </c>
      <c r="S164">
        <f>IFERROR(SMALL(S47:S127,ROW()-ROW($S$130)+1),"")</f>
        <v>0</v>
      </c>
      <c r="T164">
        <f>IFERROR(SMALL(T47:T127,ROW()-ROW($T$130)+1),"")</f>
        <v>0</v>
      </c>
      <c r="U164">
        <f>IFERROR(SMALL(U47:U127,ROW()-ROW($U$130)+1),"")</f>
        <v>0</v>
      </c>
      <c r="V164">
        <f>IFERROR(SMALL(V47:V127,ROW()-ROW($V$130)+1),"")</f>
        <v>0</v>
      </c>
      <c r="W164">
        <f>IFERROR(SMALL(W47:W127,ROW()-ROW($W$130)+1),"")</f>
        <v>0</v>
      </c>
      <c r="X164">
        <f>IFERROR(SMALL(X47:X127,ROW()-ROW($X$130)+1),"")</f>
        <v>0</v>
      </c>
      <c r="Y164">
        <f>IFERROR(SMALL(Y47:Y127,ROW()-ROW($Y$130)+1),"")</f>
        <v>0</v>
      </c>
      <c r="Z164">
        <f>IFERROR(SMALL(Z47:Z127,ROW()-ROW($Z$130)+1),"")</f>
        <v>0</v>
      </c>
      <c r="AA164">
        <f>IFERROR(SMALL(AA47:AA127,ROW()-ROW($AA$130)+1),"")</f>
        <v>0</v>
      </c>
      <c r="AB164">
        <f>IFERROR(SMALL(AB47:AB127,ROW()-ROW($AB$130)+1),"")</f>
        <v>0</v>
      </c>
      <c r="AC164">
        <f>IFERROR(SMALL(AC47:AC127,ROW()-ROW($AC$130)+1),"")</f>
        <v>0</v>
      </c>
      <c r="AD164">
        <f>IFERROR(SMALL(AD47:AD127,ROW()-ROW($AD$130)+1),"")</f>
        <v>0</v>
      </c>
      <c r="AE164">
        <f>IFERROR(SMALL(AE47:AE127,ROW()-ROW($AE$130)+1),"")</f>
        <v>0</v>
      </c>
      <c r="AF164">
        <f>IFERROR(SMALL(AF47:AF127,ROW()-ROW($AF$130)+1),"")</f>
        <v>0</v>
      </c>
      <c r="AG164">
        <f>IFERROR(SMALL(AG47:AG127,ROW()-ROW($AG$130)+1),"")</f>
        <v>0</v>
      </c>
      <c r="AH164">
        <f>IFERROR(SMALL(AH47:AH127,ROW()-ROW($AH$130)+1),"")</f>
        <v>0</v>
      </c>
      <c r="AI164">
        <f>IFERROR(SMALL(AI47:AI127,ROW()-ROW($AI$130)+1),"")</f>
        <v>0</v>
      </c>
      <c r="AJ164">
        <f>IFERROR(SMALL(AJ47:AJ127,ROW()-ROW($AJ$130)+1),"")</f>
        <v>0</v>
      </c>
      <c r="AK164">
        <f>IFERROR(SMALL(AK47:AK127,ROW()-ROW($AK$130)+1),"")</f>
        <v>0</v>
      </c>
      <c r="AL164">
        <f>IFERROR(SMALL(AL47:AL127,ROW()-ROW($AL$130)+1),"")</f>
        <v>0</v>
      </c>
      <c r="AM164">
        <f>IFERROR(SMALL(AM47:AM127,ROW()-ROW($AM$130)+1),"")</f>
        <v>0</v>
      </c>
      <c r="AN164">
        <f>IFERROR(SMALL(AN47:AN127,ROW()-ROW($AN$130)+1),"")</f>
        <v>0</v>
      </c>
      <c r="AO164">
        <f>IFERROR(SMALL(AO47:AO127,ROW()-ROW($AO$130)+1),"")</f>
        <v>0</v>
      </c>
      <c r="AP164">
        <f>IFERROR(SMALL(AP47:AP127,ROW()-ROW($AP$130)+1),"")</f>
        <v>0</v>
      </c>
      <c r="AQ164">
        <f>IFERROR(SMALL(AQ47:AQ127,ROW()-ROW($AQ$130)+1),"")</f>
        <v>0</v>
      </c>
      <c r="AR164">
        <f>IFERROR(SMALL(AR47:AR127,ROW()-ROW($AR$130)+1),"")</f>
        <v>0</v>
      </c>
      <c r="AS164">
        <f>IFERROR(SMALL(AS47:AS127,ROW()-ROW($AS$130)+1),"")</f>
        <v>0</v>
      </c>
      <c r="AT164">
        <f>IFERROR(SMALL(AT47:AT127,ROW()-ROW($AT$130)+1),"")</f>
        <v>0</v>
      </c>
      <c r="AU164">
        <f>IFERROR(SMALL(AU47:AU127,ROW()-ROW($AU$130)+1),"")</f>
        <v>0</v>
      </c>
      <c r="AV164">
        <f>IFERROR(SMALL(AV47:AV127,ROW()-ROW($AV$130)+1),"")</f>
        <v>0</v>
      </c>
      <c r="AW164">
        <f>IFERROR(SMALL(AW47:AW127,ROW()-ROW($AW$130)+1),"")</f>
        <v>0</v>
      </c>
      <c r="AX164">
        <f>IFERROR(SMALL(AX47:AX127,ROW()-ROW($AX$130)+1),"")</f>
        <v>0</v>
      </c>
      <c r="AY164">
        <f>IFERROR(SMALL(AY47:AY127,ROW()-ROW($AY$130)+1),"")</f>
        <v>0</v>
      </c>
      <c r="AZ164">
        <f>IFERROR(SMALL(AZ47:AZ127,ROW()-ROW($AZ$130)+1),"")</f>
        <v>0</v>
      </c>
      <c r="BA164">
        <f>IFERROR(SMALL(BA47:BA127,ROW()-ROW($BA$130)+1),"")</f>
        <v>0</v>
      </c>
      <c r="BB164">
        <f>IFERROR(SMALL(BB47:BB127,ROW()-ROW($BB$130)+1),"")</f>
        <v>0</v>
      </c>
      <c r="BC164">
        <f>IFERROR(SMALL(BC47:BC127,ROW()-ROW($BC$130)+1),"")</f>
        <v>0</v>
      </c>
      <c r="BD164">
        <f>IFERROR(SMALL(BD47:BD127,ROW()-ROW($BD$130)+1),"")</f>
        <v>0</v>
      </c>
      <c r="BE164">
        <f>IFERROR(SMALL(BE47:BE127,ROW()-ROW($BE$130)+1),"")</f>
        <v>0</v>
      </c>
      <c r="BF164">
        <f>IFERROR(SMALL(BF47:BF127,ROW()-ROW($BF$130)+1),"")</f>
        <v>0</v>
      </c>
      <c r="BG164">
        <f>IFERROR(SMALL(BG47:BG127,ROW()-ROW($BG$130)+1),"")</f>
        <v>0</v>
      </c>
      <c r="BH164">
        <f>IFERROR(SMALL(BH47:BH127,ROW()-ROW($BH$130)+1),"")</f>
        <v>0</v>
      </c>
      <c r="BI164">
        <f>IFERROR(SMALL(BI47:BI127,ROW()-ROW($BI$130)+1),"")</f>
        <v>0</v>
      </c>
      <c r="BJ164">
        <f>IFERROR(SMALL(BJ47:BJ127,ROW()-ROW($BJ$130)+1),"")</f>
        <v>0</v>
      </c>
      <c r="BK164">
        <f>IFERROR(SMALL(BK47:BK127,ROW()-ROW($BK$130)+1),"")</f>
        <v>0</v>
      </c>
      <c r="BL164">
        <f>IFERROR(SMALL(BL47:BL127,ROW()-ROW($BL$130)+1),"")</f>
        <v>0</v>
      </c>
      <c r="BM164">
        <f>IFERROR(SMALL(BM47:BM127,ROW()-ROW($BM$130)+1),"")</f>
        <v>0</v>
      </c>
      <c r="BN164">
        <f>IFERROR(SMALL(BN47:BN127,ROW()-ROW($BN$130)+1),"")</f>
        <v>0</v>
      </c>
      <c r="BO164">
        <f>IFERROR(SMALL(BO47:BO127,ROW()-ROW($BO$130)+1),"")</f>
        <v>0</v>
      </c>
      <c r="BP164">
        <f>IFERROR(SMALL(BP47:BP127,ROW()-ROW($BP$130)+1),"")</f>
        <v>0</v>
      </c>
      <c r="BS164">
        <f>IFERROR(SMALL(BS47:BS127,ROW()-ROW($BS$130)+1),"")</f>
        <v>0</v>
      </c>
      <c r="BT164">
        <f>IFERROR(SMALL(BT47:BT127,ROW()-ROW($BT$130)+1),"")</f>
        <v>0</v>
      </c>
      <c r="BU164">
        <f>IFERROR(SMALL(BU47:BU127,ROW()-ROW($BU$130)+1),"")</f>
        <v>0</v>
      </c>
      <c r="BV164">
        <f>IFERROR(SMALL(BV47:BV127,ROW()-ROW($BV$130)+1),"")</f>
        <v>0</v>
      </c>
      <c r="BW164">
        <f>IFERROR(SMALL(BW47:BW127,ROW()-ROW($BW$130)+1),"")</f>
        <v>0</v>
      </c>
      <c r="BX164">
        <f>IFERROR(SMALL(BX47:BX127,ROW()-ROW($BX$130)+1),"")</f>
        <v>0</v>
      </c>
      <c r="BY164">
        <f>IFERROR(SMALL(BY47:BY127,ROW()-ROW($BY$130)+1),"")</f>
        <v>0</v>
      </c>
      <c r="BZ164">
        <f>IFERROR(SMALL(BZ47:BZ127,ROW()-ROW($BZ$130)+1),"")</f>
        <v>0</v>
      </c>
      <c r="CA164">
        <f>IFERROR(SMALL(CA47:CA127,ROW()-ROW($CA$130)+1),"")</f>
        <v>0</v>
      </c>
      <c r="CB164">
        <f>IFERROR(SMALL(CB47:CB127,ROW()-ROW($CB$130)+1),"")</f>
        <v>0</v>
      </c>
      <c r="CC164">
        <f>IFERROR(SMALL(CC47:CC127,ROW()-ROW($CC$130)+1),"")</f>
        <v>0</v>
      </c>
      <c r="CD164">
        <f>IFERROR(SMALL(CD47:CD127,ROW()-ROW($CD$130)+1),"")</f>
        <v>0</v>
      </c>
      <c r="CE164">
        <f>IFERROR(SMALL(CE47:CE127,ROW()-ROW($CE$130)+1),"")</f>
        <v>0</v>
      </c>
      <c r="CF164">
        <f>IFERROR(SMALL(CF47:CF127,ROW()-ROW($CF$130)+1),"")</f>
        <v>0</v>
      </c>
      <c r="CG164">
        <f>IFERROR(SMALL(CG47:CG127,ROW()-ROW($CG$130)+1),"")</f>
        <v>0</v>
      </c>
      <c r="CH164">
        <f>IFERROR(SMALL(CH47:CH127,ROW()-ROW($CH$130)+1),"")</f>
        <v>0</v>
      </c>
      <c r="CI164">
        <f>IFERROR(SMALL(CI47:CI127,ROW()-ROW($CI$130)+1),"")</f>
        <v>0</v>
      </c>
      <c r="CJ164">
        <f>IFERROR(SMALL(CJ47:CJ127,ROW()-ROW($CJ$130)+1),"")</f>
        <v>0</v>
      </c>
      <c r="CK164">
        <f>IFERROR(SMALL(CK47:CK127,ROW()-ROW($CK$130)+1),"")</f>
        <v>0</v>
      </c>
      <c r="CL164">
        <f>IFERROR(SMALL(CL47:CL127,ROW()-ROW($CL$130)+1),"")</f>
        <v>0</v>
      </c>
      <c r="CM164">
        <f>IFERROR(SMALL(CM47:CM127,ROW()-ROW($CM$130)+1),"")</f>
        <v>0</v>
      </c>
      <c r="CN164">
        <f>IFERROR(SMALL(CN47:CN127,ROW()-ROW($CN$130)+1),"")</f>
        <v>0</v>
      </c>
      <c r="CO164">
        <f>IFERROR(SMALL(CO47:CO127,ROW()-ROW($CO$130)+1),"")</f>
        <v>0</v>
      </c>
      <c r="CP164">
        <f>IFERROR(SMALL(CP47:CP127,ROW()-ROW($CP$130)+1),"")</f>
        <v>0</v>
      </c>
      <c r="CQ164">
        <f>IFERROR(SMALL(CQ47:CQ127,ROW()-ROW($CQ$130)+1),"")</f>
        <v>0</v>
      </c>
      <c r="CR164">
        <f>IFERROR(SMALL(CR47:CR127,ROW()-ROW($CR$130)+1),"")</f>
        <v>0</v>
      </c>
      <c r="CS164">
        <f>IFERROR(SMALL(CS47:CS127,ROW()-ROW($CS$130)+1),"")</f>
        <v>0</v>
      </c>
      <c r="CT164">
        <f>IFERROR(SMALL(CT47:CT127,ROW()-ROW($CT$130)+1),"")</f>
        <v>0</v>
      </c>
      <c r="CU164">
        <f>IFERROR(SMALL(CU47:CU127,ROW()-ROW($CU$130)+1),"")</f>
        <v>0</v>
      </c>
      <c r="CV164">
        <f>IFERROR(SMALL(CV47:CV127,ROW()-ROW($CV$130)+1),"")</f>
        <v>0</v>
      </c>
      <c r="CW164">
        <f>IFERROR(SMALL(CW47:CW127,ROW()-ROW($CW$130)+1),"")</f>
        <v>0</v>
      </c>
      <c r="CX164">
        <f>IFERROR(SMALL(CX47:CX127,ROW()-ROW($CX$130)+1),"")</f>
        <v>0</v>
      </c>
      <c r="CY164">
        <f>IFERROR(SMALL(CY47:CY127,ROW()-ROW($CY$130)+1),"")</f>
        <v>0</v>
      </c>
      <c r="CZ164">
        <f>IFERROR(SMALL(CZ47:CZ127,ROW()-ROW($CZ$130)+1),"")</f>
        <v>0</v>
      </c>
      <c r="DA164">
        <f>IFERROR(SMALL(DA47:DA127,ROW()-ROW($DA$130)+1),"")</f>
        <v>0</v>
      </c>
      <c r="DB164">
        <f>IFERROR(SMALL(DB47:DB127,ROW()-ROW($DB$130)+1),"")</f>
        <v>0</v>
      </c>
      <c r="DC164">
        <f>IFERROR(SMALL(DC47:DC127,ROW()-ROW($DC$130)+1),"")</f>
        <v>0</v>
      </c>
      <c r="DD164">
        <f>IFERROR(SMALL(DD47:DD127,ROW()-ROW($DD$130)+1),"")</f>
        <v>0</v>
      </c>
      <c r="DE164">
        <f>IFERROR(SMALL(DE47:DE127,ROW()-ROW($DE$130)+1),"")</f>
        <v>0</v>
      </c>
      <c r="DF164">
        <f>IFERROR(SMALL(DF47:DF127,ROW()-ROW($DF$130)+1),"")</f>
        <v>0</v>
      </c>
      <c r="DG164">
        <f>IFERROR(SMALL(DG47:DG127,ROW()-ROW($DG$130)+1),"")</f>
        <v>0</v>
      </c>
      <c r="DH164">
        <f>IFERROR(SMALL(DH47:DH127,ROW()-ROW($DH$130)+1),"")</f>
        <v>0</v>
      </c>
      <c r="DI164">
        <f>IFERROR(SMALL(DI47:DI127,ROW()-ROW($DI$130)+1),"")</f>
        <v>0</v>
      </c>
      <c r="DJ164">
        <f>IFERROR(SMALL(DJ47:DJ127,ROW()-ROW($DJ$130)+1),"")</f>
        <v>0</v>
      </c>
      <c r="DK164">
        <f>IFERROR(SMALL(DK47:DK127,ROW()-ROW($DK$130)+1),"")</f>
        <v>0</v>
      </c>
      <c r="DL164">
        <f>IFERROR(SMALL(DL47:DL127,ROW()-ROW($DL$130)+1),"")</f>
        <v>0</v>
      </c>
      <c r="DM164">
        <f>IFERROR(SMALL(DM47:DM127,ROW()-ROW($DM$130)+1),"")</f>
        <v>0</v>
      </c>
      <c r="DN164">
        <f>IFERROR(SMALL(DN47:DN127,ROW()-ROW($DN$130)+1),"")</f>
        <v>0</v>
      </c>
      <c r="DO164">
        <f>IFERROR(SMALL(DO47:DO127,ROW()-ROW($DO$130)+1),"")</f>
        <v>0</v>
      </c>
      <c r="DP164">
        <f>IFERROR(SMALL(DP47:DP127,ROW()-ROW($DP$130)+1),"")</f>
        <v>0</v>
      </c>
      <c r="DQ164">
        <f>IFERROR(SMALL(DQ47:DQ127,ROW()-ROW($DQ$130)+1),"")</f>
        <v>0</v>
      </c>
      <c r="DR164">
        <f>IFERROR(SMALL(DR47:DR127,ROW()-ROW($DR$130)+1),"")</f>
        <v>0</v>
      </c>
      <c r="DS164">
        <f>IFERROR(SMALL(DS47:DS127,ROW()-ROW($DS$130)+1),"")</f>
        <v>0</v>
      </c>
      <c r="DT164">
        <f>IFERROR(SMALL(DT47:DT127,ROW()-ROW($DT$130)+1),"")</f>
        <v>0</v>
      </c>
      <c r="DU164">
        <f>IFERROR(SMALL(DU47:DU127,ROW()-ROW($DU$130)+1),"")</f>
        <v>0</v>
      </c>
      <c r="DV164">
        <f>IFERROR(SMALL(DV47:DV127,ROW()-ROW($DV$130)+1),"")</f>
        <v>0</v>
      </c>
      <c r="DW164">
        <f>IFERROR(SMALL(DW47:DW127,ROW()-ROW($DW$130)+1),"")</f>
        <v>0</v>
      </c>
      <c r="DX164">
        <f>IFERROR(SMALL(DX47:DX127,ROW()-ROW($DX$130)+1),"")</f>
        <v>0</v>
      </c>
      <c r="DY164">
        <f>IFERROR(SMALL(DY47:DY127,ROW()-ROW($DY$130)+1),"")</f>
        <v>0</v>
      </c>
      <c r="DZ164">
        <f>IFERROR(SMALL(DZ47:DZ127,ROW()-ROW($DZ$130)+1),"")</f>
        <v>0</v>
      </c>
      <c r="EA164">
        <f>IFERROR(SMALL(EA47:EA127,ROW()-ROW($EA$130)+1),"")</f>
        <v>0</v>
      </c>
      <c r="EB164">
        <f>IFERROR(SMALL(EB47:EB127,ROW()-ROW($EB$130)+1),"")</f>
        <v>0</v>
      </c>
      <c r="EC164">
        <f>IFERROR(SMALL(EC47:EC127,ROW()-ROW($EC$130)+1),"")</f>
        <v>0</v>
      </c>
      <c r="ED164">
        <f>IFERROR(SMALL(ED47:ED127,ROW()-ROW($ED$130)+1),"")</f>
        <v>0</v>
      </c>
    </row>
    <row r="165" spans="5:134">
      <c r="E165">
        <f>IFERROR(SMALL(E47:E127,ROW()-ROW($E$130)+1),"")</f>
        <v>0</v>
      </c>
      <c r="F165">
        <f>IFERROR(SMALL(F47:F127,ROW()-ROW($F$130)+1),"")</f>
        <v>0</v>
      </c>
      <c r="G165">
        <f>IFERROR(SMALL(G47:G127,ROW()-ROW($G$130)+1),"")</f>
        <v>0</v>
      </c>
      <c r="H165">
        <f>IFERROR(SMALL(H47:H127,ROW()-ROW($H$130)+1),"")</f>
        <v>0</v>
      </c>
      <c r="I165">
        <f>IFERROR(SMALL(I47:I127,ROW()-ROW($I$130)+1),"")</f>
        <v>0</v>
      </c>
      <c r="J165">
        <f>IFERROR(SMALL(J47:J127,ROW()-ROW($J$130)+1),"")</f>
        <v>0</v>
      </c>
      <c r="K165">
        <f>IFERROR(SMALL(K47:K127,ROW()-ROW($K$130)+1),"")</f>
        <v>0</v>
      </c>
      <c r="L165">
        <f>IFERROR(SMALL(L47:L127,ROW()-ROW($L$130)+1),"")</f>
        <v>0</v>
      </c>
      <c r="M165">
        <f>IFERROR(SMALL(M47:M127,ROW()-ROW($M$130)+1),"")</f>
        <v>0</v>
      </c>
      <c r="N165">
        <f>IFERROR(SMALL(N47:N127,ROW()-ROW($N$130)+1),"")</f>
        <v>0</v>
      </c>
      <c r="O165">
        <f>IFERROR(SMALL(O47:O127,ROW()-ROW($O$130)+1),"")</f>
        <v>0</v>
      </c>
      <c r="P165">
        <f>IFERROR(SMALL(P47:P127,ROW()-ROW($P$130)+1),"")</f>
        <v>0</v>
      </c>
      <c r="Q165">
        <f>IFERROR(SMALL(Q47:Q127,ROW()-ROW($Q$130)+1),"")</f>
        <v>0</v>
      </c>
      <c r="R165">
        <f>IFERROR(SMALL(R47:R127,ROW()-ROW($R$130)+1),"")</f>
        <v>0</v>
      </c>
      <c r="S165">
        <f>IFERROR(SMALL(S47:S127,ROW()-ROW($S$130)+1),"")</f>
        <v>0</v>
      </c>
      <c r="T165">
        <f>IFERROR(SMALL(T47:T127,ROW()-ROW($T$130)+1),"")</f>
        <v>0</v>
      </c>
      <c r="U165">
        <f>IFERROR(SMALL(U47:U127,ROW()-ROW($U$130)+1),"")</f>
        <v>0</v>
      </c>
      <c r="V165">
        <f>IFERROR(SMALL(V47:V127,ROW()-ROW($V$130)+1),"")</f>
        <v>0</v>
      </c>
      <c r="W165">
        <f>IFERROR(SMALL(W47:W127,ROW()-ROW($W$130)+1),"")</f>
        <v>0</v>
      </c>
      <c r="X165">
        <f>IFERROR(SMALL(X47:X127,ROW()-ROW($X$130)+1),"")</f>
        <v>0</v>
      </c>
      <c r="Y165">
        <f>IFERROR(SMALL(Y47:Y127,ROW()-ROW($Y$130)+1),"")</f>
        <v>0</v>
      </c>
      <c r="Z165">
        <f>IFERROR(SMALL(Z47:Z127,ROW()-ROW($Z$130)+1),"")</f>
        <v>0</v>
      </c>
      <c r="AA165">
        <f>IFERROR(SMALL(AA47:AA127,ROW()-ROW($AA$130)+1),"")</f>
        <v>0</v>
      </c>
      <c r="AB165">
        <f>IFERROR(SMALL(AB47:AB127,ROW()-ROW($AB$130)+1),"")</f>
        <v>0</v>
      </c>
      <c r="AC165">
        <f>IFERROR(SMALL(AC47:AC127,ROW()-ROW($AC$130)+1),"")</f>
        <v>0</v>
      </c>
      <c r="AD165">
        <f>IFERROR(SMALL(AD47:AD127,ROW()-ROW($AD$130)+1),"")</f>
        <v>0</v>
      </c>
      <c r="AE165">
        <f>IFERROR(SMALL(AE47:AE127,ROW()-ROW($AE$130)+1),"")</f>
        <v>0</v>
      </c>
      <c r="AF165">
        <f>IFERROR(SMALL(AF47:AF127,ROW()-ROW($AF$130)+1),"")</f>
        <v>0</v>
      </c>
      <c r="AG165">
        <f>IFERROR(SMALL(AG47:AG127,ROW()-ROW($AG$130)+1),"")</f>
        <v>0</v>
      </c>
      <c r="AH165">
        <f>IFERROR(SMALL(AH47:AH127,ROW()-ROW($AH$130)+1),"")</f>
        <v>0</v>
      </c>
      <c r="AI165">
        <f>IFERROR(SMALL(AI47:AI127,ROW()-ROW($AI$130)+1),"")</f>
        <v>0</v>
      </c>
      <c r="AJ165">
        <f>IFERROR(SMALL(AJ47:AJ127,ROW()-ROW($AJ$130)+1),"")</f>
        <v>0</v>
      </c>
      <c r="AK165">
        <f>IFERROR(SMALL(AK47:AK127,ROW()-ROW($AK$130)+1),"")</f>
        <v>0</v>
      </c>
      <c r="AL165">
        <f>IFERROR(SMALL(AL47:AL127,ROW()-ROW($AL$130)+1),"")</f>
        <v>0</v>
      </c>
      <c r="AM165">
        <f>IFERROR(SMALL(AM47:AM127,ROW()-ROW($AM$130)+1),"")</f>
        <v>0</v>
      </c>
      <c r="AN165">
        <f>IFERROR(SMALL(AN47:AN127,ROW()-ROW($AN$130)+1),"")</f>
        <v>0</v>
      </c>
      <c r="AO165">
        <f>IFERROR(SMALL(AO47:AO127,ROW()-ROW($AO$130)+1),"")</f>
        <v>0</v>
      </c>
      <c r="AP165">
        <f>IFERROR(SMALL(AP47:AP127,ROW()-ROW($AP$130)+1),"")</f>
        <v>0</v>
      </c>
      <c r="AQ165">
        <f>IFERROR(SMALL(AQ47:AQ127,ROW()-ROW($AQ$130)+1),"")</f>
        <v>0</v>
      </c>
      <c r="AR165">
        <f>IFERROR(SMALL(AR47:AR127,ROW()-ROW($AR$130)+1),"")</f>
        <v>0</v>
      </c>
      <c r="AS165">
        <f>IFERROR(SMALL(AS47:AS127,ROW()-ROW($AS$130)+1),"")</f>
        <v>0</v>
      </c>
      <c r="AT165">
        <f>IFERROR(SMALL(AT47:AT127,ROW()-ROW($AT$130)+1),"")</f>
        <v>0</v>
      </c>
      <c r="AU165">
        <f>IFERROR(SMALL(AU47:AU127,ROW()-ROW($AU$130)+1),"")</f>
        <v>0</v>
      </c>
      <c r="AV165">
        <f>IFERROR(SMALL(AV47:AV127,ROW()-ROW($AV$130)+1),"")</f>
        <v>0</v>
      </c>
      <c r="AW165">
        <f>IFERROR(SMALL(AW47:AW127,ROW()-ROW($AW$130)+1),"")</f>
        <v>0</v>
      </c>
      <c r="AX165">
        <f>IFERROR(SMALL(AX47:AX127,ROW()-ROW($AX$130)+1),"")</f>
        <v>0</v>
      </c>
      <c r="AY165">
        <f>IFERROR(SMALL(AY47:AY127,ROW()-ROW($AY$130)+1),"")</f>
        <v>0</v>
      </c>
      <c r="AZ165">
        <f>IFERROR(SMALL(AZ47:AZ127,ROW()-ROW($AZ$130)+1),"")</f>
        <v>0</v>
      </c>
      <c r="BA165">
        <f>IFERROR(SMALL(BA47:BA127,ROW()-ROW($BA$130)+1),"")</f>
        <v>0</v>
      </c>
      <c r="BB165">
        <f>IFERROR(SMALL(BB47:BB127,ROW()-ROW($BB$130)+1),"")</f>
        <v>0</v>
      </c>
      <c r="BC165">
        <f>IFERROR(SMALL(BC47:BC127,ROW()-ROW($BC$130)+1),"")</f>
        <v>0</v>
      </c>
      <c r="BD165">
        <f>IFERROR(SMALL(BD47:BD127,ROW()-ROW($BD$130)+1),"")</f>
        <v>0</v>
      </c>
      <c r="BE165">
        <f>IFERROR(SMALL(BE47:BE127,ROW()-ROW($BE$130)+1),"")</f>
        <v>0</v>
      </c>
      <c r="BF165">
        <f>IFERROR(SMALL(BF47:BF127,ROW()-ROW($BF$130)+1),"")</f>
        <v>0</v>
      </c>
      <c r="BG165">
        <f>IFERROR(SMALL(BG47:BG127,ROW()-ROW($BG$130)+1),"")</f>
        <v>0</v>
      </c>
      <c r="BH165">
        <f>IFERROR(SMALL(BH47:BH127,ROW()-ROW($BH$130)+1),"")</f>
        <v>0</v>
      </c>
      <c r="BI165">
        <f>IFERROR(SMALL(BI47:BI127,ROW()-ROW($BI$130)+1),"")</f>
        <v>0</v>
      </c>
      <c r="BJ165">
        <f>IFERROR(SMALL(BJ47:BJ127,ROW()-ROW($BJ$130)+1),"")</f>
        <v>0</v>
      </c>
      <c r="BK165">
        <f>IFERROR(SMALL(BK47:BK127,ROW()-ROW($BK$130)+1),"")</f>
        <v>0</v>
      </c>
      <c r="BL165">
        <f>IFERROR(SMALL(BL47:BL127,ROW()-ROW($BL$130)+1),"")</f>
        <v>0</v>
      </c>
      <c r="BM165">
        <f>IFERROR(SMALL(BM47:BM127,ROW()-ROW($BM$130)+1),"")</f>
        <v>0</v>
      </c>
      <c r="BN165">
        <f>IFERROR(SMALL(BN47:BN127,ROW()-ROW($BN$130)+1),"")</f>
        <v>0</v>
      </c>
      <c r="BO165">
        <f>IFERROR(SMALL(BO47:BO127,ROW()-ROW($BO$130)+1),"")</f>
        <v>0</v>
      </c>
      <c r="BP165">
        <f>IFERROR(SMALL(BP47:BP127,ROW()-ROW($BP$130)+1),"")</f>
        <v>0</v>
      </c>
      <c r="BS165">
        <f>IFERROR(SMALL(BS47:BS127,ROW()-ROW($BS$130)+1),"")</f>
        <v>0</v>
      </c>
      <c r="BT165">
        <f>IFERROR(SMALL(BT47:BT127,ROW()-ROW($BT$130)+1),"")</f>
        <v>0</v>
      </c>
      <c r="BU165">
        <f>IFERROR(SMALL(BU47:BU127,ROW()-ROW($BU$130)+1),"")</f>
        <v>0</v>
      </c>
      <c r="BV165">
        <f>IFERROR(SMALL(BV47:BV127,ROW()-ROW($BV$130)+1),"")</f>
        <v>0</v>
      </c>
      <c r="BW165">
        <f>IFERROR(SMALL(BW47:BW127,ROW()-ROW($BW$130)+1),"")</f>
        <v>0</v>
      </c>
      <c r="BX165">
        <f>IFERROR(SMALL(BX47:BX127,ROW()-ROW($BX$130)+1),"")</f>
        <v>0</v>
      </c>
      <c r="BY165">
        <f>IFERROR(SMALL(BY47:BY127,ROW()-ROW($BY$130)+1),"")</f>
        <v>0</v>
      </c>
      <c r="BZ165">
        <f>IFERROR(SMALL(BZ47:BZ127,ROW()-ROW($BZ$130)+1),"")</f>
        <v>0</v>
      </c>
      <c r="CA165">
        <f>IFERROR(SMALL(CA47:CA127,ROW()-ROW($CA$130)+1),"")</f>
        <v>0</v>
      </c>
      <c r="CB165">
        <f>IFERROR(SMALL(CB47:CB127,ROW()-ROW($CB$130)+1),"")</f>
        <v>0</v>
      </c>
      <c r="CC165">
        <f>IFERROR(SMALL(CC47:CC127,ROW()-ROW($CC$130)+1),"")</f>
        <v>0</v>
      </c>
      <c r="CD165">
        <f>IFERROR(SMALL(CD47:CD127,ROW()-ROW($CD$130)+1),"")</f>
        <v>0</v>
      </c>
      <c r="CE165">
        <f>IFERROR(SMALL(CE47:CE127,ROW()-ROW($CE$130)+1),"")</f>
        <v>0</v>
      </c>
      <c r="CF165">
        <f>IFERROR(SMALL(CF47:CF127,ROW()-ROW($CF$130)+1),"")</f>
        <v>0</v>
      </c>
      <c r="CG165">
        <f>IFERROR(SMALL(CG47:CG127,ROW()-ROW($CG$130)+1),"")</f>
        <v>0</v>
      </c>
      <c r="CH165">
        <f>IFERROR(SMALL(CH47:CH127,ROW()-ROW($CH$130)+1),"")</f>
        <v>0</v>
      </c>
      <c r="CI165">
        <f>IFERROR(SMALL(CI47:CI127,ROW()-ROW($CI$130)+1),"")</f>
        <v>0</v>
      </c>
      <c r="CJ165">
        <f>IFERROR(SMALL(CJ47:CJ127,ROW()-ROW($CJ$130)+1),"")</f>
        <v>0</v>
      </c>
      <c r="CK165">
        <f>IFERROR(SMALL(CK47:CK127,ROW()-ROW($CK$130)+1),"")</f>
        <v>0</v>
      </c>
      <c r="CL165">
        <f>IFERROR(SMALL(CL47:CL127,ROW()-ROW($CL$130)+1),"")</f>
        <v>0</v>
      </c>
      <c r="CM165">
        <f>IFERROR(SMALL(CM47:CM127,ROW()-ROW($CM$130)+1),"")</f>
        <v>0</v>
      </c>
      <c r="CN165">
        <f>IFERROR(SMALL(CN47:CN127,ROW()-ROW($CN$130)+1),"")</f>
        <v>0</v>
      </c>
      <c r="CO165">
        <f>IFERROR(SMALL(CO47:CO127,ROW()-ROW($CO$130)+1),"")</f>
        <v>0</v>
      </c>
      <c r="CP165">
        <f>IFERROR(SMALL(CP47:CP127,ROW()-ROW($CP$130)+1),"")</f>
        <v>0</v>
      </c>
      <c r="CQ165">
        <f>IFERROR(SMALL(CQ47:CQ127,ROW()-ROW($CQ$130)+1),"")</f>
        <v>0</v>
      </c>
      <c r="CR165">
        <f>IFERROR(SMALL(CR47:CR127,ROW()-ROW($CR$130)+1),"")</f>
        <v>0</v>
      </c>
      <c r="CS165">
        <f>IFERROR(SMALL(CS47:CS127,ROW()-ROW($CS$130)+1),"")</f>
        <v>0</v>
      </c>
      <c r="CT165">
        <f>IFERROR(SMALL(CT47:CT127,ROW()-ROW($CT$130)+1),"")</f>
        <v>0</v>
      </c>
      <c r="CU165">
        <f>IFERROR(SMALL(CU47:CU127,ROW()-ROW($CU$130)+1),"")</f>
        <v>0</v>
      </c>
      <c r="CV165">
        <f>IFERROR(SMALL(CV47:CV127,ROW()-ROW($CV$130)+1),"")</f>
        <v>0</v>
      </c>
      <c r="CW165">
        <f>IFERROR(SMALL(CW47:CW127,ROW()-ROW($CW$130)+1),"")</f>
        <v>0</v>
      </c>
      <c r="CX165">
        <f>IFERROR(SMALL(CX47:CX127,ROW()-ROW($CX$130)+1),"")</f>
        <v>0</v>
      </c>
      <c r="CY165">
        <f>IFERROR(SMALL(CY47:CY127,ROW()-ROW($CY$130)+1),"")</f>
        <v>0</v>
      </c>
      <c r="CZ165">
        <f>IFERROR(SMALL(CZ47:CZ127,ROW()-ROW($CZ$130)+1),"")</f>
        <v>0</v>
      </c>
      <c r="DA165">
        <f>IFERROR(SMALL(DA47:DA127,ROW()-ROW($DA$130)+1),"")</f>
        <v>0</v>
      </c>
      <c r="DB165">
        <f>IFERROR(SMALL(DB47:DB127,ROW()-ROW($DB$130)+1),"")</f>
        <v>0</v>
      </c>
      <c r="DC165">
        <f>IFERROR(SMALL(DC47:DC127,ROW()-ROW($DC$130)+1),"")</f>
        <v>0</v>
      </c>
      <c r="DD165">
        <f>IFERROR(SMALL(DD47:DD127,ROW()-ROW($DD$130)+1),"")</f>
        <v>0</v>
      </c>
      <c r="DE165">
        <f>IFERROR(SMALL(DE47:DE127,ROW()-ROW($DE$130)+1),"")</f>
        <v>0</v>
      </c>
      <c r="DF165">
        <f>IFERROR(SMALL(DF47:DF127,ROW()-ROW($DF$130)+1),"")</f>
        <v>0</v>
      </c>
      <c r="DG165">
        <f>IFERROR(SMALL(DG47:DG127,ROW()-ROW($DG$130)+1),"")</f>
        <v>0</v>
      </c>
      <c r="DH165">
        <f>IFERROR(SMALL(DH47:DH127,ROW()-ROW($DH$130)+1),"")</f>
        <v>0</v>
      </c>
      <c r="DI165">
        <f>IFERROR(SMALL(DI47:DI127,ROW()-ROW($DI$130)+1),"")</f>
        <v>0</v>
      </c>
      <c r="DJ165">
        <f>IFERROR(SMALL(DJ47:DJ127,ROW()-ROW($DJ$130)+1),"")</f>
        <v>0</v>
      </c>
      <c r="DK165">
        <f>IFERROR(SMALL(DK47:DK127,ROW()-ROW($DK$130)+1),"")</f>
        <v>0</v>
      </c>
      <c r="DL165">
        <f>IFERROR(SMALL(DL47:DL127,ROW()-ROW($DL$130)+1),"")</f>
        <v>0</v>
      </c>
      <c r="DM165">
        <f>IFERROR(SMALL(DM47:DM127,ROW()-ROW($DM$130)+1),"")</f>
        <v>0</v>
      </c>
      <c r="DN165">
        <f>IFERROR(SMALL(DN47:DN127,ROW()-ROW($DN$130)+1),"")</f>
        <v>0</v>
      </c>
      <c r="DO165">
        <f>IFERROR(SMALL(DO47:DO127,ROW()-ROW($DO$130)+1),"")</f>
        <v>0</v>
      </c>
      <c r="DP165">
        <f>IFERROR(SMALL(DP47:DP127,ROW()-ROW($DP$130)+1),"")</f>
        <v>0</v>
      </c>
      <c r="DQ165">
        <f>IFERROR(SMALL(DQ47:DQ127,ROW()-ROW($DQ$130)+1),"")</f>
        <v>0</v>
      </c>
      <c r="DR165">
        <f>IFERROR(SMALL(DR47:DR127,ROW()-ROW($DR$130)+1),"")</f>
        <v>0</v>
      </c>
      <c r="DS165">
        <f>IFERROR(SMALL(DS47:DS127,ROW()-ROW($DS$130)+1),"")</f>
        <v>0</v>
      </c>
      <c r="DT165">
        <f>IFERROR(SMALL(DT47:DT127,ROW()-ROW($DT$130)+1),"")</f>
        <v>0</v>
      </c>
      <c r="DU165">
        <f>IFERROR(SMALL(DU47:DU127,ROW()-ROW($DU$130)+1),"")</f>
        <v>0</v>
      </c>
      <c r="DV165">
        <f>IFERROR(SMALL(DV47:DV127,ROW()-ROW($DV$130)+1),"")</f>
        <v>0</v>
      </c>
      <c r="DW165">
        <f>IFERROR(SMALL(DW47:DW127,ROW()-ROW($DW$130)+1),"")</f>
        <v>0</v>
      </c>
      <c r="DX165">
        <f>IFERROR(SMALL(DX47:DX127,ROW()-ROW($DX$130)+1),"")</f>
        <v>0</v>
      </c>
      <c r="DY165">
        <f>IFERROR(SMALL(DY47:DY127,ROW()-ROW($DY$130)+1),"")</f>
        <v>0</v>
      </c>
      <c r="DZ165">
        <f>IFERROR(SMALL(DZ47:DZ127,ROW()-ROW($DZ$130)+1),"")</f>
        <v>0</v>
      </c>
      <c r="EA165">
        <f>IFERROR(SMALL(EA47:EA127,ROW()-ROW($EA$130)+1),"")</f>
        <v>0</v>
      </c>
      <c r="EB165">
        <f>IFERROR(SMALL(EB47:EB127,ROW()-ROW($EB$130)+1),"")</f>
        <v>0</v>
      </c>
      <c r="EC165">
        <f>IFERROR(SMALL(EC47:EC127,ROW()-ROW($EC$130)+1),"")</f>
        <v>0</v>
      </c>
      <c r="ED165">
        <f>IFERROR(SMALL(ED47:ED127,ROW()-ROW($ED$130)+1),"")</f>
        <v>0</v>
      </c>
    </row>
    <row r="166" spans="5:134">
      <c r="E166">
        <f>IFERROR(SMALL(E47:E127,ROW()-ROW($E$130)+1),"")</f>
        <v>0</v>
      </c>
      <c r="F166">
        <f>IFERROR(SMALL(F47:F127,ROW()-ROW($F$130)+1),"")</f>
        <v>0</v>
      </c>
      <c r="G166">
        <f>IFERROR(SMALL(G47:G127,ROW()-ROW($G$130)+1),"")</f>
        <v>0</v>
      </c>
      <c r="H166">
        <f>IFERROR(SMALL(H47:H127,ROW()-ROW($H$130)+1),"")</f>
        <v>0</v>
      </c>
      <c r="I166">
        <f>IFERROR(SMALL(I47:I127,ROW()-ROW($I$130)+1),"")</f>
        <v>0</v>
      </c>
      <c r="J166">
        <f>IFERROR(SMALL(J47:J127,ROW()-ROW($J$130)+1),"")</f>
        <v>0</v>
      </c>
      <c r="K166">
        <f>IFERROR(SMALL(K47:K127,ROW()-ROW($K$130)+1),"")</f>
        <v>0</v>
      </c>
      <c r="L166">
        <f>IFERROR(SMALL(L47:L127,ROW()-ROW($L$130)+1),"")</f>
        <v>0</v>
      </c>
      <c r="M166">
        <f>IFERROR(SMALL(M47:M127,ROW()-ROW($M$130)+1),"")</f>
        <v>0</v>
      </c>
      <c r="N166">
        <f>IFERROR(SMALL(N47:N127,ROW()-ROW($N$130)+1),"")</f>
        <v>0</v>
      </c>
      <c r="O166">
        <f>IFERROR(SMALL(O47:O127,ROW()-ROW($O$130)+1),"")</f>
        <v>0</v>
      </c>
      <c r="P166">
        <f>IFERROR(SMALL(P47:P127,ROW()-ROW($P$130)+1),"")</f>
        <v>0</v>
      </c>
      <c r="Q166">
        <f>IFERROR(SMALL(Q47:Q127,ROW()-ROW($Q$130)+1),"")</f>
        <v>0</v>
      </c>
      <c r="R166">
        <f>IFERROR(SMALL(R47:R127,ROW()-ROW($R$130)+1),"")</f>
        <v>0</v>
      </c>
      <c r="S166">
        <f>IFERROR(SMALL(S47:S127,ROW()-ROW($S$130)+1),"")</f>
        <v>0</v>
      </c>
      <c r="T166">
        <f>IFERROR(SMALL(T47:T127,ROW()-ROW($T$130)+1),"")</f>
        <v>0</v>
      </c>
      <c r="U166">
        <f>IFERROR(SMALL(U47:U127,ROW()-ROW($U$130)+1),"")</f>
        <v>0</v>
      </c>
      <c r="V166">
        <f>IFERROR(SMALL(V47:V127,ROW()-ROW($V$130)+1),"")</f>
        <v>0</v>
      </c>
      <c r="W166">
        <f>IFERROR(SMALL(W47:W127,ROW()-ROW($W$130)+1),"")</f>
        <v>0</v>
      </c>
      <c r="X166">
        <f>IFERROR(SMALL(X47:X127,ROW()-ROW($X$130)+1),"")</f>
        <v>0</v>
      </c>
      <c r="Y166">
        <f>IFERROR(SMALL(Y47:Y127,ROW()-ROW($Y$130)+1),"")</f>
        <v>0</v>
      </c>
      <c r="Z166">
        <f>IFERROR(SMALL(Z47:Z127,ROW()-ROW($Z$130)+1),"")</f>
        <v>0</v>
      </c>
      <c r="AA166">
        <f>IFERROR(SMALL(AA47:AA127,ROW()-ROW($AA$130)+1),"")</f>
        <v>0</v>
      </c>
      <c r="AB166">
        <f>IFERROR(SMALL(AB47:AB127,ROW()-ROW($AB$130)+1),"")</f>
        <v>0</v>
      </c>
      <c r="AC166">
        <f>IFERROR(SMALL(AC47:AC127,ROW()-ROW($AC$130)+1),"")</f>
        <v>0</v>
      </c>
      <c r="AD166">
        <f>IFERROR(SMALL(AD47:AD127,ROW()-ROW($AD$130)+1),"")</f>
        <v>0</v>
      </c>
      <c r="AE166">
        <f>IFERROR(SMALL(AE47:AE127,ROW()-ROW($AE$130)+1),"")</f>
        <v>0</v>
      </c>
      <c r="AF166">
        <f>IFERROR(SMALL(AF47:AF127,ROW()-ROW($AF$130)+1),"")</f>
        <v>0</v>
      </c>
      <c r="AG166">
        <f>IFERROR(SMALL(AG47:AG127,ROW()-ROW($AG$130)+1),"")</f>
        <v>0</v>
      </c>
      <c r="AH166">
        <f>IFERROR(SMALL(AH47:AH127,ROW()-ROW($AH$130)+1),"")</f>
        <v>0</v>
      </c>
      <c r="AI166">
        <f>IFERROR(SMALL(AI47:AI127,ROW()-ROW($AI$130)+1),"")</f>
        <v>0</v>
      </c>
      <c r="AJ166">
        <f>IFERROR(SMALL(AJ47:AJ127,ROW()-ROW($AJ$130)+1),"")</f>
        <v>0</v>
      </c>
      <c r="AK166">
        <f>IFERROR(SMALL(AK47:AK127,ROW()-ROW($AK$130)+1),"")</f>
        <v>0</v>
      </c>
      <c r="AL166">
        <f>IFERROR(SMALL(AL47:AL127,ROW()-ROW($AL$130)+1),"")</f>
        <v>0</v>
      </c>
      <c r="AM166">
        <f>IFERROR(SMALL(AM47:AM127,ROW()-ROW($AM$130)+1),"")</f>
        <v>0</v>
      </c>
      <c r="AN166">
        <f>IFERROR(SMALL(AN47:AN127,ROW()-ROW($AN$130)+1),"")</f>
        <v>0</v>
      </c>
      <c r="AO166">
        <f>IFERROR(SMALL(AO47:AO127,ROW()-ROW($AO$130)+1),"")</f>
        <v>0</v>
      </c>
      <c r="AP166">
        <f>IFERROR(SMALL(AP47:AP127,ROW()-ROW($AP$130)+1),"")</f>
        <v>0</v>
      </c>
      <c r="AQ166">
        <f>IFERROR(SMALL(AQ47:AQ127,ROW()-ROW($AQ$130)+1),"")</f>
        <v>0</v>
      </c>
      <c r="AR166">
        <f>IFERROR(SMALL(AR47:AR127,ROW()-ROW($AR$130)+1),"")</f>
        <v>0</v>
      </c>
      <c r="AS166">
        <f>IFERROR(SMALL(AS47:AS127,ROW()-ROW($AS$130)+1),"")</f>
        <v>0</v>
      </c>
      <c r="AT166">
        <f>IFERROR(SMALL(AT47:AT127,ROW()-ROW($AT$130)+1),"")</f>
        <v>0</v>
      </c>
      <c r="AU166">
        <f>IFERROR(SMALL(AU47:AU127,ROW()-ROW($AU$130)+1),"")</f>
        <v>0</v>
      </c>
      <c r="AV166">
        <f>IFERROR(SMALL(AV47:AV127,ROW()-ROW($AV$130)+1),"")</f>
        <v>0</v>
      </c>
      <c r="AW166">
        <f>IFERROR(SMALL(AW47:AW127,ROW()-ROW($AW$130)+1),"")</f>
        <v>0</v>
      </c>
      <c r="AX166">
        <f>IFERROR(SMALL(AX47:AX127,ROW()-ROW($AX$130)+1),"")</f>
        <v>0</v>
      </c>
      <c r="AY166">
        <f>IFERROR(SMALL(AY47:AY127,ROW()-ROW($AY$130)+1),"")</f>
        <v>0</v>
      </c>
      <c r="AZ166">
        <f>IFERROR(SMALL(AZ47:AZ127,ROW()-ROW($AZ$130)+1),"")</f>
        <v>0</v>
      </c>
      <c r="BA166">
        <f>IFERROR(SMALL(BA47:BA127,ROW()-ROW($BA$130)+1),"")</f>
        <v>0</v>
      </c>
      <c r="BB166">
        <f>IFERROR(SMALL(BB47:BB127,ROW()-ROW($BB$130)+1),"")</f>
        <v>0</v>
      </c>
      <c r="BC166">
        <f>IFERROR(SMALL(BC47:BC127,ROW()-ROW($BC$130)+1),"")</f>
        <v>0</v>
      </c>
      <c r="BD166">
        <f>IFERROR(SMALL(BD47:BD127,ROW()-ROW($BD$130)+1),"")</f>
        <v>0</v>
      </c>
      <c r="BE166">
        <f>IFERROR(SMALL(BE47:BE127,ROW()-ROW($BE$130)+1),"")</f>
        <v>0</v>
      </c>
      <c r="BF166">
        <f>IFERROR(SMALL(BF47:BF127,ROW()-ROW($BF$130)+1),"")</f>
        <v>0</v>
      </c>
      <c r="BG166">
        <f>IFERROR(SMALL(BG47:BG127,ROW()-ROW($BG$130)+1),"")</f>
        <v>0</v>
      </c>
      <c r="BH166">
        <f>IFERROR(SMALL(BH47:BH127,ROW()-ROW($BH$130)+1),"")</f>
        <v>0</v>
      </c>
      <c r="BI166">
        <f>IFERROR(SMALL(BI47:BI127,ROW()-ROW($BI$130)+1),"")</f>
        <v>0</v>
      </c>
      <c r="BJ166">
        <f>IFERROR(SMALL(BJ47:BJ127,ROW()-ROW($BJ$130)+1),"")</f>
        <v>0</v>
      </c>
      <c r="BK166">
        <f>IFERROR(SMALL(BK47:BK127,ROW()-ROW($BK$130)+1),"")</f>
        <v>0</v>
      </c>
      <c r="BL166">
        <f>IFERROR(SMALL(BL47:BL127,ROW()-ROW($BL$130)+1),"")</f>
        <v>0</v>
      </c>
      <c r="BM166">
        <f>IFERROR(SMALL(BM47:BM127,ROW()-ROW($BM$130)+1),"")</f>
        <v>0</v>
      </c>
      <c r="BN166">
        <f>IFERROR(SMALL(BN47:BN127,ROW()-ROW($BN$130)+1),"")</f>
        <v>0</v>
      </c>
      <c r="BO166">
        <f>IFERROR(SMALL(BO47:BO127,ROW()-ROW($BO$130)+1),"")</f>
        <v>0</v>
      </c>
      <c r="BP166">
        <f>IFERROR(SMALL(BP47:BP127,ROW()-ROW($BP$130)+1),"")</f>
        <v>0</v>
      </c>
      <c r="BS166">
        <f>IFERROR(SMALL(BS47:BS127,ROW()-ROW($BS$130)+1),"")</f>
        <v>0</v>
      </c>
      <c r="BT166">
        <f>IFERROR(SMALL(BT47:BT127,ROW()-ROW($BT$130)+1),"")</f>
        <v>0</v>
      </c>
      <c r="BU166">
        <f>IFERROR(SMALL(BU47:BU127,ROW()-ROW($BU$130)+1),"")</f>
        <v>0</v>
      </c>
      <c r="BV166">
        <f>IFERROR(SMALL(BV47:BV127,ROW()-ROW($BV$130)+1),"")</f>
        <v>0</v>
      </c>
      <c r="BW166">
        <f>IFERROR(SMALL(BW47:BW127,ROW()-ROW($BW$130)+1),"")</f>
        <v>0</v>
      </c>
      <c r="BX166">
        <f>IFERROR(SMALL(BX47:BX127,ROW()-ROW($BX$130)+1),"")</f>
        <v>0</v>
      </c>
      <c r="BY166">
        <f>IFERROR(SMALL(BY47:BY127,ROW()-ROW($BY$130)+1),"")</f>
        <v>0</v>
      </c>
      <c r="BZ166">
        <f>IFERROR(SMALL(BZ47:BZ127,ROW()-ROW($BZ$130)+1),"")</f>
        <v>0</v>
      </c>
      <c r="CA166">
        <f>IFERROR(SMALL(CA47:CA127,ROW()-ROW($CA$130)+1),"")</f>
        <v>0</v>
      </c>
      <c r="CB166">
        <f>IFERROR(SMALL(CB47:CB127,ROW()-ROW($CB$130)+1),"")</f>
        <v>0</v>
      </c>
      <c r="CC166">
        <f>IFERROR(SMALL(CC47:CC127,ROW()-ROW($CC$130)+1),"")</f>
        <v>0</v>
      </c>
      <c r="CD166">
        <f>IFERROR(SMALL(CD47:CD127,ROW()-ROW($CD$130)+1),"")</f>
        <v>0</v>
      </c>
      <c r="CE166">
        <f>IFERROR(SMALL(CE47:CE127,ROW()-ROW($CE$130)+1),"")</f>
        <v>0</v>
      </c>
      <c r="CF166">
        <f>IFERROR(SMALL(CF47:CF127,ROW()-ROW($CF$130)+1),"")</f>
        <v>0</v>
      </c>
      <c r="CG166">
        <f>IFERROR(SMALL(CG47:CG127,ROW()-ROW($CG$130)+1),"")</f>
        <v>0</v>
      </c>
      <c r="CH166">
        <f>IFERROR(SMALL(CH47:CH127,ROW()-ROW($CH$130)+1),"")</f>
        <v>0</v>
      </c>
      <c r="CI166">
        <f>IFERROR(SMALL(CI47:CI127,ROW()-ROW($CI$130)+1),"")</f>
        <v>0</v>
      </c>
      <c r="CJ166">
        <f>IFERROR(SMALL(CJ47:CJ127,ROW()-ROW($CJ$130)+1),"")</f>
        <v>0</v>
      </c>
      <c r="CK166">
        <f>IFERROR(SMALL(CK47:CK127,ROW()-ROW($CK$130)+1),"")</f>
        <v>0</v>
      </c>
      <c r="CL166">
        <f>IFERROR(SMALL(CL47:CL127,ROW()-ROW($CL$130)+1),"")</f>
        <v>0</v>
      </c>
      <c r="CM166">
        <f>IFERROR(SMALL(CM47:CM127,ROW()-ROW($CM$130)+1),"")</f>
        <v>0</v>
      </c>
      <c r="CN166">
        <f>IFERROR(SMALL(CN47:CN127,ROW()-ROW($CN$130)+1),"")</f>
        <v>0</v>
      </c>
      <c r="CO166">
        <f>IFERROR(SMALL(CO47:CO127,ROW()-ROW($CO$130)+1),"")</f>
        <v>0</v>
      </c>
      <c r="CP166">
        <f>IFERROR(SMALL(CP47:CP127,ROW()-ROW($CP$130)+1),"")</f>
        <v>0</v>
      </c>
      <c r="CQ166">
        <f>IFERROR(SMALL(CQ47:CQ127,ROW()-ROW($CQ$130)+1),"")</f>
        <v>0</v>
      </c>
      <c r="CR166">
        <f>IFERROR(SMALL(CR47:CR127,ROW()-ROW($CR$130)+1),"")</f>
        <v>0</v>
      </c>
      <c r="CS166">
        <f>IFERROR(SMALL(CS47:CS127,ROW()-ROW($CS$130)+1),"")</f>
        <v>0</v>
      </c>
      <c r="CT166">
        <f>IFERROR(SMALL(CT47:CT127,ROW()-ROW($CT$130)+1),"")</f>
        <v>0</v>
      </c>
      <c r="CU166">
        <f>IFERROR(SMALL(CU47:CU127,ROW()-ROW($CU$130)+1),"")</f>
        <v>0</v>
      </c>
      <c r="CV166">
        <f>IFERROR(SMALL(CV47:CV127,ROW()-ROW($CV$130)+1),"")</f>
        <v>0</v>
      </c>
      <c r="CW166">
        <f>IFERROR(SMALL(CW47:CW127,ROW()-ROW($CW$130)+1),"")</f>
        <v>0</v>
      </c>
      <c r="CX166">
        <f>IFERROR(SMALL(CX47:CX127,ROW()-ROW($CX$130)+1),"")</f>
        <v>0</v>
      </c>
      <c r="CY166">
        <f>IFERROR(SMALL(CY47:CY127,ROW()-ROW($CY$130)+1),"")</f>
        <v>0</v>
      </c>
      <c r="CZ166">
        <f>IFERROR(SMALL(CZ47:CZ127,ROW()-ROW($CZ$130)+1),"")</f>
        <v>0</v>
      </c>
      <c r="DA166">
        <f>IFERROR(SMALL(DA47:DA127,ROW()-ROW($DA$130)+1),"")</f>
        <v>0</v>
      </c>
      <c r="DB166">
        <f>IFERROR(SMALL(DB47:DB127,ROW()-ROW($DB$130)+1),"")</f>
        <v>0</v>
      </c>
      <c r="DC166">
        <f>IFERROR(SMALL(DC47:DC127,ROW()-ROW($DC$130)+1),"")</f>
        <v>0</v>
      </c>
      <c r="DD166">
        <f>IFERROR(SMALL(DD47:DD127,ROW()-ROW($DD$130)+1),"")</f>
        <v>0</v>
      </c>
      <c r="DE166">
        <f>IFERROR(SMALL(DE47:DE127,ROW()-ROW($DE$130)+1),"")</f>
        <v>0</v>
      </c>
      <c r="DF166">
        <f>IFERROR(SMALL(DF47:DF127,ROW()-ROW($DF$130)+1),"")</f>
        <v>0</v>
      </c>
      <c r="DG166">
        <f>IFERROR(SMALL(DG47:DG127,ROW()-ROW($DG$130)+1),"")</f>
        <v>0</v>
      </c>
      <c r="DH166">
        <f>IFERROR(SMALL(DH47:DH127,ROW()-ROW($DH$130)+1),"")</f>
        <v>0</v>
      </c>
      <c r="DI166">
        <f>IFERROR(SMALL(DI47:DI127,ROW()-ROW($DI$130)+1),"")</f>
        <v>0</v>
      </c>
      <c r="DJ166">
        <f>IFERROR(SMALL(DJ47:DJ127,ROW()-ROW($DJ$130)+1),"")</f>
        <v>0</v>
      </c>
      <c r="DK166">
        <f>IFERROR(SMALL(DK47:DK127,ROW()-ROW($DK$130)+1),"")</f>
        <v>0</v>
      </c>
      <c r="DL166">
        <f>IFERROR(SMALL(DL47:DL127,ROW()-ROW($DL$130)+1),"")</f>
        <v>0</v>
      </c>
      <c r="DM166">
        <f>IFERROR(SMALL(DM47:DM127,ROW()-ROW($DM$130)+1),"")</f>
        <v>0</v>
      </c>
      <c r="DN166">
        <f>IFERROR(SMALL(DN47:DN127,ROW()-ROW($DN$130)+1),"")</f>
        <v>0</v>
      </c>
      <c r="DO166">
        <f>IFERROR(SMALL(DO47:DO127,ROW()-ROW($DO$130)+1),"")</f>
        <v>0</v>
      </c>
      <c r="DP166">
        <f>IFERROR(SMALL(DP47:DP127,ROW()-ROW($DP$130)+1),"")</f>
        <v>0</v>
      </c>
      <c r="DQ166">
        <f>IFERROR(SMALL(DQ47:DQ127,ROW()-ROW($DQ$130)+1),"")</f>
        <v>0</v>
      </c>
      <c r="DR166">
        <f>IFERROR(SMALL(DR47:DR127,ROW()-ROW($DR$130)+1),"")</f>
        <v>0</v>
      </c>
      <c r="DS166">
        <f>IFERROR(SMALL(DS47:DS127,ROW()-ROW($DS$130)+1),"")</f>
        <v>0</v>
      </c>
      <c r="DT166">
        <f>IFERROR(SMALL(DT47:DT127,ROW()-ROW($DT$130)+1),"")</f>
        <v>0</v>
      </c>
      <c r="DU166">
        <f>IFERROR(SMALL(DU47:DU127,ROW()-ROW($DU$130)+1),"")</f>
        <v>0</v>
      </c>
      <c r="DV166">
        <f>IFERROR(SMALL(DV47:DV127,ROW()-ROW($DV$130)+1),"")</f>
        <v>0</v>
      </c>
      <c r="DW166">
        <f>IFERROR(SMALL(DW47:DW127,ROW()-ROW($DW$130)+1),"")</f>
        <v>0</v>
      </c>
      <c r="DX166">
        <f>IFERROR(SMALL(DX47:DX127,ROW()-ROW($DX$130)+1),"")</f>
        <v>0</v>
      </c>
      <c r="DY166">
        <f>IFERROR(SMALL(DY47:DY127,ROW()-ROW($DY$130)+1),"")</f>
        <v>0</v>
      </c>
      <c r="DZ166">
        <f>IFERROR(SMALL(DZ47:DZ127,ROW()-ROW($DZ$130)+1),"")</f>
        <v>0</v>
      </c>
      <c r="EA166">
        <f>IFERROR(SMALL(EA47:EA127,ROW()-ROW($EA$130)+1),"")</f>
        <v>0</v>
      </c>
      <c r="EB166">
        <f>IFERROR(SMALL(EB47:EB127,ROW()-ROW($EB$130)+1),"")</f>
        <v>0</v>
      </c>
      <c r="EC166">
        <f>IFERROR(SMALL(EC47:EC127,ROW()-ROW($EC$130)+1),"")</f>
        <v>0</v>
      </c>
      <c r="ED166">
        <f>IFERROR(SMALL(ED47:ED127,ROW()-ROW($ED$130)+1),"")</f>
        <v>0</v>
      </c>
    </row>
    <row r="167" spans="5:134">
      <c r="E167">
        <f>IFERROR(SMALL(E47:E127,ROW()-ROW($E$130)+1),"")</f>
        <v>0</v>
      </c>
      <c r="F167">
        <f>IFERROR(SMALL(F47:F127,ROW()-ROW($F$130)+1),"")</f>
        <v>0</v>
      </c>
      <c r="G167">
        <f>IFERROR(SMALL(G47:G127,ROW()-ROW($G$130)+1),"")</f>
        <v>0</v>
      </c>
      <c r="H167">
        <f>IFERROR(SMALL(H47:H127,ROW()-ROW($H$130)+1),"")</f>
        <v>0</v>
      </c>
      <c r="I167">
        <f>IFERROR(SMALL(I47:I127,ROW()-ROW($I$130)+1),"")</f>
        <v>0</v>
      </c>
      <c r="J167">
        <f>IFERROR(SMALL(J47:J127,ROW()-ROW($J$130)+1),"")</f>
        <v>0</v>
      </c>
      <c r="K167">
        <f>IFERROR(SMALL(K47:K127,ROW()-ROW($K$130)+1),"")</f>
        <v>0</v>
      </c>
      <c r="L167">
        <f>IFERROR(SMALL(L47:L127,ROW()-ROW($L$130)+1),"")</f>
        <v>0</v>
      </c>
      <c r="M167">
        <f>IFERROR(SMALL(M47:M127,ROW()-ROW($M$130)+1),"")</f>
        <v>0</v>
      </c>
      <c r="N167">
        <f>IFERROR(SMALL(N47:N127,ROW()-ROW($N$130)+1),"")</f>
        <v>0</v>
      </c>
      <c r="O167">
        <f>IFERROR(SMALL(O47:O127,ROW()-ROW($O$130)+1),"")</f>
        <v>0</v>
      </c>
      <c r="P167">
        <f>IFERROR(SMALL(P47:P127,ROW()-ROW($P$130)+1),"")</f>
        <v>0</v>
      </c>
      <c r="Q167">
        <f>IFERROR(SMALL(Q47:Q127,ROW()-ROW($Q$130)+1),"")</f>
        <v>0</v>
      </c>
      <c r="R167">
        <f>IFERROR(SMALL(R47:R127,ROW()-ROW($R$130)+1),"")</f>
        <v>0</v>
      </c>
      <c r="S167">
        <f>IFERROR(SMALL(S47:S127,ROW()-ROW($S$130)+1),"")</f>
        <v>0</v>
      </c>
      <c r="T167">
        <f>IFERROR(SMALL(T47:T127,ROW()-ROW($T$130)+1),"")</f>
        <v>0</v>
      </c>
      <c r="U167">
        <f>IFERROR(SMALL(U47:U127,ROW()-ROW($U$130)+1),"")</f>
        <v>0</v>
      </c>
      <c r="V167">
        <f>IFERROR(SMALL(V47:V127,ROW()-ROW($V$130)+1),"")</f>
        <v>0</v>
      </c>
      <c r="W167">
        <f>IFERROR(SMALL(W47:W127,ROW()-ROW($W$130)+1),"")</f>
        <v>0</v>
      </c>
      <c r="X167">
        <f>IFERROR(SMALL(X47:X127,ROW()-ROW($X$130)+1),"")</f>
        <v>0</v>
      </c>
      <c r="Y167">
        <f>IFERROR(SMALL(Y47:Y127,ROW()-ROW($Y$130)+1),"")</f>
        <v>0</v>
      </c>
      <c r="Z167">
        <f>IFERROR(SMALL(Z47:Z127,ROW()-ROW($Z$130)+1),"")</f>
        <v>0</v>
      </c>
      <c r="AA167">
        <f>IFERROR(SMALL(AA47:AA127,ROW()-ROW($AA$130)+1),"")</f>
        <v>0</v>
      </c>
      <c r="AB167">
        <f>IFERROR(SMALL(AB47:AB127,ROW()-ROW($AB$130)+1),"")</f>
        <v>0</v>
      </c>
      <c r="AC167">
        <f>IFERROR(SMALL(AC47:AC127,ROW()-ROW($AC$130)+1),"")</f>
        <v>0</v>
      </c>
      <c r="AD167">
        <f>IFERROR(SMALL(AD47:AD127,ROW()-ROW($AD$130)+1),"")</f>
        <v>0</v>
      </c>
      <c r="AE167">
        <f>IFERROR(SMALL(AE47:AE127,ROW()-ROW($AE$130)+1),"")</f>
        <v>0</v>
      </c>
      <c r="AF167">
        <f>IFERROR(SMALL(AF47:AF127,ROW()-ROW($AF$130)+1),"")</f>
        <v>0</v>
      </c>
      <c r="AG167">
        <f>IFERROR(SMALL(AG47:AG127,ROW()-ROW($AG$130)+1),"")</f>
        <v>0</v>
      </c>
      <c r="AH167">
        <f>IFERROR(SMALL(AH47:AH127,ROW()-ROW($AH$130)+1),"")</f>
        <v>0</v>
      </c>
      <c r="AI167">
        <f>IFERROR(SMALL(AI47:AI127,ROW()-ROW($AI$130)+1),"")</f>
        <v>0</v>
      </c>
      <c r="AJ167">
        <f>IFERROR(SMALL(AJ47:AJ127,ROW()-ROW($AJ$130)+1),"")</f>
        <v>0</v>
      </c>
      <c r="AK167">
        <f>IFERROR(SMALL(AK47:AK127,ROW()-ROW($AK$130)+1),"")</f>
        <v>0</v>
      </c>
      <c r="AL167">
        <f>IFERROR(SMALL(AL47:AL127,ROW()-ROW($AL$130)+1),"")</f>
        <v>0</v>
      </c>
      <c r="AM167">
        <f>IFERROR(SMALL(AM47:AM127,ROW()-ROW($AM$130)+1),"")</f>
        <v>0</v>
      </c>
      <c r="AN167">
        <f>IFERROR(SMALL(AN47:AN127,ROW()-ROW($AN$130)+1),"")</f>
        <v>0</v>
      </c>
      <c r="AO167">
        <f>IFERROR(SMALL(AO47:AO127,ROW()-ROW($AO$130)+1),"")</f>
        <v>0</v>
      </c>
      <c r="AP167">
        <f>IFERROR(SMALL(AP47:AP127,ROW()-ROW($AP$130)+1),"")</f>
        <v>0</v>
      </c>
      <c r="AQ167">
        <f>IFERROR(SMALL(AQ47:AQ127,ROW()-ROW($AQ$130)+1),"")</f>
        <v>0</v>
      </c>
      <c r="AR167">
        <f>IFERROR(SMALL(AR47:AR127,ROW()-ROW($AR$130)+1),"")</f>
        <v>0</v>
      </c>
      <c r="AS167">
        <f>IFERROR(SMALL(AS47:AS127,ROW()-ROW($AS$130)+1),"")</f>
        <v>0</v>
      </c>
      <c r="AT167">
        <f>IFERROR(SMALL(AT47:AT127,ROW()-ROW($AT$130)+1),"")</f>
        <v>0</v>
      </c>
      <c r="AU167">
        <f>IFERROR(SMALL(AU47:AU127,ROW()-ROW($AU$130)+1),"")</f>
        <v>0</v>
      </c>
      <c r="AV167">
        <f>IFERROR(SMALL(AV47:AV127,ROW()-ROW($AV$130)+1),"")</f>
        <v>0</v>
      </c>
      <c r="AW167">
        <f>IFERROR(SMALL(AW47:AW127,ROW()-ROW($AW$130)+1),"")</f>
        <v>0</v>
      </c>
      <c r="AX167">
        <f>IFERROR(SMALL(AX47:AX127,ROW()-ROW($AX$130)+1),"")</f>
        <v>0</v>
      </c>
      <c r="AY167">
        <f>IFERROR(SMALL(AY47:AY127,ROW()-ROW($AY$130)+1),"")</f>
        <v>0</v>
      </c>
      <c r="AZ167">
        <f>IFERROR(SMALL(AZ47:AZ127,ROW()-ROW($AZ$130)+1),"")</f>
        <v>0</v>
      </c>
      <c r="BA167">
        <f>IFERROR(SMALL(BA47:BA127,ROW()-ROW($BA$130)+1),"")</f>
        <v>0</v>
      </c>
      <c r="BB167">
        <f>IFERROR(SMALL(BB47:BB127,ROW()-ROW($BB$130)+1),"")</f>
        <v>0</v>
      </c>
      <c r="BC167">
        <f>IFERROR(SMALL(BC47:BC127,ROW()-ROW($BC$130)+1),"")</f>
        <v>0</v>
      </c>
      <c r="BD167">
        <f>IFERROR(SMALL(BD47:BD127,ROW()-ROW($BD$130)+1),"")</f>
        <v>0</v>
      </c>
      <c r="BE167">
        <f>IFERROR(SMALL(BE47:BE127,ROW()-ROW($BE$130)+1),"")</f>
        <v>0</v>
      </c>
      <c r="BF167">
        <f>IFERROR(SMALL(BF47:BF127,ROW()-ROW($BF$130)+1),"")</f>
        <v>0</v>
      </c>
      <c r="BG167">
        <f>IFERROR(SMALL(BG47:BG127,ROW()-ROW($BG$130)+1),"")</f>
        <v>0</v>
      </c>
      <c r="BH167">
        <f>IFERROR(SMALL(BH47:BH127,ROW()-ROW($BH$130)+1),"")</f>
        <v>0</v>
      </c>
      <c r="BI167">
        <f>IFERROR(SMALL(BI47:BI127,ROW()-ROW($BI$130)+1),"")</f>
        <v>0</v>
      </c>
      <c r="BJ167">
        <f>IFERROR(SMALL(BJ47:BJ127,ROW()-ROW($BJ$130)+1),"")</f>
        <v>0</v>
      </c>
      <c r="BK167">
        <f>IFERROR(SMALL(BK47:BK127,ROW()-ROW($BK$130)+1),"")</f>
        <v>0</v>
      </c>
      <c r="BL167">
        <f>IFERROR(SMALL(BL47:BL127,ROW()-ROW($BL$130)+1),"")</f>
        <v>0</v>
      </c>
      <c r="BM167">
        <f>IFERROR(SMALL(BM47:BM127,ROW()-ROW($BM$130)+1),"")</f>
        <v>0</v>
      </c>
      <c r="BN167">
        <f>IFERROR(SMALL(BN47:BN127,ROW()-ROW($BN$130)+1),"")</f>
        <v>0</v>
      </c>
      <c r="BO167">
        <f>IFERROR(SMALL(BO47:BO127,ROW()-ROW($BO$130)+1),"")</f>
        <v>0</v>
      </c>
      <c r="BP167">
        <f>IFERROR(SMALL(BP47:BP127,ROW()-ROW($BP$130)+1),"")</f>
        <v>0</v>
      </c>
      <c r="BS167">
        <f>IFERROR(SMALL(BS47:BS127,ROW()-ROW($BS$130)+1),"")</f>
        <v>0</v>
      </c>
      <c r="BT167">
        <f>IFERROR(SMALL(BT47:BT127,ROW()-ROW($BT$130)+1),"")</f>
        <v>0</v>
      </c>
      <c r="BU167">
        <f>IFERROR(SMALL(BU47:BU127,ROW()-ROW($BU$130)+1),"")</f>
        <v>0</v>
      </c>
      <c r="BV167">
        <f>IFERROR(SMALL(BV47:BV127,ROW()-ROW($BV$130)+1),"")</f>
        <v>0</v>
      </c>
      <c r="BW167">
        <f>IFERROR(SMALL(BW47:BW127,ROW()-ROW($BW$130)+1),"")</f>
        <v>0</v>
      </c>
      <c r="BX167">
        <f>IFERROR(SMALL(BX47:BX127,ROW()-ROW($BX$130)+1),"")</f>
        <v>0</v>
      </c>
      <c r="BY167">
        <f>IFERROR(SMALL(BY47:BY127,ROW()-ROW($BY$130)+1),"")</f>
        <v>0</v>
      </c>
      <c r="BZ167">
        <f>IFERROR(SMALL(BZ47:BZ127,ROW()-ROW($BZ$130)+1),"")</f>
        <v>0</v>
      </c>
      <c r="CA167">
        <f>IFERROR(SMALL(CA47:CA127,ROW()-ROW($CA$130)+1),"")</f>
        <v>0</v>
      </c>
      <c r="CB167">
        <f>IFERROR(SMALL(CB47:CB127,ROW()-ROW($CB$130)+1),"")</f>
        <v>0</v>
      </c>
      <c r="CC167">
        <f>IFERROR(SMALL(CC47:CC127,ROW()-ROW($CC$130)+1),"")</f>
        <v>0</v>
      </c>
      <c r="CD167">
        <f>IFERROR(SMALL(CD47:CD127,ROW()-ROW($CD$130)+1),"")</f>
        <v>0</v>
      </c>
      <c r="CE167">
        <f>IFERROR(SMALL(CE47:CE127,ROW()-ROW($CE$130)+1),"")</f>
        <v>0</v>
      </c>
      <c r="CF167">
        <f>IFERROR(SMALL(CF47:CF127,ROW()-ROW($CF$130)+1),"")</f>
        <v>0</v>
      </c>
      <c r="CG167">
        <f>IFERROR(SMALL(CG47:CG127,ROW()-ROW($CG$130)+1),"")</f>
        <v>0</v>
      </c>
      <c r="CH167">
        <f>IFERROR(SMALL(CH47:CH127,ROW()-ROW($CH$130)+1),"")</f>
        <v>0</v>
      </c>
      <c r="CI167">
        <f>IFERROR(SMALL(CI47:CI127,ROW()-ROW($CI$130)+1),"")</f>
        <v>0</v>
      </c>
      <c r="CJ167">
        <f>IFERROR(SMALL(CJ47:CJ127,ROW()-ROW($CJ$130)+1),"")</f>
        <v>0</v>
      </c>
      <c r="CK167">
        <f>IFERROR(SMALL(CK47:CK127,ROW()-ROW($CK$130)+1),"")</f>
        <v>0</v>
      </c>
      <c r="CL167">
        <f>IFERROR(SMALL(CL47:CL127,ROW()-ROW($CL$130)+1),"")</f>
        <v>0</v>
      </c>
      <c r="CM167">
        <f>IFERROR(SMALL(CM47:CM127,ROW()-ROW($CM$130)+1),"")</f>
        <v>0</v>
      </c>
      <c r="CN167">
        <f>IFERROR(SMALL(CN47:CN127,ROW()-ROW($CN$130)+1),"")</f>
        <v>0</v>
      </c>
      <c r="CO167">
        <f>IFERROR(SMALL(CO47:CO127,ROW()-ROW($CO$130)+1),"")</f>
        <v>0</v>
      </c>
      <c r="CP167">
        <f>IFERROR(SMALL(CP47:CP127,ROW()-ROW($CP$130)+1),"")</f>
        <v>0</v>
      </c>
      <c r="CQ167">
        <f>IFERROR(SMALL(CQ47:CQ127,ROW()-ROW($CQ$130)+1),"")</f>
        <v>0</v>
      </c>
      <c r="CR167">
        <f>IFERROR(SMALL(CR47:CR127,ROW()-ROW($CR$130)+1),"")</f>
        <v>0</v>
      </c>
      <c r="CS167">
        <f>IFERROR(SMALL(CS47:CS127,ROW()-ROW($CS$130)+1),"")</f>
        <v>0</v>
      </c>
      <c r="CT167">
        <f>IFERROR(SMALL(CT47:CT127,ROW()-ROW($CT$130)+1),"")</f>
        <v>0</v>
      </c>
      <c r="CU167">
        <f>IFERROR(SMALL(CU47:CU127,ROW()-ROW($CU$130)+1),"")</f>
        <v>0</v>
      </c>
      <c r="CV167">
        <f>IFERROR(SMALL(CV47:CV127,ROW()-ROW($CV$130)+1),"")</f>
        <v>0</v>
      </c>
      <c r="CW167">
        <f>IFERROR(SMALL(CW47:CW127,ROW()-ROW($CW$130)+1),"")</f>
        <v>0</v>
      </c>
      <c r="CX167">
        <f>IFERROR(SMALL(CX47:CX127,ROW()-ROW($CX$130)+1),"")</f>
        <v>0</v>
      </c>
      <c r="CY167">
        <f>IFERROR(SMALL(CY47:CY127,ROW()-ROW($CY$130)+1),"")</f>
        <v>0</v>
      </c>
      <c r="CZ167">
        <f>IFERROR(SMALL(CZ47:CZ127,ROW()-ROW($CZ$130)+1),"")</f>
        <v>0</v>
      </c>
      <c r="DA167">
        <f>IFERROR(SMALL(DA47:DA127,ROW()-ROW($DA$130)+1),"")</f>
        <v>0</v>
      </c>
      <c r="DB167">
        <f>IFERROR(SMALL(DB47:DB127,ROW()-ROW($DB$130)+1),"")</f>
        <v>0</v>
      </c>
      <c r="DC167">
        <f>IFERROR(SMALL(DC47:DC127,ROW()-ROW($DC$130)+1),"")</f>
        <v>0</v>
      </c>
      <c r="DD167">
        <f>IFERROR(SMALL(DD47:DD127,ROW()-ROW($DD$130)+1),"")</f>
        <v>0</v>
      </c>
      <c r="DE167">
        <f>IFERROR(SMALL(DE47:DE127,ROW()-ROW($DE$130)+1),"")</f>
        <v>0</v>
      </c>
      <c r="DF167">
        <f>IFERROR(SMALL(DF47:DF127,ROW()-ROW($DF$130)+1),"")</f>
        <v>0</v>
      </c>
      <c r="DG167">
        <f>IFERROR(SMALL(DG47:DG127,ROW()-ROW($DG$130)+1),"")</f>
        <v>0</v>
      </c>
      <c r="DH167">
        <f>IFERROR(SMALL(DH47:DH127,ROW()-ROW($DH$130)+1),"")</f>
        <v>0</v>
      </c>
      <c r="DI167">
        <f>IFERROR(SMALL(DI47:DI127,ROW()-ROW($DI$130)+1),"")</f>
        <v>0</v>
      </c>
      <c r="DJ167">
        <f>IFERROR(SMALL(DJ47:DJ127,ROW()-ROW($DJ$130)+1),"")</f>
        <v>0</v>
      </c>
      <c r="DK167">
        <f>IFERROR(SMALL(DK47:DK127,ROW()-ROW($DK$130)+1),"")</f>
        <v>0</v>
      </c>
      <c r="DL167">
        <f>IFERROR(SMALL(DL47:DL127,ROW()-ROW($DL$130)+1),"")</f>
        <v>0</v>
      </c>
      <c r="DM167">
        <f>IFERROR(SMALL(DM47:DM127,ROW()-ROW($DM$130)+1),"")</f>
        <v>0</v>
      </c>
      <c r="DN167">
        <f>IFERROR(SMALL(DN47:DN127,ROW()-ROW($DN$130)+1),"")</f>
        <v>0</v>
      </c>
      <c r="DO167">
        <f>IFERROR(SMALL(DO47:DO127,ROW()-ROW($DO$130)+1),"")</f>
        <v>0</v>
      </c>
      <c r="DP167">
        <f>IFERROR(SMALL(DP47:DP127,ROW()-ROW($DP$130)+1),"")</f>
        <v>0</v>
      </c>
      <c r="DQ167">
        <f>IFERROR(SMALL(DQ47:DQ127,ROW()-ROW($DQ$130)+1),"")</f>
        <v>0</v>
      </c>
      <c r="DR167">
        <f>IFERROR(SMALL(DR47:DR127,ROW()-ROW($DR$130)+1),"")</f>
        <v>0</v>
      </c>
      <c r="DS167">
        <f>IFERROR(SMALL(DS47:DS127,ROW()-ROW($DS$130)+1),"")</f>
        <v>0</v>
      </c>
      <c r="DT167">
        <f>IFERROR(SMALL(DT47:DT127,ROW()-ROW($DT$130)+1),"")</f>
        <v>0</v>
      </c>
      <c r="DU167">
        <f>IFERROR(SMALL(DU47:DU127,ROW()-ROW($DU$130)+1),"")</f>
        <v>0</v>
      </c>
      <c r="DV167">
        <f>IFERROR(SMALL(DV47:DV127,ROW()-ROW($DV$130)+1),"")</f>
        <v>0</v>
      </c>
      <c r="DW167">
        <f>IFERROR(SMALL(DW47:DW127,ROW()-ROW($DW$130)+1),"")</f>
        <v>0</v>
      </c>
      <c r="DX167">
        <f>IFERROR(SMALL(DX47:DX127,ROW()-ROW($DX$130)+1),"")</f>
        <v>0</v>
      </c>
      <c r="DY167">
        <f>IFERROR(SMALL(DY47:DY127,ROW()-ROW($DY$130)+1),"")</f>
        <v>0</v>
      </c>
      <c r="DZ167">
        <f>IFERROR(SMALL(DZ47:DZ127,ROW()-ROW($DZ$130)+1),"")</f>
        <v>0</v>
      </c>
      <c r="EA167">
        <f>IFERROR(SMALL(EA47:EA127,ROW()-ROW($EA$130)+1),"")</f>
        <v>0</v>
      </c>
      <c r="EB167">
        <f>IFERROR(SMALL(EB47:EB127,ROW()-ROW($EB$130)+1),"")</f>
        <v>0</v>
      </c>
      <c r="EC167">
        <f>IFERROR(SMALL(EC47:EC127,ROW()-ROW($EC$130)+1),"")</f>
        <v>0</v>
      </c>
      <c r="ED167">
        <f>IFERROR(SMALL(ED47:ED127,ROW()-ROW($ED$130)+1),"")</f>
        <v>0</v>
      </c>
    </row>
    <row r="168" spans="5:134">
      <c r="E168">
        <f>IFERROR(SMALL(E47:E127,ROW()-ROW($E$130)+1),"")</f>
        <v>0</v>
      </c>
      <c r="F168">
        <f>IFERROR(SMALL(F47:F127,ROW()-ROW($F$130)+1),"")</f>
        <v>0</v>
      </c>
      <c r="G168">
        <f>IFERROR(SMALL(G47:G127,ROW()-ROW($G$130)+1),"")</f>
        <v>0</v>
      </c>
      <c r="H168">
        <f>IFERROR(SMALL(H47:H127,ROW()-ROW($H$130)+1),"")</f>
        <v>0</v>
      </c>
      <c r="I168">
        <f>IFERROR(SMALL(I47:I127,ROW()-ROW($I$130)+1),"")</f>
        <v>0</v>
      </c>
      <c r="J168">
        <f>IFERROR(SMALL(J47:J127,ROW()-ROW($J$130)+1),"")</f>
        <v>0</v>
      </c>
      <c r="K168">
        <f>IFERROR(SMALL(K47:K127,ROW()-ROW($K$130)+1),"")</f>
        <v>0</v>
      </c>
      <c r="L168">
        <f>IFERROR(SMALL(L47:L127,ROW()-ROW($L$130)+1),"")</f>
        <v>0</v>
      </c>
      <c r="M168">
        <f>IFERROR(SMALL(M47:M127,ROW()-ROW($M$130)+1),"")</f>
        <v>0</v>
      </c>
      <c r="N168">
        <f>IFERROR(SMALL(N47:N127,ROW()-ROW($N$130)+1),"")</f>
        <v>0</v>
      </c>
      <c r="O168">
        <f>IFERROR(SMALL(O47:O127,ROW()-ROW($O$130)+1),"")</f>
        <v>0</v>
      </c>
      <c r="P168">
        <f>IFERROR(SMALL(P47:P127,ROW()-ROW($P$130)+1),"")</f>
        <v>0</v>
      </c>
      <c r="Q168">
        <f>IFERROR(SMALL(Q47:Q127,ROW()-ROW($Q$130)+1),"")</f>
        <v>0</v>
      </c>
      <c r="R168">
        <f>IFERROR(SMALL(R47:R127,ROW()-ROW($R$130)+1),"")</f>
        <v>0</v>
      </c>
      <c r="S168">
        <f>IFERROR(SMALL(S47:S127,ROW()-ROW($S$130)+1),"")</f>
        <v>0</v>
      </c>
      <c r="T168">
        <f>IFERROR(SMALL(T47:T127,ROW()-ROW($T$130)+1),"")</f>
        <v>0</v>
      </c>
      <c r="U168">
        <f>IFERROR(SMALL(U47:U127,ROW()-ROW($U$130)+1),"")</f>
        <v>0</v>
      </c>
      <c r="V168">
        <f>IFERROR(SMALL(V47:V127,ROW()-ROW($V$130)+1),"")</f>
        <v>0</v>
      </c>
      <c r="W168">
        <f>IFERROR(SMALL(W47:W127,ROW()-ROW($W$130)+1),"")</f>
        <v>0</v>
      </c>
      <c r="X168">
        <f>IFERROR(SMALL(X47:X127,ROW()-ROW($X$130)+1),"")</f>
        <v>0</v>
      </c>
      <c r="Y168">
        <f>IFERROR(SMALL(Y47:Y127,ROW()-ROW($Y$130)+1),"")</f>
        <v>0</v>
      </c>
      <c r="Z168">
        <f>IFERROR(SMALL(Z47:Z127,ROW()-ROW($Z$130)+1),"")</f>
        <v>0</v>
      </c>
      <c r="AA168">
        <f>IFERROR(SMALL(AA47:AA127,ROW()-ROW($AA$130)+1),"")</f>
        <v>0</v>
      </c>
      <c r="AB168">
        <f>IFERROR(SMALL(AB47:AB127,ROW()-ROW($AB$130)+1),"")</f>
        <v>0</v>
      </c>
      <c r="AC168">
        <f>IFERROR(SMALL(AC47:AC127,ROW()-ROW($AC$130)+1),"")</f>
        <v>0</v>
      </c>
      <c r="AD168">
        <f>IFERROR(SMALL(AD47:AD127,ROW()-ROW($AD$130)+1),"")</f>
        <v>0</v>
      </c>
      <c r="AE168">
        <f>IFERROR(SMALL(AE47:AE127,ROW()-ROW($AE$130)+1),"")</f>
        <v>0</v>
      </c>
      <c r="AF168">
        <f>IFERROR(SMALL(AF47:AF127,ROW()-ROW($AF$130)+1),"")</f>
        <v>0</v>
      </c>
      <c r="AG168">
        <f>IFERROR(SMALL(AG47:AG127,ROW()-ROW($AG$130)+1),"")</f>
        <v>0</v>
      </c>
      <c r="AH168">
        <f>IFERROR(SMALL(AH47:AH127,ROW()-ROW($AH$130)+1),"")</f>
        <v>0</v>
      </c>
      <c r="AI168">
        <f>IFERROR(SMALL(AI47:AI127,ROW()-ROW($AI$130)+1),"")</f>
        <v>0</v>
      </c>
      <c r="AJ168">
        <f>IFERROR(SMALL(AJ47:AJ127,ROW()-ROW($AJ$130)+1),"")</f>
        <v>0</v>
      </c>
      <c r="AK168">
        <f>IFERROR(SMALL(AK47:AK127,ROW()-ROW($AK$130)+1),"")</f>
        <v>0</v>
      </c>
      <c r="AL168">
        <f>IFERROR(SMALL(AL47:AL127,ROW()-ROW($AL$130)+1),"")</f>
        <v>0</v>
      </c>
      <c r="AM168">
        <f>IFERROR(SMALL(AM47:AM127,ROW()-ROW($AM$130)+1),"")</f>
        <v>0</v>
      </c>
      <c r="AN168">
        <f>IFERROR(SMALL(AN47:AN127,ROW()-ROW($AN$130)+1),"")</f>
        <v>0</v>
      </c>
      <c r="AO168">
        <f>IFERROR(SMALL(AO47:AO127,ROW()-ROW($AO$130)+1),"")</f>
        <v>0</v>
      </c>
      <c r="AP168">
        <f>IFERROR(SMALL(AP47:AP127,ROW()-ROW($AP$130)+1),"")</f>
        <v>0</v>
      </c>
      <c r="AQ168">
        <f>IFERROR(SMALL(AQ47:AQ127,ROW()-ROW($AQ$130)+1),"")</f>
        <v>0</v>
      </c>
      <c r="AR168">
        <f>IFERROR(SMALL(AR47:AR127,ROW()-ROW($AR$130)+1),"")</f>
        <v>0</v>
      </c>
      <c r="AS168">
        <f>IFERROR(SMALL(AS47:AS127,ROW()-ROW($AS$130)+1),"")</f>
        <v>0</v>
      </c>
      <c r="AT168">
        <f>IFERROR(SMALL(AT47:AT127,ROW()-ROW($AT$130)+1),"")</f>
        <v>0</v>
      </c>
      <c r="AU168">
        <f>IFERROR(SMALL(AU47:AU127,ROW()-ROW($AU$130)+1),"")</f>
        <v>0</v>
      </c>
      <c r="AV168">
        <f>IFERROR(SMALL(AV47:AV127,ROW()-ROW($AV$130)+1),"")</f>
        <v>0</v>
      </c>
      <c r="AW168">
        <f>IFERROR(SMALL(AW47:AW127,ROW()-ROW($AW$130)+1),"")</f>
        <v>0</v>
      </c>
      <c r="AX168">
        <f>IFERROR(SMALL(AX47:AX127,ROW()-ROW($AX$130)+1),"")</f>
        <v>0</v>
      </c>
      <c r="AY168">
        <f>IFERROR(SMALL(AY47:AY127,ROW()-ROW($AY$130)+1),"")</f>
        <v>0</v>
      </c>
      <c r="AZ168">
        <f>IFERROR(SMALL(AZ47:AZ127,ROW()-ROW($AZ$130)+1),"")</f>
        <v>0</v>
      </c>
      <c r="BA168">
        <f>IFERROR(SMALL(BA47:BA127,ROW()-ROW($BA$130)+1),"")</f>
        <v>0</v>
      </c>
      <c r="BB168">
        <f>IFERROR(SMALL(BB47:BB127,ROW()-ROW($BB$130)+1),"")</f>
        <v>0</v>
      </c>
      <c r="BC168">
        <f>IFERROR(SMALL(BC47:BC127,ROW()-ROW($BC$130)+1),"")</f>
        <v>0</v>
      </c>
      <c r="BD168">
        <f>IFERROR(SMALL(BD47:BD127,ROW()-ROW($BD$130)+1),"")</f>
        <v>0</v>
      </c>
      <c r="BE168">
        <f>IFERROR(SMALL(BE47:BE127,ROW()-ROW($BE$130)+1),"")</f>
        <v>0</v>
      </c>
      <c r="BF168">
        <f>IFERROR(SMALL(BF47:BF127,ROW()-ROW($BF$130)+1),"")</f>
        <v>0</v>
      </c>
      <c r="BG168">
        <f>IFERROR(SMALL(BG47:BG127,ROW()-ROW($BG$130)+1),"")</f>
        <v>0</v>
      </c>
      <c r="BH168">
        <f>IFERROR(SMALL(BH47:BH127,ROW()-ROW($BH$130)+1),"")</f>
        <v>0</v>
      </c>
      <c r="BI168">
        <f>IFERROR(SMALL(BI47:BI127,ROW()-ROW($BI$130)+1),"")</f>
        <v>0</v>
      </c>
      <c r="BJ168">
        <f>IFERROR(SMALL(BJ47:BJ127,ROW()-ROW($BJ$130)+1),"")</f>
        <v>0</v>
      </c>
      <c r="BK168">
        <f>IFERROR(SMALL(BK47:BK127,ROW()-ROW($BK$130)+1),"")</f>
        <v>0</v>
      </c>
      <c r="BL168">
        <f>IFERROR(SMALL(BL47:BL127,ROW()-ROW($BL$130)+1),"")</f>
        <v>0</v>
      </c>
      <c r="BM168">
        <f>IFERROR(SMALL(BM47:BM127,ROW()-ROW($BM$130)+1),"")</f>
        <v>0</v>
      </c>
      <c r="BN168">
        <f>IFERROR(SMALL(BN47:BN127,ROW()-ROW($BN$130)+1),"")</f>
        <v>0</v>
      </c>
      <c r="BO168">
        <f>IFERROR(SMALL(BO47:BO127,ROW()-ROW($BO$130)+1),"")</f>
        <v>0</v>
      </c>
      <c r="BP168">
        <f>IFERROR(SMALL(BP47:BP127,ROW()-ROW($BP$130)+1),"")</f>
        <v>0</v>
      </c>
      <c r="BS168">
        <f>IFERROR(SMALL(BS47:BS127,ROW()-ROW($BS$130)+1),"")</f>
        <v>0</v>
      </c>
      <c r="BT168">
        <f>IFERROR(SMALL(BT47:BT127,ROW()-ROW($BT$130)+1),"")</f>
        <v>0</v>
      </c>
      <c r="BU168">
        <f>IFERROR(SMALL(BU47:BU127,ROW()-ROW($BU$130)+1),"")</f>
        <v>0</v>
      </c>
      <c r="BV168">
        <f>IFERROR(SMALL(BV47:BV127,ROW()-ROW($BV$130)+1),"")</f>
        <v>0</v>
      </c>
      <c r="BW168">
        <f>IFERROR(SMALL(BW47:BW127,ROW()-ROW($BW$130)+1),"")</f>
        <v>0</v>
      </c>
      <c r="BX168">
        <f>IFERROR(SMALL(BX47:BX127,ROW()-ROW($BX$130)+1),"")</f>
        <v>0</v>
      </c>
      <c r="BY168">
        <f>IFERROR(SMALL(BY47:BY127,ROW()-ROW($BY$130)+1),"")</f>
        <v>0</v>
      </c>
      <c r="BZ168">
        <f>IFERROR(SMALL(BZ47:BZ127,ROW()-ROW($BZ$130)+1),"")</f>
        <v>0</v>
      </c>
      <c r="CA168">
        <f>IFERROR(SMALL(CA47:CA127,ROW()-ROW($CA$130)+1),"")</f>
        <v>0</v>
      </c>
      <c r="CB168">
        <f>IFERROR(SMALL(CB47:CB127,ROW()-ROW($CB$130)+1),"")</f>
        <v>0</v>
      </c>
      <c r="CC168">
        <f>IFERROR(SMALL(CC47:CC127,ROW()-ROW($CC$130)+1),"")</f>
        <v>0</v>
      </c>
      <c r="CD168">
        <f>IFERROR(SMALL(CD47:CD127,ROW()-ROW($CD$130)+1),"")</f>
        <v>0</v>
      </c>
      <c r="CE168">
        <f>IFERROR(SMALL(CE47:CE127,ROW()-ROW($CE$130)+1),"")</f>
        <v>0</v>
      </c>
      <c r="CF168">
        <f>IFERROR(SMALL(CF47:CF127,ROW()-ROW($CF$130)+1),"")</f>
        <v>0</v>
      </c>
      <c r="CG168">
        <f>IFERROR(SMALL(CG47:CG127,ROW()-ROW($CG$130)+1),"")</f>
        <v>0</v>
      </c>
      <c r="CH168">
        <f>IFERROR(SMALL(CH47:CH127,ROW()-ROW($CH$130)+1),"")</f>
        <v>0</v>
      </c>
      <c r="CI168">
        <f>IFERROR(SMALL(CI47:CI127,ROW()-ROW($CI$130)+1),"")</f>
        <v>0</v>
      </c>
      <c r="CJ168">
        <f>IFERROR(SMALL(CJ47:CJ127,ROW()-ROW($CJ$130)+1),"")</f>
        <v>0</v>
      </c>
      <c r="CK168">
        <f>IFERROR(SMALL(CK47:CK127,ROW()-ROW($CK$130)+1),"")</f>
        <v>0</v>
      </c>
      <c r="CL168">
        <f>IFERROR(SMALL(CL47:CL127,ROW()-ROW($CL$130)+1),"")</f>
        <v>0</v>
      </c>
      <c r="CM168">
        <f>IFERROR(SMALL(CM47:CM127,ROW()-ROW($CM$130)+1),"")</f>
        <v>0</v>
      </c>
      <c r="CN168">
        <f>IFERROR(SMALL(CN47:CN127,ROW()-ROW($CN$130)+1),"")</f>
        <v>0</v>
      </c>
      <c r="CO168">
        <f>IFERROR(SMALL(CO47:CO127,ROW()-ROW($CO$130)+1),"")</f>
        <v>0</v>
      </c>
      <c r="CP168">
        <f>IFERROR(SMALL(CP47:CP127,ROW()-ROW($CP$130)+1),"")</f>
        <v>0</v>
      </c>
      <c r="CQ168">
        <f>IFERROR(SMALL(CQ47:CQ127,ROW()-ROW($CQ$130)+1),"")</f>
        <v>0</v>
      </c>
      <c r="CR168">
        <f>IFERROR(SMALL(CR47:CR127,ROW()-ROW($CR$130)+1),"")</f>
        <v>0</v>
      </c>
      <c r="CS168">
        <f>IFERROR(SMALL(CS47:CS127,ROW()-ROW($CS$130)+1),"")</f>
        <v>0</v>
      </c>
      <c r="CT168">
        <f>IFERROR(SMALL(CT47:CT127,ROW()-ROW($CT$130)+1),"")</f>
        <v>0</v>
      </c>
      <c r="CU168">
        <f>IFERROR(SMALL(CU47:CU127,ROW()-ROW($CU$130)+1),"")</f>
        <v>0</v>
      </c>
      <c r="CV168">
        <f>IFERROR(SMALL(CV47:CV127,ROW()-ROW($CV$130)+1),"")</f>
        <v>0</v>
      </c>
      <c r="CW168">
        <f>IFERROR(SMALL(CW47:CW127,ROW()-ROW($CW$130)+1),"")</f>
        <v>0</v>
      </c>
      <c r="CX168">
        <f>IFERROR(SMALL(CX47:CX127,ROW()-ROW($CX$130)+1),"")</f>
        <v>0</v>
      </c>
      <c r="CY168">
        <f>IFERROR(SMALL(CY47:CY127,ROW()-ROW($CY$130)+1),"")</f>
        <v>0</v>
      </c>
      <c r="CZ168">
        <f>IFERROR(SMALL(CZ47:CZ127,ROW()-ROW($CZ$130)+1),"")</f>
        <v>0</v>
      </c>
      <c r="DA168">
        <f>IFERROR(SMALL(DA47:DA127,ROW()-ROW($DA$130)+1),"")</f>
        <v>0</v>
      </c>
      <c r="DB168">
        <f>IFERROR(SMALL(DB47:DB127,ROW()-ROW($DB$130)+1),"")</f>
        <v>0</v>
      </c>
      <c r="DC168">
        <f>IFERROR(SMALL(DC47:DC127,ROW()-ROW($DC$130)+1),"")</f>
        <v>0</v>
      </c>
      <c r="DD168">
        <f>IFERROR(SMALL(DD47:DD127,ROW()-ROW($DD$130)+1),"")</f>
        <v>0</v>
      </c>
      <c r="DE168">
        <f>IFERROR(SMALL(DE47:DE127,ROW()-ROW($DE$130)+1),"")</f>
        <v>0</v>
      </c>
      <c r="DF168">
        <f>IFERROR(SMALL(DF47:DF127,ROW()-ROW($DF$130)+1),"")</f>
        <v>0</v>
      </c>
      <c r="DG168">
        <f>IFERROR(SMALL(DG47:DG127,ROW()-ROW($DG$130)+1),"")</f>
        <v>0</v>
      </c>
      <c r="DH168">
        <f>IFERROR(SMALL(DH47:DH127,ROW()-ROW($DH$130)+1),"")</f>
        <v>0</v>
      </c>
      <c r="DI168">
        <f>IFERROR(SMALL(DI47:DI127,ROW()-ROW($DI$130)+1),"")</f>
        <v>0</v>
      </c>
      <c r="DJ168">
        <f>IFERROR(SMALL(DJ47:DJ127,ROW()-ROW($DJ$130)+1),"")</f>
        <v>0</v>
      </c>
      <c r="DK168">
        <f>IFERROR(SMALL(DK47:DK127,ROW()-ROW($DK$130)+1),"")</f>
        <v>0</v>
      </c>
      <c r="DL168">
        <f>IFERROR(SMALL(DL47:DL127,ROW()-ROW($DL$130)+1),"")</f>
        <v>0</v>
      </c>
      <c r="DM168">
        <f>IFERROR(SMALL(DM47:DM127,ROW()-ROW($DM$130)+1),"")</f>
        <v>0</v>
      </c>
      <c r="DN168">
        <f>IFERROR(SMALL(DN47:DN127,ROW()-ROW($DN$130)+1),"")</f>
        <v>0</v>
      </c>
      <c r="DO168">
        <f>IFERROR(SMALL(DO47:DO127,ROW()-ROW($DO$130)+1),"")</f>
        <v>0</v>
      </c>
      <c r="DP168">
        <f>IFERROR(SMALL(DP47:DP127,ROW()-ROW($DP$130)+1),"")</f>
        <v>0</v>
      </c>
      <c r="DQ168">
        <f>IFERROR(SMALL(DQ47:DQ127,ROW()-ROW($DQ$130)+1),"")</f>
        <v>0</v>
      </c>
      <c r="DR168">
        <f>IFERROR(SMALL(DR47:DR127,ROW()-ROW($DR$130)+1),"")</f>
        <v>0</v>
      </c>
      <c r="DS168">
        <f>IFERROR(SMALL(DS47:DS127,ROW()-ROW($DS$130)+1),"")</f>
        <v>0</v>
      </c>
      <c r="DT168">
        <f>IFERROR(SMALL(DT47:DT127,ROW()-ROW($DT$130)+1),"")</f>
        <v>0</v>
      </c>
      <c r="DU168">
        <f>IFERROR(SMALL(DU47:DU127,ROW()-ROW($DU$130)+1),"")</f>
        <v>0</v>
      </c>
      <c r="DV168">
        <f>IFERROR(SMALL(DV47:DV127,ROW()-ROW($DV$130)+1),"")</f>
        <v>0</v>
      </c>
      <c r="DW168">
        <f>IFERROR(SMALL(DW47:DW127,ROW()-ROW($DW$130)+1),"")</f>
        <v>0</v>
      </c>
      <c r="DX168">
        <f>IFERROR(SMALL(DX47:DX127,ROW()-ROW($DX$130)+1),"")</f>
        <v>0</v>
      </c>
      <c r="DY168">
        <f>IFERROR(SMALL(DY47:DY127,ROW()-ROW($DY$130)+1),"")</f>
        <v>0</v>
      </c>
      <c r="DZ168">
        <f>IFERROR(SMALL(DZ47:DZ127,ROW()-ROW($DZ$130)+1),"")</f>
        <v>0</v>
      </c>
      <c r="EA168">
        <f>IFERROR(SMALL(EA47:EA127,ROW()-ROW($EA$130)+1),"")</f>
        <v>0</v>
      </c>
      <c r="EB168">
        <f>IFERROR(SMALL(EB47:EB127,ROW()-ROW($EB$130)+1),"")</f>
        <v>0</v>
      </c>
      <c r="EC168">
        <f>IFERROR(SMALL(EC47:EC127,ROW()-ROW($EC$130)+1),"")</f>
        <v>0</v>
      </c>
      <c r="ED168">
        <f>IFERROR(SMALL(ED47:ED127,ROW()-ROW($ED$130)+1),"")</f>
        <v>0</v>
      </c>
    </row>
    <row r="169" spans="5:134">
      <c r="E169">
        <f>IFERROR(SMALL(E47:E127,ROW()-ROW($E$130)+1),"")</f>
        <v>0</v>
      </c>
      <c r="F169">
        <f>IFERROR(SMALL(F47:F127,ROW()-ROW($F$130)+1),"")</f>
        <v>0</v>
      </c>
      <c r="G169">
        <f>IFERROR(SMALL(G47:G127,ROW()-ROW($G$130)+1),"")</f>
        <v>0</v>
      </c>
      <c r="H169">
        <f>IFERROR(SMALL(H47:H127,ROW()-ROW($H$130)+1),"")</f>
        <v>0</v>
      </c>
      <c r="I169">
        <f>IFERROR(SMALL(I47:I127,ROW()-ROW($I$130)+1),"")</f>
        <v>0</v>
      </c>
      <c r="J169">
        <f>IFERROR(SMALL(J47:J127,ROW()-ROW($J$130)+1),"")</f>
        <v>0</v>
      </c>
      <c r="K169">
        <f>IFERROR(SMALL(K47:K127,ROW()-ROW($K$130)+1),"")</f>
        <v>0</v>
      </c>
      <c r="L169">
        <f>IFERROR(SMALL(L47:L127,ROW()-ROW($L$130)+1),"")</f>
        <v>0</v>
      </c>
      <c r="M169">
        <f>IFERROR(SMALL(M47:M127,ROW()-ROW($M$130)+1),"")</f>
        <v>0</v>
      </c>
      <c r="N169">
        <f>IFERROR(SMALL(N47:N127,ROW()-ROW($N$130)+1),"")</f>
        <v>0</v>
      </c>
      <c r="O169">
        <f>IFERROR(SMALL(O47:O127,ROW()-ROW($O$130)+1),"")</f>
        <v>0</v>
      </c>
      <c r="P169">
        <f>IFERROR(SMALL(P47:P127,ROW()-ROW($P$130)+1),"")</f>
        <v>0</v>
      </c>
      <c r="Q169">
        <f>IFERROR(SMALL(Q47:Q127,ROW()-ROW($Q$130)+1),"")</f>
        <v>0</v>
      </c>
      <c r="R169">
        <f>IFERROR(SMALL(R47:R127,ROW()-ROW($R$130)+1),"")</f>
        <v>0</v>
      </c>
      <c r="S169">
        <f>IFERROR(SMALL(S47:S127,ROW()-ROW($S$130)+1),"")</f>
        <v>0</v>
      </c>
      <c r="T169">
        <f>IFERROR(SMALL(T47:T127,ROW()-ROW($T$130)+1),"")</f>
        <v>0</v>
      </c>
      <c r="U169">
        <f>IFERROR(SMALL(U47:U127,ROW()-ROW($U$130)+1),"")</f>
        <v>0</v>
      </c>
      <c r="V169">
        <f>IFERROR(SMALL(V47:V127,ROW()-ROW($V$130)+1),"")</f>
        <v>0</v>
      </c>
      <c r="W169">
        <f>IFERROR(SMALL(W47:W127,ROW()-ROW($W$130)+1),"")</f>
        <v>0</v>
      </c>
      <c r="X169">
        <f>IFERROR(SMALL(X47:X127,ROW()-ROW($X$130)+1),"")</f>
        <v>0</v>
      </c>
      <c r="Y169">
        <f>IFERROR(SMALL(Y47:Y127,ROW()-ROW($Y$130)+1),"")</f>
        <v>0</v>
      </c>
      <c r="Z169">
        <f>IFERROR(SMALL(Z47:Z127,ROW()-ROW($Z$130)+1),"")</f>
        <v>0</v>
      </c>
      <c r="AA169">
        <f>IFERROR(SMALL(AA47:AA127,ROW()-ROW($AA$130)+1),"")</f>
        <v>0</v>
      </c>
      <c r="AB169">
        <f>IFERROR(SMALL(AB47:AB127,ROW()-ROW($AB$130)+1),"")</f>
        <v>0</v>
      </c>
      <c r="AC169">
        <f>IFERROR(SMALL(AC47:AC127,ROW()-ROW($AC$130)+1),"")</f>
        <v>0</v>
      </c>
      <c r="AD169">
        <f>IFERROR(SMALL(AD47:AD127,ROW()-ROW($AD$130)+1),"")</f>
        <v>0</v>
      </c>
      <c r="AE169">
        <f>IFERROR(SMALL(AE47:AE127,ROW()-ROW($AE$130)+1),"")</f>
        <v>0</v>
      </c>
      <c r="AF169">
        <f>IFERROR(SMALL(AF47:AF127,ROW()-ROW($AF$130)+1),"")</f>
        <v>0</v>
      </c>
      <c r="AG169">
        <f>IFERROR(SMALL(AG47:AG127,ROW()-ROW($AG$130)+1),"")</f>
        <v>0</v>
      </c>
      <c r="AH169">
        <f>IFERROR(SMALL(AH47:AH127,ROW()-ROW($AH$130)+1),"")</f>
        <v>0</v>
      </c>
      <c r="AI169">
        <f>IFERROR(SMALL(AI47:AI127,ROW()-ROW($AI$130)+1),"")</f>
        <v>0</v>
      </c>
      <c r="AJ169">
        <f>IFERROR(SMALL(AJ47:AJ127,ROW()-ROW($AJ$130)+1),"")</f>
        <v>0</v>
      </c>
      <c r="AK169">
        <f>IFERROR(SMALL(AK47:AK127,ROW()-ROW($AK$130)+1),"")</f>
        <v>0</v>
      </c>
      <c r="AL169">
        <f>IFERROR(SMALL(AL47:AL127,ROW()-ROW($AL$130)+1),"")</f>
        <v>0</v>
      </c>
      <c r="AM169">
        <f>IFERROR(SMALL(AM47:AM127,ROW()-ROW($AM$130)+1),"")</f>
        <v>0</v>
      </c>
      <c r="AN169">
        <f>IFERROR(SMALL(AN47:AN127,ROW()-ROW($AN$130)+1),"")</f>
        <v>0</v>
      </c>
      <c r="AO169">
        <f>IFERROR(SMALL(AO47:AO127,ROW()-ROW($AO$130)+1),"")</f>
        <v>0</v>
      </c>
      <c r="AP169">
        <f>IFERROR(SMALL(AP47:AP127,ROW()-ROW($AP$130)+1),"")</f>
        <v>0</v>
      </c>
      <c r="AQ169">
        <f>IFERROR(SMALL(AQ47:AQ127,ROW()-ROW($AQ$130)+1),"")</f>
        <v>0</v>
      </c>
      <c r="AR169">
        <f>IFERROR(SMALL(AR47:AR127,ROW()-ROW($AR$130)+1),"")</f>
        <v>0</v>
      </c>
      <c r="AS169">
        <f>IFERROR(SMALL(AS47:AS127,ROW()-ROW($AS$130)+1),"")</f>
        <v>0</v>
      </c>
      <c r="AT169">
        <f>IFERROR(SMALL(AT47:AT127,ROW()-ROW($AT$130)+1),"")</f>
        <v>0</v>
      </c>
      <c r="AU169">
        <f>IFERROR(SMALL(AU47:AU127,ROW()-ROW($AU$130)+1),"")</f>
        <v>0</v>
      </c>
      <c r="AV169">
        <f>IFERROR(SMALL(AV47:AV127,ROW()-ROW($AV$130)+1),"")</f>
        <v>0</v>
      </c>
      <c r="AW169">
        <f>IFERROR(SMALL(AW47:AW127,ROW()-ROW($AW$130)+1),"")</f>
        <v>0</v>
      </c>
      <c r="AX169">
        <f>IFERROR(SMALL(AX47:AX127,ROW()-ROW($AX$130)+1),"")</f>
        <v>0</v>
      </c>
      <c r="AY169">
        <f>IFERROR(SMALL(AY47:AY127,ROW()-ROW($AY$130)+1),"")</f>
        <v>0</v>
      </c>
      <c r="AZ169">
        <f>IFERROR(SMALL(AZ47:AZ127,ROW()-ROW($AZ$130)+1),"")</f>
        <v>0</v>
      </c>
      <c r="BA169">
        <f>IFERROR(SMALL(BA47:BA127,ROW()-ROW($BA$130)+1),"")</f>
        <v>0</v>
      </c>
      <c r="BB169">
        <f>IFERROR(SMALL(BB47:BB127,ROW()-ROW($BB$130)+1),"")</f>
        <v>0</v>
      </c>
      <c r="BC169">
        <f>IFERROR(SMALL(BC47:BC127,ROW()-ROW($BC$130)+1),"")</f>
        <v>0</v>
      </c>
      <c r="BD169">
        <f>IFERROR(SMALL(BD47:BD127,ROW()-ROW($BD$130)+1),"")</f>
        <v>0</v>
      </c>
      <c r="BE169">
        <f>IFERROR(SMALL(BE47:BE127,ROW()-ROW($BE$130)+1),"")</f>
        <v>0</v>
      </c>
      <c r="BF169">
        <f>IFERROR(SMALL(BF47:BF127,ROW()-ROW($BF$130)+1),"")</f>
        <v>0</v>
      </c>
      <c r="BG169">
        <f>IFERROR(SMALL(BG47:BG127,ROW()-ROW($BG$130)+1),"")</f>
        <v>0</v>
      </c>
      <c r="BH169">
        <f>IFERROR(SMALL(BH47:BH127,ROW()-ROW($BH$130)+1),"")</f>
        <v>0</v>
      </c>
      <c r="BI169">
        <f>IFERROR(SMALL(BI47:BI127,ROW()-ROW($BI$130)+1),"")</f>
        <v>0</v>
      </c>
      <c r="BJ169">
        <f>IFERROR(SMALL(BJ47:BJ127,ROW()-ROW($BJ$130)+1),"")</f>
        <v>0</v>
      </c>
      <c r="BK169">
        <f>IFERROR(SMALL(BK47:BK127,ROW()-ROW($BK$130)+1),"")</f>
        <v>0</v>
      </c>
      <c r="BL169">
        <f>IFERROR(SMALL(BL47:BL127,ROW()-ROW($BL$130)+1),"")</f>
        <v>0</v>
      </c>
      <c r="BM169">
        <f>IFERROR(SMALL(BM47:BM127,ROW()-ROW($BM$130)+1),"")</f>
        <v>0</v>
      </c>
      <c r="BN169">
        <f>IFERROR(SMALL(BN47:BN127,ROW()-ROW($BN$130)+1),"")</f>
        <v>0</v>
      </c>
      <c r="BO169">
        <f>IFERROR(SMALL(BO47:BO127,ROW()-ROW($BO$130)+1),"")</f>
        <v>0</v>
      </c>
      <c r="BP169">
        <f>IFERROR(SMALL(BP47:BP127,ROW()-ROW($BP$130)+1),"")</f>
        <v>0</v>
      </c>
      <c r="BS169">
        <f>IFERROR(SMALL(BS47:BS127,ROW()-ROW($BS$130)+1),"")</f>
        <v>0</v>
      </c>
      <c r="BT169">
        <f>IFERROR(SMALL(BT47:BT127,ROW()-ROW($BT$130)+1),"")</f>
        <v>0</v>
      </c>
      <c r="BU169">
        <f>IFERROR(SMALL(BU47:BU127,ROW()-ROW($BU$130)+1),"")</f>
        <v>0</v>
      </c>
      <c r="BV169">
        <f>IFERROR(SMALL(BV47:BV127,ROW()-ROW($BV$130)+1),"")</f>
        <v>0</v>
      </c>
      <c r="BW169">
        <f>IFERROR(SMALL(BW47:BW127,ROW()-ROW($BW$130)+1),"")</f>
        <v>0</v>
      </c>
      <c r="BX169">
        <f>IFERROR(SMALL(BX47:BX127,ROW()-ROW($BX$130)+1),"")</f>
        <v>0</v>
      </c>
      <c r="BY169">
        <f>IFERROR(SMALL(BY47:BY127,ROW()-ROW($BY$130)+1),"")</f>
        <v>0</v>
      </c>
      <c r="BZ169">
        <f>IFERROR(SMALL(BZ47:BZ127,ROW()-ROW($BZ$130)+1),"")</f>
        <v>0</v>
      </c>
      <c r="CA169">
        <f>IFERROR(SMALL(CA47:CA127,ROW()-ROW($CA$130)+1),"")</f>
        <v>0</v>
      </c>
      <c r="CB169">
        <f>IFERROR(SMALL(CB47:CB127,ROW()-ROW($CB$130)+1),"")</f>
        <v>0</v>
      </c>
      <c r="CC169">
        <f>IFERROR(SMALL(CC47:CC127,ROW()-ROW($CC$130)+1),"")</f>
        <v>0</v>
      </c>
      <c r="CD169">
        <f>IFERROR(SMALL(CD47:CD127,ROW()-ROW($CD$130)+1),"")</f>
        <v>0</v>
      </c>
      <c r="CE169">
        <f>IFERROR(SMALL(CE47:CE127,ROW()-ROW($CE$130)+1),"")</f>
        <v>0</v>
      </c>
      <c r="CF169">
        <f>IFERROR(SMALL(CF47:CF127,ROW()-ROW($CF$130)+1),"")</f>
        <v>0</v>
      </c>
      <c r="CG169">
        <f>IFERROR(SMALL(CG47:CG127,ROW()-ROW($CG$130)+1),"")</f>
        <v>0</v>
      </c>
      <c r="CH169">
        <f>IFERROR(SMALL(CH47:CH127,ROW()-ROW($CH$130)+1),"")</f>
        <v>0</v>
      </c>
      <c r="CI169">
        <f>IFERROR(SMALL(CI47:CI127,ROW()-ROW($CI$130)+1),"")</f>
        <v>0</v>
      </c>
      <c r="CJ169">
        <f>IFERROR(SMALL(CJ47:CJ127,ROW()-ROW($CJ$130)+1),"")</f>
        <v>0</v>
      </c>
      <c r="CK169">
        <f>IFERROR(SMALL(CK47:CK127,ROW()-ROW($CK$130)+1),"")</f>
        <v>0</v>
      </c>
      <c r="CL169">
        <f>IFERROR(SMALL(CL47:CL127,ROW()-ROW($CL$130)+1),"")</f>
        <v>0</v>
      </c>
      <c r="CM169">
        <f>IFERROR(SMALL(CM47:CM127,ROW()-ROW($CM$130)+1),"")</f>
        <v>0</v>
      </c>
      <c r="CN169">
        <f>IFERROR(SMALL(CN47:CN127,ROW()-ROW($CN$130)+1),"")</f>
        <v>0</v>
      </c>
      <c r="CO169">
        <f>IFERROR(SMALL(CO47:CO127,ROW()-ROW($CO$130)+1),"")</f>
        <v>0</v>
      </c>
      <c r="CP169">
        <f>IFERROR(SMALL(CP47:CP127,ROW()-ROW($CP$130)+1),"")</f>
        <v>0</v>
      </c>
      <c r="CQ169">
        <f>IFERROR(SMALL(CQ47:CQ127,ROW()-ROW($CQ$130)+1),"")</f>
        <v>0</v>
      </c>
      <c r="CR169">
        <f>IFERROR(SMALL(CR47:CR127,ROW()-ROW($CR$130)+1),"")</f>
        <v>0</v>
      </c>
      <c r="CS169">
        <f>IFERROR(SMALL(CS47:CS127,ROW()-ROW($CS$130)+1),"")</f>
        <v>0</v>
      </c>
      <c r="CT169">
        <f>IFERROR(SMALL(CT47:CT127,ROW()-ROW($CT$130)+1),"")</f>
        <v>0</v>
      </c>
      <c r="CU169">
        <f>IFERROR(SMALL(CU47:CU127,ROW()-ROW($CU$130)+1),"")</f>
        <v>0</v>
      </c>
      <c r="CV169">
        <f>IFERROR(SMALL(CV47:CV127,ROW()-ROW($CV$130)+1),"")</f>
        <v>0</v>
      </c>
      <c r="CW169">
        <f>IFERROR(SMALL(CW47:CW127,ROW()-ROW($CW$130)+1),"")</f>
        <v>0</v>
      </c>
      <c r="CX169">
        <f>IFERROR(SMALL(CX47:CX127,ROW()-ROW($CX$130)+1),"")</f>
        <v>0</v>
      </c>
      <c r="CY169">
        <f>IFERROR(SMALL(CY47:CY127,ROW()-ROW($CY$130)+1),"")</f>
        <v>0</v>
      </c>
      <c r="CZ169">
        <f>IFERROR(SMALL(CZ47:CZ127,ROW()-ROW($CZ$130)+1),"")</f>
        <v>0</v>
      </c>
      <c r="DA169">
        <f>IFERROR(SMALL(DA47:DA127,ROW()-ROW($DA$130)+1),"")</f>
        <v>0</v>
      </c>
      <c r="DB169">
        <f>IFERROR(SMALL(DB47:DB127,ROW()-ROW($DB$130)+1),"")</f>
        <v>0</v>
      </c>
      <c r="DC169">
        <f>IFERROR(SMALL(DC47:DC127,ROW()-ROW($DC$130)+1),"")</f>
        <v>0</v>
      </c>
      <c r="DD169">
        <f>IFERROR(SMALL(DD47:DD127,ROW()-ROW($DD$130)+1),"")</f>
        <v>0</v>
      </c>
      <c r="DE169">
        <f>IFERROR(SMALL(DE47:DE127,ROW()-ROW($DE$130)+1),"")</f>
        <v>0</v>
      </c>
      <c r="DF169">
        <f>IFERROR(SMALL(DF47:DF127,ROW()-ROW($DF$130)+1),"")</f>
        <v>0</v>
      </c>
      <c r="DG169">
        <f>IFERROR(SMALL(DG47:DG127,ROW()-ROW($DG$130)+1),"")</f>
        <v>0</v>
      </c>
      <c r="DH169">
        <f>IFERROR(SMALL(DH47:DH127,ROW()-ROW($DH$130)+1),"")</f>
        <v>0</v>
      </c>
      <c r="DI169">
        <f>IFERROR(SMALL(DI47:DI127,ROW()-ROW($DI$130)+1),"")</f>
        <v>0</v>
      </c>
      <c r="DJ169">
        <f>IFERROR(SMALL(DJ47:DJ127,ROW()-ROW($DJ$130)+1),"")</f>
        <v>0</v>
      </c>
      <c r="DK169">
        <f>IFERROR(SMALL(DK47:DK127,ROW()-ROW($DK$130)+1),"")</f>
        <v>0</v>
      </c>
      <c r="DL169">
        <f>IFERROR(SMALL(DL47:DL127,ROW()-ROW($DL$130)+1),"")</f>
        <v>0</v>
      </c>
      <c r="DM169">
        <f>IFERROR(SMALL(DM47:DM127,ROW()-ROW($DM$130)+1),"")</f>
        <v>0</v>
      </c>
      <c r="DN169">
        <f>IFERROR(SMALL(DN47:DN127,ROW()-ROW($DN$130)+1),"")</f>
        <v>0</v>
      </c>
      <c r="DO169">
        <f>IFERROR(SMALL(DO47:DO127,ROW()-ROW($DO$130)+1),"")</f>
        <v>0</v>
      </c>
      <c r="DP169">
        <f>IFERROR(SMALL(DP47:DP127,ROW()-ROW($DP$130)+1),"")</f>
        <v>0</v>
      </c>
      <c r="DQ169">
        <f>IFERROR(SMALL(DQ47:DQ127,ROW()-ROW($DQ$130)+1),"")</f>
        <v>0</v>
      </c>
      <c r="DR169">
        <f>IFERROR(SMALL(DR47:DR127,ROW()-ROW($DR$130)+1),"")</f>
        <v>0</v>
      </c>
      <c r="DS169">
        <f>IFERROR(SMALL(DS47:DS127,ROW()-ROW($DS$130)+1),"")</f>
        <v>0</v>
      </c>
      <c r="DT169">
        <f>IFERROR(SMALL(DT47:DT127,ROW()-ROW($DT$130)+1),"")</f>
        <v>0</v>
      </c>
      <c r="DU169">
        <f>IFERROR(SMALL(DU47:DU127,ROW()-ROW($DU$130)+1),"")</f>
        <v>0</v>
      </c>
      <c r="DV169">
        <f>IFERROR(SMALL(DV47:DV127,ROW()-ROW($DV$130)+1),"")</f>
        <v>0</v>
      </c>
      <c r="DW169">
        <f>IFERROR(SMALL(DW47:DW127,ROW()-ROW($DW$130)+1),"")</f>
        <v>0</v>
      </c>
      <c r="DX169">
        <f>IFERROR(SMALL(DX47:DX127,ROW()-ROW($DX$130)+1),"")</f>
        <v>0</v>
      </c>
      <c r="DY169">
        <f>IFERROR(SMALL(DY47:DY127,ROW()-ROW($DY$130)+1),"")</f>
        <v>0</v>
      </c>
      <c r="DZ169">
        <f>IFERROR(SMALL(DZ47:DZ127,ROW()-ROW($DZ$130)+1),"")</f>
        <v>0</v>
      </c>
      <c r="EA169">
        <f>IFERROR(SMALL(EA47:EA127,ROW()-ROW($EA$130)+1),"")</f>
        <v>0</v>
      </c>
      <c r="EB169">
        <f>IFERROR(SMALL(EB47:EB127,ROW()-ROW($EB$130)+1),"")</f>
        <v>0</v>
      </c>
      <c r="EC169">
        <f>IFERROR(SMALL(EC47:EC127,ROW()-ROW($EC$130)+1),"")</f>
        <v>0</v>
      </c>
      <c r="ED169">
        <f>IFERROR(SMALL(ED47:ED127,ROW()-ROW($ED$130)+1),"")</f>
        <v>0</v>
      </c>
    </row>
    <row r="170" spans="5:134">
      <c r="E170">
        <f>IFERROR(SMALL(E47:E127,ROW()-ROW($E$130)+1),"")</f>
        <v>0</v>
      </c>
      <c r="F170">
        <f>IFERROR(SMALL(F47:F127,ROW()-ROW($F$130)+1),"")</f>
        <v>0</v>
      </c>
      <c r="G170">
        <f>IFERROR(SMALL(G47:G127,ROW()-ROW($G$130)+1),"")</f>
        <v>0</v>
      </c>
      <c r="H170">
        <f>IFERROR(SMALL(H47:H127,ROW()-ROW($H$130)+1),"")</f>
        <v>0</v>
      </c>
      <c r="I170">
        <f>IFERROR(SMALL(I47:I127,ROW()-ROW($I$130)+1),"")</f>
        <v>0</v>
      </c>
      <c r="J170">
        <f>IFERROR(SMALL(J47:J127,ROW()-ROW($J$130)+1),"")</f>
        <v>0</v>
      </c>
      <c r="K170">
        <f>IFERROR(SMALL(K47:K127,ROW()-ROW($K$130)+1),"")</f>
        <v>0</v>
      </c>
      <c r="L170">
        <f>IFERROR(SMALL(L47:L127,ROW()-ROW($L$130)+1),"")</f>
        <v>0</v>
      </c>
      <c r="M170">
        <f>IFERROR(SMALL(M47:M127,ROW()-ROW($M$130)+1),"")</f>
        <v>0</v>
      </c>
      <c r="N170">
        <f>IFERROR(SMALL(N47:N127,ROW()-ROW($N$130)+1),"")</f>
        <v>0</v>
      </c>
      <c r="O170">
        <f>IFERROR(SMALL(O47:O127,ROW()-ROW($O$130)+1),"")</f>
        <v>0</v>
      </c>
      <c r="P170">
        <f>IFERROR(SMALL(P47:P127,ROW()-ROW($P$130)+1),"")</f>
        <v>0</v>
      </c>
      <c r="Q170">
        <f>IFERROR(SMALL(Q47:Q127,ROW()-ROW($Q$130)+1),"")</f>
        <v>0</v>
      </c>
      <c r="R170">
        <f>IFERROR(SMALL(R47:R127,ROW()-ROW($R$130)+1),"")</f>
        <v>0</v>
      </c>
      <c r="S170">
        <f>IFERROR(SMALL(S47:S127,ROW()-ROW($S$130)+1),"")</f>
        <v>0</v>
      </c>
      <c r="T170">
        <f>IFERROR(SMALL(T47:T127,ROW()-ROW($T$130)+1),"")</f>
        <v>0</v>
      </c>
      <c r="U170">
        <f>IFERROR(SMALL(U47:U127,ROW()-ROW($U$130)+1),"")</f>
        <v>0</v>
      </c>
      <c r="V170">
        <f>IFERROR(SMALL(V47:V127,ROW()-ROW($V$130)+1),"")</f>
        <v>0</v>
      </c>
      <c r="W170">
        <f>IFERROR(SMALL(W47:W127,ROW()-ROW($W$130)+1),"")</f>
        <v>0</v>
      </c>
      <c r="X170">
        <f>IFERROR(SMALL(X47:X127,ROW()-ROW($X$130)+1),"")</f>
        <v>0</v>
      </c>
      <c r="Y170">
        <f>IFERROR(SMALL(Y47:Y127,ROW()-ROW($Y$130)+1),"")</f>
        <v>0</v>
      </c>
      <c r="Z170">
        <f>IFERROR(SMALL(Z47:Z127,ROW()-ROW($Z$130)+1),"")</f>
        <v>0</v>
      </c>
      <c r="AA170">
        <f>IFERROR(SMALL(AA47:AA127,ROW()-ROW($AA$130)+1),"")</f>
        <v>0</v>
      </c>
      <c r="AB170">
        <f>IFERROR(SMALL(AB47:AB127,ROW()-ROW($AB$130)+1),"")</f>
        <v>0</v>
      </c>
      <c r="AC170">
        <f>IFERROR(SMALL(AC47:AC127,ROW()-ROW($AC$130)+1),"")</f>
        <v>0</v>
      </c>
      <c r="AD170">
        <f>IFERROR(SMALL(AD47:AD127,ROW()-ROW($AD$130)+1),"")</f>
        <v>0</v>
      </c>
      <c r="AE170">
        <f>IFERROR(SMALL(AE47:AE127,ROW()-ROW($AE$130)+1),"")</f>
        <v>0</v>
      </c>
      <c r="AF170">
        <f>IFERROR(SMALL(AF47:AF127,ROW()-ROW($AF$130)+1),"")</f>
        <v>0</v>
      </c>
      <c r="AG170">
        <f>IFERROR(SMALL(AG47:AG127,ROW()-ROW($AG$130)+1),"")</f>
        <v>0</v>
      </c>
      <c r="AH170">
        <f>IFERROR(SMALL(AH47:AH127,ROW()-ROW($AH$130)+1),"")</f>
        <v>0</v>
      </c>
      <c r="AI170">
        <f>IFERROR(SMALL(AI47:AI127,ROW()-ROW($AI$130)+1),"")</f>
        <v>0</v>
      </c>
      <c r="AJ170">
        <f>IFERROR(SMALL(AJ47:AJ127,ROW()-ROW($AJ$130)+1),"")</f>
        <v>0</v>
      </c>
      <c r="AK170">
        <f>IFERROR(SMALL(AK47:AK127,ROW()-ROW($AK$130)+1),"")</f>
        <v>0</v>
      </c>
      <c r="AL170">
        <f>IFERROR(SMALL(AL47:AL127,ROW()-ROW($AL$130)+1),"")</f>
        <v>0</v>
      </c>
      <c r="AM170">
        <f>IFERROR(SMALL(AM47:AM127,ROW()-ROW($AM$130)+1),"")</f>
        <v>0</v>
      </c>
      <c r="AN170">
        <f>IFERROR(SMALL(AN47:AN127,ROW()-ROW($AN$130)+1),"")</f>
        <v>0</v>
      </c>
      <c r="AO170">
        <f>IFERROR(SMALL(AO47:AO127,ROW()-ROW($AO$130)+1),"")</f>
        <v>0</v>
      </c>
      <c r="AP170">
        <f>IFERROR(SMALL(AP47:AP127,ROW()-ROW($AP$130)+1),"")</f>
        <v>0</v>
      </c>
      <c r="AQ170">
        <f>IFERROR(SMALL(AQ47:AQ127,ROW()-ROW($AQ$130)+1),"")</f>
        <v>0</v>
      </c>
      <c r="AR170">
        <f>IFERROR(SMALL(AR47:AR127,ROW()-ROW($AR$130)+1),"")</f>
        <v>0</v>
      </c>
      <c r="AS170">
        <f>IFERROR(SMALL(AS47:AS127,ROW()-ROW($AS$130)+1),"")</f>
        <v>0</v>
      </c>
      <c r="AT170">
        <f>IFERROR(SMALL(AT47:AT127,ROW()-ROW($AT$130)+1),"")</f>
        <v>0</v>
      </c>
      <c r="AU170">
        <f>IFERROR(SMALL(AU47:AU127,ROW()-ROW($AU$130)+1),"")</f>
        <v>0</v>
      </c>
      <c r="AV170">
        <f>IFERROR(SMALL(AV47:AV127,ROW()-ROW($AV$130)+1),"")</f>
        <v>0</v>
      </c>
      <c r="AW170">
        <f>IFERROR(SMALL(AW47:AW127,ROW()-ROW($AW$130)+1),"")</f>
        <v>0</v>
      </c>
      <c r="AX170">
        <f>IFERROR(SMALL(AX47:AX127,ROW()-ROW($AX$130)+1),"")</f>
        <v>0</v>
      </c>
      <c r="AY170">
        <f>IFERROR(SMALL(AY47:AY127,ROW()-ROW($AY$130)+1),"")</f>
        <v>0</v>
      </c>
      <c r="AZ170">
        <f>IFERROR(SMALL(AZ47:AZ127,ROW()-ROW($AZ$130)+1),"")</f>
        <v>0</v>
      </c>
      <c r="BA170">
        <f>IFERROR(SMALL(BA47:BA127,ROW()-ROW($BA$130)+1),"")</f>
        <v>0</v>
      </c>
      <c r="BB170">
        <f>IFERROR(SMALL(BB47:BB127,ROW()-ROW($BB$130)+1),"")</f>
        <v>0</v>
      </c>
      <c r="BC170">
        <f>IFERROR(SMALL(BC47:BC127,ROW()-ROW($BC$130)+1),"")</f>
        <v>0</v>
      </c>
      <c r="BD170">
        <f>IFERROR(SMALL(BD47:BD127,ROW()-ROW($BD$130)+1),"")</f>
        <v>0</v>
      </c>
      <c r="BE170">
        <f>IFERROR(SMALL(BE47:BE127,ROW()-ROW($BE$130)+1),"")</f>
        <v>0</v>
      </c>
      <c r="BF170">
        <f>IFERROR(SMALL(BF47:BF127,ROW()-ROW($BF$130)+1),"")</f>
        <v>0</v>
      </c>
      <c r="BG170">
        <f>IFERROR(SMALL(BG47:BG127,ROW()-ROW($BG$130)+1),"")</f>
        <v>0</v>
      </c>
      <c r="BH170">
        <f>IFERROR(SMALL(BH47:BH127,ROW()-ROW($BH$130)+1),"")</f>
        <v>0</v>
      </c>
      <c r="BI170">
        <f>IFERROR(SMALL(BI47:BI127,ROW()-ROW($BI$130)+1),"")</f>
        <v>0</v>
      </c>
      <c r="BJ170">
        <f>IFERROR(SMALL(BJ47:BJ127,ROW()-ROW($BJ$130)+1),"")</f>
        <v>0</v>
      </c>
      <c r="BK170">
        <f>IFERROR(SMALL(BK47:BK127,ROW()-ROW($BK$130)+1),"")</f>
        <v>0</v>
      </c>
      <c r="BL170">
        <f>IFERROR(SMALL(BL47:BL127,ROW()-ROW($BL$130)+1),"")</f>
        <v>0</v>
      </c>
      <c r="BM170">
        <f>IFERROR(SMALL(BM47:BM127,ROW()-ROW($BM$130)+1),"")</f>
        <v>0</v>
      </c>
      <c r="BN170">
        <f>IFERROR(SMALL(BN47:BN127,ROW()-ROW($BN$130)+1),"")</f>
        <v>0</v>
      </c>
      <c r="BO170">
        <f>IFERROR(SMALL(BO47:BO127,ROW()-ROW($BO$130)+1),"")</f>
        <v>0</v>
      </c>
      <c r="BP170">
        <f>IFERROR(SMALL(BP47:BP127,ROW()-ROW($BP$130)+1),"")</f>
        <v>0</v>
      </c>
      <c r="BS170">
        <f>IFERROR(SMALL(BS47:BS127,ROW()-ROW($BS$130)+1),"")</f>
        <v>0</v>
      </c>
      <c r="BT170">
        <f>IFERROR(SMALL(BT47:BT127,ROW()-ROW($BT$130)+1),"")</f>
        <v>0</v>
      </c>
      <c r="BU170">
        <f>IFERROR(SMALL(BU47:BU127,ROW()-ROW($BU$130)+1),"")</f>
        <v>0</v>
      </c>
      <c r="BV170">
        <f>IFERROR(SMALL(BV47:BV127,ROW()-ROW($BV$130)+1),"")</f>
        <v>0</v>
      </c>
      <c r="BW170">
        <f>IFERROR(SMALL(BW47:BW127,ROW()-ROW($BW$130)+1),"")</f>
        <v>0</v>
      </c>
      <c r="BX170">
        <f>IFERROR(SMALL(BX47:BX127,ROW()-ROW($BX$130)+1),"")</f>
        <v>0</v>
      </c>
      <c r="BY170">
        <f>IFERROR(SMALL(BY47:BY127,ROW()-ROW($BY$130)+1),"")</f>
        <v>0</v>
      </c>
      <c r="BZ170">
        <f>IFERROR(SMALL(BZ47:BZ127,ROW()-ROW($BZ$130)+1),"")</f>
        <v>0</v>
      </c>
      <c r="CA170">
        <f>IFERROR(SMALL(CA47:CA127,ROW()-ROW($CA$130)+1),"")</f>
        <v>0</v>
      </c>
      <c r="CB170">
        <f>IFERROR(SMALL(CB47:CB127,ROW()-ROW($CB$130)+1),"")</f>
        <v>0</v>
      </c>
      <c r="CC170">
        <f>IFERROR(SMALL(CC47:CC127,ROW()-ROW($CC$130)+1),"")</f>
        <v>0</v>
      </c>
      <c r="CD170">
        <f>IFERROR(SMALL(CD47:CD127,ROW()-ROW($CD$130)+1),"")</f>
        <v>0</v>
      </c>
      <c r="CE170">
        <f>IFERROR(SMALL(CE47:CE127,ROW()-ROW($CE$130)+1),"")</f>
        <v>0</v>
      </c>
      <c r="CF170">
        <f>IFERROR(SMALL(CF47:CF127,ROW()-ROW($CF$130)+1),"")</f>
        <v>0</v>
      </c>
      <c r="CG170">
        <f>IFERROR(SMALL(CG47:CG127,ROW()-ROW($CG$130)+1),"")</f>
        <v>0</v>
      </c>
      <c r="CH170">
        <f>IFERROR(SMALL(CH47:CH127,ROW()-ROW($CH$130)+1),"")</f>
        <v>0</v>
      </c>
      <c r="CI170">
        <f>IFERROR(SMALL(CI47:CI127,ROW()-ROW($CI$130)+1),"")</f>
        <v>0</v>
      </c>
      <c r="CJ170">
        <f>IFERROR(SMALL(CJ47:CJ127,ROW()-ROW($CJ$130)+1),"")</f>
        <v>0</v>
      </c>
      <c r="CK170">
        <f>IFERROR(SMALL(CK47:CK127,ROW()-ROW($CK$130)+1),"")</f>
        <v>0</v>
      </c>
      <c r="CL170">
        <f>IFERROR(SMALL(CL47:CL127,ROW()-ROW($CL$130)+1),"")</f>
        <v>0</v>
      </c>
      <c r="CM170">
        <f>IFERROR(SMALL(CM47:CM127,ROW()-ROW($CM$130)+1),"")</f>
        <v>0</v>
      </c>
      <c r="CN170">
        <f>IFERROR(SMALL(CN47:CN127,ROW()-ROW($CN$130)+1),"")</f>
        <v>0</v>
      </c>
      <c r="CO170">
        <f>IFERROR(SMALL(CO47:CO127,ROW()-ROW($CO$130)+1),"")</f>
        <v>0</v>
      </c>
      <c r="CP170">
        <f>IFERROR(SMALL(CP47:CP127,ROW()-ROW($CP$130)+1),"")</f>
        <v>0</v>
      </c>
      <c r="CQ170">
        <f>IFERROR(SMALL(CQ47:CQ127,ROW()-ROW($CQ$130)+1),"")</f>
        <v>0</v>
      </c>
      <c r="CR170">
        <f>IFERROR(SMALL(CR47:CR127,ROW()-ROW($CR$130)+1),"")</f>
        <v>0</v>
      </c>
      <c r="CS170">
        <f>IFERROR(SMALL(CS47:CS127,ROW()-ROW($CS$130)+1),"")</f>
        <v>0</v>
      </c>
      <c r="CT170">
        <f>IFERROR(SMALL(CT47:CT127,ROW()-ROW($CT$130)+1),"")</f>
        <v>0</v>
      </c>
      <c r="CU170">
        <f>IFERROR(SMALL(CU47:CU127,ROW()-ROW($CU$130)+1),"")</f>
        <v>0</v>
      </c>
      <c r="CV170">
        <f>IFERROR(SMALL(CV47:CV127,ROW()-ROW($CV$130)+1),"")</f>
        <v>0</v>
      </c>
      <c r="CW170">
        <f>IFERROR(SMALL(CW47:CW127,ROW()-ROW($CW$130)+1),"")</f>
        <v>0</v>
      </c>
      <c r="CX170">
        <f>IFERROR(SMALL(CX47:CX127,ROW()-ROW($CX$130)+1),"")</f>
        <v>0</v>
      </c>
      <c r="CY170">
        <f>IFERROR(SMALL(CY47:CY127,ROW()-ROW($CY$130)+1),"")</f>
        <v>0</v>
      </c>
      <c r="CZ170">
        <f>IFERROR(SMALL(CZ47:CZ127,ROW()-ROW($CZ$130)+1),"")</f>
        <v>0</v>
      </c>
      <c r="DA170">
        <f>IFERROR(SMALL(DA47:DA127,ROW()-ROW($DA$130)+1),"")</f>
        <v>0</v>
      </c>
      <c r="DB170">
        <f>IFERROR(SMALL(DB47:DB127,ROW()-ROW($DB$130)+1),"")</f>
        <v>0</v>
      </c>
      <c r="DC170">
        <f>IFERROR(SMALL(DC47:DC127,ROW()-ROW($DC$130)+1),"")</f>
        <v>0</v>
      </c>
      <c r="DD170">
        <f>IFERROR(SMALL(DD47:DD127,ROW()-ROW($DD$130)+1),"")</f>
        <v>0</v>
      </c>
      <c r="DE170">
        <f>IFERROR(SMALL(DE47:DE127,ROW()-ROW($DE$130)+1),"")</f>
        <v>0</v>
      </c>
      <c r="DF170">
        <f>IFERROR(SMALL(DF47:DF127,ROW()-ROW($DF$130)+1),"")</f>
        <v>0</v>
      </c>
      <c r="DG170">
        <f>IFERROR(SMALL(DG47:DG127,ROW()-ROW($DG$130)+1),"")</f>
        <v>0</v>
      </c>
      <c r="DH170">
        <f>IFERROR(SMALL(DH47:DH127,ROW()-ROW($DH$130)+1),"")</f>
        <v>0</v>
      </c>
      <c r="DI170">
        <f>IFERROR(SMALL(DI47:DI127,ROW()-ROW($DI$130)+1),"")</f>
        <v>0</v>
      </c>
      <c r="DJ170">
        <f>IFERROR(SMALL(DJ47:DJ127,ROW()-ROW($DJ$130)+1),"")</f>
        <v>0</v>
      </c>
      <c r="DK170">
        <f>IFERROR(SMALL(DK47:DK127,ROW()-ROW($DK$130)+1),"")</f>
        <v>0</v>
      </c>
      <c r="DL170">
        <f>IFERROR(SMALL(DL47:DL127,ROW()-ROW($DL$130)+1),"")</f>
        <v>0</v>
      </c>
      <c r="DM170">
        <f>IFERROR(SMALL(DM47:DM127,ROW()-ROW($DM$130)+1),"")</f>
        <v>0</v>
      </c>
      <c r="DN170">
        <f>IFERROR(SMALL(DN47:DN127,ROW()-ROW($DN$130)+1),"")</f>
        <v>0</v>
      </c>
      <c r="DO170">
        <f>IFERROR(SMALL(DO47:DO127,ROW()-ROW($DO$130)+1),"")</f>
        <v>0</v>
      </c>
      <c r="DP170">
        <f>IFERROR(SMALL(DP47:DP127,ROW()-ROW($DP$130)+1),"")</f>
        <v>0</v>
      </c>
      <c r="DQ170">
        <f>IFERROR(SMALL(DQ47:DQ127,ROW()-ROW($DQ$130)+1),"")</f>
        <v>0</v>
      </c>
      <c r="DR170">
        <f>IFERROR(SMALL(DR47:DR127,ROW()-ROW($DR$130)+1),"")</f>
        <v>0</v>
      </c>
      <c r="DS170">
        <f>IFERROR(SMALL(DS47:DS127,ROW()-ROW($DS$130)+1),"")</f>
        <v>0</v>
      </c>
      <c r="DT170">
        <f>IFERROR(SMALL(DT47:DT127,ROW()-ROW($DT$130)+1),"")</f>
        <v>0</v>
      </c>
      <c r="DU170">
        <f>IFERROR(SMALL(DU47:DU127,ROW()-ROW($DU$130)+1),"")</f>
        <v>0</v>
      </c>
      <c r="DV170">
        <f>IFERROR(SMALL(DV47:DV127,ROW()-ROW($DV$130)+1),"")</f>
        <v>0</v>
      </c>
      <c r="DW170">
        <f>IFERROR(SMALL(DW47:DW127,ROW()-ROW($DW$130)+1),"")</f>
        <v>0</v>
      </c>
      <c r="DX170">
        <f>IFERROR(SMALL(DX47:DX127,ROW()-ROW($DX$130)+1),"")</f>
        <v>0</v>
      </c>
      <c r="DY170">
        <f>IFERROR(SMALL(DY47:DY127,ROW()-ROW($DY$130)+1),"")</f>
        <v>0</v>
      </c>
      <c r="DZ170">
        <f>IFERROR(SMALL(DZ47:DZ127,ROW()-ROW($DZ$130)+1),"")</f>
        <v>0</v>
      </c>
      <c r="EA170">
        <f>IFERROR(SMALL(EA47:EA127,ROW()-ROW($EA$130)+1),"")</f>
        <v>0</v>
      </c>
      <c r="EB170">
        <f>IFERROR(SMALL(EB47:EB127,ROW()-ROW($EB$130)+1),"")</f>
        <v>0</v>
      </c>
      <c r="EC170">
        <f>IFERROR(SMALL(EC47:EC127,ROW()-ROW($EC$130)+1),"")</f>
        <v>0</v>
      </c>
      <c r="ED170">
        <f>IFERROR(SMALL(ED47:ED127,ROW()-ROW($ED$130)+1),"")</f>
        <v>0</v>
      </c>
    </row>
    <row r="171" spans="5:134">
      <c r="E171">
        <f>IFERROR(SMALL(E47:E127,ROW()-ROW($E$130)+1),"")</f>
        <v>0</v>
      </c>
      <c r="F171">
        <f>IFERROR(SMALL(F47:F127,ROW()-ROW($F$130)+1),"")</f>
        <v>0</v>
      </c>
      <c r="G171">
        <f>IFERROR(SMALL(G47:G127,ROW()-ROW($G$130)+1),"")</f>
        <v>0</v>
      </c>
      <c r="H171">
        <f>IFERROR(SMALL(H47:H127,ROW()-ROW($H$130)+1),"")</f>
        <v>0</v>
      </c>
      <c r="I171">
        <f>IFERROR(SMALL(I47:I127,ROW()-ROW($I$130)+1),"")</f>
        <v>0</v>
      </c>
      <c r="J171">
        <f>IFERROR(SMALL(J47:J127,ROW()-ROW($J$130)+1),"")</f>
        <v>0</v>
      </c>
      <c r="K171">
        <f>IFERROR(SMALL(K47:K127,ROW()-ROW($K$130)+1),"")</f>
        <v>0</v>
      </c>
      <c r="L171">
        <f>IFERROR(SMALL(L47:L127,ROW()-ROW($L$130)+1),"")</f>
        <v>0</v>
      </c>
      <c r="M171">
        <f>IFERROR(SMALL(M47:M127,ROW()-ROW($M$130)+1),"")</f>
        <v>0</v>
      </c>
      <c r="N171">
        <f>IFERROR(SMALL(N47:N127,ROW()-ROW($N$130)+1),"")</f>
        <v>0</v>
      </c>
      <c r="O171">
        <f>IFERROR(SMALL(O47:O127,ROW()-ROW($O$130)+1),"")</f>
        <v>0</v>
      </c>
      <c r="P171">
        <f>IFERROR(SMALL(P47:P127,ROW()-ROW($P$130)+1),"")</f>
        <v>0</v>
      </c>
      <c r="Q171">
        <f>IFERROR(SMALL(Q47:Q127,ROW()-ROW($Q$130)+1),"")</f>
        <v>0</v>
      </c>
      <c r="R171">
        <f>IFERROR(SMALL(R47:R127,ROW()-ROW($R$130)+1),"")</f>
        <v>0</v>
      </c>
      <c r="S171">
        <f>IFERROR(SMALL(S47:S127,ROW()-ROW($S$130)+1),"")</f>
        <v>0</v>
      </c>
      <c r="T171">
        <f>IFERROR(SMALL(T47:T127,ROW()-ROW($T$130)+1),"")</f>
        <v>0</v>
      </c>
      <c r="U171">
        <f>IFERROR(SMALL(U47:U127,ROW()-ROW($U$130)+1),"")</f>
        <v>0</v>
      </c>
      <c r="V171">
        <f>IFERROR(SMALL(V47:V127,ROW()-ROW($V$130)+1),"")</f>
        <v>0</v>
      </c>
      <c r="W171">
        <f>IFERROR(SMALL(W47:W127,ROW()-ROW($W$130)+1),"")</f>
        <v>0</v>
      </c>
      <c r="X171">
        <f>IFERROR(SMALL(X47:X127,ROW()-ROW($X$130)+1),"")</f>
        <v>0</v>
      </c>
      <c r="Y171">
        <f>IFERROR(SMALL(Y47:Y127,ROW()-ROW($Y$130)+1),"")</f>
        <v>0</v>
      </c>
      <c r="Z171">
        <f>IFERROR(SMALL(Z47:Z127,ROW()-ROW($Z$130)+1),"")</f>
        <v>0</v>
      </c>
      <c r="AA171">
        <f>IFERROR(SMALL(AA47:AA127,ROW()-ROW($AA$130)+1),"")</f>
        <v>0</v>
      </c>
      <c r="AB171">
        <f>IFERROR(SMALL(AB47:AB127,ROW()-ROW($AB$130)+1),"")</f>
        <v>0</v>
      </c>
      <c r="AC171">
        <f>IFERROR(SMALL(AC47:AC127,ROW()-ROW($AC$130)+1),"")</f>
        <v>0</v>
      </c>
      <c r="AD171">
        <f>IFERROR(SMALL(AD47:AD127,ROW()-ROW($AD$130)+1),"")</f>
        <v>0</v>
      </c>
      <c r="AE171">
        <f>IFERROR(SMALL(AE47:AE127,ROW()-ROW($AE$130)+1),"")</f>
        <v>0</v>
      </c>
      <c r="AF171">
        <f>IFERROR(SMALL(AF47:AF127,ROW()-ROW($AF$130)+1),"")</f>
        <v>0</v>
      </c>
      <c r="AG171">
        <f>IFERROR(SMALL(AG47:AG127,ROW()-ROW($AG$130)+1),"")</f>
        <v>0</v>
      </c>
      <c r="AH171">
        <f>IFERROR(SMALL(AH47:AH127,ROW()-ROW($AH$130)+1),"")</f>
        <v>0</v>
      </c>
      <c r="AI171">
        <f>IFERROR(SMALL(AI47:AI127,ROW()-ROW($AI$130)+1),"")</f>
        <v>0</v>
      </c>
      <c r="AJ171">
        <f>IFERROR(SMALL(AJ47:AJ127,ROW()-ROW($AJ$130)+1),"")</f>
        <v>0</v>
      </c>
      <c r="AK171">
        <f>IFERROR(SMALL(AK47:AK127,ROW()-ROW($AK$130)+1),"")</f>
        <v>0</v>
      </c>
      <c r="AL171">
        <f>IFERROR(SMALL(AL47:AL127,ROW()-ROW($AL$130)+1),"")</f>
        <v>0</v>
      </c>
      <c r="AM171">
        <f>IFERROR(SMALL(AM47:AM127,ROW()-ROW($AM$130)+1),"")</f>
        <v>0</v>
      </c>
      <c r="AN171">
        <f>IFERROR(SMALL(AN47:AN127,ROW()-ROW($AN$130)+1),"")</f>
        <v>0</v>
      </c>
      <c r="AO171">
        <f>IFERROR(SMALL(AO47:AO127,ROW()-ROW($AO$130)+1),"")</f>
        <v>0</v>
      </c>
      <c r="AP171">
        <f>IFERROR(SMALL(AP47:AP127,ROW()-ROW($AP$130)+1),"")</f>
        <v>0</v>
      </c>
      <c r="AQ171">
        <f>IFERROR(SMALL(AQ47:AQ127,ROW()-ROW($AQ$130)+1),"")</f>
        <v>0</v>
      </c>
      <c r="AR171">
        <f>IFERROR(SMALL(AR47:AR127,ROW()-ROW($AR$130)+1),"")</f>
        <v>0</v>
      </c>
      <c r="AS171">
        <f>IFERROR(SMALL(AS47:AS127,ROW()-ROW($AS$130)+1),"")</f>
        <v>0</v>
      </c>
      <c r="AT171">
        <f>IFERROR(SMALL(AT47:AT127,ROW()-ROW($AT$130)+1),"")</f>
        <v>0</v>
      </c>
      <c r="AU171">
        <f>IFERROR(SMALL(AU47:AU127,ROW()-ROW($AU$130)+1),"")</f>
        <v>0</v>
      </c>
      <c r="AV171">
        <f>IFERROR(SMALL(AV47:AV127,ROW()-ROW($AV$130)+1),"")</f>
        <v>0</v>
      </c>
      <c r="AW171">
        <f>IFERROR(SMALL(AW47:AW127,ROW()-ROW($AW$130)+1),"")</f>
        <v>0</v>
      </c>
      <c r="AX171">
        <f>IFERROR(SMALL(AX47:AX127,ROW()-ROW($AX$130)+1),"")</f>
        <v>0</v>
      </c>
      <c r="AY171">
        <f>IFERROR(SMALL(AY47:AY127,ROW()-ROW($AY$130)+1),"")</f>
        <v>0</v>
      </c>
      <c r="AZ171">
        <f>IFERROR(SMALL(AZ47:AZ127,ROW()-ROW($AZ$130)+1),"")</f>
        <v>0</v>
      </c>
      <c r="BA171">
        <f>IFERROR(SMALL(BA47:BA127,ROW()-ROW($BA$130)+1),"")</f>
        <v>0</v>
      </c>
      <c r="BB171">
        <f>IFERROR(SMALL(BB47:BB127,ROW()-ROW($BB$130)+1),"")</f>
        <v>0</v>
      </c>
      <c r="BC171">
        <f>IFERROR(SMALL(BC47:BC127,ROW()-ROW($BC$130)+1),"")</f>
        <v>0</v>
      </c>
      <c r="BD171">
        <f>IFERROR(SMALL(BD47:BD127,ROW()-ROW($BD$130)+1),"")</f>
        <v>0</v>
      </c>
      <c r="BE171">
        <f>IFERROR(SMALL(BE47:BE127,ROW()-ROW($BE$130)+1),"")</f>
        <v>0</v>
      </c>
      <c r="BF171">
        <f>IFERROR(SMALL(BF47:BF127,ROW()-ROW($BF$130)+1),"")</f>
        <v>0</v>
      </c>
      <c r="BG171">
        <f>IFERROR(SMALL(BG47:BG127,ROW()-ROW($BG$130)+1),"")</f>
        <v>0</v>
      </c>
      <c r="BH171">
        <f>IFERROR(SMALL(BH47:BH127,ROW()-ROW($BH$130)+1),"")</f>
        <v>0</v>
      </c>
      <c r="BI171">
        <f>IFERROR(SMALL(BI47:BI127,ROW()-ROW($BI$130)+1),"")</f>
        <v>0</v>
      </c>
      <c r="BJ171">
        <f>IFERROR(SMALL(BJ47:BJ127,ROW()-ROW($BJ$130)+1),"")</f>
        <v>0</v>
      </c>
      <c r="BK171">
        <f>IFERROR(SMALL(BK47:BK127,ROW()-ROW($BK$130)+1),"")</f>
        <v>0</v>
      </c>
      <c r="BL171">
        <f>IFERROR(SMALL(BL47:BL127,ROW()-ROW($BL$130)+1),"")</f>
        <v>0</v>
      </c>
      <c r="BM171">
        <f>IFERROR(SMALL(BM47:BM127,ROW()-ROW($BM$130)+1),"")</f>
        <v>0</v>
      </c>
      <c r="BN171">
        <f>IFERROR(SMALL(BN47:BN127,ROW()-ROW($BN$130)+1),"")</f>
        <v>0</v>
      </c>
      <c r="BO171">
        <f>IFERROR(SMALL(BO47:BO127,ROW()-ROW($BO$130)+1),"")</f>
        <v>0</v>
      </c>
      <c r="BP171">
        <f>IFERROR(SMALL(BP47:BP127,ROW()-ROW($BP$130)+1),"")</f>
        <v>0</v>
      </c>
      <c r="BS171">
        <f>IFERROR(SMALL(BS47:BS127,ROW()-ROW($BS$130)+1),"")</f>
        <v>0</v>
      </c>
      <c r="BT171">
        <f>IFERROR(SMALL(BT47:BT127,ROW()-ROW($BT$130)+1),"")</f>
        <v>0</v>
      </c>
      <c r="BU171">
        <f>IFERROR(SMALL(BU47:BU127,ROW()-ROW($BU$130)+1),"")</f>
        <v>0</v>
      </c>
      <c r="BV171">
        <f>IFERROR(SMALL(BV47:BV127,ROW()-ROW($BV$130)+1),"")</f>
        <v>0</v>
      </c>
      <c r="BW171">
        <f>IFERROR(SMALL(BW47:BW127,ROW()-ROW($BW$130)+1),"")</f>
        <v>0</v>
      </c>
      <c r="BX171">
        <f>IFERROR(SMALL(BX47:BX127,ROW()-ROW($BX$130)+1),"")</f>
        <v>0</v>
      </c>
      <c r="BY171">
        <f>IFERROR(SMALL(BY47:BY127,ROW()-ROW($BY$130)+1),"")</f>
        <v>0</v>
      </c>
      <c r="BZ171">
        <f>IFERROR(SMALL(BZ47:BZ127,ROW()-ROW($BZ$130)+1),"")</f>
        <v>0</v>
      </c>
      <c r="CA171">
        <f>IFERROR(SMALL(CA47:CA127,ROW()-ROW($CA$130)+1),"")</f>
        <v>0</v>
      </c>
      <c r="CB171">
        <f>IFERROR(SMALL(CB47:CB127,ROW()-ROW($CB$130)+1),"")</f>
        <v>0</v>
      </c>
      <c r="CC171">
        <f>IFERROR(SMALL(CC47:CC127,ROW()-ROW($CC$130)+1),"")</f>
        <v>0</v>
      </c>
      <c r="CD171">
        <f>IFERROR(SMALL(CD47:CD127,ROW()-ROW($CD$130)+1),"")</f>
        <v>0</v>
      </c>
      <c r="CE171">
        <f>IFERROR(SMALL(CE47:CE127,ROW()-ROW($CE$130)+1),"")</f>
        <v>0</v>
      </c>
      <c r="CF171">
        <f>IFERROR(SMALL(CF47:CF127,ROW()-ROW($CF$130)+1),"")</f>
        <v>0</v>
      </c>
      <c r="CG171">
        <f>IFERROR(SMALL(CG47:CG127,ROW()-ROW($CG$130)+1),"")</f>
        <v>0</v>
      </c>
      <c r="CH171">
        <f>IFERROR(SMALL(CH47:CH127,ROW()-ROW($CH$130)+1),"")</f>
        <v>0</v>
      </c>
      <c r="CI171">
        <f>IFERROR(SMALL(CI47:CI127,ROW()-ROW($CI$130)+1),"")</f>
        <v>0</v>
      </c>
      <c r="CJ171">
        <f>IFERROR(SMALL(CJ47:CJ127,ROW()-ROW($CJ$130)+1),"")</f>
        <v>0</v>
      </c>
      <c r="CK171">
        <f>IFERROR(SMALL(CK47:CK127,ROW()-ROW($CK$130)+1),"")</f>
        <v>0</v>
      </c>
      <c r="CL171">
        <f>IFERROR(SMALL(CL47:CL127,ROW()-ROW($CL$130)+1),"")</f>
        <v>0</v>
      </c>
      <c r="CM171">
        <f>IFERROR(SMALL(CM47:CM127,ROW()-ROW($CM$130)+1),"")</f>
        <v>0</v>
      </c>
      <c r="CN171">
        <f>IFERROR(SMALL(CN47:CN127,ROW()-ROW($CN$130)+1),"")</f>
        <v>0</v>
      </c>
      <c r="CO171">
        <f>IFERROR(SMALL(CO47:CO127,ROW()-ROW($CO$130)+1),"")</f>
        <v>0</v>
      </c>
      <c r="CP171">
        <f>IFERROR(SMALL(CP47:CP127,ROW()-ROW($CP$130)+1),"")</f>
        <v>0</v>
      </c>
      <c r="CQ171">
        <f>IFERROR(SMALL(CQ47:CQ127,ROW()-ROW($CQ$130)+1),"")</f>
        <v>0</v>
      </c>
      <c r="CR171">
        <f>IFERROR(SMALL(CR47:CR127,ROW()-ROW($CR$130)+1),"")</f>
        <v>0</v>
      </c>
      <c r="CS171">
        <f>IFERROR(SMALL(CS47:CS127,ROW()-ROW($CS$130)+1),"")</f>
        <v>0</v>
      </c>
      <c r="CT171">
        <f>IFERROR(SMALL(CT47:CT127,ROW()-ROW($CT$130)+1),"")</f>
        <v>0</v>
      </c>
      <c r="CU171">
        <f>IFERROR(SMALL(CU47:CU127,ROW()-ROW($CU$130)+1),"")</f>
        <v>0</v>
      </c>
      <c r="CV171">
        <f>IFERROR(SMALL(CV47:CV127,ROW()-ROW($CV$130)+1),"")</f>
        <v>0</v>
      </c>
      <c r="CW171">
        <f>IFERROR(SMALL(CW47:CW127,ROW()-ROW($CW$130)+1),"")</f>
        <v>0</v>
      </c>
      <c r="CX171">
        <f>IFERROR(SMALL(CX47:CX127,ROW()-ROW($CX$130)+1),"")</f>
        <v>0</v>
      </c>
      <c r="CY171">
        <f>IFERROR(SMALL(CY47:CY127,ROW()-ROW($CY$130)+1),"")</f>
        <v>0</v>
      </c>
      <c r="CZ171">
        <f>IFERROR(SMALL(CZ47:CZ127,ROW()-ROW($CZ$130)+1),"")</f>
        <v>0</v>
      </c>
      <c r="DA171">
        <f>IFERROR(SMALL(DA47:DA127,ROW()-ROW($DA$130)+1),"")</f>
        <v>0</v>
      </c>
      <c r="DB171">
        <f>IFERROR(SMALL(DB47:DB127,ROW()-ROW($DB$130)+1),"")</f>
        <v>0</v>
      </c>
      <c r="DC171">
        <f>IFERROR(SMALL(DC47:DC127,ROW()-ROW($DC$130)+1),"")</f>
        <v>0</v>
      </c>
      <c r="DD171">
        <f>IFERROR(SMALL(DD47:DD127,ROW()-ROW($DD$130)+1),"")</f>
        <v>0</v>
      </c>
      <c r="DE171">
        <f>IFERROR(SMALL(DE47:DE127,ROW()-ROW($DE$130)+1),"")</f>
        <v>0</v>
      </c>
      <c r="DF171">
        <f>IFERROR(SMALL(DF47:DF127,ROW()-ROW($DF$130)+1),"")</f>
        <v>0</v>
      </c>
      <c r="DG171">
        <f>IFERROR(SMALL(DG47:DG127,ROW()-ROW($DG$130)+1),"")</f>
        <v>0</v>
      </c>
      <c r="DH171">
        <f>IFERROR(SMALL(DH47:DH127,ROW()-ROW($DH$130)+1),"")</f>
        <v>0</v>
      </c>
      <c r="DI171">
        <f>IFERROR(SMALL(DI47:DI127,ROW()-ROW($DI$130)+1),"")</f>
        <v>0</v>
      </c>
      <c r="DJ171">
        <f>IFERROR(SMALL(DJ47:DJ127,ROW()-ROW($DJ$130)+1),"")</f>
        <v>0</v>
      </c>
      <c r="DK171">
        <f>IFERROR(SMALL(DK47:DK127,ROW()-ROW($DK$130)+1),"")</f>
        <v>0</v>
      </c>
      <c r="DL171">
        <f>IFERROR(SMALL(DL47:DL127,ROW()-ROW($DL$130)+1),"")</f>
        <v>0</v>
      </c>
      <c r="DM171">
        <f>IFERROR(SMALL(DM47:DM127,ROW()-ROW($DM$130)+1),"")</f>
        <v>0</v>
      </c>
      <c r="DN171">
        <f>IFERROR(SMALL(DN47:DN127,ROW()-ROW($DN$130)+1),"")</f>
        <v>0</v>
      </c>
      <c r="DO171">
        <f>IFERROR(SMALL(DO47:DO127,ROW()-ROW($DO$130)+1),"")</f>
        <v>0</v>
      </c>
      <c r="DP171">
        <f>IFERROR(SMALL(DP47:DP127,ROW()-ROW($DP$130)+1),"")</f>
        <v>0</v>
      </c>
      <c r="DQ171">
        <f>IFERROR(SMALL(DQ47:DQ127,ROW()-ROW($DQ$130)+1),"")</f>
        <v>0</v>
      </c>
      <c r="DR171">
        <f>IFERROR(SMALL(DR47:DR127,ROW()-ROW($DR$130)+1),"")</f>
        <v>0</v>
      </c>
      <c r="DS171">
        <f>IFERROR(SMALL(DS47:DS127,ROW()-ROW($DS$130)+1),"")</f>
        <v>0</v>
      </c>
      <c r="DT171">
        <f>IFERROR(SMALL(DT47:DT127,ROW()-ROW($DT$130)+1),"")</f>
        <v>0</v>
      </c>
      <c r="DU171">
        <f>IFERROR(SMALL(DU47:DU127,ROW()-ROW($DU$130)+1),"")</f>
        <v>0</v>
      </c>
      <c r="DV171">
        <f>IFERROR(SMALL(DV47:DV127,ROW()-ROW($DV$130)+1),"")</f>
        <v>0</v>
      </c>
      <c r="DW171">
        <f>IFERROR(SMALL(DW47:DW127,ROW()-ROW($DW$130)+1),"")</f>
        <v>0</v>
      </c>
      <c r="DX171">
        <f>IFERROR(SMALL(DX47:DX127,ROW()-ROW($DX$130)+1),"")</f>
        <v>0</v>
      </c>
      <c r="DY171">
        <f>IFERROR(SMALL(DY47:DY127,ROW()-ROW($DY$130)+1),"")</f>
        <v>0</v>
      </c>
      <c r="DZ171">
        <f>IFERROR(SMALL(DZ47:DZ127,ROW()-ROW($DZ$130)+1),"")</f>
        <v>0</v>
      </c>
      <c r="EA171">
        <f>IFERROR(SMALL(EA47:EA127,ROW()-ROW($EA$130)+1),"")</f>
        <v>0</v>
      </c>
      <c r="EB171">
        <f>IFERROR(SMALL(EB47:EB127,ROW()-ROW($EB$130)+1),"")</f>
        <v>0</v>
      </c>
      <c r="EC171">
        <f>IFERROR(SMALL(EC47:EC127,ROW()-ROW($EC$130)+1),"")</f>
        <v>0</v>
      </c>
      <c r="ED171">
        <f>IFERROR(SMALL(ED47:ED127,ROW()-ROW($ED$130)+1),"")</f>
        <v>0</v>
      </c>
    </row>
    <row r="172" spans="5:134">
      <c r="E172">
        <f>IFERROR(SMALL(E47:E127,ROW()-ROW($E$130)+1),"")</f>
        <v>0</v>
      </c>
      <c r="F172">
        <f>IFERROR(SMALL(F47:F127,ROW()-ROW($F$130)+1),"")</f>
        <v>0</v>
      </c>
      <c r="G172">
        <f>IFERROR(SMALL(G47:G127,ROW()-ROW($G$130)+1),"")</f>
        <v>0</v>
      </c>
      <c r="H172">
        <f>IFERROR(SMALL(H47:H127,ROW()-ROW($H$130)+1),"")</f>
        <v>0</v>
      </c>
      <c r="I172">
        <f>IFERROR(SMALL(I47:I127,ROW()-ROW($I$130)+1),"")</f>
        <v>0</v>
      </c>
      <c r="J172">
        <f>IFERROR(SMALL(J47:J127,ROW()-ROW($J$130)+1),"")</f>
        <v>0</v>
      </c>
      <c r="K172">
        <f>IFERROR(SMALL(K47:K127,ROW()-ROW($K$130)+1),"")</f>
        <v>0</v>
      </c>
      <c r="L172">
        <f>IFERROR(SMALL(L47:L127,ROW()-ROW($L$130)+1),"")</f>
        <v>0</v>
      </c>
      <c r="M172">
        <f>IFERROR(SMALL(M47:M127,ROW()-ROW($M$130)+1),"")</f>
        <v>0</v>
      </c>
      <c r="N172">
        <f>IFERROR(SMALL(N47:N127,ROW()-ROW($N$130)+1),"")</f>
        <v>0</v>
      </c>
      <c r="O172">
        <f>IFERROR(SMALL(O47:O127,ROW()-ROW($O$130)+1),"")</f>
        <v>0</v>
      </c>
      <c r="P172">
        <f>IFERROR(SMALL(P47:P127,ROW()-ROW($P$130)+1),"")</f>
        <v>0</v>
      </c>
      <c r="Q172">
        <f>IFERROR(SMALL(Q47:Q127,ROW()-ROW($Q$130)+1),"")</f>
        <v>0</v>
      </c>
      <c r="R172">
        <f>IFERROR(SMALL(R47:R127,ROW()-ROW($R$130)+1),"")</f>
        <v>0</v>
      </c>
      <c r="S172">
        <f>IFERROR(SMALL(S47:S127,ROW()-ROW($S$130)+1),"")</f>
        <v>0</v>
      </c>
      <c r="T172">
        <f>IFERROR(SMALL(T47:T127,ROW()-ROW($T$130)+1),"")</f>
        <v>0</v>
      </c>
      <c r="U172">
        <f>IFERROR(SMALL(U47:U127,ROW()-ROW($U$130)+1),"")</f>
        <v>0</v>
      </c>
      <c r="V172">
        <f>IFERROR(SMALL(V47:V127,ROW()-ROW($V$130)+1),"")</f>
        <v>0</v>
      </c>
      <c r="W172">
        <f>IFERROR(SMALL(W47:W127,ROW()-ROW($W$130)+1),"")</f>
        <v>0</v>
      </c>
      <c r="X172">
        <f>IFERROR(SMALL(X47:X127,ROW()-ROW($X$130)+1),"")</f>
        <v>0</v>
      </c>
      <c r="Y172">
        <f>IFERROR(SMALL(Y47:Y127,ROW()-ROW($Y$130)+1),"")</f>
        <v>0</v>
      </c>
      <c r="Z172">
        <f>IFERROR(SMALL(Z47:Z127,ROW()-ROW($Z$130)+1),"")</f>
        <v>0</v>
      </c>
      <c r="AA172">
        <f>IFERROR(SMALL(AA47:AA127,ROW()-ROW($AA$130)+1),"")</f>
        <v>0</v>
      </c>
      <c r="AB172">
        <f>IFERROR(SMALL(AB47:AB127,ROW()-ROW($AB$130)+1),"")</f>
        <v>0</v>
      </c>
      <c r="AC172">
        <f>IFERROR(SMALL(AC47:AC127,ROW()-ROW($AC$130)+1),"")</f>
        <v>0</v>
      </c>
      <c r="AD172">
        <f>IFERROR(SMALL(AD47:AD127,ROW()-ROW($AD$130)+1),"")</f>
        <v>0</v>
      </c>
      <c r="AE172">
        <f>IFERROR(SMALL(AE47:AE127,ROW()-ROW($AE$130)+1),"")</f>
        <v>0</v>
      </c>
      <c r="AF172">
        <f>IFERROR(SMALL(AF47:AF127,ROW()-ROW($AF$130)+1),"")</f>
        <v>0</v>
      </c>
      <c r="AG172">
        <f>IFERROR(SMALL(AG47:AG127,ROW()-ROW($AG$130)+1),"")</f>
        <v>0</v>
      </c>
      <c r="AH172">
        <f>IFERROR(SMALL(AH47:AH127,ROW()-ROW($AH$130)+1),"")</f>
        <v>0</v>
      </c>
      <c r="AI172">
        <f>IFERROR(SMALL(AI47:AI127,ROW()-ROW($AI$130)+1),"")</f>
        <v>0</v>
      </c>
      <c r="AJ172">
        <f>IFERROR(SMALL(AJ47:AJ127,ROW()-ROW($AJ$130)+1),"")</f>
        <v>0</v>
      </c>
      <c r="AK172">
        <f>IFERROR(SMALL(AK47:AK127,ROW()-ROW($AK$130)+1),"")</f>
        <v>0</v>
      </c>
      <c r="AL172">
        <f>IFERROR(SMALL(AL47:AL127,ROW()-ROW($AL$130)+1),"")</f>
        <v>0</v>
      </c>
      <c r="AM172">
        <f>IFERROR(SMALL(AM47:AM127,ROW()-ROW($AM$130)+1),"")</f>
        <v>0</v>
      </c>
      <c r="AN172">
        <f>IFERROR(SMALL(AN47:AN127,ROW()-ROW($AN$130)+1),"")</f>
        <v>0</v>
      </c>
      <c r="AO172">
        <f>IFERROR(SMALL(AO47:AO127,ROW()-ROW($AO$130)+1),"")</f>
        <v>0</v>
      </c>
      <c r="AP172">
        <f>IFERROR(SMALL(AP47:AP127,ROW()-ROW($AP$130)+1),"")</f>
        <v>0</v>
      </c>
      <c r="AQ172">
        <f>IFERROR(SMALL(AQ47:AQ127,ROW()-ROW($AQ$130)+1),"")</f>
        <v>0</v>
      </c>
      <c r="AR172">
        <f>IFERROR(SMALL(AR47:AR127,ROW()-ROW($AR$130)+1),"")</f>
        <v>0</v>
      </c>
      <c r="AS172">
        <f>IFERROR(SMALL(AS47:AS127,ROW()-ROW($AS$130)+1),"")</f>
        <v>0</v>
      </c>
      <c r="AT172">
        <f>IFERROR(SMALL(AT47:AT127,ROW()-ROW($AT$130)+1),"")</f>
        <v>0</v>
      </c>
      <c r="AU172">
        <f>IFERROR(SMALL(AU47:AU127,ROW()-ROW($AU$130)+1),"")</f>
        <v>0</v>
      </c>
      <c r="AV172">
        <f>IFERROR(SMALL(AV47:AV127,ROW()-ROW($AV$130)+1),"")</f>
        <v>0</v>
      </c>
      <c r="AW172">
        <f>IFERROR(SMALL(AW47:AW127,ROW()-ROW($AW$130)+1),"")</f>
        <v>0</v>
      </c>
      <c r="AX172">
        <f>IFERROR(SMALL(AX47:AX127,ROW()-ROW($AX$130)+1),"")</f>
        <v>0</v>
      </c>
      <c r="AY172">
        <f>IFERROR(SMALL(AY47:AY127,ROW()-ROW($AY$130)+1),"")</f>
        <v>0</v>
      </c>
      <c r="AZ172">
        <f>IFERROR(SMALL(AZ47:AZ127,ROW()-ROW($AZ$130)+1),"")</f>
        <v>0</v>
      </c>
      <c r="BA172">
        <f>IFERROR(SMALL(BA47:BA127,ROW()-ROW($BA$130)+1),"")</f>
        <v>0</v>
      </c>
      <c r="BB172">
        <f>IFERROR(SMALL(BB47:BB127,ROW()-ROW($BB$130)+1),"")</f>
        <v>0</v>
      </c>
      <c r="BC172">
        <f>IFERROR(SMALL(BC47:BC127,ROW()-ROW($BC$130)+1),"")</f>
        <v>0</v>
      </c>
      <c r="BD172">
        <f>IFERROR(SMALL(BD47:BD127,ROW()-ROW($BD$130)+1),"")</f>
        <v>0</v>
      </c>
      <c r="BE172">
        <f>IFERROR(SMALL(BE47:BE127,ROW()-ROW($BE$130)+1),"")</f>
        <v>0</v>
      </c>
      <c r="BF172">
        <f>IFERROR(SMALL(BF47:BF127,ROW()-ROW($BF$130)+1),"")</f>
        <v>0</v>
      </c>
      <c r="BG172">
        <f>IFERROR(SMALL(BG47:BG127,ROW()-ROW($BG$130)+1),"")</f>
        <v>0</v>
      </c>
      <c r="BH172">
        <f>IFERROR(SMALL(BH47:BH127,ROW()-ROW($BH$130)+1),"")</f>
        <v>0</v>
      </c>
      <c r="BI172">
        <f>IFERROR(SMALL(BI47:BI127,ROW()-ROW($BI$130)+1),"")</f>
        <v>0</v>
      </c>
      <c r="BJ172">
        <f>IFERROR(SMALL(BJ47:BJ127,ROW()-ROW($BJ$130)+1),"")</f>
        <v>0</v>
      </c>
      <c r="BK172">
        <f>IFERROR(SMALL(BK47:BK127,ROW()-ROW($BK$130)+1),"")</f>
        <v>0</v>
      </c>
      <c r="BL172">
        <f>IFERROR(SMALL(BL47:BL127,ROW()-ROW($BL$130)+1),"")</f>
        <v>0</v>
      </c>
      <c r="BM172">
        <f>IFERROR(SMALL(BM47:BM127,ROW()-ROW($BM$130)+1),"")</f>
        <v>0</v>
      </c>
      <c r="BN172">
        <f>IFERROR(SMALL(BN47:BN127,ROW()-ROW($BN$130)+1),"")</f>
        <v>0</v>
      </c>
      <c r="BO172">
        <f>IFERROR(SMALL(BO47:BO127,ROW()-ROW($BO$130)+1),"")</f>
        <v>0</v>
      </c>
      <c r="BP172">
        <f>IFERROR(SMALL(BP47:BP127,ROW()-ROW($BP$130)+1),"")</f>
        <v>0</v>
      </c>
      <c r="BS172">
        <f>IFERROR(SMALL(BS47:BS127,ROW()-ROW($BS$130)+1),"")</f>
        <v>0</v>
      </c>
      <c r="BT172">
        <f>IFERROR(SMALL(BT47:BT127,ROW()-ROW($BT$130)+1),"")</f>
        <v>0</v>
      </c>
      <c r="BU172">
        <f>IFERROR(SMALL(BU47:BU127,ROW()-ROW($BU$130)+1),"")</f>
        <v>0</v>
      </c>
      <c r="BV172">
        <f>IFERROR(SMALL(BV47:BV127,ROW()-ROW($BV$130)+1),"")</f>
        <v>0</v>
      </c>
      <c r="BW172">
        <f>IFERROR(SMALL(BW47:BW127,ROW()-ROW($BW$130)+1),"")</f>
        <v>0</v>
      </c>
      <c r="BX172">
        <f>IFERROR(SMALL(BX47:BX127,ROW()-ROW($BX$130)+1),"")</f>
        <v>0</v>
      </c>
      <c r="BY172">
        <f>IFERROR(SMALL(BY47:BY127,ROW()-ROW($BY$130)+1),"")</f>
        <v>0</v>
      </c>
      <c r="BZ172">
        <f>IFERROR(SMALL(BZ47:BZ127,ROW()-ROW($BZ$130)+1),"")</f>
        <v>0</v>
      </c>
      <c r="CA172">
        <f>IFERROR(SMALL(CA47:CA127,ROW()-ROW($CA$130)+1),"")</f>
        <v>0</v>
      </c>
      <c r="CB172">
        <f>IFERROR(SMALL(CB47:CB127,ROW()-ROW($CB$130)+1),"")</f>
        <v>0</v>
      </c>
      <c r="CC172">
        <f>IFERROR(SMALL(CC47:CC127,ROW()-ROW($CC$130)+1),"")</f>
        <v>0</v>
      </c>
      <c r="CD172">
        <f>IFERROR(SMALL(CD47:CD127,ROW()-ROW($CD$130)+1),"")</f>
        <v>0</v>
      </c>
      <c r="CE172">
        <f>IFERROR(SMALL(CE47:CE127,ROW()-ROW($CE$130)+1),"")</f>
        <v>0</v>
      </c>
      <c r="CF172">
        <f>IFERROR(SMALL(CF47:CF127,ROW()-ROW($CF$130)+1),"")</f>
        <v>0</v>
      </c>
      <c r="CG172">
        <f>IFERROR(SMALL(CG47:CG127,ROW()-ROW($CG$130)+1),"")</f>
        <v>0</v>
      </c>
      <c r="CH172">
        <f>IFERROR(SMALL(CH47:CH127,ROW()-ROW($CH$130)+1),"")</f>
        <v>0</v>
      </c>
      <c r="CI172">
        <f>IFERROR(SMALL(CI47:CI127,ROW()-ROW($CI$130)+1),"")</f>
        <v>0</v>
      </c>
      <c r="CJ172">
        <f>IFERROR(SMALL(CJ47:CJ127,ROW()-ROW($CJ$130)+1),"")</f>
        <v>0</v>
      </c>
      <c r="CK172">
        <f>IFERROR(SMALL(CK47:CK127,ROW()-ROW($CK$130)+1),"")</f>
        <v>0</v>
      </c>
      <c r="CL172">
        <f>IFERROR(SMALL(CL47:CL127,ROW()-ROW($CL$130)+1),"")</f>
        <v>0</v>
      </c>
      <c r="CM172">
        <f>IFERROR(SMALL(CM47:CM127,ROW()-ROW($CM$130)+1),"")</f>
        <v>0</v>
      </c>
      <c r="CN172">
        <f>IFERROR(SMALL(CN47:CN127,ROW()-ROW($CN$130)+1),"")</f>
        <v>0</v>
      </c>
      <c r="CO172">
        <f>IFERROR(SMALL(CO47:CO127,ROW()-ROW($CO$130)+1),"")</f>
        <v>0</v>
      </c>
      <c r="CP172">
        <f>IFERROR(SMALL(CP47:CP127,ROW()-ROW($CP$130)+1),"")</f>
        <v>0</v>
      </c>
      <c r="CQ172">
        <f>IFERROR(SMALL(CQ47:CQ127,ROW()-ROW($CQ$130)+1),"")</f>
        <v>0</v>
      </c>
      <c r="CR172">
        <f>IFERROR(SMALL(CR47:CR127,ROW()-ROW($CR$130)+1),"")</f>
        <v>0</v>
      </c>
      <c r="CS172">
        <f>IFERROR(SMALL(CS47:CS127,ROW()-ROW($CS$130)+1),"")</f>
        <v>0</v>
      </c>
      <c r="CT172">
        <f>IFERROR(SMALL(CT47:CT127,ROW()-ROW($CT$130)+1),"")</f>
        <v>0</v>
      </c>
      <c r="CU172">
        <f>IFERROR(SMALL(CU47:CU127,ROW()-ROW($CU$130)+1),"")</f>
        <v>0</v>
      </c>
      <c r="CV172">
        <f>IFERROR(SMALL(CV47:CV127,ROW()-ROW($CV$130)+1),"")</f>
        <v>0</v>
      </c>
      <c r="CW172">
        <f>IFERROR(SMALL(CW47:CW127,ROW()-ROW($CW$130)+1),"")</f>
        <v>0</v>
      </c>
      <c r="CX172">
        <f>IFERROR(SMALL(CX47:CX127,ROW()-ROW($CX$130)+1),"")</f>
        <v>0</v>
      </c>
      <c r="CY172">
        <f>IFERROR(SMALL(CY47:CY127,ROW()-ROW($CY$130)+1),"")</f>
        <v>0</v>
      </c>
      <c r="CZ172">
        <f>IFERROR(SMALL(CZ47:CZ127,ROW()-ROW($CZ$130)+1),"")</f>
        <v>0</v>
      </c>
      <c r="DA172">
        <f>IFERROR(SMALL(DA47:DA127,ROW()-ROW($DA$130)+1),"")</f>
        <v>0</v>
      </c>
      <c r="DB172">
        <f>IFERROR(SMALL(DB47:DB127,ROW()-ROW($DB$130)+1),"")</f>
        <v>0</v>
      </c>
      <c r="DC172">
        <f>IFERROR(SMALL(DC47:DC127,ROW()-ROW($DC$130)+1),"")</f>
        <v>0</v>
      </c>
      <c r="DD172">
        <f>IFERROR(SMALL(DD47:DD127,ROW()-ROW($DD$130)+1),"")</f>
        <v>0</v>
      </c>
      <c r="DE172">
        <f>IFERROR(SMALL(DE47:DE127,ROW()-ROW($DE$130)+1),"")</f>
        <v>0</v>
      </c>
      <c r="DF172">
        <f>IFERROR(SMALL(DF47:DF127,ROW()-ROW($DF$130)+1),"")</f>
        <v>0</v>
      </c>
      <c r="DG172">
        <f>IFERROR(SMALL(DG47:DG127,ROW()-ROW($DG$130)+1),"")</f>
        <v>0</v>
      </c>
      <c r="DH172">
        <f>IFERROR(SMALL(DH47:DH127,ROW()-ROW($DH$130)+1),"")</f>
        <v>0</v>
      </c>
      <c r="DI172">
        <f>IFERROR(SMALL(DI47:DI127,ROW()-ROW($DI$130)+1),"")</f>
        <v>0</v>
      </c>
      <c r="DJ172">
        <f>IFERROR(SMALL(DJ47:DJ127,ROW()-ROW($DJ$130)+1),"")</f>
        <v>0</v>
      </c>
      <c r="DK172">
        <f>IFERROR(SMALL(DK47:DK127,ROW()-ROW($DK$130)+1),"")</f>
        <v>0</v>
      </c>
      <c r="DL172">
        <f>IFERROR(SMALL(DL47:DL127,ROW()-ROW($DL$130)+1),"")</f>
        <v>0</v>
      </c>
      <c r="DM172">
        <f>IFERROR(SMALL(DM47:DM127,ROW()-ROW($DM$130)+1),"")</f>
        <v>0</v>
      </c>
      <c r="DN172">
        <f>IFERROR(SMALL(DN47:DN127,ROW()-ROW($DN$130)+1),"")</f>
        <v>0</v>
      </c>
      <c r="DO172">
        <f>IFERROR(SMALL(DO47:DO127,ROW()-ROW($DO$130)+1),"")</f>
        <v>0</v>
      </c>
      <c r="DP172">
        <f>IFERROR(SMALL(DP47:DP127,ROW()-ROW($DP$130)+1),"")</f>
        <v>0</v>
      </c>
      <c r="DQ172">
        <f>IFERROR(SMALL(DQ47:DQ127,ROW()-ROW($DQ$130)+1),"")</f>
        <v>0</v>
      </c>
      <c r="DR172">
        <f>IFERROR(SMALL(DR47:DR127,ROW()-ROW($DR$130)+1),"")</f>
        <v>0</v>
      </c>
      <c r="DS172">
        <f>IFERROR(SMALL(DS47:DS127,ROW()-ROW($DS$130)+1),"")</f>
        <v>0</v>
      </c>
      <c r="DT172">
        <f>IFERROR(SMALL(DT47:DT127,ROW()-ROW($DT$130)+1),"")</f>
        <v>0</v>
      </c>
      <c r="DU172">
        <f>IFERROR(SMALL(DU47:DU127,ROW()-ROW($DU$130)+1),"")</f>
        <v>0</v>
      </c>
      <c r="DV172">
        <f>IFERROR(SMALL(DV47:DV127,ROW()-ROW($DV$130)+1),"")</f>
        <v>0</v>
      </c>
      <c r="DW172">
        <f>IFERROR(SMALL(DW47:DW127,ROW()-ROW($DW$130)+1),"")</f>
        <v>0</v>
      </c>
      <c r="DX172">
        <f>IFERROR(SMALL(DX47:DX127,ROW()-ROW($DX$130)+1),"")</f>
        <v>0</v>
      </c>
      <c r="DY172">
        <f>IFERROR(SMALL(DY47:DY127,ROW()-ROW($DY$130)+1),"")</f>
        <v>0</v>
      </c>
      <c r="DZ172">
        <f>IFERROR(SMALL(DZ47:DZ127,ROW()-ROW($DZ$130)+1),"")</f>
        <v>0</v>
      </c>
      <c r="EA172">
        <f>IFERROR(SMALL(EA47:EA127,ROW()-ROW($EA$130)+1),"")</f>
        <v>0</v>
      </c>
      <c r="EB172">
        <f>IFERROR(SMALL(EB47:EB127,ROW()-ROW($EB$130)+1),"")</f>
        <v>0</v>
      </c>
      <c r="EC172">
        <f>IFERROR(SMALL(EC47:EC127,ROW()-ROW($EC$130)+1),"")</f>
        <v>0</v>
      </c>
      <c r="ED172">
        <f>IFERROR(SMALL(ED47:ED127,ROW()-ROW($ED$130)+1),"")</f>
        <v>0</v>
      </c>
    </row>
    <row r="173" spans="5:134">
      <c r="E173">
        <f>IFERROR(SMALL(E47:E127,ROW()-ROW($E$130)+1),"")</f>
        <v>0</v>
      </c>
      <c r="F173">
        <f>IFERROR(SMALL(F47:F127,ROW()-ROW($F$130)+1),"")</f>
        <v>0</v>
      </c>
      <c r="G173">
        <f>IFERROR(SMALL(G47:G127,ROW()-ROW($G$130)+1),"")</f>
        <v>0</v>
      </c>
      <c r="H173">
        <f>IFERROR(SMALL(H47:H127,ROW()-ROW($H$130)+1),"")</f>
        <v>0</v>
      </c>
      <c r="I173">
        <f>IFERROR(SMALL(I47:I127,ROW()-ROW($I$130)+1),"")</f>
        <v>0</v>
      </c>
      <c r="J173">
        <f>IFERROR(SMALL(J47:J127,ROW()-ROW($J$130)+1),"")</f>
        <v>0</v>
      </c>
      <c r="K173">
        <f>IFERROR(SMALL(K47:K127,ROW()-ROW($K$130)+1),"")</f>
        <v>0</v>
      </c>
      <c r="L173">
        <f>IFERROR(SMALL(L47:L127,ROW()-ROW($L$130)+1),"")</f>
        <v>0</v>
      </c>
      <c r="M173">
        <f>IFERROR(SMALL(M47:M127,ROW()-ROW($M$130)+1),"")</f>
        <v>0</v>
      </c>
      <c r="N173">
        <f>IFERROR(SMALL(N47:N127,ROW()-ROW($N$130)+1),"")</f>
        <v>0</v>
      </c>
      <c r="O173">
        <f>IFERROR(SMALL(O47:O127,ROW()-ROW($O$130)+1),"")</f>
        <v>0</v>
      </c>
      <c r="P173">
        <f>IFERROR(SMALL(P47:P127,ROW()-ROW($P$130)+1),"")</f>
        <v>0</v>
      </c>
      <c r="Q173">
        <f>IFERROR(SMALL(Q47:Q127,ROW()-ROW($Q$130)+1),"")</f>
        <v>0</v>
      </c>
      <c r="R173">
        <f>IFERROR(SMALL(R47:R127,ROW()-ROW($R$130)+1),"")</f>
        <v>0</v>
      </c>
      <c r="S173">
        <f>IFERROR(SMALL(S47:S127,ROW()-ROW($S$130)+1),"")</f>
        <v>0</v>
      </c>
      <c r="T173">
        <f>IFERROR(SMALL(T47:T127,ROW()-ROW($T$130)+1),"")</f>
        <v>0</v>
      </c>
      <c r="U173">
        <f>IFERROR(SMALL(U47:U127,ROW()-ROW($U$130)+1),"")</f>
        <v>0</v>
      </c>
      <c r="V173">
        <f>IFERROR(SMALL(V47:V127,ROW()-ROW($V$130)+1),"")</f>
        <v>0</v>
      </c>
      <c r="W173">
        <f>IFERROR(SMALL(W47:W127,ROW()-ROW($W$130)+1),"")</f>
        <v>0</v>
      </c>
      <c r="X173">
        <f>IFERROR(SMALL(X47:X127,ROW()-ROW($X$130)+1),"")</f>
        <v>0</v>
      </c>
      <c r="Y173">
        <f>IFERROR(SMALL(Y47:Y127,ROW()-ROW($Y$130)+1),"")</f>
        <v>0</v>
      </c>
      <c r="Z173">
        <f>IFERROR(SMALL(Z47:Z127,ROW()-ROW($Z$130)+1),"")</f>
        <v>0</v>
      </c>
      <c r="AA173">
        <f>IFERROR(SMALL(AA47:AA127,ROW()-ROW($AA$130)+1),"")</f>
        <v>0</v>
      </c>
      <c r="AB173">
        <f>IFERROR(SMALL(AB47:AB127,ROW()-ROW($AB$130)+1),"")</f>
        <v>0</v>
      </c>
      <c r="AC173">
        <f>IFERROR(SMALL(AC47:AC127,ROW()-ROW($AC$130)+1),"")</f>
        <v>0</v>
      </c>
      <c r="AD173">
        <f>IFERROR(SMALL(AD47:AD127,ROW()-ROW($AD$130)+1),"")</f>
        <v>0</v>
      </c>
      <c r="AE173">
        <f>IFERROR(SMALL(AE47:AE127,ROW()-ROW($AE$130)+1),"")</f>
        <v>0</v>
      </c>
      <c r="AF173">
        <f>IFERROR(SMALL(AF47:AF127,ROW()-ROW($AF$130)+1),"")</f>
        <v>0</v>
      </c>
      <c r="AG173">
        <f>IFERROR(SMALL(AG47:AG127,ROW()-ROW($AG$130)+1),"")</f>
        <v>0</v>
      </c>
      <c r="AH173">
        <f>IFERROR(SMALL(AH47:AH127,ROW()-ROW($AH$130)+1),"")</f>
        <v>0</v>
      </c>
      <c r="AI173">
        <f>IFERROR(SMALL(AI47:AI127,ROW()-ROW($AI$130)+1),"")</f>
        <v>0</v>
      </c>
      <c r="AJ173">
        <f>IFERROR(SMALL(AJ47:AJ127,ROW()-ROW($AJ$130)+1),"")</f>
        <v>0</v>
      </c>
      <c r="AK173">
        <f>IFERROR(SMALL(AK47:AK127,ROW()-ROW($AK$130)+1),"")</f>
        <v>0</v>
      </c>
      <c r="AL173">
        <f>IFERROR(SMALL(AL47:AL127,ROW()-ROW($AL$130)+1),"")</f>
        <v>0</v>
      </c>
      <c r="AM173">
        <f>IFERROR(SMALL(AM47:AM127,ROW()-ROW($AM$130)+1),"")</f>
        <v>0</v>
      </c>
      <c r="AN173">
        <f>IFERROR(SMALL(AN47:AN127,ROW()-ROW($AN$130)+1),"")</f>
        <v>0</v>
      </c>
      <c r="AO173">
        <f>IFERROR(SMALL(AO47:AO127,ROW()-ROW($AO$130)+1),"")</f>
        <v>0</v>
      </c>
      <c r="AP173">
        <f>IFERROR(SMALL(AP47:AP127,ROW()-ROW($AP$130)+1),"")</f>
        <v>0</v>
      </c>
      <c r="AQ173">
        <f>IFERROR(SMALL(AQ47:AQ127,ROW()-ROW($AQ$130)+1),"")</f>
        <v>0</v>
      </c>
      <c r="AR173">
        <f>IFERROR(SMALL(AR47:AR127,ROW()-ROW($AR$130)+1),"")</f>
        <v>0</v>
      </c>
      <c r="AS173">
        <f>IFERROR(SMALL(AS47:AS127,ROW()-ROW($AS$130)+1),"")</f>
        <v>0</v>
      </c>
      <c r="AT173">
        <f>IFERROR(SMALL(AT47:AT127,ROW()-ROW($AT$130)+1),"")</f>
        <v>0</v>
      </c>
      <c r="AU173">
        <f>IFERROR(SMALL(AU47:AU127,ROW()-ROW($AU$130)+1),"")</f>
        <v>0</v>
      </c>
      <c r="AV173">
        <f>IFERROR(SMALL(AV47:AV127,ROW()-ROW($AV$130)+1),"")</f>
        <v>0</v>
      </c>
      <c r="AW173">
        <f>IFERROR(SMALL(AW47:AW127,ROW()-ROW($AW$130)+1),"")</f>
        <v>0</v>
      </c>
      <c r="AX173">
        <f>IFERROR(SMALL(AX47:AX127,ROW()-ROW($AX$130)+1),"")</f>
        <v>0</v>
      </c>
      <c r="AY173">
        <f>IFERROR(SMALL(AY47:AY127,ROW()-ROW($AY$130)+1),"")</f>
        <v>0</v>
      </c>
      <c r="AZ173">
        <f>IFERROR(SMALL(AZ47:AZ127,ROW()-ROW($AZ$130)+1),"")</f>
        <v>0</v>
      </c>
      <c r="BA173">
        <f>IFERROR(SMALL(BA47:BA127,ROW()-ROW($BA$130)+1),"")</f>
        <v>0</v>
      </c>
      <c r="BB173">
        <f>IFERROR(SMALL(BB47:BB127,ROW()-ROW($BB$130)+1),"")</f>
        <v>0</v>
      </c>
      <c r="BC173">
        <f>IFERROR(SMALL(BC47:BC127,ROW()-ROW($BC$130)+1),"")</f>
        <v>0</v>
      </c>
      <c r="BD173">
        <f>IFERROR(SMALL(BD47:BD127,ROW()-ROW($BD$130)+1),"")</f>
        <v>0</v>
      </c>
      <c r="BE173">
        <f>IFERROR(SMALL(BE47:BE127,ROW()-ROW($BE$130)+1),"")</f>
        <v>0</v>
      </c>
      <c r="BF173">
        <f>IFERROR(SMALL(BF47:BF127,ROW()-ROW($BF$130)+1),"")</f>
        <v>0</v>
      </c>
      <c r="BG173">
        <f>IFERROR(SMALL(BG47:BG127,ROW()-ROW($BG$130)+1),"")</f>
        <v>0</v>
      </c>
      <c r="BH173">
        <f>IFERROR(SMALL(BH47:BH127,ROW()-ROW($BH$130)+1),"")</f>
        <v>0</v>
      </c>
      <c r="BI173">
        <f>IFERROR(SMALL(BI47:BI127,ROW()-ROW($BI$130)+1),"")</f>
        <v>0</v>
      </c>
      <c r="BJ173">
        <f>IFERROR(SMALL(BJ47:BJ127,ROW()-ROW($BJ$130)+1),"")</f>
        <v>0</v>
      </c>
      <c r="BK173">
        <f>IFERROR(SMALL(BK47:BK127,ROW()-ROW($BK$130)+1),"")</f>
        <v>0</v>
      </c>
      <c r="BL173">
        <f>IFERROR(SMALL(BL47:BL127,ROW()-ROW($BL$130)+1),"")</f>
        <v>0</v>
      </c>
      <c r="BM173">
        <f>IFERROR(SMALL(BM47:BM127,ROW()-ROW($BM$130)+1),"")</f>
        <v>0</v>
      </c>
      <c r="BN173">
        <f>IFERROR(SMALL(BN47:BN127,ROW()-ROW($BN$130)+1),"")</f>
        <v>0</v>
      </c>
      <c r="BO173">
        <f>IFERROR(SMALL(BO47:BO127,ROW()-ROW($BO$130)+1),"")</f>
        <v>0</v>
      </c>
      <c r="BP173">
        <f>IFERROR(SMALL(BP47:BP127,ROW()-ROW($BP$130)+1),"")</f>
        <v>0</v>
      </c>
      <c r="BS173">
        <f>IFERROR(SMALL(BS47:BS127,ROW()-ROW($BS$130)+1),"")</f>
        <v>0</v>
      </c>
      <c r="BT173">
        <f>IFERROR(SMALL(BT47:BT127,ROW()-ROW($BT$130)+1),"")</f>
        <v>0</v>
      </c>
      <c r="BU173">
        <f>IFERROR(SMALL(BU47:BU127,ROW()-ROW($BU$130)+1),"")</f>
        <v>0</v>
      </c>
      <c r="BV173">
        <f>IFERROR(SMALL(BV47:BV127,ROW()-ROW($BV$130)+1),"")</f>
        <v>0</v>
      </c>
      <c r="BW173">
        <f>IFERROR(SMALL(BW47:BW127,ROW()-ROW($BW$130)+1),"")</f>
        <v>0</v>
      </c>
      <c r="BX173">
        <f>IFERROR(SMALL(BX47:BX127,ROW()-ROW($BX$130)+1),"")</f>
        <v>0</v>
      </c>
      <c r="BY173">
        <f>IFERROR(SMALL(BY47:BY127,ROW()-ROW($BY$130)+1),"")</f>
        <v>0</v>
      </c>
      <c r="BZ173">
        <f>IFERROR(SMALL(BZ47:BZ127,ROW()-ROW($BZ$130)+1),"")</f>
        <v>0</v>
      </c>
      <c r="CA173">
        <f>IFERROR(SMALL(CA47:CA127,ROW()-ROW($CA$130)+1),"")</f>
        <v>0</v>
      </c>
      <c r="CB173">
        <f>IFERROR(SMALL(CB47:CB127,ROW()-ROW($CB$130)+1),"")</f>
        <v>0</v>
      </c>
      <c r="CC173">
        <f>IFERROR(SMALL(CC47:CC127,ROW()-ROW($CC$130)+1),"")</f>
        <v>0</v>
      </c>
      <c r="CD173">
        <f>IFERROR(SMALL(CD47:CD127,ROW()-ROW($CD$130)+1),"")</f>
        <v>0</v>
      </c>
      <c r="CE173">
        <f>IFERROR(SMALL(CE47:CE127,ROW()-ROW($CE$130)+1),"")</f>
        <v>0</v>
      </c>
      <c r="CF173">
        <f>IFERROR(SMALL(CF47:CF127,ROW()-ROW($CF$130)+1),"")</f>
        <v>0</v>
      </c>
      <c r="CG173">
        <f>IFERROR(SMALL(CG47:CG127,ROW()-ROW($CG$130)+1),"")</f>
        <v>0</v>
      </c>
      <c r="CH173">
        <f>IFERROR(SMALL(CH47:CH127,ROW()-ROW($CH$130)+1),"")</f>
        <v>0</v>
      </c>
      <c r="CI173">
        <f>IFERROR(SMALL(CI47:CI127,ROW()-ROW($CI$130)+1),"")</f>
        <v>0</v>
      </c>
      <c r="CJ173">
        <f>IFERROR(SMALL(CJ47:CJ127,ROW()-ROW($CJ$130)+1),"")</f>
        <v>0</v>
      </c>
      <c r="CK173">
        <f>IFERROR(SMALL(CK47:CK127,ROW()-ROW($CK$130)+1),"")</f>
        <v>0</v>
      </c>
      <c r="CL173">
        <f>IFERROR(SMALL(CL47:CL127,ROW()-ROW($CL$130)+1),"")</f>
        <v>0</v>
      </c>
      <c r="CM173">
        <f>IFERROR(SMALL(CM47:CM127,ROW()-ROW($CM$130)+1),"")</f>
        <v>0</v>
      </c>
      <c r="CN173">
        <f>IFERROR(SMALL(CN47:CN127,ROW()-ROW($CN$130)+1),"")</f>
        <v>0</v>
      </c>
      <c r="CO173">
        <f>IFERROR(SMALL(CO47:CO127,ROW()-ROW($CO$130)+1),"")</f>
        <v>0</v>
      </c>
      <c r="CP173">
        <f>IFERROR(SMALL(CP47:CP127,ROW()-ROW($CP$130)+1),"")</f>
        <v>0</v>
      </c>
      <c r="CQ173">
        <f>IFERROR(SMALL(CQ47:CQ127,ROW()-ROW($CQ$130)+1),"")</f>
        <v>0</v>
      </c>
      <c r="CR173">
        <f>IFERROR(SMALL(CR47:CR127,ROW()-ROW($CR$130)+1),"")</f>
        <v>0</v>
      </c>
      <c r="CS173">
        <f>IFERROR(SMALL(CS47:CS127,ROW()-ROW($CS$130)+1),"")</f>
        <v>0</v>
      </c>
      <c r="CT173">
        <f>IFERROR(SMALL(CT47:CT127,ROW()-ROW($CT$130)+1),"")</f>
        <v>0</v>
      </c>
      <c r="CU173">
        <f>IFERROR(SMALL(CU47:CU127,ROW()-ROW($CU$130)+1),"")</f>
        <v>0</v>
      </c>
      <c r="CV173">
        <f>IFERROR(SMALL(CV47:CV127,ROW()-ROW($CV$130)+1),"")</f>
        <v>0</v>
      </c>
      <c r="CW173">
        <f>IFERROR(SMALL(CW47:CW127,ROW()-ROW($CW$130)+1),"")</f>
        <v>0</v>
      </c>
      <c r="CX173">
        <f>IFERROR(SMALL(CX47:CX127,ROW()-ROW($CX$130)+1),"")</f>
        <v>0</v>
      </c>
      <c r="CY173">
        <f>IFERROR(SMALL(CY47:CY127,ROW()-ROW($CY$130)+1),"")</f>
        <v>0</v>
      </c>
      <c r="CZ173">
        <f>IFERROR(SMALL(CZ47:CZ127,ROW()-ROW($CZ$130)+1),"")</f>
        <v>0</v>
      </c>
      <c r="DA173">
        <f>IFERROR(SMALL(DA47:DA127,ROW()-ROW($DA$130)+1),"")</f>
        <v>0</v>
      </c>
      <c r="DB173">
        <f>IFERROR(SMALL(DB47:DB127,ROW()-ROW($DB$130)+1),"")</f>
        <v>0</v>
      </c>
      <c r="DC173">
        <f>IFERROR(SMALL(DC47:DC127,ROW()-ROW($DC$130)+1),"")</f>
        <v>0</v>
      </c>
      <c r="DD173">
        <f>IFERROR(SMALL(DD47:DD127,ROW()-ROW($DD$130)+1),"")</f>
        <v>0</v>
      </c>
      <c r="DE173">
        <f>IFERROR(SMALL(DE47:DE127,ROW()-ROW($DE$130)+1),"")</f>
        <v>0</v>
      </c>
      <c r="DF173">
        <f>IFERROR(SMALL(DF47:DF127,ROW()-ROW($DF$130)+1),"")</f>
        <v>0</v>
      </c>
      <c r="DG173">
        <f>IFERROR(SMALL(DG47:DG127,ROW()-ROW($DG$130)+1),"")</f>
        <v>0</v>
      </c>
      <c r="DH173">
        <f>IFERROR(SMALL(DH47:DH127,ROW()-ROW($DH$130)+1),"")</f>
        <v>0</v>
      </c>
      <c r="DI173">
        <f>IFERROR(SMALL(DI47:DI127,ROW()-ROW($DI$130)+1),"")</f>
        <v>0</v>
      </c>
      <c r="DJ173">
        <f>IFERROR(SMALL(DJ47:DJ127,ROW()-ROW($DJ$130)+1),"")</f>
        <v>0</v>
      </c>
      <c r="DK173">
        <f>IFERROR(SMALL(DK47:DK127,ROW()-ROW($DK$130)+1),"")</f>
        <v>0</v>
      </c>
      <c r="DL173">
        <f>IFERROR(SMALL(DL47:DL127,ROW()-ROW($DL$130)+1),"")</f>
        <v>0</v>
      </c>
      <c r="DM173">
        <f>IFERROR(SMALL(DM47:DM127,ROW()-ROW($DM$130)+1),"")</f>
        <v>0</v>
      </c>
      <c r="DN173">
        <f>IFERROR(SMALL(DN47:DN127,ROW()-ROW($DN$130)+1),"")</f>
        <v>0</v>
      </c>
      <c r="DO173">
        <f>IFERROR(SMALL(DO47:DO127,ROW()-ROW($DO$130)+1),"")</f>
        <v>0</v>
      </c>
      <c r="DP173">
        <f>IFERROR(SMALL(DP47:DP127,ROW()-ROW($DP$130)+1),"")</f>
        <v>0</v>
      </c>
      <c r="DQ173">
        <f>IFERROR(SMALL(DQ47:DQ127,ROW()-ROW($DQ$130)+1),"")</f>
        <v>0</v>
      </c>
      <c r="DR173">
        <f>IFERROR(SMALL(DR47:DR127,ROW()-ROW($DR$130)+1),"")</f>
        <v>0</v>
      </c>
      <c r="DS173">
        <f>IFERROR(SMALL(DS47:DS127,ROW()-ROW($DS$130)+1),"")</f>
        <v>0</v>
      </c>
      <c r="DT173">
        <f>IFERROR(SMALL(DT47:DT127,ROW()-ROW($DT$130)+1),"")</f>
        <v>0</v>
      </c>
      <c r="DU173">
        <f>IFERROR(SMALL(DU47:DU127,ROW()-ROW($DU$130)+1),"")</f>
        <v>0</v>
      </c>
      <c r="DV173">
        <f>IFERROR(SMALL(DV47:DV127,ROW()-ROW($DV$130)+1),"")</f>
        <v>0</v>
      </c>
      <c r="DW173">
        <f>IFERROR(SMALL(DW47:DW127,ROW()-ROW($DW$130)+1),"")</f>
        <v>0</v>
      </c>
      <c r="DX173">
        <f>IFERROR(SMALL(DX47:DX127,ROW()-ROW($DX$130)+1),"")</f>
        <v>0</v>
      </c>
      <c r="DY173">
        <f>IFERROR(SMALL(DY47:DY127,ROW()-ROW($DY$130)+1),"")</f>
        <v>0</v>
      </c>
      <c r="DZ173">
        <f>IFERROR(SMALL(DZ47:DZ127,ROW()-ROW($DZ$130)+1),"")</f>
        <v>0</v>
      </c>
      <c r="EA173">
        <f>IFERROR(SMALL(EA47:EA127,ROW()-ROW($EA$130)+1),"")</f>
        <v>0</v>
      </c>
      <c r="EB173">
        <f>IFERROR(SMALL(EB47:EB127,ROW()-ROW($EB$130)+1),"")</f>
        <v>0</v>
      </c>
      <c r="EC173">
        <f>IFERROR(SMALL(EC47:EC127,ROW()-ROW($EC$130)+1),"")</f>
        <v>0</v>
      </c>
      <c r="ED173">
        <f>IFERROR(SMALL(ED47:ED127,ROW()-ROW($ED$130)+1),"")</f>
        <v>0</v>
      </c>
    </row>
    <row r="174" spans="5:134">
      <c r="E174">
        <f>IFERROR(SMALL(E47:E127,ROW()-ROW($E$130)+1),"")</f>
        <v>0</v>
      </c>
      <c r="F174">
        <f>IFERROR(SMALL(F47:F127,ROW()-ROW($F$130)+1),"")</f>
        <v>0</v>
      </c>
      <c r="G174">
        <f>IFERROR(SMALL(G47:G127,ROW()-ROW($G$130)+1),"")</f>
        <v>0</v>
      </c>
      <c r="H174">
        <f>IFERROR(SMALL(H47:H127,ROW()-ROW($H$130)+1),"")</f>
        <v>0</v>
      </c>
      <c r="I174">
        <f>IFERROR(SMALL(I47:I127,ROW()-ROW($I$130)+1),"")</f>
        <v>0</v>
      </c>
      <c r="J174">
        <f>IFERROR(SMALL(J47:J127,ROW()-ROW($J$130)+1),"")</f>
        <v>0</v>
      </c>
      <c r="K174">
        <f>IFERROR(SMALL(K47:K127,ROW()-ROW($K$130)+1),"")</f>
        <v>0</v>
      </c>
      <c r="L174">
        <f>IFERROR(SMALL(L47:L127,ROW()-ROW($L$130)+1),"")</f>
        <v>0</v>
      </c>
      <c r="M174">
        <f>IFERROR(SMALL(M47:M127,ROW()-ROW($M$130)+1),"")</f>
        <v>0</v>
      </c>
      <c r="N174">
        <f>IFERROR(SMALL(N47:N127,ROW()-ROW($N$130)+1),"")</f>
        <v>0</v>
      </c>
      <c r="O174">
        <f>IFERROR(SMALL(O47:O127,ROW()-ROW($O$130)+1),"")</f>
        <v>0</v>
      </c>
      <c r="P174">
        <f>IFERROR(SMALL(P47:P127,ROW()-ROW($P$130)+1),"")</f>
        <v>0</v>
      </c>
      <c r="Q174">
        <f>IFERROR(SMALL(Q47:Q127,ROW()-ROW($Q$130)+1),"")</f>
        <v>0</v>
      </c>
      <c r="R174">
        <f>IFERROR(SMALL(R47:R127,ROW()-ROW($R$130)+1),"")</f>
        <v>0</v>
      </c>
      <c r="S174">
        <f>IFERROR(SMALL(S47:S127,ROW()-ROW($S$130)+1),"")</f>
        <v>0</v>
      </c>
      <c r="T174">
        <f>IFERROR(SMALL(T47:T127,ROW()-ROW($T$130)+1),"")</f>
        <v>0</v>
      </c>
      <c r="U174">
        <f>IFERROR(SMALL(U47:U127,ROW()-ROW($U$130)+1),"")</f>
        <v>0</v>
      </c>
      <c r="V174">
        <f>IFERROR(SMALL(V47:V127,ROW()-ROW($V$130)+1),"")</f>
        <v>0</v>
      </c>
      <c r="W174">
        <f>IFERROR(SMALL(W47:W127,ROW()-ROW($W$130)+1),"")</f>
        <v>0</v>
      </c>
      <c r="X174">
        <f>IFERROR(SMALL(X47:X127,ROW()-ROW($X$130)+1),"")</f>
        <v>0</v>
      </c>
      <c r="Y174">
        <f>IFERROR(SMALL(Y47:Y127,ROW()-ROW($Y$130)+1),"")</f>
        <v>0</v>
      </c>
      <c r="Z174">
        <f>IFERROR(SMALL(Z47:Z127,ROW()-ROW($Z$130)+1),"")</f>
        <v>0</v>
      </c>
      <c r="AA174">
        <f>IFERROR(SMALL(AA47:AA127,ROW()-ROW($AA$130)+1),"")</f>
        <v>0</v>
      </c>
      <c r="AB174">
        <f>IFERROR(SMALL(AB47:AB127,ROW()-ROW($AB$130)+1),"")</f>
        <v>0</v>
      </c>
      <c r="AC174">
        <f>IFERROR(SMALL(AC47:AC127,ROW()-ROW($AC$130)+1),"")</f>
        <v>0</v>
      </c>
      <c r="AD174">
        <f>IFERROR(SMALL(AD47:AD127,ROW()-ROW($AD$130)+1),"")</f>
        <v>0</v>
      </c>
      <c r="AE174">
        <f>IFERROR(SMALL(AE47:AE127,ROW()-ROW($AE$130)+1),"")</f>
        <v>0</v>
      </c>
      <c r="AF174">
        <f>IFERROR(SMALL(AF47:AF127,ROW()-ROW($AF$130)+1),"")</f>
        <v>0</v>
      </c>
      <c r="AG174">
        <f>IFERROR(SMALL(AG47:AG127,ROW()-ROW($AG$130)+1),"")</f>
        <v>0</v>
      </c>
      <c r="AH174">
        <f>IFERROR(SMALL(AH47:AH127,ROW()-ROW($AH$130)+1),"")</f>
        <v>0</v>
      </c>
      <c r="AI174">
        <f>IFERROR(SMALL(AI47:AI127,ROW()-ROW($AI$130)+1),"")</f>
        <v>0</v>
      </c>
      <c r="AJ174">
        <f>IFERROR(SMALL(AJ47:AJ127,ROW()-ROW($AJ$130)+1),"")</f>
        <v>0</v>
      </c>
      <c r="AK174">
        <f>IFERROR(SMALL(AK47:AK127,ROW()-ROW($AK$130)+1),"")</f>
        <v>0</v>
      </c>
      <c r="AL174">
        <f>IFERROR(SMALL(AL47:AL127,ROW()-ROW($AL$130)+1),"")</f>
        <v>0</v>
      </c>
      <c r="AM174">
        <f>IFERROR(SMALL(AM47:AM127,ROW()-ROW($AM$130)+1),"")</f>
        <v>0</v>
      </c>
      <c r="AN174">
        <f>IFERROR(SMALL(AN47:AN127,ROW()-ROW($AN$130)+1),"")</f>
        <v>0</v>
      </c>
      <c r="AO174">
        <f>IFERROR(SMALL(AO47:AO127,ROW()-ROW($AO$130)+1),"")</f>
        <v>0</v>
      </c>
      <c r="AP174">
        <f>IFERROR(SMALL(AP47:AP127,ROW()-ROW($AP$130)+1),"")</f>
        <v>0</v>
      </c>
      <c r="AQ174">
        <f>IFERROR(SMALL(AQ47:AQ127,ROW()-ROW($AQ$130)+1),"")</f>
        <v>0</v>
      </c>
      <c r="AR174">
        <f>IFERROR(SMALL(AR47:AR127,ROW()-ROW($AR$130)+1),"")</f>
        <v>0</v>
      </c>
      <c r="AS174">
        <f>IFERROR(SMALL(AS47:AS127,ROW()-ROW($AS$130)+1),"")</f>
        <v>0</v>
      </c>
      <c r="AT174">
        <f>IFERROR(SMALL(AT47:AT127,ROW()-ROW($AT$130)+1),"")</f>
        <v>0</v>
      </c>
      <c r="AU174">
        <f>IFERROR(SMALL(AU47:AU127,ROW()-ROW($AU$130)+1),"")</f>
        <v>0</v>
      </c>
      <c r="AV174">
        <f>IFERROR(SMALL(AV47:AV127,ROW()-ROW($AV$130)+1),"")</f>
        <v>0</v>
      </c>
      <c r="AW174">
        <f>IFERROR(SMALL(AW47:AW127,ROW()-ROW($AW$130)+1),"")</f>
        <v>0</v>
      </c>
      <c r="AX174">
        <f>IFERROR(SMALL(AX47:AX127,ROW()-ROW($AX$130)+1),"")</f>
        <v>0</v>
      </c>
      <c r="AY174">
        <f>IFERROR(SMALL(AY47:AY127,ROW()-ROW($AY$130)+1),"")</f>
        <v>0</v>
      </c>
      <c r="AZ174">
        <f>IFERROR(SMALL(AZ47:AZ127,ROW()-ROW($AZ$130)+1),"")</f>
        <v>0</v>
      </c>
      <c r="BA174">
        <f>IFERROR(SMALL(BA47:BA127,ROW()-ROW($BA$130)+1),"")</f>
        <v>0</v>
      </c>
      <c r="BB174">
        <f>IFERROR(SMALL(BB47:BB127,ROW()-ROW($BB$130)+1),"")</f>
        <v>0</v>
      </c>
      <c r="BC174">
        <f>IFERROR(SMALL(BC47:BC127,ROW()-ROW($BC$130)+1),"")</f>
        <v>0</v>
      </c>
      <c r="BD174">
        <f>IFERROR(SMALL(BD47:BD127,ROW()-ROW($BD$130)+1),"")</f>
        <v>0</v>
      </c>
      <c r="BE174">
        <f>IFERROR(SMALL(BE47:BE127,ROW()-ROW($BE$130)+1),"")</f>
        <v>0</v>
      </c>
      <c r="BF174">
        <f>IFERROR(SMALL(BF47:BF127,ROW()-ROW($BF$130)+1),"")</f>
        <v>0</v>
      </c>
      <c r="BG174">
        <f>IFERROR(SMALL(BG47:BG127,ROW()-ROW($BG$130)+1),"")</f>
        <v>0</v>
      </c>
      <c r="BH174">
        <f>IFERROR(SMALL(BH47:BH127,ROW()-ROW($BH$130)+1),"")</f>
        <v>0</v>
      </c>
      <c r="BI174">
        <f>IFERROR(SMALL(BI47:BI127,ROW()-ROW($BI$130)+1),"")</f>
        <v>0</v>
      </c>
      <c r="BJ174">
        <f>IFERROR(SMALL(BJ47:BJ127,ROW()-ROW($BJ$130)+1),"")</f>
        <v>0</v>
      </c>
      <c r="BK174">
        <f>IFERROR(SMALL(BK47:BK127,ROW()-ROW($BK$130)+1),"")</f>
        <v>0</v>
      </c>
      <c r="BL174">
        <f>IFERROR(SMALL(BL47:BL127,ROW()-ROW($BL$130)+1),"")</f>
        <v>0</v>
      </c>
      <c r="BM174">
        <f>IFERROR(SMALL(BM47:BM127,ROW()-ROW($BM$130)+1),"")</f>
        <v>0</v>
      </c>
      <c r="BN174">
        <f>IFERROR(SMALL(BN47:BN127,ROW()-ROW($BN$130)+1),"")</f>
        <v>0</v>
      </c>
      <c r="BO174">
        <f>IFERROR(SMALL(BO47:BO127,ROW()-ROW($BO$130)+1),"")</f>
        <v>0</v>
      </c>
      <c r="BP174">
        <f>IFERROR(SMALL(BP47:BP127,ROW()-ROW($BP$130)+1),"")</f>
        <v>0</v>
      </c>
      <c r="BS174">
        <f>IFERROR(SMALL(BS47:BS127,ROW()-ROW($BS$130)+1),"")</f>
        <v>0</v>
      </c>
      <c r="BT174">
        <f>IFERROR(SMALL(BT47:BT127,ROW()-ROW($BT$130)+1),"")</f>
        <v>0</v>
      </c>
      <c r="BU174">
        <f>IFERROR(SMALL(BU47:BU127,ROW()-ROW($BU$130)+1),"")</f>
        <v>0</v>
      </c>
      <c r="BV174">
        <f>IFERROR(SMALL(BV47:BV127,ROW()-ROW($BV$130)+1),"")</f>
        <v>0</v>
      </c>
      <c r="BW174">
        <f>IFERROR(SMALL(BW47:BW127,ROW()-ROW($BW$130)+1),"")</f>
        <v>0</v>
      </c>
      <c r="BX174">
        <f>IFERROR(SMALL(BX47:BX127,ROW()-ROW($BX$130)+1),"")</f>
        <v>0</v>
      </c>
      <c r="BY174">
        <f>IFERROR(SMALL(BY47:BY127,ROW()-ROW($BY$130)+1),"")</f>
        <v>0</v>
      </c>
      <c r="BZ174">
        <f>IFERROR(SMALL(BZ47:BZ127,ROW()-ROW($BZ$130)+1),"")</f>
        <v>0</v>
      </c>
      <c r="CA174">
        <f>IFERROR(SMALL(CA47:CA127,ROW()-ROW($CA$130)+1),"")</f>
        <v>0</v>
      </c>
      <c r="CB174">
        <f>IFERROR(SMALL(CB47:CB127,ROW()-ROW($CB$130)+1),"")</f>
        <v>0</v>
      </c>
      <c r="CC174">
        <f>IFERROR(SMALL(CC47:CC127,ROW()-ROW($CC$130)+1),"")</f>
        <v>0</v>
      </c>
      <c r="CD174">
        <f>IFERROR(SMALL(CD47:CD127,ROW()-ROW($CD$130)+1),"")</f>
        <v>0</v>
      </c>
      <c r="CE174">
        <f>IFERROR(SMALL(CE47:CE127,ROW()-ROW($CE$130)+1),"")</f>
        <v>0</v>
      </c>
      <c r="CF174">
        <f>IFERROR(SMALL(CF47:CF127,ROW()-ROW($CF$130)+1),"")</f>
        <v>0</v>
      </c>
      <c r="CG174">
        <f>IFERROR(SMALL(CG47:CG127,ROW()-ROW($CG$130)+1),"")</f>
        <v>0</v>
      </c>
      <c r="CH174">
        <f>IFERROR(SMALL(CH47:CH127,ROW()-ROW($CH$130)+1),"")</f>
        <v>0</v>
      </c>
      <c r="CI174">
        <f>IFERROR(SMALL(CI47:CI127,ROW()-ROW($CI$130)+1),"")</f>
        <v>0</v>
      </c>
      <c r="CJ174">
        <f>IFERROR(SMALL(CJ47:CJ127,ROW()-ROW($CJ$130)+1),"")</f>
        <v>0</v>
      </c>
      <c r="CK174">
        <f>IFERROR(SMALL(CK47:CK127,ROW()-ROW($CK$130)+1),"")</f>
        <v>0</v>
      </c>
      <c r="CL174">
        <f>IFERROR(SMALL(CL47:CL127,ROW()-ROW($CL$130)+1),"")</f>
        <v>0</v>
      </c>
      <c r="CM174">
        <f>IFERROR(SMALL(CM47:CM127,ROW()-ROW($CM$130)+1),"")</f>
        <v>0</v>
      </c>
      <c r="CN174">
        <f>IFERROR(SMALL(CN47:CN127,ROW()-ROW($CN$130)+1),"")</f>
        <v>0</v>
      </c>
      <c r="CO174">
        <f>IFERROR(SMALL(CO47:CO127,ROW()-ROW($CO$130)+1),"")</f>
        <v>0</v>
      </c>
      <c r="CP174">
        <f>IFERROR(SMALL(CP47:CP127,ROW()-ROW($CP$130)+1),"")</f>
        <v>0</v>
      </c>
      <c r="CQ174">
        <f>IFERROR(SMALL(CQ47:CQ127,ROW()-ROW($CQ$130)+1),"")</f>
        <v>0</v>
      </c>
      <c r="CR174">
        <f>IFERROR(SMALL(CR47:CR127,ROW()-ROW($CR$130)+1),"")</f>
        <v>0</v>
      </c>
      <c r="CS174">
        <f>IFERROR(SMALL(CS47:CS127,ROW()-ROW($CS$130)+1),"")</f>
        <v>0</v>
      </c>
      <c r="CT174">
        <f>IFERROR(SMALL(CT47:CT127,ROW()-ROW($CT$130)+1),"")</f>
        <v>0</v>
      </c>
      <c r="CU174">
        <f>IFERROR(SMALL(CU47:CU127,ROW()-ROW($CU$130)+1),"")</f>
        <v>0</v>
      </c>
      <c r="CV174">
        <f>IFERROR(SMALL(CV47:CV127,ROW()-ROW($CV$130)+1),"")</f>
        <v>0</v>
      </c>
      <c r="CW174">
        <f>IFERROR(SMALL(CW47:CW127,ROW()-ROW($CW$130)+1),"")</f>
        <v>0</v>
      </c>
      <c r="CX174">
        <f>IFERROR(SMALL(CX47:CX127,ROW()-ROW($CX$130)+1),"")</f>
        <v>0</v>
      </c>
      <c r="CY174">
        <f>IFERROR(SMALL(CY47:CY127,ROW()-ROW($CY$130)+1),"")</f>
        <v>0</v>
      </c>
      <c r="CZ174">
        <f>IFERROR(SMALL(CZ47:CZ127,ROW()-ROW($CZ$130)+1),"")</f>
        <v>0</v>
      </c>
      <c r="DA174">
        <f>IFERROR(SMALL(DA47:DA127,ROW()-ROW($DA$130)+1),"")</f>
        <v>0</v>
      </c>
      <c r="DB174">
        <f>IFERROR(SMALL(DB47:DB127,ROW()-ROW($DB$130)+1),"")</f>
        <v>0</v>
      </c>
      <c r="DC174">
        <f>IFERROR(SMALL(DC47:DC127,ROW()-ROW($DC$130)+1),"")</f>
        <v>0</v>
      </c>
      <c r="DD174">
        <f>IFERROR(SMALL(DD47:DD127,ROW()-ROW($DD$130)+1),"")</f>
        <v>0</v>
      </c>
      <c r="DE174">
        <f>IFERROR(SMALL(DE47:DE127,ROW()-ROW($DE$130)+1),"")</f>
        <v>0</v>
      </c>
      <c r="DF174">
        <f>IFERROR(SMALL(DF47:DF127,ROW()-ROW($DF$130)+1),"")</f>
        <v>0</v>
      </c>
      <c r="DG174">
        <f>IFERROR(SMALL(DG47:DG127,ROW()-ROW($DG$130)+1),"")</f>
        <v>0</v>
      </c>
      <c r="DH174">
        <f>IFERROR(SMALL(DH47:DH127,ROW()-ROW($DH$130)+1),"")</f>
        <v>0</v>
      </c>
      <c r="DI174">
        <f>IFERROR(SMALL(DI47:DI127,ROW()-ROW($DI$130)+1),"")</f>
        <v>0</v>
      </c>
      <c r="DJ174">
        <f>IFERROR(SMALL(DJ47:DJ127,ROW()-ROW($DJ$130)+1),"")</f>
        <v>0</v>
      </c>
      <c r="DK174">
        <f>IFERROR(SMALL(DK47:DK127,ROW()-ROW($DK$130)+1),"")</f>
        <v>0</v>
      </c>
      <c r="DL174">
        <f>IFERROR(SMALL(DL47:DL127,ROW()-ROW($DL$130)+1),"")</f>
        <v>0</v>
      </c>
      <c r="DM174">
        <f>IFERROR(SMALL(DM47:DM127,ROW()-ROW($DM$130)+1),"")</f>
        <v>0</v>
      </c>
      <c r="DN174">
        <f>IFERROR(SMALL(DN47:DN127,ROW()-ROW($DN$130)+1),"")</f>
        <v>0</v>
      </c>
      <c r="DO174">
        <f>IFERROR(SMALL(DO47:DO127,ROW()-ROW($DO$130)+1),"")</f>
        <v>0</v>
      </c>
      <c r="DP174">
        <f>IFERROR(SMALL(DP47:DP127,ROW()-ROW($DP$130)+1),"")</f>
        <v>0</v>
      </c>
      <c r="DQ174">
        <f>IFERROR(SMALL(DQ47:DQ127,ROW()-ROW($DQ$130)+1),"")</f>
        <v>0</v>
      </c>
      <c r="DR174">
        <f>IFERROR(SMALL(DR47:DR127,ROW()-ROW($DR$130)+1),"")</f>
        <v>0</v>
      </c>
      <c r="DS174">
        <f>IFERROR(SMALL(DS47:DS127,ROW()-ROW($DS$130)+1),"")</f>
        <v>0</v>
      </c>
      <c r="DT174">
        <f>IFERROR(SMALL(DT47:DT127,ROW()-ROW($DT$130)+1),"")</f>
        <v>0</v>
      </c>
      <c r="DU174">
        <f>IFERROR(SMALL(DU47:DU127,ROW()-ROW($DU$130)+1),"")</f>
        <v>0</v>
      </c>
      <c r="DV174">
        <f>IFERROR(SMALL(DV47:DV127,ROW()-ROW($DV$130)+1),"")</f>
        <v>0</v>
      </c>
      <c r="DW174">
        <f>IFERROR(SMALL(DW47:DW127,ROW()-ROW($DW$130)+1),"")</f>
        <v>0</v>
      </c>
      <c r="DX174">
        <f>IFERROR(SMALL(DX47:DX127,ROW()-ROW($DX$130)+1),"")</f>
        <v>0</v>
      </c>
      <c r="DY174">
        <f>IFERROR(SMALL(DY47:DY127,ROW()-ROW($DY$130)+1),"")</f>
        <v>0</v>
      </c>
      <c r="DZ174">
        <f>IFERROR(SMALL(DZ47:DZ127,ROW()-ROW($DZ$130)+1),"")</f>
        <v>0</v>
      </c>
      <c r="EA174">
        <f>IFERROR(SMALL(EA47:EA127,ROW()-ROW($EA$130)+1),"")</f>
        <v>0</v>
      </c>
      <c r="EB174">
        <f>IFERROR(SMALL(EB47:EB127,ROW()-ROW($EB$130)+1),"")</f>
        <v>0</v>
      </c>
      <c r="EC174">
        <f>IFERROR(SMALL(EC47:EC127,ROW()-ROW($EC$130)+1),"")</f>
        <v>0</v>
      </c>
      <c r="ED174">
        <f>IFERROR(SMALL(ED47:ED127,ROW()-ROW($ED$130)+1),"")</f>
        <v>0</v>
      </c>
    </row>
    <row r="175" spans="5:134">
      <c r="E175">
        <f>IFERROR(SMALL(E47:E127,ROW()-ROW($E$130)+1),"")</f>
        <v>0</v>
      </c>
      <c r="F175">
        <f>IFERROR(SMALL(F47:F127,ROW()-ROW($F$130)+1),"")</f>
        <v>0</v>
      </c>
      <c r="G175">
        <f>IFERROR(SMALL(G47:G127,ROW()-ROW($G$130)+1),"")</f>
        <v>0</v>
      </c>
      <c r="H175">
        <f>IFERROR(SMALL(H47:H127,ROW()-ROW($H$130)+1),"")</f>
        <v>0</v>
      </c>
      <c r="I175">
        <f>IFERROR(SMALL(I47:I127,ROW()-ROW($I$130)+1),"")</f>
        <v>0</v>
      </c>
      <c r="J175">
        <f>IFERROR(SMALL(J47:J127,ROW()-ROW($J$130)+1),"")</f>
        <v>0</v>
      </c>
      <c r="K175">
        <f>IFERROR(SMALL(K47:K127,ROW()-ROW($K$130)+1),"")</f>
        <v>0</v>
      </c>
      <c r="L175">
        <f>IFERROR(SMALL(L47:L127,ROW()-ROW($L$130)+1),"")</f>
        <v>0</v>
      </c>
      <c r="M175">
        <f>IFERROR(SMALL(M47:M127,ROW()-ROW($M$130)+1),"")</f>
        <v>0</v>
      </c>
      <c r="N175">
        <f>IFERROR(SMALL(N47:N127,ROW()-ROW($N$130)+1),"")</f>
        <v>0</v>
      </c>
      <c r="O175">
        <f>IFERROR(SMALL(O47:O127,ROW()-ROW($O$130)+1),"")</f>
        <v>0</v>
      </c>
      <c r="P175">
        <f>IFERROR(SMALL(P47:P127,ROW()-ROW($P$130)+1),"")</f>
        <v>0</v>
      </c>
      <c r="Q175">
        <f>IFERROR(SMALL(Q47:Q127,ROW()-ROW($Q$130)+1),"")</f>
        <v>0</v>
      </c>
      <c r="R175">
        <f>IFERROR(SMALL(R47:R127,ROW()-ROW($R$130)+1),"")</f>
        <v>0</v>
      </c>
      <c r="S175">
        <f>IFERROR(SMALL(S47:S127,ROW()-ROW($S$130)+1),"")</f>
        <v>0</v>
      </c>
      <c r="T175">
        <f>IFERROR(SMALL(T47:T127,ROW()-ROW($T$130)+1),"")</f>
        <v>0</v>
      </c>
      <c r="U175">
        <f>IFERROR(SMALL(U47:U127,ROW()-ROW($U$130)+1),"")</f>
        <v>0</v>
      </c>
      <c r="V175">
        <f>IFERROR(SMALL(V47:V127,ROW()-ROW($V$130)+1),"")</f>
        <v>0</v>
      </c>
      <c r="W175">
        <f>IFERROR(SMALL(W47:W127,ROW()-ROW($W$130)+1),"")</f>
        <v>0</v>
      </c>
      <c r="X175">
        <f>IFERROR(SMALL(X47:X127,ROW()-ROW($X$130)+1),"")</f>
        <v>0</v>
      </c>
      <c r="Y175">
        <f>IFERROR(SMALL(Y47:Y127,ROW()-ROW($Y$130)+1),"")</f>
        <v>0</v>
      </c>
      <c r="Z175">
        <f>IFERROR(SMALL(Z47:Z127,ROW()-ROW($Z$130)+1),"")</f>
        <v>0</v>
      </c>
      <c r="AA175">
        <f>IFERROR(SMALL(AA47:AA127,ROW()-ROW($AA$130)+1),"")</f>
        <v>0</v>
      </c>
      <c r="AB175">
        <f>IFERROR(SMALL(AB47:AB127,ROW()-ROW($AB$130)+1),"")</f>
        <v>0</v>
      </c>
      <c r="AC175">
        <f>IFERROR(SMALL(AC47:AC127,ROW()-ROW($AC$130)+1),"")</f>
        <v>0</v>
      </c>
      <c r="AD175">
        <f>IFERROR(SMALL(AD47:AD127,ROW()-ROW($AD$130)+1),"")</f>
        <v>0</v>
      </c>
      <c r="AE175">
        <f>IFERROR(SMALL(AE47:AE127,ROW()-ROW($AE$130)+1),"")</f>
        <v>0</v>
      </c>
      <c r="AF175">
        <f>IFERROR(SMALL(AF47:AF127,ROW()-ROW($AF$130)+1),"")</f>
        <v>0</v>
      </c>
      <c r="AG175">
        <f>IFERROR(SMALL(AG47:AG127,ROW()-ROW($AG$130)+1),"")</f>
        <v>0</v>
      </c>
      <c r="AH175">
        <f>IFERROR(SMALL(AH47:AH127,ROW()-ROW($AH$130)+1),"")</f>
        <v>0</v>
      </c>
      <c r="AI175">
        <f>IFERROR(SMALL(AI47:AI127,ROW()-ROW($AI$130)+1),"")</f>
        <v>0</v>
      </c>
      <c r="AJ175">
        <f>IFERROR(SMALL(AJ47:AJ127,ROW()-ROW($AJ$130)+1),"")</f>
        <v>0</v>
      </c>
      <c r="AK175">
        <f>IFERROR(SMALL(AK47:AK127,ROW()-ROW($AK$130)+1),"")</f>
        <v>0</v>
      </c>
      <c r="AL175">
        <f>IFERROR(SMALL(AL47:AL127,ROW()-ROW($AL$130)+1),"")</f>
        <v>0</v>
      </c>
      <c r="AM175">
        <f>IFERROR(SMALL(AM47:AM127,ROW()-ROW($AM$130)+1),"")</f>
        <v>0</v>
      </c>
      <c r="AN175">
        <f>IFERROR(SMALL(AN47:AN127,ROW()-ROW($AN$130)+1),"")</f>
        <v>0</v>
      </c>
      <c r="AO175">
        <f>IFERROR(SMALL(AO47:AO127,ROW()-ROW($AO$130)+1),"")</f>
        <v>0</v>
      </c>
      <c r="AP175">
        <f>IFERROR(SMALL(AP47:AP127,ROW()-ROW($AP$130)+1),"")</f>
        <v>0</v>
      </c>
      <c r="AQ175">
        <f>IFERROR(SMALL(AQ47:AQ127,ROW()-ROW($AQ$130)+1),"")</f>
        <v>0</v>
      </c>
      <c r="AR175">
        <f>IFERROR(SMALL(AR47:AR127,ROW()-ROW($AR$130)+1),"")</f>
        <v>0</v>
      </c>
      <c r="AS175">
        <f>IFERROR(SMALL(AS47:AS127,ROW()-ROW($AS$130)+1),"")</f>
        <v>0</v>
      </c>
      <c r="AT175">
        <f>IFERROR(SMALL(AT47:AT127,ROW()-ROW($AT$130)+1),"")</f>
        <v>0</v>
      </c>
      <c r="AU175">
        <f>IFERROR(SMALL(AU47:AU127,ROW()-ROW($AU$130)+1),"")</f>
        <v>0</v>
      </c>
      <c r="AV175">
        <f>IFERROR(SMALL(AV47:AV127,ROW()-ROW($AV$130)+1),"")</f>
        <v>0</v>
      </c>
      <c r="AW175">
        <f>IFERROR(SMALL(AW47:AW127,ROW()-ROW($AW$130)+1),"")</f>
        <v>0</v>
      </c>
      <c r="AX175">
        <f>IFERROR(SMALL(AX47:AX127,ROW()-ROW($AX$130)+1),"")</f>
        <v>0</v>
      </c>
      <c r="AY175">
        <f>IFERROR(SMALL(AY47:AY127,ROW()-ROW($AY$130)+1),"")</f>
        <v>0</v>
      </c>
      <c r="AZ175">
        <f>IFERROR(SMALL(AZ47:AZ127,ROW()-ROW($AZ$130)+1),"")</f>
        <v>0</v>
      </c>
      <c r="BA175">
        <f>IFERROR(SMALL(BA47:BA127,ROW()-ROW($BA$130)+1),"")</f>
        <v>0</v>
      </c>
      <c r="BB175">
        <f>IFERROR(SMALL(BB47:BB127,ROW()-ROW($BB$130)+1),"")</f>
        <v>0</v>
      </c>
      <c r="BC175">
        <f>IFERROR(SMALL(BC47:BC127,ROW()-ROW($BC$130)+1),"")</f>
        <v>0</v>
      </c>
      <c r="BD175">
        <f>IFERROR(SMALL(BD47:BD127,ROW()-ROW($BD$130)+1),"")</f>
        <v>0</v>
      </c>
      <c r="BE175">
        <f>IFERROR(SMALL(BE47:BE127,ROW()-ROW($BE$130)+1),"")</f>
        <v>0</v>
      </c>
      <c r="BF175">
        <f>IFERROR(SMALL(BF47:BF127,ROW()-ROW($BF$130)+1),"")</f>
        <v>0</v>
      </c>
      <c r="BG175">
        <f>IFERROR(SMALL(BG47:BG127,ROW()-ROW($BG$130)+1),"")</f>
        <v>0</v>
      </c>
      <c r="BH175">
        <f>IFERROR(SMALL(BH47:BH127,ROW()-ROW($BH$130)+1),"")</f>
        <v>0</v>
      </c>
      <c r="BI175">
        <f>IFERROR(SMALL(BI47:BI127,ROW()-ROW($BI$130)+1),"")</f>
        <v>0</v>
      </c>
      <c r="BJ175">
        <f>IFERROR(SMALL(BJ47:BJ127,ROW()-ROW($BJ$130)+1),"")</f>
        <v>0</v>
      </c>
      <c r="BK175">
        <f>IFERROR(SMALL(BK47:BK127,ROW()-ROW($BK$130)+1),"")</f>
        <v>0</v>
      </c>
      <c r="BL175">
        <f>IFERROR(SMALL(BL47:BL127,ROW()-ROW($BL$130)+1),"")</f>
        <v>0</v>
      </c>
      <c r="BM175">
        <f>IFERROR(SMALL(BM47:BM127,ROW()-ROW($BM$130)+1),"")</f>
        <v>0</v>
      </c>
      <c r="BN175">
        <f>IFERROR(SMALL(BN47:BN127,ROW()-ROW($BN$130)+1),"")</f>
        <v>0</v>
      </c>
      <c r="BO175">
        <f>IFERROR(SMALL(BO47:BO127,ROW()-ROW($BO$130)+1),"")</f>
        <v>0</v>
      </c>
      <c r="BP175">
        <f>IFERROR(SMALL(BP47:BP127,ROW()-ROW($BP$130)+1),"")</f>
        <v>0</v>
      </c>
      <c r="BS175">
        <f>IFERROR(SMALL(BS47:BS127,ROW()-ROW($BS$130)+1),"")</f>
        <v>0</v>
      </c>
      <c r="BT175">
        <f>IFERROR(SMALL(BT47:BT127,ROW()-ROW($BT$130)+1),"")</f>
        <v>0</v>
      </c>
      <c r="BU175">
        <f>IFERROR(SMALL(BU47:BU127,ROW()-ROW($BU$130)+1),"")</f>
        <v>0</v>
      </c>
      <c r="BV175">
        <f>IFERROR(SMALL(BV47:BV127,ROW()-ROW($BV$130)+1),"")</f>
        <v>0</v>
      </c>
      <c r="BW175">
        <f>IFERROR(SMALL(BW47:BW127,ROW()-ROW($BW$130)+1),"")</f>
        <v>0</v>
      </c>
      <c r="BX175">
        <f>IFERROR(SMALL(BX47:BX127,ROW()-ROW($BX$130)+1),"")</f>
        <v>0</v>
      </c>
      <c r="BY175">
        <f>IFERROR(SMALL(BY47:BY127,ROW()-ROW($BY$130)+1),"")</f>
        <v>0</v>
      </c>
      <c r="BZ175">
        <f>IFERROR(SMALL(BZ47:BZ127,ROW()-ROW($BZ$130)+1),"")</f>
        <v>0</v>
      </c>
      <c r="CA175">
        <f>IFERROR(SMALL(CA47:CA127,ROW()-ROW($CA$130)+1),"")</f>
        <v>0</v>
      </c>
      <c r="CB175">
        <f>IFERROR(SMALL(CB47:CB127,ROW()-ROW($CB$130)+1),"")</f>
        <v>0</v>
      </c>
      <c r="CC175">
        <f>IFERROR(SMALL(CC47:CC127,ROW()-ROW($CC$130)+1),"")</f>
        <v>0</v>
      </c>
      <c r="CD175">
        <f>IFERROR(SMALL(CD47:CD127,ROW()-ROW($CD$130)+1),"")</f>
        <v>0</v>
      </c>
      <c r="CE175">
        <f>IFERROR(SMALL(CE47:CE127,ROW()-ROW($CE$130)+1),"")</f>
        <v>0</v>
      </c>
      <c r="CF175">
        <f>IFERROR(SMALL(CF47:CF127,ROW()-ROW($CF$130)+1),"")</f>
        <v>0</v>
      </c>
      <c r="CG175">
        <f>IFERROR(SMALL(CG47:CG127,ROW()-ROW($CG$130)+1),"")</f>
        <v>0</v>
      </c>
      <c r="CH175">
        <f>IFERROR(SMALL(CH47:CH127,ROW()-ROW($CH$130)+1),"")</f>
        <v>0</v>
      </c>
      <c r="CI175">
        <f>IFERROR(SMALL(CI47:CI127,ROW()-ROW($CI$130)+1),"")</f>
        <v>0</v>
      </c>
      <c r="CJ175">
        <f>IFERROR(SMALL(CJ47:CJ127,ROW()-ROW($CJ$130)+1),"")</f>
        <v>0</v>
      </c>
      <c r="CK175">
        <f>IFERROR(SMALL(CK47:CK127,ROW()-ROW($CK$130)+1),"")</f>
        <v>0</v>
      </c>
      <c r="CL175">
        <f>IFERROR(SMALL(CL47:CL127,ROW()-ROW($CL$130)+1),"")</f>
        <v>0</v>
      </c>
      <c r="CM175">
        <f>IFERROR(SMALL(CM47:CM127,ROW()-ROW($CM$130)+1),"")</f>
        <v>0</v>
      </c>
      <c r="CN175">
        <f>IFERROR(SMALL(CN47:CN127,ROW()-ROW($CN$130)+1),"")</f>
        <v>0</v>
      </c>
      <c r="CO175">
        <f>IFERROR(SMALL(CO47:CO127,ROW()-ROW($CO$130)+1),"")</f>
        <v>0</v>
      </c>
      <c r="CP175">
        <f>IFERROR(SMALL(CP47:CP127,ROW()-ROW($CP$130)+1),"")</f>
        <v>0</v>
      </c>
      <c r="CQ175">
        <f>IFERROR(SMALL(CQ47:CQ127,ROW()-ROW($CQ$130)+1),"")</f>
        <v>0</v>
      </c>
      <c r="CR175">
        <f>IFERROR(SMALL(CR47:CR127,ROW()-ROW($CR$130)+1),"")</f>
        <v>0</v>
      </c>
      <c r="CS175">
        <f>IFERROR(SMALL(CS47:CS127,ROW()-ROW($CS$130)+1),"")</f>
        <v>0</v>
      </c>
      <c r="CT175">
        <f>IFERROR(SMALL(CT47:CT127,ROW()-ROW($CT$130)+1),"")</f>
        <v>0</v>
      </c>
      <c r="CU175">
        <f>IFERROR(SMALL(CU47:CU127,ROW()-ROW($CU$130)+1),"")</f>
        <v>0</v>
      </c>
      <c r="CV175">
        <f>IFERROR(SMALL(CV47:CV127,ROW()-ROW($CV$130)+1),"")</f>
        <v>0</v>
      </c>
      <c r="CW175">
        <f>IFERROR(SMALL(CW47:CW127,ROW()-ROW($CW$130)+1),"")</f>
        <v>0</v>
      </c>
      <c r="CX175">
        <f>IFERROR(SMALL(CX47:CX127,ROW()-ROW($CX$130)+1),"")</f>
        <v>0</v>
      </c>
      <c r="CY175">
        <f>IFERROR(SMALL(CY47:CY127,ROW()-ROW($CY$130)+1),"")</f>
        <v>0</v>
      </c>
      <c r="CZ175">
        <f>IFERROR(SMALL(CZ47:CZ127,ROW()-ROW($CZ$130)+1),"")</f>
        <v>0</v>
      </c>
      <c r="DA175">
        <f>IFERROR(SMALL(DA47:DA127,ROW()-ROW($DA$130)+1),"")</f>
        <v>0</v>
      </c>
      <c r="DB175">
        <f>IFERROR(SMALL(DB47:DB127,ROW()-ROW($DB$130)+1),"")</f>
        <v>0</v>
      </c>
      <c r="DC175">
        <f>IFERROR(SMALL(DC47:DC127,ROW()-ROW($DC$130)+1),"")</f>
        <v>0</v>
      </c>
      <c r="DD175">
        <f>IFERROR(SMALL(DD47:DD127,ROW()-ROW($DD$130)+1),"")</f>
        <v>0</v>
      </c>
      <c r="DE175">
        <f>IFERROR(SMALL(DE47:DE127,ROW()-ROW($DE$130)+1),"")</f>
        <v>0</v>
      </c>
      <c r="DF175">
        <f>IFERROR(SMALL(DF47:DF127,ROW()-ROW($DF$130)+1),"")</f>
        <v>0</v>
      </c>
      <c r="DG175">
        <f>IFERROR(SMALL(DG47:DG127,ROW()-ROW($DG$130)+1),"")</f>
        <v>0</v>
      </c>
      <c r="DH175">
        <f>IFERROR(SMALL(DH47:DH127,ROW()-ROW($DH$130)+1),"")</f>
        <v>0</v>
      </c>
      <c r="DI175">
        <f>IFERROR(SMALL(DI47:DI127,ROW()-ROW($DI$130)+1),"")</f>
        <v>0</v>
      </c>
      <c r="DJ175">
        <f>IFERROR(SMALL(DJ47:DJ127,ROW()-ROW($DJ$130)+1),"")</f>
        <v>0</v>
      </c>
      <c r="DK175">
        <f>IFERROR(SMALL(DK47:DK127,ROW()-ROW($DK$130)+1),"")</f>
        <v>0</v>
      </c>
      <c r="DL175">
        <f>IFERROR(SMALL(DL47:DL127,ROW()-ROW($DL$130)+1),"")</f>
        <v>0</v>
      </c>
      <c r="DM175">
        <f>IFERROR(SMALL(DM47:DM127,ROW()-ROW($DM$130)+1),"")</f>
        <v>0</v>
      </c>
      <c r="DN175">
        <f>IFERROR(SMALL(DN47:DN127,ROW()-ROW($DN$130)+1),"")</f>
        <v>0</v>
      </c>
      <c r="DO175">
        <f>IFERROR(SMALL(DO47:DO127,ROW()-ROW($DO$130)+1),"")</f>
        <v>0</v>
      </c>
      <c r="DP175">
        <f>IFERROR(SMALL(DP47:DP127,ROW()-ROW($DP$130)+1),"")</f>
        <v>0</v>
      </c>
      <c r="DQ175">
        <f>IFERROR(SMALL(DQ47:DQ127,ROW()-ROW($DQ$130)+1),"")</f>
        <v>0</v>
      </c>
      <c r="DR175">
        <f>IFERROR(SMALL(DR47:DR127,ROW()-ROW($DR$130)+1),"")</f>
        <v>0</v>
      </c>
      <c r="DS175">
        <f>IFERROR(SMALL(DS47:DS127,ROW()-ROW($DS$130)+1),"")</f>
        <v>0</v>
      </c>
      <c r="DT175">
        <f>IFERROR(SMALL(DT47:DT127,ROW()-ROW($DT$130)+1),"")</f>
        <v>0</v>
      </c>
      <c r="DU175">
        <f>IFERROR(SMALL(DU47:DU127,ROW()-ROW($DU$130)+1),"")</f>
        <v>0</v>
      </c>
      <c r="DV175">
        <f>IFERROR(SMALL(DV47:DV127,ROW()-ROW($DV$130)+1),"")</f>
        <v>0</v>
      </c>
      <c r="DW175">
        <f>IFERROR(SMALL(DW47:DW127,ROW()-ROW($DW$130)+1),"")</f>
        <v>0</v>
      </c>
      <c r="DX175">
        <f>IFERROR(SMALL(DX47:DX127,ROW()-ROW($DX$130)+1),"")</f>
        <v>0</v>
      </c>
      <c r="DY175">
        <f>IFERROR(SMALL(DY47:DY127,ROW()-ROW($DY$130)+1),"")</f>
        <v>0</v>
      </c>
      <c r="DZ175">
        <f>IFERROR(SMALL(DZ47:DZ127,ROW()-ROW($DZ$130)+1),"")</f>
        <v>0</v>
      </c>
      <c r="EA175">
        <f>IFERROR(SMALL(EA47:EA127,ROW()-ROW($EA$130)+1),"")</f>
        <v>0</v>
      </c>
      <c r="EB175">
        <f>IFERROR(SMALL(EB47:EB127,ROW()-ROW($EB$130)+1),"")</f>
        <v>0</v>
      </c>
      <c r="EC175">
        <f>IFERROR(SMALL(EC47:EC127,ROW()-ROW($EC$130)+1),"")</f>
        <v>0</v>
      </c>
      <c r="ED175">
        <f>IFERROR(SMALL(ED47:ED127,ROW()-ROW($ED$130)+1),"")</f>
        <v>0</v>
      </c>
    </row>
    <row r="176" spans="5:134">
      <c r="E176">
        <f>IFERROR(SMALL(E47:E127,ROW()-ROW($E$130)+1),"")</f>
        <v>0</v>
      </c>
      <c r="F176">
        <f>IFERROR(SMALL(F47:F127,ROW()-ROW($F$130)+1),"")</f>
        <v>0</v>
      </c>
      <c r="G176">
        <f>IFERROR(SMALL(G47:G127,ROW()-ROW($G$130)+1),"")</f>
        <v>0</v>
      </c>
      <c r="H176">
        <f>IFERROR(SMALL(H47:H127,ROW()-ROW($H$130)+1),"")</f>
        <v>0</v>
      </c>
      <c r="I176">
        <f>IFERROR(SMALL(I47:I127,ROW()-ROW($I$130)+1),"")</f>
        <v>0</v>
      </c>
      <c r="J176">
        <f>IFERROR(SMALL(J47:J127,ROW()-ROW($J$130)+1),"")</f>
        <v>0</v>
      </c>
      <c r="K176">
        <f>IFERROR(SMALL(K47:K127,ROW()-ROW($K$130)+1),"")</f>
        <v>0</v>
      </c>
      <c r="L176">
        <f>IFERROR(SMALL(L47:L127,ROW()-ROW($L$130)+1),"")</f>
        <v>0</v>
      </c>
      <c r="M176">
        <f>IFERROR(SMALL(M47:M127,ROW()-ROW($M$130)+1),"")</f>
        <v>0</v>
      </c>
      <c r="N176">
        <f>IFERROR(SMALL(N47:N127,ROW()-ROW($N$130)+1),"")</f>
        <v>0</v>
      </c>
      <c r="O176">
        <f>IFERROR(SMALL(O47:O127,ROW()-ROW($O$130)+1),"")</f>
        <v>0</v>
      </c>
      <c r="P176">
        <f>IFERROR(SMALL(P47:P127,ROW()-ROW($P$130)+1),"")</f>
        <v>0</v>
      </c>
      <c r="Q176">
        <f>IFERROR(SMALL(Q47:Q127,ROW()-ROW($Q$130)+1),"")</f>
        <v>0</v>
      </c>
      <c r="R176">
        <f>IFERROR(SMALL(R47:R127,ROW()-ROW($R$130)+1),"")</f>
        <v>0</v>
      </c>
      <c r="S176">
        <f>IFERROR(SMALL(S47:S127,ROW()-ROW($S$130)+1),"")</f>
        <v>0</v>
      </c>
      <c r="T176">
        <f>IFERROR(SMALL(T47:T127,ROW()-ROW($T$130)+1),"")</f>
        <v>0</v>
      </c>
      <c r="U176">
        <f>IFERROR(SMALL(U47:U127,ROW()-ROW($U$130)+1),"")</f>
        <v>0</v>
      </c>
      <c r="V176">
        <f>IFERROR(SMALL(V47:V127,ROW()-ROW($V$130)+1),"")</f>
        <v>0</v>
      </c>
      <c r="W176">
        <f>IFERROR(SMALL(W47:W127,ROW()-ROW($W$130)+1),"")</f>
        <v>0</v>
      </c>
      <c r="X176">
        <f>IFERROR(SMALL(X47:X127,ROW()-ROW($X$130)+1),"")</f>
        <v>0</v>
      </c>
      <c r="Y176">
        <f>IFERROR(SMALL(Y47:Y127,ROW()-ROW($Y$130)+1),"")</f>
        <v>0</v>
      </c>
      <c r="Z176">
        <f>IFERROR(SMALL(Z47:Z127,ROW()-ROW($Z$130)+1),"")</f>
        <v>0</v>
      </c>
      <c r="AA176">
        <f>IFERROR(SMALL(AA47:AA127,ROW()-ROW($AA$130)+1),"")</f>
        <v>0</v>
      </c>
      <c r="AB176">
        <f>IFERROR(SMALL(AB47:AB127,ROW()-ROW($AB$130)+1),"")</f>
        <v>0</v>
      </c>
      <c r="AC176">
        <f>IFERROR(SMALL(AC47:AC127,ROW()-ROW($AC$130)+1),"")</f>
        <v>0</v>
      </c>
      <c r="AD176">
        <f>IFERROR(SMALL(AD47:AD127,ROW()-ROW($AD$130)+1),"")</f>
        <v>0</v>
      </c>
      <c r="AE176">
        <f>IFERROR(SMALL(AE47:AE127,ROW()-ROW($AE$130)+1),"")</f>
        <v>0</v>
      </c>
      <c r="AF176">
        <f>IFERROR(SMALL(AF47:AF127,ROW()-ROW($AF$130)+1),"")</f>
        <v>0</v>
      </c>
      <c r="AG176">
        <f>IFERROR(SMALL(AG47:AG127,ROW()-ROW($AG$130)+1),"")</f>
        <v>0</v>
      </c>
      <c r="AH176">
        <f>IFERROR(SMALL(AH47:AH127,ROW()-ROW($AH$130)+1),"")</f>
        <v>0</v>
      </c>
      <c r="AI176">
        <f>IFERROR(SMALL(AI47:AI127,ROW()-ROW($AI$130)+1),"")</f>
        <v>0</v>
      </c>
      <c r="AJ176">
        <f>IFERROR(SMALL(AJ47:AJ127,ROW()-ROW($AJ$130)+1),"")</f>
        <v>0</v>
      </c>
      <c r="AK176">
        <f>IFERROR(SMALL(AK47:AK127,ROW()-ROW($AK$130)+1),"")</f>
        <v>0</v>
      </c>
      <c r="AL176">
        <f>IFERROR(SMALL(AL47:AL127,ROW()-ROW($AL$130)+1),"")</f>
        <v>0</v>
      </c>
      <c r="AM176">
        <f>IFERROR(SMALL(AM47:AM127,ROW()-ROW($AM$130)+1),"")</f>
        <v>0</v>
      </c>
      <c r="AN176">
        <f>IFERROR(SMALL(AN47:AN127,ROW()-ROW($AN$130)+1),"")</f>
        <v>0</v>
      </c>
      <c r="AO176">
        <f>IFERROR(SMALL(AO47:AO127,ROW()-ROW($AO$130)+1),"")</f>
        <v>0</v>
      </c>
      <c r="AP176">
        <f>IFERROR(SMALL(AP47:AP127,ROW()-ROW($AP$130)+1),"")</f>
        <v>0</v>
      </c>
      <c r="AQ176">
        <f>IFERROR(SMALL(AQ47:AQ127,ROW()-ROW($AQ$130)+1),"")</f>
        <v>0</v>
      </c>
      <c r="AR176">
        <f>IFERROR(SMALL(AR47:AR127,ROW()-ROW($AR$130)+1),"")</f>
        <v>0</v>
      </c>
      <c r="AS176">
        <f>IFERROR(SMALL(AS47:AS127,ROW()-ROW($AS$130)+1),"")</f>
        <v>0</v>
      </c>
      <c r="AT176">
        <f>IFERROR(SMALL(AT47:AT127,ROW()-ROW($AT$130)+1),"")</f>
        <v>0</v>
      </c>
      <c r="AU176">
        <f>IFERROR(SMALL(AU47:AU127,ROW()-ROW($AU$130)+1),"")</f>
        <v>0</v>
      </c>
      <c r="AV176">
        <f>IFERROR(SMALL(AV47:AV127,ROW()-ROW($AV$130)+1),"")</f>
        <v>0</v>
      </c>
      <c r="AW176">
        <f>IFERROR(SMALL(AW47:AW127,ROW()-ROW($AW$130)+1),"")</f>
        <v>0</v>
      </c>
      <c r="AX176">
        <f>IFERROR(SMALL(AX47:AX127,ROW()-ROW($AX$130)+1),"")</f>
        <v>0</v>
      </c>
      <c r="AY176">
        <f>IFERROR(SMALL(AY47:AY127,ROW()-ROW($AY$130)+1),"")</f>
        <v>0</v>
      </c>
      <c r="AZ176">
        <f>IFERROR(SMALL(AZ47:AZ127,ROW()-ROW($AZ$130)+1),"")</f>
        <v>0</v>
      </c>
      <c r="BA176">
        <f>IFERROR(SMALL(BA47:BA127,ROW()-ROW($BA$130)+1),"")</f>
        <v>0</v>
      </c>
      <c r="BB176">
        <f>IFERROR(SMALL(BB47:BB127,ROW()-ROW($BB$130)+1),"")</f>
        <v>0</v>
      </c>
      <c r="BC176">
        <f>IFERROR(SMALL(BC47:BC127,ROW()-ROW($BC$130)+1),"")</f>
        <v>0</v>
      </c>
      <c r="BD176">
        <f>IFERROR(SMALL(BD47:BD127,ROW()-ROW($BD$130)+1),"")</f>
        <v>0</v>
      </c>
      <c r="BE176">
        <f>IFERROR(SMALL(BE47:BE127,ROW()-ROW($BE$130)+1),"")</f>
        <v>0</v>
      </c>
      <c r="BF176">
        <f>IFERROR(SMALL(BF47:BF127,ROW()-ROW($BF$130)+1),"")</f>
        <v>0</v>
      </c>
      <c r="BG176">
        <f>IFERROR(SMALL(BG47:BG127,ROW()-ROW($BG$130)+1),"")</f>
        <v>0</v>
      </c>
      <c r="BH176">
        <f>IFERROR(SMALL(BH47:BH127,ROW()-ROW($BH$130)+1),"")</f>
        <v>0</v>
      </c>
      <c r="BI176">
        <f>IFERROR(SMALL(BI47:BI127,ROW()-ROW($BI$130)+1),"")</f>
        <v>0</v>
      </c>
      <c r="BJ176">
        <f>IFERROR(SMALL(BJ47:BJ127,ROW()-ROW($BJ$130)+1),"")</f>
        <v>0</v>
      </c>
      <c r="BK176">
        <f>IFERROR(SMALL(BK47:BK127,ROW()-ROW($BK$130)+1),"")</f>
        <v>0</v>
      </c>
      <c r="BL176">
        <f>IFERROR(SMALL(BL47:BL127,ROW()-ROW($BL$130)+1),"")</f>
        <v>0</v>
      </c>
      <c r="BM176">
        <f>IFERROR(SMALL(BM47:BM127,ROW()-ROW($BM$130)+1),"")</f>
        <v>0</v>
      </c>
      <c r="BN176">
        <f>IFERROR(SMALL(BN47:BN127,ROW()-ROW($BN$130)+1),"")</f>
        <v>0</v>
      </c>
      <c r="BO176">
        <f>IFERROR(SMALL(BO47:BO127,ROW()-ROW($BO$130)+1),"")</f>
        <v>0</v>
      </c>
      <c r="BP176">
        <f>IFERROR(SMALL(BP47:BP127,ROW()-ROW($BP$130)+1),"")</f>
        <v>0</v>
      </c>
      <c r="BS176">
        <f>IFERROR(SMALL(BS47:BS127,ROW()-ROW($BS$130)+1),"")</f>
        <v>0</v>
      </c>
      <c r="BT176">
        <f>IFERROR(SMALL(BT47:BT127,ROW()-ROW($BT$130)+1),"")</f>
        <v>0</v>
      </c>
      <c r="BU176">
        <f>IFERROR(SMALL(BU47:BU127,ROW()-ROW($BU$130)+1),"")</f>
        <v>0</v>
      </c>
      <c r="BV176">
        <f>IFERROR(SMALL(BV47:BV127,ROW()-ROW($BV$130)+1),"")</f>
        <v>0</v>
      </c>
      <c r="BW176">
        <f>IFERROR(SMALL(BW47:BW127,ROW()-ROW($BW$130)+1),"")</f>
        <v>0</v>
      </c>
      <c r="BX176">
        <f>IFERROR(SMALL(BX47:BX127,ROW()-ROW($BX$130)+1),"")</f>
        <v>0</v>
      </c>
      <c r="BY176">
        <f>IFERROR(SMALL(BY47:BY127,ROW()-ROW($BY$130)+1),"")</f>
        <v>0</v>
      </c>
      <c r="BZ176">
        <f>IFERROR(SMALL(BZ47:BZ127,ROW()-ROW($BZ$130)+1),"")</f>
        <v>0</v>
      </c>
      <c r="CA176">
        <f>IFERROR(SMALL(CA47:CA127,ROW()-ROW($CA$130)+1),"")</f>
        <v>0</v>
      </c>
      <c r="CB176">
        <f>IFERROR(SMALL(CB47:CB127,ROW()-ROW($CB$130)+1),"")</f>
        <v>0</v>
      </c>
      <c r="CC176">
        <f>IFERROR(SMALL(CC47:CC127,ROW()-ROW($CC$130)+1),"")</f>
        <v>0</v>
      </c>
      <c r="CD176">
        <f>IFERROR(SMALL(CD47:CD127,ROW()-ROW($CD$130)+1),"")</f>
        <v>0</v>
      </c>
      <c r="CE176">
        <f>IFERROR(SMALL(CE47:CE127,ROW()-ROW($CE$130)+1),"")</f>
        <v>0</v>
      </c>
      <c r="CF176">
        <f>IFERROR(SMALL(CF47:CF127,ROW()-ROW($CF$130)+1),"")</f>
        <v>0</v>
      </c>
      <c r="CG176">
        <f>IFERROR(SMALL(CG47:CG127,ROW()-ROW($CG$130)+1),"")</f>
        <v>0</v>
      </c>
      <c r="CH176">
        <f>IFERROR(SMALL(CH47:CH127,ROW()-ROW($CH$130)+1),"")</f>
        <v>0</v>
      </c>
      <c r="CI176">
        <f>IFERROR(SMALL(CI47:CI127,ROW()-ROW($CI$130)+1),"")</f>
        <v>0</v>
      </c>
      <c r="CJ176">
        <f>IFERROR(SMALL(CJ47:CJ127,ROW()-ROW($CJ$130)+1),"")</f>
        <v>0</v>
      </c>
      <c r="CK176">
        <f>IFERROR(SMALL(CK47:CK127,ROW()-ROW($CK$130)+1),"")</f>
        <v>0</v>
      </c>
      <c r="CL176">
        <f>IFERROR(SMALL(CL47:CL127,ROW()-ROW($CL$130)+1),"")</f>
        <v>0</v>
      </c>
      <c r="CM176">
        <f>IFERROR(SMALL(CM47:CM127,ROW()-ROW($CM$130)+1),"")</f>
        <v>0</v>
      </c>
      <c r="CN176">
        <f>IFERROR(SMALL(CN47:CN127,ROW()-ROW($CN$130)+1),"")</f>
        <v>0</v>
      </c>
      <c r="CO176">
        <f>IFERROR(SMALL(CO47:CO127,ROW()-ROW($CO$130)+1),"")</f>
        <v>0</v>
      </c>
      <c r="CP176">
        <f>IFERROR(SMALL(CP47:CP127,ROW()-ROW($CP$130)+1),"")</f>
        <v>0</v>
      </c>
      <c r="CQ176">
        <f>IFERROR(SMALL(CQ47:CQ127,ROW()-ROW($CQ$130)+1),"")</f>
        <v>0</v>
      </c>
      <c r="CR176">
        <f>IFERROR(SMALL(CR47:CR127,ROW()-ROW($CR$130)+1),"")</f>
        <v>0</v>
      </c>
      <c r="CS176">
        <f>IFERROR(SMALL(CS47:CS127,ROW()-ROW($CS$130)+1),"")</f>
        <v>0</v>
      </c>
      <c r="CT176">
        <f>IFERROR(SMALL(CT47:CT127,ROW()-ROW($CT$130)+1),"")</f>
        <v>0</v>
      </c>
      <c r="CU176">
        <f>IFERROR(SMALL(CU47:CU127,ROW()-ROW($CU$130)+1),"")</f>
        <v>0</v>
      </c>
      <c r="CV176">
        <f>IFERROR(SMALL(CV47:CV127,ROW()-ROW($CV$130)+1),"")</f>
        <v>0</v>
      </c>
      <c r="CW176">
        <f>IFERROR(SMALL(CW47:CW127,ROW()-ROW($CW$130)+1),"")</f>
        <v>0</v>
      </c>
      <c r="CX176">
        <f>IFERROR(SMALL(CX47:CX127,ROW()-ROW($CX$130)+1),"")</f>
        <v>0</v>
      </c>
      <c r="CY176">
        <f>IFERROR(SMALL(CY47:CY127,ROW()-ROW($CY$130)+1),"")</f>
        <v>0</v>
      </c>
      <c r="CZ176">
        <f>IFERROR(SMALL(CZ47:CZ127,ROW()-ROW($CZ$130)+1),"")</f>
        <v>0</v>
      </c>
      <c r="DA176">
        <f>IFERROR(SMALL(DA47:DA127,ROW()-ROW($DA$130)+1),"")</f>
        <v>0</v>
      </c>
      <c r="DB176">
        <f>IFERROR(SMALL(DB47:DB127,ROW()-ROW($DB$130)+1),"")</f>
        <v>0</v>
      </c>
      <c r="DC176">
        <f>IFERROR(SMALL(DC47:DC127,ROW()-ROW($DC$130)+1),"")</f>
        <v>0</v>
      </c>
      <c r="DD176">
        <f>IFERROR(SMALL(DD47:DD127,ROW()-ROW($DD$130)+1),"")</f>
        <v>0</v>
      </c>
      <c r="DE176">
        <f>IFERROR(SMALL(DE47:DE127,ROW()-ROW($DE$130)+1),"")</f>
        <v>0</v>
      </c>
      <c r="DF176">
        <f>IFERROR(SMALL(DF47:DF127,ROW()-ROW($DF$130)+1),"")</f>
        <v>0</v>
      </c>
      <c r="DG176">
        <f>IFERROR(SMALL(DG47:DG127,ROW()-ROW($DG$130)+1),"")</f>
        <v>0</v>
      </c>
      <c r="DH176">
        <f>IFERROR(SMALL(DH47:DH127,ROW()-ROW($DH$130)+1),"")</f>
        <v>0</v>
      </c>
      <c r="DI176">
        <f>IFERROR(SMALL(DI47:DI127,ROW()-ROW($DI$130)+1),"")</f>
        <v>0</v>
      </c>
      <c r="DJ176">
        <f>IFERROR(SMALL(DJ47:DJ127,ROW()-ROW($DJ$130)+1),"")</f>
        <v>0</v>
      </c>
      <c r="DK176">
        <f>IFERROR(SMALL(DK47:DK127,ROW()-ROW($DK$130)+1),"")</f>
        <v>0</v>
      </c>
      <c r="DL176">
        <f>IFERROR(SMALL(DL47:DL127,ROW()-ROW($DL$130)+1),"")</f>
        <v>0</v>
      </c>
      <c r="DM176">
        <f>IFERROR(SMALL(DM47:DM127,ROW()-ROW($DM$130)+1),"")</f>
        <v>0</v>
      </c>
      <c r="DN176">
        <f>IFERROR(SMALL(DN47:DN127,ROW()-ROW($DN$130)+1),"")</f>
        <v>0</v>
      </c>
      <c r="DO176">
        <f>IFERROR(SMALL(DO47:DO127,ROW()-ROW($DO$130)+1),"")</f>
        <v>0</v>
      </c>
      <c r="DP176">
        <f>IFERROR(SMALL(DP47:DP127,ROW()-ROW($DP$130)+1),"")</f>
        <v>0</v>
      </c>
      <c r="DQ176">
        <f>IFERROR(SMALL(DQ47:DQ127,ROW()-ROW($DQ$130)+1),"")</f>
        <v>0</v>
      </c>
      <c r="DR176">
        <f>IFERROR(SMALL(DR47:DR127,ROW()-ROW($DR$130)+1),"")</f>
        <v>0</v>
      </c>
      <c r="DS176">
        <f>IFERROR(SMALL(DS47:DS127,ROW()-ROW($DS$130)+1),"")</f>
        <v>0</v>
      </c>
      <c r="DT176">
        <f>IFERROR(SMALL(DT47:DT127,ROW()-ROW($DT$130)+1),"")</f>
        <v>0</v>
      </c>
      <c r="DU176">
        <f>IFERROR(SMALL(DU47:DU127,ROW()-ROW($DU$130)+1),"")</f>
        <v>0</v>
      </c>
      <c r="DV176">
        <f>IFERROR(SMALL(DV47:DV127,ROW()-ROW($DV$130)+1),"")</f>
        <v>0</v>
      </c>
      <c r="DW176">
        <f>IFERROR(SMALL(DW47:DW127,ROW()-ROW($DW$130)+1),"")</f>
        <v>0</v>
      </c>
      <c r="DX176">
        <f>IFERROR(SMALL(DX47:DX127,ROW()-ROW($DX$130)+1),"")</f>
        <v>0</v>
      </c>
      <c r="DY176">
        <f>IFERROR(SMALL(DY47:DY127,ROW()-ROW($DY$130)+1),"")</f>
        <v>0</v>
      </c>
      <c r="DZ176">
        <f>IFERROR(SMALL(DZ47:DZ127,ROW()-ROW($DZ$130)+1),"")</f>
        <v>0</v>
      </c>
      <c r="EA176">
        <f>IFERROR(SMALL(EA47:EA127,ROW()-ROW($EA$130)+1),"")</f>
        <v>0</v>
      </c>
      <c r="EB176">
        <f>IFERROR(SMALL(EB47:EB127,ROW()-ROW($EB$130)+1),"")</f>
        <v>0</v>
      </c>
      <c r="EC176">
        <f>IFERROR(SMALL(EC47:EC127,ROW()-ROW($EC$130)+1),"")</f>
        <v>0</v>
      </c>
      <c r="ED176">
        <f>IFERROR(SMALL(ED47:ED127,ROW()-ROW($ED$130)+1),"")</f>
        <v>0</v>
      </c>
    </row>
    <row r="177" spans="5:134">
      <c r="E177">
        <f>IFERROR(SMALL(E47:E127,ROW()-ROW($E$130)+1),"")</f>
        <v>0</v>
      </c>
      <c r="F177">
        <f>IFERROR(SMALL(F47:F127,ROW()-ROW($F$130)+1),"")</f>
        <v>0</v>
      </c>
      <c r="G177">
        <f>IFERROR(SMALL(G47:G127,ROW()-ROW($G$130)+1),"")</f>
        <v>0</v>
      </c>
      <c r="H177">
        <f>IFERROR(SMALL(H47:H127,ROW()-ROW($H$130)+1),"")</f>
        <v>0</v>
      </c>
      <c r="I177">
        <f>IFERROR(SMALL(I47:I127,ROW()-ROW($I$130)+1),"")</f>
        <v>0</v>
      </c>
      <c r="J177">
        <f>IFERROR(SMALL(J47:J127,ROW()-ROW($J$130)+1),"")</f>
        <v>0</v>
      </c>
      <c r="K177">
        <f>IFERROR(SMALL(K47:K127,ROW()-ROW($K$130)+1),"")</f>
        <v>0</v>
      </c>
      <c r="L177">
        <f>IFERROR(SMALL(L47:L127,ROW()-ROW($L$130)+1),"")</f>
        <v>0</v>
      </c>
      <c r="M177">
        <f>IFERROR(SMALL(M47:M127,ROW()-ROW($M$130)+1),"")</f>
        <v>0</v>
      </c>
      <c r="N177">
        <f>IFERROR(SMALL(N47:N127,ROW()-ROW($N$130)+1),"")</f>
        <v>0</v>
      </c>
      <c r="O177">
        <f>IFERROR(SMALL(O47:O127,ROW()-ROW($O$130)+1),"")</f>
        <v>0</v>
      </c>
      <c r="P177">
        <f>IFERROR(SMALL(P47:P127,ROW()-ROW($P$130)+1),"")</f>
        <v>0</v>
      </c>
      <c r="Q177">
        <f>IFERROR(SMALL(Q47:Q127,ROW()-ROW($Q$130)+1),"")</f>
        <v>0</v>
      </c>
      <c r="R177">
        <f>IFERROR(SMALL(R47:R127,ROW()-ROW($R$130)+1),"")</f>
        <v>0</v>
      </c>
      <c r="S177">
        <f>IFERROR(SMALL(S47:S127,ROW()-ROW($S$130)+1),"")</f>
        <v>0</v>
      </c>
      <c r="T177">
        <f>IFERROR(SMALL(T47:T127,ROW()-ROW($T$130)+1),"")</f>
        <v>0</v>
      </c>
      <c r="U177">
        <f>IFERROR(SMALL(U47:U127,ROW()-ROW($U$130)+1),"")</f>
        <v>0</v>
      </c>
      <c r="V177">
        <f>IFERROR(SMALL(V47:V127,ROW()-ROW($V$130)+1),"")</f>
        <v>0</v>
      </c>
      <c r="W177">
        <f>IFERROR(SMALL(W47:W127,ROW()-ROW($W$130)+1),"")</f>
        <v>0</v>
      </c>
      <c r="X177">
        <f>IFERROR(SMALL(X47:X127,ROW()-ROW($X$130)+1),"")</f>
        <v>0</v>
      </c>
      <c r="Y177">
        <f>IFERROR(SMALL(Y47:Y127,ROW()-ROW($Y$130)+1),"")</f>
        <v>0</v>
      </c>
      <c r="Z177">
        <f>IFERROR(SMALL(Z47:Z127,ROW()-ROW($Z$130)+1),"")</f>
        <v>0</v>
      </c>
      <c r="AA177">
        <f>IFERROR(SMALL(AA47:AA127,ROW()-ROW($AA$130)+1),"")</f>
        <v>0</v>
      </c>
      <c r="AB177">
        <f>IFERROR(SMALL(AB47:AB127,ROW()-ROW($AB$130)+1),"")</f>
        <v>0</v>
      </c>
      <c r="AC177">
        <f>IFERROR(SMALL(AC47:AC127,ROW()-ROW($AC$130)+1),"")</f>
        <v>0</v>
      </c>
      <c r="AD177">
        <f>IFERROR(SMALL(AD47:AD127,ROW()-ROW($AD$130)+1),"")</f>
        <v>0</v>
      </c>
      <c r="AE177">
        <f>IFERROR(SMALL(AE47:AE127,ROW()-ROW($AE$130)+1),"")</f>
        <v>0</v>
      </c>
      <c r="AF177">
        <f>IFERROR(SMALL(AF47:AF127,ROW()-ROW($AF$130)+1),"")</f>
        <v>0</v>
      </c>
      <c r="AG177">
        <f>IFERROR(SMALL(AG47:AG127,ROW()-ROW($AG$130)+1),"")</f>
        <v>0</v>
      </c>
      <c r="AH177">
        <f>IFERROR(SMALL(AH47:AH127,ROW()-ROW($AH$130)+1),"")</f>
        <v>0</v>
      </c>
      <c r="AI177">
        <f>IFERROR(SMALL(AI47:AI127,ROW()-ROW($AI$130)+1),"")</f>
        <v>0</v>
      </c>
      <c r="AJ177">
        <f>IFERROR(SMALL(AJ47:AJ127,ROW()-ROW($AJ$130)+1),"")</f>
        <v>0</v>
      </c>
      <c r="AK177">
        <f>IFERROR(SMALL(AK47:AK127,ROW()-ROW($AK$130)+1),"")</f>
        <v>0</v>
      </c>
      <c r="AL177">
        <f>IFERROR(SMALL(AL47:AL127,ROW()-ROW($AL$130)+1),"")</f>
        <v>0</v>
      </c>
      <c r="AM177">
        <f>IFERROR(SMALL(AM47:AM127,ROW()-ROW($AM$130)+1),"")</f>
        <v>0</v>
      </c>
      <c r="AN177">
        <f>IFERROR(SMALL(AN47:AN127,ROW()-ROW($AN$130)+1),"")</f>
        <v>0</v>
      </c>
      <c r="AO177">
        <f>IFERROR(SMALL(AO47:AO127,ROW()-ROW($AO$130)+1),"")</f>
        <v>0</v>
      </c>
      <c r="AP177">
        <f>IFERROR(SMALL(AP47:AP127,ROW()-ROW($AP$130)+1),"")</f>
        <v>0</v>
      </c>
      <c r="AQ177">
        <f>IFERROR(SMALL(AQ47:AQ127,ROW()-ROW($AQ$130)+1),"")</f>
        <v>0</v>
      </c>
      <c r="AR177">
        <f>IFERROR(SMALL(AR47:AR127,ROW()-ROW($AR$130)+1),"")</f>
        <v>0</v>
      </c>
      <c r="AS177">
        <f>IFERROR(SMALL(AS47:AS127,ROW()-ROW($AS$130)+1),"")</f>
        <v>0</v>
      </c>
      <c r="AT177">
        <f>IFERROR(SMALL(AT47:AT127,ROW()-ROW($AT$130)+1),"")</f>
        <v>0</v>
      </c>
      <c r="AU177">
        <f>IFERROR(SMALL(AU47:AU127,ROW()-ROW($AU$130)+1),"")</f>
        <v>0</v>
      </c>
      <c r="AV177">
        <f>IFERROR(SMALL(AV47:AV127,ROW()-ROW($AV$130)+1),"")</f>
        <v>0</v>
      </c>
      <c r="AW177">
        <f>IFERROR(SMALL(AW47:AW127,ROW()-ROW($AW$130)+1),"")</f>
        <v>0</v>
      </c>
      <c r="AX177">
        <f>IFERROR(SMALL(AX47:AX127,ROW()-ROW($AX$130)+1),"")</f>
        <v>0</v>
      </c>
      <c r="AY177">
        <f>IFERROR(SMALL(AY47:AY127,ROW()-ROW($AY$130)+1),"")</f>
        <v>0</v>
      </c>
      <c r="AZ177">
        <f>IFERROR(SMALL(AZ47:AZ127,ROW()-ROW($AZ$130)+1),"")</f>
        <v>0</v>
      </c>
      <c r="BA177">
        <f>IFERROR(SMALL(BA47:BA127,ROW()-ROW($BA$130)+1),"")</f>
        <v>0</v>
      </c>
      <c r="BB177">
        <f>IFERROR(SMALL(BB47:BB127,ROW()-ROW($BB$130)+1),"")</f>
        <v>0</v>
      </c>
      <c r="BC177">
        <f>IFERROR(SMALL(BC47:BC127,ROW()-ROW($BC$130)+1),"")</f>
        <v>0</v>
      </c>
      <c r="BD177">
        <f>IFERROR(SMALL(BD47:BD127,ROW()-ROW($BD$130)+1),"")</f>
        <v>0</v>
      </c>
      <c r="BE177">
        <f>IFERROR(SMALL(BE47:BE127,ROW()-ROW($BE$130)+1),"")</f>
        <v>0</v>
      </c>
      <c r="BF177">
        <f>IFERROR(SMALL(BF47:BF127,ROW()-ROW($BF$130)+1),"")</f>
        <v>0</v>
      </c>
      <c r="BG177">
        <f>IFERROR(SMALL(BG47:BG127,ROW()-ROW($BG$130)+1),"")</f>
        <v>0</v>
      </c>
      <c r="BH177">
        <f>IFERROR(SMALL(BH47:BH127,ROW()-ROW($BH$130)+1),"")</f>
        <v>0</v>
      </c>
      <c r="BI177">
        <f>IFERROR(SMALL(BI47:BI127,ROW()-ROW($BI$130)+1),"")</f>
        <v>0</v>
      </c>
      <c r="BJ177">
        <f>IFERROR(SMALL(BJ47:BJ127,ROW()-ROW($BJ$130)+1),"")</f>
        <v>0</v>
      </c>
      <c r="BK177">
        <f>IFERROR(SMALL(BK47:BK127,ROW()-ROW($BK$130)+1),"")</f>
        <v>0</v>
      </c>
      <c r="BL177">
        <f>IFERROR(SMALL(BL47:BL127,ROW()-ROW($BL$130)+1),"")</f>
        <v>0</v>
      </c>
      <c r="BM177">
        <f>IFERROR(SMALL(BM47:BM127,ROW()-ROW($BM$130)+1),"")</f>
        <v>0</v>
      </c>
      <c r="BN177">
        <f>IFERROR(SMALL(BN47:BN127,ROW()-ROW($BN$130)+1),"")</f>
        <v>0</v>
      </c>
      <c r="BO177">
        <f>IFERROR(SMALL(BO47:BO127,ROW()-ROW($BO$130)+1),"")</f>
        <v>0</v>
      </c>
      <c r="BP177">
        <f>IFERROR(SMALL(BP47:BP127,ROW()-ROW($BP$130)+1),"")</f>
        <v>0</v>
      </c>
      <c r="BS177">
        <f>IFERROR(SMALL(BS47:BS127,ROW()-ROW($BS$130)+1),"")</f>
        <v>0</v>
      </c>
      <c r="BT177">
        <f>IFERROR(SMALL(BT47:BT127,ROW()-ROW($BT$130)+1),"")</f>
        <v>0</v>
      </c>
      <c r="BU177">
        <f>IFERROR(SMALL(BU47:BU127,ROW()-ROW($BU$130)+1),"")</f>
        <v>0</v>
      </c>
      <c r="BV177">
        <f>IFERROR(SMALL(BV47:BV127,ROW()-ROW($BV$130)+1),"")</f>
        <v>0</v>
      </c>
      <c r="BW177">
        <f>IFERROR(SMALL(BW47:BW127,ROW()-ROW($BW$130)+1),"")</f>
        <v>0</v>
      </c>
      <c r="BX177">
        <f>IFERROR(SMALL(BX47:BX127,ROW()-ROW($BX$130)+1),"")</f>
        <v>0</v>
      </c>
      <c r="BY177">
        <f>IFERROR(SMALL(BY47:BY127,ROW()-ROW($BY$130)+1),"")</f>
        <v>0</v>
      </c>
      <c r="BZ177">
        <f>IFERROR(SMALL(BZ47:BZ127,ROW()-ROW($BZ$130)+1),"")</f>
        <v>0</v>
      </c>
      <c r="CA177">
        <f>IFERROR(SMALL(CA47:CA127,ROW()-ROW($CA$130)+1),"")</f>
        <v>0</v>
      </c>
      <c r="CB177">
        <f>IFERROR(SMALL(CB47:CB127,ROW()-ROW($CB$130)+1),"")</f>
        <v>0</v>
      </c>
      <c r="CC177">
        <f>IFERROR(SMALL(CC47:CC127,ROW()-ROW($CC$130)+1),"")</f>
        <v>0</v>
      </c>
      <c r="CD177">
        <f>IFERROR(SMALL(CD47:CD127,ROW()-ROW($CD$130)+1),"")</f>
        <v>0</v>
      </c>
      <c r="CE177">
        <f>IFERROR(SMALL(CE47:CE127,ROW()-ROW($CE$130)+1),"")</f>
        <v>0</v>
      </c>
      <c r="CF177">
        <f>IFERROR(SMALL(CF47:CF127,ROW()-ROW($CF$130)+1),"")</f>
        <v>0</v>
      </c>
      <c r="CG177">
        <f>IFERROR(SMALL(CG47:CG127,ROW()-ROW($CG$130)+1),"")</f>
        <v>0</v>
      </c>
      <c r="CH177">
        <f>IFERROR(SMALL(CH47:CH127,ROW()-ROW($CH$130)+1),"")</f>
        <v>0</v>
      </c>
      <c r="CI177">
        <f>IFERROR(SMALL(CI47:CI127,ROW()-ROW($CI$130)+1),"")</f>
        <v>0</v>
      </c>
      <c r="CJ177">
        <f>IFERROR(SMALL(CJ47:CJ127,ROW()-ROW($CJ$130)+1),"")</f>
        <v>0</v>
      </c>
      <c r="CK177">
        <f>IFERROR(SMALL(CK47:CK127,ROW()-ROW($CK$130)+1),"")</f>
        <v>0</v>
      </c>
      <c r="CL177">
        <f>IFERROR(SMALL(CL47:CL127,ROW()-ROW($CL$130)+1),"")</f>
        <v>0</v>
      </c>
      <c r="CM177">
        <f>IFERROR(SMALL(CM47:CM127,ROW()-ROW($CM$130)+1),"")</f>
        <v>0</v>
      </c>
      <c r="CN177">
        <f>IFERROR(SMALL(CN47:CN127,ROW()-ROW($CN$130)+1),"")</f>
        <v>0</v>
      </c>
      <c r="CO177">
        <f>IFERROR(SMALL(CO47:CO127,ROW()-ROW($CO$130)+1),"")</f>
        <v>0</v>
      </c>
      <c r="CP177">
        <f>IFERROR(SMALL(CP47:CP127,ROW()-ROW($CP$130)+1),"")</f>
        <v>0</v>
      </c>
      <c r="CQ177">
        <f>IFERROR(SMALL(CQ47:CQ127,ROW()-ROW($CQ$130)+1),"")</f>
        <v>0</v>
      </c>
      <c r="CR177">
        <f>IFERROR(SMALL(CR47:CR127,ROW()-ROW($CR$130)+1),"")</f>
        <v>0</v>
      </c>
      <c r="CS177">
        <f>IFERROR(SMALL(CS47:CS127,ROW()-ROW($CS$130)+1),"")</f>
        <v>0</v>
      </c>
      <c r="CT177">
        <f>IFERROR(SMALL(CT47:CT127,ROW()-ROW($CT$130)+1),"")</f>
        <v>0</v>
      </c>
      <c r="CU177">
        <f>IFERROR(SMALL(CU47:CU127,ROW()-ROW($CU$130)+1),"")</f>
        <v>0</v>
      </c>
      <c r="CV177">
        <f>IFERROR(SMALL(CV47:CV127,ROW()-ROW($CV$130)+1),"")</f>
        <v>0</v>
      </c>
      <c r="CW177">
        <f>IFERROR(SMALL(CW47:CW127,ROW()-ROW($CW$130)+1),"")</f>
        <v>0</v>
      </c>
      <c r="CX177">
        <f>IFERROR(SMALL(CX47:CX127,ROW()-ROW($CX$130)+1),"")</f>
        <v>0</v>
      </c>
      <c r="CY177">
        <f>IFERROR(SMALL(CY47:CY127,ROW()-ROW($CY$130)+1),"")</f>
        <v>0</v>
      </c>
      <c r="CZ177">
        <f>IFERROR(SMALL(CZ47:CZ127,ROW()-ROW($CZ$130)+1),"")</f>
        <v>0</v>
      </c>
      <c r="DA177">
        <f>IFERROR(SMALL(DA47:DA127,ROW()-ROW($DA$130)+1),"")</f>
        <v>0</v>
      </c>
      <c r="DB177">
        <f>IFERROR(SMALL(DB47:DB127,ROW()-ROW($DB$130)+1),"")</f>
        <v>0</v>
      </c>
      <c r="DC177">
        <f>IFERROR(SMALL(DC47:DC127,ROW()-ROW($DC$130)+1),"")</f>
        <v>0</v>
      </c>
      <c r="DD177">
        <f>IFERROR(SMALL(DD47:DD127,ROW()-ROW($DD$130)+1),"")</f>
        <v>0</v>
      </c>
      <c r="DE177">
        <f>IFERROR(SMALL(DE47:DE127,ROW()-ROW($DE$130)+1),"")</f>
        <v>0</v>
      </c>
      <c r="DF177">
        <f>IFERROR(SMALL(DF47:DF127,ROW()-ROW($DF$130)+1),"")</f>
        <v>0</v>
      </c>
      <c r="DG177">
        <f>IFERROR(SMALL(DG47:DG127,ROW()-ROW($DG$130)+1),"")</f>
        <v>0</v>
      </c>
      <c r="DH177">
        <f>IFERROR(SMALL(DH47:DH127,ROW()-ROW($DH$130)+1),"")</f>
        <v>0</v>
      </c>
      <c r="DI177">
        <f>IFERROR(SMALL(DI47:DI127,ROW()-ROW($DI$130)+1),"")</f>
        <v>0</v>
      </c>
      <c r="DJ177">
        <f>IFERROR(SMALL(DJ47:DJ127,ROW()-ROW($DJ$130)+1),"")</f>
        <v>0</v>
      </c>
      <c r="DK177">
        <f>IFERROR(SMALL(DK47:DK127,ROW()-ROW($DK$130)+1),"")</f>
        <v>0</v>
      </c>
      <c r="DL177">
        <f>IFERROR(SMALL(DL47:DL127,ROW()-ROW($DL$130)+1),"")</f>
        <v>0</v>
      </c>
      <c r="DM177">
        <f>IFERROR(SMALL(DM47:DM127,ROW()-ROW($DM$130)+1),"")</f>
        <v>0</v>
      </c>
      <c r="DN177">
        <f>IFERROR(SMALL(DN47:DN127,ROW()-ROW($DN$130)+1),"")</f>
        <v>0</v>
      </c>
      <c r="DO177">
        <f>IFERROR(SMALL(DO47:DO127,ROW()-ROW($DO$130)+1),"")</f>
        <v>0</v>
      </c>
      <c r="DP177">
        <f>IFERROR(SMALL(DP47:DP127,ROW()-ROW($DP$130)+1),"")</f>
        <v>0</v>
      </c>
      <c r="DQ177">
        <f>IFERROR(SMALL(DQ47:DQ127,ROW()-ROW($DQ$130)+1),"")</f>
        <v>0</v>
      </c>
      <c r="DR177">
        <f>IFERROR(SMALL(DR47:DR127,ROW()-ROW($DR$130)+1),"")</f>
        <v>0</v>
      </c>
      <c r="DS177">
        <f>IFERROR(SMALL(DS47:DS127,ROW()-ROW($DS$130)+1),"")</f>
        <v>0</v>
      </c>
      <c r="DT177">
        <f>IFERROR(SMALL(DT47:DT127,ROW()-ROW($DT$130)+1),"")</f>
        <v>0</v>
      </c>
      <c r="DU177">
        <f>IFERROR(SMALL(DU47:DU127,ROW()-ROW($DU$130)+1),"")</f>
        <v>0</v>
      </c>
      <c r="DV177">
        <f>IFERROR(SMALL(DV47:DV127,ROW()-ROW($DV$130)+1),"")</f>
        <v>0</v>
      </c>
      <c r="DW177">
        <f>IFERROR(SMALL(DW47:DW127,ROW()-ROW($DW$130)+1),"")</f>
        <v>0</v>
      </c>
      <c r="DX177">
        <f>IFERROR(SMALL(DX47:DX127,ROW()-ROW($DX$130)+1),"")</f>
        <v>0</v>
      </c>
      <c r="DY177">
        <f>IFERROR(SMALL(DY47:DY127,ROW()-ROW($DY$130)+1),"")</f>
        <v>0</v>
      </c>
      <c r="DZ177">
        <f>IFERROR(SMALL(DZ47:DZ127,ROW()-ROW($DZ$130)+1),"")</f>
        <v>0</v>
      </c>
      <c r="EA177">
        <f>IFERROR(SMALL(EA47:EA127,ROW()-ROW($EA$130)+1),"")</f>
        <v>0</v>
      </c>
      <c r="EB177">
        <f>IFERROR(SMALL(EB47:EB127,ROW()-ROW($EB$130)+1),"")</f>
        <v>0</v>
      </c>
      <c r="EC177">
        <f>IFERROR(SMALL(EC47:EC127,ROW()-ROW($EC$130)+1),"")</f>
        <v>0</v>
      </c>
      <c r="ED177">
        <f>IFERROR(SMALL(ED47:ED127,ROW()-ROW($ED$130)+1),"")</f>
        <v>0</v>
      </c>
    </row>
    <row r="178" spans="5:134">
      <c r="E178">
        <f>IFERROR(SMALL(E47:E127,ROW()-ROW($E$130)+1),"")</f>
        <v>0</v>
      </c>
      <c r="F178">
        <f>IFERROR(SMALL(F47:F127,ROW()-ROW($F$130)+1),"")</f>
        <v>0</v>
      </c>
      <c r="G178">
        <f>IFERROR(SMALL(G47:G127,ROW()-ROW($G$130)+1),"")</f>
        <v>0</v>
      </c>
      <c r="H178">
        <f>IFERROR(SMALL(H47:H127,ROW()-ROW($H$130)+1),"")</f>
        <v>0</v>
      </c>
      <c r="I178">
        <f>IFERROR(SMALL(I47:I127,ROW()-ROW($I$130)+1),"")</f>
        <v>0</v>
      </c>
      <c r="J178">
        <f>IFERROR(SMALL(J47:J127,ROW()-ROW($J$130)+1),"")</f>
        <v>0</v>
      </c>
      <c r="K178">
        <f>IFERROR(SMALL(K47:K127,ROW()-ROW($K$130)+1),"")</f>
        <v>0</v>
      </c>
      <c r="L178">
        <f>IFERROR(SMALL(L47:L127,ROW()-ROW($L$130)+1),"")</f>
        <v>0</v>
      </c>
      <c r="M178">
        <f>IFERROR(SMALL(M47:M127,ROW()-ROW($M$130)+1),"")</f>
        <v>0</v>
      </c>
      <c r="N178">
        <f>IFERROR(SMALL(N47:N127,ROW()-ROW($N$130)+1),"")</f>
        <v>0</v>
      </c>
      <c r="O178">
        <f>IFERROR(SMALL(O47:O127,ROW()-ROW($O$130)+1),"")</f>
        <v>0</v>
      </c>
      <c r="P178">
        <f>IFERROR(SMALL(P47:P127,ROW()-ROW($P$130)+1),"")</f>
        <v>0</v>
      </c>
      <c r="Q178">
        <f>IFERROR(SMALL(Q47:Q127,ROW()-ROW($Q$130)+1),"")</f>
        <v>0</v>
      </c>
      <c r="R178">
        <f>IFERROR(SMALL(R47:R127,ROW()-ROW($R$130)+1),"")</f>
        <v>0</v>
      </c>
      <c r="S178">
        <f>IFERROR(SMALL(S47:S127,ROW()-ROW($S$130)+1),"")</f>
        <v>0</v>
      </c>
      <c r="T178">
        <f>IFERROR(SMALL(T47:T127,ROW()-ROW($T$130)+1),"")</f>
        <v>0</v>
      </c>
      <c r="U178">
        <f>IFERROR(SMALL(U47:U127,ROW()-ROW($U$130)+1),"")</f>
        <v>0</v>
      </c>
      <c r="V178">
        <f>IFERROR(SMALL(V47:V127,ROW()-ROW($V$130)+1),"")</f>
        <v>0</v>
      </c>
      <c r="W178">
        <f>IFERROR(SMALL(W47:W127,ROW()-ROW($W$130)+1),"")</f>
        <v>0</v>
      </c>
      <c r="X178">
        <f>IFERROR(SMALL(X47:X127,ROW()-ROW($X$130)+1),"")</f>
        <v>0</v>
      </c>
      <c r="Y178">
        <f>IFERROR(SMALL(Y47:Y127,ROW()-ROW($Y$130)+1),"")</f>
        <v>0</v>
      </c>
      <c r="Z178">
        <f>IFERROR(SMALL(Z47:Z127,ROW()-ROW($Z$130)+1),"")</f>
        <v>0</v>
      </c>
      <c r="AA178">
        <f>IFERROR(SMALL(AA47:AA127,ROW()-ROW($AA$130)+1),"")</f>
        <v>0</v>
      </c>
      <c r="AB178">
        <f>IFERROR(SMALL(AB47:AB127,ROW()-ROW($AB$130)+1),"")</f>
        <v>0</v>
      </c>
      <c r="AC178">
        <f>IFERROR(SMALL(AC47:AC127,ROW()-ROW($AC$130)+1),"")</f>
        <v>0</v>
      </c>
      <c r="AD178">
        <f>IFERROR(SMALL(AD47:AD127,ROW()-ROW($AD$130)+1),"")</f>
        <v>0</v>
      </c>
      <c r="AE178">
        <f>IFERROR(SMALL(AE47:AE127,ROW()-ROW($AE$130)+1),"")</f>
        <v>0</v>
      </c>
      <c r="AF178">
        <f>IFERROR(SMALL(AF47:AF127,ROW()-ROW($AF$130)+1),"")</f>
        <v>0</v>
      </c>
      <c r="AG178">
        <f>IFERROR(SMALL(AG47:AG127,ROW()-ROW($AG$130)+1),"")</f>
        <v>0</v>
      </c>
      <c r="AH178">
        <f>IFERROR(SMALL(AH47:AH127,ROW()-ROW($AH$130)+1),"")</f>
        <v>0</v>
      </c>
      <c r="AI178">
        <f>IFERROR(SMALL(AI47:AI127,ROW()-ROW($AI$130)+1),"")</f>
        <v>0</v>
      </c>
      <c r="AJ178">
        <f>IFERROR(SMALL(AJ47:AJ127,ROW()-ROW($AJ$130)+1),"")</f>
        <v>0</v>
      </c>
      <c r="AK178">
        <f>IFERROR(SMALL(AK47:AK127,ROW()-ROW($AK$130)+1),"")</f>
        <v>0</v>
      </c>
      <c r="AL178">
        <f>IFERROR(SMALL(AL47:AL127,ROW()-ROW($AL$130)+1),"")</f>
        <v>0</v>
      </c>
      <c r="AM178">
        <f>IFERROR(SMALL(AM47:AM127,ROW()-ROW($AM$130)+1),"")</f>
        <v>0</v>
      </c>
      <c r="AN178">
        <f>IFERROR(SMALL(AN47:AN127,ROW()-ROW($AN$130)+1),"")</f>
        <v>0</v>
      </c>
      <c r="AO178">
        <f>IFERROR(SMALL(AO47:AO127,ROW()-ROW($AO$130)+1),"")</f>
        <v>0</v>
      </c>
      <c r="AP178">
        <f>IFERROR(SMALL(AP47:AP127,ROW()-ROW($AP$130)+1),"")</f>
        <v>0</v>
      </c>
      <c r="AQ178">
        <f>IFERROR(SMALL(AQ47:AQ127,ROW()-ROW($AQ$130)+1),"")</f>
        <v>0</v>
      </c>
      <c r="AR178">
        <f>IFERROR(SMALL(AR47:AR127,ROW()-ROW($AR$130)+1),"")</f>
        <v>0</v>
      </c>
      <c r="AS178">
        <f>IFERROR(SMALL(AS47:AS127,ROW()-ROW($AS$130)+1),"")</f>
        <v>0</v>
      </c>
      <c r="AT178">
        <f>IFERROR(SMALL(AT47:AT127,ROW()-ROW($AT$130)+1),"")</f>
        <v>0</v>
      </c>
      <c r="AU178">
        <f>IFERROR(SMALL(AU47:AU127,ROW()-ROW($AU$130)+1),"")</f>
        <v>0</v>
      </c>
      <c r="AV178">
        <f>IFERROR(SMALL(AV47:AV127,ROW()-ROW($AV$130)+1),"")</f>
        <v>0</v>
      </c>
      <c r="AW178">
        <f>IFERROR(SMALL(AW47:AW127,ROW()-ROW($AW$130)+1),"")</f>
        <v>0</v>
      </c>
      <c r="AX178">
        <f>IFERROR(SMALL(AX47:AX127,ROW()-ROW($AX$130)+1),"")</f>
        <v>0</v>
      </c>
      <c r="AY178">
        <f>IFERROR(SMALL(AY47:AY127,ROW()-ROW($AY$130)+1),"")</f>
        <v>0</v>
      </c>
      <c r="AZ178">
        <f>IFERROR(SMALL(AZ47:AZ127,ROW()-ROW($AZ$130)+1),"")</f>
        <v>0</v>
      </c>
      <c r="BA178">
        <f>IFERROR(SMALL(BA47:BA127,ROW()-ROW($BA$130)+1),"")</f>
        <v>0</v>
      </c>
      <c r="BB178">
        <f>IFERROR(SMALL(BB47:BB127,ROW()-ROW($BB$130)+1),"")</f>
        <v>0</v>
      </c>
      <c r="BC178">
        <f>IFERROR(SMALL(BC47:BC127,ROW()-ROW($BC$130)+1),"")</f>
        <v>0</v>
      </c>
      <c r="BD178">
        <f>IFERROR(SMALL(BD47:BD127,ROW()-ROW($BD$130)+1),"")</f>
        <v>0</v>
      </c>
      <c r="BE178">
        <f>IFERROR(SMALL(BE47:BE127,ROW()-ROW($BE$130)+1),"")</f>
        <v>0</v>
      </c>
      <c r="BF178">
        <f>IFERROR(SMALL(BF47:BF127,ROW()-ROW($BF$130)+1),"")</f>
        <v>0</v>
      </c>
      <c r="BG178">
        <f>IFERROR(SMALL(BG47:BG127,ROW()-ROW($BG$130)+1),"")</f>
        <v>0</v>
      </c>
      <c r="BH178">
        <f>IFERROR(SMALL(BH47:BH127,ROW()-ROW($BH$130)+1),"")</f>
        <v>0</v>
      </c>
      <c r="BI178">
        <f>IFERROR(SMALL(BI47:BI127,ROW()-ROW($BI$130)+1),"")</f>
        <v>0</v>
      </c>
      <c r="BJ178">
        <f>IFERROR(SMALL(BJ47:BJ127,ROW()-ROW($BJ$130)+1),"")</f>
        <v>0</v>
      </c>
      <c r="BK178">
        <f>IFERROR(SMALL(BK47:BK127,ROW()-ROW($BK$130)+1),"")</f>
        <v>0</v>
      </c>
      <c r="BL178">
        <f>IFERROR(SMALL(BL47:BL127,ROW()-ROW($BL$130)+1),"")</f>
        <v>0</v>
      </c>
      <c r="BM178">
        <f>IFERROR(SMALL(BM47:BM127,ROW()-ROW($BM$130)+1),"")</f>
        <v>0</v>
      </c>
      <c r="BN178">
        <f>IFERROR(SMALL(BN47:BN127,ROW()-ROW($BN$130)+1),"")</f>
        <v>0</v>
      </c>
      <c r="BO178">
        <f>IFERROR(SMALL(BO47:BO127,ROW()-ROW($BO$130)+1),"")</f>
        <v>0</v>
      </c>
      <c r="BP178">
        <f>IFERROR(SMALL(BP47:BP127,ROW()-ROW($BP$130)+1),"")</f>
        <v>0</v>
      </c>
      <c r="BS178">
        <f>IFERROR(SMALL(BS47:BS127,ROW()-ROW($BS$130)+1),"")</f>
        <v>0</v>
      </c>
      <c r="BT178">
        <f>IFERROR(SMALL(BT47:BT127,ROW()-ROW($BT$130)+1),"")</f>
        <v>0</v>
      </c>
      <c r="BU178">
        <f>IFERROR(SMALL(BU47:BU127,ROW()-ROW($BU$130)+1),"")</f>
        <v>0</v>
      </c>
      <c r="BV178">
        <f>IFERROR(SMALL(BV47:BV127,ROW()-ROW($BV$130)+1),"")</f>
        <v>0</v>
      </c>
      <c r="BW178">
        <f>IFERROR(SMALL(BW47:BW127,ROW()-ROW($BW$130)+1),"")</f>
        <v>0</v>
      </c>
      <c r="BX178">
        <f>IFERROR(SMALL(BX47:BX127,ROW()-ROW($BX$130)+1),"")</f>
        <v>0</v>
      </c>
      <c r="BY178">
        <f>IFERROR(SMALL(BY47:BY127,ROW()-ROW($BY$130)+1),"")</f>
        <v>0</v>
      </c>
      <c r="BZ178">
        <f>IFERROR(SMALL(BZ47:BZ127,ROW()-ROW($BZ$130)+1),"")</f>
        <v>0</v>
      </c>
      <c r="CA178">
        <f>IFERROR(SMALL(CA47:CA127,ROW()-ROW($CA$130)+1),"")</f>
        <v>0</v>
      </c>
      <c r="CB178">
        <f>IFERROR(SMALL(CB47:CB127,ROW()-ROW($CB$130)+1),"")</f>
        <v>0</v>
      </c>
      <c r="CC178">
        <f>IFERROR(SMALL(CC47:CC127,ROW()-ROW($CC$130)+1),"")</f>
        <v>0</v>
      </c>
      <c r="CD178">
        <f>IFERROR(SMALL(CD47:CD127,ROW()-ROW($CD$130)+1),"")</f>
        <v>0</v>
      </c>
      <c r="CE178">
        <f>IFERROR(SMALL(CE47:CE127,ROW()-ROW($CE$130)+1),"")</f>
        <v>0</v>
      </c>
      <c r="CF178">
        <f>IFERROR(SMALL(CF47:CF127,ROW()-ROW($CF$130)+1),"")</f>
        <v>0</v>
      </c>
      <c r="CG178">
        <f>IFERROR(SMALL(CG47:CG127,ROW()-ROW($CG$130)+1),"")</f>
        <v>0</v>
      </c>
      <c r="CH178">
        <f>IFERROR(SMALL(CH47:CH127,ROW()-ROW($CH$130)+1),"")</f>
        <v>0</v>
      </c>
      <c r="CI178">
        <f>IFERROR(SMALL(CI47:CI127,ROW()-ROW($CI$130)+1),"")</f>
        <v>0</v>
      </c>
      <c r="CJ178">
        <f>IFERROR(SMALL(CJ47:CJ127,ROW()-ROW($CJ$130)+1),"")</f>
        <v>0</v>
      </c>
      <c r="CK178">
        <f>IFERROR(SMALL(CK47:CK127,ROW()-ROW($CK$130)+1),"")</f>
        <v>0</v>
      </c>
      <c r="CL178">
        <f>IFERROR(SMALL(CL47:CL127,ROW()-ROW($CL$130)+1),"")</f>
        <v>0</v>
      </c>
      <c r="CM178">
        <f>IFERROR(SMALL(CM47:CM127,ROW()-ROW($CM$130)+1),"")</f>
        <v>0</v>
      </c>
      <c r="CN178">
        <f>IFERROR(SMALL(CN47:CN127,ROW()-ROW($CN$130)+1),"")</f>
        <v>0</v>
      </c>
      <c r="CO178">
        <f>IFERROR(SMALL(CO47:CO127,ROW()-ROW($CO$130)+1),"")</f>
        <v>0</v>
      </c>
      <c r="CP178">
        <f>IFERROR(SMALL(CP47:CP127,ROW()-ROW($CP$130)+1),"")</f>
        <v>0</v>
      </c>
      <c r="CQ178">
        <f>IFERROR(SMALL(CQ47:CQ127,ROW()-ROW($CQ$130)+1),"")</f>
        <v>0</v>
      </c>
      <c r="CR178">
        <f>IFERROR(SMALL(CR47:CR127,ROW()-ROW($CR$130)+1),"")</f>
        <v>0</v>
      </c>
      <c r="CS178">
        <f>IFERROR(SMALL(CS47:CS127,ROW()-ROW($CS$130)+1),"")</f>
        <v>0</v>
      </c>
      <c r="CT178">
        <f>IFERROR(SMALL(CT47:CT127,ROW()-ROW($CT$130)+1),"")</f>
        <v>0</v>
      </c>
      <c r="CU178">
        <f>IFERROR(SMALL(CU47:CU127,ROW()-ROW($CU$130)+1),"")</f>
        <v>0</v>
      </c>
      <c r="CV178">
        <f>IFERROR(SMALL(CV47:CV127,ROW()-ROW($CV$130)+1),"")</f>
        <v>0</v>
      </c>
      <c r="CW178">
        <f>IFERROR(SMALL(CW47:CW127,ROW()-ROW($CW$130)+1),"")</f>
        <v>0</v>
      </c>
      <c r="CX178">
        <f>IFERROR(SMALL(CX47:CX127,ROW()-ROW($CX$130)+1),"")</f>
        <v>0</v>
      </c>
      <c r="CY178">
        <f>IFERROR(SMALL(CY47:CY127,ROW()-ROW($CY$130)+1),"")</f>
        <v>0</v>
      </c>
      <c r="CZ178">
        <f>IFERROR(SMALL(CZ47:CZ127,ROW()-ROW($CZ$130)+1),"")</f>
        <v>0</v>
      </c>
      <c r="DA178">
        <f>IFERROR(SMALL(DA47:DA127,ROW()-ROW($DA$130)+1),"")</f>
        <v>0</v>
      </c>
      <c r="DB178">
        <f>IFERROR(SMALL(DB47:DB127,ROW()-ROW($DB$130)+1),"")</f>
        <v>0</v>
      </c>
      <c r="DC178">
        <f>IFERROR(SMALL(DC47:DC127,ROW()-ROW($DC$130)+1),"")</f>
        <v>0</v>
      </c>
      <c r="DD178">
        <f>IFERROR(SMALL(DD47:DD127,ROW()-ROW($DD$130)+1),"")</f>
        <v>0</v>
      </c>
      <c r="DE178">
        <f>IFERROR(SMALL(DE47:DE127,ROW()-ROW($DE$130)+1),"")</f>
        <v>0</v>
      </c>
      <c r="DF178">
        <f>IFERROR(SMALL(DF47:DF127,ROW()-ROW($DF$130)+1),"")</f>
        <v>0</v>
      </c>
      <c r="DG178">
        <f>IFERROR(SMALL(DG47:DG127,ROW()-ROW($DG$130)+1),"")</f>
        <v>0</v>
      </c>
      <c r="DH178">
        <f>IFERROR(SMALL(DH47:DH127,ROW()-ROW($DH$130)+1),"")</f>
        <v>0</v>
      </c>
      <c r="DI178">
        <f>IFERROR(SMALL(DI47:DI127,ROW()-ROW($DI$130)+1),"")</f>
        <v>0</v>
      </c>
      <c r="DJ178">
        <f>IFERROR(SMALL(DJ47:DJ127,ROW()-ROW($DJ$130)+1),"")</f>
        <v>0</v>
      </c>
      <c r="DK178">
        <f>IFERROR(SMALL(DK47:DK127,ROW()-ROW($DK$130)+1),"")</f>
        <v>0</v>
      </c>
      <c r="DL178">
        <f>IFERROR(SMALL(DL47:DL127,ROW()-ROW($DL$130)+1),"")</f>
        <v>0</v>
      </c>
      <c r="DM178">
        <f>IFERROR(SMALL(DM47:DM127,ROW()-ROW($DM$130)+1),"")</f>
        <v>0</v>
      </c>
      <c r="DN178">
        <f>IFERROR(SMALL(DN47:DN127,ROW()-ROW($DN$130)+1),"")</f>
        <v>0</v>
      </c>
      <c r="DO178">
        <f>IFERROR(SMALL(DO47:DO127,ROW()-ROW($DO$130)+1),"")</f>
        <v>0</v>
      </c>
      <c r="DP178">
        <f>IFERROR(SMALL(DP47:DP127,ROW()-ROW($DP$130)+1),"")</f>
        <v>0</v>
      </c>
      <c r="DQ178">
        <f>IFERROR(SMALL(DQ47:DQ127,ROW()-ROW($DQ$130)+1),"")</f>
        <v>0</v>
      </c>
      <c r="DR178">
        <f>IFERROR(SMALL(DR47:DR127,ROW()-ROW($DR$130)+1),"")</f>
        <v>0</v>
      </c>
      <c r="DS178">
        <f>IFERROR(SMALL(DS47:DS127,ROW()-ROW($DS$130)+1),"")</f>
        <v>0</v>
      </c>
      <c r="DT178">
        <f>IFERROR(SMALL(DT47:DT127,ROW()-ROW($DT$130)+1),"")</f>
        <v>0</v>
      </c>
      <c r="DU178">
        <f>IFERROR(SMALL(DU47:DU127,ROW()-ROW($DU$130)+1),"")</f>
        <v>0</v>
      </c>
      <c r="DV178">
        <f>IFERROR(SMALL(DV47:DV127,ROW()-ROW($DV$130)+1),"")</f>
        <v>0</v>
      </c>
      <c r="DW178">
        <f>IFERROR(SMALL(DW47:DW127,ROW()-ROW($DW$130)+1),"")</f>
        <v>0</v>
      </c>
      <c r="DX178">
        <f>IFERROR(SMALL(DX47:DX127,ROW()-ROW($DX$130)+1),"")</f>
        <v>0</v>
      </c>
      <c r="DY178">
        <f>IFERROR(SMALL(DY47:DY127,ROW()-ROW($DY$130)+1),"")</f>
        <v>0</v>
      </c>
      <c r="DZ178">
        <f>IFERROR(SMALL(DZ47:DZ127,ROW()-ROW($DZ$130)+1),"")</f>
        <v>0</v>
      </c>
      <c r="EA178">
        <f>IFERROR(SMALL(EA47:EA127,ROW()-ROW($EA$130)+1),"")</f>
        <v>0</v>
      </c>
      <c r="EB178">
        <f>IFERROR(SMALL(EB47:EB127,ROW()-ROW($EB$130)+1),"")</f>
        <v>0</v>
      </c>
      <c r="EC178">
        <f>IFERROR(SMALL(EC47:EC127,ROW()-ROW($EC$130)+1),"")</f>
        <v>0</v>
      </c>
      <c r="ED178">
        <f>IFERROR(SMALL(ED47:ED127,ROW()-ROW($ED$130)+1),"")</f>
        <v>0</v>
      </c>
    </row>
    <row r="179" spans="5:134">
      <c r="E179">
        <f>IFERROR(SMALL(E47:E127,ROW()-ROW($E$130)+1),"")</f>
        <v>0</v>
      </c>
      <c r="F179">
        <f>IFERROR(SMALL(F47:F127,ROW()-ROW($F$130)+1),"")</f>
        <v>0</v>
      </c>
      <c r="G179">
        <f>IFERROR(SMALL(G47:G127,ROW()-ROW($G$130)+1),"")</f>
        <v>0</v>
      </c>
      <c r="H179">
        <f>IFERROR(SMALL(H47:H127,ROW()-ROW($H$130)+1),"")</f>
        <v>0</v>
      </c>
      <c r="I179">
        <f>IFERROR(SMALL(I47:I127,ROW()-ROW($I$130)+1),"")</f>
        <v>0</v>
      </c>
      <c r="J179">
        <f>IFERROR(SMALL(J47:J127,ROW()-ROW($J$130)+1),"")</f>
        <v>0</v>
      </c>
      <c r="K179">
        <f>IFERROR(SMALL(K47:K127,ROW()-ROW($K$130)+1),"")</f>
        <v>0</v>
      </c>
      <c r="L179">
        <f>IFERROR(SMALL(L47:L127,ROW()-ROW($L$130)+1),"")</f>
        <v>0</v>
      </c>
      <c r="M179">
        <f>IFERROR(SMALL(M47:M127,ROW()-ROW($M$130)+1),"")</f>
        <v>0</v>
      </c>
      <c r="N179">
        <f>IFERROR(SMALL(N47:N127,ROW()-ROW($N$130)+1),"")</f>
        <v>0</v>
      </c>
      <c r="O179">
        <f>IFERROR(SMALL(O47:O127,ROW()-ROW($O$130)+1),"")</f>
        <v>0</v>
      </c>
      <c r="P179">
        <f>IFERROR(SMALL(P47:P127,ROW()-ROW($P$130)+1),"")</f>
        <v>0</v>
      </c>
      <c r="Q179">
        <f>IFERROR(SMALL(Q47:Q127,ROW()-ROW($Q$130)+1),"")</f>
        <v>0</v>
      </c>
      <c r="R179">
        <f>IFERROR(SMALL(R47:R127,ROW()-ROW($R$130)+1),"")</f>
        <v>0</v>
      </c>
      <c r="S179">
        <f>IFERROR(SMALL(S47:S127,ROW()-ROW($S$130)+1),"")</f>
        <v>0</v>
      </c>
      <c r="T179">
        <f>IFERROR(SMALL(T47:T127,ROW()-ROW($T$130)+1),"")</f>
        <v>0</v>
      </c>
      <c r="U179">
        <f>IFERROR(SMALL(U47:U127,ROW()-ROW($U$130)+1),"")</f>
        <v>0</v>
      </c>
      <c r="V179">
        <f>IFERROR(SMALL(V47:V127,ROW()-ROW($V$130)+1),"")</f>
        <v>0</v>
      </c>
      <c r="W179">
        <f>IFERROR(SMALL(W47:W127,ROW()-ROW($W$130)+1),"")</f>
        <v>0</v>
      </c>
      <c r="X179">
        <f>IFERROR(SMALL(X47:X127,ROW()-ROW($X$130)+1),"")</f>
        <v>0</v>
      </c>
      <c r="Y179">
        <f>IFERROR(SMALL(Y47:Y127,ROW()-ROW($Y$130)+1),"")</f>
        <v>0</v>
      </c>
      <c r="Z179">
        <f>IFERROR(SMALL(Z47:Z127,ROW()-ROW($Z$130)+1),"")</f>
        <v>0</v>
      </c>
      <c r="AA179">
        <f>IFERROR(SMALL(AA47:AA127,ROW()-ROW($AA$130)+1),"")</f>
        <v>0</v>
      </c>
      <c r="AB179">
        <f>IFERROR(SMALL(AB47:AB127,ROW()-ROW($AB$130)+1),"")</f>
        <v>0</v>
      </c>
      <c r="AC179">
        <f>IFERROR(SMALL(AC47:AC127,ROW()-ROW($AC$130)+1),"")</f>
        <v>0</v>
      </c>
      <c r="AD179">
        <f>IFERROR(SMALL(AD47:AD127,ROW()-ROW($AD$130)+1),"")</f>
        <v>0</v>
      </c>
      <c r="AE179">
        <f>IFERROR(SMALL(AE47:AE127,ROW()-ROW($AE$130)+1),"")</f>
        <v>0</v>
      </c>
      <c r="AF179">
        <f>IFERROR(SMALL(AF47:AF127,ROW()-ROW($AF$130)+1),"")</f>
        <v>0</v>
      </c>
      <c r="AG179">
        <f>IFERROR(SMALL(AG47:AG127,ROW()-ROW($AG$130)+1),"")</f>
        <v>0</v>
      </c>
      <c r="AH179">
        <f>IFERROR(SMALL(AH47:AH127,ROW()-ROW($AH$130)+1),"")</f>
        <v>0</v>
      </c>
      <c r="AI179">
        <f>IFERROR(SMALL(AI47:AI127,ROW()-ROW($AI$130)+1),"")</f>
        <v>0</v>
      </c>
      <c r="AJ179">
        <f>IFERROR(SMALL(AJ47:AJ127,ROW()-ROW($AJ$130)+1),"")</f>
        <v>0</v>
      </c>
      <c r="AK179">
        <f>IFERROR(SMALL(AK47:AK127,ROW()-ROW($AK$130)+1),"")</f>
        <v>0</v>
      </c>
      <c r="AL179">
        <f>IFERROR(SMALL(AL47:AL127,ROW()-ROW($AL$130)+1),"")</f>
        <v>0</v>
      </c>
      <c r="AM179">
        <f>IFERROR(SMALL(AM47:AM127,ROW()-ROW($AM$130)+1),"")</f>
        <v>0</v>
      </c>
      <c r="AN179">
        <f>IFERROR(SMALL(AN47:AN127,ROW()-ROW($AN$130)+1),"")</f>
        <v>0</v>
      </c>
      <c r="AO179">
        <f>IFERROR(SMALL(AO47:AO127,ROW()-ROW($AO$130)+1),"")</f>
        <v>0</v>
      </c>
      <c r="AP179">
        <f>IFERROR(SMALL(AP47:AP127,ROW()-ROW($AP$130)+1),"")</f>
        <v>0</v>
      </c>
      <c r="AQ179">
        <f>IFERROR(SMALL(AQ47:AQ127,ROW()-ROW($AQ$130)+1),"")</f>
        <v>0</v>
      </c>
      <c r="AR179">
        <f>IFERROR(SMALL(AR47:AR127,ROW()-ROW($AR$130)+1),"")</f>
        <v>0</v>
      </c>
      <c r="AS179">
        <f>IFERROR(SMALL(AS47:AS127,ROW()-ROW($AS$130)+1),"")</f>
        <v>0</v>
      </c>
      <c r="AT179">
        <f>IFERROR(SMALL(AT47:AT127,ROW()-ROW($AT$130)+1),"")</f>
        <v>0</v>
      </c>
      <c r="AU179">
        <f>IFERROR(SMALL(AU47:AU127,ROW()-ROW($AU$130)+1),"")</f>
        <v>0</v>
      </c>
      <c r="AV179">
        <f>IFERROR(SMALL(AV47:AV127,ROW()-ROW($AV$130)+1),"")</f>
        <v>0</v>
      </c>
      <c r="AW179">
        <f>IFERROR(SMALL(AW47:AW127,ROW()-ROW($AW$130)+1),"")</f>
        <v>0</v>
      </c>
      <c r="AX179">
        <f>IFERROR(SMALL(AX47:AX127,ROW()-ROW($AX$130)+1),"")</f>
        <v>0</v>
      </c>
      <c r="AY179">
        <f>IFERROR(SMALL(AY47:AY127,ROW()-ROW($AY$130)+1),"")</f>
        <v>0</v>
      </c>
      <c r="AZ179">
        <f>IFERROR(SMALL(AZ47:AZ127,ROW()-ROW($AZ$130)+1),"")</f>
        <v>0</v>
      </c>
      <c r="BA179">
        <f>IFERROR(SMALL(BA47:BA127,ROW()-ROW($BA$130)+1),"")</f>
        <v>0</v>
      </c>
      <c r="BB179">
        <f>IFERROR(SMALL(BB47:BB127,ROW()-ROW($BB$130)+1),"")</f>
        <v>0</v>
      </c>
      <c r="BC179">
        <f>IFERROR(SMALL(BC47:BC127,ROW()-ROW($BC$130)+1),"")</f>
        <v>0</v>
      </c>
      <c r="BD179">
        <f>IFERROR(SMALL(BD47:BD127,ROW()-ROW($BD$130)+1),"")</f>
        <v>0</v>
      </c>
      <c r="BE179">
        <f>IFERROR(SMALL(BE47:BE127,ROW()-ROW($BE$130)+1),"")</f>
        <v>0</v>
      </c>
      <c r="BF179">
        <f>IFERROR(SMALL(BF47:BF127,ROW()-ROW($BF$130)+1),"")</f>
        <v>0</v>
      </c>
      <c r="BG179">
        <f>IFERROR(SMALL(BG47:BG127,ROW()-ROW($BG$130)+1),"")</f>
        <v>0</v>
      </c>
      <c r="BH179">
        <f>IFERROR(SMALL(BH47:BH127,ROW()-ROW($BH$130)+1),"")</f>
        <v>0</v>
      </c>
      <c r="BI179">
        <f>IFERROR(SMALL(BI47:BI127,ROW()-ROW($BI$130)+1),"")</f>
        <v>0</v>
      </c>
      <c r="BJ179">
        <f>IFERROR(SMALL(BJ47:BJ127,ROW()-ROW($BJ$130)+1),"")</f>
        <v>0</v>
      </c>
      <c r="BK179">
        <f>IFERROR(SMALL(BK47:BK127,ROW()-ROW($BK$130)+1),"")</f>
        <v>0</v>
      </c>
      <c r="BL179">
        <f>IFERROR(SMALL(BL47:BL127,ROW()-ROW($BL$130)+1),"")</f>
        <v>0</v>
      </c>
      <c r="BM179">
        <f>IFERROR(SMALL(BM47:BM127,ROW()-ROW($BM$130)+1),"")</f>
        <v>0</v>
      </c>
      <c r="BN179">
        <f>IFERROR(SMALL(BN47:BN127,ROW()-ROW($BN$130)+1),"")</f>
        <v>0</v>
      </c>
      <c r="BO179">
        <f>IFERROR(SMALL(BO47:BO127,ROW()-ROW($BO$130)+1),"")</f>
        <v>0</v>
      </c>
      <c r="BP179">
        <f>IFERROR(SMALL(BP47:BP127,ROW()-ROW($BP$130)+1),"")</f>
        <v>0</v>
      </c>
      <c r="BS179">
        <f>IFERROR(SMALL(BS47:BS127,ROW()-ROW($BS$130)+1),"")</f>
        <v>0</v>
      </c>
      <c r="BT179">
        <f>IFERROR(SMALL(BT47:BT127,ROW()-ROW($BT$130)+1),"")</f>
        <v>0</v>
      </c>
      <c r="BU179">
        <f>IFERROR(SMALL(BU47:BU127,ROW()-ROW($BU$130)+1),"")</f>
        <v>0</v>
      </c>
      <c r="BV179">
        <f>IFERROR(SMALL(BV47:BV127,ROW()-ROW($BV$130)+1),"")</f>
        <v>0</v>
      </c>
      <c r="BW179">
        <f>IFERROR(SMALL(BW47:BW127,ROW()-ROW($BW$130)+1),"")</f>
        <v>0</v>
      </c>
      <c r="BX179">
        <f>IFERROR(SMALL(BX47:BX127,ROW()-ROW($BX$130)+1),"")</f>
        <v>0</v>
      </c>
      <c r="BY179">
        <f>IFERROR(SMALL(BY47:BY127,ROW()-ROW($BY$130)+1),"")</f>
        <v>0</v>
      </c>
      <c r="BZ179">
        <f>IFERROR(SMALL(BZ47:BZ127,ROW()-ROW($BZ$130)+1),"")</f>
        <v>0</v>
      </c>
      <c r="CA179">
        <f>IFERROR(SMALL(CA47:CA127,ROW()-ROW($CA$130)+1),"")</f>
        <v>0</v>
      </c>
      <c r="CB179">
        <f>IFERROR(SMALL(CB47:CB127,ROW()-ROW($CB$130)+1),"")</f>
        <v>0</v>
      </c>
      <c r="CC179">
        <f>IFERROR(SMALL(CC47:CC127,ROW()-ROW($CC$130)+1),"")</f>
        <v>0</v>
      </c>
      <c r="CD179">
        <f>IFERROR(SMALL(CD47:CD127,ROW()-ROW($CD$130)+1),"")</f>
        <v>0</v>
      </c>
      <c r="CE179">
        <f>IFERROR(SMALL(CE47:CE127,ROW()-ROW($CE$130)+1),"")</f>
        <v>0</v>
      </c>
      <c r="CF179">
        <f>IFERROR(SMALL(CF47:CF127,ROW()-ROW($CF$130)+1),"")</f>
        <v>0</v>
      </c>
      <c r="CG179">
        <f>IFERROR(SMALL(CG47:CG127,ROW()-ROW($CG$130)+1),"")</f>
        <v>0</v>
      </c>
      <c r="CH179">
        <f>IFERROR(SMALL(CH47:CH127,ROW()-ROW($CH$130)+1),"")</f>
        <v>0</v>
      </c>
      <c r="CI179">
        <f>IFERROR(SMALL(CI47:CI127,ROW()-ROW($CI$130)+1),"")</f>
        <v>0</v>
      </c>
      <c r="CJ179">
        <f>IFERROR(SMALL(CJ47:CJ127,ROW()-ROW($CJ$130)+1),"")</f>
        <v>0</v>
      </c>
      <c r="CK179">
        <f>IFERROR(SMALL(CK47:CK127,ROW()-ROW($CK$130)+1),"")</f>
        <v>0</v>
      </c>
      <c r="CL179">
        <f>IFERROR(SMALL(CL47:CL127,ROW()-ROW($CL$130)+1),"")</f>
        <v>0</v>
      </c>
      <c r="CM179">
        <f>IFERROR(SMALL(CM47:CM127,ROW()-ROW($CM$130)+1),"")</f>
        <v>0</v>
      </c>
      <c r="CN179">
        <f>IFERROR(SMALL(CN47:CN127,ROW()-ROW($CN$130)+1),"")</f>
        <v>0</v>
      </c>
      <c r="CO179">
        <f>IFERROR(SMALL(CO47:CO127,ROW()-ROW($CO$130)+1),"")</f>
        <v>0</v>
      </c>
      <c r="CP179">
        <f>IFERROR(SMALL(CP47:CP127,ROW()-ROW($CP$130)+1),"")</f>
        <v>0</v>
      </c>
      <c r="CQ179">
        <f>IFERROR(SMALL(CQ47:CQ127,ROW()-ROW($CQ$130)+1),"")</f>
        <v>0</v>
      </c>
      <c r="CR179">
        <f>IFERROR(SMALL(CR47:CR127,ROW()-ROW($CR$130)+1),"")</f>
        <v>0</v>
      </c>
      <c r="CS179">
        <f>IFERROR(SMALL(CS47:CS127,ROW()-ROW($CS$130)+1),"")</f>
        <v>0</v>
      </c>
      <c r="CT179">
        <f>IFERROR(SMALL(CT47:CT127,ROW()-ROW($CT$130)+1),"")</f>
        <v>0</v>
      </c>
      <c r="CU179">
        <f>IFERROR(SMALL(CU47:CU127,ROW()-ROW($CU$130)+1),"")</f>
        <v>0</v>
      </c>
      <c r="CV179">
        <f>IFERROR(SMALL(CV47:CV127,ROW()-ROW($CV$130)+1),"")</f>
        <v>0</v>
      </c>
      <c r="CW179">
        <f>IFERROR(SMALL(CW47:CW127,ROW()-ROW($CW$130)+1),"")</f>
        <v>0</v>
      </c>
      <c r="CX179">
        <f>IFERROR(SMALL(CX47:CX127,ROW()-ROW($CX$130)+1),"")</f>
        <v>0</v>
      </c>
      <c r="CY179">
        <f>IFERROR(SMALL(CY47:CY127,ROW()-ROW($CY$130)+1),"")</f>
        <v>0</v>
      </c>
      <c r="CZ179">
        <f>IFERROR(SMALL(CZ47:CZ127,ROW()-ROW($CZ$130)+1),"")</f>
        <v>0</v>
      </c>
      <c r="DA179">
        <f>IFERROR(SMALL(DA47:DA127,ROW()-ROW($DA$130)+1),"")</f>
        <v>0</v>
      </c>
      <c r="DB179">
        <f>IFERROR(SMALL(DB47:DB127,ROW()-ROW($DB$130)+1),"")</f>
        <v>0</v>
      </c>
      <c r="DC179">
        <f>IFERROR(SMALL(DC47:DC127,ROW()-ROW($DC$130)+1),"")</f>
        <v>0</v>
      </c>
      <c r="DD179">
        <f>IFERROR(SMALL(DD47:DD127,ROW()-ROW($DD$130)+1),"")</f>
        <v>0</v>
      </c>
      <c r="DE179">
        <f>IFERROR(SMALL(DE47:DE127,ROW()-ROW($DE$130)+1),"")</f>
        <v>0</v>
      </c>
      <c r="DF179">
        <f>IFERROR(SMALL(DF47:DF127,ROW()-ROW($DF$130)+1),"")</f>
        <v>0</v>
      </c>
      <c r="DG179">
        <f>IFERROR(SMALL(DG47:DG127,ROW()-ROW($DG$130)+1),"")</f>
        <v>0</v>
      </c>
      <c r="DH179">
        <f>IFERROR(SMALL(DH47:DH127,ROW()-ROW($DH$130)+1),"")</f>
        <v>0</v>
      </c>
      <c r="DI179">
        <f>IFERROR(SMALL(DI47:DI127,ROW()-ROW($DI$130)+1),"")</f>
        <v>0</v>
      </c>
      <c r="DJ179">
        <f>IFERROR(SMALL(DJ47:DJ127,ROW()-ROW($DJ$130)+1),"")</f>
        <v>0</v>
      </c>
      <c r="DK179">
        <f>IFERROR(SMALL(DK47:DK127,ROW()-ROW($DK$130)+1),"")</f>
        <v>0</v>
      </c>
      <c r="DL179">
        <f>IFERROR(SMALL(DL47:DL127,ROW()-ROW($DL$130)+1),"")</f>
        <v>0</v>
      </c>
      <c r="DM179">
        <f>IFERROR(SMALL(DM47:DM127,ROW()-ROW($DM$130)+1),"")</f>
        <v>0</v>
      </c>
      <c r="DN179">
        <f>IFERROR(SMALL(DN47:DN127,ROW()-ROW($DN$130)+1),"")</f>
        <v>0</v>
      </c>
      <c r="DO179">
        <f>IFERROR(SMALL(DO47:DO127,ROW()-ROW($DO$130)+1),"")</f>
        <v>0</v>
      </c>
      <c r="DP179">
        <f>IFERROR(SMALL(DP47:DP127,ROW()-ROW($DP$130)+1),"")</f>
        <v>0</v>
      </c>
      <c r="DQ179">
        <f>IFERROR(SMALL(DQ47:DQ127,ROW()-ROW($DQ$130)+1),"")</f>
        <v>0</v>
      </c>
      <c r="DR179">
        <f>IFERROR(SMALL(DR47:DR127,ROW()-ROW($DR$130)+1),"")</f>
        <v>0</v>
      </c>
      <c r="DS179">
        <f>IFERROR(SMALL(DS47:DS127,ROW()-ROW($DS$130)+1),"")</f>
        <v>0</v>
      </c>
      <c r="DT179">
        <f>IFERROR(SMALL(DT47:DT127,ROW()-ROW($DT$130)+1),"")</f>
        <v>0</v>
      </c>
      <c r="DU179">
        <f>IFERROR(SMALL(DU47:DU127,ROW()-ROW($DU$130)+1),"")</f>
        <v>0</v>
      </c>
      <c r="DV179">
        <f>IFERROR(SMALL(DV47:DV127,ROW()-ROW($DV$130)+1),"")</f>
        <v>0</v>
      </c>
      <c r="DW179">
        <f>IFERROR(SMALL(DW47:DW127,ROW()-ROW($DW$130)+1),"")</f>
        <v>0</v>
      </c>
      <c r="DX179">
        <f>IFERROR(SMALL(DX47:DX127,ROW()-ROW($DX$130)+1),"")</f>
        <v>0</v>
      </c>
      <c r="DY179">
        <f>IFERROR(SMALL(DY47:DY127,ROW()-ROW($DY$130)+1),"")</f>
        <v>0</v>
      </c>
      <c r="DZ179">
        <f>IFERROR(SMALL(DZ47:DZ127,ROW()-ROW($DZ$130)+1),"")</f>
        <v>0</v>
      </c>
      <c r="EA179">
        <f>IFERROR(SMALL(EA47:EA127,ROW()-ROW($EA$130)+1),"")</f>
        <v>0</v>
      </c>
      <c r="EB179">
        <f>IFERROR(SMALL(EB47:EB127,ROW()-ROW($EB$130)+1),"")</f>
        <v>0</v>
      </c>
      <c r="EC179">
        <f>IFERROR(SMALL(EC47:EC127,ROW()-ROW($EC$130)+1),"")</f>
        <v>0</v>
      </c>
      <c r="ED179">
        <f>IFERROR(SMALL(ED47:ED127,ROW()-ROW($ED$130)+1),"")</f>
        <v>0</v>
      </c>
    </row>
    <row r="180" spans="5:134">
      <c r="E180">
        <f>IFERROR(SMALL(E47:E127,ROW()-ROW($E$130)+1),"")</f>
        <v>0</v>
      </c>
      <c r="F180">
        <f>IFERROR(SMALL(F47:F127,ROW()-ROW($F$130)+1),"")</f>
        <v>0</v>
      </c>
      <c r="G180">
        <f>IFERROR(SMALL(G47:G127,ROW()-ROW($G$130)+1),"")</f>
        <v>0</v>
      </c>
      <c r="H180">
        <f>IFERROR(SMALL(H47:H127,ROW()-ROW($H$130)+1),"")</f>
        <v>0</v>
      </c>
      <c r="I180">
        <f>IFERROR(SMALL(I47:I127,ROW()-ROW($I$130)+1),"")</f>
        <v>0</v>
      </c>
      <c r="J180">
        <f>IFERROR(SMALL(J47:J127,ROW()-ROW($J$130)+1),"")</f>
        <v>0</v>
      </c>
      <c r="K180">
        <f>IFERROR(SMALL(K47:K127,ROW()-ROW($K$130)+1),"")</f>
        <v>0</v>
      </c>
      <c r="L180">
        <f>IFERROR(SMALL(L47:L127,ROW()-ROW($L$130)+1),"")</f>
        <v>0</v>
      </c>
      <c r="M180">
        <f>IFERROR(SMALL(M47:M127,ROW()-ROW($M$130)+1),"")</f>
        <v>0</v>
      </c>
      <c r="N180">
        <f>IFERROR(SMALL(N47:N127,ROW()-ROW($N$130)+1),"")</f>
        <v>0</v>
      </c>
      <c r="O180">
        <f>IFERROR(SMALL(O47:O127,ROW()-ROW($O$130)+1),"")</f>
        <v>0</v>
      </c>
      <c r="P180">
        <f>IFERROR(SMALL(P47:P127,ROW()-ROW($P$130)+1),"")</f>
        <v>0</v>
      </c>
      <c r="Q180">
        <f>IFERROR(SMALL(Q47:Q127,ROW()-ROW($Q$130)+1),"")</f>
        <v>0</v>
      </c>
      <c r="R180">
        <f>IFERROR(SMALL(R47:R127,ROW()-ROW($R$130)+1),"")</f>
        <v>0</v>
      </c>
      <c r="S180">
        <f>IFERROR(SMALL(S47:S127,ROW()-ROW($S$130)+1),"")</f>
        <v>0</v>
      </c>
      <c r="T180">
        <f>IFERROR(SMALL(T47:T127,ROW()-ROW($T$130)+1),"")</f>
        <v>0</v>
      </c>
      <c r="U180">
        <f>IFERROR(SMALL(U47:U127,ROW()-ROW($U$130)+1),"")</f>
        <v>0</v>
      </c>
      <c r="V180">
        <f>IFERROR(SMALL(V47:V127,ROW()-ROW($V$130)+1),"")</f>
        <v>0</v>
      </c>
      <c r="W180">
        <f>IFERROR(SMALL(W47:W127,ROW()-ROW($W$130)+1),"")</f>
        <v>0</v>
      </c>
      <c r="X180">
        <f>IFERROR(SMALL(X47:X127,ROW()-ROW($X$130)+1),"")</f>
        <v>0</v>
      </c>
      <c r="Y180">
        <f>IFERROR(SMALL(Y47:Y127,ROW()-ROW($Y$130)+1),"")</f>
        <v>0</v>
      </c>
      <c r="Z180">
        <f>IFERROR(SMALL(Z47:Z127,ROW()-ROW($Z$130)+1),"")</f>
        <v>0</v>
      </c>
      <c r="AA180">
        <f>IFERROR(SMALL(AA47:AA127,ROW()-ROW($AA$130)+1),"")</f>
        <v>0</v>
      </c>
      <c r="AB180">
        <f>IFERROR(SMALL(AB47:AB127,ROW()-ROW($AB$130)+1),"")</f>
        <v>0</v>
      </c>
      <c r="AC180">
        <f>IFERROR(SMALL(AC47:AC127,ROW()-ROW($AC$130)+1),"")</f>
        <v>0</v>
      </c>
      <c r="AD180">
        <f>IFERROR(SMALL(AD47:AD127,ROW()-ROW($AD$130)+1),"")</f>
        <v>0</v>
      </c>
      <c r="AE180">
        <f>IFERROR(SMALL(AE47:AE127,ROW()-ROW($AE$130)+1),"")</f>
        <v>0</v>
      </c>
      <c r="AF180">
        <f>IFERROR(SMALL(AF47:AF127,ROW()-ROW($AF$130)+1),"")</f>
        <v>0</v>
      </c>
      <c r="AG180">
        <f>IFERROR(SMALL(AG47:AG127,ROW()-ROW($AG$130)+1),"")</f>
        <v>0</v>
      </c>
      <c r="AH180">
        <f>IFERROR(SMALL(AH47:AH127,ROW()-ROW($AH$130)+1),"")</f>
        <v>0</v>
      </c>
      <c r="AI180">
        <f>IFERROR(SMALL(AI47:AI127,ROW()-ROW($AI$130)+1),"")</f>
        <v>0</v>
      </c>
      <c r="AJ180">
        <f>IFERROR(SMALL(AJ47:AJ127,ROW()-ROW($AJ$130)+1),"")</f>
        <v>0</v>
      </c>
      <c r="AK180">
        <f>IFERROR(SMALL(AK47:AK127,ROW()-ROW($AK$130)+1),"")</f>
        <v>0</v>
      </c>
      <c r="AL180">
        <f>IFERROR(SMALL(AL47:AL127,ROW()-ROW($AL$130)+1),"")</f>
        <v>0</v>
      </c>
      <c r="AM180">
        <f>IFERROR(SMALL(AM47:AM127,ROW()-ROW($AM$130)+1),"")</f>
        <v>0</v>
      </c>
      <c r="AN180">
        <f>IFERROR(SMALL(AN47:AN127,ROW()-ROW($AN$130)+1),"")</f>
        <v>0</v>
      </c>
      <c r="AO180">
        <f>IFERROR(SMALL(AO47:AO127,ROW()-ROW($AO$130)+1),"")</f>
        <v>0</v>
      </c>
      <c r="AP180">
        <f>IFERROR(SMALL(AP47:AP127,ROW()-ROW($AP$130)+1),"")</f>
        <v>0</v>
      </c>
      <c r="AQ180">
        <f>IFERROR(SMALL(AQ47:AQ127,ROW()-ROW($AQ$130)+1),"")</f>
        <v>0</v>
      </c>
      <c r="AR180">
        <f>IFERROR(SMALL(AR47:AR127,ROW()-ROW($AR$130)+1),"")</f>
        <v>0</v>
      </c>
      <c r="AS180">
        <f>IFERROR(SMALL(AS47:AS127,ROW()-ROW($AS$130)+1),"")</f>
        <v>0</v>
      </c>
      <c r="AT180">
        <f>IFERROR(SMALL(AT47:AT127,ROW()-ROW($AT$130)+1),"")</f>
        <v>0</v>
      </c>
      <c r="AU180">
        <f>IFERROR(SMALL(AU47:AU127,ROW()-ROW($AU$130)+1),"")</f>
        <v>0</v>
      </c>
      <c r="AV180">
        <f>IFERROR(SMALL(AV47:AV127,ROW()-ROW($AV$130)+1),"")</f>
        <v>0</v>
      </c>
      <c r="AW180">
        <f>IFERROR(SMALL(AW47:AW127,ROW()-ROW($AW$130)+1),"")</f>
        <v>0</v>
      </c>
      <c r="AX180">
        <f>IFERROR(SMALL(AX47:AX127,ROW()-ROW($AX$130)+1),"")</f>
        <v>0</v>
      </c>
      <c r="AY180">
        <f>IFERROR(SMALL(AY47:AY127,ROW()-ROW($AY$130)+1),"")</f>
        <v>0</v>
      </c>
      <c r="AZ180">
        <f>IFERROR(SMALL(AZ47:AZ127,ROW()-ROW($AZ$130)+1),"")</f>
        <v>0</v>
      </c>
      <c r="BA180">
        <f>IFERROR(SMALL(BA47:BA127,ROW()-ROW($BA$130)+1),"")</f>
        <v>0</v>
      </c>
      <c r="BB180">
        <f>IFERROR(SMALL(BB47:BB127,ROW()-ROW($BB$130)+1),"")</f>
        <v>0</v>
      </c>
      <c r="BC180">
        <f>IFERROR(SMALL(BC47:BC127,ROW()-ROW($BC$130)+1),"")</f>
        <v>0</v>
      </c>
      <c r="BD180">
        <f>IFERROR(SMALL(BD47:BD127,ROW()-ROW($BD$130)+1),"")</f>
        <v>0</v>
      </c>
      <c r="BE180">
        <f>IFERROR(SMALL(BE47:BE127,ROW()-ROW($BE$130)+1),"")</f>
        <v>0</v>
      </c>
      <c r="BF180">
        <f>IFERROR(SMALL(BF47:BF127,ROW()-ROW($BF$130)+1),"")</f>
        <v>0</v>
      </c>
      <c r="BG180">
        <f>IFERROR(SMALL(BG47:BG127,ROW()-ROW($BG$130)+1),"")</f>
        <v>0</v>
      </c>
      <c r="BH180">
        <f>IFERROR(SMALL(BH47:BH127,ROW()-ROW($BH$130)+1),"")</f>
        <v>0</v>
      </c>
      <c r="BI180">
        <f>IFERROR(SMALL(BI47:BI127,ROW()-ROW($BI$130)+1),"")</f>
        <v>0</v>
      </c>
      <c r="BJ180">
        <f>IFERROR(SMALL(BJ47:BJ127,ROW()-ROW($BJ$130)+1),"")</f>
        <v>0</v>
      </c>
      <c r="BK180">
        <f>IFERROR(SMALL(BK47:BK127,ROW()-ROW($BK$130)+1),"")</f>
        <v>0</v>
      </c>
      <c r="BL180">
        <f>IFERROR(SMALL(BL47:BL127,ROW()-ROW($BL$130)+1),"")</f>
        <v>0</v>
      </c>
      <c r="BM180">
        <f>IFERROR(SMALL(BM47:BM127,ROW()-ROW($BM$130)+1),"")</f>
        <v>0</v>
      </c>
      <c r="BN180">
        <f>IFERROR(SMALL(BN47:BN127,ROW()-ROW($BN$130)+1),"")</f>
        <v>0</v>
      </c>
      <c r="BO180">
        <f>IFERROR(SMALL(BO47:BO127,ROW()-ROW($BO$130)+1),"")</f>
        <v>0</v>
      </c>
      <c r="BP180">
        <f>IFERROR(SMALL(BP47:BP127,ROW()-ROW($BP$130)+1),"")</f>
        <v>0</v>
      </c>
      <c r="BS180">
        <f>IFERROR(SMALL(BS47:BS127,ROW()-ROW($BS$130)+1),"")</f>
        <v>0</v>
      </c>
      <c r="BT180">
        <f>IFERROR(SMALL(BT47:BT127,ROW()-ROW($BT$130)+1),"")</f>
        <v>0</v>
      </c>
      <c r="BU180">
        <f>IFERROR(SMALL(BU47:BU127,ROW()-ROW($BU$130)+1),"")</f>
        <v>0</v>
      </c>
      <c r="BV180">
        <f>IFERROR(SMALL(BV47:BV127,ROW()-ROW($BV$130)+1),"")</f>
        <v>0</v>
      </c>
      <c r="BW180">
        <f>IFERROR(SMALL(BW47:BW127,ROW()-ROW($BW$130)+1),"")</f>
        <v>0</v>
      </c>
      <c r="BX180">
        <f>IFERROR(SMALL(BX47:BX127,ROW()-ROW($BX$130)+1),"")</f>
        <v>0</v>
      </c>
      <c r="BY180">
        <f>IFERROR(SMALL(BY47:BY127,ROW()-ROW($BY$130)+1),"")</f>
        <v>0</v>
      </c>
      <c r="BZ180">
        <f>IFERROR(SMALL(BZ47:BZ127,ROW()-ROW($BZ$130)+1),"")</f>
        <v>0</v>
      </c>
      <c r="CA180">
        <f>IFERROR(SMALL(CA47:CA127,ROW()-ROW($CA$130)+1),"")</f>
        <v>0</v>
      </c>
      <c r="CB180">
        <f>IFERROR(SMALL(CB47:CB127,ROW()-ROW($CB$130)+1),"")</f>
        <v>0</v>
      </c>
      <c r="CC180">
        <f>IFERROR(SMALL(CC47:CC127,ROW()-ROW($CC$130)+1),"")</f>
        <v>0</v>
      </c>
      <c r="CD180">
        <f>IFERROR(SMALL(CD47:CD127,ROW()-ROW($CD$130)+1),"")</f>
        <v>0</v>
      </c>
      <c r="CE180">
        <f>IFERROR(SMALL(CE47:CE127,ROW()-ROW($CE$130)+1),"")</f>
        <v>0</v>
      </c>
      <c r="CF180">
        <f>IFERROR(SMALL(CF47:CF127,ROW()-ROW($CF$130)+1),"")</f>
        <v>0</v>
      </c>
      <c r="CG180">
        <f>IFERROR(SMALL(CG47:CG127,ROW()-ROW($CG$130)+1),"")</f>
        <v>0</v>
      </c>
      <c r="CH180">
        <f>IFERROR(SMALL(CH47:CH127,ROW()-ROW($CH$130)+1),"")</f>
        <v>0</v>
      </c>
      <c r="CI180">
        <f>IFERROR(SMALL(CI47:CI127,ROW()-ROW($CI$130)+1),"")</f>
        <v>0</v>
      </c>
      <c r="CJ180">
        <f>IFERROR(SMALL(CJ47:CJ127,ROW()-ROW($CJ$130)+1),"")</f>
        <v>0</v>
      </c>
      <c r="CK180">
        <f>IFERROR(SMALL(CK47:CK127,ROW()-ROW($CK$130)+1),"")</f>
        <v>0</v>
      </c>
      <c r="CL180">
        <f>IFERROR(SMALL(CL47:CL127,ROW()-ROW($CL$130)+1),"")</f>
        <v>0</v>
      </c>
      <c r="CM180">
        <f>IFERROR(SMALL(CM47:CM127,ROW()-ROW($CM$130)+1),"")</f>
        <v>0</v>
      </c>
      <c r="CN180">
        <f>IFERROR(SMALL(CN47:CN127,ROW()-ROW($CN$130)+1),"")</f>
        <v>0</v>
      </c>
      <c r="CO180">
        <f>IFERROR(SMALL(CO47:CO127,ROW()-ROW($CO$130)+1),"")</f>
        <v>0</v>
      </c>
      <c r="CP180">
        <f>IFERROR(SMALL(CP47:CP127,ROW()-ROW($CP$130)+1),"")</f>
        <v>0</v>
      </c>
      <c r="CQ180">
        <f>IFERROR(SMALL(CQ47:CQ127,ROW()-ROW($CQ$130)+1),"")</f>
        <v>0</v>
      </c>
      <c r="CR180">
        <f>IFERROR(SMALL(CR47:CR127,ROW()-ROW($CR$130)+1),"")</f>
        <v>0</v>
      </c>
      <c r="CS180">
        <f>IFERROR(SMALL(CS47:CS127,ROW()-ROW($CS$130)+1),"")</f>
        <v>0</v>
      </c>
      <c r="CT180">
        <f>IFERROR(SMALL(CT47:CT127,ROW()-ROW($CT$130)+1),"")</f>
        <v>0</v>
      </c>
      <c r="CU180">
        <f>IFERROR(SMALL(CU47:CU127,ROW()-ROW($CU$130)+1),"")</f>
        <v>0</v>
      </c>
      <c r="CV180">
        <f>IFERROR(SMALL(CV47:CV127,ROW()-ROW($CV$130)+1),"")</f>
        <v>0</v>
      </c>
      <c r="CW180">
        <f>IFERROR(SMALL(CW47:CW127,ROW()-ROW($CW$130)+1),"")</f>
        <v>0</v>
      </c>
      <c r="CX180">
        <f>IFERROR(SMALL(CX47:CX127,ROW()-ROW($CX$130)+1),"")</f>
        <v>0</v>
      </c>
      <c r="CY180">
        <f>IFERROR(SMALL(CY47:CY127,ROW()-ROW($CY$130)+1),"")</f>
        <v>0</v>
      </c>
      <c r="CZ180">
        <f>IFERROR(SMALL(CZ47:CZ127,ROW()-ROW($CZ$130)+1),"")</f>
        <v>0</v>
      </c>
      <c r="DA180">
        <f>IFERROR(SMALL(DA47:DA127,ROW()-ROW($DA$130)+1),"")</f>
        <v>0</v>
      </c>
      <c r="DB180">
        <f>IFERROR(SMALL(DB47:DB127,ROW()-ROW($DB$130)+1),"")</f>
        <v>0</v>
      </c>
      <c r="DC180">
        <f>IFERROR(SMALL(DC47:DC127,ROW()-ROW($DC$130)+1),"")</f>
        <v>0</v>
      </c>
      <c r="DD180">
        <f>IFERROR(SMALL(DD47:DD127,ROW()-ROW($DD$130)+1),"")</f>
        <v>0</v>
      </c>
      <c r="DE180">
        <f>IFERROR(SMALL(DE47:DE127,ROW()-ROW($DE$130)+1),"")</f>
        <v>0</v>
      </c>
      <c r="DF180">
        <f>IFERROR(SMALL(DF47:DF127,ROW()-ROW($DF$130)+1),"")</f>
        <v>0</v>
      </c>
      <c r="DG180">
        <f>IFERROR(SMALL(DG47:DG127,ROW()-ROW($DG$130)+1),"")</f>
        <v>0</v>
      </c>
      <c r="DH180">
        <f>IFERROR(SMALL(DH47:DH127,ROW()-ROW($DH$130)+1),"")</f>
        <v>0</v>
      </c>
      <c r="DI180">
        <f>IFERROR(SMALL(DI47:DI127,ROW()-ROW($DI$130)+1),"")</f>
        <v>0</v>
      </c>
      <c r="DJ180">
        <f>IFERROR(SMALL(DJ47:DJ127,ROW()-ROW($DJ$130)+1),"")</f>
        <v>0</v>
      </c>
      <c r="DK180">
        <f>IFERROR(SMALL(DK47:DK127,ROW()-ROW($DK$130)+1),"")</f>
        <v>0</v>
      </c>
      <c r="DL180">
        <f>IFERROR(SMALL(DL47:DL127,ROW()-ROW($DL$130)+1),"")</f>
        <v>0</v>
      </c>
      <c r="DM180">
        <f>IFERROR(SMALL(DM47:DM127,ROW()-ROW($DM$130)+1),"")</f>
        <v>0</v>
      </c>
      <c r="DN180">
        <f>IFERROR(SMALL(DN47:DN127,ROW()-ROW($DN$130)+1),"")</f>
        <v>0</v>
      </c>
      <c r="DO180">
        <f>IFERROR(SMALL(DO47:DO127,ROW()-ROW($DO$130)+1),"")</f>
        <v>0</v>
      </c>
      <c r="DP180">
        <f>IFERROR(SMALL(DP47:DP127,ROW()-ROW($DP$130)+1),"")</f>
        <v>0</v>
      </c>
      <c r="DQ180">
        <f>IFERROR(SMALL(DQ47:DQ127,ROW()-ROW($DQ$130)+1),"")</f>
        <v>0</v>
      </c>
      <c r="DR180">
        <f>IFERROR(SMALL(DR47:DR127,ROW()-ROW($DR$130)+1),"")</f>
        <v>0</v>
      </c>
      <c r="DS180">
        <f>IFERROR(SMALL(DS47:DS127,ROW()-ROW($DS$130)+1),"")</f>
        <v>0</v>
      </c>
      <c r="DT180">
        <f>IFERROR(SMALL(DT47:DT127,ROW()-ROW($DT$130)+1),"")</f>
        <v>0</v>
      </c>
      <c r="DU180">
        <f>IFERROR(SMALL(DU47:DU127,ROW()-ROW($DU$130)+1),"")</f>
        <v>0</v>
      </c>
      <c r="DV180">
        <f>IFERROR(SMALL(DV47:DV127,ROW()-ROW($DV$130)+1),"")</f>
        <v>0</v>
      </c>
      <c r="DW180">
        <f>IFERROR(SMALL(DW47:DW127,ROW()-ROW($DW$130)+1),"")</f>
        <v>0</v>
      </c>
      <c r="DX180">
        <f>IFERROR(SMALL(DX47:DX127,ROW()-ROW($DX$130)+1),"")</f>
        <v>0</v>
      </c>
      <c r="DY180">
        <f>IFERROR(SMALL(DY47:DY127,ROW()-ROW($DY$130)+1),"")</f>
        <v>0</v>
      </c>
      <c r="DZ180">
        <f>IFERROR(SMALL(DZ47:DZ127,ROW()-ROW($DZ$130)+1),"")</f>
        <v>0</v>
      </c>
      <c r="EA180">
        <f>IFERROR(SMALL(EA47:EA127,ROW()-ROW($EA$130)+1),"")</f>
        <v>0</v>
      </c>
      <c r="EB180">
        <f>IFERROR(SMALL(EB47:EB127,ROW()-ROW($EB$130)+1),"")</f>
        <v>0</v>
      </c>
      <c r="EC180">
        <f>IFERROR(SMALL(EC47:EC127,ROW()-ROW($EC$130)+1),"")</f>
        <v>0</v>
      </c>
      <c r="ED180">
        <f>IFERROR(SMALL(ED47:ED127,ROW()-ROW($ED$130)+1),"")</f>
        <v>0</v>
      </c>
    </row>
    <row r="181" spans="5:134">
      <c r="E181">
        <f>IFERROR(SMALL(E47:E127,ROW()-ROW($E$130)+1),"")</f>
        <v>0</v>
      </c>
      <c r="F181">
        <f>IFERROR(SMALL(F47:F127,ROW()-ROW($F$130)+1),"")</f>
        <v>0</v>
      </c>
      <c r="G181">
        <f>IFERROR(SMALL(G47:G127,ROW()-ROW($G$130)+1),"")</f>
        <v>0</v>
      </c>
      <c r="H181">
        <f>IFERROR(SMALL(H47:H127,ROW()-ROW($H$130)+1),"")</f>
        <v>0</v>
      </c>
      <c r="I181">
        <f>IFERROR(SMALL(I47:I127,ROW()-ROW($I$130)+1),"")</f>
        <v>0</v>
      </c>
      <c r="J181">
        <f>IFERROR(SMALL(J47:J127,ROW()-ROW($J$130)+1),"")</f>
        <v>0</v>
      </c>
      <c r="K181">
        <f>IFERROR(SMALL(K47:K127,ROW()-ROW($K$130)+1),"")</f>
        <v>0</v>
      </c>
      <c r="L181">
        <f>IFERROR(SMALL(L47:L127,ROW()-ROW($L$130)+1),"")</f>
        <v>0</v>
      </c>
      <c r="M181">
        <f>IFERROR(SMALL(M47:M127,ROW()-ROW($M$130)+1),"")</f>
        <v>0</v>
      </c>
      <c r="N181">
        <f>IFERROR(SMALL(N47:N127,ROW()-ROW($N$130)+1),"")</f>
        <v>0</v>
      </c>
      <c r="O181">
        <f>IFERROR(SMALL(O47:O127,ROW()-ROW($O$130)+1),"")</f>
        <v>0</v>
      </c>
      <c r="P181">
        <f>IFERROR(SMALL(P47:P127,ROW()-ROW($P$130)+1),"")</f>
        <v>0</v>
      </c>
      <c r="Q181">
        <f>IFERROR(SMALL(Q47:Q127,ROW()-ROW($Q$130)+1),"")</f>
        <v>0</v>
      </c>
      <c r="R181">
        <f>IFERROR(SMALL(R47:R127,ROW()-ROW($R$130)+1),"")</f>
        <v>0</v>
      </c>
      <c r="S181">
        <f>IFERROR(SMALL(S47:S127,ROW()-ROW($S$130)+1),"")</f>
        <v>0</v>
      </c>
      <c r="T181">
        <f>IFERROR(SMALL(T47:T127,ROW()-ROW($T$130)+1),"")</f>
        <v>0</v>
      </c>
      <c r="U181">
        <f>IFERROR(SMALL(U47:U127,ROW()-ROW($U$130)+1),"")</f>
        <v>0</v>
      </c>
      <c r="V181">
        <f>IFERROR(SMALL(V47:V127,ROW()-ROW($V$130)+1),"")</f>
        <v>0</v>
      </c>
      <c r="W181">
        <f>IFERROR(SMALL(W47:W127,ROW()-ROW($W$130)+1),"")</f>
        <v>0</v>
      </c>
      <c r="X181">
        <f>IFERROR(SMALL(X47:X127,ROW()-ROW($X$130)+1),"")</f>
        <v>0</v>
      </c>
      <c r="Y181">
        <f>IFERROR(SMALL(Y47:Y127,ROW()-ROW($Y$130)+1),"")</f>
        <v>0</v>
      </c>
      <c r="Z181">
        <f>IFERROR(SMALL(Z47:Z127,ROW()-ROW($Z$130)+1),"")</f>
        <v>0</v>
      </c>
      <c r="AA181">
        <f>IFERROR(SMALL(AA47:AA127,ROW()-ROW($AA$130)+1),"")</f>
        <v>0</v>
      </c>
      <c r="AB181">
        <f>IFERROR(SMALL(AB47:AB127,ROW()-ROW($AB$130)+1),"")</f>
        <v>0</v>
      </c>
      <c r="AC181">
        <f>IFERROR(SMALL(AC47:AC127,ROW()-ROW($AC$130)+1),"")</f>
        <v>0</v>
      </c>
      <c r="AD181">
        <f>IFERROR(SMALL(AD47:AD127,ROW()-ROW($AD$130)+1),"")</f>
        <v>0</v>
      </c>
      <c r="AE181">
        <f>IFERROR(SMALL(AE47:AE127,ROW()-ROW($AE$130)+1),"")</f>
        <v>0</v>
      </c>
      <c r="AF181">
        <f>IFERROR(SMALL(AF47:AF127,ROW()-ROW($AF$130)+1),"")</f>
        <v>0</v>
      </c>
      <c r="AG181">
        <f>IFERROR(SMALL(AG47:AG127,ROW()-ROW($AG$130)+1),"")</f>
        <v>0</v>
      </c>
      <c r="AH181">
        <f>IFERROR(SMALL(AH47:AH127,ROW()-ROW($AH$130)+1),"")</f>
        <v>0</v>
      </c>
      <c r="AI181">
        <f>IFERROR(SMALL(AI47:AI127,ROW()-ROW($AI$130)+1),"")</f>
        <v>0</v>
      </c>
      <c r="AJ181">
        <f>IFERROR(SMALL(AJ47:AJ127,ROW()-ROW($AJ$130)+1),"")</f>
        <v>0</v>
      </c>
      <c r="AK181">
        <f>IFERROR(SMALL(AK47:AK127,ROW()-ROW($AK$130)+1),"")</f>
        <v>0</v>
      </c>
      <c r="AL181">
        <f>IFERROR(SMALL(AL47:AL127,ROW()-ROW($AL$130)+1),"")</f>
        <v>0</v>
      </c>
      <c r="AM181">
        <f>IFERROR(SMALL(AM47:AM127,ROW()-ROW($AM$130)+1),"")</f>
        <v>0</v>
      </c>
      <c r="AN181">
        <f>IFERROR(SMALL(AN47:AN127,ROW()-ROW($AN$130)+1),"")</f>
        <v>0</v>
      </c>
      <c r="AO181">
        <f>IFERROR(SMALL(AO47:AO127,ROW()-ROW($AO$130)+1),"")</f>
        <v>0</v>
      </c>
      <c r="AP181">
        <f>IFERROR(SMALL(AP47:AP127,ROW()-ROW($AP$130)+1),"")</f>
        <v>0</v>
      </c>
      <c r="AQ181">
        <f>IFERROR(SMALL(AQ47:AQ127,ROW()-ROW($AQ$130)+1),"")</f>
        <v>0</v>
      </c>
      <c r="AR181">
        <f>IFERROR(SMALL(AR47:AR127,ROW()-ROW($AR$130)+1),"")</f>
        <v>0</v>
      </c>
      <c r="AS181">
        <f>IFERROR(SMALL(AS47:AS127,ROW()-ROW($AS$130)+1),"")</f>
        <v>0</v>
      </c>
      <c r="AT181">
        <f>IFERROR(SMALL(AT47:AT127,ROW()-ROW($AT$130)+1),"")</f>
        <v>0</v>
      </c>
      <c r="AU181">
        <f>IFERROR(SMALL(AU47:AU127,ROW()-ROW($AU$130)+1),"")</f>
        <v>0</v>
      </c>
      <c r="AV181">
        <f>IFERROR(SMALL(AV47:AV127,ROW()-ROW($AV$130)+1),"")</f>
        <v>0</v>
      </c>
      <c r="AW181">
        <f>IFERROR(SMALL(AW47:AW127,ROW()-ROW($AW$130)+1),"")</f>
        <v>0</v>
      </c>
      <c r="AX181">
        <f>IFERROR(SMALL(AX47:AX127,ROW()-ROW($AX$130)+1),"")</f>
        <v>0</v>
      </c>
      <c r="AY181">
        <f>IFERROR(SMALL(AY47:AY127,ROW()-ROW($AY$130)+1),"")</f>
        <v>0</v>
      </c>
      <c r="AZ181">
        <f>IFERROR(SMALL(AZ47:AZ127,ROW()-ROW($AZ$130)+1),"")</f>
        <v>0</v>
      </c>
      <c r="BA181">
        <f>IFERROR(SMALL(BA47:BA127,ROW()-ROW($BA$130)+1),"")</f>
        <v>0</v>
      </c>
      <c r="BB181">
        <f>IFERROR(SMALL(BB47:BB127,ROW()-ROW($BB$130)+1),"")</f>
        <v>0</v>
      </c>
      <c r="BC181">
        <f>IFERROR(SMALL(BC47:BC127,ROW()-ROW($BC$130)+1),"")</f>
        <v>0</v>
      </c>
      <c r="BD181">
        <f>IFERROR(SMALL(BD47:BD127,ROW()-ROW($BD$130)+1),"")</f>
        <v>0</v>
      </c>
      <c r="BE181">
        <f>IFERROR(SMALL(BE47:BE127,ROW()-ROW($BE$130)+1),"")</f>
        <v>0</v>
      </c>
      <c r="BF181">
        <f>IFERROR(SMALL(BF47:BF127,ROW()-ROW($BF$130)+1),"")</f>
        <v>0</v>
      </c>
      <c r="BG181">
        <f>IFERROR(SMALL(BG47:BG127,ROW()-ROW($BG$130)+1),"")</f>
        <v>0</v>
      </c>
      <c r="BH181">
        <f>IFERROR(SMALL(BH47:BH127,ROW()-ROW($BH$130)+1),"")</f>
        <v>0</v>
      </c>
      <c r="BI181">
        <f>IFERROR(SMALL(BI47:BI127,ROW()-ROW($BI$130)+1),"")</f>
        <v>0</v>
      </c>
      <c r="BJ181">
        <f>IFERROR(SMALL(BJ47:BJ127,ROW()-ROW($BJ$130)+1),"")</f>
        <v>0</v>
      </c>
      <c r="BK181">
        <f>IFERROR(SMALL(BK47:BK127,ROW()-ROW($BK$130)+1),"")</f>
        <v>0</v>
      </c>
      <c r="BL181">
        <f>IFERROR(SMALL(BL47:BL127,ROW()-ROW($BL$130)+1),"")</f>
        <v>0</v>
      </c>
      <c r="BM181">
        <f>IFERROR(SMALL(BM47:BM127,ROW()-ROW($BM$130)+1),"")</f>
        <v>0</v>
      </c>
      <c r="BN181">
        <f>IFERROR(SMALL(BN47:BN127,ROW()-ROW($BN$130)+1),"")</f>
        <v>0</v>
      </c>
      <c r="BO181">
        <f>IFERROR(SMALL(BO47:BO127,ROW()-ROW($BO$130)+1),"")</f>
        <v>0</v>
      </c>
      <c r="BP181">
        <f>IFERROR(SMALL(BP47:BP127,ROW()-ROW($BP$130)+1),"")</f>
        <v>0</v>
      </c>
      <c r="BS181">
        <f>IFERROR(SMALL(BS47:BS127,ROW()-ROW($BS$130)+1),"")</f>
        <v>0</v>
      </c>
      <c r="BT181">
        <f>IFERROR(SMALL(BT47:BT127,ROW()-ROW($BT$130)+1),"")</f>
        <v>0</v>
      </c>
      <c r="BU181">
        <f>IFERROR(SMALL(BU47:BU127,ROW()-ROW($BU$130)+1),"")</f>
        <v>0</v>
      </c>
      <c r="BV181">
        <f>IFERROR(SMALL(BV47:BV127,ROW()-ROW($BV$130)+1),"")</f>
        <v>0</v>
      </c>
      <c r="BW181">
        <f>IFERROR(SMALL(BW47:BW127,ROW()-ROW($BW$130)+1),"")</f>
        <v>0</v>
      </c>
      <c r="BX181">
        <f>IFERROR(SMALL(BX47:BX127,ROW()-ROW($BX$130)+1),"")</f>
        <v>0</v>
      </c>
      <c r="BY181">
        <f>IFERROR(SMALL(BY47:BY127,ROW()-ROW($BY$130)+1),"")</f>
        <v>0</v>
      </c>
      <c r="BZ181">
        <f>IFERROR(SMALL(BZ47:BZ127,ROW()-ROW($BZ$130)+1),"")</f>
        <v>0</v>
      </c>
      <c r="CA181">
        <f>IFERROR(SMALL(CA47:CA127,ROW()-ROW($CA$130)+1),"")</f>
        <v>0</v>
      </c>
      <c r="CB181">
        <f>IFERROR(SMALL(CB47:CB127,ROW()-ROW($CB$130)+1),"")</f>
        <v>0</v>
      </c>
      <c r="CC181">
        <f>IFERROR(SMALL(CC47:CC127,ROW()-ROW($CC$130)+1),"")</f>
        <v>0</v>
      </c>
      <c r="CD181">
        <f>IFERROR(SMALL(CD47:CD127,ROW()-ROW($CD$130)+1),"")</f>
        <v>0</v>
      </c>
      <c r="CE181">
        <f>IFERROR(SMALL(CE47:CE127,ROW()-ROW($CE$130)+1),"")</f>
        <v>0</v>
      </c>
      <c r="CF181">
        <f>IFERROR(SMALL(CF47:CF127,ROW()-ROW($CF$130)+1),"")</f>
        <v>0</v>
      </c>
      <c r="CG181">
        <f>IFERROR(SMALL(CG47:CG127,ROW()-ROW($CG$130)+1),"")</f>
        <v>0</v>
      </c>
      <c r="CH181">
        <f>IFERROR(SMALL(CH47:CH127,ROW()-ROW($CH$130)+1),"")</f>
        <v>0</v>
      </c>
      <c r="CI181">
        <f>IFERROR(SMALL(CI47:CI127,ROW()-ROW($CI$130)+1),"")</f>
        <v>0</v>
      </c>
      <c r="CJ181">
        <f>IFERROR(SMALL(CJ47:CJ127,ROW()-ROW($CJ$130)+1),"")</f>
        <v>0</v>
      </c>
      <c r="CK181">
        <f>IFERROR(SMALL(CK47:CK127,ROW()-ROW($CK$130)+1),"")</f>
        <v>0</v>
      </c>
      <c r="CL181">
        <f>IFERROR(SMALL(CL47:CL127,ROW()-ROW($CL$130)+1),"")</f>
        <v>0</v>
      </c>
      <c r="CM181">
        <f>IFERROR(SMALL(CM47:CM127,ROW()-ROW($CM$130)+1),"")</f>
        <v>0</v>
      </c>
      <c r="CN181">
        <f>IFERROR(SMALL(CN47:CN127,ROW()-ROW($CN$130)+1),"")</f>
        <v>0</v>
      </c>
      <c r="CO181">
        <f>IFERROR(SMALL(CO47:CO127,ROW()-ROW($CO$130)+1),"")</f>
        <v>0</v>
      </c>
      <c r="CP181">
        <f>IFERROR(SMALL(CP47:CP127,ROW()-ROW($CP$130)+1),"")</f>
        <v>0</v>
      </c>
      <c r="CQ181">
        <f>IFERROR(SMALL(CQ47:CQ127,ROW()-ROW($CQ$130)+1),"")</f>
        <v>0</v>
      </c>
      <c r="CR181">
        <f>IFERROR(SMALL(CR47:CR127,ROW()-ROW($CR$130)+1),"")</f>
        <v>0</v>
      </c>
      <c r="CS181">
        <f>IFERROR(SMALL(CS47:CS127,ROW()-ROW($CS$130)+1),"")</f>
        <v>0</v>
      </c>
      <c r="CT181">
        <f>IFERROR(SMALL(CT47:CT127,ROW()-ROW($CT$130)+1),"")</f>
        <v>0</v>
      </c>
      <c r="CU181">
        <f>IFERROR(SMALL(CU47:CU127,ROW()-ROW($CU$130)+1),"")</f>
        <v>0</v>
      </c>
      <c r="CV181">
        <f>IFERROR(SMALL(CV47:CV127,ROW()-ROW($CV$130)+1),"")</f>
        <v>0</v>
      </c>
      <c r="CW181">
        <f>IFERROR(SMALL(CW47:CW127,ROW()-ROW($CW$130)+1),"")</f>
        <v>0</v>
      </c>
      <c r="CX181">
        <f>IFERROR(SMALL(CX47:CX127,ROW()-ROW($CX$130)+1),"")</f>
        <v>0</v>
      </c>
      <c r="CY181">
        <f>IFERROR(SMALL(CY47:CY127,ROW()-ROW($CY$130)+1),"")</f>
        <v>0</v>
      </c>
      <c r="CZ181">
        <f>IFERROR(SMALL(CZ47:CZ127,ROW()-ROW($CZ$130)+1),"")</f>
        <v>0</v>
      </c>
      <c r="DA181">
        <f>IFERROR(SMALL(DA47:DA127,ROW()-ROW($DA$130)+1),"")</f>
        <v>0</v>
      </c>
      <c r="DB181">
        <f>IFERROR(SMALL(DB47:DB127,ROW()-ROW($DB$130)+1),"")</f>
        <v>0</v>
      </c>
      <c r="DC181">
        <f>IFERROR(SMALL(DC47:DC127,ROW()-ROW($DC$130)+1),"")</f>
        <v>0</v>
      </c>
      <c r="DD181">
        <f>IFERROR(SMALL(DD47:DD127,ROW()-ROW($DD$130)+1),"")</f>
        <v>0</v>
      </c>
      <c r="DE181">
        <f>IFERROR(SMALL(DE47:DE127,ROW()-ROW($DE$130)+1),"")</f>
        <v>0</v>
      </c>
      <c r="DF181">
        <f>IFERROR(SMALL(DF47:DF127,ROW()-ROW($DF$130)+1),"")</f>
        <v>0</v>
      </c>
      <c r="DG181">
        <f>IFERROR(SMALL(DG47:DG127,ROW()-ROW($DG$130)+1),"")</f>
        <v>0</v>
      </c>
      <c r="DH181">
        <f>IFERROR(SMALL(DH47:DH127,ROW()-ROW($DH$130)+1),"")</f>
        <v>0</v>
      </c>
      <c r="DI181">
        <f>IFERROR(SMALL(DI47:DI127,ROW()-ROW($DI$130)+1),"")</f>
        <v>0</v>
      </c>
      <c r="DJ181">
        <f>IFERROR(SMALL(DJ47:DJ127,ROW()-ROW($DJ$130)+1),"")</f>
        <v>0</v>
      </c>
      <c r="DK181">
        <f>IFERROR(SMALL(DK47:DK127,ROW()-ROW($DK$130)+1),"")</f>
        <v>0</v>
      </c>
      <c r="DL181">
        <f>IFERROR(SMALL(DL47:DL127,ROW()-ROW($DL$130)+1),"")</f>
        <v>0</v>
      </c>
      <c r="DM181">
        <f>IFERROR(SMALL(DM47:DM127,ROW()-ROW($DM$130)+1),"")</f>
        <v>0</v>
      </c>
      <c r="DN181">
        <f>IFERROR(SMALL(DN47:DN127,ROW()-ROW($DN$130)+1),"")</f>
        <v>0</v>
      </c>
      <c r="DO181">
        <f>IFERROR(SMALL(DO47:DO127,ROW()-ROW($DO$130)+1),"")</f>
        <v>0</v>
      </c>
      <c r="DP181">
        <f>IFERROR(SMALL(DP47:DP127,ROW()-ROW($DP$130)+1),"")</f>
        <v>0</v>
      </c>
      <c r="DQ181">
        <f>IFERROR(SMALL(DQ47:DQ127,ROW()-ROW($DQ$130)+1),"")</f>
        <v>0</v>
      </c>
      <c r="DR181">
        <f>IFERROR(SMALL(DR47:DR127,ROW()-ROW($DR$130)+1),"")</f>
        <v>0</v>
      </c>
      <c r="DS181">
        <f>IFERROR(SMALL(DS47:DS127,ROW()-ROW($DS$130)+1),"")</f>
        <v>0</v>
      </c>
      <c r="DT181">
        <f>IFERROR(SMALL(DT47:DT127,ROW()-ROW($DT$130)+1),"")</f>
        <v>0</v>
      </c>
      <c r="DU181">
        <f>IFERROR(SMALL(DU47:DU127,ROW()-ROW($DU$130)+1),"")</f>
        <v>0</v>
      </c>
      <c r="DV181">
        <f>IFERROR(SMALL(DV47:DV127,ROW()-ROW($DV$130)+1),"")</f>
        <v>0</v>
      </c>
      <c r="DW181">
        <f>IFERROR(SMALL(DW47:DW127,ROW()-ROW($DW$130)+1),"")</f>
        <v>0</v>
      </c>
      <c r="DX181">
        <f>IFERROR(SMALL(DX47:DX127,ROW()-ROW($DX$130)+1),"")</f>
        <v>0</v>
      </c>
      <c r="DY181">
        <f>IFERROR(SMALL(DY47:DY127,ROW()-ROW($DY$130)+1),"")</f>
        <v>0</v>
      </c>
      <c r="DZ181">
        <f>IFERROR(SMALL(DZ47:DZ127,ROW()-ROW($DZ$130)+1),"")</f>
        <v>0</v>
      </c>
      <c r="EA181">
        <f>IFERROR(SMALL(EA47:EA127,ROW()-ROW($EA$130)+1),"")</f>
        <v>0</v>
      </c>
      <c r="EB181">
        <f>IFERROR(SMALL(EB47:EB127,ROW()-ROW($EB$130)+1),"")</f>
        <v>0</v>
      </c>
      <c r="EC181">
        <f>IFERROR(SMALL(EC47:EC127,ROW()-ROW($EC$130)+1),"")</f>
        <v>0</v>
      </c>
      <c r="ED181">
        <f>IFERROR(SMALL(ED47:ED127,ROW()-ROW($ED$130)+1),"")</f>
        <v>0</v>
      </c>
    </row>
    <row r="182" spans="5:134">
      <c r="E182">
        <f>IFERROR(SMALL(E47:E127,ROW()-ROW($E$130)+1),"")</f>
        <v>0</v>
      </c>
      <c r="F182">
        <f>IFERROR(SMALL(F47:F127,ROW()-ROW($F$130)+1),"")</f>
        <v>0</v>
      </c>
      <c r="G182">
        <f>IFERROR(SMALL(G47:G127,ROW()-ROW($G$130)+1),"")</f>
        <v>0</v>
      </c>
      <c r="H182">
        <f>IFERROR(SMALL(H47:H127,ROW()-ROW($H$130)+1),"")</f>
        <v>0</v>
      </c>
      <c r="I182">
        <f>IFERROR(SMALL(I47:I127,ROW()-ROW($I$130)+1),"")</f>
        <v>0</v>
      </c>
      <c r="J182">
        <f>IFERROR(SMALL(J47:J127,ROW()-ROW($J$130)+1),"")</f>
        <v>0</v>
      </c>
      <c r="K182">
        <f>IFERROR(SMALL(K47:K127,ROW()-ROW($K$130)+1),"")</f>
        <v>0</v>
      </c>
      <c r="L182">
        <f>IFERROR(SMALL(L47:L127,ROW()-ROW($L$130)+1),"")</f>
        <v>0</v>
      </c>
      <c r="M182">
        <f>IFERROR(SMALL(M47:M127,ROW()-ROW($M$130)+1),"")</f>
        <v>0</v>
      </c>
      <c r="N182">
        <f>IFERROR(SMALL(N47:N127,ROW()-ROW($N$130)+1),"")</f>
        <v>0</v>
      </c>
      <c r="O182">
        <f>IFERROR(SMALL(O47:O127,ROW()-ROW($O$130)+1),"")</f>
        <v>0</v>
      </c>
      <c r="P182">
        <f>IFERROR(SMALL(P47:P127,ROW()-ROW($P$130)+1),"")</f>
        <v>0</v>
      </c>
      <c r="Q182">
        <f>IFERROR(SMALL(Q47:Q127,ROW()-ROW($Q$130)+1),"")</f>
        <v>0</v>
      </c>
      <c r="R182">
        <f>IFERROR(SMALL(R47:R127,ROW()-ROW($R$130)+1),"")</f>
        <v>0</v>
      </c>
      <c r="S182">
        <f>IFERROR(SMALL(S47:S127,ROW()-ROW($S$130)+1),"")</f>
        <v>0</v>
      </c>
      <c r="T182">
        <f>IFERROR(SMALL(T47:T127,ROW()-ROW($T$130)+1),"")</f>
        <v>0</v>
      </c>
      <c r="U182">
        <f>IFERROR(SMALL(U47:U127,ROW()-ROW($U$130)+1),"")</f>
        <v>0</v>
      </c>
      <c r="V182">
        <f>IFERROR(SMALL(V47:V127,ROW()-ROW($V$130)+1),"")</f>
        <v>0</v>
      </c>
      <c r="W182">
        <f>IFERROR(SMALL(W47:W127,ROW()-ROW($W$130)+1),"")</f>
        <v>0</v>
      </c>
      <c r="X182">
        <f>IFERROR(SMALL(X47:X127,ROW()-ROW($X$130)+1),"")</f>
        <v>0</v>
      </c>
      <c r="Y182">
        <f>IFERROR(SMALL(Y47:Y127,ROW()-ROW($Y$130)+1),"")</f>
        <v>0</v>
      </c>
      <c r="Z182">
        <f>IFERROR(SMALL(Z47:Z127,ROW()-ROW($Z$130)+1),"")</f>
        <v>0</v>
      </c>
      <c r="AA182">
        <f>IFERROR(SMALL(AA47:AA127,ROW()-ROW($AA$130)+1),"")</f>
        <v>0</v>
      </c>
      <c r="AB182">
        <f>IFERROR(SMALL(AB47:AB127,ROW()-ROW($AB$130)+1),"")</f>
        <v>0</v>
      </c>
      <c r="AC182">
        <f>IFERROR(SMALL(AC47:AC127,ROW()-ROW($AC$130)+1),"")</f>
        <v>0</v>
      </c>
      <c r="AD182">
        <f>IFERROR(SMALL(AD47:AD127,ROW()-ROW($AD$130)+1),"")</f>
        <v>0</v>
      </c>
      <c r="AE182">
        <f>IFERROR(SMALL(AE47:AE127,ROW()-ROW($AE$130)+1),"")</f>
        <v>0</v>
      </c>
      <c r="AF182">
        <f>IFERROR(SMALL(AF47:AF127,ROW()-ROW($AF$130)+1),"")</f>
        <v>0</v>
      </c>
      <c r="AG182">
        <f>IFERROR(SMALL(AG47:AG127,ROW()-ROW($AG$130)+1),"")</f>
        <v>0</v>
      </c>
      <c r="AH182">
        <f>IFERROR(SMALL(AH47:AH127,ROW()-ROW($AH$130)+1),"")</f>
        <v>0</v>
      </c>
      <c r="AI182">
        <f>IFERROR(SMALL(AI47:AI127,ROW()-ROW($AI$130)+1),"")</f>
        <v>0</v>
      </c>
      <c r="AJ182">
        <f>IFERROR(SMALL(AJ47:AJ127,ROW()-ROW($AJ$130)+1),"")</f>
        <v>0</v>
      </c>
      <c r="AK182">
        <f>IFERROR(SMALL(AK47:AK127,ROW()-ROW($AK$130)+1),"")</f>
        <v>0</v>
      </c>
      <c r="AL182">
        <f>IFERROR(SMALL(AL47:AL127,ROW()-ROW($AL$130)+1),"")</f>
        <v>0</v>
      </c>
      <c r="AM182">
        <f>IFERROR(SMALL(AM47:AM127,ROW()-ROW($AM$130)+1),"")</f>
        <v>0</v>
      </c>
      <c r="AN182">
        <f>IFERROR(SMALL(AN47:AN127,ROW()-ROW($AN$130)+1),"")</f>
        <v>0</v>
      </c>
      <c r="AO182">
        <f>IFERROR(SMALL(AO47:AO127,ROW()-ROW($AO$130)+1),"")</f>
        <v>0</v>
      </c>
      <c r="AP182">
        <f>IFERROR(SMALL(AP47:AP127,ROW()-ROW($AP$130)+1),"")</f>
        <v>0</v>
      </c>
      <c r="AQ182">
        <f>IFERROR(SMALL(AQ47:AQ127,ROW()-ROW($AQ$130)+1),"")</f>
        <v>0</v>
      </c>
      <c r="AR182">
        <f>IFERROR(SMALL(AR47:AR127,ROW()-ROW($AR$130)+1),"")</f>
        <v>0</v>
      </c>
      <c r="AS182">
        <f>IFERROR(SMALL(AS47:AS127,ROW()-ROW($AS$130)+1),"")</f>
        <v>0</v>
      </c>
      <c r="AT182">
        <f>IFERROR(SMALL(AT47:AT127,ROW()-ROW($AT$130)+1),"")</f>
        <v>0</v>
      </c>
      <c r="AU182">
        <f>IFERROR(SMALL(AU47:AU127,ROW()-ROW($AU$130)+1),"")</f>
        <v>0</v>
      </c>
      <c r="AV182">
        <f>IFERROR(SMALL(AV47:AV127,ROW()-ROW($AV$130)+1),"")</f>
        <v>0</v>
      </c>
      <c r="AW182">
        <f>IFERROR(SMALL(AW47:AW127,ROW()-ROW($AW$130)+1),"")</f>
        <v>0</v>
      </c>
      <c r="AX182">
        <f>IFERROR(SMALL(AX47:AX127,ROW()-ROW($AX$130)+1),"")</f>
        <v>0</v>
      </c>
      <c r="AY182">
        <f>IFERROR(SMALL(AY47:AY127,ROW()-ROW($AY$130)+1),"")</f>
        <v>0</v>
      </c>
      <c r="AZ182">
        <f>IFERROR(SMALL(AZ47:AZ127,ROW()-ROW($AZ$130)+1),"")</f>
        <v>0</v>
      </c>
      <c r="BA182">
        <f>IFERROR(SMALL(BA47:BA127,ROW()-ROW($BA$130)+1),"")</f>
        <v>0</v>
      </c>
      <c r="BB182">
        <f>IFERROR(SMALL(BB47:BB127,ROW()-ROW($BB$130)+1),"")</f>
        <v>0</v>
      </c>
      <c r="BC182">
        <f>IFERROR(SMALL(BC47:BC127,ROW()-ROW($BC$130)+1),"")</f>
        <v>0</v>
      </c>
      <c r="BD182">
        <f>IFERROR(SMALL(BD47:BD127,ROW()-ROW($BD$130)+1),"")</f>
        <v>0</v>
      </c>
      <c r="BE182">
        <f>IFERROR(SMALL(BE47:BE127,ROW()-ROW($BE$130)+1),"")</f>
        <v>0</v>
      </c>
      <c r="BF182">
        <f>IFERROR(SMALL(BF47:BF127,ROW()-ROW($BF$130)+1),"")</f>
        <v>0</v>
      </c>
      <c r="BG182">
        <f>IFERROR(SMALL(BG47:BG127,ROW()-ROW($BG$130)+1),"")</f>
        <v>0</v>
      </c>
      <c r="BH182">
        <f>IFERROR(SMALL(BH47:BH127,ROW()-ROW($BH$130)+1),"")</f>
        <v>0</v>
      </c>
      <c r="BI182">
        <f>IFERROR(SMALL(BI47:BI127,ROW()-ROW($BI$130)+1),"")</f>
        <v>0</v>
      </c>
      <c r="BJ182">
        <f>IFERROR(SMALL(BJ47:BJ127,ROW()-ROW($BJ$130)+1),"")</f>
        <v>0</v>
      </c>
      <c r="BK182">
        <f>IFERROR(SMALL(BK47:BK127,ROW()-ROW($BK$130)+1),"")</f>
        <v>0</v>
      </c>
      <c r="BL182">
        <f>IFERROR(SMALL(BL47:BL127,ROW()-ROW($BL$130)+1),"")</f>
        <v>0</v>
      </c>
      <c r="BM182">
        <f>IFERROR(SMALL(BM47:BM127,ROW()-ROW($BM$130)+1),"")</f>
        <v>0</v>
      </c>
      <c r="BN182">
        <f>IFERROR(SMALL(BN47:BN127,ROW()-ROW($BN$130)+1),"")</f>
        <v>0</v>
      </c>
      <c r="BO182">
        <f>IFERROR(SMALL(BO47:BO127,ROW()-ROW($BO$130)+1),"")</f>
        <v>0</v>
      </c>
      <c r="BP182">
        <f>IFERROR(SMALL(BP47:BP127,ROW()-ROW($BP$130)+1),"")</f>
        <v>0</v>
      </c>
      <c r="BS182">
        <f>IFERROR(SMALL(BS47:BS127,ROW()-ROW($BS$130)+1),"")</f>
        <v>0</v>
      </c>
      <c r="BT182">
        <f>IFERROR(SMALL(BT47:BT127,ROW()-ROW($BT$130)+1),"")</f>
        <v>0</v>
      </c>
      <c r="BU182">
        <f>IFERROR(SMALL(BU47:BU127,ROW()-ROW($BU$130)+1),"")</f>
        <v>0</v>
      </c>
      <c r="BV182">
        <f>IFERROR(SMALL(BV47:BV127,ROW()-ROW($BV$130)+1),"")</f>
        <v>0</v>
      </c>
      <c r="BW182">
        <f>IFERROR(SMALL(BW47:BW127,ROW()-ROW($BW$130)+1),"")</f>
        <v>0</v>
      </c>
      <c r="BX182">
        <f>IFERROR(SMALL(BX47:BX127,ROW()-ROW($BX$130)+1),"")</f>
        <v>0</v>
      </c>
      <c r="BY182">
        <f>IFERROR(SMALL(BY47:BY127,ROW()-ROW($BY$130)+1),"")</f>
        <v>0</v>
      </c>
      <c r="BZ182">
        <f>IFERROR(SMALL(BZ47:BZ127,ROW()-ROW($BZ$130)+1),"")</f>
        <v>0</v>
      </c>
      <c r="CA182">
        <f>IFERROR(SMALL(CA47:CA127,ROW()-ROW($CA$130)+1),"")</f>
        <v>0</v>
      </c>
      <c r="CB182">
        <f>IFERROR(SMALL(CB47:CB127,ROW()-ROW($CB$130)+1),"")</f>
        <v>0</v>
      </c>
      <c r="CC182">
        <f>IFERROR(SMALL(CC47:CC127,ROW()-ROW($CC$130)+1),"")</f>
        <v>0</v>
      </c>
      <c r="CD182">
        <f>IFERROR(SMALL(CD47:CD127,ROW()-ROW($CD$130)+1),"")</f>
        <v>0</v>
      </c>
      <c r="CE182">
        <f>IFERROR(SMALL(CE47:CE127,ROW()-ROW($CE$130)+1),"")</f>
        <v>0</v>
      </c>
      <c r="CF182">
        <f>IFERROR(SMALL(CF47:CF127,ROW()-ROW($CF$130)+1),"")</f>
        <v>0</v>
      </c>
      <c r="CG182">
        <f>IFERROR(SMALL(CG47:CG127,ROW()-ROW($CG$130)+1),"")</f>
        <v>0</v>
      </c>
      <c r="CH182">
        <f>IFERROR(SMALL(CH47:CH127,ROW()-ROW($CH$130)+1),"")</f>
        <v>0</v>
      </c>
      <c r="CI182">
        <f>IFERROR(SMALL(CI47:CI127,ROW()-ROW($CI$130)+1),"")</f>
        <v>0</v>
      </c>
      <c r="CJ182">
        <f>IFERROR(SMALL(CJ47:CJ127,ROW()-ROW($CJ$130)+1),"")</f>
        <v>0</v>
      </c>
      <c r="CK182">
        <f>IFERROR(SMALL(CK47:CK127,ROW()-ROW($CK$130)+1),"")</f>
        <v>0</v>
      </c>
      <c r="CL182">
        <f>IFERROR(SMALL(CL47:CL127,ROW()-ROW($CL$130)+1),"")</f>
        <v>0</v>
      </c>
      <c r="CM182">
        <f>IFERROR(SMALL(CM47:CM127,ROW()-ROW($CM$130)+1),"")</f>
        <v>0</v>
      </c>
      <c r="CN182">
        <f>IFERROR(SMALL(CN47:CN127,ROW()-ROW($CN$130)+1),"")</f>
        <v>0</v>
      </c>
      <c r="CO182">
        <f>IFERROR(SMALL(CO47:CO127,ROW()-ROW($CO$130)+1),"")</f>
        <v>0</v>
      </c>
      <c r="CP182">
        <f>IFERROR(SMALL(CP47:CP127,ROW()-ROW($CP$130)+1),"")</f>
        <v>0</v>
      </c>
      <c r="CQ182">
        <f>IFERROR(SMALL(CQ47:CQ127,ROW()-ROW($CQ$130)+1),"")</f>
        <v>0</v>
      </c>
      <c r="CR182">
        <f>IFERROR(SMALL(CR47:CR127,ROW()-ROW($CR$130)+1),"")</f>
        <v>0</v>
      </c>
      <c r="CS182">
        <f>IFERROR(SMALL(CS47:CS127,ROW()-ROW($CS$130)+1),"")</f>
        <v>0</v>
      </c>
      <c r="CT182">
        <f>IFERROR(SMALL(CT47:CT127,ROW()-ROW($CT$130)+1),"")</f>
        <v>0</v>
      </c>
      <c r="CU182">
        <f>IFERROR(SMALL(CU47:CU127,ROW()-ROW($CU$130)+1),"")</f>
        <v>0</v>
      </c>
      <c r="CV182">
        <f>IFERROR(SMALL(CV47:CV127,ROW()-ROW($CV$130)+1),"")</f>
        <v>0</v>
      </c>
      <c r="CW182">
        <f>IFERROR(SMALL(CW47:CW127,ROW()-ROW($CW$130)+1),"")</f>
        <v>0</v>
      </c>
      <c r="CX182">
        <f>IFERROR(SMALL(CX47:CX127,ROW()-ROW($CX$130)+1),"")</f>
        <v>0</v>
      </c>
      <c r="CY182">
        <f>IFERROR(SMALL(CY47:CY127,ROW()-ROW($CY$130)+1),"")</f>
        <v>0</v>
      </c>
      <c r="CZ182">
        <f>IFERROR(SMALL(CZ47:CZ127,ROW()-ROW($CZ$130)+1),"")</f>
        <v>0</v>
      </c>
      <c r="DA182">
        <f>IFERROR(SMALL(DA47:DA127,ROW()-ROW($DA$130)+1),"")</f>
        <v>0</v>
      </c>
      <c r="DB182">
        <f>IFERROR(SMALL(DB47:DB127,ROW()-ROW($DB$130)+1),"")</f>
        <v>0</v>
      </c>
      <c r="DC182">
        <f>IFERROR(SMALL(DC47:DC127,ROW()-ROW($DC$130)+1),"")</f>
        <v>0</v>
      </c>
      <c r="DD182">
        <f>IFERROR(SMALL(DD47:DD127,ROW()-ROW($DD$130)+1),"")</f>
        <v>0</v>
      </c>
      <c r="DE182">
        <f>IFERROR(SMALL(DE47:DE127,ROW()-ROW($DE$130)+1),"")</f>
        <v>0</v>
      </c>
      <c r="DF182">
        <f>IFERROR(SMALL(DF47:DF127,ROW()-ROW($DF$130)+1),"")</f>
        <v>0</v>
      </c>
      <c r="DG182">
        <f>IFERROR(SMALL(DG47:DG127,ROW()-ROW($DG$130)+1),"")</f>
        <v>0</v>
      </c>
      <c r="DH182">
        <f>IFERROR(SMALL(DH47:DH127,ROW()-ROW($DH$130)+1),"")</f>
        <v>0</v>
      </c>
      <c r="DI182">
        <f>IFERROR(SMALL(DI47:DI127,ROW()-ROW($DI$130)+1),"")</f>
        <v>0</v>
      </c>
      <c r="DJ182">
        <f>IFERROR(SMALL(DJ47:DJ127,ROW()-ROW($DJ$130)+1),"")</f>
        <v>0</v>
      </c>
      <c r="DK182">
        <f>IFERROR(SMALL(DK47:DK127,ROW()-ROW($DK$130)+1),"")</f>
        <v>0</v>
      </c>
      <c r="DL182">
        <f>IFERROR(SMALL(DL47:DL127,ROW()-ROW($DL$130)+1),"")</f>
        <v>0</v>
      </c>
      <c r="DM182">
        <f>IFERROR(SMALL(DM47:DM127,ROW()-ROW($DM$130)+1),"")</f>
        <v>0</v>
      </c>
      <c r="DN182">
        <f>IFERROR(SMALL(DN47:DN127,ROW()-ROW($DN$130)+1),"")</f>
        <v>0</v>
      </c>
      <c r="DO182">
        <f>IFERROR(SMALL(DO47:DO127,ROW()-ROW($DO$130)+1),"")</f>
        <v>0</v>
      </c>
      <c r="DP182">
        <f>IFERROR(SMALL(DP47:DP127,ROW()-ROW($DP$130)+1),"")</f>
        <v>0</v>
      </c>
      <c r="DQ182">
        <f>IFERROR(SMALL(DQ47:DQ127,ROW()-ROW($DQ$130)+1),"")</f>
        <v>0</v>
      </c>
      <c r="DR182">
        <f>IFERROR(SMALL(DR47:DR127,ROW()-ROW($DR$130)+1),"")</f>
        <v>0</v>
      </c>
      <c r="DS182">
        <f>IFERROR(SMALL(DS47:DS127,ROW()-ROW($DS$130)+1),"")</f>
        <v>0</v>
      </c>
      <c r="DT182">
        <f>IFERROR(SMALL(DT47:DT127,ROW()-ROW($DT$130)+1),"")</f>
        <v>0</v>
      </c>
      <c r="DU182">
        <f>IFERROR(SMALL(DU47:DU127,ROW()-ROW($DU$130)+1),"")</f>
        <v>0</v>
      </c>
      <c r="DV182">
        <f>IFERROR(SMALL(DV47:DV127,ROW()-ROW($DV$130)+1),"")</f>
        <v>0</v>
      </c>
      <c r="DW182">
        <f>IFERROR(SMALL(DW47:DW127,ROW()-ROW($DW$130)+1),"")</f>
        <v>0</v>
      </c>
      <c r="DX182">
        <f>IFERROR(SMALL(DX47:DX127,ROW()-ROW($DX$130)+1),"")</f>
        <v>0</v>
      </c>
      <c r="DY182">
        <f>IFERROR(SMALL(DY47:DY127,ROW()-ROW($DY$130)+1),"")</f>
        <v>0</v>
      </c>
      <c r="DZ182">
        <f>IFERROR(SMALL(DZ47:DZ127,ROW()-ROW($DZ$130)+1),"")</f>
        <v>0</v>
      </c>
      <c r="EA182">
        <f>IFERROR(SMALL(EA47:EA127,ROW()-ROW($EA$130)+1),"")</f>
        <v>0</v>
      </c>
      <c r="EB182">
        <f>IFERROR(SMALL(EB47:EB127,ROW()-ROW($EB$130)+1),"")</f>
        <v>0</v>
      </c>
      <c r="EC182">
        <f>IFERROR(SMALL(EC47:EC127,ROW()-ROW($EC$130)+1),"")</f>
        <v>0</v>
      </c>
      <c r="ED182">
        <f>IFERROR(SMALL(ED47:ED127,ROW()-ROW($ED$130)+1),"")</f>
        <v>0</v>
      </c>
    </row>
    <row r="183" spans="5:134">
      <c r="E183">
        <f>IFERROR(SMALL(E47:E127,ROW()-ROW($E$130)+1),"")</f>
        <v>0</v>
      </c>
      <c r="F183">
        <f>IFERROR(SMALL(F47:F127,ROW()-ROW($F$130)+1),"")</f>
        <v>0</v>
      </c>
      <c r="G183">
        <f>IFERROR(SMALL(G47:G127,ROW()-ROW($G$130)+1),"")</f>
        <v>0</v>
      </c>
      <c r="H183">
        <f>IFERROR(SMALL(H47:H127,ROW()-ROW($H$130)+1),"")</f>
        <v>0</v>
      </c>
      <c r="I183">
        <f>IFERROR(SMALL(I47:I127,ROW()-ROW($I$130)+1),"")</f>
        <v>0</v>
      </c>
      <c r="J183">
        <f>IFERROR(SMALL(J47:J127,ROW()-ROW($J$130)+1),"")</f>
        <v>0</v>
      </c>
      <c r="K183">
        <f>IFERROR(SMALL(K47:K127,ROW()-ROW($K$130)+1),"")</f>
        <v>0</v>
      </c>
      <c r="L183">
        <f>IFERROR(SMALL(L47:L127,ROW()-ROW($L$130)+1),"")</f>
        <v>0</v>
      </c>
      <c r="M183">
        <f>IFERROR(SMALL(M47:M127,ROW()-ROW($M$130)+1),"")</f>
        <v>0</v>
      </c>
      <c r="N183">
        <f>IFERROR(SMALL(N47:N127,ROW()-ROW($N$130)+1),"")</f>
        <v>0</v>
      </c>
      <c r="O183">
        <f>IFERROR(SMALL(O47:O127,ROW()-ROW($O$130)+1),"")</f>
        <v>0</v>
      </c>
      <c r="P183">
        <f>IFERROR(SMALL(P47:P127,ROW()-ROW($P$130)+1),"")</f>
        <v>0</v>
      </c>
      <c r="Q183">
        <f>IFERROR(SMALL(Q47:Q127,ROW()-ROW($Q$130)+1),"")</f>
        <v>0</v>
      </c>
      <c r="R183">
        <f>IFERROR(SMALL(R47:R127,ROW()-ROW($R$130)+1),"")</f>
        <v>0</v>
      </c>
      <c r="S183">
        <f>IFERROR(SMALL(S47:S127,ROW()-ROW($S$130)+1),"")</f>
        <v>0</v>
      </c>
      <c r="T183">
        <f>IFERROR(SMALL(T47:T127,ROW()-ROW($T$130)+1),"")</f>
        <v>0</v>
      </c>
      <c r="U183">
        <f>IFERROR(SMALL(U47:U127,ROW()-ROW($U$130)+1),"")</f>
        <v>0</v>
      </c>
      <c r="V183">
        <f>IFERROR(SMALL(V47:V127,ROW()-ROW($V$130)+1),"")</f>
        <v>0</v>
      </c>
      <c r="W183">
        <f>IFERROR(SMALL(W47:W127,ROW()-ROW($W$130)+1),"")</f>
        <v>0</v>
      </c>
      <c r="X183">
        <f>IFERROR(SMALL(X47:X127,ROW()-ROW($X$130)+1),"")</f>
        <v>0</v>
      </c>
      <c r="Y183">
        <f>IFERROR(SMALL(Y47:Y127,ROW()-ROW($Y$130)+1),"")</f>
        <v>0</v>
      </c>
      <c r="Z183">
        <f>IFERROR(SMALL(Z47:Z127,ROW()-ROW($Z$130)+1),"")</f>
        <v>0</v>
      </c>
      <c r="AA183">
        <f>IFERROR(SMALL(AA47:AA127,ROW()-ROW($AA$130)+1),"")</f>
        <v>0</v>
      </c>
      <c r="AB183">
        <f>IFERROR(SMALL(AB47:AB127,ROW()-ROW($AB$130)+1),"")</f>
        <v>0</v>
      </c>
      <c r="AC183">
        <f>IFERROR(SMALL(AC47:AC127,ROW()-ROW($AC$130)+1),"")</f>
        <v>0</v>
      </c>
      <c r="AD183">
        <f>IFERROR(SMALL(AD47:AD127,ROW()-ROW($AD$130)+1),"")</f>
        <v>0</v>
      </c>
      <c r="AE183">
        <f>IFERROR(SMALL(AE47:AE127,ROW()-ROW($AE$130)+1),"")</f>
        <v>0</v>
      </c>
      <c r="AF183">
        <f>IFERROR(SMALL(AF47:AF127,ROW()-ROW($AF$130)+1),"")</f>
        <v>0</v>
      </c>
      <c r="AG183">
        <f>IFERROR(SMALL(AG47:AG127,ROW()-ROW($AG$130)+1),"")</f>
        <v>0</v>
      </c>
      <c r="AH183">
        <f>IFERROR(SMALL(AH47:AH127,ROW()-ROW($AH$130)+1),"")</f>
        <v>0</v>
      </c>
      <c r="AI183">
        <f>IFERROR(SMALL(AI47:AI127,ROW()-ROW($AI$130)+1),"")</f>
        <v>0</v>
      </c>
      <c r="AJ183">
        <f>IFERROR(SMALL(AJ47:AJ127,ROW()-ROW($AJ$130)+1),"")</f>
        <v>0</v>
      </c>
      <c r="AK183">
        <f>IFERROR(SMALL(AK47:AK127,ROW()-ROW($AK$130)+1),"")</f>
        <v>0</v>
      </c>
      <c r="AL183">
        <f>IFERROR(SMALL(AL47:AL127,ROW()-ROW($AL$130)+1),"")</f>
        <v>0</v>
      </c>
      <c r="AM183">
        <f>IFERROR(SMALL(AM47:AM127,ROW()-ROW($AM$130)+1),"")</f>
        <v>0</v>
      </c>
      <c r="AN183">
        <f>IFERROR(SMALL(AN47:AN127,ROW()-ROW($AN$130)+1),"")</f>
        <v>0</v>
      </c>
      <c r="AO183">
        <f>IFERROR(SMALL(AO47:AO127,ROW()-ROW($AO$130)+1),"")</f>
        <v>0</v>
      </c>
      <c r="AP183">
        <f>IFERROR(SMALL(AP47:AP127,ROW()-ROW($AP$130)+1),"")</f>
        <v>0</v>
      </c>
      <c r="AQ183">
        <f>IFERROR(SMALL(AQ47:AQ127,ROW()-ROW($AQ$130)+1),"")</f>
        <v>0</v>
      </c>
      <c r="AR183">
        <f>IFERROR(SMALL(AR47:AR127,ROW()-ROW($AR$130)+1),"")</f>
        <v>0</v>
      </c>
      <c r="AS183">
        <f>IFERROR(SMALL(AS47:AS127,ROW()-ROW($AS$130)+1),"")</f>
        <v>0</v>
      </c>
      <c r="AT183">
        <f>IFERROR(SMALL(AT47:AT127,ROW()-ROW($AT$130)+1),"")</f>
        <v>0</v>
      </c>
      <c r="AU183">
        <f>IFERROR(SMALL(AU47:AU127,ROW()-ROW($AU$130)+1),"")</f>
        <v>0</v>
      </c>
      <c r="AV183">
        <f>IFERROR(SMALL(AV47:AV127,ROW()-ROW($AV$130)+1),"")</f>
        <v>0</v>
      </c>
      <c r="AW183">
        <f>IFERROR(SMALL(AW47:AW127,ROW()-ROW($AW$130)+1),"")</f>
        <v>0</v>
      </c>
      <c r="AX183">
        <f>IFERROR(SMALL(AX47:AX127,ROW()-ROW($AX$130)+1),"")</f>
        <v>0</v>
      </c>
      <c r="AY183">
        <f>IFERROR(SMALL(AY47:AY127,ROW()-ROW($AY$130)+1),"")</f>
        <v>0</v>
      </c>
      <c r="AZ183">
        <f>IFERROR(SMALL(AZ47:AZ127,ROW()-ROW($AZ$130)+1),"")</f>
        <v>0</v>
      </c>
      <c r="BA183">
        <f>IFERROR(SMALL(BA47:BA127,ROW()-ROW($BA$130)+1),"")</f>
        <v>0</v>
      </c>
      <c r="BB183">
        <f>IFERROR(SMALL(BB47:BB127,ROW()-ROW($BB$130)+1),"")</f>
        <v>0</v>
      </c>
      <c r="BC183">
        <f>IFERROR(SMALL(BC47:BC127,ROW()-ROW($BC$130)+1),"")</f>
        <v>0</v>
      </c>
      <c r="BD183">
        <f>IFERROR(SMALL(BD47:BD127,ROW()-ROW($BD$130)+1),"")</f>
        <v>0</v>
      </c>
      <c r="BE183">
        <f>IFERROR(SMALL(BE47:BE127,ROW()-ROW($BE$130)+1),"")</f>
        <v>0</v>
      </c>
      <c r="BF183">
        <f>IFERROR(SMALL(BF47:BF127,ROW()-ROW($BF$130)+1),"")</f>
        <v>0</v>
      </c>
      <c r="BG183">
        <f>IFERROR(SMALL(BG47:BG127,ROW()-ROW($BG$130)+1),"")</f>
        <v>0</v>
      </c>
      <c r="BH183">
        <f>IFERROR(SMALL(BH47:BH127,ROW()-ROW($BH$130)+1),"")</f>
        <v>0</v>
      </c>
      <c r="BI183">
        <f>IFERROR(SMALL(BI47:BI127,ROW()-ROW($BI$130)+1),"")</f>
        <v>0</v>
      </c>
      <c r="BJ183">
        <f>IFERROR(SMALL(BJ47:BJ127,ROW()-ROW($BJ$130)+1),"")</f>
        <v>0</v>
      </c>
      <c r="BK183">
        <f>IFERROR(SMALL(BK47:BK127,ROW()-ROW($BK$130)+1),"")</f>
        <v>0</v>
      </c>
      <c r="BL183">
        <f>IFERROR(SMALL(BL47:BL127,ROW()-ROW($BL$130)+1),"")</f>
        <v>0</v>
      </c>
      <c r="BM183">
        <f>IFERROR(SMALL(BM47:BM127,ROW()-ROW($BM$130)+1),"")</f>
        <v>0</v>
      </c>
      <c r="BN183">
        <f>IFERROR(SMALL(BN47:BN127,ROW()-ROW($BN$130)+1),"")</f>
        <v>0</v>
      </c>
      <c r="BO183">
        <f>IFERROR(SMALL(BO47:BO127,ROW()-ROW($BO$130)+1),"")</f>
        <v>0</v>
      </c>
      <c r="BP183">
        <f>IFERROR(SMALL(BP47:BP127,ROW()-ROW($BP$130)+1),"")</f>
        <v>0</v>
      </c>
      <c r="BS183">
        <f>IFERROR(SMALL(BS47:BS127,ROW()-ROW($BS$130)+1),"")</f>
        <v>0</v>
      </c>
      <c r="BT183">
        <f>IFERROR(SMALL(BT47:BT127,ROW()-ROW($BT$130)+1),"")</f>
        <v>0</v>
      </c>
      <c r="BU183">
        <f>IFERROR(SMALL(BU47:BU127,ROW()-ROW($BU$130)+1),"")</f>
        <v>0</v>
      </c>
      <c r="BV183">
        <f>IFERROR(SMALL(BV47:BV127,ROW()-ROW($BV$130)+1),"")</f>
        <v>0</v>
      </c>
      <c r="BW183">
        <f>IFERROR(SMALL(BW47:BW127,ROW()-ROW($BW$130)+1),"")</f>
        <v>0</v>
      </c>
      <c r="BX183">
        <f>IFERROR(SMALL(BX47:BX127,ROW()-ROW($BX$130)+1),"")</f>
        <v>0</v>
      </c>
      <c r="BY183">
        <f>IFERROR(SMALL(BY47:BY127,ROW()-ROW($BY$130)+1),"")</f>
        <v>0</v>
      </c>
      <c r="BZ183">
        <f>IFERROR(SMALL(BZ47:BZ127,ROW()-ROW($BZ$130)+1),"")</f>
        <v>0</v>
      </c>
      <c r="CA183">
        <f>IFERROR(SMALL(CA47:CA127,ROW()-ROW($CA$130)+1),"")</f>
        <v>0</v>
      </c>
      <c r="CB183">
        <f>IFERROR(SMALL(CB47:CB127,ROW()-ROW($CB$130)+1),"")</f>
        <v>0</v>
      </c>
      <c r="CC183">
        <f>IFERROR(SMALL(CC47:CC127,ROW()-ROW($CC$130)+1),"")</f>
        <v>0</v>
      </c>
      <c r="CD183">
        <f>IFERROR(SMALL(CD47:CD127,ROW()-ROW($CD$130)+1),"")</f>
        <v>0</v>
      </c>
      <c r="CE183">
        <f>IFERROR(SMALL(CE47:CE127,ROW()-ROW($CE$130)+1),"")</f>
        <v>0</v>
      </c>
      <c r="CF183">
        <f>IFERROR(SMALL(CF47:CF127,ROW()-ROW($CF$130)+1),"")</f>
        <v>0</v>
      </c>
      <c r="CG183">
        <f>IFERROR(SMALL(CG47:CG127,ROW()-ROW($CG$130)+1),"")</f>
        <v>0</v>
      </c>
      <c r="CH183">
        <f>IFERROR(SMALL(CH47:CH127,ROW()-ROW($CH$130)+1),"")</f>
        <v>0</v>
      </c>
      <c r="CI183">
        <f>IFERROR(SMALL(CI47:CI127,ROW()-ROW($CI$130)+1),"")</f>
        <v>0</v>
      </c>
      <c r="CJ183">
        <f>IFERROR(SMALL(CJ47:CJ127,ROW()-ROW($CJ$130)+1),"")</f>
        <v>0</v>
      </c>
      <c r="CK183">
        <f>IFERROR(SMALL(CK47:CK127,ROW()-ROW($CK$130)+1),"")</f>
        <v>0</v>
      </c>
      <c r="CL183">
        <f>IFERROR(SMALL(CL47:CL127,ROW()-ROW($CL$130)+1),"")</f>
        <v>0</v>
      </c>
      <c r="CM183">
        <f>IFERROR(SMALL(CM47:CM127,ROW()-ROW($CM$130)+1),"")</f>
        <v>0</v>
      </c>
      <c r="CN183">
        <f>IFERROR(SMALL(CN47:CN127,ROW()-ROW($CN$130)+1),"")</f>
        <v>0</v>
      </c>
      <c r="CO183">
        <f>IFERROR(SMALL(CO47:CO127,ROW()-ROW($CO$130)+1),"")</f>
        <v>0</v>
      </c>
      <c r="CP183">
        <f>IFERROR(SMALL(CP47:CP127,ROW()-ROW($CP$130)+1),"")</f>
        <v>0</v>
      </c>
      <c r="CQ183">
        <f>IFERROR(SMALL(CQ47:CQ127,ROW()-ROW($CQ$130)+1),"")</f>
        <v>0</v>
      </c>
      <c r="CR183">
        <f>IFERROR(SMALL(CR47:CR127,ROW()-ROW($CR$130)+1),"")</f>
        <v>0</v>
      </c>
      <c r="CS183">
        <f>IFERROR(SMALL(CS47:CS127,ROW()-ROW($CS$130)+1),"")</f>
        <v>0</v>
      </c>
      <c r="CT183">
        <f>IFERROR(SMALL(CT47:CT127,ROW()-ROW($CT$130)+1),"")</f>
        <v>0</v>
      </c>
      <c r="CU183">
        <f>IFERROR(SMALL(CU47:CU127,ROW()-ROW($CU$130)+1),"")</f>
        <v>0</v>
      </c>
      <c r="CV183">
        <f>IFERROR(SMALL(CV47:CV127,ROW()-ROW($CV$130)+1),"")</f>
        <v>0</v>
      </c>
      <c r="CW183">
        <f>IFERROR(SMALL(CW47:CW127,ROW()-ROW($CW$130)+1),"")</f>
        <v>0</v>
      </c>
      <c r="CX183">
        <f>IFERROR(SMALL(CX47:CX127,ROW()-ROW($CX$130)+1),"")</f>
        <v>0</v>
      </c>
      <c r="CY183">
        <f>IFERROR(SMALL(CY47:CY127,ROW()-ROW($CY$130)+1),"")</f>
        <v>0</v>
      </c>
      <c r="CZ183">
        <f>IFERROR(SMALL(CZ47:CZ127,ROW()-ROW($CZ$130)+1),"")</f>
        <v>0</v>
      </c>
      <c r="DA183">
        <f>IFERROR(SMALL(DA47:DA127,ROW()-ROW($DA$130)+1),"")</f>
        <v>0</v>
      </c>
      <c r="DB183">
        <f>IFERROR(SMALL(DB47:DB127,ROW()-ROW($DB$130)+1),"")</f>
        <v>0</v>
      </c>
      <c r="DC183">
        <f>IFERROR(SMALL(DC47:DC127,ROW()-ROW($DC$130)+1),"")</f>
        <v>0</v>
      </c>
      <c r="DD183">
        <f>IFERROR(SMALL(DD47:DD127,ROW()-ROW($DD$130)+1),"")</f>
        <v>0</v>
      </c>
      <c r="DE183">
        <f>IFERROR(SMALL(DE47:DE127,ROW()-ROW($DE$130)+1),"")</f>
        <v>0</v>
      </c>
      <c r="DF183">
        <f>IFERROR(SMALL(DF47:DF127,ROW()-ROW($DF$130)+1),"")</f>
        <v>0</v>
      </c>
      <c r="DG183">
        <f>IFERROR(SMALL(DG47:DG127,ROW()-ROW($DG$130)+1),"")</f>
        <v>0</v>
      </c>
      <c r="DH183">
        <f>IFERROR(SMALL(DH47:DH127,ROW()-ROW($DH$130)+1),"")</f>
        <v>0</v>
      </c>
      <c r="DI183">
        <f>IFERROR(SMALL(DI47:DI127,ROW()-ROW($DI$130)+1),"")</f>
        <v>0</v>
      </c>
      <c r="DJ183">
        <f>IFERROR(SMALL(DJ47:DJ127,ROW()-ROW($DJ$130)+1),"")</f>
        <v>0</v>
      </c>
      <c r="DK183">
        <f>IFERROR(SMALL(DK47:DK127,ROW()-ROW($DK$130)+1),"")</f>
        <v>0</v>
      </c>
      <c r="DL183">
        <f>IFERROR(SMALL(DL47:DL127,ROW()-ROW($DL$130)+1),"")</f>
        <v>0</v>
      </c>
      <c r="DM183">
        <f>IFERROR(SMALL(DM47:DM127,ROW()-ROW($DM$130)+1),"")</f>
        <v>0</v>
      </c>
      <c r="DN183">
        <f>IFERROR(SMALL(DN47:DN127,ROW()-ROW($DN$130)+1),"")</f>
        <v>0</v>
      </c>
      <c r="DO183">
        <f>IFERROR(SMALL(DO47:DO127,ROW()-ROW($DO$130)+1),"")</f>
        <v>0</v>
      </c>
      <c r="DP183">
        <f>IFERROR(SMALL(DP47:DP127,ROW()-ROW($DP$130)+1),"")</f>
        <v>0</v>
      </c>
      <c r="DQ183">
        <f>IFERROR(SMALL(DQ47:DQ127,ROW()-ROW($DQ$130)+1),"")</f>
        <v>0</v>
      </c>
      <c r="DR183">
        <f>IFERROR(SMALL(DR47:DR127,ROW()-ROW($DR$130)+1),"")</f>
        <v>0</v>
      </c>
      <c r="DS183">
        <f>IFERROR(SMALL(DS47:DS127,ROW()-ROW($DS$130)+1),"")</f>
        <v>0</v>
      </c>
      <c r="DT183">
        <f>IFERROR(SMALL(DT47:DT127,ROW()-ROW($DT$130)+1),"")</f>
        <v>0</v>
      </c>
      <c r="DU183">
        <f>IFERROR(SMALL(DU47:DU127,ROW()-ROW($DU$130)+1),"")</f>
        <v>0</v>
      </c>
      <c r="DV183">
        <f>IFERROR(SMALL(DV47:DV127,ROW()-ROW($DV$130)+1),"")</f>
        <v>0</v>
      </c>
      <c r="DW183">
        <f>IFERROR(SMALL(DW47:DW127,ROW()-ROW($DW$130)+1),"")</f>
        <v>0</v>
      </c>
      <c r="DX183">
        <f>IFERROR(SMALL(DX47:DX127,ROW()-ROW($DX$130)+1),"")</f>
        <v>0</v>
      </c>
      <c r="DY183">
        <f>IFERROR(SMALL(DY47:DY127,ROW()-ROW($DY$130)+1),"")</f>
        <v>0</v>
      </c>
      <c r="DZ183">
        <f>IFERROR(SMALL(DZ47:DZ127,ROW()-ROW($DZ$130)+1),"")</f>
        <v>0</v>
      </c>
      <c r="EA183">
        <f>IFERROR(SMALL(EA47:EA127,ROW()-ROW($EA$130)+1),"")</f>
        <v>0</v>
      </c>
      <c r="EB183">
        <f>IFERROR(SMALL(EB47:EB127,ROW()-ROW($EB$130)+1),"")</f>
        <v>0</v>
      </c>
      <c r="EC183">
        <f>IFERROR(SMALL(EC47:EC127,ROW()-ROW($EC$130)+1),"")</f>
        <v>0</v>
      </c>
      <c r="ED183">
        <f>IFERROR(SMALL(ED47:ED127,ROW()-ROW($ED$130)+1),"")</f>
        <v>0</v>
      </c>
    </row>
    <row r="184" spans="5:134">
      <c r="E184">
        <f>IFERROR(SMALL(E47:E127,ROW()-ROW($E$130)+1),"")</f>
        <v>0</v>
      </c>
      <c r="F184">
        <f>IFERROR(SMALL(F47:F127,ROW()-ROW($F$130)+1),"")</f>
        <v>0</v>
      </c>
      <c r="G184">
        <f>IFERROR(SMALL(G47:G127,ROW()-ROW($G$130)+1),"")</f>
        <v>0</v>
      </c>
      <c r="H184">
        <f>IFERROR(SMALL(H47:H127,ROW()-ROW($H$130)+1),"")</f>
        <v>0</v>
      </c>
      <c r="I184">
        <f>IFERROR(SMALL(I47:I127,ROW()-ROW($I$130)+1),"")</f>
        <v>0</v>
      </c>
      <c r="J184">
        <f>IFERROR(SMALL(J47:J127,ROW()-ROW($J$130)+1),"")</f>
        <v>0</v>
      </c>
      <c r="K184">
        <f>IFERROR(SMALL(K47:K127,ROW()-ROW($K$130)+1),"")</f>
        <v>0</v>
      </c>
      <c r="L184">
        <f>IFERROR(SMALL(L47:L127,ROW()-ROW($L$130)+1),"")</f>
        <v>0</v>
      </c>
      <c r="M184">
        <f>IFERROR(SMALL(M47:M127,ROW()-ROW($M$130)+1),"")</f>
        <v>0</v>
      </c>
      <c r="N184">
        <f>IFERROR(SMALL(N47:N127,ROW()-ROW($N$130)+1),"")</f>
        <v>0</v>
      </c>
      <c r="O184">
        <f>IFERROR(SMALL(O47:O127,ROW()-ROW($O$130)+1),"")</f>
        <v>0</v>
      </c>
      <c r="P184">
        <f>IFERROR(SMALL(P47:P127,ROW()-ROW($P$130)+1),"")</f>
        <v>0</v>
      </c>
      <c r="Q184">
        <f>IFERROR(SMALL(Q47:Q127,ROW()-ROW($Q$130)+1),"")</f>
        <v>0</v>
      </c>
      <c r="R184">
        <f>IFERROR(SMALL(R47:R127,ROW()-ROW($R$130)+1),"")</f>
        <v>0</v>
      </c>
      <c r="S184">
        <f>IFERROR(SMALL(S47:S127,ROW()-ROW($S$130)+1),"")</f>
        <v>0</v>
      </c>
      <c r="T184">
        <f>IFERROR(SMALL(T47:T127,ROW()-ROW($T$130)+1),"")</f>
        <v>0</v>
      </c>
      <c r="U184">
        <f>IFERROR(SMALL(U47:U127,ROW()-ROW($U$130)+1),"")</f>
        <v>0</v>
      </c>
      <c r="V184">
        <f>IFERROR(SMALL(V47:V127,ROW()-ROW($V$130)+1),"")</f>
        <v>0</v>
      </c>
      <c r="W184">
        <f>IFERROR(SMALL(W47:W127,ROW()-ROW($W$130)+1),"")</f>
        <v>0</v>
      </c>
      <c r="X184">
        <f>IFERROR(SMALL(X47:X127,ROW()-ROW($X$130)+1),"")</f>
        <v>0</v>
      </c>
      <c r="Y184">
        <f>IFERROR(SMALL(Y47:Y127,ROW()-ROW($Y$130)+1),"")</f>
        <v>0</v>
      </c>
      <c r="Z184">
        <f>IFERROR(SMALL(Z47:Z127,ROW()-ROW($Z$130)+1),"")</f>
        <v>0</v>
      </c>
      <c r="AA184">
        <f>IFERROR(SMALL(AA47:AA127,ROW()-ROW($AA$130)+1),"")</f>
        <v>0</v>
      </c>
      <c r="AB184">
        <f>IFERROR(SMALL(AB47:AB127,ROW()-ROW($AB$130)+1),"")</f>
        <v>0</v>
      </c>
      <c r="AC184">
        <f>IFERROR(SMALL(AC47:AC127,ROW()-ROW($AC$130)+1),"")</f>
        <v>0</v>
      </c>
      <c r="AD184">
        <f>IFERROR(SMALL(AD47:AD127,ROW()-ROW($AD$130)+1),"")</f>
        <v>0</v>
      </c>
      <c r="AE184">
        <f>IFERROR(SMALL(AE47:AE127,ROW()-ROW($AE$130)+1),"")</f>
        <v>0</v>
      </c>
      <c r="AF184">
        <f>IFERROR(SMALL(AF47:AF127,ROW()-ROW($AF$130)+1),"")</f>
        <v>0</v>
      </c>
      <c r="AG184">
        <f>IFERROR(SMALL(AG47:AG127,ROW()-ROW($AG$130)+1),"")</f>
        <v>0</v>
      </c>
      <c r="AH184">
        <f>IFERROR(SMALL(AH47:AH127,ROW()-ROW($AH$130)+1),"")</f>
        <v>0</v>
      </c>
      <c r="AI184">
        <f>IFERROR(SMALL(AI47:AI127,ROW()-ROW($AI$130)+1),"")</f>
        <v>0</v>
      </c>
      <c r="AJ184">
        <f>IFERROR(SMALL(AJ47:AJ127,ROW()-ROW($AJ$130)+1),"")</f>
        <v>0</v>
      </c>
      <c r="AK184">
        <f>IFERROR(SMALL(AK47:AK127,ROW()-ROW($AK$130)+1),"")</f>
        <v>0</v>
      </c>
      <c r="AL184">
        <f>IFERROR(SMALL(AL47:AL127,ROW()-ROW($AL$130)+1),"")</f>
        <v>0</v>
      </c>
      <c r="AM184">
        <f>IFERROR(SMALL(AM47:AM127,ROW()-ROW($AM$130)+1),"")</f>
        <v>0</v>
      </c>
      <c r="AN184">
        <f>IFERROR(SMALL(AN47:AN127,ROW()-ROW($AN$130)+1),"")</f>
        <v>0</v>
      </c>
      <c r="AO184">
        <f>IFERROR(SMALL(AO47:AO127,ROW()-ROW($AO$130)+1),"")</f>
        <v>0</v>
      </c>
      <c r="AP184">
        <f>IFERROR(SMALL(AP47:AP127,ROW()-ROW($AP$130)+1),"")</f>
        <v>0</v>
      </c>
      <c r="AQ184">
        <f>IFERROR(SMALL(AQ47:AQ127,ROW()-ROW($AQ$130)+1),"")</f>
        <v>0</v>
      </c>
      <c r="AR184">
        <f>IFERROR(SMALL(AR47:AR127,ROW()-ROW($AR$130)+1),"")</f>
        <v>0</v>
      </c>
      <c r="AS184">
        <f>IFERROR(SMALL(AS47:AS127,ROW()-ROW($AS$130)+1),"")</f>
        <v>0</v>
      </c>
      <c r="AT184">
        <f>IFERROR(SMALL(AT47:AT127,ROW()-ROW($AT$130)+1),"")</f>
        <v>0</v>
      </c>
      <c r="AU184">
        <f>IFERROR(SMALL(AU47:AU127,ROW()-ROW($AU$130)+1),"")</f>
        <v>0</v>
      </c>
      <c r="AV184">
        <f>IFERROR(SMALL(AV47:AV127,ROW()-ROW($AV$130)+1),"")</f>
        <v>0</v>
      </c>
      <c r="AW184">
        <f>IFERROR(SMALL(AW47:AW127,ROW()-ROW($AW$130)+1),"")</f>
        <v>0</v>
      </c>
      <c r="AX184">
        <f>IFERROR(SMALL(AX47:AX127,ROW()-ROW($AX$130)+1),"")</f>
        <v>0</v>
      </c>
      <c r="AY184">
        <f>IFERROR(SMALL(AY47:AY127,ROW()-ROW($AY$130)+1),"")</f>
        <v>0</v>
      </c>
      <c r="AZ184">
        <f>IFERROR(SMALL(AZ47:AZ127,ROW()-ROW($AZ$130)+1),"")</f>
        <v>0</v>
      </c>
      <c r="BA184">
        <f>IFERROR(SMALL(BA47:BA127,ROW()-ROW($BA$130)+1),"")</f>
        <v>0</v>
      </c>
      <c r="BB184">
        <f>IFERROR(SMALL(BB47:BB127,ROW()-ROW($BB$130)+1),"")</f>
        <v>0</v>
      </c>
      <c r="BC184">
        <f>IFERROR(SMALL(BC47:BC127,ROW()-ROW($BC$130)+1),"")</f>
        <v>0</v>
      </c>
      <c r="BD184">
        <f>IFERROR(SMALL(BD47:BD127,ROW()-ROW($BD$130)+1),"")</f>
        <v>0</v>
      </c>
      <c r="BE184">
        <f>IFERROR(SMALL(BE47:BE127,ROW()-ROW($BE$130)+1),"")</f>
        <v>0</v>
      </c>
      <c r="BF184">
        <f>IFERROR(SMALL(BF47:BF127,ROW()-ROW($BF$130)+1),"")</f>
        <v>0</v>
      </c>
      <c r="BG184">
        <f>IFERROR(SMALL(BG47:BG127,ROW()-ROW($BG$130)+1),"")</f>
        <v>0</v>
      </c>
      <c r="BH184">
        <f>IFERROR(SMALL(BH47:BH127,ROW()-ROW($BH$130)+1),"")</f>
        <v>0</v>
      </c>
      <c r="BI184">
        <f>IFERROR(SMALL(BI47:BI127,ROW()-ROW($BI$130)+1),"")</f>
        <v>0</v>
      </c>
      <c r="BJ184">
        <f>IFERROR(SMALL(BJ47:BJ127,ROW()-ROW($BJ$130)+1),"")</f>
        <v>0</v>
      </c>
      <c r="BK184">
        <f>IFERROR(SMALL(BK47:BK127,ROW()-ROW($BK$130)+1),"")</f>
        <v>0</v>
      </c>
      <c r="BL184">
        <f>IFERROR(SMALL(BL47:BL127,ROW()-ROW($BL$130)+1),"")</f>
        <v>0</v>
      </c>
      <c r="BM184">
        <f>IFERROR(SMALL(BM47:BM127,ROW()-ROW($BM$130)+1),"")</f>
        <v>0</v>
      </c>
      <c r="BN184">
        <f>IFERROR(SMALL(BN47:BN127,ROW()-ROW($BN$130)+1),"")</f>
        <v>0</v>
      </c>
      <c r="BO184">
        <f>IFERROR(SMALL(BO47:BO127,ROW()-ROW($BO$130)+1),"")</f>
        <v>0</v>
      </c>
      <c r="BP184">
        <f>IFERROR(SMALL(BP47:BP127,ROW()-ROW($BP$130)+1),"")</f>
        <v>0</v>
      </c>
      <c r="BS184">
        <f>IFERROR(SMALL(BS47:BS127,ROW()-ROW($BS$130)+1),"")</f>
        <v>0</v>
      </c>
      <c r="BT184">
        <f>IFERROR(SMALL(BT47:BT127,ROW()-ROW($BT$130)+1),"")</f>
        <v>0</v>
      </c>
      <c r="BU184">
        <f>IFERROR(SMALL(BU47:BU127,ROW()-ROW($BU$130)+1),"")</f>
        <v>0</v>
      </c>
      <c r="BV184">
        <f>IFERROR(SMALL(BV47:BV127,ROW()-ROW($BV$130)+1),"")</f>
        <v>0</v>
      </c>
      <c r="BW184">
        <f>IFERROR(SMALL(BW47:BW127,ROW()-ROW($BW$130)+1),"")</f>
        <v>0</v>
      </c>
      <c r="BX184">
        <f>IFERROR(SMALL(BX47:BX127,ROW()-ROW($BX$130)+1),"")</f>
        <v>0</v>
      </c>
      <c r="BY184">
        <f>IFERROR(SMALL(BY47:BY127,ROW()-ROW($BY$130)+1),"")</f>
        <v>0</v>
      </c>
      <c r="BZ184">
        <f>IFERROR(SMALL(BZ47:BZ127,ROW()-ROW($BZ$130)+1),"")</f>
        <v>0</v>
      </c>
      <c r="CA184">
        <f>IFERROR(SMALL(CA47:CA127,ROW()-ROW($CA$130)+1),"")</f>
        <v>0</v>
      </c>
      <c r="CB184">
        <f>IFERROR(SMALL(CB47:CB127,ROW()-ROW($CB$130)+1),"")</f>
        <v>0</v>
      </c>
      <c r="CC184">
        <f>IFERROR(SMALL(CC47:CC127,ROW()-ROW($CC$130)+1),"")</f>
        <v>0</v>
      </c>
      <c r="CD184">
        <f>IFERROR(SMALL(CD47:CD127,ROW()-ROW($CD$130)+1),"")</f>
        <v>0</v>
      </c>
      <c r="CE184">
        <f>IFERROR(SMALL(CE47:CE127,ROW()-ROW($CE$130)+1),"")</f>
        <v>0</v>
      </c>
      <c r="CF184">
        <f>IFERROR(SMALL(CF47:CF127,ROW()-ROW($CF$130)+1),"")</f>
        <v>0</v>
      </c>
      <c r="CG184">
        <f>IFERROR(SMALL(CG47:CG127,ROW()-ROW($CG$130)+1),"")</f>
        <v>0</v>
      </c>
      <c r="CH184">
        <f>IFERROR(SMALL(CH47:CH127,ROW()-ROW($CH$130)+1),"")</f>
        <v>0</v>
      </c>
      <c r="CI184">
        <f>IFERROR(SMALL(CI47:CI127,ROW()-ROW($CI$130)+1),"")</f>
        <v>0</v>
      </c>
      <c r="CJ184">
        <f>IFERROR(SMALL(CJ47:CJ127,ROW()-ROW($CJ$130)+1),"")</f>
        <v>0</v>
      </c>
      <c r="CK184">
        <f>IFERROR(SMALL(CK47:CK127,ROW()-ROW($CK$130)+1),"")</f>
        <v>0</v>
      </c>
      <c r="CL184">
        <f>IFERROR(SMALL(CL47:CL127,ROW()-ROW($CL$130)+1),"")</f>
        <v>0</v>
      </c>
      <c r="CM184">
        <f>IFERROR(SMALL(CM47:CM127,ROW()-ROW($CM$130)+1),"")</f>
        <v>0</v>
      </c>
      <c r="CN184">
        <f>IFERROR(SMALL(CN47:CN127,ROW()-ROW($CN$130)+1),"")</f>
        <v>0</v>
      </c>
      <c r="CO184">
        <f>IFERROR(SMALL(CO47:CO127,ROW()-ROW($CO$130)+1),"")</f>
        <v>0</v>
      </c>
      <c r="CP184">
        <f>IFERROR(SMALL(CP47:CP127,ROW()-ROW($CP$130)+1),"")</f>
        <v>0</v>
      </c>
      <c r="CQ184">
        <f>IFERROR(SMALL(CQ47:CQ127,ROW()-ROW($CQ$130)+1),"")</f>
        <v>0</v>
      </c>
      <c r="CR184">
        <f>IFERROR(SMALL(CR47:CR127,ROW()-ROW($CR$130)+1),"")</f>
        <v>0</v>
      </c>
      <c r="CS184">
        <f>IFERROR(SMALL(CS47:CS127,ROW()-ROW($CS$130)+1),"")</f>
        <v>0</v>
      </c>
      <c r="CT184">
        <f>IFERROR(SMALL(CT47:CT127,ROW()-ROW($CT$130)+1),"")</f>
        <v>0</v>
      </c>
      <c r="CU184">
        <f>IFERROR(SMALL(CU47:CU127,ROW()-ROW($CU$130)+1),"")</f>
        <v>0</v>
      </c>
      <c r="CV184">
        <f>IFERROR(SMALL(CV47:CV127,ROW()-ROW($CV$130)+1),"")</f>
        <v>0</v>
      </c>
      <c r="CW184">
        <f>IFERROR(SMALL(CW47:CW127,ROW()-ROW($CW$130)+1),"")</f>
        <v>0</v>
      </c>
      <c r="CX184">
        <f>IFERROR(SMALL(CX47:CX127,ROW()-ROW($CX$130)+1),"")</f>
        <v>0</v>
      </c>
      <c r="CY184">
        <f>IFERROR(SMALL(CY47:CY127,ROW()-ROW($CY$130)+1),"")</f>
        <v>0</v>
      </c>
      <c r="CZ184">
        <f>IFERROR(SMALL(CZ47:CZ127,ROW()-ROW($CZ$130)+1),"")</f>
        <v>0</v>
      </c>
      <c r="DA184">
        <f>IFERROR(SMALL(DA47:DA127,ROW()-ROW($DA$130)+1),"")</f>
        <v>0</v>
      </c>
      <c r="DB184">
        <f>IFERROR(SMALL(DB47:DB127,ROW()-ROW($DB$130)+1),"")</f>
        <v>0</v>
      </c>
      <c r="DC184">
        <f>IFERROR(SMALL(DC47:DC127,ROW()-ROW($DC$130)+1),"")</f>
        <v>0</v>
      </c>
      <c r="DD184">
        <f>IFERROR(SMALL(DD47:DD127,ROW()-ROW($DD$130)+1),"")</f>
        <v>0</v>
      </c>
      <c r="DE184">
        <f>IFERROR(SMALL(DE47:DE127,ROW()-ROW($DE$130)+1),"")</f>
        <v>0</v>
      </c>
      <c r="DF184">
        <f>IFERROR(SMALL(DF47:DF127,ROW()-ROW($DF$130)+1),"")</f>
        <v>0</v>
      </c>
      <c r="DG184">
        <f>IFERROR(SMALL(DG47:DG127,ROW()-ROW($DG$130)+1),"")</f>
        <v>0</v>
      </c>
      <c r="DH184">
        <f>IFERROR(SMALL(DH47:DH127,ROW()-ROW($DH$130)+1),"")</f>
        <v>0</v>
      </c>
      <c r="DI184">
        <f>IFERROR(SMALL(DI47:DI127,ROW()-ROW($DI$130)+1),"")</f>
        <v>0</v>
      </c>
      <c r="DJ184">
        <f>IFERROR(SMALL(DJ47:DJ127,ROW()-ROW($DJ$130)+1),"")</f>
        <v>0</v>
      </c>
      <c r="DK184">
        <f>IFERROR(SMALL(DK47:DK127,ROW()-ROW($DK$130)+1),"")</f>
        <v>0</v>
      </c>
      <c r="DL184">
        <f>IFERROR(SMALL(DL47:DL127,ROW()-ROW($DL$130)+1),"")</f>
        <v>0</v>
      </c>
      <c r="DM184">
        <f>IFERROR(SMALL(DM47:DM127,ROW()-ROW($DM$130)+1),"")</f>
        <v>0</v>
      </c>
      <c r="DN184">
        <f>IFERROR(SMALL(DN47:DN127,ROW()-ROW($DN$130)+1),"")</f>
        <v>0</v>
      </c>
      <c r="DO184">
        <f>IFERROR(SMALL(DO47:DO127,ROW()-ROW($DO$130)+1),"")</f>
        <v>0</v>
      </c>
      <c r="DP184">
        <f>IFERROR(SMALL(DP47:DP127,ROW()-ROW($DP$130)+1),"")</f>
        <v>0</v>
      </c>
      <c r="DQ184">
        <f>IFERROR(SMALL(DQ47:DQ127,ROW()-ROW($DQ$130)+1),"")</f>
        <v>0</v>
      </c>
      <c r="DR184">
        <f>IFERROR(SMALL(DR47:DR127,ROW()-ROW($DR$130)+1),"")</f>
        <v>0</v>
      </c>
      <c r="DS184">
        <f>IFERROR(SMALL(DS47:DS127,ROW()-ROW($DS$130)+1),"")</f>
        <v>0</v>
      </c>
      <c r="DT184">
        <f>IFERROR(SMALL(DT47:DT127,ROW()-ROW($DT$130)+1),"")</f>
        <v>0</v>
      </c>
      <c r="DU184">
        <f>IFERROR(SMALL(DU47:DU127,ROW()-ROW($DU$130)+1),"")</f>
        <v>0</v>
      </c>
      <c r="DV184">
        <f>IFERROR(SMALL(DV47:DV127,ROW()-ROW($DV$130)+1),"")</f>
        <v>0</v>
      </c>
      <c r="DW184">
        <f>IFERROR(SMALL(DW47:DW127,ROW()-ROW($DW$130)+1),"")</f>
        <v>0</v>
      </c>
      <c r="DX184">
        <f>IFERROR(SMALL(DX47:DX127,ROW()-ROW($DX$130)+1),"")</f>
        <v>0</v>
      </c>
      <c r="DY184">
        <f>IFERROR(SMALL(DY47:DY127,ROW()-ROW($DY$130)+1),"")</f>
        <v>0</v>
      </c>
      <c r="DZ184">
        <f>IFERROR(SMALL(DZ47:DZ127,ROW()-ROW($DZ$130)+1),"")</f>
        <v>0</v>
      </c>
      <c r="EA184">
        <f>IFERROR(SMALL(EA47:EA127,ROW()-ROW($EA$130)+1),"")</f>
        <v>0</v>
      </c>
      <c r="EB184">
        <f>IFERROR(SMALL(EB47:EB127,ROW()-ROW($EB$130)+1),"")</f>
        <v>0</v>
      </c>
      <c r="EC184">
        <f>IFERROR(SMALL(EC47:EC127,ROW()-ROW($EC$130)+1),"")</f>
        <v>0</v>
      </c>
      <c r="ED184">
        <f>IFERROR(SMALL(ED47:ED127,ROW()-ROW($ED$130)+1),"")</f>
        <v>0</v>
      </c>
    </row>
    <row r="185" spans="5:134">
      <c r="E185">
        <f>IFERROR(SMALL(E47:E127,ROW()-ROW($E$130)+1),"")</f>
        <v>0</v>
      </c>
      <c r="F185">
        <f>IFERROR(SMALL(F47:F127,ROW()-ROW($F$130)+1),"")</f>
        <v>0</v>
      </c>
      <c r="G185">
        <f>IFERROR(SMALL(G47:G127,ROW()-ROW($G$130)+1),"")</f>
        <v>0</v>
      </c>
      <c r="H185">
        <f>IFERROR(SMALL(H47:H127,ROW()-ROW($H$130)+1),"")</f>
        <v>0</v>
      </c>
      <c r="I185">
        <f>IFERROR(SMALL(I47:I127,ROW()-ROW($I$130)+1),"")</f>
        <v>0</v>
      </c>
      <c r="J185">
        <f>IFERROR(SMALL(J47:J127,ROW()-ROW($J$130)+1),"")</f>
        <v>0</v>
      </c>
      <c r="K185">
        <f>IFERROR(SMALL(K47:K127,ROW()-ROW($K$130)+1),"")</f>
        <v>0</v>
      </c>
      <c r="L185">
        <f>IFERROR(SMALL(L47:L127,ROW()-ROW($L$130)+1),"")</f>
        <v>0</v>
      </c>
      <c r="M185">
        <f>IFERROR(SMALL(M47:M127,ROW()-ROW($M$130)+1),"")</f>
        <v>0</v>
      </c>
      <c r="N185">
        <f>IFERROR(SMALL(N47:N127,ROW()-ROW($N$130)+1),"")</f>
        <v>0</v>
      </c>
      <c r="O185">
        <f>IFERROR(SMALL(O47:O127,ROW()-ROW($O$130)+1),"")</f>
        <v>0</v>
      </c>
      <c r="P185">
        <f>IFERROR(SMALL(P47:P127,ROW()-ROW($P$130)+1),"")</f>
        <v>0</v>
      </c>
      <c r="Q185">
        <f>IFERROR(SMALL(Q47:Q127,ROW()-ROW($Q$130)+1),"")</f>
        <v>0</v>
      </c>
      <c r="R185">
        <f>IFERROR(SMALL(R47:R127,ROW()-ROW($R$130)+1),"")</f>
        <v>0</v>
      </c>
      <c r="S185">
        <f>IFERROR(SMALL(S47:S127,ROW()-ROW($S$130)+1),"")</f>
        <v>0</v>
      </c>
      <c r="T185">
        <f>IFERROR(SMALL(T47:T127,ROW()-ROW($T$130)+1),"")</f>
        <v>0</v>
      </c>
      <c r="U185">
        <f>IFERROR(SMALL(U47:U127,ROW()-ROW($U$130)+1),"")</f>
        <v>0</v>
      </c>
      <c r="V185">
        <f>IFERROR(SMALL(V47:V127,ROW()-ROW($V$130)+1),"")</f>
        <v>0</v>
      </c>
      <c r="W185">
        <f>IFERROR(SMALL(W47:W127,ROW()-ROW($W$130)+1),"")</f>
        <v>0</v>
      </c>
      <c r="X185">
        <f>IFERROR(SMALL(X47:X127,ROW()-ROW($X$130)+1),"")</f>
        <v>0</v>
      </c>
      <c r="Y185">
        <f>IFERROR(SMALL(Y47:Y127,ROW()-ROW($Y$130)+1),"")</f>
        <v>0</v>
      </c>
      <c r="Z185">
        <f>IFERROR(SMALL(Z47:Z127,ROW()-ROW($Z$130)+1),"")</f>
        <v>0</v>
      </c>
      <c r="AA185">
        <f>IFERROR(SMALL(AA47:AA127,ROW()-ROW($AA$130)+1),"")</f>
        <v>0</v>
      </c>
      <c r="AB185">
        <f>IFERROR(SMALL(AB47:AB127,ROW()-ROW($AB$130)+1),"")</f>
        <v>0</v>
      </c>
      <c r="AC185">
        <f>IFERROR(SMALL(AC47:AC127,ROW()-ROW($AC$130)+1),"")</f>
        <v>0</v>
      </c>
      <c r="AD185">
        <f>IFERROR(SMALL(AD47:AD127,ROW()-ROW($AD$130)+1),"")</f>
        <v>0</v>
      </c>
      <c r="AE185">
        <f>IFERROR(SMALL(AE47:AE127,ROW()-ROW($AE$130)+1),"")</f>
        <v>0</v>
      </c>
      <c r="AF185">
        <f>IFERROR(SMALL(AF47:AF127,ROW()-ROW($AF$130)+1),"")</f>
        <v>0</v>
      </c>
      <c r="AG185">
        <f>IFERROR(SMALL(AG47:AG127,ROW()-ROW($AG$130)+1),"")</f>
        <v>0</v>
      </c>
      <c r="AH185">
        <f>IFERROR(SMALL(AH47:AH127,ROW()-ROW($AH$130)+1),"")</f>
        <v>0</v>
      </c>
      <c r="AI185">
        <f>IFERROR(SMALL(AI47:AI127,ROW()-ROW($AI$130)+1),"")</f>
        <v>0</v>
      </c>
      <c r="AJ185">
        <f>IFERROR(SMALL(AJ47:AJ127,ROW()-ROW($AJ$130)+1),"")</f>
        <v>0</v>
      </c>
      <c r="AK185">
        <f>IFERROR(SMALL(AK47:AK127,ROW()-ROW($AK$130)+1),"")</f>
        <v>0</v>
      </c>
      <c r="AL185">
        <f>IFERROR(SMALL(AL47:AL127,ROW()-ROW($AL$130)+1),"")</f>
        <v>0</v>
      </c>
      <c r="AM185">
        <f>IFERROR(SMALL(AM47:AM127,ROW()-ROW($AM$130)+1),"")</f>
        <v>0</v>
      </c>
      <c r="AN185">
        <f>IFERROR(SMALL(AN47:AN127,ROW()-ROW($AN$130)+1),"")</f>
        <v>0</v>
      </c>
      <c r="AO185">
        <f>IFERROR(SMALL(AO47:AO127,ROW()-ROW($AO$130)+1),"")</f>
        <v>0</v>
      </c>
      <c r="AP185">
        <f>IFERROR(SMALL(AP47:AP127,ROW()-ROW($AP$130)+1),"")</f>
        <v>0</v>
      </c>
      <c r="AQ185">
        <f>IFERROR(SMALL(AQ47:AQ127,ROW()-ROW($AQ$130)+1),"")</f>
        <v>0</v>
      </c>
      <c r="AR185">
        <f>IFERROR(SMALL(AR47:AR127,ROW()-ROW($AR$130)+1),"")</f>
        <v>0</v>
      </c>
      <c r="AS185">
        <f>IFERROR(SMALL(AS47:AS127,ROW()-ROW($AS$130)+1),"")</f>
        <v>0</v>
      </c>
      <c r="AT185">
        <f>IFERROR(SMALL(AT47:AT127,ROW()-ROW($AT$130)+1),"")</f>
        <v>0</v>
      </c>
      <c r="AU185">
        <f>IFERROR(SMALL(AU47:AU127,ROW()-ROW($AU$130)+1),"")</f>
        <v>0</v>
      </c>
      <c r="AV185">
        <f>IFERROR(SMALL(AV47:AV127,ROW()-ROW($AV$130)+1),"")</f>
        <v>0</v>
      </c>
      <c r="AW185">
        <f>IFERROR(SMALL(AW47:AW127,ROW()-ROW($AW$130)+1),"")</f>
        <v>0</v>
      </c>
      <c r="AX185">
        <f>IFERROR(SMALL(AX47:AX127,ROW()-ROW($AX$130)+1),"")</f>
        <v>0</v>
      </c>
      <c r="AY185">
        <f>IFERROR(SMALL(AY47:AY127,ROW()-ROW($AY$130)+1),"")</f>
        <v>0</v>
      </c>
      <c r="AZ185">
        <f>IFERROR(SMALL(AZ47:AZ127,ROW()-ROW($AZ$130)+1),"")</f>
        <v>0</v>
      </c>
      <c r="BA185">
        <f>IFERROR(SMALL(BA47:BA127,ROW()-ROW($BA$130)+1),"")</f>
        <v>0</v>
      </c>
      <c r="BB185">
        <f>IFERROR(SMALL(BB47:BB127,ROW()-ROW($BB$130)+1),"")</f>
        <v>0</v>
      </c>
      <c r="BC185">
        <f>IFERROR(SMALL(BC47:BC127,ROW()-ROW($BC$130)+1),"")</f>
        <v>0</v>
      </c>
      <c r="BD185">
        <f>IFERROR(SMALL(BD47:BD127,ROW()-ROW($BD$130)+1),"")</f>
        <v>0</v>
      </c>
      <c r="BE185">
        <f>IFERROR(SMALL(BE47:BE127,ROW()-ROW($BE$130)+1),"")</f>
        <v>0</v>
      </c>
      <c r="BF185">
        <f>IFERROR(SMALL(BF47:BF127,ROW()-ROW($BF$130)+1),"")</f>
        <v>0</v>
      </c>
      <c r="BG185">
        <f>IFERROR(SMALL(BG47:BG127,ROW()-ROW($BG$130)+1),"")</f>
        <v>0</v>
      </c>
      <c r="BH185">
        <f>IFERROR(SMALL(BH47:BH127,ROW()-ROW($BH$130)+1),"")</f>
        <v>0</v>
      </c>
      <c r="BI185">
        <f>IFERROR(SMALL(BI47:BI127,ROW()-ROW($BI$130)+1),"")</f>
        <v>0</v>
      </c>
      <c r="BJ185">
        <f>IFERROR(SMALL(BJ47:BJ127,ROW()-ROW($BJ$130)+1),"")</f>
        <v>0</v>
      </c>
      <c r="BK185">
        <f>IFERROR(SMALL(BK47:BK127,ROW()-ROW($BK$130)+1),"")</f>
        <v>0</v>
      </c>
      <c r="BL185">
        <f>IFERROR(SMALL(BL47:BL127,ROW()-ROW($BL$130)+1),"")</f>
        <v>0</v>
      </c>
      <c r="BM185">
        <f>IFERROR(SMALL(BM47:BM127,ROW()-ROW($BM$130)+1),"")</f>
        <v>0</v>
      </c>
      <c r="BN185">
        <f>IFERROR(SMALL(BN47:BN127,ROW()-ROW($BN$130)+1),"")</f>
        <v>0</v>
      </c>
      <c r="BO185">
        <f>IFERROR(SMALL(BO47:BO127,ROW()-ROW($BO$130)+1),"")</f>
        <v>0</v>
      </c>
      <c r="BP185">
        <f>IFERROR(SMALL(BP47:BP127,ROW()-ROW($BP$130)+1),"")</f>
        <v>0</v>
      </c>
      <c r="BS185">
        <f>IFERROR(SMALL(BS47:BS127,ROW()-ROW($BS$130)+1),"")</f>
        <v>0</v>
      </c>
      <c r="BT185">
        <f>IFERROR(SMALL(BT47:BT127,ROW()-ROW($BT$130)+1),"")</f>
        <v>0</v>
      </c>
      <c r="BU185">
        <f>IFERROR(SMALL(BU47:BU127,ROW()-ROW($BU$130)+1),"")</f>
        <v>0</v>
      </c>
      <c r="BV185">
        <f>IFERROR(SMALL(BV47:BV127,ROW()-ROW($BV$130)+1),"")</f>
        <v>0</v>
      </c>
      <c r="BW185">
        <f>IFERROR(SMALL(BW47:BW127,ROW()-ROW($BW$130)+1),"")</f>
        <v>0</v>
      </c>
      <c r="BX185">
        <f>IFERROR(SMALL(BX47:BX127,ROW()-ROW($BX$130)+1),"")</f>
        <v>0</v>
      </c>
      <c r="BY185">
        <f>IFERROR(SMALL(BY47:BY127,ROW()-ROW($BY$130)+1),"")</f>
        <v>0</v>
      </c>
      <c r="BZ185">
        <f>IFERROR(SMALL(BZ47:BZ127,ROW()-ROW($BZ$130)+1),"")</f>
        <v>0</v>
      </c>
      <c r="CA185">
        <f>IFERROR(SMALL(CA47:CA127,ROW()-ROW($CA$130)+1),"")</f>
        <v>0</v>
      </c>
      <c r="CB185">
        <f>IFERROR(SMALL(CB47:CB127,ROW()-ROW($CB$130)+1),"")</f>
        <v>0</v>
      </c>
      <c r="CC185">
        <f>IFERROR(SMALL(CC47:CC127,ROW()-ROW($CC$130)+1),"")</f>
        <v>0</v>
      </c>
      <c r="CD185">
        <f>IFERROR(SMALL(CD47:CD127,ROW()-ROW($CD$130)+1),"")</f>
        <v>0</v>
      </c>
      <c r="CE185">
        <f>IFERROR(SMALL(CE47:CE127,ROW()-ROW($CE$130)+1),"")</f>
        <v>0</v>
      </c>
      <c r="CF185">
        <f>IFERROR(SMALL(CF47:CF127,ROW()-ROW($CF$130)+1),"")</f>
        <v>0</v>
      </c>
      <c r="CG185">
        <f>IFERROR(SMALL(CG47:CG127,ROW()-ROW($CG$130)+1),"")</f>
        <v>0</v>
      </c>
      <c r="CH185">
        <f>IFERROR(SMALL(CH47:CH127,ROW()-ROW($CH$130)+1),"")</f>
        <v>0</v>
      </c>
      <c r="CI185">
        <f>IFERROR(SMALL(CI47:CI127,ROW()-ROW($CI$130)+1),"")</f>
        <v>0</v>
      </c>
      <c r="CJ185">
        <f>IFERROR(SMALL(CJ47:CJ127,ROW()-ROW($CJ$130)+1),"")</f>
        <v>0</v>
      </c>
      <c r="CK185">
        <f>IFERROR(SMALL(CK47:CK127,ROW()-ROW($CK$130)+1),"")</f>
        <v>0</v>
      </c>
      <c r="CL185">
        <f>IFERROR(SMALL(CL47:CL127,ROW()-ROW($CL$130)+1),"")</f>
        <v>0</v>
      </c>
      <c r="CM185">
        <f>IFERROR(SMALL(CM47:CM127,ROW()-ROW($CM$130)+1),"")</f>
        <v>0</v>
      </c>
      <c r="CN185">
        <f>IFERROR(SMALL(CN47:CN127,ROW()-ROW($CN$130)+1),"")</f>
        <v>0</v>
      </c>
      <c r="CO185">
        <f>IFERROR(SMALL(CO47:CO127,ROW()-ROW($CO$130)+1),"")</f>
        <v>0</v>
      </c>
      <c r="CP185">
        <f>IFERROR(SMALL(CP47:CP127,ROW()-ROW($CP$130)+1),"")</f>
        <v>0</v>
      </c>
      <c r="CQ185">
        <f>IFERROR(SMALL(CQ47:CQ127,ROW()-ROW($CQ$130)+1),"")</f>
        <v>0</v>
      </c>
      <c r="CR185">
        <f>IFERROR(SMALL(CR47:CR127,ROW()-ROW($CR$130)+1),"")</f>
        <v>0</v>
      </c>
      <c r="CS185">
        <f>IFERROR(SMALL(CS47:CS127,ROW()-ROW($CS$130)+1),"")</f>
        <v>0</v>
      </c>
      <c r="CT185">
        <f>IFERROR(SMALL(CT47:CT127,ROW()-ROW($CT$130)+1),"")</f>
        <v>0</v>
      </c>
      <c r="CU185">
        <f>IFERROR(SMALL(CU47:CU127,ROW()-ROW($CU$130)+1),"")</f>
        <v>0</v>
      </c>
      <c r="CV185">
        <f>IFERROR(SMALL(CV47:CV127,ROW()-ROW($CV$130)+1),"")</f>
        <v>0</v>
      </c>
      <c r="CW185">
        <f>IFERROR(SMALL(CW47:CW127,ROW()-ROW($CW$130)+1),"")</f>
        <v>0</v>
      </c>
      <c r="CX185">
        <f>IFERROR(SMALL(CX47:CX127,ROW()-ROW($CX$130)+1),"")</f>
        <v>0</v>
      </c>
      <c r="CY185">
        <f>IFERROR(SMALL(CY47:CY127,ROW()-ROW($CY$130)+1),"")</f>
        <v>0</v>
      </c>
      <c r="CZ185">
        <f>IFERROR(SMALL(CZ47:CZ127,ROW()-ROW($CZ$130)+1),"")</f>
        <v>0</v>
      </c>
      <c r="DA185">
        <f>IFERROR(SMALL(DA47:DA127,ROW()-ROW($DA$130)+1),"")</f>
        <v>0</v>
      </c>
      <c r="DB185">
        <f>IFERROR(SMALL(DB47:DB127,ROW()-ROW($DB$130)+1),"")</f>
        <v>0</v>
      </c>
      <c r="DC185">
        <f>IFERROR(SMALL(DC47:DC127,ROW()-ROW($DC$130)+1),"")</f>
        <v>0</v>
      </c>
      <c r="DD185">
        <f>IFERROR(SMALL(DD47:DD127,ROW()-ROW($DD$130)+1),"")</f>
        <v>0</v>
      </c>
      <c r="DE185">
        <f>IFERROR(SMALL(DE47:DE127,ROW()-ROW($DE$130)+1),"")</f>
        <v>0</v>
      </c>
      <c r="DF185">
        <f>IFERROR(SMALL(DF47:DF127,ROW()-ROW($DF$130)+1),"")</f>
        <v>0</v>
      </c>
      <c r="DG185">
        <f>IFERROR(SMALL(DG47:DG127,ROW()-ROW($DG$130)+1),"")</f>
        <v>0</v>
      </c>
      <c r="DH185">
        <f>IFERROR(SMALL(DH47:DH127,ROW()-ROW($DH$130)+1),"")</f>
        <v>0</v>
      </c>
      <c r="DI185">
        <f>IFERROR(SMALL(DI47:DI127,ROW()-ROW($DI$130)+1),"")</f>
        <v>0</v>
      </c>
      <c r="DJ185">
        <f>IFERROR(SMALL(DJ47:DJ127,ROW()-ROW($DJ$130)+1),"")</f>
        <v>0</v>
      </c>
      <c r="DK185">
        <f>IFERROR(SMALL(DK47:DK127,ROW()-ROW($DK$130)+1),"")</f>
        <v>0</v>
      </c>
      <c r="DL185">
        <f>IFERROR(SMALL(DL47:DL127,ROW()-ROW($DL$130)+1),"")</f>
        <v>0</v>
      </c>
      <c r="DM185">
        <f>IFERROR(SMALL(DM47:DM127,ROW()-ROW($DM$130)+1),"")</f>
        <v>0</v>
      </c>
      <c r="DN185">
        <f>IFERROR(SMALL(DN47:DN127,ROW()-ROW($DN$130)+1),"")</f>
        <v>0</v>
      </c>
      <c r="DO185">
        <f>IFERROR(SMALL(DO47:DO127,ROW()-ROW($DO$130)+1),"")</f>
        <v>0</v>
      </c>
      <c r="DP185">
        <f>IFERROR(SMALL(DP47:DP127,ROW()-ROW($DP$130)+1),"")</f>
        <v>0</v>
      </c>
      <c r="DQ185">
        <f>IFERROR(SMALL(DQ47:DQ127,ROW()-ROW($DQ$130)+1),"")</f>
        <v>0</v>
      </c>
      <c r="DR185">
        <f>IFERROR(SMALL(DR47:DR127,ROW()-ROW($DR$130)+1),"")</f>
        <v>0</v>
      </c>
      <c r="DS185">
        <f>IFERROR(SMALL(DS47:DS127,ROW()-ROW($DS$130)+1),"")</f>
        <v>0</v>
      </c>
      <c r="DT185">
        <f>IFERROR(SMALL(DT47:DT127,ROW()-ROW($DT$130)+1),"")</f>
        <v>0</v>
      </c>
      <c r="DU185">
        <f>IFERROR(SMALL(DU47:DU127,ROW()-ROW($DU$130)+1),"")</f>
        <v>0</v>
      </c>
      <c r="DV185">
        <f>IFERROR(SMALL(DV47:DV127,ROW()-ROW($DV$130)+1),"")</f>
        <v>0</v>
      </c>
      <c r="DW185">
        <f>IFERROR(SMALL(DW47:DW127,ROW()-ROW($DW$130)+1),"")</f>
        <v>0</v>
      </c>
      <c r="DX185">
        <f>IFERROR(SMALL(DX47:DX127,ROW()-ROW($DX$130)+1),"")</f>
        <v>0</v>
      </c>
      <c r="DY185">
        <f>IFERROR(SMALL(DY47:DY127,ROW()-ROW($DY$130)+1),"")</f>
        <v>0</v>
      </c>
      <c r="DZ185">
        <f>IFERROR(SMALL(DZ47:DZ127,ROW()-ROW($DZ$130)+1),"")</f>
        <v>0</v>
      </c>
      <c r="EA185">
        <f>IFERROR(SMALL(EA47:EA127,ROW()-ROW($EA$130)+1),"")</f>
        <v>0</v>
      </c>
      <c r="EB185">
        <f>IFERROR(SMALL(EB47:EB127,ROW()-ROW($EB$130)+1),"")</f>
        <v>0</v>
      </c>
      <c r="EC185">
        <f>IFERROR(SMALL(EC47:EC127,ROW()-ROW($EC$130)+1),"")</f>
        <v>0</v>
      </c>
      <c r="ED185">
        <f>IFERROR(SMALL(ED47:ED127,ROW()-ROW($ED$130)+1),"")</f>
        <v>0</v>
      </c>
    </row>
    <row r="186" spans="5:134">
      <c r="E186">
        <f>IFERROR(SMALL(E47:E127,ROW()-ROW($E$130)+1),"")</f>
        <v>0</v>
      </c>
      <c r="F186">
        <f>IFERROR(SMALL(F47:F127,ROW()-ROW($F$130)+1),"")</f>
        <v>0</v>
      </c>
      <c r="G186">
        <f>IFERROR(SMALL(G47:G127,ROW()-ROW($G$130)+1),"")</f>
        <v>0</v>
      </c>
      <c r="H186">
        <f>IFERROR(SMALL(H47:H127,ROW()-ROW($H$130)+1),"")</f>
        <v>0</v>
      </c>
      <c r="I186">
        <f>IFERROR(SMALL(I47:I127,ROW()-ROW($I$130)+1),"")</f>
        <v>0</v>
      </c>
      <c r="J186">
        <f>IFERROR(SMALL(J47:J127,ROW()-ROW($J$130)+1),"")</f>
        <v>0</v>
      </c>
      <c r="K186">
        <f>IFERROR(SMALL(K47:K127,ROW()-ROW($K$130)+1),"")</f>
        <v>0</v>
      </c>
      <c r="L186">
        <f>IFERROR(SMALL(L47:L127,ROW()-ROW($L$130)+1),"")</f>
        <v>0</v>
      </c>
      <c r="M186">
        <f>IFERROR(SMALL(M47:M127,ROW()-ROW($M$130)+1),"")</f>
        <v>0</v>
      </c>
      <c r="N186">
        <f>IFERROR(SMALL(N47:N127,ROW()-ROW($N$130)+1),"")</f>
        <v>0</v>
      </c>
      <c r="O186">
        <f>IFERROR(SMALL(O47:O127,ROW()-ROW($O$130)+1),"")</f>
        <v>0</v>
      </c>
      <c r="P186">
        <f>IFERROR(SMALL(P47:P127,ROW()-ROW($P$130)+1),"")</f>
        <v>0</v>
      </c>
      <c r="Q186">
        <f>IFERROR(SMALL(Q47:Q127,ROW()-ROW($Q$130)+1),"")</f>
        <v>0</v>
      </c>
      <c r="R186">
        <f>IFERROR(SMALL(R47:R127,ROW()-ROW($R$130)+1),"")</f>
        <v>0</v>
      </c>
      <c r="S186">
        <f>IFERROR(SMALL(S47:S127,ROW()-ROW($S$130)+1),"")</f>
        <v>0</v>
      </c>
      <c r="T186">
        <f>IFERROR(SMALL(T47:T127,ROW()-ROW($T$130)+1),"")</f>
        <v>0</v>
      </c>
      <c r="U186">
        <f>IFERROR(SMALL(U47:U127,ROW()-ROW($U$130)+1),"")</f>
        <v>0</v>
      </c>
      <c r="V186">
        <f>IFERROR(SMALL(V47:V127,ROW()-ROW($V$130)+1),"")</f>
        <v>0</v>
      </c>
      <c r="W186">
        <f>IFERROR(SMALL(W47:W127,ROW()-ROW($W$130)+1),"")</f>
        <v>0</v>
      </c>
      <c r="X186">
        <f>IFERROR(SMALL(X47:X127,ROW()-ROW($X$130)+1),"")</f>
        <v>0</v>
      </c>
      <c r="Y186">
        <f>IFERROR(SMALL(Y47:Y127,ROW()-ROW($Y$130)+1),"")</f>
        <v>0</v>
      </c>
      <c r="Z186">
        <f>IFERROR(SMALL(Z47:Z127,ROW()-ROW($Z$130)+1),"")</f>
        <v>0</v>
      </c>
      <c r="AA186">
        <f>IFERROR(SMALL(AA47:AA127,ROW()-ROW($AA$130)+1),"")</f>
        <v>0</v>
      </c>
      <c r="AB186">
        <f>IFERROR(SMALL(AB47:AB127,ROW()-ROW($AB$130)+1),"")</f>
        <v>0</v>
      </c>
      <c r="AC186">
        <f>IFERROR(SMALL(AC47:AC127,ROW()-ROW($AC$130)+1),"")</f>
        <v>0</v>
      </c>
      <c r="AD186">
        <f>IFERROR(SMALL(AD47:AD127,ROW()-ROW($AD$130)+1),"")</f>
        <v>0</v>
      </c>
      <c r="AE186">
        <f>IFERROR(SMALL(AE47:AE127,ROW()-ROW($AE$130)+1),"")</f>
        <v>0</v>
      </c>
      <c r="AF186">
        <f>IFERROR(SMALL(AF47:AF127,ROW()-ROW($AF$130)+1),"")</f>
        <v>0</v>
      </c>
      <c r="AG186">
        <f>IFERROR(SMALL(AG47:AG127,ROW()-ROW($AG$130)+1),"")</f>
        <v>0</v>
      </c>
      <c r="AH186">
        <f>IFERROR(SMALL(AH47:AH127,ROW()-ROW($AH$130)+1),"")</f>
        <v>0</v>
      </c>
      <c r="AI186">
        <f>IFERROR(SMALL(AI47:AI127,ROW()-ROW($AI$130)+1),"")</f>
        <v>0</v>
      </c>
      <c r="AJ186">
        <f>IFERROR(SMALL(AJ47:AJ127,ROW()-ROW($AJ$130)+1),"")</f>
        <v>0</v>
      </c>
      <c r="AK186">
        <f>IFERROR(SMALL(AK47:AK127,ROW()-ROW($AK$130)+1),"")</f>
        <v>0</v>
      </c>
      <c r="AL186">
        <f>IFERROR(SMALL(AL47:AL127,ROW()-ROW($AL$130)+1),"")</f>
        <v>0</v>
      </c>
      <c r="AM186">
        <f>IFERROR(SMALL(AM47:AM127,ROW()-ROW($AM$130)+1),"")</f>
        <v>0</v>
      </c>
      <c r="AN186">
        <f>IFERROR(SMALL(AN47:AN127,ROW()-ROW($AN$130)+1),"")</f>
        <v>0</v>
      </c>
      <c r="AO186">
        <f>IFERROR(SMALL(AO47:AO127,ROW()-ROW($AO$130)+1),"")</f>
        <v>0</v>
      </c>
      <c r="AP186">
        <f>IFERROR(SMALL(AP47:AP127,ROW()-ROW($AP$130)+1),"")</f>
        <v>0</v>
      </c>
      <c r="AQ186">
        <f>IFERROR(SMALL(AQ47:AQ127,ROW()-ROW($AQ$130)+1),"")</f>
        <v>0</v>
      </c>
      <c r="AR186">
        <f>IFERROR(SMALL(AR47:AR127,ROW()-ROW($AR$130)+1),"")</f>
        <v>0</v>
      </c>
      <c r="AS186">
        <f>IFERROR(SMALL(AS47:AS127,ROW()-ROW($AS$130)+1),"")</f>
        <v>0</v>
      </c>
      <c r="AT186">
        <f>IFERROR(SMALL(AT47:AT127,ROW()-ROW($AT$130)+1),"")</f>
        <v>0</v>
      </c>
      <c r="AU186">
        <f>IFERROR(SMALL(AU47:AU127,ROW()-ROW($AU$130)+1),"")</f>
        <v>0</v>
      </c>
      <c r="AV186">
        <f>IFERROR(SMALL(AV47:AV127,ROW()-ROW($AV$130)+1),"")</f>
        <v>0</v>
      </c>
      <c r="AW186">
        <f>IFERROR(SMALL(AW47:AW127,ROW()-ROW($AW$130)+1),"")</f>
        <v>0</v>
      </c>
      <c r="AX186">
        <f>IFERROR(SMALL(AX47:AX127,ROW()-ROW($AX$130)+1),"")</f>
        <v>0</v>
      </c>
      <c r="AY186">
        <f>IFERROR(SMALL(AY47:AY127,ROW()-ROW($AY$130)+1),"")</f>
        <v>0</v>
      </c>
      <c r="AZ186">
        <f>IFERROR(SMALL(AZ47:AZ127,ROW()-ROW($AZ$130)+1),"")</f>
        <v>0</v>
      </c>
      <c r="BA186">
        <f>IFERROR(SMALL(BA47:BA127,ROW()-ROW($BA$130)+1),"")</f>
        <v>0</v>
      </c>
      <c r="BB186">
        <f>IFERROR(SMALL(BB47:BB127,ROW()-ROW($BB$130)+1),"")</f>
        <v>0</v>
      </c>
      <c r="BC186">
        <f>IFERROR(SMALL(BC47:BC127,ROW()-ROW($BC$130)+1),"")</f>
        <v>0</v>
      </c>
      <c r="BD186">
        <f>IFERROR(SMALL(BD47:BD127,ROW()-ROW($BD$130)+1),"")</f>
        <v>0</v>
      </c>
      <c r="BE186">
        <f>IFERROR(SMALL(BE47:BE127,ROW()-ROW($BE$130)+1),"")</f>
        <v>0</v>
      </c>
      <c r="BF186">
        <f>IFERROR(SMALL(BF47:BF127,ROW()-ROW($BF$130)+1),"")</f>
        <v>0</v>
      </c>
      <c r="BG186">
        <f>IFERROR(SMALL(BG47:BG127,ROW()-ROW($BG$130)+1),"")</f>
        <v>0</v>
      </c>
      <c r="BH186">
        <f>IFERROR(SMALL(BH47:BH127,ROW()-ROW($BH$130)+1),"")</f>
        <v>0</v>
      </c>
      <c r="BI186">
        <f>IFERROR(SMALL(BI47:BI127,ROW()-ROW($BI$130)+1),"")</f>
        <v>0</v>
      </c>
      <c r="BJ186">
        <f>IFERROR(SMALL(BJ47:BJ127,ROW()-ROW($BJ$130)+1),"")</f>
        <v>0</v>
      </c>
      <c r="BK186">
        <f>IFERROR(SMALL(BK47:BK127,ROW()-ROW($BK$130)+1),"")</f>
        <v>0</v>
      </c>
      <c r="BL186">
        <f>IFERROR(SMALL(BL47:BL127,ROW()-ROW($BL$130)+1),"")</f>
        <v>0</v>
      </c>
      <c r="BM186">
        <f>IFERROR(SMALL(BM47:BM127,ROW()-ROW($BM$130)+1),"")</f>
        <v>0</v>
      </c>
      <c r="BN186">
        <f>IFERROR(SMALL(BN47:BN127,ROW()-ROW($BN$130)+1),"")</f>
        <v>0</v>
      </c>
      <c r="BO186">
        <f>IFERROR(SMALL(BO47:BO127,ROW()-ROW($BO$130)+1),"")</f>
        <v>0</v>
      </c>
      <c r="BP186">
        <f>IFERROR(SMALL(BP47:BP127,ROW()-ROW($BP$130)+1),"")</f>
        <v>0</v>
      </c>
      <c r="BS186">
        <f>IFERROR(SMALL(BS47:BS127,ROW()-ROW($BS$130)+1),"")</f>
        <v>0</v>
      </c>
      <c r="BT186">
        <f>IFERROR(SMALL(BT47:BT127,ROW()-ROW($BT$130)+1),"")</f>
        <v>0</v>
      </c>
      <c r="BU186">
        <f>IFERROR(SMALL(BU47:BU127,ROW()-ROW($BU$130)+1),"")</f>
        <v>0</v>
      </c>
      <c r="BV186">
        <f>IFERROR(SMALL(BV47:BV127,ROW()-ROW($BV$130)+1),"")</f>
        <v>0</v>
      </c>
      <c r="BW186">
        <f>IFERROR(SMALL(BW47:BW127,ROW()-ROW($BW$130)+1),"")</f>
        <v>0</v>
      </c>
      <c r="BX186">
        <f>IFERROR(SMALL(BX47:BX127,ROW()-ROW($BX$130)+1),"")</f>
        <v>0</v>
      </c>
      <c r="BY186">
        <f>IFERROR(SMALL(BY47:BY127,ROW()-ROW($BY$130)+1),"")</f>
        <v>0</v>
      </c>
      <c r="BZ186">
        <f>IFERROR(SMALL(BZ47:BZ127,ROW()-ROW($BZ$130)+1),"")</f>
        <v>0</v>
      </c>
      <c r="CA186">
        <f>IFERROR(SMALL(CA47:CA127,ROW()-ROW($CA$130)+1),"")</f>
        <v>0</v>
      </c>
      <c r="CB186">
        <f>IFERROR(SMALL(CB47:CB127,ROW()-ROW($CB$130)+1),"")</f>
        <v>0</v>
      </c>
      <c r="CC186">
        <f>IFERROR(SMALL(CC47:CC127,ROW()-ROW($CC$130)+1),"")</f>
        <v>0</v>
      </c>
      <c r="CD186">
        <f>IFERROR(SMALL(CD47:CD127,ROW()-ROW($CD$130)+1),"")</f>
        <v>0</v>
      </c>
      <c r="CE186">
        <f>IFERROR(SMALL(CE47:CE127,ROW()-ROW($CE$130)+1),"")</f>
        <v>0</v>
      </c>
      <c r="CF186">
        <f>IFERROR(SMALL(CF47:CF127,ROW()-ROW($CF$130)+1),"")</f>
        <v>0</v>
      </c>
      <c r="CG186">
        <f>IFERROR(SMALL(CG47:CG127,ROW()-ROW($CG$130)+1),"")</f>
        <v>0</v>
      </c>
      <c r="CH186">
        <f>IFERROR(SMALL(CH47:CH127,ROW()-ROW($CH$130)+1),"")</f>
        <v>0</v>
      </c>
      <c r="CI186">
        <f>IFERROR(SMALL(CI47:CI127,ROW()-ROW($CI$130)+1),"")</f>
        <v>0</v>
      </c>
      <c r="CJ186">
        <f>IFERROR(SMALL(CJ47:CJ127,ROW()-ROW($CJ$130)+1),"")</f>
        <v>0</v>
      </c>
      <c r="CK186">
        <f>IFERROR(SMALL(CK47:CK127,ROW()-ROW($CK$130)+1),"")</f>
        <v>0</v>
      </c>
      <c r="CL186">
        <f>IFERROR(SMALL(CL47:CL127,ROW()-ROW($CL$130)+1),"")</f>
        <v>0</v>
      </c>
      <c r="CM186">
        <f>IFERROR(SMALL(CM47:CM127,ROW()-ROW($CM$130)+1),"")</f>
        <v>0</v>
      </c>
      <c r="CN186">
        <f>IFERROR(SMALL(CN47:CN127,ROW()-ROW($CN$130)+1),"")</f>
        <v>0</v>
      </c>
      <c r="CO186">
        <f>IFERROR(SMALL(CO47:CO127,ROW()-ROW($CO$130)+1),"")</f>
        <v>0</v>
      </c>
      <c r="CP186">
        <f>IFERROR(SMALL(CP47:CP127,ROW()-ROW($CP$130)+1),"")</f>
        <v>0</v>
      </c>
      <c r="CQ186">
        <f>IFERROR(SMALL(CQ47:CQ127,ROW()-ROW($CQ$130)+1),"")</f>
        <v>0</v>
      </c>
      <c r="CR186">
        <f>IFERROR(SMALL(CR47:CR127,ROW()-ROW($CR$130)+1),"")</f>
        <v>0</v>
      </c>
      <c r="CS186">
        <f>IFERROR(SMALL(CS47:CS127,ROW()-ROW($CS$130)+1),"")</f>
        <v>0</v>
      </c>
      <c r="CT186">
        <f>IFERROR(SMALL(CT47:CT127,ROW()-ROW($CT$130)+1),"")</f>
        <v>0</v>
      </c>
      <c r="CU186">
        <f>IFERROR(SMALL(CU47:CU127,ROW()-ROW($CU$130)+1),"")</f>
        <v>0</v>
      </c>
      <c r="CV186">
        <f>IFERROR(SMALL(CV47:CV127,ROW()-ROW($CV$130)+1),"")</f>
        <v>0</v>
      </c>
      <c r="CW186">
        <f>IFERROR(SMALL(CW47:CW127,ROW()-ROW($CW$130)+1),"")</f>
        <v>0</v>
      </c>
      <c r="CX186">
        <f>IFERROR(SMALL(CX47:CX127,ROW()-ROW($CX$130)+1),"")</f>
        <v>0</v>
      </c>
      <c r="CY186">
        <f>IFERROR(SMALL(CY47:CY127,ROW()-ROW($CY$130)+1),"")</f>
        <v>0</v>
      </c>
      <c r="CZ186">
        <f>IFERROR(SMALL(CZ47:CZ127,ROW()-ROW($CZ$130)+1),"")</f>
        <v>0</v>
      </c>
      <c r="DA186">
        <f>IFERROR(SMALL(DA47:DA127,ROW()-ROW($DA$130)+1),"")</f>
        <v>0</v>
      </c>
      <c r="DB186">
        <f>IFERROR(SMALL(DB47:DB127,ROW()-ROW($DB$130)+1),"")</f>
        <v>0</v>
      </c>
      <c r="DC186">
        <f>IFERROR(SMALL(DC47:DC127,ROW()-ROW($DC$130)+1),"")</f>
        <v>0</v>
      </c>
      <c r="DD186">
        <f>IFERROR(SMALL(DD47:DD127,ROW()-ROW($DD$130)+1),"")</f>
        <v>0</v>
      </c>
      <c r="DE186">
        <f>IFERROR(SMALL(DE47:DE127,ROW()-ROW($DE$130)+1),"")</f>
        <v>0</v>
      </c>
      <c r="DF186">
        <f>IFERROR(SMALL(DF47:DF127,ROW()-ROW($DF$130)+1),"")</f>
        <v>0</v>
      </c>
      <c r="DG186">
        <f>IFERROR(SMALL(DG47:DG127,ROW()-ROW($DG$130)+1),"")</f>
        <v>0</v>
      </c>
      <c r="DH186">
        <f>IFERROR(SMALL(DH47:DH127,ROW()-ROW($DH$130)+1),"")</f>
        <v>0</v>
      </c>
      <c r="DI186">
        <f>IFERROR(SMALL(DI47:DI127,ROW()-ROW($DI$130)+1),"")</f>
        <v>0</v>
      </c>
      <c r="DJ186">
        <f>IFERROR(SMALL(DJ47:DJ127,ROW()-ROW($DJ$130)+1),"")</f>
        <v>0</v>
      </c>
      <c r="DK186">
        <f>IFERROR(SMALL(DK47:DK127,ROW()-ROW($DK$130)+1),"")</f>
        <v>0</v>
      </c>
      <c r="DL186">
        <f>IFERROR(SMALL(DL47:DL127,ROW()-ROW($DL$130)+1),"")</f>
        <v>0</v>
      </c>
      <c r="DM186">
        <f>IFERROR(SMALL(DM47:DM127,ROW()-ROW($DM$130)+1),"")</f>
        <v>0</v>
      </c>
      <c r="DN186">
        <f>IFERROR(SMALL(DN47:DN127,ROW()-ROW($DN$130)+1),"")</f>
        <v>0</v>
      </c>
      <c r="DO186">
        <f>IFERROR(SMALL(DO47:DO127,ROW()-ROW($DO$130)+1),"")</f>
        <v>0</v>
      </c>
      <c r="DP186">
        <f>IFERROR(SMALL(DP47:DP127,ROW()-ROW($DP$130)+1),"")</f>
        <v>0</v>
      </c>
      <c r="DQ186">
        <f>IFERROR(SMALL(DQ47:DQ127,ROW()-ROW($DQ$130)+1),"")</f>
        <v>0</v>
      </c>
      <c r="DR186">
        <f>IFERROR(SMALL(DR47:DR127,ROW()-ROW($DR$130)+1),"")</f>
        <v>0</v>
      </c>
      <c r="DS186">
        <f>IFERROR(SMALL(DS47:DS127,ROW()-ROW($DS$130)+1),"")</f>
        <v>0</v>
      </c>
      <c r="DT186">
        <f>IFERROR(SMALL(DT47:DT127,ROW()-ROW($DT$130)+1),"")</f>
        <v>0</v>
      </c>
      <c r="DU186">
        <f>IFERROR(SMALL(DU47:DU127,ROW()-ROW($DU$130)+1),"")</f>
        <v>0</v>
      </c>
      <c r="DV186">
        <f>IFERROR(SMALL(DV47:DV127,ROW()-ROW($DV$130)+1),"")</f>
        <v>0</v>
      </c>
      <c r="DW186">
        <f>IFERROR(SMALL(DW47:DW127,ROW()-ROW($DW$130)+1),"")</f>
        <v>0</v>
      </c>
      <c r="DX186">
        <f>IFERROR(SMALL(DX47:DX127,ROW()-ROW($DX$130)+1),"")</f>
        <v>0</v>
      </c>
      <c r="DY186">
        <f>IFERROR(SMALL(DY47:DY127,ROW()-ROW($DY$130)+1),"")</f>
        <v>0</v>
      </c>
      <c r="DZ186">
        <f>IFERROR(SMALL(DZ47:DZ127,ROW()-ROW($DZ$130)+1),"")</f>
        <v>0</v>
      </c>
      <c r="EA186">
        <f>IFERROR(SMALL(EA47:EA127,ROW()-ROW($EA$130)+1),"")</f>
        <v>0</v>
      </c>
      <c r="EB186">
        <f>IFERROR(SMALL(EB47:EB127,ROW()-ROW($EB$130)+1),"")</f>
        <v>0</v>
      </c>
      <c r="EC186">
        <f>IFERROR(SMALL(EC47:EC127,ROW()-ROW($EC$130)+1),"")</f>
        <v>0</v>
      </c>
      <c r="ED186">
        <f>IFERROR(SMALL(ED47:ED127,ROW()-ROW($ED$130)+1),"")</f>
        <v>0</v>
      </c>
    </row>
    <row r="187" spans="5:134">
      <c r="E187">
        <f>IFERROR(SMALL(E47:E127,ROW()-ROW($E$130)+1),"")</f>
        <v>0</v>
      </c>
      <c r="F187">
        <f>IFERROR(SMALL(F47:F127,ROW()-ROW($F$130)+1),"")</f>
        <v>0</v>
      </c>
      <c r="G187">
        <f>IFERROR(SMALL(G47:G127,ROW()-ROW($G$130)+1),"")</f>
        <v>0</v>
      </c>
      <c r="H187">
        <f>IFERROR(SMALL(H47:H127,ROW()-ROW($H$130)+1),"")</f>
        <v>0</v>
      </c>
      <c r="I187">
        <f>IFERROR(SMALL(I47:I127,ROW()-ROW($I$130)+1),"")</f>
        <v>0</v>
      </c>
      <c r="J187">
        <f>IFERROR(SMALL(J47:J127,ROW()-ROW($J$130)+1),"")</f>
        <v>0</v>
      </c>
      <c r="K187">
        <f>IFERROR(SMALL(K47:K127,ROW()-ROW($K$130)+1),"")</f>
        <v>0</v>
      </c>
      <c r="L187">
        <f>IFERROR(SMALL(L47:L127,ROW()-ROW($L$130)+1),"")</f>
        <v>0</v>
      </c>
      <c r="M187">
        <f>IFERROR(SMALL(M47:M127,ROW()-ROW($M$130)+1),"")</f>
        <v>0</v>
      </c>
      <c r="N187">
        <f>IFERROR(SMALL(N47:N127,ROW()-ROW($N$130)+1),"")</f>
        <v>0</v>
      </c>
      <c r="O187">
        <f>IFERROR(SMALL(O47:O127,ROW()-ROW($O$130)+1),"")</f>
        <v>0</v>
      </c>
      <c r="P187">
        <f>IFERROR(SMALL(P47:P127,ROW()-ROW($P$130)+1),"")</f>
        <v>0</v>
      </c>
      <c r="Q187">
        <f>IFERROR(SMALL(Q47:Q127,ROW()-ROW($Q$130)+1),"")</f>
        <v>0</v>
      </c>
      <c r="R187">
        <f>IFERROR(SMALL(R47:R127,ROW()-ROW($R$130)+1),"")</f>
        <v>0</v>
      </c>
      <c r="S187">
        <f>IFERROR(SMALL(S47:S127,ROW()-ROW($S$130)+1),"")</f>
        <v>0</v>
      </c>
      <c r="T187">
        <f>IFERROR(SMALL(T47:T127,ROW()-ROW($T$130)+1),"")</f>
        <v>0</v>
      </c>
      <c r="U187">
        <f>IFERROR(SMALL(U47:U127,ROW()-ROW($U$130)+1),"")</f>
        <v>0</v>
      </c>
      <c r="V187">
        <f>IFERROR(SMALL(V47:V127,ROW()-ROW($V$130)+1),"")</f>
        <v>0</v>
      </c>
      <c r="W187">
        <f>IFERROR(SMALL(W47:W127,ROW()-ROW($W$130)+1),"")</f>
        <v>0</v>
      </c>
      <c r="X187">
        <f>IFERROR(SMALL(X47:X127,ROW()-ROW($X$130)+1),"")</f>
        <v>0</v>
      </c>
      <c r="Y187">
        <f>IFERROR(SMALL(Y47:Y127,ROW()-ROW($Y$130)+1),"")</f>
        <v>0</v>
      </c>
      <c r="Z187">
        <f>IFERROR(SMALL(Z47:Z127,ROW()-ROW($Z$130)+1),"")</f>
        <v>0</v>
      </c>
      <c r="AA187">
        <f>IFERROR(SMALL(AA47:AA127,ROW()-ROW($AA$130)+1),"")</f>
        <v>0</v>
      </c>
      <c r="AB187">
        <f>IFERROR(SMALL(AB47:AB127,ROW()-ROW($AB$130)+1),"")</f>
        <v>0</v>
      </c>
      <c r="AC187">
        <f>IFERROR(SMALL(AC47:AC127,ROW()-ROW($AC$130)+1),"")</f>
        <v>0</v>
      </c>
      <c r="AD187">
        <f>IFERROR(SMALL(AD47:AD127,ROW()-ROW($AD$130)+1),"")</f>
        <v>0</v>
      </c>
      <c r="AE187">
        <f>IFERROR(SMALL(AE47:AE127,ROW()-ROW($AE$130)+1),"")</f>
        <v>0</v>
      </c>
      <c r="AF187">
        <f>IFERROR(SMALL(AF47:AF127,ROW()-ROW($AF$130)+1),"")</f>
        <v>0</v>
      </c>
      <c r="AG187">
        <f>IFERROR(SMALL(AG47:AG127,ROW()-ROW($AG$130)+1),"")</f>
        <v>0</v>
      </c>
      <c r="AH187">
        <f>IFERROR(SMALL(AH47:AH127,ROW()-ROW($AH$130)+1),"")</f>
        <v>0</v>
      </c>
      <c r="AI187">
        <f>IFERROR(SMALL(AI47:AI127,ROW()-ROW($AI$130)+1),"")</f>
        <v>0</v>
      </c>
      <c r="AJ187">
        <f>IFERROR(SMALL(AJ47:AJ127,ROW()-ROW($AJ$130)+1),"")</f>
        <v>0</v>
      </c>
      <c r="AK187">
        <f>IFERROR(SMALL(AK47:AK127,ROW()-ROW($AK$130)+1),"")</f>
        <v>0</v>
      </c>
      <c r="AL187">
        <f>IFERROR(SMALL(AL47:AL127,ROW()-ROW($AL$130)+1),"")</f>
        <v>0</v>
      </c>
      <c r="AM187">
        <f>IFERROR(SMALL(AM47:AM127,ROW()-ROW($AM$130)+1),"")</f>
        <v>0</v>
      </c>
      <c r="AN187">
        <f>IFERROR(SMALL(AN47:AN127,ROW()-ROW($AN$130)+1),"")</f>
        <v>0</v>
      </c>
      <c r="AO187">
        <f>IFERROR(SMALL(AO47:AO127,ROW()-ROW($AO$130)+1),"")</f>
        <v>0</v>
      </c>
      <c r="AP187">
        <f>IFERROR(SMALL(AP47:AP127,ROW()-ROW($AP$130)+1),"")</f>
        <v>0</v>
      </c>
      <c r="AQ187">
        <f>IFERROR(SMALL(AQ47:AQ127,ROW()-ROW($AQ$130)+1),"")</f>
        <v>0</v>
      </c>
      <c r="AR187">
        <f>IFERROR(SMALL(AR47:AR127,ROW()-ROW($AR$130)+1),"")</f>
        <v>0</v>
      </c>
      <c r="AS187">
        <f>IFERROR(SMALL(AS47:AS127,ROW()-ROW($AS$130)+1),"")</f>
        <v>0</v>
      </c>
      <c r="AT187">
        <f>IFERROR(SMALL(AT47:AT127,ROW()-ROW($AT$130)+1),"")</f>
        <v>0</v>
      </c>
      <c r="AU187">
        <f>IFERROR(SMALL(AU47:AU127,ROW()-ROW($AU$130)+1),"")</f>
        <v>0</v>
      </c>
      <c r="AV187">
        <f>IFERROR(SMALL(AV47:AV127,ROW()-ROW($AV$130)+1),"")</f>
        <v>0</v>
      </c>
      <c r="AW187">
        <f>IFERROR(SMALL(AW47:AW127,ROW()-ROW($AW$130)+1),"")</f>
        <v>0</v>
      </c>
      <c r="AX187">
        <f>IFERROR(SMALL(AX47:AX127,ROW()-ROW($AX$130)+1),"")</f>
        <v>0</v>
      </c>
      <c r="AY187">
        <f>IFERROR(SMALL(AY47:AY127,ROW()-ROW($AY$130)+1),"")</f>
        <v>0</v>
      </c>
      <c r="AZ187">
        <f>IFERROR(SMALL(AZ47:AZ127,ROW()-ROW($AZ$130)+1),"")</f>
        <v>0</v>
      </c>
      <c r="BA187">
        <f>IFERROR(SMALL(BA47:BA127,ROW()-ROW($BA$130)+1),"")</f>
        <v>0</v>
      </c>
      <c r="BB187">
        <f>IFERROR(SMALL(BB47:BB127,ROW()-ROW($BB$130)+1),"")</f>
        <v>0</v>
      </c>
      <c r="BC187">
        <f>IFERROR(SMALL(BC47:BC127,ROW()-ROW($BC$130)+1),"")</f>
        <v>0</v>
      </c>
      <c r="BD187">
        <f>IFERROR(SMALL(BD47:BD127,ROW()-ROW($BD$130)+1),"")</f>
        <v>0</v>
      </c>
      <c r="BE187">
        <f>IFERROR(SMALL(BE47:BE127,ROW()-ROW($BE$130)+1),"")</f>
        <v>0</v>
      </c>
      <c r="BF187">
        <f>IFERROR(SMALL(BF47:BF127,ROW()-ROW($BF$130)+1),"")</f>
        <v>0</v>
      </c>
      <c r="BG187">
        <f>IFERROR(SMALL(BG47:BG127,ROW()-ROW($BG$130)+1),"")</f>
        <v>0</v>
      </c>
      <c r="BH187">
        <f>IFERROR(SMALL(BH47:BH127,ROW()-ROW($BH$130)+1),"")</f>
        <v>0</v>
      </c>
      <c r="BI187">
        <f>IFERROR(SMALL(BI47:BI127,ROW()-ROW($BI$130)+1),"")</f>
        <v>0</v>
      </c>
      <c r="BJ187">
        <f>IFERROR(SMALL(BJ47:BJ127,ROW()-ROW($BJ$130)+1),"")</f>
        <v>0</v>
      </c>
      <c r="BK187">
        <f>IFERROR(SMALL(BK47:BK127,ROW()-ROW($BK$130)+1),"")</f>
        <v>0</v>
      </c>
      <c r="BL187">
        <f>IFERROR(SMALL(BL47:BL127,ROW()-ROW($BL$130)+1),"")</f>
        <v>0</v>
      </c>
      <c r="BM187">
        <f>IFERROR(SMALL(BM47:BM127,ROW()-ROW($BM$130)+1),"")</f>
        <v>0</v>
      </c>
      <c r="BN187">
        <f>IFERROR(SMALL(BN47:BN127,ROW()-ROW($BN$130)+1),"")</f>
        <v>0</v>
      </c>
      <c r="BO187">
        <f>IFERROR(SMALL(BO47:BO127,ROW()-ROW($BO$130)+1),"")</f>
        <v>0</v>
      </c>
      <c r="BP187">
        <f>IFERROR(SMALL(BP47:BP127,ROW()-ROW($BP$130)+1),"")</f>
        <v>0</v>
      </c>
      <c r="BS187">
        <f>IFERROR(SMALL(BS47:BS127,ROW()-ROW($BS$130)+1),"")</f>
        <v>0</v>
      </c>
      <c r="BT187">
        <f>IFERROR(SMALL(BT47:BT127,ROW()-ROW($BT$130)+1),"")</f>
        <v>0</v>
      </c>
      <c r="BU187">
        <f>IFERROR(SMALL(BU47:BU127,ROW()-ROW($BU$130)+1),"")</f>
        <v>0</v>
      </c>
      <c r="BV187">
        <f>IFERROR(SMALL(BV47:BV127,ROW()-ROW($BV$130)+1),"")</f>
        <v>0</v>
      </c>
      <c r="BW187">
        <f>IFERROR(SMALL(BW47:BW127,ROW()-ROW($BW$130)+1),"")</f>
        <v>0</v>
      </c>
      <c r="BX187">
        <f>IFERROR(SMALL(BX47:BX127,ROW()-ROW($BX$130)+1),"")</f>
        <v>0</v>
      </c>
      <c r="BY187">
        <f>IFERROR(SMALL(BY47:BY127,ROW()-ROW($BY$130)+1),"")</f>
        <v>0</v>
      </c>
      <c r="BZ187">
        <f>IFERROR(SMALL(BZ47:BZ127,ROW()-ROW($BZ$130)+1),"")</f>
        <v>0</v>
      </c>
      <c r="CA187">
        <f>IFERROR(SMALL(CA47:CA127,ROW()-ROW($CA$130)+1),"")</f>
        <v>0</v>
      </c>
      <c r="CB187">
        <f>IFERROR(SMALL(CB47:CB127,ROW()-ROW($CB$130)+1),"")</f>
        <v>0</v>
      </c>
      <c r="CC187">
        <f>IFERROR(SMALL(CC47:CC127,ROW()-ROW($CC$130)+1),"")</f>
        <v>0</v>
      </c>
      <c r="CD187">
        <f>IFERROR(SMALL(CD47:CD127,ROW()-ROW($CD$130)+1),"")</f>
        <v>0</v>
      </c>
      <c r="CE187">
        <f>IFERROR(SMALL(CE47:CE127,ROW()-ROW($CE$130)+1),"")</f>
        <v>0</v>
      </c>
      <c r="CF187">
        <f>IFERROR(SMALL(CF47:CF127,ROW()-ROW($CF$130)+1),"")</f>
        <v>0</v>
      </c>
      <c r="CG187">
        <f>IFERROR(SMALL(CG47:CG127,ROW()-ROW($CG$130)+1),"")</f>
        <v>0</v>
      </c>
      <c r="CH187">
        <f>IFERROR(SMALL(CH47:CH127,ROW()-ROW($CH$130)+1),"")</f>
        <v>0</v>
      </c>
      <c r="CI187">
        <f>IFERROR(SMALL(CI47:CI127,ROW()-ROW($CI$130)+1),"")</f>
        <v>0</v>
      </c>
      <c r="CJ187">
        <f>IFERROR(SMALL(CJ47:CJ127,ROW()-ROW($CJ$130)+1),"")</f>
        <v>0</v>
      </c>
      <c r="CK187">
        <f>IFERROR(SMALL(CK47:CK127,ROW()-ROW($CK$130)+1),"")</f>
        <v>0</v>
      </c>
      <c r="CL187">
        <f>IFERROR(SMALL(CL47:CL127,ROW()-ROW($CL$130)+1),"")</f>
        <v>0</v>
      </c>
      <c r="CM187">
        <f>IFERROR(SMALL(CM47:CM127,ROW()-ROW($CM$130)+1),"")</f>
        <v>0</v>
      </c>
      <c r="CN187">
        <f>IFERROR(SMALL(CN47:CN127,ROW()-ROW($CN$130)+1),"")</f>
        <v>0</v>
      </c>
      <c r="CO187">
        <f>IFERROR(SMALL(CO47:CO127,ROW()-ROW($CO$130)+1),"")</f>
        <v>0</v>
      </c>
      <c r="CP187">
        <f>IFERROR(SMALL(CP47:CP127,ROW()-ROW($CP$130)+1),"")</f>
        <v>0</v>
      </c>
      <c r="CQ187">
        <f>IFERROR(SMALL(CQ47:CQ127,ROW()-ROW($CQ$130)+1),"")</f>
        <v>0</v>
      </c>
      <c r="CR187">
        <f>IFERROR(SMALL(CR47:CR127,ROW()-ROW($CR$130)+1),"")</f>
        <v>0</v>
      </c>
      <c r="CS187">
        <f>IFERROR(SMALL(CS47:CS127,ROW()-ROW($CS$130)+1),"")</f>
        <v>0</v>
      </c>
      <c r="CT187">
        <f>IFERROR(SMALL(CT47:CT127,ROW()-ROW($CT$130)+1),"")</f>
        <v>0</v>
      </c>
      <c r="CU187">
        <f>IFERROR(SMALL(CU47:CU127,ROW()-ROW($CU$130)+1),"")</f>
        <v>0</v>
      </c>
      <c r="CV187">
        <f>IFERROR(SMALL(CV47:CV127,ROW()-ROW($CV$130)+1),"")</f>
        <v>0</v>
      </c>
      <c r="CW187">
        <f>IFERROR(SMALL(CW47:CW127,ROW()-ROW($CW$130)+1),"")</f>
        <v>0</v>
      </c>
      <c r="CX187">
        <f>IFERROR(SMALL(CX47:CX127,ROW()-ROW($CX$130)+1),"")</f>
        <v>0</v>
      </c>
      <c r="CY187">
        <f>IFERROR(SMALL(CY47:CY127,ROW()-ROW($CY$130)+1),"")</f>
        <v>0</v>
      </c>
      <c r="CZ187">
        <f>IFERROR(SMALL(CZ47:CZ127,ROW()-ROW($CZ$130)+1),"")</f>
        <v>0</v>
      </c>
      <c r="DA187">
        <f>IFERROR(SMALL(DA47:DA127,ROW()-ROW($DA$130)+1),"")</f>
        <v>0</v>
      </c>
      <c r="DB187">
        <f>IFERROR(SMALL(DB47:DB127,ROW()-ROW($DB$130)+1),"")</f>
        <v>0</v>
      </c>
      <c r="DC187">
        <f>IFERROR(SMALL(DC47:DC127,ROW()-ROW($DC$130)+1),"")</f>
        <v>0</v>
      </c>
      <c r="DD187">
        <f>IFERROR(SMALL(DD47:DD127,ROW()-ROW($DD$130)+1),"")</f>
        <v>0</v>
      </c>
      <c r="DE187">
        <f>IFERROR(SMALL(DE47:DE127,ROW()-ROW($DE$130)+1),"")</f>
        <v>0</v>
      </c>
      <c r="DF187">
        <f>IFERROR(SMALL(DF47:DF127,ROW()-ROW($DF$130)+1),"")</f>
        <v>0</v>
      </c>
      <c r="DG187">
        <f>IFERROR(SMALL(DG47:DG127,ROW()-ROW($DG$130)+1),"")</f>
        <v>0</v>
      </c>
      <c r="DH187">
        <f>IFERROR(SMALL(DH47:DH127,ROW()-ROW($DH$130)+1),"")</f>
        <v>0</v>
      </c>
      <c r="DI187">
        <f>IFERROR(SMALL(DI47:DI127,ROW()-ROW($DI$130)+1),"")</f>
        <v>0</v>
      </c>
      <c r="DJ187">
        <f>IFERROR(SMALL(DJ47:DJ127,ROW()-ROW($DJ$130)+1),"")</f>
        <v>0</v>
      </c>
      <c r="DK187">
        <f>IFERROR(SMALL(DK47:DK127,ROW()-ROW($DK$130)+1),"")</f>
        <v>0</v>
      </c>
      <c r="DL187">
        <f>IFERROR(SMALL(DL47:DL127,ROW()-ROW($DL$130)+1),"")</f>
        <v>0</v>
      </c>
      <c r="DM187">
        <f>IFERROR(SMALL(DM47:DM127,ROW()-ROW($DM$130)+1),"")</f>
        <v>0</v>
      </c>
      <c r="DN187">
        <f>IFERROR(SMALL(DN47:DN127,ROW()-ROW($DN$130)+1),"")</f>
        <v>0</v>
      </c>
      <c r="DO187">
        <f>IFERROR(SMALL(DO47:DO127,ROW()-ROW($DO$130)+1),"")</f>
        <v>0</v>
      </c>
      <c r="DP187">
        <f>IFERROR(SMALL(DP47:DP127,ROW()-ROW($DP$130)+1),"")</f>
        <v>0</v>
      </c>
      <c r="DQ187">
        <f>IFERROR(SMALL(DQ47:DQ127,ROW()-ROW($DQ$130)+1),"")</f>
        <v>0</v>
      </c>
      <c r="DR187">
        <f>IFERROR(SMALL(DR47:DR127,ROW()-ROW($DR$130)+1),"")</f>
        <v>0</v>
      </c>
      <c r="DS187">
        <f>IFERROR(SMALL(DS47:DS127,ROW()-ROW($DS$130)+1),"")</f>
        <v>0</v>
      </c>
      <c r="DT187">
        <f>IFERROR(SMALL(DT47:DT127,ROW()-ROW($DT$130)+1),"")</f>
        <v>0</v>
      </c>
      <c r="DU187">
        <f>IFERROR(SMALL(DU47:DU127,ROW()-ROW($DU$130)+1),"")</f>
        <v>0</v>
      </c>
      <c r="DV187">
        <f>IFERROR(SMALL(DV47:DV127,ROW()-ROW($DV$130)+1),"")</f>
        <v>0</v>
      </c>
      <c r="DW187">
        <f>IFERROR(SMALL(DW47:DW127,ROW()-ROW($DW$130)+1),"")</f>
        <v>0</v>
      </c>
      <c r="DX187">
        <f>IFERROR(SMALL(DX47:DX127,ROW()-ROW($DX$130)+1),"")</f>
        <v>0</v>
      </c>
      <c r="DY187">
        <f>IFERROR(SMALL(DY47:DY127,ROW()-ROW($DY$130)+1),"")</f>
        <v>0</v>
      </c>
      <c r="DZ187">
        <f>IFERROR(SMALL(DZ47:DZ127,ROW()-ROW($DZ$130)+1),"")</f>
        <v>0</v>
      </c>
      <c r="EA187">
        <f>IFERROR(SMALL(EA47:EA127,ROW()-ROW($EA$130)+1),"")</f>
        <v>0</v>
      </c>
      <c r="EB187">
        <f>IFERROR(SMALL(EB47:EB127,ROW()-ROW($EB$130)+1),"")</f>
        <v>0</v>
      </c>
      <c r="EC187">
        <f>IFERROR(SMALL(EC47:EC127,ROW()-ROW($EC$130)+1),"")</f>
        <v>0</v>
      </c>
      <c r="ED187">
        <f>IFERROR(SMALL(ED47:ED127,ROW()-ROW($ED$130)+1),"")</f>
        <v>0</v>
      </c>
    </row>
    <row r="188" spans="5:134">
      <c r="E188">
        <f>IFERROR(SMALL(E47:E127,ROW()-ROW($E$130)+1),"")</f>
        <v>0</v>
      </c>
      <c r="F188">
        <f>IFERROR(SMALL(F47:F127,ROW()-ROW($F$130)+1),"")</f>
        <v>0</v>
      </c>
      <c r="G188">
        <f>IFERROR(SMALL(G47:G127,ROW()-ROW($G$130)+1),"")</f>
        <v>0</v>
      </c>
      <c r="H188">
        <f>IFERROR(SMALL(H47:H127,ROW()-ROW($H$130)+1),"")</f>
        <v>0</v>
      </c>
      <c r="I188">
        <f>IFERROR(SMALL(I47:I127,ROW()-ROW($I$130)+1),"")</f>
        <v>0</v>
      </c>
      <c r="J188">
        <f>IFERROR(SMALL(J47:J127,ROW()-ROW($J$130)+1),"")</f>
        <v>0</v>
      </c>
      <c r="K188">
        <f>IFERROR(SMALL(K47:K127,ROW()-ROW($K$130)+1),"")</f>
        <v>0</v>
      </c>
      <c r="L188">
        <f>IFERROR(SMALL(L47:L127,ROW()-ROW($L$130)+1),"")</f>
        <v>0</v>
      </c>
      <c r="M188">
        <f>IFERROR(SMALL(M47:M127,ROW()-ROW($M$130)+1),"")</f>
        <v>0</v>
      </c>
      <c r="N188">
        <f>IFERROR(SMALL(N47:N127,ROW()-ROW($N$130)+1),"")</f>
        <v>0</v>
      </c>
      <c r="O188">
        <f>IFERROR(SMALL(O47:O127,ROW()-ROW($O$130)+1),"")</f>
        <v>0</v>
      </c>
      <c r="P188">
        <f>IFERROR(SMALL(P47:P127,ROW()-ROW($P$130)+1),"")</f>
        <v>0</v>
      </c>
      <c r="Q188">
        <f>IFERROR(SMALL(Q47:Q127,ROW()-ROW($Q$130)+1),"")</f>
        <v>0</v>
      </c>
      <c r="R188">
        <f>IFERROR(SMALL(R47:R127,ROW()-ROW($R$130)+1),"")</f>
        <v>0</v>
      </c>
      <c r="S188">
        <f>IFERROR(SMALL(S47:S127,ROW()-ROW($S$130)+1),"")</f>
        <v>0</v>
      </c>
      <c r="T188">
        <f>IFERROR(SMALL(T47:T127,ROW()-ROW($T$130)+1),"")</f>
        <v>0</v>
      </c>
      <c r="U188">
        <f>IFERROR(SMALL(U47:U127,ROW()-ROW($U$130)+1),"")</f>
        <v>0</v>
      </c>
      <c r="V188">
        <f>IFERROR(SMALL(V47:V127,ROW()-ROW($V$130)+1),"")</f>
        <v>0</v>
      </c>
      <c r="W188">
        <f>IFERROR(SMALL(W47:W127,ROW()-ROW($W$130)+1),"")</f>
        <v>0</v>
      </c>
      <c r="X188">
        <f>IFERROR(SMALL(X47:X127,ROW()-ROW($X$130)+1),"")</f>
        <v>0</v>
      </c>
      <c r="Y188">
        <f>IFERROR(SMALL(Y47:Y127,ROW()-ROW($Y$130)+1),"")</f>
        <v>0</v>
      </c>
      <c r="Z188">
        <f>IFERROR(SMALL(Z47:Z127,ROW()-ROW($Z$130)+1),"")</f>
        <v>0</v>
      </c>
      <c r="AA188">
        <f>IFERROR(SMALL(AA47:AA127,ROW()-ROW($AA$130)+1),"")</f>
        <v>0</v>
      </c>
      <c r="AB188">
        <f>IFERROR(SMALL(AB47:AB127,ROW()-ROW($AB$130)+1),"")</f>
        <v>0</v>
      </c>
      <c r="AC188">
        <f>IFERROR(SMALL(AC47:AC127,ROW()-ROW($AC$130)+1),"")</f>
        <v>0</v>
      </c>
      <c r="AD188">
        <f>IFERROR(SMALL(AD47:AD127,ROW()-ROW($AD$130)+1),"")</f>
        <v>0</v>
      </c>
      <c r="AE188">
        <f>IFERROR(SMALL(AE47:AE127,ROW()-ROW($AE$130)+1),"")</f>
        <v>0</v>
      </c>
      <c r="AF188">
        <f>IFERROR(SMALL(AF47:AF127,ROW()-ROW($AF$130)+1),"")</f>
        <v>0</v>
      </c>
      <c r="AG188">
        <f>IFERROR(SMALL(AG47:AG127,ROW()-ROW($AG$130)+1),"")</f>
        <v>0</v>
      </c>
      <c r="AH188">
        <f>IFERROR(SMALL(AH47:AH127,ROW()-ROW($AH$130)+1),"")</f>
        <v>0</v>
      </c>
      <c r="AI188">
        <f>IFERROR(SMALL(AI47:AI127,ROW()-ROW($AI$130)+1),"")</f>
        <v>0</v>
      </c>
      <c r="AJ188">
        <f>IFERROR(SMALL(AJ47:AJ127,ROW()-ROW($AJ$130)+1),"")</f>
        <v>0</v>
      </c>
      <c r="AK188">
        <f>IFERROR(SMALL(AK47:AK127,ROW()-ROW($AK$130)+1),"")</f>
        <v>0</v>
      </c>
      <c r="AL188">
        <f>IFERROR(SMALL(AL47:AL127,ROW()-ROW($AL$130)+1),"")</f>
        <v>0</v>
      </c>
      <c r="AM188">
        <f>IFERROR(SMALL(AM47:AM127,ROW()-ROW($AM$130)+1),"")</f>
        <v>0</v>
      </c>
      <c r="AN188">
        <f>IFERROR(SMALL(AN47:AN127,ROW()-ROW($AN$130)+1),"")</f>
        <v>0</v>
      </c>
      <c r="AO188">
        <f>IFERROR(SMALL(AO47:AO127,ROW()-ROW($AO$130)+1),"")</f>
        <v>0</v>
      </c>
      <c r="AP188">
        <f>IFERROR(SMALL(AP47:AP127,ROW()-ROW($AP$130)+1),"")</f>
        <v>0</v>
      </c>
      <c r="AQ188">
        <f>IFERROR(SMALL(AQ47:AQ127,ROW()-ROW($AQ$130)+1),"")</f>
        <v>0</v>
      </c>
      <c r="AR188">
        <f>IFERROR(SMALL(AR47:AR127,ROW()-ROW($AR$130)+1),"")</f>
        <v>0</v>
      </c>
      <c r="AS188">
        <f>IFERROR(SMALL(AS47:AS127,ROW()-ROW($AS$130)+1),"")</f>
        <v>0</v>
      </c>
      <c r="AT188">
        <f>IFERROR(SMALL(AT47:AT127,ROW()-ROW($AT$130)+1),"")</f>
        <v>0</v>
      </c>
      <c r="AU188">
        <f>IFERROR(SMALL(AU47:AU127,ROW()-ROW($AU$130)+1),"")</f>
        <v>0</v>
      </c>
      <c r="AV188">
        <f>IFERROR(SMALL(AV47:AV127,ROW()-ROW($AV$130)+1),"")</f>
        <v>0</v>
      </c>
      <c r="AW188">
        <f>IFERROR(SMALL(AW47:AW127,ROW()-ROW($AW$130)+1),"")</f>
        <v>0</v>
      </c>
      <c r="AX188">
        <f>IFERROR(SMALL(AX47:AX127,ROW()-ROW($AX$130)+1),"")</f>
        <v>0</v>
      </c>
      <c r="AY188">
        <f>IFERROR(SMALL(AY47:AY127,ROW()-ROW($AY$130)+1),"")</f>
        <v>0</v>
      </c>
      <c r="AZ188">
        <f>IFERROR(SMALL(AZ47:AZ127,ROW()-ROW($AZ$130)+1),"")</f>
        <v>0</v>
      </c>
      <c r="BA188">
        <f>IFERROR(SMALL(BA47:BA127,ROW()-ROW($BA$130)+1),"")</f>
        <v>0</v>
      </c>
      <c r="BB188">
        <f>IFERROR(SMALL(BB47:BB127,ROW()-ROW($BB$130)+1),"")</f>
        <v>0</v>
      </c>
      <c r="BC188">
        <f>IFERROR(SMALL(BC47:BC127,ROW()-ROW($BC$130)+1),"")</f>
        <v>0</v>
      </c>
      <c r="BD188">
        <f>IFERROR(SMALL(BD47:BD127,ROW()-ROW($BD$130)+1),"")</f>
        <v>0</v>
      </c>
      <c r="BE188">
        <f>IFERROR(SMALL(BE47:BE127,ROW()-ROW($BE$130)+1),"")</f>
        <v>0</v>
      </c>
      <c r="BF188">
        <f>IFERROR(SMALL(BF47:BF127,ROW()-ROW($BF$130)+1),"")</f>
        <v>0</v>
      </c>
      <c r="BG188">
        <f>IFERROR(SMALL(BG47:BG127,ROW()-ROW($BG$130)+1),"")</f>
        <v>0</v>
      </c>
      <c r="BH188">
        <f>IFERROR(SMALL(BH47:BH127,ROW()-ROW($BH$130)+1),"")</f>
        <v>0</v>
      </c>
      <c r="BI188">
        <f>IFERROR(SMALL(BI47:BI127,ROW()-ROW($BI$130)+1),"")</f>
        <v>0</v>
      </c>
      <c r="BJ188">
        <f>IFERROR(SMALL(BJ47:BJ127,ROW()-ROW($BJ$130)+1),"")</f>
        <v>0</v>
      </c>
      <c r="BK188">
        <f>IFERROR(SMALL(BK47:BK127,ROW()-ROW($BK$130)+1),"")</f>
        <v>0</v>
      </c>
      <c r="BL188">
        <f>IFERROR(SMALL(BL47:BL127,ROW()-ROW($BL$130)+1),"")</f>
        <v>0</v>
      </c>
      <c r="BM188">
        <f>IFERROR(SMALL(BM47:BM127,ROW()-ROW($BM$130)+1),"")</f>
        <v>0</v>
      </c>
      <c r="BN188">
        <f>IFERROR(SMALL(BN47:BN127,ROW()-ROW($BN$130)+1),"")</f>
        <v>0</v>
      </c>
      <c r="BO188">
        <f>IFERROR(SMALL(BO47:BO127,ROW()-ROW($BO$130)+1),"")</f>
        <v>0</v>
      </c>
      <c r="BP188">
        <f>IFERROR(SMALL(BP47:BP127,ROW()-ROW($BP$130)+1),"")</f>
        <v>0</v>
      </c>
      <c r="BS188">
        <f>IFERROR(SMALL(BS47:BS127,ROW()-ROW($BS$130)+1),"")</f>
        <v>0</v>
      </c>
      <c r="BT188">
        <f>IFERROR(SMALL(BT47:BT127,ROW()-ROW($BT$130)+1),"")</f>
        <v>0</v>
      </c>
      <c r="BU188">
        <f>IFERROR(SMALL(BU47:BU127,ROW()-ROW($BU$130)+1),"")</f>
        <v>0</v>
      </c>
      <c r="BV188">
        <f>IFERROR(SMALL(BV47:BV127,ROW()-ROW($BV$130)+1),"")</f>
        <v>0</v>
      </c>
      <c r="BW188">
        <f>IFERROR(SMALL(BW47:BW127,ROW()-ROW($BW$130)+1),"")</f>
        <v>0</v>
      </c>
      <c r="BX188">
        <f>IFERROR(SMALL(BX47:BX127,ROW()-ROW($BX$130)+1),"")</f>
        <v>0</v>
      </c>
      <c r="BY188">
        <f>IFERROR(SMALL(BY47:BY127,ROW()-ROW($BY$130)+1),"")</f>
        <v>0</v>
      </c>
      <c r="BZ188">
        <f>IFERROR(SMALL(BZ47:BZ127,ROW()-ROW($BZ$130)+1),"")</f>
        <v>0</v>
      </c>
      <c r="CA188">
        <f>IFERROR(SMALL(CA47:CA127,ROW()-ROW($CA$130)+1),"")</f>
        <v>0</v>
      </c>
      <c r="CB188">
        <f>IFERROR(SMALL(CB47:CB127,ROW()-ROW($CB$130)+1),"")</f>
        <v>0</v>
      </c>
      <c r="CC188">
        <f>IFERROR(SMALL(CC47:CC127,ROW()-ROW($CC$130)+1),"")</f>
        <v>0</v>
      </c>
      <c r="CD188">
        <f>IFERROR(SMALL(CD47:CD127,ROW()-ROW($CD$130)+1),"")</f>
        <v>0</v>
      </c>
      <c r="CE188">
        <f>IFERROR(SMALL(CE47:CE127,ROW()-ROW($CE$130)+1),"")</f>
        <v>0</v>
      </c>
      <c r="CF188">
        <f>IFERROR(SMALL(CF47:CF127,ROW()-ROW($CF$130)+1),"")</f>
        <v>0</v>
      </c>
      <c r="CG188">
        <f>IFERROR(SMALL(CG47:CG127,ROW()-ROW($CG$130)+1),"")</f>
        <v>0</v>
      </c>
      <c r="CH188">
        <f>IFERROR(SMALL(CH47:CH127,ROW()-ROW($CH$130)+1),"")</f>
        <v>0</v>
      </c>
      <c r="CI188">
        <f>IFERROR(SMALL(CI47:CI127,ROW()-ROW($CI$130)+1),"")</f>
        <v>0</v>
      </c>
      <c r="CJ188">
        <f>IFERROR(SMALL(CJ47:CJ127,ROW()-ROW($CJ$130)+1),"")</f>
        <v>0</v>
      </c>
      <c r="CK188">
        <f>IFERROR(SMALL(CK47:CK127,ROW()-ROW($CK$130)+1),"")</f>
        <v>0</v>
      </c>
      <c r="CL188">
        <f>IFERROR(SMALL(CL47:CL127,ROW()-ROW($CL$130)+1),"")</f>
        <v>0</v>
      </c>
      <c r="CM188">
        <f>IFERROR(SMALL(CM47:CM127,ROW()-ROW($CM$130)+1),"")</f>
        <v>0</v>
      </c>
      <c r="CN188">
        <f>IFERROR(SMALL(CN47:CN127,ROW()-ROW($CN$130)+1),"")</f>
        <v>0</v>
      </c>
      <c r="CO188">
        <f>IFERROR(SMALL(CO47:CO127,ROW()-ROW($CO$130)+1),"")</f>
        <v>0</v>
      </c>
      <c r="CP188">
        <f>IFERROR(SMALL(CP47:CP127,ROW()-ROW($CP$130)+1),"")</f>
        <v>0</v>
      </c>
      <c r="CQ188">
        <f>IFERROR(SMALL(CQ47:CQ127,ROW()-ROW($CQ$130)+1),"")</f>
        <v>0</v>
      </c>
      <c r="CR188">
        <f>IFERROR(SMALL(CR47:CR127,ROW()-ROW($CR$130)+1),"")</f>
        <v>0</v>
      </c>
      <c r="CS188">
        <f>IFERROR(SMALL(CS47:CS127,ROW()-ROW($CS$130)+1),"")</f>
        <v>0</v>
      </c>
      <c r="CT188">
        <f>IFERROR(SMALL(CT47:CT127,ROW()-ROW($CT$130)+1),"")</f>
        <v>0</v>
      </c>
      <c r="CU188">
        <f>IFERROR(SMALL(CU47:CU127,ROW()-ROW($CU$130)+1),"")</f>
        <v>0</v>
      </c>
      <c r="CV188">
        <f>IFERROR(SMALL(CV47:CV127,ROW()-ROW($CV$130)+1),"")</f>
        <v>0</v>
      </c>
      <c r="CW188">
        <f>IFERROR(SMALL(CW47:CW127,ROW()-ROW($CW$130)+1),"")</f>
        <v>0</v>
      </c>
      <c r="CX188">
        <f>IFERROR(SMALL(CX47:CX127,ROW()-ROW($CX$130)+1),"")</f>
        <v>0</v>
      </c>
      <c r="CY188">
        <f>IFERROR(SMALL(CY47:CY127,ROW()-ROW($CY$130)+1),"")</f>
        <v>0</v>
      </c>
      <c r="CZ188">
        <f>IFERROR(SMALL(CZ47:CZ127,ROW()-ROW($CZ$130)+1),"")</f>
        <v>0</v>
      </c>
      <c r="DA188">
        <f>IFERROR(SMALL(DA47:DA127,ROW()-ROW($DA$130)+1),"")</f>
        <v>0</v>
      </c>
      <c r="DB188">
        <f>IFERROR(SMALL(DB47:DB127,ROW()-ROW($DB$130)+1),"")</f>
        <v>0</v>
      </c>
      <c r="DC188">
        <f>IFERROR(SMALL(DC47:DC127,ROW()-ROW($DC$130)+1),"")</f>
        <v>0</v>
      </c>
      <c r="DD188">
        <f>IFERROR(SMALL(DD47:DD127,ROW()-ROW($DD$130)+1),"")</f>
        <v>0</v>
      </c>
      <c r="DE188">
        <f>IFERROR(SMALL(DE47:DE127,ROW()-ROW($DE$130)+1),"")</f>
        <v>0</v>
      </c>
      <c r="DF188">
        <f>IFERROR(SMALL(DF47:DF127,ROW()-ROW($DF$130)+1),"")</f>
        <v>0</v>
      </c>
      <c r="DG188">
        <f>IFERROR(SMALL(DG47:DG127,ROW()-ROW($DG$130)+1),"")</f>
        <v>0</v>
      </c>
      <c r="DH188">
        <f>IFERROR(SMALL(DH47:DH127,ROW()-ROW($DH$130)+1),"")</f>
        <v>0</v>
      </c>
      <c r="DI188">
        <f>IFERROR(SMALL(DI47:DI127,ROW()-ROW($DI$130)+1),"")</f>
        <v>0</v>
      </c>
      <c r="DJ188">
        <f>IFERROR(SMALL(DJ47:DJ127,ROW()-ROW($DJ$130)+1),"")</f>
        <v>0</v>
      </c>
      <c r="DK188">
        <f>IFERROR(SMALL(DK47:DK127,ROW()-ROW($DK$130)+1),"")</f>
        <v>0</v>
      </c>
      <c r="DL188">
        <f>IFERROR(SMALL(DL47:DL127,ROW()-ROW($DL$130)+1),"")</f>
        <v>0</v>
      </c>
      <c r="DM188">
        <f>IFERROR(SMALL(DM47:DM127,ROW()-ROW($DM$130)+1),"")</f>
        <v>0</v>
      </c>
      <c r="DN188">
        <f>IFERROR(SMALL(DN47:DN127,ROW()-ROW($DN$130)+1),"")</f>
        <v>0</v>
      </c>
      <c r="DO188">
        <f>IFERROR(SMALL(DO47:DO127,ROW()-ROW($DO$130)+1),"")</f>
        <v>0</v>
      </c>
      <c r="DP188">
        <f>IFERROR(SMALL(DP47:DP127,ROW()-ROW($DP$130)+1),"")</f>
        <v>0</v>
      </c>
      <c r="DQ188">
        <f>IFERROR(SMALL(DQ47:DQ127,ROW()-ROW($DQ$130)+1),"")</f>
        <v>0</v>
      </c>
      <c r="DR188">
        <f>IFERROR(SMALL(DR47:DR127,ROW()-ROW($DR$130)+1),"")</f>
        <v>0</v>
      </c>
      <c r="DS188">
        <f>IFERROR(SMALL(DS47:DS127,ROW()-ROW($DS$130)+1),"")</f>
        <v>0</v>
      </c>
      <c r="DT188">
        <f>IFERROR(SMALL(DT47:DT127,ROW()-ROW($DT$130)+1),"")</f>
        <v>0</v>
      </c>
      <c r="DU188">
        <f>IFERROR(SMALL(DU47:DU127,ROW()-ROW($DU$130)+1),"")</f>
        <v>0</v>
      </c>
      <c r="DV188">
        <f>IFERROR(SMALL(DV47:DV127,ROW()-ROW($DV$130)+1),"")</f>
        <v>0</v>
      </c>
      <c r="DW188">
        <f>IFERROR(SMALL(DW47:DW127,ROW()-ROW($DW$130)+1),"")</f>
        <v>0</v>
      </c>
      <c r="DX188">
        <f>IFERROR(SMALL(DX47:DX127,ROW()-ROW($DX$130)+1),"")</f>
        <v>0</v>
      </c>
      <c r="DY188">
        <f>IFERROR(SMALL(DY47:DY127,ROW()-ROW($DY$130)+1),"")</f>
        <v>0</v>
      </c>
      <c r="DZ188">
        <f>IFERROR(SMALL(DZ47:DZ127,ROW()-ROW($DZ$130)+1),"")</f>
        <v>0</v>
      </c>
      <c r="EA188">
        <f>IFERROR(SMALL(EA47:EA127,ROW()-ROW($EA$130)+1),"")</f>
        <v>0</v>
      </c>
      <c r="EB188">
        <f>IFERROR(SMALL(EB47:EB127,ROW()-ROW($EB$130)+1),"")</f>
        <v>0</v>
      </c>
      <c r="EC188">
        <f>IFERROR(SMALL(EC47:EC127,ROW()-ROW($EC$130)+1),"")</f>
        <v>0</v>
      </c>
      <c r="ED188">
        <f>IFERROR(SMALL(ED47:ED127,ROW()-ROW($ED$130)+1),"")</f>
        <v>0</v>
      </c>
    </row>
    <row r="189" spans="5:134">
      <c r="E189">
        <f>IFERROR(SMALL(E47:E127,ROW()-ROW($E$130)+1),"")</f>
        <v>0</v>
      </c>
      <c r="F189">
        <f>IFERROR(SMALL(F47:F127,ROW()-ROW($F$130)+1),"")</f>
        <v>0</v>
      </c>
      <c r="G189">
        <f>IFERROR(SMALL(G47:G127,ROW()-ROW($G$130)+1),"")</f>
        <v>0</v>
      </c>
      <c r="H189">
        <f>IFERROR(SMALL(H47:H127,ROW()-ROW($H$130)+1),"")</f>
        <v>0</v>
      </c>
      <c r="I189">
        <f>IFERROR(SMALL(I47:I127,ROW()-ROW($I$130)+1),"")</f>
        <v>0</v>
      </c>
      <c r="J189">
        <f>IFERROR(SMALL(J47:J127,ROW()-ROW($J$130)+1),"")</f>
        <v>0</v>
      </c>
      <c r="K189">
        <f>IFERROR(SMALL(K47:K127,ROW()-ROW($K$130)+1),"")</f>
        <v>0</v>
      </c>
      <c r="L189">
        <f>IFERROR(SMALL(L47:L127,ROW()-ROW($L$130)+1),"")</f>
        <v>0</v>
      </c>
      <c r="M189">
        <f>IFERROR(SMALL(M47:M127,ROW()-ROW($M$130)+1),"")</f>
        <v>0</v>
      </c>
      <c r="N189">
        <f>IFERROR(SMALL(N47:N127,ROW()-ROW($N$130)+1),"")</f>
        <v>0</v>
      </c>
      <c r="O189">
        <f>IFERROR(SMALL(O47:O127,ROW()-ROW($O$130)+1),"")</f>
        <v>0</v>
      </c>
      <c r="P189">
        <f>IFERROR(SMALL(P47:P127,ROW()-ROW($P$130)+1),"")</f>
        <v>0</v>
      </c>
      <c r="Q189">
        <f>IFERROR(SMALL(Q47:Q127,ROW()-ROW($Q$130)+1),"")</f>
        <v>0</v>
      </c>
      <c r="R189">
        <f>IFERROR(SMALL(R47:R127,ROW()-ROW($R$130)+1),"")</f>
        <v>0</v>
      </c>
      <c r="S189">
        <f>IFERROR(SMALL(S47:S127,ROW()-ROW($S$130)+1),"")</f>
        <v>0</v>
      </c>
      <c r="T189">
        <f>IFERROR(SMALL(T47:T127,ROW()-ROW($T$130)+1),"")</f>
        <v>0</v>
      </c>
      <c r="U189">
        <f>IFERROR(SMALL(U47:U127,ROW()-ROW($U$130)+1),"")</f>
        <v>0</v>
      </c>
      <c r="V189">
        <f>IFERROR(SMALL(V47:V127,ROW()-ROW($V$130)+1),"")</f>
        <v>0</v>
      </c>
      <c r="W189">
        <f>IFERROR(SMALL(W47:W127,ROW()-ROW($W$130)+1),"")</f>
        <v>0</v>
      </c>
      <c r="X189">
        <f>IFERROR(SMALL(X47:X127,ROW()-ROW($X$130)+1),"")</f>
        <v>0</v>
      </c>
      <c r="Y189">
        <f>IFERROR(SMALL(Y47:Y127,ROW()-ROW($Y$130)+1),"")</f>
        <v>0</v>
      </c>
      <c r="Z189">
        <f>IFERROR(SMALL(Z47:Z127,ROW()-ROW($Z$130)+1),"")</f>
        <v>0</v>
      </c>
      <c r="AA189">
        <f>IFERROR(SMALL(AA47:AA127,ROW()-ROW($AA$130)+1),"")</f>
        <v>0</v>
      </c>
      <c r="AB189">
        <f>IFERROR(SMALL(AB47:AB127,ROW()-ROW($AB$130)+1),"")</f>
        <v>0</v>
      </c>
      <c r="AC189">
        <f>IFERROR(SMALL(AC47:AC127,ROW()-ROW($AC$130)+1),"")</f>
        <v>0</v>
      </c>
      <c r="AD189">
        <f>IFERROR(SMALL(AD47:AD127,ROW()-ROW($AD$130)+1),"")</f>
        <v>0</v>
      </c>
      <c r="AE189">
        <f>IFERROR(SMALL(AE47:AE127,ROW()-ROW($AE$130)+1),"")</f>
        <v>0</v>
      </c>
      <c r="AF189">
        <f>IFERROR(SMALL(AF47:AF127,ROW()-ROW($AF$130)+1),"")</f>
        <v>0</v>
      </c>
      <c r="AG189">
        <f>IFERROR(SMALL(AG47:AG127,ROW()-ROW($AG$130)+1),"")</f>
        <v>0</v>
      </c>
      <c r="AH189">
        <f>IFERROR(SMALL(AH47:AH127,ROW()-ROW($AH$130)+1),"")</f>
        <v>0</v>
      </c>
      <c r="AI189">
        <f>IFERROR(SMALL(AI47:AI127,ROW()-ROW($AI$130)+1),"")</f>
        <v>0</v>
      </c>
      <c r="AJ189">
        <f>IFERROR(SMALL(AJ47:AJ127,ROW()-ROW($AJ$130)+1),"")</f>
        <v>0</v>
      </c>
      <c r="AK189">
        <f>IFERROR(SMALL(AK47:AK127,ROW()-ROW($AK$130)+1),"")</f>
        <v>0</v>
      </c>
      <c r="AL189">
        <f>IFERROR(SMALL(AL47:AL127,ROW()-ROW($AL$130)+1),"")</f>
        <v>0</v>
      </c>
      <c r="AM189">
        <f>IFERROR(SMALL(AM47:AM127,ROW()-ROW($AM$130)+1),"")</f>
        <v>0</v>
      </c>
      <c r="AN189">
        <f>IFERROR(SMALL(AN47:AN127,ROW()-ROW($AN$130)+1),"")</f>
        <v>0</v>
      </c>
      <c r="AO189">
        <f>IFERROR(SMALL(AO47:AO127,ROW()-ROW($AO$130)+1),"")</f>
        <v>0</v>
      </c>
      <c r="AP189">
        <f>IFERROR(SMALL(AP47:AP127,ROW()-ROW($AP$130)+1),"")</f>
        <v>0</v>
      </c>
      <c r="AQ189">
        <f>IFERROR(SMALL(AQ47:AQ127,ROW()-ROW($AQ$130)+1),"")</f>
        <v>0</v>
      </c>
      <c r="AR189">
        <f>IFERROR(SMALL(AR47:AR127,ROW()-ROW($AR$130)+1),"")</f>
        <v>0</v>
      </c>
      <c r="AS189">
        <f>IFERROR(SMALL(AS47:AS127,ROW()-ROW($AS$130)+1),"")</f>
        <v>0</v>
      </c>
      <c r="AT189">
        <f>IFERROR(SMALL(AT47:AT127,ROW()-ROW($AT$130)+1),"")</f>
        <v>0</v>
      </c>
      <c r="AU189">
        <f>IFERROR(SMALL(AU47:AU127,ROW()-ROW($AU$130)+1),"")</f>
        <v>0</v>
      </c>
      <c r="AV189">
        <f>IFERROR(SMALL(AV47:AV127,ROW()-ROW($AV$130)+1),"")</f>
        <v>0</v>
      </c>
      <c r="AW189">
        <f>IFERROR(SMALL(AW47:AW127,ROW()-ROW($AW$130)+1),"")</f>
        <v>0</v>
      </c>
      <c r="AX189">
        <f>IFERROR(SMALL(AX47:AX127,ROW()-ROW($AX$130)+1),"")</f>
        <v>0</v>
      </c>
      <c r="AY189">
        <f>IFERROR(SMALL(AY47:AY127,ROW()-ROW($AY$130)+1),"")</f>
        <v>0</v>
      </c>
      <c r="AZ189">
        <f>IFERROR(SMALL(AZ47:AZ127,ROW()-ROW($AZ$130)+1),"")</f>
        <v>0</v>
      </c>
      <c r="BA189">
        <f>IFERROR(SMALL(BA47:BA127,ROW()-ROW($BA$130)+1),"")</f>
        <v>0</v>
      </c>
      <c r="BB189">
        <f>IFERROR(SMALL(BB47:BB127,ROW()-ROW($BB$130)+1),"")</f>
        <v>0</v>
      </c>
      <c r="BC189">
        <f>IFERROR(SMALL(BC47:BC127,ROW()-ROW($BC$130)+1),"")</f>
        <v>0</v>
      </c>
      <c r="BD189">
        <f>IFERROR(SMALL(BD47:BD127,ROW()-ROW($BD$130)+1),"")</f>
        <v>0</v>
      </c>
      <c r="BE189">
        <f>IFERROR(SMALL(BE47:BE127,ROW()-ROW($BE$130)+1),"")</f>
        <v>0</v>
      </c>
      <c r="BF189">
        <f>IFERROR(SMALL(BF47:BF127,ROW()-ROW($BF$130)+1),"")</f>
        <v>0</v>
      </c>
      <c r="BG189">
        <f>IFERROR(SMALL(BG47:BG127,ROW()-ROW($BG$130)+1),"")</f>
        <v>0</v>
      </c>
      <c r="BH189">
        <f>IFERROR(SMALL(BH47:BH127,ROW()-ROW($BH$130)+1),"")</f>
        <v>0</v>
      </c>
      <c r="BI189">
        <f>IFERROR(SMALL(BI47:BI127,ROW()-ROW($BI$130)+1),"")</f>
        <v>0</v>
      </c>
      <c r="BJ189">
        <f>IFERROR(SMALL(BJ47:BJ127,ROW()-ROW($BJ$130)+1),"")</f>
        <v>0</v>
      </c>
      <c r="BK189">
        <f>IFERROR(SMALL(BK47:BK127,ROW()-ROW($BK$130)+1),"")</f>
        <v>0</v>
      </c>
      <c r="BL189">
        <f>IFERROR(SMALL(BL47:BL127,ROW()-ROW($BL$130)+1),"")</f>
        <v>0</v>
      </c>
      <c r="BM189">
        <f>IFERROR(SMALL(BM47:BM127,ROW()-ROW($BM$130)+1),"")</f>
        <v>0</v>
      </c>
      <c r="BN189">
        <f>IFERROR(SMALL(BN47:BN127,ROW()-ROW($BN$130)+1),"")</f>
        <v>0</v>
      </c>
      <c r="BO189">
        <f>IFERROR(SMALL(BO47:BO127,ROW()-ROW($BO$130)+1),"")</f>
        <v>0</v>
      </c>
      <c r="BP189">
        <f>IFERROR(SMALL(BP47:BP127,ROW()-ROW($BP$130)+1),"")</f>
        <v>0</v>
      </c>
      <c r="BS189">
        <f>IFERROR(SMALL(BS47:BS127,ROW()-ROW($BS$130)+1),"")</f>
        <v>0</v>
      </c>
      <c r="BT189">
        <f>IFERROR(SMALL(BT47:BT127,ROW()-ROW($BT$130)+1),"")</f>
        <v>0</v>
      </c>
      <c r="BU189">
        <f>IFERROR(SMALL(BU47:BU127,ROW()-ROW($BU$130)+1),"")</f>
        <v>0</v>
      </c>
      <c r="BV189">
        <f>IFERROR(SMALL(BV47:BV127,ROW()-ROW($BV$130)+1),"")</f>
        <v>0</v>
      </c>
      <c r="BW189">
        <f>IFERROR(SMALL(BW47:BW127,ROW()-ROW($BW$130)+1),"")</f>
        <v>0</v>
      </c>
      <c r="BX189">
        <f>IFERROR(SMALL(BX47:BX127,ROW()-ROW($BX$130)+1),"")</f>
        <v>0</v>
      </c>
      <c r="BY189">
        <f>IFERROR(SMALL(BY47:BY127,ROW()-ROW($BY$130)+1),"")</f>
        <v>0</v>
      </c>
      <c r="BZ189">
        <f>IFERROR(SMALL(BZ47:BZ127,ROW()-ROW($BZ$130)+1),"")</f>
        <v>0</v>
      </c>
      <c r="CA189">
        <f>IFERROR(SMALL(CA47:CA127,ROW()-ROW($CA$130)+1),"")</f>
        <v>0</v>
      </c>
      <c r="CB189">
        <f>IFERROR(SMALL(CB47:CB127,ROW()-ROW($CB$130)+1),"")</f>
        <v>0</v>
      </c>
      <c r="CC189">
        <f>IFERROR(SMALL(CC47:CC127,ROW()-ROW($CC$130)+1),"")</f>
        <v>0</v>
      </c>
      <c r="CD189">
        <f>IFERROR(SMALL(CD47:CD127,ROW()-ROW($CD$130)+1),"")</f>
        <v>0</v>
      </c>
      <c r="CE189">
        <f>IFERROR(SMALL(CE47:CE127,ROW()-ROW($CE$130)+1),"")</f>
        <v>0</v>
      </c>
      <c r="CF189">
        <f>IFERROR(SMALL(CF47:CF127,ROW()-ROW($CF$130)+1),"")</f>
        <v>0</v>
      </c>
      <c r="CG189">
        <f>IFERROR(SMALL(CG47:CG127,ROW()-ROW($CG$130)+1),"")</f>
        <v>0</v>
      </c>
      <c r="CH189">
        <f>IFERROR(SMALL(CH47:CH127,ROW()-ROW($CH$130)+1),"")</f>
        <v>0</v>
      </c>
      <c r="CI189">
        <f>IFERROR(SMALL(CI47:CI127,ROW()-ROW($CI$130)+1),"")</f>
        <v>0</v>
      </c>
      <c r="CJ189">
        <f>IFERROR(SMALL(CJ47:CJ127,ROW()-ROW($CJ$130)+1),"")</f>
        <v>0</v>
      </c>
      <c r="CK189">
        <f>IFERROR(SMALL(CK47:CK127,ROW()-ROW($CK$130)+1),"")</f>
        <v>0</v>
      </c>
      <c r="CL189">
        <f>IFERROR(SMALL(CL47:CL127,ROW()-ROW($CL$130)+1),"")</f>
        <v>0</v>
      </c>
      <c r="CM189">
        <f>IFERROR(SMALL(CM47:CM127,ROW()-ROW($CM$130)+1),"")</f>
        <v>0</v>
      </c>
      <c r="CN189">
        <f>IFERROR(SMALL(CN47:CN127,ROW()-ROW($CN$130)+1),"")</f>
        <v>0</v>
      </c>
      <c r="CO189">
        <f>IFERROR(SMALL(CO47:CO127,ROW()-ROW($CO$130)+1),"")</f>
        <v>0</v>
      </c>
      <c r="CP189">
        <f>IFERROR(SMALL(CP47:CP127,ROW()-ROW($CP$130)+1),"")</f>
        <v>0</v>
      </c>
      <c r="CQ189">
        <f>IFERROR(SMALL(CQ47:CQ127,ROW()-ROW($CQ$130)+1),"")</f>
        <v>0</v>
      </c>
      <c r="CR189">
        <f>IFERROR(SMALL(CR47:CR127,ROW()-ROW($CR$130)+1),"")</f>
        <v>0</v>
      </c>
      <c r="CS189">
        <f>IFERROR(SMALL(CS47:CS127,ROW()-ROW($CS$130)+1),"")</f>
        <v>0</v>
      </c>
      <c r="CT189">
        <f>IFERROR(SMALL(CT47:CT127,ROW()-ROW($CT$130)+1),"")</f>
        <v>0</v>
      </c>
      <c r="CU189">
        <f>IFERROR(SMALL(CU47:CU127,ROW()-ROW($CU$130)+1),"")</f>
        <v>0</v>
      </c>
      <c r="CV189">
        <f>IFERROR(SMALL(CV47:CV127,ROW()-ROW($CV$130)+1),"")</f>
        <v>0</v>
      </c>
      <c r="CW189">
        <f>IFERROR(SMALL(CW47:CW127,ROW()-ROW($CW$130)+1),"")</f>
        <v>0</v>
      </c>
      <c r="CX189">
        <f>IFERROR(SMALL(CX47:CX127,ROW()-ROW($CX$130)+1),"")</f>
        <v>0</v>
      </c>
      <c r="CY189">
        <f>IFERROR(SMALL(CY47:CY127,ROW()-ROW($CY$130)+1),"")</f>
        <v>0</v>
      </c>
      <c r="CZ189">
        <f>IFERROR(SMALL(CZ47:CZ127,ROW()-ROW($CZ$130)+1),"")</f>
        <v>0</v>
      </c>
      <c r="DA189">
        <f>IFERROR(SMALL(DA47:DA127,ROW()-ROW($DA$130)+1),"")</f>
        <v>0</v>
      </c>
      <c r="DB189">
        <f>IFERROR(SMALL(DB47:DB127,ROW()-ROW($DB$130)+1),"")</f>
        <v>0</v>
      </c>
      <c r="DC189">
        <f>IFERROR(SMALL(DC47:DC127,ROW()-ROW($DC$130)+1),"")</f>
        <v>0</v>
      </c>
      <c r="DD189">
        <f>IFERROR(SMALL(DD47:DD127,ROW()-ROW($DD$130)+1),"")</f>
        <v>0</v>
      </c>
      <c r="DE189">
        <f>IFERROR(SMALL(DE47:DE127,ROW()-ROW($DE$130)+1),"")</f>
        <v>0</v>
      </c>
      <c r="DF189">
        <f>IFERROR(SMALL(DF47:DF127,ROW()-ROW($DF$130)+1),"")</f>
        <v>0</v>
      </c>
      <c r="DG189">
        <f>IFERROR(SMALL(DG47:DG127,ROW()-ROW($DG$130)+1),"")</f>
        <v>0</v>
      </c>
      <c r="DH189">
        <f>IFERROR(SMALL(DH47:DH127,ROW()-ROW($DH$130)+1),"")</f>
        <v>0</v>
      </c>
      <c r="DI189">
        <f>IFERROR(SMALL(DI47:DI127,ROW()-ROW($DI$130)+1),"")</f>
        <v>0</v>
      </c>
      <c r="DJ189">
        <f>IFERROR(SMALL(DJ47:DJ127,ROW()-ROW($DJ$130)+1),"")</f>
        <v>0</v>
      </c>
      <c r="DK189">
        <f>IFERROR(SMALL(DK47:DK127,ROW()-ROW($DK$130)+1),"")</f>
        <v>0</v>
      </c>
      <c r="DL189">
        <f>IFERROR(SMALL(DL47:DL127,ROW()-ROW($DL$130)+1),"")</f>
        <v>0</v>
      </c>
      <c r="DM189">
        <f>IFERROR(SMALL(DM47:DM127,ROW()-ROW($DM$130)+1),"")</f>
        <v>0</v>
      </c>
      <c r="DN189">
        <f>IFERROR(SMALL(DN47:DN127,ROW()-ROW($DN$130)+1),"")</f>
        <v>0</v>
      </c>
      <c r="DO189">
        <f>IFERROR(SMALL(DO47:DO127,ROW()-ROW($DO$130)+1),"")</f>
        <v>0</v>
      </c>
      <c r="DP189">
        <f>IFERROR(SMALL(DP47:DP127,ROW()-ROW($DP$130)+1),"")</f>
        <v>0</v>
      </c>
      <c r="DQ189">
        <f>IFERROR(SMALL(DQ47:DQ127,ROW()-ROW($DQ$130)+1),"")</f>
        <v>0</v>
      </c>
      <c r="DR189">
        <f>IFERROR(SMALL(DR47:DR127,ROW()-ROW($DR$130)+1),"")</f>
        <v>0</v>
      </c>
      <c r="DS189">
        <f>IFERROR(SMALL(DS47:DS127,ROW()-ROW($DS$130)+1),"")</f>
        <v>0</v>
      </c>
      <c r="DT189">
        <f>IFERROR(SMALL(DT47:DT127,ROW()-ROW($DT$130)+1),"")</f>
        <v>0</v>
      </c>
      <c r="DU189">
        <f>IFERROR(SMALL(DU47:DU127,ROW()-ROW($DU$130)+1),"")</f>
        <v>0</v>
      </c>
      <c r="DV189">
        <f>IFERROR(SMALL(DV47:DV127,ROW()-ROW($DV$130)+1),"")</f>
        <v>0</v>
      </c>
      <c r="DW189">
        <f>IFERROR(SMALL(DW47:DW127,ROW()-ROW($DW$130)+1),"")</f>
        <v>0</v>
      </c>
      <c r="DX189">
        <f>IFERROR(SMALL(DX47:DX127,ROW()-ROW($DX$130)+1),"")</f>
        <v>0</v>
      </c>
      <c r="DY189">
        <f>IFERROR(SMALL(DY47:DY127,ROW()-ROW($DY$130)+1),"")</f>
        <v>0</v>
      </c>
      <c r="DZ189">
        <f>IFERROR(SMALL(DZ47:DZ127,ROW()-ROW($DZ$130)+1),"")</f>
        <v>0</v>
      </c>
      <c r="EA189">
        <f>IFERROR(SMALL(EA47:EA127,ROW()-ROW($EA$130)+1),"")</f>
        <v>0</v>
      </c>
      <c r="EB189">
        <f>IFERROR(SMALL(EB47:EB127,ROW()-ROW($EB$130)+1),"")</f>
        <v>0</v>
      </c>
      <c r="EC189">
        <f>IFERROR(SMALL(EC47:EC127,ROW()-ROW($EC$130)+1),"")</f>
        <v>0</v>
      </c>
      <c r="ED189">
        <f>IFERROR(SMALL(ED47:ED127,ROW()-ROW($ED$130)+1),"")</f>
        <v>0</v>
      </c>
    </row>
    <row r="190" spans="5:134">
      <c r="E190">
        <f>IFERROR(SMALL(E47:E127,ROW()-ROW($E$130)+1),"")</f>
        <v>0</v>
      </c>
      <c r="F190">
        <f>IFERROR(SMALL(F47:F127,ROW()-ROW($F$130)+1),"")</f>
        <v>0</v>
      </c>
      <c r="G190">
        <f>IFERROR(SMALL(G47:G127,ROW()-ROW($G$130)+1),"")</f>
        <v>0</v>
      </c>
      <c r="H190">
        <f>IFERROR(SMALL(H47:H127,ROW()-ROW($H$130)+1),"")</f>
        <v>0</v>
      </c>
      <c r="I190">
        <f>IFERROR(SMALL(I47:I127,ROW()-ROW($I$130)+1),"")</f>
        <v>0</v>
      </c>
      <c r="J190">
        <f>IFERROR(SMALL(J47:J127,ROW()-ROW($J$130)+1),"")</f>
        <v>0</v>
      </c>
      <c r="K190">
        <f>IFERROR(SMALL(K47:K127,ROW()-ROW($K$130)+1),"")</f>
        <v>0</v>
      </c>
      <c r="L190">
        <f>IFERROR(SMALL(L47:L127,ROW()-ROW($L$130)+1),"")</f>
        <v>0</v>
      </c>
      <c r="M190">
        <f>IFERROR(SMALL(M47:M127,ROW()-ROW($M$130)+1),"")</f>
        <v>0</v>
      </c>
      <c r="N190">
        <f>IFERROR(SMALL(N47:N127,ROW()-ROW($N$130)+1),"")</f>
        <v>0</v>
      </c>
      <c r="O190">
        <f>IFERROR(SMALL(O47:O127,ROW()-ROW($O$130)+1),"")</f>
        <v>0</v>
      </c>
      <c r="P190">
        <f>IFERROR(SMALL(P47:P127,ROW()-ROW($P$130)+1),"")</f>
        <v>0</v>
      </c>
      <c r="Q190">
        <f>IFERROR(SMALL(Q47:Q127,ROW()-ROW($Q$130)+1),"")</f>
        <v>0</v>
      </c>
      <c r="R190">
        <f>IFERROR(SMALL(R47:R127,ROW()-ROW($R$130)+1),"")</f>
        <v>0</v>
      </c>
      <c r="S190">
        <f>IFERROR(SMALL(S47:S127,ROW()-ROW($S$130)+1),"")</f>
        <v>0</v>
      </c>
      <c r="T190">
        <f>IFERROR(SMALL(T47:T127,ROW()-ROW($T$130)+1),"")</f>
        <v>0</v>
      </c>
      <c r="U190">
        <f>IFERROR(SMALL(U47:U127,ROW()-ROW($U$130)+1),"")</f>
        <v>0</v>
      </c>
      <c r="V190">
        <f>IFERROR(SMALL(V47:V127,ROW()-ROW($V$130)+1),"")</f>
        <v>0</v>
      </c>
      <c r="W190">
        <f>IFERROR(SMALL(W47:W127,ROW()-ROW($W$130)+1),"")</f>
        <v>0</v>
      </c>
      <c r="X190">
        <f>IFERROR(SMALL(X47:X127,ROW()-ROW($X$130)+1),"")</f>
        <v>0</v>
      </c>
      <c r="Y190">
        <f>IFERROR(SMALL(Y47:Y127,ROW()-ROW($Y$130)+1),"")</f>
        <v>0</v>
      </c>
      <c r="Z190">
        <f>IFERROR(SMALL(Z47:Z127,ROW()-ROW($Z$130)+1),"")</f>
        <v>0</v>
      </c>
      <c r="AA190">
        <f>IFERROR(SMALL(AA47:AA127,ROW()-ROW($AA$130)+1),"")</f>
        <v>0</v>
      </c>
      <c r="AB190">
        <f>IFERROR(SMALL(AB47:AB127,ROW()-ROW($AB$130)+1),"")</f>
        <v>0</v>
      </c>
      <c r="AC190">
        <f>IFERROR(SMALL(AC47:AC127,ROW()-ROW($AC$130)+1),"")</f>
        <v>0</v>
      </c>
      <c r="AD190">
        <f>IFERROR(SMALL(AD47:AD127,ROW()-ROW($AD$130)+1),"")</f>
        <v>0</v>
      </c>
      <c r="AE190">
        <f>IFERROR(SMALL(AE47:AE127,ROW()-ROW($AE$130)+1),"")</f>
        <v>0</v>
      </c>
      <c r="AF190">
        <f>IFERROR(SMALL(AF47:AF127,ROW()-ROW($AF$130)+1),"")</f>
        <v>0</v>
      </c>
      <c r="AG190">
        <f>IFERROR(SMALL(AG47:AG127,ROW()-ROW($AG$130)+1),"")</f>
        <v>0</v>
      </c>
      <c r="AH190">
        <f>IFERROR(SMALL(AH47:AH127,ROW()-ROW($AH$130)+1),"")</f>
        <v>0</v>
      </c>
      <c r="AI190">
        <f>IFERROR(SMALL(AI47:AI127,ROW()-ROW($AI$130)+1),"")</f>
        <v>0</v>
      </c>
      <c r="AJ190">
        <f>IFERROR(SMALL(AJ47:AJ127,ROW()-ROW($AJ$130)+1),"")</f>
        <v>0</v>
      </c>
      <c r="AK190">
        <f>IFERROR(SMALL(AK47:AK127,ROW()-ROW($AK$130)+1),"")</f>
        <v>0</v>
      </c>
      <c r="AL190">
        <f>IFERROR(SMALL(AL47:AL127,ROW()-ROW($AL$130)+1),"")</f>
        <v>0</v>
      </c>
      <c r="AM190">
        <f>IFERROR(SMALL(AM47:AM127,ROW()-ROW($AM$130)+1),"")</f>
        <v>0</v>
      </c>
      <c r="AN190">
        <f>IFERROR(SMALL(AN47:AN127,ROW()-ROW($AN$130)+1),"")</f>
        <v>0</v>
      </c>
      <c r="AO190">
        <f>IFERROR(SMALL(AO47:AO127,ROW()-ROW($AO$130)+1),"")</f>
        <v>0</v>
      </c>
      <c r="AP190">
        <f>IFERROR(SMALL(AP47:AP127,ROW()-ROW($AP$130)+1),"")</f>
        <v>0</v>
      </c>
      <c r="AQ190">
        <f>IFERROR(SMALL(AQ47:AQ127,ROW()-ROW($AQ$130)+1),"")</f>
        <v>0</v>
      </c>
      <c r="AR190">
        <f>IFERROR(SMALL(AR47:AR127,ROW()-ROW($AR$130)+1),"")</f>
        <v>0</v>
      </c>
      <c r="AS190">
        <f>IFERROR(SMALL(AS47:AS127,ROW()-ROW($AS$130)+1),"")</f>
        <v>0</v>
      </c>
      <c r="AT190">
        <f>IFERROR(SMALL(AT47:AT127,ROW()-ROW($AT$130)+1),"")</f>
        <v>0</v>
      </c>
      <c r="AU190">
        <f>IFERROR(SMALL(AU47:AU127,ROW()-ROW($AU$130)+1),"")</f>
        <v>0</v>
      </c>
      <c r="AV190">
        <f>IFERROR(SMALL(AV47:AV127,ROW()-ROW($AV$130)+1),"")</f>
        <v>0</v>
      </c>
      <c r="AW190">
        <f>IFERROR(SMALL(AW47:AW127,ROW()-ROW($AW$130)+1),"")</f>
        <v>0</v>
      </c>
      <c r="AX190">
        <f>IFERROR(SMALL(AX47:AX127,ROW()-ROW($AX$130)+1),"")</f>
        <v>0</v>
      </c>
      <c r="AY190">
        <f>IFERROR(SMALL(AY47:AY127,ROW()-ROW($AY$130)+1),"")</f>
        <v>0</v>
      </c>
      <c r="AZ190">
        <f>IFERROR(SMALL(AZ47:AZ127,ROW()-ROW($AZ$130)+1),"")</f>
        <v>0</v>
      </c>
      <c r="BA190">
        <f>IFERROR(SMALL(BA47:BA127,ROW()-ROW($BA$130)+1),"")</f>
        <v>0</v>
      </c>
      <c r="BB190">
        <f>IFERROR(SMALL(BB47:BB127,ROW()-ROW($BB$130)+1),"")</f>
        <v>0</v>
      </c>
      <c r="BC190">
        <f>IFERROR(SMALL(BC47:BC127,ROW()-ROW($BC$130)+1),"")</f>
        <v>0</v>
      </c>
      <c r="BD190">
        <f>IFERROR(SMALL(BD47:BD127,ROW()-ROW($BD$130)+1),"")</f>
        <v>0</v>
      </c>
      <c r="BE190">
        <f>IFERROR(SMALL(BE47:BE127,ROW()-ROW($BE$130)+1),"")</f>
        <v>0</v>
      </c>
      <c r="BF190">
        <f>IFERROR(SMALL(BF47:BF127,ROW()-ROW($BF$130)+1),"")</f>
        <v>0</v>
      </c>
      <c r="BG190">
        <f>IFERROR(SMALL(BG47:BG127,ROW()-ROW($BG$130)+1),"")</f>
        <v>0</v>
      </c>
      <c r="BH190">
        <f>IFERROR(SMALL(BH47:BH127,ROW()-ROW($BH$130)+1),"")</f>
        <v>0</v>
      </c>
      <c r="BI190">
        <f>IFERROR(SMALL(BI47:BI127,ROW()-ROW($BI$130)+1),"")</f>
        <v>0</v>
      </c>
      <c r="BJ190">
        <f>IFERROR(SMALL(BJ47:BJ127,ROW()-ROW($BJ$130)+1),"")</f>
        <v>0</v>
      </c>
      <c r="BK190">
        <f>IFERROR(SMALL(BK47:BK127,ROW()-ROW($BK$130)+1),"")</f>
        <v>0</v>
      </c>
      <c r="BL190">
        <f>IFERROR(SMALL(BL47:BL127,ROW()-ROW($BL$130)+1),"")</f>
        <v>0</v>
      </c>
      <c r="BM190">
        <f>IFERROR(SMALL(BM47:BM127,ROW()-ROW($BM$130)+1),"")</f>
        <v>0</v>
      </c>
      <c r="BN190">
        <f>IFERROR(SMALL(BN47:BN127,ROW()-ROW($BN$130)+1),"")</f>
        <v>0</v>
      </c>
      <c r="BO190">
        <f>IFERROR(SMALL(BO47:BO127,ROW()-ROW($BO$130)+1),"")</f>
        <v>0</v>
      </c>
      <c r="BP190">
        <f>IFERROR(SMALL(BP47:BP127,ROW()-ROW($BP$130)+1),"")</f>
        <v>0</v>
      </c>
      <c r="BS190">
        <f>IFERROR(SMALL(BS47:BS127,ROW()-ROW($BS$130)+1),"")</f>
        <v>0</v>
      </c>
      <c r="BT190">
        <f>IFERROR(SMALL(BT47:BT127,ROW()-ROW($BT$130)+1),"")</f>
        <v>0</v>
      </c>
      <c r="BU190">
        <f>IFERROR(SMALL(BU47:BU127,ROW()-ROW($BU$130)+1),"")</f>
        <v>0</v>
      </c>
      <c r="BV190">
        <f>IFERROR(SMALL(BV47:BV127,ROW()-ROW($BV$130)+1),"")</f>
        <v>0</v>
      </c>
      <c r="BW190">
        <f>IFERROR(SMALL(BW47:BW127,ROW()-ROW($BW$130)+1),"")</f>
        <v>0</v>
      </c>
      <c r="BX190">
        <f>IFERROR(SMALL(BX47:BX127,ROW()-ROW($BX$130)+1),"")</f>
        <v>0</v>
      </c>
      <c r="BY190">
        <f>IFERROR(SMALL(BY47:BY127,ROW()-ROW($BY$130)+1),"")</f>
        <v>0</v>
      </c>
      <c r="BZ190">
        <f>IFERROR(SMALL(BZ47:BZ127,ROW()-ROW($BZ$130)+1),"")</f>
        <v>0</v>
      </c>
      <c r="CA190">
        <f>IFERROR(SMALL(CA47:CA127,ROW()-ROW($CA$130)+1),"")</f>
        <v>0</v>
      </c>
      <c r="CB190">
        <f>IFERROR(SMALL(CB47:CB127,ROW()-ROW($CB$130)+1),"")</f>
        <v>0</v>
      </c>
      <c r="CC190">
        <f>IFERROR(SMALL(CC47:CC127,ROW()-ROW($CC$130)+1),"")</f>
        <v>0</v>
      </c>
      <c r="CD190">
        <f>IFERROR(SMALL(CD47:CD127,ROW()-ROW($CD$130)+1),"")</f>
        <v>0</v>
      </c>
      <c r="CE190">
        <f>IFERROR(SMALL(CE47:CE127,ROW()-ROW($CE$130)+1),"")</f>
        <v>0</v>
      </c>
      <c r="CF190">
        <f>IFERROR(SMALL(CF47:CF127,ROW()-ROW($CF$130)+1),"")</f>
        <v>0</v>
      </c>
      <c r="CG190">
        <f>IFERROR(SMALL(CG47:CG127,ROW()-ROW($CG$130)+1),"")</f>
        <v>0</v>
      </c>
      <c r="CH190">
        <f>IFERROR(SMALL(CH47:CH127,ROW()-ROW($CH$130)+1),"")</f>
        <v>0</v>
      </c>
      <c r="CI190">
        <f>IFERROR(SMALL(CI47:CI127,ROW()-ROW($CI$130)+1),"")</f>
        <v>0</v>
      </c>
      <c r="CJ190">
        <f>IFERROR(SMALL(CJ47:CJ127,ROW()-ROW($CJ$130)+1),"")</f>
        <v>0</v>
      </c>
      <c r="CK190">
        <f>IFERROR(SMALL(CK47:CK127,ROW()-ROW($CK$130)+1),"")</f>
        <v>0</v>
      </c>
      <c r="CL190">
        <f>IFERROR(SMALL(CL47:CL127,ROW()-ROW($CL$130)+1),"")</f>
        <v>0</v>
      </c>
      <c r="CM190">
        <f>IFERROR(SMALL(CM47:CM127,ROW()-ROW($CM$130)+1),"")</f>
        <v>0</v>
      </c>
      <c r="CN190">
        <f>IFERROR(SMALL(CN47:CN127,ROW()-ROW($CN$130)+1),"")</f>
        <v>0</v>
      </c>
      <c r="CO190">
        <f>IFERROR(SMALL(CO47:CO127,ROW()-ROW($CO$130)+1),"")</f>
        <v>0</v>
      </c>
      <c r="CP190">
        <f>IFERROR(SMALL(CP47:CP127,ROW()-ROW($CP$130)+1),"")</f>
        <v>0</v>
      </c>
      <c r="CQ190">
        <f>IFERROR(SMALL(CQ47:CQ127,ROW()-ROW($CQ$130)+1),"")</f>
        <v>0</v>
      </c>
      <c r="CR190">
        <f>IFERROR(SMALL(CR47:CR127,ROW()-ROW($CR$130)+1),"")</f>
        <v>0</v>
      </c>
      <c r="CS190">
        <f>IFERROR(SMALL(CS47:CS127,ROW()-ROW($CS$130)+1),"")</f>
        <v>0</v>
      </c>
      <c r="CT190">
        <f>IFERROR(SMALL(CT47:CT127,ROW()-ROW($CT$130)+1),"")</f>
        <v>0</v>
      </c>
      <c r="CU190">
        <f>IFERROR(SMALL(CU47:CU127,ROW()-ROW($CU$130)+1),"")</f>
        <v>0</v>
      </c>
      <c r="CV190">
        <f>IFERROR(SMALL(CV47:CV127,ROW()-ROW($CV$130)+1),"")</f>
        <v>0</v>
      </c>
      <c r="CW190">
        <f>IFERROR(SMALL(CW47:CW127,ROW()-ROW($CW$130)+1),"")</f>
        <v>0</v>
      </c>
      <c r="CX190">
        <f>IFERROR(SMALL(CX47:CX127,ROW()-ROW($CX$130)+1),"")</f>
        <v>0</v>
      </c>
      <c r="CY190">
        <f>IFERROR(SMALL(CY47:CY127,ROW()-ROW($CY$130)+1),"")</f>
        <v>0</v>
      </c>
      <c r="CZ190">
        <f>IFERROR(SMALL(CZ47:CZ127,ROW()-ROW($CZ$130)+1),"")</f>
        <v>0</v>
      </c>
      <c r="DA190">
        <f>IFERROR(SMALL(DA47:DA127,ROW()-ROW($DA$130)+1),"")</f>
        <v>0</v>
      </c>
      <c r="DB190">
        <f>IFERROR(SMALL(DB47:DB127,ROW()-ROW($DB$130)+1),"")</f>
        <v>0</v>
      </c>
      <c r="DC190">
        <f>IFERROR(SMALL(DC47:DC127,ROW()-ROW($DC$130)+1),"")</f>
        <v>0</v>
      </c>
      <c r="DD190">
        <f>IFERROR(SMALL(DD47:DD127,ROW()-ROW($DD$130)+1),"")</f>
        <v>0</v>
      </c>
      <c r="DE190">
        <f>IFERROR(SMALL(DE47:DE127,ROW()-ROW($DE$130)+1),"")</f>
        <v>0</v>
      </c>
      <c r="DF190">
        <f>IFERROR(SMALL(DF47:DF127,ROW()-ROW($DF$130)+1),"")</f>
        <v>0</v>
      </c>
      <c r="DG190">
        <f>IFERROR(SMALL(DG47:DG127,ROW()-ROW($DG$130)+1),"")</f>
        <v>0</v>
      </c>
      <c r="DH190">
        <f>IFERROR(SMALL(DH47:DH127,ROW()-ROW($DH$130)+1),"")</f>
        <v>0</v>
      </c>
      <c r="DI190">
        <f>IFERROR(SMALL(DI47:DI127,ROW()-ROW($DI$130)+1),"")</f>
        <v>0</v>
      </c>
      <c r="DJ190">
        <f>IFERROR(SMALL(DJ47:DJ127,ROW()-ROW($DJ$130)+1),"")</f>
        <v>0</v>
      </c>
      <c r="DK190">
        <f>IFERROR(SMALL(DK47:DK127,ROW()-ROW($DK$130)+1),"")</f>
        <v>0</v>
      </c>
      <c r="DL190">
        <f>IFERROR(SMALL(DL47:DL127,ROW()-ROW($DL$130)+1),"")</f>
        <v>0</v>
      </c>
      <c r="DM190">
        <f>IFERROR(SMALL(DM47:DM127,ROW()-ROW($DM$130)+1),"")</f>
        <v>0</v>
      </c>
      <c r="DN190">
        <f>IFERROR(SMALL(DN47:DN127,ROW()-ROW($DN$130)+1),"")</f>
        <v>0</v>
      </c>
      <c r="DO190">
        <f>IFERROR(SMALL(DO47:DO127,ROW()-ROW($DO$130)+1),"")</f>
        <v>0</v>
      </c>
      <c r="DP190">
        <f>IFERROR(SMALL(DP47:DP127,ROW()-ROW($DP$130)+1),"")</f>
        <v>0</v>
      </c>
      <c r="DQ190">
        <f>IFERROR(SMALL(DQ47:DQ127,ROW()-ROW($DQ$130)+1),"")</f>
        <v>0</v>
      </c>
      <c r="DR190">
        <f>IFERROR(SMALL(DR47:DR127,ROW()-ROW($DR$130)+1),"")</f>
        <v>0</v>
      </c>
      <c r="DS190">
        <f>IFERROR(SMALL(DS47:DS127,ROW()-ROW($DS$130)+1),"")</f>
        <v>0</v>
      </c>
      <c r="DT190">
        <f>IFERROR(SMALL(DT47:DT127,ROW()-ROW($DT$130)+1),"")</f>
        <v>0</v>
      </c>
      <c r="DU190">
        <f>IFERROR(SMALL(DU47:DU127,ROW()-ROW($DU$130)+1),"")</f>
        <v>0</v>
      </c>
      <c r="DV190">
        <f>IFERROR(SMALL(DV47:DV127,ROW()-ROW($DV$130)+1),"")</f>
        <v>0</v>
      </c>
      <c r="DW190">
        <f>IFERROR(SMALL(DW47:DW127,ROW()-ROW($DW$130)+1),"")</f>
        <v>0</v>
      </c>
      <c r="DX190">
        <f>IFERROR(SMALL(DX47:DX127,ROW()-ROW($DX$130)+1),"")</f>
        <v>0</v>
      </c>
      <c r="DY190">
        <f>IFERROR(SMALL(DY47:DY127,ROW()-ROW($DY$130)+1),"")</f>
        <v>0</v>
      </c>
      <c r="DZ190">
        <f>IFERROR(SMALL(DZ47:DZ127,ROW()-ROW($DZ$130)+1),"")</f>
        <v>0</v>
      </c>
      <c r="EA190">
        <f>IFERROR(SMALL(EA47:EA127,ROW()-ROW($EA$130)+1),"")</f>
        <v>0</v>
      </c>
      <c r="EB190">
        <f>IFERROR(SMALL(EB47:EB127,ROW()-ROW($EB$130)+1),"")</f>
        <v>0</v>
      </c>
      <c r="EC190">
        <f>IFERROR(SMALL(EC47:EC127,ROW()-ROW($EC$130)+1),"")</f>
        <v>0</v>
      </c>
      <c r="ED190">
        <f>IFERROR(SMALL(ED47:ED127,ROW()-ROW($ED$130)+1),"")</f>
        <v>0</v>
      </c>
    </row>
    <row r="191" spans="5:134">
      <c r="E191">
        <f>IFERROR(SMALL(E47:E127,ROW()-ROW($E$130)+1),"")</f>
        <v>0</v>
      </c>
      <c r="F191">
        <f>IFERROR(SMALL(F47:F127,ROW()-ROW($F$130)+1),"")</f>
        <v>0</v>
      </c>
      <c r="G191">
        <f>IFERROR(SMALL(G47:G127,ROW()-ROW($G$130)+1),"")</f>
        <v>0</v>
      </c>
      <c r="H191">
        <f>IFERROR(SMALL(H47:H127,ROW()-ROW($H$130)+1),"")</f>
        <v>0</v>
      </c>
      <c r="I191">
        <f>IFERROR(SMALL(I47:I127,ROW()-ROW($I$130)+1),"")</f>
        <v>0</v>
      </c>
      <c r="J191">
        <f>IFERROR(SMALL(J47:J127,ROW()-ROW($J$130)+1),"")</f>
        <v>0</v>
      </c>
      <c r="K191">
        <f>IFERROR(SMALL(K47:K127,ROW()-ROW($K$130)+1),"")</f>
        <v>0</v>
      </c>
      <c r="L191">
        <f>IFERROR(SMALL(L47:L127,ROW()-ROW($L$130)+1),"")</f>
        <v>0</v>
      </c>
      <c r="M191">
        <f>IFERROR(SMALL(M47:M127,ROW()-ROW($M$130)+1),"")</f>
        <v>0</v>
      </c>
      <c r="N191">
        <f>IFERROR(SMALL(N47:N127,ROW()-ROW($N$130)+1),"")</f>
        <v>0</v>
      </c>
      <c r="O191">
        <f>IFERROR(SMALL(O47:O127,ROW()-ROW($O$130)+1),"")</f>
        <v>0</v>
      </c>
      <c r="P191">
        <f>IFERROR(SMALL(P47:P127,ROW()-ROW($P$130)+1),"")</f>
        <v>0</v>
      </c>
      <c r="Q191">
        <f>IFERROR(SMALL(Q47:Q127,ROW()-ROW($Q$130)+1),"")</f>
        <v>0</v>
      </c>
      <c r="R191">
        <f>IFERROR(SMALL(R47:R127,ROW()-ROW($R$130)+1),"")</f>
        <v>0</v>
      </c>
      <c r="S191">
        <f>IFERROR(SMALL(S47:S127,ROW()-ROW($S$130)+1),"")</f>
        <v>0</v>
      </c>
      <c r="T191">
        <f>IFERROR(SMALL(T47:T127,ROW()-ROW($T$130)+1),"")</f>
        <v>0</v>
      </c>
      <c r="U191">
        <f>IFERROR(SMALL(U47:U127,ROW()-ROW($U$130)+1),"")</f>
        <v>0</v>
      </c>
      <c r="V191">
        <f>IFERROR(SMALL(V47:V127,ROW()-ROW($V$130)+1),"")</f>
        <v>0</v>
      </c>
      <c r="W191">
        <f>IFERROR(SMALL(W47:W127,ROW()-ROW($W$130)+1),"")</f>
        <v>0</v>
      </c>
      <c r="X191">
        <f>IFERROR(SMALL(X47:X127,ROW()-ROW($X$130)+1),"")</f>
        <v>0</v>
      </c>
      <c r="Y191">
        <f>IFERROR(SMALL(Y47:Y127,ROW()-ROW($Y$130)+1),"")</f>
        <v>0</v>
      </c>
      <c r="Z191">
        <f>IFERROR(SMALL(Z47:Z127,ROW()-ROW($Z$130)+1),"")</f>
        <v>0</v>
      </c>
      <c r="AA191">
        <f>IFERROR(SMALL(AA47:AA127,ROW()-ROW($AA$130)+1),"")</f>
        <v>0</v>
      </c>
      <c r="AB191">
        <f>IFERROR(SMALL(AB47:AB127,ROW()-ROW($AB$130)+1),"")</f>
        <v>0</v>
      </c>
      <c r="AC191">
        <f>IFERROR(SMALL(AC47:AC127,ROW()-ROW($AC$130)+1),"")</f>
        <v>0</v>
      </c>
      <c r="AD191">
        <f>IFERROR(SMALL(AD47:AD127,ROW()-ROW($AD$130)+1),"")</f>
        <v>0</v>
      </c>
      <c r="AE191">
        <f>IFERROR(SMALL(AE47:AE127,ROW()-ROW($AE$130)+1),"")</f>
        <v>0</v>
      </c>
      <c r="AF191">
        <f>IFERROR(SMALL(AF47:AF127,ROW()-ROW($AF$130)+1),"")</f>
        <v>0</v>
      </c>
      <c r="AG191">
        <f>IFERROR(SMALL(AG47:AG127,ROW()-ROW($AG$130)+1),"")</f>
        <v>0</v>
      </c>
      <c r="AH191">
        <f>IFERROR(SMALL(AH47:AH127,ROW()-ROW($AH$130)+1),"")</f>
        <v>0</v>
      </c>
      <c r="AI191">
        <f>IFERROR(SMALL(AI47:AI127,ROW()-ROW($AI$130)+1),"")</f>
        <v>0</v>
      </c>
      <c r="AJ191">
        <f>IFERROR(SMALL(AJ47:AJ127,ROW()-ROW($AJ$130)+1),"")</f>
        <v>0</v>
      </c>
      <c r="AK191">
        <f>IFERROR(SMALL(AK47:AK127,ROW()-ROW($AK$130)+1),"")</f>
        <v>0</v>
      </c>
      <c r="AL191">
        <f>IFERROR(SMALL(AL47:AL127,ROW()-ROW($AL$130)+1),"")</f>
        <v>0</v>
      </c>
      <c r="AM191">
        <f>IFERROR(SMALL(AM47:AM127,ROW()-ROW($AM$130)+1),"")</f>
        <v>0</v>
      </c>
      <c r="AN191">
        <f>IFERROR(SMALL(AN47:AN127,ROW()-ROW($AN$130)+1),"")</f>
        <v>0</v>
      </c>
      <c r="AO191">
        <f>IFERROR(SMALL(AO47:AO127,ROW()-ROW($AO$130)+1),"")</f>
        <v>0</v>
      </c>
      <c r="AP191">
        <f>IFERROR(SMALL(AP47:AP127,ROW()-ROW($AP$130)+1),"")</f>
        <v>0</v>
      </c>
      <c r="AQ191">
        <f>IFERROR(SMALL(AQ47:AQ127,ROW()-ROW($AQ$130)+1),"")</f>
        <v>0</v>
      </c>
      <c r="AR191">
        <f>IFERROR(SMALL(AR47:AR127,ROW()-ROW($AR$130)+1),"")</f>
        <v>0</v>
      </c>
      <c r="AS191">
        <f>IFERROR(SMALL(AS47:AS127,ROW()-ROW($AS$130)+1),"")</f>
        <v>0</v>
      </c>
      <c r="AT191">
        <f>IFERROR(SMALL(AT47:AT127,ROW()-ROW($AT$130)+1),"")</f>
        <v>0</v>
      </c>
      <c r="AU191">
        <f>IFERROR(SMALL(AU47:AU127,ROW()-ROW($AU$130)+1),"")</f>
        <v>0</v>
      </c>
      <c r="AV191">
        <f>IFERROR(SMALL(AV47:AV127,ROW()-ROW($AV$130)+1),"")</f>
        <v>0</v>
      </c>
      <c r="AW191">
        <f>IFERROR(SMALL(AW47:AW127,ROW()-ROW($AW$130)+1),"")</f>
        <v>0</v>
      </c>
      <c r="AX191">
        <f>IFERROR(SMALL(AX47:AX127,ROW()-ROW($AX$130)+1),"")</f>
        <v>0</v>
      </c>
      <c r="AY191">
        <f>IFERROR(SMALL(AY47:AY127,ROW()-ROW($AY$130)+1),"")</f>
        <v>0</v>
      </c>
      <c r="AZ191">
        <f>IFERROR(SMALL(AZ47:AZ127,ROW()-ROW($AZ$130)+1),"")</f>
        <v>0</v>
      </c>
      <c r="BA191">
        <f>IFERROR(SMALL(BA47:BA127,ROW()-ROW($BA$130)+1),"")</f>
        <v>0</v>
      </c>
      <c r="BB191">
        <f>IFERROR(SMALL(BB47:BB127,ROW()-ROW($BB$130)+1),"")</f>
        <v>0</v>
      </c>
      <c r="BC191">
        <f>IFERROR(SMALL(BC47:BC127,ROW()-ROW($BC$130)+1),"")</f>
        <v>0</v>
      </c>
      <c r="BD191">
        <f>IFERROR(SMALL(BD47:BD127,ROW()-ROW($BD$130)+1),"")</f>
        <v>0</v>
      </c>
      <c r="BE191">
        <f>IFERROR(SMALL(BE47:BE127,ROW()-ROW($BE$130)+1),"")</f>
        <v>0</v>
      </c>
      <c r="BF191">
        <f>IFERROR(SMALL(BF47:BF127,ROW()-ROW($BF$130)+1),"")</f>
        <v>0</v>
      </c>
      <c r="BG191">
        <f>IFERROR(SMALL(BG47:BG127,ROW()-ROW($BG$130)+1),"")</f>
        <v>0</v>
      </c>
      <c r="BH191">
        <f>IFERROR(SMALL(BH47:BH127,ROW()-ROW($BH$130)+1),"")</f>
        <v>0</v>
      </c>
      <c r="BI191">
        <f>IFERROR(SMALL(BI47:BI127,ROW()-ROW($BI$130)+1),"")</f>
        <v>0</v>
      </c>
      <c r="BJ191">
        <f>IFERROR(SMALL(BJ47:BJ127,ROW()-ROW($BJ$130)+1),"")</f>
        <v>0</v>
      </c>
      <c r="BK191">
        <f>IFERROR(SMALL(BK47:BK127,ROW()-ROW($BK$130)+1),"")</f>
        <v>0</v>
      </c>
      <c r="BL191">
        <f>IFERROR(SMALL(BL47:BL127,ROW()-ROW($BL$130)+1),"")</f>
        <v>0</v>
      </c>
      <c r="BM191">
        <f>IFERROR(SMALL(BM47:BM127,ROW()-ROW($BM$130)+1),"")</f>
        <v>0</v>
      </c>
      <c r="BN191">
        <f>IFERROR(SMALL(BN47:BN127,ROW()-ROW($BN$130)+1),"")</f>
        <v>0</v>
      </c>
      <c r="BO191">
        <f>IFERROR(SMALL(BO47:BO127,ROW()-ROW($BO$130)+1),"")</f>
        <v>0</v>
      </c>
      <c r="BP191">
        <f>IFERROR(SMALL(BP47:BP127,ROW()-ROW($BP$130)+1),"")</f>
        <v>0</v>
      </c>
      <c r="BS191">
        <f>IFERROR(SMALL(BS47:BS127,ROW()-ROW($BS$130)+1),"")</f>
        <v>0</v>
      </c>
      <c r="BT191">
        <f>IFERROR(SMALL(BT47:BT127,ROW()-ROW($BT$130)+1),"")</f>
        <v>0</v>
      </c>
      <c r="BU191">
        <f>IFERROR(SMALL(BU47:BU127,ROW()-ROW($BU$130)+1),"")</f>
        <v>0</v>
      </c>
      <c r="BV191">
        <f>IFERROR(SMALL(BV47:BV127,ROW()-ROW($BV$130)+1),"")</f>
        <v>0</v>
      </c>
      <c r="BW191">
        <f>IFERROR(SMALL(BW47:BW127,ROW()-ROW($BW$130)+1),"")</f>
        <v>0</v>
      </c>
      <c r="BX191">
        <f>IFERROR(SMALL(BX47:BX127,ROW()-ROW($BX$130)+1),"")</f>
        <v>0</v>
      </c>
      <c r="BY191">
        <f>IFERROR(SMALL(BY47:BY127,ROW()-ROW($BY$130)+1),"")</f>
        <v>0</v>
      </c>
      <c r="BZ191">
        <f>IFERROR(SMALL(BZ47:BZ127,ROW()-ROW($BZ$130)+1),"")</f>
        <v>0</v>
      </c>
      <c r="CA191">
        <f>IFERROR(SMALL(CA47:CA127,ROW()-ROW($CA$130)+1),"")</f>
        <v>0</v>
      </c>
      <c r="CB191">
        <f>IFERROR(SMALL(CB47:CB127,ROW()-ROW($CB$130)+1),"")</f>
        <v>0</v>
      </c>
      <c r="CC191">
        <f>IFERROR(SMALL(CC47:CC127,ROW()-ROW($CC$130)+1),"")</f>
        <v>0</v>
      </c>
      <c r="CD191">
        <f>IFERROR(SMALL(CD47:CD127,ROW()-ROW($CD$130)+1),"")</f>
        <v>0</v>
      </c>
      <c r="CE191">
        <f>IFERROR(SMALL(CE47:CE127,ROW()-ROW($CE$130)+1),"")</f>
        <v>0</v>
      </c>
      <c r="CF191">
        <f>IFERROR(SMALL(CF47:CF127,ROW()-ROW($CF$130)+1),"")</f>
        <v>0</v>
      </c>
      <c r="CG191">
        <f>IFERROR(SMALL(CG47:CG127,ROW()-ROW($CG$130)+1),"")</f>
        <v>0</v>
      </c>
      <c r="CH191">
        <f>IFERROR(SMALL(CH47:CH127,ROW()-ROW($CH$130)+1),"")</f>
        <v>0</v>
      </c>
      <c r="CI191">
        <f>IFERROR(SMALL(CI47:CI127,ROW()-ROW($CI$130)+1),"")</f>
        <v>0</v>
      </c>
      <c r="CJ191">
        <f>IFERROR(SMALL(CJ47:CJ127,ROW()-ROW($CJ$130)+1),"")</f>
        <v>0</v>
      </c>
      <c r="CK191">
        <f>IFERROR(SMALL(CK47:CK127,ROW()-ROW($CK$130)+1),"")</f>
        <v>0</v>
      </c>
      <c r="CL191">
        <f>IFERROR(SMALL(CL47:CL127,ROW()-ROW($CL$130)+1),"")</f>
        <v>0</v>
      </c>
      <c r="CM191">
        <f>IFERROR(SMALL(CM47:CM127,ROW()-ROW($CM$130)+1),"")</f>
        <v>0</v>
      </c>
      <c r="CN191">
        <f>IFERROR(SMALL(CN47:CN127,ROW()-ROW($CN$130)+1),"")</f>
        <v>0</v>
      </c>
      <c r="CO191">
        <f>IFERROR(SMALL(CO47:CO127,ROW()-ROW($CO$130)+1),"")</f>
        <v>0</v>
      </c>
      <c r="CP191">
        <f>IFERROR(SMALL(CP47:CP127,ROW()-ROW($CP$130)+1),"")</f>
        <v>0</v>
      </c>
      <c r="CQ191">
        <f>IFERROR(SMALL(CQ47:CQ127,ROW()-ROW($CQ$130)+1),"")</f>
        <v>0</v>
      </c>
      <c r="CR191">
        <f>IFERROR(SMALL(CR47:CR127,ROW()-ROW($CR$130)+1),"")</f>
        <v>0</v>
      </c>
      <c r="CS191">
        <f>IFERROR(SMALL(CS47:CS127,ROW()-ROW($CS$130)+1),"")</f>
        <v>0</v>
      </c>
      <c r="CT191">
        <f>IFERROR(SMALL(CT47:CT127,ROW()-ROW($CT$130)+1),"")</f>
        <v>0</v>
      </c>
      <c r="CU191">
        <f>IFERROR(SMALL(CU47:CU127,ROW()-ROW($CU$130)+1),"")</f>
        <v>0</v>
      </c>
      <c r="CV191">
        <f>IFERROR(SMALL(CV47:CV127,ROW()-ROW($CV$130)+1),"")</f>
        <v>0</v>
      </c>
      <c r="CW191">
        <f>IFERROR(SMALL(CW47:CW127,ROW()-ROW($CW$130)+1),"")</f>
        <v>0</v>
      </c>
      <c r="CX191">
        <f>IFERROR(SMALL(CX47:CX127,ROW()-ROW($CX$130)+1),"")</f>
        <v>0</v>
      </c>
      <c r="CY191">
        <f>IFERROR(SMALL(CY47:CY127,ROW()-ROW($CY$130)+1),"")</f>
        <v>0</v>
      </c>
      <c r="CZ191">
        <f>IFERROR(SMALL(CZ47:CZ127,ROW()-ROW($CZ$130)+1),"")</f>
        <v>0</v>
      </c>
      <c r="DA191">
        <f>IFERROR(SMALL(DA47:DA127,ROW()-ROW($DA$130)+1),"")</f>
        <v>0</v>
      </c>
      <c r="DB191">
        <f>IFERROR(SMALL(DB47:DB127,ROW()-ROW($DB$130)+1),"")</f>
        <v>0</v>
      </c>
      <c r="DC191">
        <f>IFERROR(SMALL(DC47:DC127,ROW()-ROW($DC$130)+1),"")</f>
        <v>0</v>
      </c>
      <c r="DD191">
        <f>IFERROR(SMALL(DD47:DD127,ROW()-ROW($DD$130)+1),"")</f>
        <v>0</v>
      </c>
      <c r="DE191">
        <f>IFERROR(SMALL(DE47:DE127,ROW()-ROW($DE$130)+1),"")</f>
        <v>0</v>
      </c>
      <c r="DF191">
        <f>IFERROR(SMALL(DF47:DF127,ROW()-ROW($DF$130)+1),"")</f>
        <v>0</v>
      </c>
      <c r="DG191">
        <f>IFERROR(SMALL(DG47:DG127,ROW()-ROW($DG$130)+1),"")</f>
        <v>0</v>
      </c>
      <c r="DH191">
        <f>IFERROR(SMALL(DH47:DH127,ROW()-ROW($DH$130)+1),"")</f>
        <v>0</v>
      </c>
      <c r="DI191">
        <f>IFERROR(SMALL(DI47:DI127,ROW()-ROW($DI$130)+1),"")</f>
        <v>0</v>
      </c>
      <c r="DJ191">
        <f>IFERROR(SMALL(DJ47:DJ127,ROW()-ROW($DJ$130)+1),"")</f>
        <v>0</v>
      </c>
      <c r="DK191">
        <f>IFERROR(SMALL(DK47:DK127,ROW()-ROW($DK$130)+1),"")</f>
        <v>0</v>
      </c>
      <c r="DL191">
        <f>IFERROR(SMALL(DL47:DL127,ROW()-ROW($DL$130)+1),"")</f>
        <v>0</v>
      </c>
      <c r="DM191">
        <f>IFERROR(SMALL(DM47:DM127,ROW()-ROW($DM$130)+1),"")</f>
        <v>0</v>
      </c>
      <c r="DN191">
        <f>IFERROR(SMALL(DN47:DN127,ROW()-ROW($DN$130)+1),"")</f>
        <v>0</v>
      </c>
      <c r="DO191">
        <f>IFERROR(SMALL(DO47:DO127,ROW()-ROW($DO$130)+1),"")</f>
        <v>0</v>
      </c>
      <c r="DP191">
        <f>IFERROR(SMALL(DP47:DP127,ROW()-ROW($DP$130)+1),"")</f>
        <v>0</v>
      </c>
      <c r="DQ191">
        <f>IFERROR(SMALL(DQ47:DQ127,ROW()-ROW($DQ$130)+1),"")</f>
        <v>0</v>
      </c>
      <c r="DR191">
        <f>IFERROR(SMALL(DR47:DR127,ROW()-ROW($DR$130)+1),"")</f>
        <v>0</v>
      </c>
      <c r="DS191">
        <f>IFERROR(SMALL(DS47:DS127,ROW()-ROW($DS$130)+1),"")</f>
        <v>0</v>
      </c>
      <c r="DT191">
        <f>IFERROR(SMALL(DT47:DT127,ROW()-ROW($DT$130)+1),"")</f>
        <v>0</v>
      </c>
      <c r="DU191">
        <f>IFERROR(SMALL(DU47:DU127,ROW()-ROW($DU$130)+1),"")</f>
        <v>0</v>
      </c>
      <c r="DV191">
        <f>IFERROR(SMALL(DV47:DV127,ROW()-ROW($DV$130)+1),"")</f>
        <v>0</v>
      </c>
      <c r="DW191">
        <f>IFERROR(SMALL(DW47:DW127,ROW()-ROW($DW$130)+1),"")</f>
        <v>0</v>
      </c>
      <c r="DX191">
        <f>IFERROR(SMALL(DX47:DX127,ROW()-ROW($DX$130)+1),"")</f>
        <v>0</v>
      </c>
      <c r="DY191">
        <f>IFERROR(SMALL(DY47:DY127,ROW()-ROW($DY$130)+1),"")</f>
        <v>0</v>
      </c>
      <c r="DZ191">
        <f>IFERROR(SMALL(DZ47:DZ127,ROW()-ROW($DZ$130)+1),"")</f>
        <v>0</v>
      </c>
      <c r="EA191">
        <f>IFERROR(SMALL(EA47:EA127,ROW()-ROW($EA$130)+1),"")</f>
        <v>0</v>
      </c>
      <c r="EB191">
        <f>IFERROR(SMALL(EB47:EB127,ROW()-ROW($EB$130)+1),"")</f>
        <v>0</v>
      </c>
      <c r="EC191">
        <f>IFERROR(SMALL(EC47:EC127,ROW()-ROW($EC$130)+1),"")</f>
        <v>0</v>
      </c>
      <c r="ED191">
        <f>IFERROR(SMALL(ED47:ED127,ROW()-ROW($ED$130)+1),"")</f>
        <v>0</v>
      </c>
    </row>
    <row r="192" spans="5:134">
      <c r="E192">
        <f>IFERROR(SMALL(E47:E127,ROW()-ROW($E$130)+1),"")</f>
        <v>0</v>
      </c>
      <c r="F192">
        <f>IFERROR(SMALL(F47:F127,ROW()-ROW($F$130)+1),"")</f>
        <v>0</v>
      </c>
      <c r="G192">
        <f>IFERROR(SMALL(G47:G127,ROW()-ROW($G$130)+1),"")</f>
        <v>0</v>
      </c>
      <c r="H192">
        <f>IFERROR(SMALL(H47:H127,ROW()-ROW($H$130)+1),"")</f>
        <v>0</v>
      </c>
      <c r="I192">
        <f>IFERROR(SMALL(I47:I127,ROW()-ROW($I$130)+1),"")</f>
        <v>0</v>
      </c>
      <c r="J192">
        <f>IFERROR(SMALL(J47:J127,ROW()-ROW($J$130)+1),"")</f>
        <v>0</v>
      </c>
      <c r="K192">
        <f>IFERROR(SMALL(K47:K127,ROW()-ROW($K$130)+1),"")</f>
        <v>0</v>
      </c>
      <c r="L192">
        <f>IFERROR(SMALL(L47:L127,ROW()-ROW($L$130)+1),"")</f>
        <v>0</v>
      </c>
      <c r="M192">
        <f>IFERROR(SMALL(M47:M127,ROW()-ROW($M$130)+1),"")</f>
        <v>0</v>
      </c>
      <c r="N192">
        <f>IFERROR(SMALL(N47:N127,ROW()-ROW($N$130)+1),"")</f>
        <v>0</v>
      </c>
      <c r="O192">
        <f>IFERROR(SMALL(O47:O127,ROW()-ROW($O$130)+1),"")</f>
        <v>0</v>
      </c>
      <c r="P192">
        <f>IFERROR(SMALL(P47:P127,ROW()-ROW($P$130)+1),"")</f>
        <v>0</v>
      </c>
      <c r="Q192">
        <f>IFERROR(SMALL(Q47:Q127,ROW()-ROW($Q$130)+1),"")</f>
        <v>0</v>
      </c>
      <c r="R192">
        <f>IFERROR(SMALL(R47:R127,ROW()-ROW($R$130)+1),"")</f>
        <v>0</v>
      </c>
      <c r="S192">
        <f>IFERROR(SMALL(S47:S127,ROW()-ROW($S$130)+1),"")</f>
        <v>0</v>
      </c>
      <c r="T192">
        <f>IFERROR(SMALL(T47:T127,ROW()-ROW($T$130)+1),"")</f>
        <v>0</v>
      </c>
      <c r="U192">
        <f>IFERROR(SMALL(U47:U127,ROW()-ROW($U$130)+1),"")</f>
        <v>0</v>
      </c>
      <c r="V192">
        <f>IFERROR(SMALL(V47:V127,ROW()-ROW($V$130)+1),"")</f>
        <v>0</v>
      </c>
      <c r="W192">
        <f>IFERROR(SMALL(W47:W127,ROW()-ROW($W$130)+1),"")</f>
        <v>0</v>
      </c>
      <c r="X192">
        <f>IFERROR(SMALL(X47:X127,ROW()-ROW($X$130)+1),"")</f>
        <v>0</v>
      </c>
      <c r="Y192">
        <f>IFERROR(SMALL(Y47:Y127,ROW()-ROW($Y$130)+1),"")</f>
        <v>0</v>
      </c>
      <c r="Z192">
        <f>IFERROR(SMALL(Z47:Z127,ROW()-ROW($Z$130)+1),"")</f>
        <v>0</v>
      </c>
      <c r="AA192">
        <f>IFERROR(SMALL(AA47:AA127,ROW()-ROW($AA$130)+1),"")</f>
        <v>0</v>
      </c>
      <c r="AB192">
        <f>IFERROR(SMALL(AB47:AB127,ROW()-ROW($AB$130)+1),"")</f>
        <v>0</v>
      </c>
      <c r="AC192">
        <f>IFERROR(SMALL(AC47:AC127,ROW()-ROW($AC$130)+1),"")</f>
        <v>0</v>
      </c>
      <c r="AD192">
        <f>IFERROR(SMALL(AD47:AD127,ROW()-ROW($AD$130)+1),"")</f>
        <v>0</v>
      </c>
      <c r="AE192">
        <f>IFERROR(SMALL(AE47:AE127,ROW()-ROW($AE$130)+1),"")</f>
        <v>0</v>
      </c>
      <c r="AF192">
        <f>IFERROR(SMALL(AF47:AF127,ROW()-ROW($AF$130)+1),"")</f>
        <v>0</v>
      </c>
      <c r="AG192">
        <f>IFERROR(SMALL(AG47:AG127,ROW()-ROW($AG$130)+1),"")</f>
        <v>0</v>
      </c>
      <c r="AH192">
        <f>IFERROR(SMALL(AH47:AH127,ROW()-ROW($AH$130)+1),"")</f>
        <v>0</v>
      </c>
      <c r="AI192">
        <f>IFERROR(SMALL(AI47:AI127,ROW()-ROW($AI$130)+1),"")</f>
        <v>0</v>
      </c>
      <c r="AJ192">
        <f>IFERROR(SMALL(AJ47:AJ127,ROW()-ROW($AJ$130)+1),"")</f>
        <v>0</v>
      </c>
      <c r="AK192">
        <f>IFERROR(SMALL(AK47:AK127,ROW()-ROW($AK$130)+1),"")</f>
        <v>0</v>
      </c>
      <c r="AL192">
        <f>IFERROR(SMALL(AL47:AL127,ROW()-ROW($AL$130)+1),"")</f>
        <v>0</v>
      </c>
      <c r="AM192">
        <f>IFERROR(SMALL(AM47:AM127,ROW()-ROW($AM$130)+1),"")</f>
        <v>0</v>
      </c>
      <c r="AN192">
        <f>IFERROR(SMALL(AN47:AN127,ROW()-ROW($AN$130)+1),"")</f>
        <v>0</v>
      </c>
      <c r="AO192">
        <f>IFERROR(SMALL(AO47:AO127,ROW()-ROW($AO$130)+1),"")</f>
        <v>0</v>
      </c>
      <c r="AP192">
        <f>IFERROR(SMALL(AP47:AP127,ROW()-ROW($AP$130)+1),"")</f>
        <v>0</v>
      </c>
      <c r="AQ192">
        <f>IFERROR(SMALL(AQ47:AQ127,ROW()-ROW($AQ$130)+1),"")</f>
        <v>0</v>
      </c>
      <c r="AR192">
        <f>IFERROR(SMALL(AR47:AR127,ROW()-ROW($AR$130)+1),"")</f>
        <v>0</v>
      </c>
      <c r="AS192">
        <f>IFERROR(SMALL(AS47:AS127,ROW()-ROW($AS$130)+1),"")</f>
        <v>0</v>
      </c>
      <c r="AT192">
        <f>IFERROR(SMALL(AT47:AT127,ROW()-ROW($AT$130)+1),"")</f>
        <v>0</v>
      </c>
      <c r="AU192">
        <f>IFERROR(SMALL(AU47:AU127,ROW()-ROW($AU$130)+1),"")</f>
        <v>0</v>
      </c>
      <c r="AV192">
        <f>IFERROR(SMALL(AV47:AV127,ROW()-ROW($AV$130)+1),"")</f>
        <v>0</v>
      </c>
      <c r="AW192">
        <f>IFERROR(SMALL(AW47:AW127,ROW()-ROW($AW$130)+1),"")</f>
        <v>0</v>
      </c>
      <c r="AX192">
        <f>IFERROR(SMALL(AX47:AX127,ROW()-ROW($AX$130)+1),"")</f>
        <v>0</v>
      </c>
      <c r="AY192">
        <f>IFERROR(SMALL(AY47:AY127,ROW()-ROW($AY$130)+1),"")</f>
        <v>0</v>
      </c>
      <c r="AZ192">
        <f>IFERROR(SMALL(AZ47:AZ127,ROW()-ROW($AZ$130)+1),"")</f>
        <v>0</v>
      </c>
      <c r="BA192">
        <f>IFERROR(SMALL(BA47:BA127,ROW()-ROW($BA$130)+1),"")</f>
        <v>0</v>
      </c>
      <c r="BB192">
        <f>IFERROR(SMALL(BB47:BB127,ROW()-ROW($BB$130)+1),"")</f>
        <v>0</v>
      </c>
      <c r="BC192">
        <f>IFERROR(SMALL(BC47:BC127,ROW()-ROW($BC$130)+1),"")</f>
        <v>0</v>
      </c>
      <c r="BD192">
        <f>IFERROR(SMALL(BD47:BD127,ROW()-ROW($BD$130)+1),"")</f>
        <v>0</v>
      </c>
      <c r="BE192">
        <f>IFERROR(SMALL(BE47:BE127,ROW()-ROW($BE$130)+1),"")</f>
        <v>0</v>
      </c>
      <c r="BF192">
        <f>IFERROR(SMALL(BF47:BF127,ROW()-ROW($BF$130)+1),"")</f>
        <v>0</v>
      </c>
      <c r="BG192">
        <f>IFERROR(SMALL(BG47:BG127,ROW()-ROW($BG$130)+1),"")</f>
        <v>0</v>
      </c>
      <c r="BH192">
        <f>IFERROR(SMALL(BH47:BH127,ROW()-ROW($BH$130)+1),"")</f>
        <v>0</v>
      </c>
      <c r="BI192">
        <f>IFERROR(SMALL(BI47:BI127,ROW()-ROW($BI$130)+1),"")</f>
        <v>0</v>
      </c>
      <c r="BJ192">
        <f>IFERROR(SMALL(BJ47:BJ127,ROW()-ROW($BJ$130)+1),"")</f>
        <v>0</v>
      </c>
      <c r="BK192">
        <f>IFERROR(SMALL(BK47:BK127,ROW()-ROW($BK$130)+1),"")</f>
        <v>0</v>
      </c>
      <c r="BL192">
        <f>IFERROR(SMALL(BL47:BL127,ROW()-ROW($BL$130)+1),"")</f>
        <v>0</v>
      </c>
      <c r="BM192">
        <f>IFERROR(SMALL(BM47:BM127,ROW()-ROW($BM$130)+1),"")</f>
        <v>0</v>
      </c>
      <c r="BN192">
        <f>IFERROR(SMALL(BN47:BN127,ROW()-ROW($BN$130)+1),"")</f>
        <v>0</v>
      </c>
      <c r="BO192">
        <f>IFERROR(SMALL(BO47:BO127,ROW()-ROW($BO$130)+1),"")</f>
        <v>0</v>
      </c>
      <c r="BP192">
        <f>IFERROR(SMALL(BP47:BP127,ROW()-ROW($BP$130)+1),"")</f>
        <v>0</v>
      </c>
      <c r="BS192">
        <f>IFERROR(SMALL(BS47:BS127,ROW()-ROW($BS$130)+1),"")</f>
        <v>0</v>
      </c>
      <c r="BT192">
        <f>IFERROR(SMALL(BT47:BT127,ROW()-ROW($BT$130)+1),"")</f>
        <v>0</v>
      </c>
      <c r="BU192">
        <f>IFERROR(SMALL(BU47:BU127,ROW()-ROW($BU$130)+1),"")</f>
        <v>0</v>
      </c>
      <c r="BV192">
        <f>IFERROR(SMALL(BV47:BV127,ROW()-ROW($BV$130)+1),"")</f>
        <v>0</v>
      </c>
      <c r="BW192">
        <f>IFERROR(SMALL(BW47:BW127,ROW()-ROW($BW$130)+1),"")</f>
        <v>0</v>
      </c>
      <c r="BX192">
        <f>IFERROR(SMALL(BX47:BX127,ROW()-ROW($BX$130)+1),"")</f>
        <v>0</v>
      </c>
      <c r="BY192">
        <f>IFERROR(SMALL(BY47:BY127,ROW()-ROW($BY$130)+1),"")</f>
        <v>0</v>
      </c>
      <c r="BZ192">
        <f>IFERROR(SMALL(BZ47:BZ127,ROW()-ROW($BZ$130)+1),"")</f>
        <v>0</v>
      </c>
      <c r="CA192">
        <f>IFERROR(SMALL(CA47:CA127,ROW()-ROW($CA$130)+1),"")</f>
        <v>0</v>
      </c>
      <c r="CB192">
        <f>IFERROR(SMALL(CB47:CB127,ROW()-ROW($CB$130)+1),"")</f>
        <v>0</v>
      </c>
      <c r="CC192">
        <f>IFERROR(SMALL(CC47:CC127,ROW()-ROW($CC$130)+1),"")</f>
        <v>0</v>
      </c>
      <c r="CD192">
        <f>IFERROR(SMALL(CD47:CD127,ROW()-ROW($CD$130)+1),"")</f>
        <v>0</v>
      </c>
      <c r="CE192">
        <f>IFERROR(SMALL(CE47:CE127,ROW()-ROW($CE$130)+1),"")</f>
        <v>0</v>
      </c>
      <c r="CF192">
        <f>IFERROR(SMALL(CF47:CF127,ROW()-ROW($CF$130)+1),"")</f>
        <v>0</v>
      </c>
      <c r="CG192">
        <f>IFERROR(SMALL(CG47:CG127,ROW()-ROW($CG$130)+1),"")</f>
        <v>0</v>
      </c>
      <c r="CH192">
        <f>IFERROR(SMALL(CH47:CH127,ROW()-ROW($CH$130)+1),"")</f>
        <v>0</v>
      </c>
      <c r="CI192">
        <f>IFERROR(SMALL(CI47:CI127,ROW()-ROW($CI$130)+1),"")</f>
        <v>0</v>
      </c>
      <c r="CJ192">
        <f>IFERROR(SMALL(CJ47:CJ127,ROW()-ROW($CJ$130)+1),"")</f>
        <v>0</v>
      </c>
      <c r="CK192">
        <f>IFERROR(SMALL(CK47:CK127,ROW()-ROW($CK$130)+1),"")</f>
        <v>0</v>
      </c>
      <c r="CL192">
        <f>IFERROR(SMALL(CL47:CL127,ROW()-ROW($CL$130)+1),"")</f>
        <v>0</v>
      </c>
      <c r="CM192">
        <f>IFERROR(SMALL(CM47:CM127,ROW()-ROW($CM$130)+1),"")</f>
        <v>0</v>
      </c>
      <c r="CN192">
        <f>IFERROR(SMALL(CN47:CN127,ROW()-ROW($CN$130)+1),"")</f>
        <v>0</v>
      </c>
      <c r="CO192">
        <f>IFERROR(SMALL(CO47:CO127,ROW()-ROW($CO$130)+1),"")</f>
        <v>0</v>
      </c>
      <c r="CP192">
        <f>IFERROR(SMALL(CP47:CP127,ROW()-ROW($CP$130)+1),"")</f>
        <v>0</v>
      </c>
      <c r="CQ192">
        <f>IFERROR(SMALL(CQ47:CQ127,ROW()-ROW($CQ$130)+1),"")</f>
        <v>0</v>
      </c>
      <c r="CR192">
        <f>IFERROR(SMALL(CR47:CR127,ROW()-ROW($CR$130)+1),"")</f>
        <v>0</v>
      </c>
      <c r="CS192">
        <f>IFERROR(SMALL(CS47:CS127,ROW()-ROW($CS$130)+1),"")</f>
        <v>0</v>
      </c>
      <c r="CT192">
        <f>IFERROR(SMALL(CT47:CT127,ROW()-ROW($CT$130)+1),"")</f>
        <v>0</v>
      </c>
      <c r="CU192">
        <f>IFERROR(SMALL(CU47:CU127,ROW()-ROW($CU$130)+1),"")</f>
        <v>0</v>
      </c>
      <c r="CV192">
        <f>IFERROR(SMALL(CV47:CV127,ROW()-ROW($CV$130)+1),"")</f>
        <v>0</v>
      </c>
      <c r="CW192">
        <f>IFERROR(SMALL(CW47:CW127,ROW()-ROW($CW$130)+1),"")</f>
        <v>0</v>
      </c>
      <c r="CX192">
        <f>IFERROR(SMALL(CX47:CX127,ROW()-ROW($CX$130)+1),"")</f>
        <v>0</v>
      </c>
      <c r="CY192">
        <f>IFERROR(SMALL(CY47:CY127,ROW()-ROW($CY$130)+1),"")</f>
        <v>0</v>
      </c>
      <c r="CZ192">
        <f>IFERROR(SMALL(CZ47:CZ127,ROW()-ROW($CZ$130)+1),"")</f>
        <v>0</v>
      </c>
      <c r="DA192">
        <f>IFERROR(SMALL(DA47:DA127,ROW()-ROW($DA$130)+1),"")</f>
        <v>0</v>
      </c>
      <c r="DB192">
        <f>IFERROR(SMALL(DB47:DB127,ROW()-ROW($DB$130)+1),"")</f>
        <v>0</v>
      </c>
      <c r="DC192">
        <f>IFERROR(SMALL(DC47:DC127,ROW()-ROW($DC$130)+1),"")</f>
        <v>0</v>
      </c>
      <c r="DD192">
        <f>IFERROR(SMALL(DD47:DD127,ROW()-ROW($DD$130)+1),"")</f>
        <v>0</v>
      </c>
      <c r="DE192">
        <f>IFERROR(SMALL(DE47:DE127,ROW()-ROW($DE$130)+1),"")</f>
        <v>0</v>
      </c>
      <c r="DF192">
        <f>IFERROR(SMALL(DF47:DF127,ROW()-ROW($DF$130)+1),"")</f>
        <v>0</v>
      </c>
      <c r="DG192">
        <f>IFERROR(SMALL(DG47:DG127,ROW()-ROW($DG$130)+1),"")</f>
        <v>0</v>
      </c>
      <c r="DH192">
        <f>IFERROR(SMALL(DH47:DH127,ROW()-ROW($DH$130)+1),"")</f>
        <v>0</v>
      </c>
      <c r="DI192">
        <f>IFERROR(SMALL(DI47:DI127,ROW()-ROW($DI$130)+1),"")</f>
        <v>0</v>
      </c>
      <c r="DJ192">
        <f>IFERROR(SMALL(DJ47:DJ127,ROW()-ROW($DJ$130)+1),"")</f>
        <v>0</v>
      </c>
      <c r="DK192">
        <f>IFERROR(SMALL(DK47:DK127,ROW()-ROW($DK$130)+1),"")</f>
        <v>0</v>
      </c>
      <c r="DL192">
        <f>IFERROR(SMALL(DL47:DL127,ROW()-ROW($DL$130)+1),"")</f>
        <v>0</v>
      </c>
      <c r="DM192">
        <f>IFERROR(SMALL(DM47:DM127,ROW()-ROW($DM$130)+1),"")</f>
        <v>0</v>
      </c>
      <c r="DN192">
        <f>IFERROR(SMALL(DN47:DN127,ROW()-ROW($DN$130)+1),"")</f>
        <v>0</v>
      </c>
      <c r="DO192">
        <f>IFERROR(SMALL(DO47:DO127,ROW()-ROW($DO$130)+1),"")</f>
        <v>0</v>
      </c>
      <c r="DP192">
        <f>IFERROR(SMALL(DP47:DP127,ROW()-ROW($DP$130)+1),"")</f>
        <v>0</v>
      </c>
      <c r="DQ192">
        <f>IFERROR(SMALL(DQ47:DQ127,ROW()-ROW($DQ$130)+1),"")</f>
        <v>0</v>
      </c>
      <c r="DR192">
        <f>IFERROR(SMALL(DR47:DR127,ROW()-ROW($DR$130)+1),"")</f>
        <v>0</v>
      </c>
      <c r="DS192">
        <f>IFERROR(SMALL(DS47:DS127,ROW()-ROW($DS$130)+1),"")</f>
        <v>0</v>
      </c>
      <c r="DT192">
        <f>IFERROR(SMALL(DT47:DT127,ROW()-ROW($DT$130)+1),"")</f>
        <v>0</v>
      </c>
      <c r="DU192">
        <f>IFERROR(SMALL(DU47:DU127,ROW()-ROW($DU$130)+1),"")</f>
        <v>0</v>
      </c>
      <c r="DV192">
        <f>IFERROR(SMALL(DV47:DV127,ROW()-ROW($DV$130)+1),"")</f>
        <v>0</v>
      </c>
      <c r="DW192">
        <f>IFERROR(SMALL(DW47:DW127,ROW()-ROW($DW$130)+1),"")</f>
        <v>0</v>
      </c>
      <c r="DX192">
        <f>IFERROR(SMALL(DX47:DX127,ROW()-ROW($DX$130)+1),"")</f>
        <v>0</v>
      </c>
      <c r="DY192">
        <f>IFERROR(SMALL(DY47:DY127,ROW()-ROW($DY$130)+1),"")</f>
        <v>0</v>
      </c>
      <c r="DZ192">
        <f>IFERROR(SMALL(DZ47:DZ127,ROW()-ROW($DZ$130)+1),"")</f>
        <v>0</v>
      </c>
      <c r="EA192">
        <f>IFERROR(SMALL(EA47:EA127,ROW()-ROW($EA$130)+1),"")</f>
        <v>0</v>
      </c>
      <c r="EB192">
        <f>IFERROR(SMALL(EB47:EB127,ROW()-ROW($EB$130)+1),"")</f>
        <v>0</v>
      </c>
      <c r="EC192">
        <f>IFERROR(SMALL(EC47:EC127,ROW()-ROW($EC$130)+1),"")</f>
        <v>0</v>
      </c>
      <c r="ED192">
        <f>IFERROR(SMALL(ED47:ED127,ROW()-ROW($ED$130)+1),"")</f>
        <v>0</v>
      </c>
    </row>
    <row r="193" spans="5:134">
      <c r="E193">
        <f>IFERROR(SMALL(E47:E127,ROW()-ROW($E$130)+1),"")</f>
        <v>0</v>
      </c>
      <c r="F193">
        <f>IFERROR(SMALL(F47:F127,ROW()-ROW($F$130)+1),"")</f>
        <v>0</v>
      </c>
      <c r="G193">
        <f>IFERROR(SMALL(G47:G127,ROW()-ROW($G$130)+1),"")</f>
        <v>0</v>
      </c>
      <c r="H193">
        <f>IFERROR(SMALL(H47:H127,ROW()-ROW($H$130)+1),"")</f>
        <v>0</v>
      </c>
      <c r="I193">
        <f>IFERROR(SMALL(I47:I127,ROW()-ROW($I$130)+1),"")</f>
        <v>0</v>
      </c>
      <c r="J193">
        <f>IFERROR(SMALL(J47:J127,ROW()-ROW($J$130)+1),"")</f>
        <v>0</v>
      </c>
      <c r="K193">
        <f>IFERROR(SMALL(K47:K127,ROW()-ROW($K$130)+1),"")</f>
        <v>0</v>
      </c>
      <c r="L193">
        <f>IFERROR(SMALL(L47:L127,ROW()-ROW($L$130)+1),"")</f>
        <v>0</v>
      </c>
      <c r="M193">
        <f>IFERROR(SMALL(M47:M127,ROW()-ROW($M$130)+1),"")</f>
        <v>0</v>
      </c>
      <c r="N193">
        <f>IFERROR(SMALL(N47:N127,ROW()-ROW($N$130)+1),"")</f>
        <v>0</v>
      </c>
      <c r="O193">
        <f>IFERROR(SMALL(O47:O127,ROW()-ROW($O$130)+1),"")</f>
        <v>0</v>
      </c>
      <c r="P193">
        <f>IFERROR(SMALL(P47:P127,ROW()-ROW($P$130)+1),"")</f>
        <v>0</v>
      </c>
      <c r="Q193">
        <f>IFERROR(SMALL(Q47:Q127,ROW()-ROW($Q$130)+1),"")</f>
        <v>0</v>
      </c>
      <c r="R193">
        <f>IFERROR(SMALL(R47:R127,ROW()-ROW($R$130)+1),"")</f>
        <v>0</v>
      </c>
      <c r="S193">
        <f>IFERROR(SMALL(S47:S127,ROW()-ROW($S$130)+1),"")</f>
        <v>0</v>
      </c>
      <c r="T193">
        <f>IFERROR(SMALL(T47:T127,ROW()-ROW($T$130)+1),"")</f>
        <v>0</v>
      </c>
      <c r="U193">
        <f>IFERROR(SMALL(U47:U127,ROW()-ROW($U$130)+1),"")</f>
        <v>0</v>
      </c>
      <c r="V193">
        <f>IFERROR(SMALL(V47:V127,ROW()-ROW($V$130)+1),"")</f>
        <v>0</v>
      </c>
      <c r="W193">
        <f>IFERROR(SMALL(W47:W127,ROW()-ROW($W$130)+1),"")</f>
        <v>0</v>
      </c>
      <c r="X193">
        <f>IFERROR(SMALL(X47:X127,ROW()-ROW($X$130)+1),"")</f>
        <v>0</v>
      </c>
      <c r="Y193">
        <f>IFERROR(SMALL(Y47:Y127,ROW()-ROW($Y$130)+1),"")</f>
        <v>0</v>
      </c>
      <c r="Z193">
        <f>IFERROR(SMALL(Z47:Z127,ROW()-ROW($Z$130)+1),"")</f>
        <v>0</v>
      </c>
      <c r="AA193">
        <f>IFERROR(SMALL(AA47:AA127,ROW()-ROW($AA$130)+1),"")</f>
        <v>0</v>
      </c>
      <c r="AB193">
        <f>IFERROR(SMALL(AB47:AB127,ROW()-ROW($AB$130)+1),"")</f>
        <v>0</v>
      </c>
      <c r="AC193">
        <f>IFERROR(SMALL(AC47:AC127,ROW()-ROW($AC$130)+1),"")</f>
        <v>0</v>
      </c>
      <c r="AD193">
        <f>IFERROR(SMALL(AD47:AD127,ROW()-ROW($AD$130)+1),"")</f>
        <v>0</v>
      </c>
      <c r="AE193">
        <f>IFERROR(SMALL(AE47:AE127,ROW()-ROW($AE$130)+1),"")</f>
        <v>0</v>
      </c>
      <c r="AF193">
        <f>IFERROR(SMALL(AF47:AF127,ROW()-ROW($AF$130)+1),"")</f>
        <v>0</v>
      </c>
      <c r="AG193">
        <f>IFERROR(SMALL(AG47:AG127,ROW()-ROW($AG$130)+1),"")</f>
        <v>0</v>
      </c>
      <c r="AH193">
        <f>IFERROR(SMALL(AH47:AH127,ROW()-ROW($AH$130)+1),"")</f>
        <v>0</v>
      </c>
      <c r="AI193">
        <f>IFERROR(SMALL(AI47:AI127,ROW()-ROW($AI$130)+1),"")</f>
        <v>0</v>
      </c>
      <c r="AJ193">
        <f>IFERROR(SMALL(AJ47:AJ127,ROW()-ROW($AJ$130)+1),"")</f>
        <v>0</v>
      </c>
      <c r="AK193">
        <f>IFERROR(SMALL(AK47:AK127,ROW()-ROW($AK$130)+1),"")</f>
        <v>0</v>
      </c>
      <c r="AL193">
        <f>IFERROR(SMALL(AL47:AL127,ROW()-ROW($AL$130)+1),"")</f>
        <v>0</v>
      </c>
      <c r="AM193">
        <f>IFERROR(SMALL(AM47:AM127,ROW()-ROW($AM$130)+1),"")</f>
        <v>0</v>
      </c>
      <c r="AN193">
        <f>IFERROR(SMALL(AN47:AN127,ROW()-ROW($AN$130)+1),"")</f>
        <v>0</v>
      </c>
      <c r="AO193">
        <f>IFERROR(SMALL(AO47:AO127,ROW()-ROW($AO$130)+1),"")</f>
        <v>0</v>
      </c>
      <c r="AP193">
        <f>IFERROR(SMALL(AP47:AP127,ROW()-ROW($AP$130)+1),"")</f>
        <v>0</v>
      </c>
      <c r="AQ193">
        <f>IFERROR(SMALL(AQ47:AQ127,ROW()-ROW($AQ$130)+1),"")</f>
        <v>0</v>
      </c>
      <c r="AR193">
        <f>IFERROR(SMALL(AR47:AR127,ROW()-ROW($AR$130)+1),"")</f>
        <v>0</v>
      </c>
      <c r="AS193">
        <f>IFERROR(SMALL(AS47:AS127,ROW()-ROW($AS$130)+1),"")</f>
        <v>0</v>
      </c>
      <c r="AT193">
        <f>IFERROR(SMALL(AT47:AT127,ROW()-ROW($AT$130)+1),"")</f>
        <v>0</v>
      </c>
      <c r="AU193">
        <f>IFERROR(SMALL(AU47:AU127,ROW()-ROW($AU$130)+1),"")</f>
        <v>0</v>
      </c>
      <c r="AV193">
        <f>IFERROR(SMALL(AV47:AV127,ROW()-ROW($AV$130)+1),"")</f>
        <v>0</v>
      </c>
      <c r="AW193">
        <f>IFERROR(SMALL(AW47:AW127,ROW()-ROW($AW$130)+1),"")</f>
        <v>0</v>
      </c>
      <c r="AX193">
        <f>IFERROR(SMALL(AX47:AX127,ROW()-ROW($AX$130)+1),"")</f>
        <v>0</v>
      </c>
      <c r="AY193">
        <f>IFERROR(SMALL(AY47:AY127,ROW()-ROW($AY$130)+1),"")</f>
        <v>0</v>
      </c>
      <c r="AZ193">
        <f>IFERROR(SMALL(AZ47:AZ127,ROW()-ROW($AZ$130)+1),"")</f>
        <v>0</v>
      </c>
      <c r="BA193">
        <f>IFERROR(SMALL(BA47:BA127,ROW()-ROW($BA$130)+1),"")</f>
        <v>0</v>
      </c>
      <c r="BB193">
        <f>IFERROR(SMALL(BB47:BB127,ROW()-ROW($BB$130)+1),"")</f>
        <v>0</v>
      </c>
      <c r="BC193">
        <f>IFERROR(SMALL(BC47:BC127,ROW()-ROW($BC$130)+1),"")</f>
        <v>0</v>
      </c>
      <c r="BD193">
        <f>IFERROR(SMALL(BD47:BD127,ROW()-ROW($BD$130)+1),"")</f>
        <v>0</v>
      </c>
      <c r="BE193">
        <f>IFERROR(SMALL(BE47:BE127,ROW()-ROW($BE$130)+1),"")</f>
        <v>0</v>
      </c>
      <c r="BF193">
        <f>IFERROR(SMALL(BF47:BF127,ROW()-ROW($BF$130)+1),"")</f>
        <v>0</v>
      </c>
      <c r="BG193">
        <f>IFERROR(SMALL(BG47:BG127,ROW()-ROW($BG$130)+1),"")</f>
        <v>0</v>
      </c>
      <c r="BH193">
        <f>IFERROR(SMALL(BH47:BH127,ROW()-ROW($BH$130)+1),"")</f>
        <v>0</v>
      </c>
      <c r="BI193">
        <f>IFERROR(SMALL(BI47:BI127,ROW()-ROW($BI$130)+1),"")</f>
        <v>0</v>
      </c>
      <c r="BJ193">
        <f>IFERROR(SMALL(BJ47:BJ127,ROW()-ROW($BJ$130)+1),"")</f>
        <v>0</v>
      </c>
      <c r="BK193">
        <f>IFERROR(SMALL(BK47:BK127,ROW()-ROW($BK$130)+1),"")</f>
        <v>0</v>
      </c>
      <c r="BL193">
        <f>IFERROR(SMALL(BL47:BL127,ROW()-ROW($BL$130)+1),"")</f>
        <v>0</v>
      </c>
      <c r="BM193">
        <f>IFERROR(SMALL(BM47:BM127,ROW()-ROW($BM$130)+1),"")</f>
        <v>0</v>
      </c>
      <c r="BN193">
        <f>IFERROR(SMALL(BN47:BN127,ROW()-ROW($BN$130)+1),"")</f>
        <v>0</v>
      </c>
      <c r="BO193">
        <f>IFERROR(SMALL(BO47:BO127,ROW()-ROW($BO$130)+1),"")</f>
        <v>0</v>
      </c>
      <c r="BP193">
        <f>IFERROR(SMALL(BP47:BP127,ROW()-ROW($BP$130)+1),"")</f>
        <v>0</v>
      </c>
      <c r="BS193">
        <f>IFERROR(SMALL(BS47:BS127,ROW()-ROW($BS$130)+1),"")</f>
        <v>0</v>
      </c>
      <c r="BT193">
        <f>IFERROR(SMALL(BT47:BT127,ROW()-ROW($BT$130)+1),"")</f>
        <v>0</v>
      </c>
      <c r="BU193">
        <f>IFERROR(SMALL(BU47:BU127,ROW()-ROW($BU$130)+1),"")</f>
        <v>0</v>
      </c>
      <c r="BV193">
        <f>IFERROR(SMALL(BV47:BV127,ROW()-ROW($BV$130)+1),"")</f>
        <v>0</v>
      </c>
      <c r="BW193">
        <f>IFERROR(SMALL(BW47:BW127,ROW()-ROW($BW$130)+1),"")</f>
        <v>0</v>
      </c>
      <c r="BX193">
        <f>IFERROR(SMALL(BX47:BX127,ROW()-ROW($BX$130)+1),"")</f>
        <v>0</v>
      </c>
      <c r="BY193">
        <f>IFERROR(SMALL(BY47:BY127,ROW()-ROW($BY$130)+1),"")</f>
        <v>0</v>
      </c>
      <c r="BZ193">
        <f>IFERROR(SMALL(BZ47:BZ127,ROW()-ROW($BZ$130)+1),"")</f>
        <v>0</v>
      </c>
      <c r="CA193">
        <f>IFERROR(SMALL(CA47:CA127,ROW()-ROW($CA$130)+1),"")</f>
        <v>0</v>
      </c>
      <c r="CB193">
        <f>IFERROR(SMALL(CB47:CB127,ROW()-ROW($CB$130)+1),"")</f>
        <v>0</v>
      </c>
      <c r="CC193">
        <f>IFERROR(SMALL(CC47:CC127,ROW()-ROW($CC$130)+1),"")</f>
        <v>0</v>
      </c>
      <c r="CD193">
        <f>IFERROR(SMALL(CD47:CD127,ROW()-ROW($CD$130)+1),"")</f>
        <v>0</v>
      </c>
      <c r="CE193">
        <f>IFERROR(SMALL(CE47:CE127,ROW()-ROW($CE$130)+1),"")</f>
        <v>0</v>
      </c>
      <c r="CF193">
        <f>IFERROR(SMALL(CF47:CF127,ROW()-ROW($CF$130)+1),"")</f>
        <v>0</v>
      </c>
      <c r="CG193">
        <f>IFERROR(SMALL(CG47:CG127,ROW()-ROW($CG$130)+1),"")</f>
        <v>0</v>
      </c>
      <c r="CH193">
        <f>IFERROR(SMALL(CH47:CH127,ROW()-ROW($CH$130)+1),"")</f>
        <v>0</v>
      </c>
      <c r="CI193">
        <f>IFERROR(SMALL(CI47:CI127,ROW()-ROW($CI$130)+1),"")</f>
        <v>0</v>
      </c>
      <c r="CJ193">
        <f>IFERROR(SMALL(CJ47:CJ127,ROW()-ROW($CJ$130)+1),"")</f>
        <v>0</v>
      </c>
      <c r="CK193">
        <f>IFERROR(SMALL(CK47:CK127,ROW()-ROW($CK$130)+1),"")</f>
        <v>0</v>
      </c>
      <c r="CL193">
        <f>IFERROR(SMALL(CL47:CL127,ROW()-ROW($CL$130)+1),"")</f>
        <v>0</v>
      </c>
      <c r="CM193">
        <f>IFERROR(SMALL(CM47:CM127,ROW()-ROW($CM$130)+1),"")</f>
        <v>0</v>
      </c>
      <c r="CN193">
        <f>IFERROR(SMALL(CN47:CN127,ROW()-ROW($CN$130)+1),"")</f>
        <v>0</v>
      </c>
      <c r="CO193">
        <f>IFERROR(SMALL(CO47:CO127,ROW()-ROW($CO$130)+1),"")</f>
        <v>0</v>
      </c>
      <c r="CP193">
        <f>IFERROR(SMALL(CP47:CP127,ROW()-ROW($CP$130)+1),"")</f>
        <v>0</v>
      </c>
      <c r="CQ193">
        <f>IFERROR(SMALL(CQ47:CQ127,ROW()-ROW($CQ$130)+1),"")</f>
        <v>0</v>
      </c>
      <c r="CR193">
        <f>IFERROR(SMALL(CR47:CR127,ROW()-ROW($CR$130)+1),"")</f>
        <v>0</v>
      </c>
      <c r="CS193">
        <f>IFERROR(SMALL(CS47:CS127,ROW()-ROW($CS$130)+1),"")</f>
        <v>0</v>
      </c>
      <c r="CT193">
        <f>IFERROR(SMALL(CT47:CT127,ROW()-ROW($CT$130)+1),"")</f>
        <v>0</v>
      </c>
      <c r="CU193">
        <f>IFERROR(SMALL(CU47:CU127,ROW()-ROW($CU$130)+1),"")</f>
        <v>0</v>
      </c>
      <c r="CV193">
        <f>IFERROR(SMALL(CV47:CV127,ROW()-ROW($CV$130)+1),"")</f>
        <v>0</v>
      </c>
      <c r="CW193">
        <f>IFERROR(SMALL(CW47:CW127,ROW()-ROW($CW$130)+1),"")</f>
        <v>0</v>
      </c>
      <c r="CX193">
        <f>IFERROR(SMALL(CX47:CX127,ROW()-ROW($CX$130)+1),"")</f>
        <v>0</v>
      </c>
      <c r="CY193">
        <f>IFERROR(SMALL(CY47:CY127,ROW()-ROW($CY$130)+1),"")</f>
        <v>0</v>
      </c>
      <c r="CZ193">
        <f>IFERROR(SMALL(CZ47:CZ127,ROW()-ROW($CZ$130)+1),"")</f>
        <v>0</v>
      </c>
      <c r="DA193">
        <f>IFERROR(SMALL(DA47:DA127,ROW()-ROW($DA$130)+1),"")</f>
        <v>0</v>
      </c>
      <c r="DB193">
        <f>IFERROR(SMALL(DB47:DB127,ROW()-ROW($DB$130)+1),"")</f>
        <v>0</v>
      </c>
      <c r="DC193">
        <f>IFERROR(SMALL(DC47:DC127,ROW()-ROW($DC$130)+1),"")</f>
        <v>0</v>
      </c>
      <c r="DD193">
        <f>IFERROR(SMALL(DD47:DD127,ROW()-ROW($DD$130)+1),"")</f>
        <v>0</v>
      </c>
      <c r="DE193">
        <f>IFERROR(SMALL(DE47:DE127,ROW()-ROW($DE$130)+1),"")</f>
        <v>0</v>
      </c>
      <c r="DF193">
        <f>IFERROR(SMALL(DF47:DF127,ROW()-ROW($DF$130)+1),"")</f>
        <v>0</v>
      </c>
      <c r="DG193">
        <f>IFERROR(SMALL(DG47:DG127,ROW()-ROW($DG$130)+1),"")</f>
        <v>0</v>
      </c>
      <c r="DH193">
        <f>IFERROR(SMALL(DH47:DH127,ROW()-ROW($DH$130)+1),"")</f>
        <v>0</v>
      </c>
      <c r="DI193">
        <f>IFERROR(SMALL(DI47:DI127,ROW()-ROW($DI$130)+1),"")</f>
        <v>0</v>
      </c>
      <c r="DJ193">
        <f>IFERROR(SMALL(DJ47:DJ127,ROW()-ROW($DJ$130)+1),"")</f>
        <v>0</v>
      </c>
      <c r="DK193">
        <f>IFERROR(SMALL(DK47:DK127,ROW()-ROW($DK$130)+1),"")</f>
        <v>0</v>
      </c>
      <c r="DL193">
        <f>IFERROR(SMALL(DL47:DL127,ROW()-ROW($DL$130)+1),"")</f>
        <v>0</v>
      </c>
      <c r="DM193">
        <f>IFERROR(SMALL(DM47:DM127,ROW()-ROW($DM$130)+1),"")</f>
        <v>0</v>
      </c>
      <c r="DN193">
        <f>IFERROR(SMALL(DN47:DN127,ROW()-ROW($DN$130)+1),"")</f>
        <v>0</v>
      </c>
      <c r="DO193">
        <f>IFERROR(SMALL(DO47:DO127,ROW()-ROW($DO$130)+1),"")</f>
        <v>0</v>
      </c>
      <c r="DP193">
        <f>IFERROR(SMALL(DP47:DP127,ROW()-ROW($DP$130)+1),"")</f>
        <v>0</v>
      </c>
      <c r="DQ193">
        <f>IFERROR(SMALL(DQ47:DQ127,ROW()-ROW($DQ$130)+1),"")</f>
        <v>0</v>
      </c>
      <c r="DR193">
        <f>IFERROR(SMALL(DR47:DR127,ROW()-ROW($DR$130)+1),"")</f>
        <v>0</v>
      </c>
      <c r="DS193">
        <f>IFERROR(SMALL(DS47:DS127,ROW()-ROW($DS$130)+1),"")</f>
        <v>0</v>
      </c>
      <c r="DT193">
        <f>IFERROR(SMALL(DT47:DT127,ROW()-ROW($DT$130)+1),"")</f>
        <v>0</v>
      </c>
      <c r="DU193">
        <f>IFERROR(SMALL(DU47:DU127,ROW()-ROW($DU$130)+1),"")</f>
        <v>0</v>
      </c>
      <c r="DV193">
        <f>IFERROR(SMALL(DV47:DV127,ROW()-ROW($DV$130)+1),"")</f>
        <v>0</v>
      </c>
      <c r="DW193">
        <f>IFERROR(SMALL(DW47:DW127,ROW()-ROW($DW$130)+1),"")</f>
        <v>0</v>
      </c>
      <c r="DX193">
        <f>IFERROR(SMALL(DX47:DX127,ROW()-ROW($DX$130)+1),"")</f>
        <v>0</v>
      </c>
      <c r="DY193">
        <f>IFERROR(SMALL(DY47:DY127,ROW()-ROW($DY$130)+1),"")</f>
        <v>0</v>
      </c>
      <c r="DZ193">
        <f>IFERROR(SMALL(DZ47:DZ127,ROW()-ROW($DZ$130)+1),"")</f>
        <v>0</v>
      </c>
      <c r="EA193">
        <f>IFERROR(SMALL(EA47:EA127,ROW()-ROW($EA$130)+1),"")</f>
        <v>0</v>
      </c>
      <c r="EB193">
        <f>IFERROR(SMALL(EB47:EB127,ROW()-ROW($EB$130)+1),"")</f>
        <v>0</v>
      </c>
      <c r="EC193">
        <f>IFERROR(SMALL(EC47:EC127,ROW()-ROW($EC$130)+1),"")</f>
        <v>0</v>
      </c>
      <c r="ED193">
        <f>IFERROR(SMALL(ED47:ED127,ROW()-ROW($ED$130)+1),"")</f>
        <v>0</v>
      </c>
    </row>
    <row r="194" spans="5:134">
      <c r="E194">
        <f>IFERROR(SMALL(E47:E127,ROW()-ROW($E$130)+1),"")</f>
        <v>0</v>
      </c>
      <c r="F194">
        <f>IFERROR(SMALL(F47:F127,ROW()-ROW($F$130)+1),"")</f>
        <v>0</v>
      </c>
      <c r="G194">
        <f>IFERROR(SMALL(G47:G127,ROW()-ROW($G$130)+1),"")</f>
        <v>0</v>
      </c>
      <c r="H194">
        <f>IFERROR(SMALL(H47:H127,ROW()-ROW($H$130)+1),"")</f>
        <v>0</v>
      </c>
      <c r="I194">
        <f>IFERROR(SMALL(I47:I127,ROW()-ROW($I$130)+1),"")</f>
        <v>0</v>
      </c>
      <c r="J194">
        <f>IFERROR(SMALL(J47:J127,ROW()-ROW($J$130)+1),"")</f>
        <v>0</v>
      </c>
      <c r="K194">
        <f>IFERROR(SMALL(K47:K127,ROW()-ROW($K$130)+1),"")</f>
        <v>0</v>
      </c>
      <c r="L194">
        <f>IFERROR(SMALL(L47:L127,ROW()-ROW($L$130)+1),"")</f>
        <v>0</v>
      </c>
      <c r="M194">
        <f>IFERROR(SMALL(M47:M127,ROW()-ROW($M$130)+1),"")</f>
        <v>0</v>
      </c>
      <c r="N194">
        <f>IFERROR(SMALL(N47:N127,ROW()-ROW($N$130)+1),"")</f>
        <v>0</v>
      </c>
      <c r="O194">
        <f>IFERROR(SMALL(O47:O127,ROW()-ROW($O$130)+1),"")</f>
        <v>0</v>
      </c>
      <c r="P194">
        <f>IFERROR(SMALL(P47:P127,ROW()-ROW($P$130)+1),"")</f>
        <v>0</v>
      </c>
      <c r="Q194">
        <f>IFERROR(SMALL(Q47:Q127,ROW()-ROW($Q$130)+1),"")</f>
        <v>0</v>
      </c>
      <c r="R194">
        <f>IFERROR(SMALL(R47:R127,ROW()-ROW($R$130)+1),"")</f>
        <v>0</v>
      </c>
      <c r="S194">
        <f>IFERROR(SMALL(S47:S127,ROW()-ROW($S$130)+1),"")</f>
        <v>0</v>
      </c>
      <c r="T194">
        <f>IFERROR(SMALL(T47:T127,ROW()-ROW($T$130)+1),"")</f>
        <v>0</v>
      </c>
      <c r="U194">
        <f>IFERROR(SMALL(U47:U127,ROW()-ROW($U$130)+1),"")</f>
        <v>0</v>
      </c>
      <c r="V194">
        <f>IFERROR(SMALL(V47:V127,ROW()-ROW($V$130)+1),"")</f>
        <v>0</v>
      </c>
      <c r="W194">
        <f>IFERROR(SMALL(W47:W127,ROW()-ROW($W$130)+1),"")</f>
        <v>0</v>
      </c>
      <c r="X194">
        <f>IFERROR(SMALL(X47:X127,ROW()-ROW($X$130)+1),"")</f>
        <v>0</v>
      </c>
      <c r="Y194">
        <f>IFERROR(SMALL(Y47:Y127,ROW()-ROW($Y$130)+1),"")</f>
        <v>0</v>
      </c>
      <c r="Z194">
        <f>IFERROR(SMALL(Z47:Z127,ROW()-ROW($Z$130)+1),"")</f>
        <v>0</v>
      </c>
      <c r="AA194">
        <f>IFERROR(SMALL(AA47:AA127,ROW()-ROW($AA$130)+1),"")</f>
        <v>0</v>
      </c>
      <c r="AB194">
        <f>IFERROR(SMALL(AB47:AB127,ROW()-ROW($AB$130)+1),"")</f>
        <v>0</v>
      </c>
      <c r="AC194">
        <f>IFERROR(SMALL(AC47:AC127,ROW()-ROW($AC$130)+1),"")</f>
        <v>0</v>
      </c>
      <c r="AD194">
        <f>IFERROR(SMALL(AD47:AD127,ROW()-ROW($AD$130)+1),"")</f>
        <v>0</v>
      </c>
      <c r="AE194">
        <f>IFERROR(SMALL(AE47:AE127,ROW()-ROW($AE$130)+1),"")</f>
        <v>0</v>
      </c>
      <c r="AF194">
        <f>IFERROR(SMALL(AF47:AF127,ROW()-ROW($AF$130)+1),"")</f>
        <v>0</v>
      </c>
      <c r="AG194">
        <f>IFERROR(SMALL(AG47:AG127,ROW()-ROW($AG$130)+1),"")</f>
        <v>0</v>
      </c>
      <c r="AH194">
        <f>IFERROR(SMALL(AH47:AH127,ROW()-ROW($AH$130)+1),"")</f>
        <v>0</v>
      </c>
      <c r="AI194">
        <f>IFERROR(SMALL(AI47:AI127,ROW()-ROW($AI$130)+1),"")</f>
        <v>0</v>
      </c>
      <c r="AJ194">
        <f>IFERROR(SMALL(AJ47:AJ127,ROW()-ROW($AJ$130)+1),"")</f>
        <v>0</v>
      </c>
      <c r="AK194">
        <f>IFERROR(SMALL(AK47:AK127,ROW()-ROW($AK$130)+1),"")</f>
        <v>0</v>
      </c>
      <c r="AL194">
        <f>IFERROR(SMALL(AL47:AL127,ROW()-ROW($AL$130)+1),"")</f>
        <v>0</v>
      </c>
      <c r="AM194">
        <f>IFERROR(SMALL(AM47:AM127,ROW()-ROW($AM$130)+1),"")</f>
        <v>0</v>
      </c>
      <c r="AN194">
        <f>IFERROR(SMALL(AN47:AN127,ROW()-ROW($AN$130)+1),"")</f>
        <v>0</v>
      </c>
      <c r="AO194">
        <f>IFERROR(SMALL(AO47:AO127,ROW()-ROW($AO$130)+1),"")</f>
        <v>0</v>
      </c>
      <c r="AP194">
        <f>IFERROR(SMALL(AP47:AP127,ROW()-ROW($AP$130)+1),"")</f>
        <v>0</v>
      </c>
      <c r="AQ194">
        <f>IFERROR(SMALL(AQ47:AQ127,ROW()-ROW($AQ$130)+1),"")</f>
        <v>0</v>
      </c>
      <c r="AR194">
        <f>IFERROR(SMALL(AR47:AR127,ROW()-ROW($AR$130)+1),"")</f>
        <v>0</v>
      </c>
      <c r="AS194">
        <f>IFERROR(SMALL(AS47:AS127,ROW()-ROW($AS$130)+1),"")</f>
        <v>0</v>
      </c>
      <c r="AT194">
        <f>IFERROR(SMALL(AT47:AT127,ROW()-ROW($AT$130)+1),"")</f>
        <v>0</v>
      </c>
      <c r="AU194">
        <f>IFERROR(SMALL(AU47:AU127,ROW()-ROW($AU$130)+1),"")</f>
        <v>0</v>
      </c>
      <c r="AV194">
        <f>IFERROR(SMALL(AV47:AV127,ROW()-ROW($AV$130)+1),"")</f>
        <v>0</v>
      </c>
      <c r="AW194">
        <f>IFERROR(SMALL(AW47:AW127,ROW()-ROW($AW$130)+1),"")</f>
        <v>0</v>
      </c>
      <c r="AX194">
        <f>IFERROR(SMALL(AX47:AX127,ROW()-ROW($AX$130)+1),"")</f>
        <v>0</v>
      </c>
      <c r="AY194">
        <f>IFERROR(SMALL(AY47:AY127,ROW()-ROW($AY$130)+1),"")</f>
        <v>0</v>
      </c>
      <c r="AZ194">
        <f>IFERROR(SMALL(AZ47:AZ127,ROW()-ROW($AZ$130)+1),"")</f>
        <v>0</v>
      </c>
      <c r="BA194">
        <f>IFERROR(SMALL(BA47:BA127,ROW()-ROW($BA$130)+1),"")</f>
        <v>0</v>
      </c>
      <c r="BB194">
        <f>IFERROR(SMALL(BB47:BB127,ROW()-ROW($BB$130)+1),"")</f>
        <v>0</v>
      </c>
      <c r="BC194">
        <f>IFERROR(SMALL(BC47:BC127,ROW()-ROW($BC$130)+1),"")</f>
        <v>0</v>
      </c>
      <c r="BD194">
        <f>IFERROR(SMALL(BD47:BD127,ROW()-ROW($BD$130)+1),"")</f>
        <v>0</v>
      </c>
      <c r="BE194">
        <f>IFERROR(SMALL(BE47:BE127,ROW()-ROW($BE$130)+1),"")</f>
        <v>0</v>
      </c>
      <c r="BF194">
        <f>IFERROR(SMALL(BF47:BF127,ROW()-ROW($BF$130)+1),"")</f>
        <v>0</v>
      </c>
      <c r="BG194">
        <f>IFERROR(SMALL(BG47:BG127,ROW()-ROW($BG$130)+1),"")</f>
        <v>0</v>
      </c>
      <c r="BH194">
        <f>IFERROR(SMALL(BH47:BH127,ROW()-ROW($BH$130)+1),"")</f>
        <v>0</v>
      </c>
      <c r="BI194">
        <f>IFERROR(SMALL(BI47:BI127,ROW()-ROW($BI$130)+1),"")</f>
        <v>0</v>
      </c>
      <c r="BJ194">
        <f>IFERROR(SMALL(BJ47:BJ127,ROW()-ROW($BJ$130)+1),"")</f>
        <v>0</v>
      </c>
      <c r="BK194">
        <f>IFERROR(SMALL(BK47:BK127,ROW()-ROW($BK$130)+1),"")</f>
        <v>0</v>
      </c>
      <c r="BL194">
        <f>IFERROR(SMALL(BL47:BL127,ROW()-ROW($BL$130)+1),"")</f>
        <v>0</v>
      </c>
      <c r="BM194">
        <f>IFERROR(SMALL(BM47:BM127,ROW()-ROW($BM$130)+1),"")</f>
        <v>0</v>
      </c>
      <c r="BN194">
        <f>IFERROR(SMALL(BN47:BN127,ROW()-ROW($BN$130)+1),"")</f>
        <v>0</v>
      </c>
      <c r="BO194">
        <f>IFERROR(SMALL(BO47:BO127,ROW()-ROW($BO$130)+1),"")</f>
        <v>0</v>
      </c>
      <c r="BP194">
        <f>IFERROR(SMALL(BP47:BP127,ROW()-ROW($BP$130)+1),"")</f>
        <v>0</v>
      </c>
      <c r="BS194">
        <f>IFERROR(SMALL(BS47:BS127,ROW()-ROW($BS$130)+1),"")</f>
        <v>0</v>
      </c>
      <c r="BT194">
        <f>IFERROR(SMALL(BT47:BT127,ROW()-ROW($BT$130)+1),"")</f>
        <v>0</v>
      </c>
      <c r="BU194">
        <f>IFERROR(SMALL(BU47:BU127,ROW()-ROW($BU$130)+1),"")</f>
        <v>0</v>
      </c>
      <c r="BV194">
        <f>IFERROR(SMALL(BV47:BV127,ROW()-ROW($BV$130)+1),"")</f>
        <v>0</v>
      </c>
      <c r="BW194">
        <f>IFERROR(SMALL(BW47:BW127,ROW()-ROW($BW$130)+1),"")</f>
        <v>0</v>
      </c>
      <c r="BX194">
        <f>IFERROR(SMALL(BX47:BX127,ROW()-ROW($BX$130)+1),"")</f>
        <v>0</v>
      </c>
      <c r="BY194">
        <f>IFERROR(SMALL(BY47:BY127,ROW()-ROW($BY$130)+1),"")</f>
        <v>0</v>
      </c>
      <c r="BZ194">
        <f>IFERROR(SMALL(BZ47:BZ127,ROW()-ROW($BZ$130)+1),"")</f>
        <v>0</v>
      </c>
      <c r="CA194">
        <f>IFERROR(SMALL(CA47:CA127,ROW()-ROW($CA$130)+1),"")</f>
        <v>0</v>
      </c>
      <c r="CB194">
        <f>IFERROR(SMALL(CB47:CB127,ROW()-ROW($CB$130)+1),"")</f>
        <v>0</v>
      </c>
      <c r="CC194">
        <f>IFERROR(SMALL(CC47:CC127,ROW()-ROW($CC$130)+1),"")</f>
        <v>0</v>
      </c>
      <c r="CD194">
        <f>IFERROR(SMALL(CD47:CD127,ROW()-ROW($CD$130)+1),"")</f>
        <v>0</v>
      </c>
      <c r="CE194">
        <f>IFERROR(SMALL(CE47:CE127,ROW()-ROW($CE$130)+1),"")</f>
        <v>0</v>
      </c>
      <c r="CF194">
        <f>IFERROR(SMALL(CF47:CF127,ROW()-ROW($CF$130)+1),"")</f>
        <v>0</v>
      </c>
      <c r="CG194">
        <f>IFERROR(SMALL(CG47:CG127,ROW()-ROW($CG$130)+1),"")</f>
        <v>0</v>
      </c>
      <c r="CH194">
        <f>IFERROR(SMALL(CH47:CH127,ROW()-ROW($CH$130)+1),"")</f>
        <v>0</v>
      </c>
      <c r="CI194">
        <f>IFERROR(SMALL(CI47:CI127,ROW()-ROW($CI$130)+1),"")</f>
        <v>0</v>
      </c>
      <c r="CJ194">
        <f>IFERROR(SMALL(CJ47:CJ127,ROW()-ROW($CJ$130)+1),"")</f>
        <v>0</v>
      </c>
      <c r="CK194">
        <f>IFERROR(SMALL(CK47:CK127,ROW()-ROW($CK$130)+1),"")</f>
        <v>0</v>
      </c>
      <c r="CL194">
        <f>IFERROR(SMALL(CL47:CL127,ROW()-ROW($CL$130)+1),"")</f>
        <v>0</v>
      </c>
      <c r="CM194">
        <f>IFERROR(SMALL(CM47:CM127,ROW()-ROW($CM$130)+1),"")</f>
        <v>0</v>
      </c>
      <c r="CN194">
        <f>IFERROR(SMALL(CN47:CN127,ROW()-ROW($CN$130)+1),"")</f>
        <v>0</v>
      </c>
      <c r="CO194">
        <f>IFERROR(SMALL(CO47:CO127,ROW()-ROW($CO$130)+1),"")</f>
        <v>0</v>
      </c>
      <c r="CP194">
        <f>IFERROR(SMALL(CP47:CP127,ROW()-ROW($CP$130)+1),"")</f>
        <v>0</v>
      </c>
      <c r="CQ194">
        <f>IFERROR(SMALL(CQ47:CQ127,ROW()-ROW($CQ$130)+1),"")</f>
        <v>0</v>
      </c>
      <c r="CR194">
        <f>IFERROR(SMALL(CR47:CR127,ROW()-ROW($CR$130)+1),"")</f>
        <v>0</v>
      </c>
      <c r="CS194">
        <f>IFERROR(SMALL(CS47:CS127,ROW()-ROW($CS$130)+1),"")</f>
        <v>0</v>
      </c>
      <c r="CT194">
        <f>IFERROR(SMALL(CT47:CT127,ROW()-ROW($CT$130)+1),"")</f>
        <v>0</v>
      </c>
      <c r="CU194">
        <f>IFERROR(SMALL(CU47:CU127,ROW()-ROW($CU$130)+1),"")</f>
        <v>0</v>
      </c>
      <c r="CV194">
        <f>IFERROR(SMALL(CV47:CV127,ROW()-ROW($CV$130)+1),"")</f>
        <v>0</v>
      </c>
      <c r="CW194">
        <f>IFERROR(SMALL(CW47:CW127,ROW()-ROW($CW$130)+1),"")</f>
        <v>0</v>
      </c>
      <c r="CX194">
        <f>IFERROR(SMALL(CX47:CX127,ROW()-ROW($CX$130)+1),"")</f>
        <v>0</v>
      </c>
      <c r="CY194">
        <f>IFERROR(SMALL(CY47:CY127,ROW()-ROW($CY$130)+1),"")</f>
        <v>0</v>
      </c>
      <c r="CZ194">
        <f>IFERROR(SMALL(CZ47:CZ127,ROW()-ROW($CZ$130)+1),"")</f>
        <v>0</v>
      </c>
      <c r="DA194">
        <f>IFERROR(SMALL(DA47:DA127,ROW()-ROW($DA$130)+1),"")</f>
        <v>0</v>
      </c>
      <c r="DB194">
        <f>IFERROR(SMALL(DB47:DB127,ROW()-ROW($DB$130)+1),"")</f>
        <v>0</v>
      </c>
      <c r="DC194">
        <f>IFERROR(SMALL(DC47:DC127,ROW()-ROW($DC$130)+1),"")</f>
        <v>0</v>
      </c>
      <c r="DD194">
        <f>IFERROR(SMALL(DD47:DD127,ROW()-ROW($DD$130)+1),"")</f>
        <v>0</v>
      </c>
      <c r="DE194">
        <f>IFERROR(SMALL(DE47:DE127,ROW()-ROW($DE$130)+1),"")</f>
        <v>0</v>
      </c>
      <c r="DF194">
        <f>IFERROR(SMALL(DF47:DF127,ROW()-ROW($DF$130)+1),"")</f>
        <v>0</v>
      </c>
      <c r="DG194">
        <f>IFERROR(SMALL(DG47:DG127,ROW()-ROW($DG$130)+1),"")</f>
        <v>0</v>
      </c>
      <c r="DH194">
        <f>IFERROR(SMALL(DH47:DH127,ROW()-ROW($DH$130)+1),"")</f>
        <v>0</v>
      </c>
      <c r="DI194">
        <f>IFERROR(SMALL(DI47:DI127,ROW()-ROW($DI$130)+1),"")</f>
        <v>0</v>
      </c>
      <c r="DJ194">
        <f>IFERROR(SMALL(DJ47:DJ127,ROW()-ROW($DJ$130)+1),"")</f>
        <v>0</v>
      </c>
      <c r="DK194">
        <f>IFERROR(SMALL(DK47:DK127,ROW()-ROW($DK$130)+1),"")</f>
        <v>0</v>
      </c>
      <c r="DL194">
        <f>IFERROR(SMALL(DL47:DL127,ROW()-ROW($DL$130)+1),"")</f>
        <v>0</v>
      </c>
      <c r="DM194">
        <f>IFERROR(SMALL(DM47:DM127,ROW()-ROW($DM$130)+1),"")</f>
        <v>0</v>
      </c>
      <c r="DN194">
        <f>IFERROR(SMALL(DN47:DN127,ROW()-ROW($DN$130)+1),"")</f>
        <v>0</v>
      </c>
      <c r="DO194">
        <f>IFERROR(SMALL(DO47:DO127,ROW()-ROW($DO$130)+1),"")</f>
        <v>0</v>
      </c>
      <c r="DP194">
        <f>IFERROR(SMALL(DP47:DP127,ROW()-ROW($DP$130)+1),"")</f>
        <v>0</v>
      </c>
      <c r="DQ194">
        <f>IFERROR(SMALL(DQ47:DQ127,ROW()-ROW($DQ$130)+1),"")</f>
        <v>0</v>
      </c>
      <c r="DR194">
        <f>IFERROR(SMALL(DR47:DR127,ROW()-ROW($DR$130)+1),"")</f>
        <v>0</v>
      </c>
      <c r="DS194">
        <f>IFERROR(SMALL(DS47:DS127,ROW()-ROW($DS$130)+1),"")</f>
        <v>0</v>
      </c>
      <c r="DT194">
        <f>IFERROR(SMALL(DT47:DT127,ROW()-ROW($DT$130)+1),"")</f>
        <v>0</v>
      </c>
      <c r="DU194">
        <f>IFERROR(SMALL(DU47:DU127,ROW()-ROW($DU$130)+1),"")</f>
        <v>0</v>
      </c>
      <c r="DV194">
        <f>IFERROR(SMALL(DV47:DV127,ROW()-ROW($DV$130)+1),"")</f>
        <v>0</v>
      </c>
      <c r="DW194">
        <f>IFERROR(SMALL(DW47:DW127,ROW()-ROW($DW$130)+1),"")</f>
        <v>0</v>
      </c>
      <c r="DX194">
        <f>IFERROR(SMALL(DX47:DX127,ROW()-ROW($DX$130)+1),"")</f>
        <v>0</v>
      </c>
      <c r="DY194">
        <f>IFERROR(SMALL(DY47:DY127,ROW()-ROW($DY$130)+1),"")</f>
        <v>0</v>
      </c>
      <c r="DZ194">
        <f>IFERROR(SMALL(DZ47:DZ127,ROW()-ROW($DZ$130)+1),"")</f>
        <v>0</v>
      </c>
      <c r="EA194">
        <f>IFERROR(SMALL(EA47:EA127,ROW()-ROW($EA$130)+1),"")</f>
        <v>0</v>
      </c>
      <c r="EB194">
        <f>IFERROR(SMALL(EB47:EB127,ROW()-ROW($EB$130)+1),"")</f>
        <v>0</v>
      </c>
      <c r="EC194">
        <f>IFERROR(SMALL(EC47:EC127,ROW()-ROW($EC$130)+1),"")</f>
        <v>0</v>
      </c>
      <c r="ED194">
        <f>IFERROR(SMALL(ED47:ED127,ROW()-ROW($ED$130)+1),"")</f>
        <v>0</v>
      </c>
    </row>
    <row r="195" spans="5:134">
      <c r="E195">
        <f>IFERROR(SMALL(E47:E127,ROW()-ROW($E$130)+1),"")</f>
        <v>0</v>
      </c>
      <c r="F195">
        <f>IFERROR(SMALL(F47:F127,ROW()-ROW($F$130)+1),"")</f>
        <v>0</v>
      </c>
      <c r="G195">
        <f>IFERROR(SMALL(G47:G127,ROW()-ROW($G$130)+1),"")</f>
        <v>0</v>
      </c>
      <c r="H195">
        <f>IFERROR(SMALL(H47:H127,ROW()-ROW($H$130)+1),"")</f>
        <v>0</v>
      </c>
      <c r="I195">
        <f>IFERROR(SMALL(I47:I127,ROW()-ROW($I$130)+1),"")</f>
        <v>0</v>
      </c>
      <c r="J195">
        <f>IFERROR(SMALL(J47:J127,ROW()-ROW($J$130)+1),"")</f>
        <v>0</v>
      </c>
      <c r="K195">
        <f>IFERROR(SMALL(K47:K127,ROW()-ROW($K$130)+1),"")</f>
        <v>0</v>
      </c>
      <c r="L195">
        <f>IFERROR(SMALL(L47:L127,ROW()-ROW($L$130)+1),"")</f>
        <v>0</v>
      </c>
      <c r="M195">
        <f>IFERROR(SMALL(M47:M127,ROW()-ROW($M$130)+1),"")</f>
        <v>0</v>
      </c>
      <c r="N195">
        <f>IFERROR(SMALL(N47:N127,ROW()-ROW($N$130)+1),"")</f>
        <v>0</v>
      </c>
      <c r="O195">
        <f>IFERROR(SMALL(O47:O127,ROW()-ROW($O$130)+1),"")</f>
        <v>0</v>
      </c>
      <c r="P195">
        <f>IFERROR(SMALL(P47:P127,ROW()-ROW($P$130)+1),"")</f>
        <v>0</v>
      </c>
      <c r="Q195">
        <f>IFERROR(SMALL(Q47:Q127,ROW()-ROW($Q$130)+1),"")</f>
        <v>0</v>
      </c>
      <c r="R195">
        <f>IFERROR(SMALL(R47:R127,ROW()-ROW($R$130)+1),"")</f>
        <v>0</v>
      </c>
      <c r="S195">
        <f>IFERROR(SMALL(S47:S127,ROW()-ROW($S$130)+1),"")</f>
        <v>0</v>
      </c>
      <c r="T195">
        <f>IFERROR(SMALL(T47:T127,ROW()-ROW($T$130)+1),"")</f>
        <v>0</v>
      </c>
      <c r="U195">
        <f>IFERROR(SMALL(U47:U127,ROW()-ROW($U$130)+1),"")</f>
        <v>0</v>
      </c>
      <c r="V195">
        <f>IFERROR(SMALL(V47:V127,ROW()-ROW($V$130)+1),"")</f>
        <v>0</v>
      </c>
      <c r="W195">
        <f>IFERROR(SMALL(W47:W127,ROW()-ROW($W$130)+1),"")</f>
        <v>0</v>
      </c>
      <c r="X195">
        <f>IFERROR(SMALL(X47:X127,ROW()-ROW($X$130)+1),"")</f>
        <v>0</v>
      </c>
      <c r="Y195">
        <f>IFERROR(SMALL(Y47:Y127,ROW()-ROW($Y$130)+1),"")</f>
        <v>0</v>
      </c>
      <c r="Z195">
        <f>IFERROR(SMALL(Z47:Z127,ROW()-ROW($Z$130)+1),"")</f>
        <v>0</v>
      </c>
      <c r="AA195">
        <f>IFERROR(SMALL(AA47:AA127,ROW()-ROW($AA$130)+1),"")</f>
        <v>0</v>
      </c>
      <c r="AB195">
        <f>IFERROR(SMALL(AB47:AB127,ROW()-ROW($AB$130)+1),"")</f>
        <v>0</v>
      </c>
      <c r="AC195">
        <f>IFERROR(SMALL(AC47:AC127,ROW()-ROW($AC$130)+1),"")</f>
        <v>0</v>
      </c>
      <c r="AD195">
        <f>IFERROR(SMALL(AD47:AD127,ROW()-ROW($AD$130)+1),"")</f>
        <v>0</v>
      </c>
      <c r="AE195">
        <f>IFERROR(SMALL(AE47:AE127,ROW()-ROW($AE$130)+1),"")</f>
        <v>0</v>
      </c>
      <c r="AF195">
        <f>IFERROR(SMALL(AF47:AF127,ROW()-ROW($AF$130)+1),"")</f>
        <v>0</v>
      </c>
      <c r="AG195">
        <f>IFERROR(SMALL(AG47:AG127,ROW()-ROW($AG$130)+1),"")</f>
        <v>0</v>
      </c>
      <c r="AH195">
        <f>IFERROR(SMALL(AH47:AH127,ROW()-ROW($AH$130)+1),"")</f>
        <v>0</v>
      </c>
      <c r="AI195">
        <f>IFERROR(SMALL(AI47:AI127,ROW()-ROW($AI$130)+1),"")</f>
        <v>0</v>
      </c>
      <c r="AJ195">
        <f>IFERROR(SMALL(AJ47:AJ127,ROW()-ROW($AJ$130)+1),"")</f>
        <v>0</v>
      </c>
      <c r="AK195">
        <f>IFERROR(SMALL(AK47:AK127,ROW()-ROW($AK$130)+1),"")</f>
        <v>0</v>
      </c>
      <c r="AL195">
        <f>IFERROR(SMALL(AL47:AL127,ROW()-ROW($AL$130)+1),"")</f>
        <v>0</v>
      </c>
      <c r="AM195">
        <f>IFERROR(SMALL(AM47:AM127,ROW()-ROW($AM$130)+1),"")</f>
        <v>0</v>
      </c>
      <c r="AN195">
        <f>IFERROR(SMALL(AN47:AN127,ROW()-ROW($AN$130)+1),"")</f>
        <v>0</v>
      </c>
      <c r="AO195">
        <f>IFERROR(SMALL(AO47:AO127,ROW()-ROW($AO$130)+1),"")</f>
        <v>0</v>
      </c>
      <c r="AP195">
        <f>IFERROR(SMALL(AP47:AP127,ROW()-ROW($AP$130)+1),"")</f>
        <v>0</v>
      </c>
      <c r="AQ195">
        <f>IFERROR(SMALL(AQ47:AQ127,ROW()-ROW($AQ$130)+1),"")</f>
        <v>0</v>
      </c>
      <c r="AR195">
        <f>IFERROR(SMALL(AR47:AR127,ROW()-ROW($AR$130)+1),"")</f>
        <v>0</v>
      </c>
      <c r="AS195">
        <f>IFERROR(SMALL(AS47:AS127,ROW()-ROW($AS$130)+1),"")</f>
        <v>0</v>
      </c>
      <c r="AT195">
        <f>IFERROR(SMALL(AT47:AT127,ROW()-ROW($AT$130)+1),"")</f>
        <v>0</v>
      </c>
      <c r="AU195">
        <f>IFERROR(SMALL(AU47:AU127,ROW()-ROW($AU$130)+1),"")</f>
        <v>0</v>
      </c>
      <c r="AV195">
        <f>IFERROR(SMALL(AV47:AV127,ROW()-ROW($AV$130)+1),"")</f>
        <v>0</v>
      </c>
      <c r="AW195">
        <f>IFERROR(SMALL(AW47:AW127,ROW()-ROW($AW$130)+1),"")</f>
        <v>0</v>
      </c>
      <c r="AX195">
        <f>IFERROR(SMALL(AX47:AX127,ROW()-ROW($AX$130)+1),"")</f>
        <v>0</v>
      </c>
      <c r="AY195">
        <f>IFERROR(SMALL(AY47:AY127,ROW()-ROW($AY$130)+1),"")</f>
        <v>0</v>
      </c>
      <c r="AZ195">
        <f>IFERROR(SMALL(AZ47:AZ127,ROW()-ROW($AZ$130)+1),"")</f>
        <v>0</v>
      </c>
      <c r="BA195">
        <f>IFERROR(SMALL(BA47:BA127,ROW()-ROW($BA$130)+1),"")</f>
        <v>0</v>
      </c>
      <c r="BB195">
        <f>IFERROR(SMALL(BB47:BB127,ROW()-ROW($BB$130)+1),"")</f>
        <v>0</v>
      </c>
      <c r="BC195">
        <f>IFERROR(SMALL(BC47:BC127,ROW()-ROW($BC$130)+1),"")</f>
        <v>0</v>
      </c>
      <c r="BD195">
        <f>IFERROR(SMALL(BD47:BD127,ROW()-ROW($BD$130)+1),"")</f>
        <v>0</v>
      </c>
      <c r="BE195">
        <f>IFERROR(SMALL(BE47:BE127,ROW()-ROW($BE$130)+1),"")</f>
        <v>0</v>
      </c>
      <c r="BF195">
        <f>IFERROR(SMALL(BF47:BF127,ROW()-ROW($BF$130)+1),"")</f>
        <v>0</v>
      </c>
      <c r="BG195">
        <f>IFERROR(SMALL(BG47:BG127,ROW()-ROW($BG$130)+1),"")</f>
        <v>0</v>
      </c>
      <c r="BH195">
        <f>IFERROR(SMALL(BH47:BH127,ROW()-ROW($BH$130)+1),"")</f>
        <v>0</v>
      </c>
      <c r="BI195">
        <f>IFERROR(SMALL(BI47:BI127,ROW()-ROW($BI$130)+1),"")</f>
        <v>0</v>
      </c>
      <c r="BJ195">
        <f>IFERROR(SMALL(BJ47:BJ127,ROW()-ROW($BJ$130)+1),"")</f>
        <v>0</v>
      </c>
      <c r="BK195">
        <f>IFERROR(SMALL(BK47:BK127,ROW()-ROW($BK$130)+1),"")</f>
        <v>0</v>
      </c>
      <c r="BL195">
        <f>IFERROR(SMALL(BL47:BL127,ROW()-ROW($BL$130)+1),"")</f>
        <v>0</v>
      </c>
      <c r="BM195">
        <f>IFERROR(SMALL(BM47:BM127,ROW()-ROW($BM$130)+1),"")</f>
        <v>0</v>
      </c>
      <c r="BN195">
        <f>IFERROR(SMALL(BN47:BN127,ROW()-ROW($BN$130)+1),"")</f>
        <v>0</v>
      </c>
      <c r="BO195">
        <f>IFERROR(SMALL(BO47:BO127,ROW()-ROW($BO$130)+1),"")</f>
        <v>0</v>
      </c>
      <c r="BP195">
        <f>IFERROR(SMALL(BP47:BP127,ROW()-ROW($BP$130)+1),"")</f>
        <v>0</v>
      </c>
      <c r="BS195">
        <f>IFERROR(SMALL(BS47:BS127,ROW()-ROW($BS$130)+1),"")</f>
        <v>0</v>
      </c>
      <c r="BT195">
        <f>IFERROR(SMALL(BT47:BT127,ROW()-ROW($BT$130)+1),"")</f>
        <v>0</v>
      </c>
      <c r="BU195">
        <f>IFERROR(SMALL(BU47:BU127,ROW()-ROW($BU$130)+1),"")</f>
        <v>0</v>
      </c>
      <c r="BV195">
        <f>IFERROR(SMALL(BV47:BV127,ROW()-ROW($BV$130)+1),"")</f>
        <v>0</v>
      </c>
      <c r="BW195">
        <f>IFERROR(SMALL(BW47:BW127,ROW()-ROW($BW$130)+1),"")</f>
        <v>0</v>
      </c>
      <c r="BX195">
        <f>IFERROR(SMALL(BX47:BX127,ROW()-ROW($BX$130)+1),"")</f>
        <v>0</v>
      </c>
      <c r="BY195">
        <f>IFERROR(SMALL(BY47:BY127,ROW()-ROW($BY$130)+1),"")</f>
        <v>0</v>
      </c>
      <c r="BZ195">
        <f>IFERROR(SMALL(BZ47:BZ127,ROW()-ROW($BZ$130)+1),"")</f>
        <v>0</v>
      </c>
      <c r="CA195">
        <f>IFERROR(SMALL(CA47:CA127,ROW()-ROW($CA$130)+1),"")</f>
        <v>0</v>
      </c>
      <c r="CB195">
        <f>IFERROR(SMALL(CB47:CB127,ROW()-ROW($CB$130)+1),"")</f>
        <v>0</v>
      </c>
      <c r="CC195">
        <f>IFERROR(SMALL(CC47:CC127,ROW()-ROW($CC$130)+1),"")</f>
        <v>0</v>
      </c>
      <c r="CD195">
        <f>IFERROR(SMALL(CD47:CD127,ROW()-ROW($CD$130)+1),"")</f>
        <v>0</v>
      </c>
      <c r="CE195">
        <f>IFERROR(SMALL(CE47:CE127,ROW()-ROW($CE$130)+1),"")</f>
        <v>0</v>
      </c>
      <c r="CF195">
        <f>IFERROR(SMALL(CF47:CF127,ROW()-ROW($CF$130)+1),"")</f>
        <v>0</v>
      </c>
      <c r="CG195">
        <f>IFERROR(SMALL(CG47:CG127,ROW()-ROW($CG$130)+1),"")</f>
        <v>0</v>
      </c>
      <c r="CH195">
        <f>IFERROR(SMALL(CH47:CH127,ROW()-ROW($CH$130)+1),"")</f>
        <v>0</v>
      </c>
      <c r="CI195">
        <f>IFERROR(SMALL(CI47:CI127,ROW()-ROW($CI$130)+1),"")</f>
        <v>0</v>
      </c>
      <c r="CJ195">
        <f>IFERROR(SMALL(CJ47:CJ127,ROW()-ROW($CJ$130)+1),"")</f>
        <v>0</v>
      </c>
      <c r="CK195">
        <f>IFERROR(SMALL(CK47:CK127,ROW()-ROW($CK$130)+1),"")</f>
        <v>0</v>
      </c>
      <c r="CL195">
        <f>IFERROR(SMALL(CL47:CL127,ROW()-ROW($CL$130)+1),"")</f>
        <v>0</v>
      </c>
      <c r="CM195">
        <f>IFERROR(SMALL(CM47:CM127,ROW()-ROW($CM$130)+1),"")</f>
        <v>0</v>
      </c>
      <c r="CN195">
        <f>IFERROR(SMALL(CN47:CN127,ROW()-ROW($CN$130)+1),"")</f>
        <v>0</v>
      </c>
      <c r="CO195">
        <f>IFERROR(SMALL(CO47:CO127,ROW()-ROW($CO$130)+1),"")</f>
        <v>0</v>
      </c>
      <c r="CP195">
        <f>IFERROR(SMALL(CP47:CP127,ROW()-ROW($CP$130)+1),"")</f>
        <v>0</v>
      </c>
      <c r="CQ195">
        <f>IFERROR(SMALL(CQ47:CQ127,ROW()-ROW($CQ$130)+1),"")</f>
        <v>0</v>
      </c>
      <c r="CR195">
        <f>IFERROR(SMALL(CR47:CR127,ROW()-ROW($CR$130)+1),"")</f>
        <v>0</v>
      </c>
      <c r="CS195">
        <f>IFERROR(SMALL(CS47:CS127,ROW()-ROW($CS$130)+1),"")</f>
        <v>0</v>
      </c>
      <c r="CT195">
        <f>IFERROR(SMALL(CT47:CT127,ROW()-ROW($CT$130)+1),"")</f>
        <v>0</v>
      </c>
      <c r="CU195">
        <f>IFERROR(SMALL(CU47:CU127,ROW()-ROW($CU$130)+1),"")</f>
        <v>0</v>
      </c>
      <c r="CV195">
        <f>IFERROR(SMALL(CV47:CV127,ROW()-ROW($CV$130)+1),"")</f>
        <v>0</v>
      </c>
      <c r="CW195">
        <f>IFERROR(SMALL(CW47:CW127,ROW()-ROW($CW$130)+1),"")</f>
        <v>0</v>
      </c>
      <c r="CX195">
        <f>IFERROR(SMALL(CX47:CX127,ROW()-ROW($CX$130)+1),"")</f>
        <v>0</v>
      </c>
      <c r="CY195">
        <f>IFERROR(SMALL(CY47:CY127,ROW()-ROW($CY$130)+1),"")</f>
        <v>0</v>
      </c>
      <c r="CZ195">
        <f>IFERROR(SMALL(CZ47:CZ127,ROW()-ROW($CZ$130)+1),"")</f>
        <v>0</v>
      </c>
      <c r="DA195">
        <f>IFERROR(SMALL(DA47:DA127,ROW()-ROW($DA$130)+1),"")</f>
        <v>0</v>
      </c>
      <c r="DB195">
        <f>IFERROR(SMALL(DB47:DB127,ROW()-ROW($DB$130)+1),"")</f>
        <v>0</v>
      </c>
      <c r="DC195">
        <f>IFERROR(SMALL(DC47:DC127,ROW()-ROW($DC$130)+1),"")</f>
        <v>0</v>
      </c>
      <c r="DD195">
        <f>IFERROR(SMALL(DD47:DD127,ROW()-ROW($DD$130)+1),"")</f>
        <v>0</v>
      </c>
      <c r="DE195">
        <f>IFERROR(SMALL(DE47:DE127,ROW()-ROW($DE$130)+1),"")</f>
        <v>0</v>
      </c>
      <c r="DF195">
        <f>IFERROR(SMALL(DF47:DF127,ROW()-ROW($DF$130)+1),"")</f>
        <v>0</v>
      </c>
      <c r="DG195">
        <f>IFERROR(SMALL(DG47:DG127,ROW()-ROW($DG$130)+1),"")</f>
        <v>0</v>
      </c>
      <c r="DH195">
        <f>IFERROR(SMALL(DH47:DH127,ROW()-ROW($DH$130)+1),"")</f>
        <v>0</v>
      </c>
      <c r="DI195">
        <f>IFERROR(SMALL(DI47:DI127,ROW()-ROW($DI$130)+1),"")</f>
        <v>0</v>
      </c>
      <c r="DJ195">
        <f>IFERROR(SMALL(DJ47:DJ127,ROW()-ROW($DJ$130)+1),"")</f>
        <v>0</v>
      </c>
      <c r="DK195">
        <f>IFERROR(SMALL(DK47:DK127,ROW()-ROW($DK$130)+1),"")</f>
        <v>0</v>
      </c>
      <c r="DL195">
        <f>IFERROR(SMALL(DL47:DL127,ROW()-ROW($DL$130)+1),"")</f>
        <v>0</v>
      </c>
      <c r="DM195">
        <f>IFERROR(SMALL(DM47:DM127,ROW()-ROW($DM$130)+1),"")</f>
        <v>0</v>
      </c>
      <c r="DN195">
        <f>IFERROR(SMALL(DN47:DN127,ROW()-ROW($DN$130)+1),"")</f>
        <v>0</v>
      </c>
      <c r="DO195">
        <f>IFERROR(SMALL(DO47:DO127,ROW()-ROW($DO$130)+1),"")</f>
        <v>0</v>
      </c>
      <c r="DP195">
        <f>IFERROR(SMALL(DP47:DP127,ROW()-ROW($DP$130)+1),"")</f>
        <v>0</v>
      </c>
      <c r="DQ195">
        <f>IFERROR(SMALL(DQ47:DQ127,ROW()-ROW($DQ$130)+1),"")</f>
        <v>0</v>
      </c>
      <c r="DR195">
        <f>IFERROR(SMALL(DR47:DR127,ROW()-ROW($DR$130)+1),"")</f>
        <v>0</v>
      </c>
      <c r="DS195">
        <f>IFERROR(SMALL(DS47:DS127,ROW()-ROW($DS$130)+1),"")</f>
        <v>0</v>
      </c>
      <c r="DT195">
        <f>IFERROR(SMALL(DT47:DT127,ROW()-ROW($DT$130)+1),"")</f>
        <v>0</v>
      </c>
      <c r="DU195">
        <f>IFERROR(SMALL(DU47:DU127,ROW()-ROW($DU$130)+1),"")</f>
        <v>0</v>
      </c>
      <c r="DV195">
        <f>IFERROR(SMALL(DV47:DV127,ROW()-ROW($DV$130)+1),"")</f>
        <v>0</v>
      </c>
      <c r="DW195">
        <f>IFERROR(SMALL(DW47:DW127,ROW()-ROW($DW$130)+1),"")</f>
        <v>0</v>
      </c>
      <c r="DX195">
        <f>IFERROR(SMALL(DX47:DX127,ROW()-ROW($DX$130)+1),"")</f>
        <v>0</v>
      </c>
      <c r="DY195">
        <f>IFERROR(SMALL(DY47:DY127,ROW()-ROW($DY$130)+1),"")</f>
        <v>0</v>
      </c>
      <c r="DZ195">
        <f>IFERROR(SMALL(DZ47:DZ127,ROW()-ROW($DZ$130)+1),"")</f>
        <v>0</v>
      </c>
      <c r="EA195">
        <f>IFERROR(SMALL(EA47:EA127,ROW()-ROW($EA$130)+1),"")</f>
        <v>0</v>
      </c>
      <c r="EB195">
        <f>IFERROR(SMALL(EB47:EB127,ROW()-ROW($EB$130)+1),"")</f>
        <v>0</v>
      </c>
      <c r="EC195">
        <f>IFERROR(SMALL(EC47:EC127,ROW()-ROW($EC$130)+1),"")</f>
        <v>0</v>
      </c>
      <c r="ED195">
        <f>IFERROR(SMALL(ED47:ED127,ROW()-ROW($ED$130)+1),"")</f>
        <v>0</v>
      </c>
    </row>
    <row r="196" spans="5:134">
      <c r="E196">
        <f>IFERROR(SMALL(E47:E127,ROW()-ROW($E$130)+1),"")</f>
        <v>0</v>
      </c>
      <c r="F196">
        <f>IFERROR(SMALL(F47:F127,ROW()-ROW($F$130)+1),"")</f>
        <v>0</v>
      </c>
      <c r="G196">
        <f>IFERROR(SMALL(G47:G127,ROW()-ROW($G$130)+1),"")</f>
        <v>0</v>
      </c>
      <c r="H196">
        <f>IFERROR(SMALL(H47:H127,ROW()-ROW($H$130)+1),"")</f>
        <v>0</v>
      </c>
      <c r="I196">
        <f>IFERROR(SMALL(I47:I127,ROW()-ROW($I$130)+1),"")</f>
        <v>0</v>
      </c>
      <c r="J196">
        <f>IFERROR(SMALL(J47:J127,ROW()-ROW($J$130)+1),"")</f>
        <v>0</v>
      </c>
      <c r="K196">
        <f>IFERROR(SMALL(K47:K127,ROW()-ROW($K$130)+1),"")</f>
        <v>0</v>
      </c>
      <c r="L196">
        <f>IFERROR(SMALL(L47:L127,ROW()-ROW($L$130)+1),"")</f>
        <v>0</v>
      </c>
      <c r="M196">
        <f>IFERROR(SMALL(M47:M127,ROW()-ROW($M$130)+1),"")</f>
        <v>0</v>
      </c>
      <c r="N196">
        <f>IFERROR(SMALL(N47:N127,ROW()-ROW($N$130)+1),"")</f>
        <v>0</v>
      </c>
      <c r="O196">
        <f>IFERROR(SMALL(O47:O127,ROW()-ROW($O$130)+1),"")</f>
        <v>0</v>
      </c>
      <c r="P196">
        <f>IFERROR(SMALL(P47:P127,ROW()-ROW($P$130)+1),"")</f>
        <v>0</v>
      </c>
      <c r="Q196">
        <f>IFERROR(SMALL(Q47:Q127,ROW()-ROW($Q$130)+1),"")</f>
        <v>0</v>
      </c>
      <c r="R196">
        <f>IFERROR(SMALL(R47:R127,ROW()-ROW($R$130)+1),"")</f>
        <v>0</v>
      </c>
      <c r="S196">
        <f>IFERROR(SMALL(S47:S127,ROW()-ROW($S$130)+1),"")</f>
        <v>0</v>
      </c>
      <c r="T196">
        <f>IFERROR(SMALL(T47:T127,ROW()-ROW($T$130)+1),"")</f>
        <v>0</v>
      </c>
      <c r="U196">
        <f>IFERROR(SMALL(U47:U127,ROW()-ROW($U$130)+1),"")</f>
        <v>0</v>
      </c>
      <c r="V196">
        <f>IFERROR(SMALL(V47:V127,ROW()-ROW($V$130)+1),"")</f>
        <v>0</v>
      </c>
      <c r="W196">
        <f>IFERROR(SMALL(W47:W127,ROW()-ROW($W$130)+1),"")</f>
        <v>0</v>
      </c>
      <c r="X196">
        <f>IFERROR(SMALL(X47:X127,ROW()-ROW($X$130)+1),"")</f>
        <v>0</v>
      </c>
      <c r="Y196">
        <f>IFERROR(SMALL(Y47:Y127,ROW()-ROW($Y$130)+1),"")</f>
        <v>0</v>
      </c>
      <c r="Z196">
        <f>IFERROR(SMALL(Z47:Z127,ROW()-ROW($Z$130)+1),"")</f>
        <v>0</v>
      </c>
      <c r="AA196">
        <f>IFERROR(SMALL(AA47:AA127,ROW()-ROW($AA$130)+1),"")</f>
        <v>0</v>
      </c>
      <c r="AB196">
        <f>IFERROR(SMALL(AB47:AB127,ROW()-ROW($AB$130)+1),"")</f>
        <v>0</v>
      </c>
      <c r="AC196">
        <f>IFERROR(SMALL(AC47:AC127,ROW()-ROW($AC$130)+1),"")</f>
        <v>0</v>
      </c>
      <c r="AD196">
        <f>IFERROR(SMALL(AD47:AD127,ROW()-ROW($AD$130)+1),"")</f>
        <v>0</v>
      </c>
      <c r="AE196">
        <f>IFERROR(SMALL(AE47:AE127,ROW()-ROW($AE$130)+1),"")</f>
        <v>0</v>
      </c>
      <c r="AF196">
        <f>IFERROR(SMALL(AF47:AF127,ROW()-ROW($AF$130)+1),"")</f>
        <v>0</v>
      </c>
      <c r="AG196">
        <f>IFERROR(SMALL(AG47:AG127,ROW()-ROW($AG$130)+1),"")</f>
        <v>0</v>
      </c>
      <c r="AH196">
        <f>IFERROR(SMALL(AH47:AH127,ROW()-ROW($AH$130)+1),"")</f>
        <v>0</v>
      </c>
      <c r="AI196">
        <f>IFERROR(SMALL(AI47:AI127,ROW()-ROW($AI$130)+1),"")</f>
        <v>0</v>
      </c>
      <c r="AJ196">
        <f>IFERROR(SMALL(AJ47:AJ127,ROW()-ROW($AJ$130)+1),"")</f>
        <v>0</v>
      </c>
      <c r="AK196">
        <f>IFERROR(SMALL(AK47:AK127,ROW()-ROW($AK$130)+1),"")</f>
        <v>0</v>
      </c>
      <c r="AL196">
        <f>IFERROR(SMALL(AL47:AL127,ROW()-ROW($AL$130)+1),"")</f>
        <v>0</v>
      </c>
      <c r="AM196">
        <f>IFERROR(SMALL(AM47:AM127,ROW()-ROW($AM$130)+1),"")</f>
        <v>0</v>
      </c>
      <c r="AN196">
        <f>IFERROR(SMALL(AN47:AN127,ROW()-ROW($AN$130)+1),"")</f>
        <v>0</v>
      </c>
      <c r="AO196">
        <f>IFERROR(SMALL(AO47:AO127,ROW()-ROW($AO$130)+1),"")</f>
        <v>0</v>
      </c>
      <c r="AP196">
        <f>IFERROR(SMALL(AP47:AP127,ROW()-ROW($AP$130)+1),"")</f>
        <v>0</v>
      </c>
      <c r="AQ196">
        <f>IFERROR(SMALL(AQ47:AQ127,ROW()-ROW($AQ$130)+1),"")</f>
        <v>0</v>
      </c>
      <c r="AR196">
        <f>IFERROR(SMALL(AR47:AR127,ROW()-ROW($AR$130)+1),"")</f>
        <v>0</v>
      </c>
      <c r="AS196">
        <f>IFERROR(SMALL(AS47:AS127,ROW()-ROW($AS$130)+1),"")</f>
        <v>0</v>
      </c>
      <c r="AT196">
        <f>IFERROR(SMALL(AT47:AT127,ROW()-ROW($AT$130)+1),"")</f>
        <v>0</v>
      </c>
      <c r="AU196">
        <f>IFERROR(SMALL(AU47:AU127,ROW()-ROW($AU$130)+1),"")</f>
        <v>0</v>
      </c>
      <c r="AV196">
        <f>IFERROR(SMALL(AV47:AV127,ROW()-ROW($AV$130)+1),"")</f>
        <v>0</v>
      </c>
      <c r="AW196">
        <f>IFERROR(SMALL(AW47:AW127,ROW()-ROW($AW$130)+1),"")</f>
        <v>0</v>
      </c>
      <c r="AX196">
        <f>IFERROR(SMALL(AX47:AX127,ROW()-ROW($AX$130)+1),"")</f>
        <v>0</v>
      </c>
      <c r="AY196">
        <f>IFERROR(SMALL(AY47:AY127,ROW()-ROW($AY$130)+1),"")</f>
        <v>0</v>
      </c>
      <c r="AZ196">
        <f>IFERROR(SMALL(AZ47:AZ127,ROW()-ROW($AZ$130)+1),"")</f>
        <v>0</v>
      </c>
      <c r="BA196">
        <f>IFERROR(SMALL(BA47:BA127,ROW()-ROW($BA$130)+1),"")</f>
        <v>0</v>
      </c>
      <c r="BB196">
        <f>IFERROR(SMALL(BB47:BB127,ROW()-ROW($BB$130)+1),"")</f>
        <v>0</v>
      </c>
      <c r="BC196">
        <f>IFERROR(SMALL(BC47:BC127,ROW()-ROW($BC$130)+1),"")</f>
        <v>0</v>
      </c>
      <c r="BD196">
        <f>IFERROR(SMALL(BD47:BD127,ROW()-ROW($BD$130)+1),"")</f>
        <v>0</v>
      </c>
      <c r="BE196">
        <f>IFERROR(SMALL(BE47:BE127,ROW()-ROW($BE$130)+1),"")</f>
        <v>0</v>
      </c>
      <c r="BF196">
        <f>IFERROR(SMALL(BF47:BF127,ROW()-ROW($BF$130)+1),"")</f>
        <v>0</v>
      </c>
      <c r="BG196">
        <f>IFERROR(SMALL(BG47:BG127,ROW()-ROW($BG$130)+1),"")</f>
        <v>0</v>
      </c>
      <c r="BH196">
        <f>IFERROR(SMALL(BH47:BH127,ROW()-ROW($BH$130)+1),"")</f>
        <v>0</v>
      </c>
      <c r="BI196">
        <f>IFERROR(SMALL(BI47:BI127,ROW()-ROW($BI$130)+1),"")</f>
        <v>0</v>
      </c>
      <c r="BJ196">
        <f>IFERROR(SMALL(BJ47:BJ127,ROW()-ROW($BJ$130)+1),"")</f>
        <v>0</v>
      </c>
      <c r="BK196">
        <f>IFERROR(SMALL(BK47:BK127,ROW()-ROW($BK$130)+1),"")</f>
        <v>0</v>
      </c>
      <c r="BL196">
        <f>IFERROR(SMALL(BL47:BL127,ROW()-ROW($BL$130)+1),"")</f>
        <v>0</v>
      </c>
      <c r="BM196">
        <f>IFERROR(SMALL(BM47:BM127,ROW()-ROW($BM$130)+1),"")</f>
        <v>0</v>
      </c>
      <c r="BN196">
        <f>IFERROR(SMALL(BN47:BN127,ROW()-ROW($BN$130)+1),"")</f>
        <v>0</v>
      </c>
      <c r="BO196">
        <f>IFERROR(SMALL(BO47:BO127,ROW()-ROW($BO$130)+1),"")</f>
        <v>0</v>
      </c>
      <c r="BP196">
        <f>IFERROR(SMALL(BP47:BP127,ROW()-ROW($BP$130)+1),"")</f>
        <v>0</v>
      </c>
      <c r="BS196">
        <f>IFERROR(SMALL(BS47:BS127,ROW()-ROW($BS$130)+1),"")</f>
        <v>0</v>
      </c>
      <c r="BT196">
        <f>IFERROR(SMALL(BT47:BT127,ROW()-ROW($BT$130)+1),"")</f>
        <v>0</v>
      </c>
      <c r="BU196">
        <f>IFERROR(SMALL(BU47:BU127,ROW()-ROW($BU$130)+1),"")</f>
        <v>0</v>
      </c>
      <c r="BV196">
        <f>IFERROR(SMALL(BV47:BV127,ROW()-ROW($BV$130)+1),"")</f>
        <v>0</v>
      </c>
      <c r="BW196">
        <f>IFERROR(SMALL(BW47:BW127,ROW()-ROW($BW$130)+1),"")</f>
        <v>0</v>
      </c>
      <c r="BX196">
        <f>IFERROR(SMALL(BX47:BX127,ROW()-ROW($BX$130)+1),"")</f>
        <v>0</v>
      </c>
      <c r="BY196">
        <f>IFERROR(SMALL(BY47:BY127,ROW()-ROW($BY$130)+1),"")</f>
        <v>0</v>
      </c>
      <c r="BZ196">
        <f>IFERROR(SMALL(BZ47:BZ127,ROW()-ROW($BZ$130)+1),"")</f>
        <v>0</v>
      </c>
      <c r="CA196">
        <f>IFERROR(SMALL(CA47:CA127,ROW()-ROW($CA$130)+1),"")</f>
        <v>0</v>
      </c>
      <c r="CB196">
        <f>IFERROR(SMALL(CB47:CB127,ROW()-ROW($CB$130)+1),"")</f>
        <v>0</v>
      </c>
      <c r="CC196">
        <f>IFERROR(SMALL(CC47:CC127,ROW()-ROW($CC$130)+1),"")</f>
        <v>0</v>
      </c>
      <c r="CD196">
        <f>IFERROR(SMALL(CD47:CD127,ROW()-ROW($CD$130)+1),"")</f>
        <v>0</v>
      </c>
      <c r="CE196">
        <f>IFERROR(SMALL(CE47:CE127,ROW()-ROW($CE$130)+1),"")</f>
        <v>0</v>
      </c>
      <c r="CF196">
        <f>IFERROR(SMALL(CF47:CF127,ROW()-ROW($CF$130)+1),"")</f>
        <v>0</v>
      </c>
      <c r="CG196">
        <f>IFERROR(SMALL(CG47:CG127,ROW()-ROW($CG$130)+1),"")</f>
        <v>0</v>
      </c>
      <c r="CH196">
        <f>IFERROR(SMALL(CH47:CH127,ROW()-ROW($CH$130)+1),"")</f>
        <v>0</v>
      </c>
      <c r="CI196">
        <f>IFERROR(SMALL(CI47:CI127,ROW()-ROW($CI$130)+1),"")</f>
        <v>0</v>
      </c>
      <c r="CJ196">
        <f>IFERROR(SMALL(CJ47:CJ127,ROW()-ROW($CJ$130)+1),"")</f>
        <v>0</v>
      </c>
      <c r="CK196">
        <f>IFERROR(SMALL(CK47:CK127,ROW()-ROW($CK$130)+1),"")</f>
        <v>0</v>
      </c>
      <c r="CL196">
        <f>IFERROR(SMALL(CL47:CL127,ROW()-ROW($CL$130)+1),"")</f>
        <v>0</v>
      </c>
      <c r="CM196">
        <f>IFERROR(SMALL(CM47:CM127,ROW()-ROW($CM$130)+1),"")</f>
        <v>0</v>
      </c>
      <c r="CN196">
        <f>IFERROR(SMALL(CN47:CN127,ROW()-ROW($CN$130)+1),"")</f>
        <v>0</v>
      </c>
      <c r="CO196">
        <f>IFERROR(SMALL(CO47:CO127,ROW()-ROW($CO$130)+1),"")</f>
        <v>0</v>
      </c>
      <c r="CP196">
        <f>IFERROR(SMALL(CP47:CP127,ROW()-ROW($CP$130)+1),"")</f>
        <v>0</v>
      </c>
      <c r="CQ196">
        <f>IFERROR(SMALL(CQ47:CQ127,ROW()-ROW($CQ$130)+1),"")</f>
        <v>0</v>
      </c>
      <c r="CR196">
        <f>IFERROR(SMALL(CR47:CR127,ROW()-ROW($CR$130)+1),"")</f>
        <v>0</v>
      </c>
      <c r="CS196">
        <f>IFERROR(SMALL(CS47:CS127,ROW()-ROW($CS$130)+1),"")</f>
        <v>0</v>
      </c>
      <c r="CT196">
        <f>IFERROR(SMALL(CT47:CT127,ROW()-ROW($CT$130)+1),"")</f>
        <v>0</v>
      </c>
      <c r="CU196">
        <f>IFERROR(SMALL(CU47:CU127,ROW()-ROW($CU$130)+1),"")</f>
        <v>0</v>
      </c>
      <c r="CV196">
        <f>IFERROR(SMALL(CV47:CV127,ROW()-ROW($CV$130)+1),"")</f>
        <v>0</v>
      </c>
      <c r="CW196">
        <f>IFERROR(SMALL(CW47:CW127,ROW()-ROW($CW$130)+1),"")</f>
        <v>0</v>
      </c>
      <c r="CX196">
        <f>IFERROR(SMALL(CX47:CX127,ROW()-ROW($CX$130)+1),"")</f>
        <v>0</v>
      </c>
      <c r="CY196">
        <f>IFERROR(SMALL(CY47:CY127,ROW()-ROW($CY$130)+1),"")</f>
        <v>0</v>
      </c>
      <c r="CZ196">
        <f>IFERROR(SMALL(CZ47:CZ127,ROW()-ROW($CZ$130)+1),"")</f>
        <v>0</v>
      </c>
      <c r="DA196">
        <f>IFERROR(SMALL(DA47:DA127,ROW()-ROW($DA$130)+1),"")</f>
        <v>0</v>
      </c>
      <c r="DB196">
        <f>IFERROR(SMALL(DB47:DB127,ROW()-ROW($DB$130)+1),"")</f>
        <v>0</v>
      </c>
      <c r="DC196">
        <f>IFERROR(SMALL(DC47:DC127,ROW()-ROW($DC$130)+1),"")</f>
        <v>0</v>
      </c>
      <c r="DD196">
        <f>IFERROR(SMALL(DD47:DD127,ROW()-ROW($DD$130)+1),"")</f>
        <v>0</v>
      </c>
      <c r="DE196">
        <f>IFERROR(SMALL(DE47:DE127,ROW()-ROW($DE$130)+1),"")</f>
        <v>0</v>
      </c>
      <c r="DF196">
        <f>IFERROR(SMALL(DF47:DF127,ROW()-ROW($DF$130)+1),"")</f>
        <v>0</v>
      </c>
      <c r="DG196">
        <f>IFERROR(SMALL(DG47:DG127,ROW()-ROW($DG$130)+1),"")</f>
        <v>0</v>
      </c>
      <c r="DH196">
        <f>IFERROR(SMALL(DH47:DH127,ROW()-ROW($DH$130)+1),"")</f>
        <v>0</v>
      </c>
      <c r="DI196">
        <f>IFERROR(SMALL(DI47:DI127,ROW()-ROW($DI$130)+1),"")</f>
        <v>0</v>
      </c>
      <c r="DJ196">
        <f>IFERROR(SMALL(DJ47:DJ127,ROW()-ROW($DJ$130)+1),"")</f>
        <v>0</v>
      </c>
      <c r="DK196">
        <f>IFERROR(SMALL(DK47:DK127,ROW()-ROW($DK$130)+1),"")</f>
        <v>0</v>
      </c>
      <c r="DL196">
        <f>IFERROR(SMALL(DL47:DL127,ROW()-ROW($DL$130)+1),"")</f>
        <v>0</v>
      </c>
      <c r="DM196">
        <f>IFERROR(SMALL(DM47:DM127,ROW()-ROW($DM$130)+1),"")</f>
        <v>0</v>
      </c>
      <c r="DN196">
        <f>IFERROR(SMALL(DN47:DN127,ROW()-ROW($DN$130)+1),"")</f>
        <v>0</v>
      </c>
      <c r="DO196">
        <f>IFERROR(SMALL(DO47:DO127,ROW()-ROW($DO$130)+1),"")</f>
        <v>0</v>
      </c>
      <c r="DP196">
        <f>IFERROR(SMALL(DP47:DP127,ROW()-ROW($DP$130)+1),"")</f>
        <v>0</v>
      </c>
      <c r="DQ196">
        <f>IFERROR(SMALL(DQ47:DQ127,ROW()-ROW($DQ$130)+1),"")</f>
        <v>0</v>
      </c>
      <c r="DR196">
        <f>IFERROR(SMALL(DR47:DR127,ROW()-ROW($DR$130)+1),"")</f>
        <v>0</v>
      </c>
      <c r="DS196">
        <f>IFERROR(SMALL(DS47:DS127,ROW()-ROW($DS$130)+1),"")</f>
        <v>0</v>
      </c>
      <c r="DT196">
        <f>IFERROR(SMALL(DT47:DT127,ROW()-ROW($DT$130)+1),"")</f>
        <v>0</v>
      </c>
      <c r="DU196">
        <f>IFERROR(SMALL(DU47:DU127,ROW()-ROW($DU$130)+1),"")</f>
        <v>0</v>
      </c>
      <c r="DV196">
        <f>IFERROR(SMALL(DV47:DV127,ROW()-ROW($DV$130)+1),"")</f>
        <v>0</v>
      </c>
      <c r="DW196">
        <f>IFERROR(SMALL(DW47:DW127,ROW()-ROW($DW$130)+1),"")</f>
        <v>0</v>
      </c>
      <c r="DX196">
        <f>IFERROR(SMALL(DX47:DX127,ROW()-ROW($DX$130)+1),"")</f>
        <v>0</v>
      </c>
      <c r="DY196">
        <f>IFERROR(SMALL(DY47:DY127,ROW()-ROW($DY$130)+1),"")</f>
        <v>0</v>
      </c>
      <c r="DZ196">
        <f>IFERROR(SMALL(DZ47:DZ127,ROW()-ROW($DZ$130)+1),"")</f>
        <v>0</v>
      </c>
      <c r="EA196">
        <f>IFERROR(SMALL(EA47:EA127,ROW()-ROW($EA$130)+1),"")</f>
        <v>0</v>
      </c>
      <c r="EB196">
        <f>IFERROR(SMALL(EB47:EB127,ROW()-ROW($EB$130)+1),"")</f>
        <v>0</v>
      </c>
      <c r="EC196">
        <f>IFERROR(SMALL(EC47:EC127,ROW()-ROW($EC$130)+1),"")</f>
        <v>0</v>
      </c>
      <c r="ED196">
        <f>IFERROR(SMALL(ED47:ED127,ROW()-ROW($ED$130)+1),"")</f>
        <v>0</v>
      </c>
    </row>
    <row r="197" spans="5:134">
      <c r="E197">
        <f>IFERROR(SMALL(E47:E127,ROW()-ROW($E$130)+1),"")</f>
        <v>0</v>
      </c>
      <c r="F197">
        <f>IFERROR(SMALL(F47:F127,ROW()-ROW($F$130)+1),"")</f>
        <v>0</v>
      </c>
      <c r="G197">
        <f>IFERROR(SMALL(G47:G127,ROW()-ROW($G$130)+1),"")</f>
        <v>0</v>
      </c>
      <c r="H197">
        <f>IFERROR(SMALL(H47:H127,ROW()-ROW($H$130)+1),"")</f>
        <v>0</v>
      </c>
      <c r="I197">
        <f>IFERROR(SMALL(I47:I127,ROW()-ROW($I$130)+1),"")</f>
        <v>0</v>
      </c>
      <c r="J197">
        <f>IFERROR(SMALL(J47:J127,ROW()-ROW($J$130)+1),"")</f>
        <v>0</v>
      </c>
      <c r="K197">
        <f>IFERROR(SMALL(K47:K127,ROW()-ROW($K$130)+1),"")</f>
        <v>0</v>
      </c>
      <c r="L197">
        <f>IFERROR(SMALL(L47:L127,ROW()-ROW($L$130)+1),"")</f>
        <v>0</v>
      </c>
      <c r="M197">
        <f>IFERROR(SMALL(M47:M127,ROW()-ROW($M$130)+1),"")</f>
        <v>0</v>
      </c>
      <c r="N197">
        <f>IFERROR(SMALL(N47:N127,ROW()-ROW($N$130)+1),"")</f>
        <v>0</v>
      </c>
      <c r="O197">
        <f>IFERROR(SMALL(O47:O127,ROW()-ROW($O$130)+1),"")</f>
        <v>0</v>
      </c>
      <c r="P197">
        <f>IFERROR(SMALL(P47:P127,ROW()-ROW($P$130)+1),"")</f>
        <v>0</v>
      </c>
      <c r="Q197">
        <f>IFERROR(SMALL(Q47:Q127,ROW()-ROW($Q$130)+1),"")</f>
        <v>0</v>
      </c>
      <c r="R197">
        <f>IFERROR(SMALL(R47:R127,ROW()-ROW($R$130)+1),"")</f>
        <v>0</v>
      </c>
      <c r="S197">
        <f>IFERROR(SMALL(S47:S127,ROW()-ROW($S$130)+1),"")</f>
        <v>0</v>
      </c>
      <c r="T197">
        <f>IFERROR(SMALL(T47:T127,ROW()-ROW($T$130)+1),"")</f>
        <v>0</v>
      </c>
      <c r="U197">
        <f>IFERROR(SMALL(U47:U127,ROW()-ROW($U$130)+1),"")</f>
        <v>0</v>
      </c>
      <c r="V197">
        <f>IFERROR(SMALL(V47:V127,ROW()-ROW($V$130)+1),"")</f>
        <v>0</v>
      </c>
      <c r="W197">
        <f>IFERROR(SMALL(W47:W127,ROW()-ROW($W$130)+1),"")</f>
        <v>0</v>
      </c>
      <c r="X197">
        <f>IFERROR(SMALL(X47:X127,ROW()-ROW($X$130)+1),"")</f>
        <v>0</v>
      </c>
      <c r="Y197">
        <f>IFERROR(SMALL(Y47:Y127,ROW()-ROW($Y$130)+1),"")</f>
        <v>0</v>
      </c>
      <c r="Z197">
        <f>IFERROR(SMALL(Z47:Z127,ROW()-ROW($Z$130)+1),"")</f>
        <v>0</v>
      </c>
      <c r="AA197">
        <f>IFERROR(SMALL(AA47:AA127,ROW()-ROW($AA$130)+1),"")</f>
        <v>0</v>
      </c>
      <c r="AB197">
        <f>IFERROR(SMALL(AB47:AB127,ROW()-ROW($AB$130)+1),"")</f>
        <v>0</v>
      </c>
      <c r="AC197">
        <f>IFERROR(SMALL(AC47:AC127,ROW()-ROW($AC$130)+1),"")</f>
        <v>0</v>
      </c>
      <c r="AD197">
        <f>IFERROR(SMALL(AD47:AD127,ROW()-ROW($AD$130)+1),"")</f>
        <v>0</v>
      </c>
      <c r="AE197">
        <f>IFERROR(SMALL(AE47:AE127,ROW()-ROW($AE$130)+1),"")</f>
        <v>0</v>
      </c>
      <c r="AF197">
        <f>IFERROR(SMALL(AF47:AF127,ROW()-ROW($AF$130)+1),"")</f>
        <v>0</v>
      </c>
      <c r="AG197">
        <f>IFERROR(SMALL(AG47:AG127,ROW()-ROW($AG$130)+1),"")</f>
        <v>0</v>
      </c>
      <c r="AH197">
        <f>IFERROR(SMALL(AH47:AH127,ROW()-ROW($AH$130)+1),"")</f>
        <v>0</v>
      </c>
      <c r="AI197">
        <f>IFERROR(SMALL(AI47:AI127,ROW()-ROW($AI$130)+1),"")</f>
        <v>0</v>
      </c>
      <c r="AJ197">
        <f>IFERROR(SMALL(AJ47:AJ127,ROW()-ROW($AJ$130)+1),"")</f>
        <v>0</v>
      </c>
      <c r="AK197">
        <f>IFERROR(SMALL(AK47:AK127,ROW()-ROW($AK$130)+1),"")</f>
        <v>0</v>
      </c>
      <c r="AL197">
        <f>IFERROR(SMALL(AL47:AL127,ROW()-ROW($AL$130)+1),"")</f>
        <v>0</v>
      </c>
      <c r="AM197">
        <f>IFERROR(SMALL(AM47:AM127,ROW()-ROW($AM$130)+1),"")</f>
        <v>0</v>
      </c>
      <c r="AN197">
        <f>IFERROR(SMALL(AN47:AN127,ROW()-ROW($AN$130)+1),"")</f>
        <v>0</v>
      </c>
      <c r="AO197">
        <f>IFERROR(SMALL(AO47:AO127,ROW()-ROW($AO$130)+1),"")</f>
        <v>0</v>
      </c>
      <c r="AP197">
        <f>IFERROR(SMALL(AP47:AP127,ROW()-ROW($AP$130)+1),"")</f>
        <v>0</v>
      </c>
      <c r="AQ197">
        <f>IFERROR(SMALL(AQ47:AQ127,ROW()-ROW($AQ$130)+1),"")</f>
        <v>0</v>
      </c>
      <c r="AR197">
        <f>IFERROR(SMALL(AR47:AR127,ROW()-ROW($AR$130)+1),"")</f>
        <v>0</v>
      </c>
      <c r="AS197">
        <f>IFERROR(SMALL(AS47:AS127,ROW()-ROW($AS$130)+1),"")</f>
        <v>0</v>
      </c>
      <c r="AT197">
        <f>IFERROR(SMALL(AT47:AT127,ROW()-ROW($AT$130)+1),"")</f>
        <v>0</v>
      </c>
      <c r="AU197">
        <f>IFERROR(SMALL(AU47:AU127,ROW()-ROW($AU$130)+1),"")</f>
        <v>0</v>
      </c>
      <c r="AV197">
        <f>IFERROR(SMALL(AV47:AV127,ROW()-ROW($AV$130)+1),"")</f>
        <v>0</v>
      </c>
      <c r="AW197">
        <f>IFERROR(SMALL(AW47:AW127,ROW()-ROW($AW$130)+1),"")</f>
        <v>0</v>
      </c>
      <c r="AX197">
        <f>IFERROR(SMALL(AX47:AX127,ROW()-ROW($AX$130)+1),"")</f>
        <v>0</v>
      </c>
      <c r="AY197">
        <f>IFERROR(SMALL(AY47:AY127,ROW()-ROW($AY$130)+1),"")</f>
        <v>0</v>
      </c>
      <c r="AZ197">
        <f>IFERROR(SMALL(AZ47:AZ127,ROW()-ROW($AZ$130)+1),"")</f>
        <v>0</v>
      </c>
      <c r="BA197">
        <f>IFERROR(SMALL(BA47:BA127,ROW()-ROW($BA$130)+1),"")</f>
        <v>0</v>
      </c>
      <c r="BB197">
        <f>IFERROR(SMALL(BB47:BB127,ROW()-ROW($BB$130)+1),"")</f>
        <v>0</v>
      </c>
      <c r="BC197">
        <f>IFERROR(SMALL(BC47:BC127,ROW()-ROW($BC$130)+1),"")</f>
        <v>0</v>
      </c>
      <c r="BD197">
        <f>IFERROR(SMALL(BD47:BD127,ROW()-ROW($BD$130)+1),"")</f>
        <v>0</v>
      </c>
      <c r="BE197">
        <f>IFERROR(SMALL(BE47:BE127,ROW()-ROW($BE$130)+1),"")</f>
        <v>0</v>
      </c>
      <c r="BF197">
        <f>IFERROR(SMALL(BF47:BF127,ROW()-ROW($BF$130)+1),"")</f>
        <v>0</v>
      </c>
      <c r="BG197">
        <f>IFERROR(SMALL(BG47:BG127,ROW()-ROW($BG$130)+1),"")</f>
        <v>0</v>
      </c>
      <c r="BH197">
        <f>IFERROR(SMALL(BH47:BH127,ROW()-ROW($BH$130)+1),"")</f>
        <v>0</v>
      </c>
      <c r="BI197">
        <f>IFERROR(SMALL(BI47:BI127,ROW()-ROW($BI$130)+1),"")</f>
        <v>0</v>
      </c>
      <c r="BJ197">
        <f>IFERROR(SMALL(BJ47:BJ127,ROW()-ROW($BJ$130)+1),"")</f>
        <v>0</v>
      </c>
      <c r="BK197">
        <f>IFERROR(SMALL(BK47:BK127,ROW()-ROW($BK$130)+1),"")</f>
        <v>0</v>
      </c>
      <c r="BL197">
        <f>IFERROR(SMALL(BL47:BL127,ROW()-ROW($BL$130)+1),"")</f>
        <v>0</v>
      </c>
      <c r="BM197">
        <f>IFERROR(SMALL(BM47:BM127,ROW()-ROW($BM$130)+1),"")</f>
        <v>0</v>
      </c>
      <c r="BN197">
        <f>IFERROR(SMALL(BN47:BN127,ROW()-ROW($BN$130)+1),"")</f>
        <v>0</v>
      </c>
      <c r="BO197">
        <f>IFERROR(SMALL(BO47:BO127,ROW()-ROW($BO$130)+1),"")</f>
        <v>0</v>
      </c>
      <c r="BP197">
        <f>IFERROR(SMALL(BP47:BP127,ROW()-ROW($BP$130)+1),"")</f>
        <v>0</v>
      </c>
      <c r="BS197">
        <f>IFERROR(SMALL(BS47:BS127,ROW()-ROW($BS$130)+1),"")</f>
        <v>0</v>
      </c>
      <c r="BT197">
        <f>IFERROR(SMALL(BT47:BT127,ROW()-ROW($BT$130)+1),"")</f>
        <v>0</v>
      </c>
      <c r="BU197">
        <f>IFERROR(SMALL(BU47:BU127,ROW()-ROW($BU$130)+1),"")</f>
        <v>0</v>
      </c>
      <c r="BV197">
        <f>IFERROR(SMALL(BV47:BV127,ROW()-ROW($BV$130)+1),"")</f>
        <v>0</v>
      </c>
      <c r="BW197">
        <f>IFERROR(SMALL(BW47:BW127,ROW()-ROW($BW$130)+1),"")</f>
        <v>0</v>
      </c>
      <c r="BX197">
        <f>IFERROR(SMALL(BX47:BX127,ROW()-ROW($BX$130)+1),"")</f>
        <v>0</v>
      </c>
      <c r="BY197">
        <f>IFERROR(SMALL(BY47:BY127,ROW()-ROW($BY$130)+1),"")</f>
        <v>0</v>
      </c>
      <c r="BZ197">
        <f>IFERROR(SMALL(BZ47:BZ127,ROW()-ROW($BZ$130)+1),"")</f>
        <v>0</v>
      </c>
      <c r="CA197">
        <f>IFERROR(SMALL(CA47:CA127,ROW()-ROW($CA$130)+1),"")</f>
        <v>0</v>
      </c>
      <c r="CB197">
        <f>IFERROR(SMALL(CB47:CB127,ROW()-ROW($CB$130)+1),"")</f>
        <v>0</v>
      </c>
      <c r="CC197">
        <f>IFERROR(SMALL(CC47:CC127,ROW()-ROW($CC$130)+1),"")</f>
        <v>0</v>
      </c>
      <c r="CD197">
        <f>IFERROR(SMALL(CD47:CD127,ROW()-ROW($CD$130)+1),"")</f>
        <v>0</v>
      </c>
      <c r="CE197">
        <f>IFERROR(SMALL(CE47:CE127,ROW()-ROW($CE$130)+1),"")</f>
        <v>0</v>
      </c>
      <c r="CF197">
        <f>IFERROR(SMALL(CF47:CF127,ROW()-ROW($CF$130)+1),"")</f>
        <v>0</v>
      </c>
      <c r="CG197">
        <f>IFERROR(SMALL(CG47:CG127,ROW()-ROW($CG$130)+1),"")</f>
        <v>0</v>
      </c>
      <c r="CH197">
        <f>IFERROR(SMALL(CH47:CH127,ROW()-ROW($CH$130)+1),"")</f>
        <v>0</v>
      </c>
      <c r="CI197">
        <f>IFERROR(SMALL(CI47:CI127,ROW()-ROW($CI$130)+1),"")</f>
        <v>0</v>
      </c>
      <c r="CJ197">
        <f>IFERROR(SMALL(CJ47:CJ127,ROW()-ROW($CJ$130)+1),"")</f>
        <v>0</v>
      </c>
      <c r="CK197">
        <f>IFERROR(SMALL(CK47:CK127,ROW()-ROW($CK$130)+1),"")</f>
        <v>0</v>
      </c>
      <c r="CL197">
        <f>IFERROR(SMALL(CL47:CL127,ROW()-ROW($CL$130)+1),"")</f>
        <v>0</v>
      </c>
      <c r="CM197">
        <f>IFERROR(SMALL(CM47:CM127,ROW()-ROW($CM$130)+1),"")</f>
        <v>0</v>
      </c>
      <c r="CN197">
        <f>IFERROR(SMALL(CN47:CN127,ROW()-ROW($CN$130)+1),"")</f>
        <v>0</v>
      </c>
      <c r="CO197">
        <f>IFERROR(SMALL(CO47:CO127,ROW()-ROW($CO$130)+1),"")</f>
        <v>0</v>
      </c>
      <c r="CP197">
        <f>IFERROR(SMALL(CP47:CP127,ROW()-ROW($CP$130)+1),"")</f>
        <v>0</v>
      </c>
      <c r="CQ197">
        <f>IFERROR(SMALL(CQ47:CQ127,ROW()-ROW($CQ$130)+1),"")</f>
        <v>0</v>
      </c>
      <c r="CR197">
        <f>IFERROR(SMALL(CR47:CR127,ROW()-ROW($CR$130)+1),"")</f>
        <v>0</v>
      </c>
      <c r="CS197">
        <f>IFERROR(SMALL(CS47:CS127,ROW()-ROW($CS$130)+1),"")</f>
        <v>0</v>
      </c>
      <c r="CT197">
        <f>IFERROR(SMALL(CT47:CT127,ROW()-ROW($CT$130)+1),"")</f>
        <v>0</v>
      </c>
      <c r="CU197">
        <f>IFERROR(SMALL(CU47:CU127,ROW()-ROW($CU$130)+1),"")</f>
        <v>0</v>
      </c>
      <c r="CV197">
        <f>IFERROR(SMALL(CV47:CV127,ROW()-ROW($CV$130)+1),"")</f>
        <v>0</v>
      </c>
      <c r="CW197">
        <f>IFERROR(SMALL(CW47:CW127,ROW()-ROW($CW$130)+1),"")</f>
        <v>0</v>
      </c>
      <c r="CX197">
        <f>IFERROR(SMALL(CX47:CX127,ROW()-ROW($CX$130)+1),"")</f>
        <v>0</v>
      </c>
      <c r="CY197">
        <f>IFERROR(SMALL(CY47:CY127,ROW()-ROW($CY$130)+1),"")</f>
        <v>0</v>
      </c>
      <c r="CZ197">
        <f>IFERROR(SMALL(CZ47:CZ127,ROW()-ROW($CZ$130)+1),"")</f>
        <v>0</v>
      </c>
      <c r="DA197">
        <f>IFERROR(SMALL(DA47:DA127,ROW()-ROW($DA$130)+1),"")</f>
        <v>0</v>
      </c>
      <c r="DB197">
        <f>IFERROR(SMALL(DB47:DB127,ROW()-ROW($DB$130)+1),"")</f>
        <v>0</v>
      </c>
      <c r="DC197">
        <f>IFERROR(SMALL(DC47:DC127,ROW()-ROW($DC$130)+1),"")</f>
        <v>0</v>
      </c>
      <c r="DD197">
        <f>IFERROR(SMALL(DD47:DD127,ROW()-ROW($DD$130)+1),"")</f>
        <v>0</v>
      </c>
      <c r="DE197">
        <f>IFERROR(SMALL(DE47:DE127,ROW()-ROW($DE$130)+1),"")</f>
        <v>0</v>
      </c>
      <c r="DF197">
        <f>IFERROR(SMALL(DF47:DF127,ROW()-ROW($DF$130)+1),"")</f>
        <v>0</v>
      </c>
      <c r="DG197">
        <f>IFERROR(SMALL(DG47:DG127,ROW()-ROW($DG$130)+1),"")</f>
        <v>0</v>
      </c>
      <c r="DH197">
        <f>IFERROR(SMALL(DH47:DH127,ROW()-ROW($DH$130)+1),"")</f>
        <v>0</v>
      </c>
      <c r="DI197">
        <f>IFERROR(SMALL(DI47:DI127,ROW()-ROW($DI$130)+1),"")</f>
        <v>0</v>
      </c>
      <c r="DJ197">
        <f>IFERROR(SMALL(DJ47:DJ127,ROW()-ROW($DJ$130)+1),"")</f>
        <v>0</v>
      </c>
      <c r="DK197">
        <f>IFERROR(SMALL(DK47:DK127,ROW()-ROW($DK$130)+1),"")</f>
        <v>0</v>
      </c>
      <c r="DL197">
        <f>IFERROR(SMALL(DL47:DL127,ROW()-ROW($DL$130)+1),"")</f>
        <v>0</v>
      </c>
      <c r="DM197">
        <f>IFERROR(SMALL(DM47:DM127,ROW()-ROW($DM$130)+1),"")</f>
        <v>0</v>
      </c>
      <c r="DN197">
        <f>IFERROR(SMALL(DN47:DN127,ROW()-ROW($DN$130)+1),"")</f>
        <v>0</v>
      </c>
      <c r="DO197">
        <f>IFERROR(SMALL(DO47:DO127,ROW()-ROW($DO$130)+1),"")</f>
        <v>0</v>
      </c>
      <c r="DP197">
        <f>IFERROR(SMALL(DP47:DP127,ROW()-ROW($DP$130)+1),"")</f>
        <v>0</v>
      </c>
      <c r="DQ197">
        <f>IFERROR(SMALL(DQ47:DQ127,ROW()-ROW($DQ$130)+1),"")</f>
        <v>0</v>
      </c>
      <c r="DR197">
        <f>IFERROR(SMALL(DR47:DR127,ROW()-ROW($DR$130)+1),"")</f>
        <v>0</v>
      </c>
      <c r="DS197">
        <f>IFERROR(SMALL(DS47:DS127,ROW()-ROW($DS$130)+1),"")</f>
        <v>0</v>
      </c>
      <c r="DT197">
        <f>IFERROR(SMALL(DT47:DT127,ROW()-ROW($DT$130)+1),"")</f>
        <v>0</v>
      </c>
      <c r="DU197">
        <f>IFERROR(SMALL(DU47:DU127,ROW()-ROW($DU$130)+1),"")</f>
        <v>0</v>
      </c>
      <c r="DV197">
        <f>IFERROR(SMALL(DV47:DV127,ROW()-ROW($DV$130)+1),"")</f>
        <v>0</v>
      </c>
      <c r="DW197">
        <f>IFERROR(SMALL(DW47:DW127,ROW()-ROW($DW$130)+1),"")</f>
        <v>0</v>
      </c>
      <c r="DX197">
        <f>IFERROR(SMALL(DX47:DX127,ROW()-ROW($DX$130)+1),"")</f>
        <v>0</v>
      </c>
      <c r="DY197">
        <f>IFERROR(SMALL(DY47:DY127,ROW()-ROW($DY$130)+1),"")</f>
        <v>0</v>
      </c>
      <c r="DZ197">
        <f>IFERROR(SMALL(DZ47:DZ127,ROW()-ROW($DZ$130)+1),"")</f>
        <v>0</v>
      </c>
      <c r="EA197">
        <f>IFERROR(SMALL(EA47:EA127,ROW()-ROW($EA$130)+1),"")</f>
        <v>0</v>
      </c>
      <c r="EB197">
        <f>IFERROR(SMALL(EB47:EB127,ROW()-ROW($EB$130)+1),"")</f>
        <v>0</v>
      </c>
      <c r="EC197">
        <f>IFERROR(SMALL(EC47:EC127,ROW()-ROW($EC$130)+1),"")</f>
        <v>0</v>
      </c>
      <c r="ED197">
        <f>IFERROR(SMALL(ED47:ED127,ROW()-ROW($ED$130)+1),"")</f>
        <v>0</v>
      </c>
    </row>
    <row r="198" spans="5:134">
      <c r="E198">
        <f>IFERROR(SMALL(E47:E127,ROW()-ROW($E$130)+1),"")</f>
        <v>0</v>
      </c>
      <c r="F198">
        <f>IFERROR(SMALL(F47:F127,ROW()-ROW($F$130)+1),"")</f>
        <v>0</v>
      </c>
      <c r="G198">
        <f>IFERROR(SMALL(G47:G127,ROW()-ROW($G$130)+1),"")</f>
        <v>0</v>
      </c>
      <c r="H198">
        <f>IFERROR(SMALL(H47:H127,ROW()-ROW($H$130)+1),"")</f>
        <v>0</v>
      </c>
      <c r="I198">
        <f>IFERROR(SMALL(I47:I127,ROW()-ROW($I$130)+1),"")</f>
        <v>0</v>
      </c>
      <c r="J198">
        <f>IFERROR(SMALL(J47:J127,ROW()-ROW($J$130)+1),"")</f>
        <v>0</v>
      </c>
      <c r="K198">
        <f>IFERROR(SMALL(K47:K127,ROW()-ROW($K$130)+1),"")</f>
        <v>0</v>
      </c>
      <c r="L198">
        <f>IFERROR(SMALL(L47:L127,ROW()-ROW($L$130)+1),"")</f>
        <v>0</v>
      </c>
      <c r="M198">
        <f>IFERROR(SMALL(M47:M127,ROW()-ROW($M$130)+1),"")</f>
        <v>0</v>
      </c>
      <c r="N198">
        <f>IFERROR(SMALL(N47:N127,ROW()-ROW($N$130)+1),"")</f>
        <v>0</v>
      </c>
      <c r="O198">
        <f>IFERROR(SMALL(O47:O127,ROW()-ROW($O$130)+1),"")</f>
        <v>0</v>
      </c>
      <c r="P198">
        <f>IFERROR(SMALL(P47:P127,ROW()-ROW($P$130)+1),"")</f>
        <v>0</v>
      </c>
      <c r="Q198">
        <f>IFERROR(SMALL(Q47:Q127,ROW()-ROW($Q$130)+1),"")</f>
        <v>0</v>
      </c>
      <c r="R198">
        <f>IFERROR(SMALL(R47:R127,ROW()-ROW($R$130)+1),"")</f>
        <v>0</v>
      </c>
      <c r="S198">
        <f>IFERROR(SMALL(S47:S127,ROW()-ROW($S$130)+1),"")</f>
        <v>0</v>
      </c>
      <c r="T198">
        <f>IFERROR(SMALL(T47:T127,ROW()-ROW($T$130)+1),"")</f>
        <v>0</v>
      </c>
      <c r="U198">
        <f>IFERROR(SMALL(U47:U127,ROW()-ROW($U$130)+1),"")</f>
        <v>0</v>
      </c>
      <c r="V198">
        <f>IFERROR(SMALL(V47:V127,ROW()-ROW($V$130)+1),"")</f>
        <v>0</v>
      </c>
      <c r="W198">
        <f>IFERROR(SMALL(W47:W127,ROW()-ROW($W$130)+1),"")</f>
        <v>0</v>
      </c>
      <c r="X198">
        <f>IFERROR(SMALL(X47:X127,ROW()-ROW($X$130)+1),"")</f>
        <v>0</v>
      </c>
      <c r="Y198">
        <f>IFERROR(SMALL(Y47:Y127,ROW()-ROW($Y$130)+1),"")</f>
        <v>0</v>
      </c>
      <c r="Z198">
        <f>IFERROR(SMALL(Z47:Z127,ROW()-ROW($Z$130)+1),"")</f>
        <v>0</v>
      </c>
      <c r="AA198">
        <f>IFERROR(SMALL(AA47:AA127,ROW()-ROW($AA$130)+1),"")</f>
        <v>0</v>
      </c>
      <c r="AB198">
        <f>IFERROR(SMALL(AB47:AB127,ROW()-ROW($AB$130)+1),"")</f>
        <v>0</v>
      </c>
      <c r="AC198">
        <f>IFERROR(SMALL(AC47:AC127,ROW()-ROW($AC$130)+1),"")</f>
        <v>0</v>
      </c>
      <c r="AD198">
        <f>IFERROR(SMALL(AD47:AD127,ROW()-ROW($AD$130)+1),"")</f>
        <v>0</v>
      </c>
      <c r="AE198">
        <f>IFERROR(SMALL(AE47:AE127,ROW()-ROW($AE$130)+1),"")</f>
        <v>0</v>
      </c>
      <c r="AF198">
        <f>IFERROR(SMALL(AF47:AF127,ROW()-ROW($AF$130)+1),"")</f>
        <v>0</v>
      </c>
      <c r="AG198">
        <f>IFERROR(SMALL(AG47:AG127,ROW()-ROW($AG$130)+1),"")</f>
        <v>0</v>
      </c>
      <c r="AH198">
        <f>IFERROR(SMALL(AH47:AH127,ROW()-ROW($AH$130)+1),"")</f>
        <v>0</v>
      </c>
      <c r="AI198">
        <f>IFERROR(SMALL(AI47:AI127,ROW()-ROW($AI$130)+1),"")</f>
        <v>0</v>
      </c>
      <c r="AJ198">
        <f>IFERROR(SMALL(AJ47:AJ127,ROW()-ROW($AJ$130)+1),"")</f>
        <v>0</v>
      </c>
      <c r="AK198">
        <f>IFERROR(SMALL(AK47:AK127,ROW()-ROW($AK$130)+1),"")</f>
        <v>0</v>
      </c>
      <c r="AL198">
        <f>IFERROR(SMALL(AL47:AL127,ROW()-ROW($AL$130)+1),"")</f>
        <v>0</v>
      </c>
      <c r="AM198">
        <f>IFERROR(SMALL(AM47:AM127,ROW()-ROW($AM$130)+1),"")</f>
        <v>0</v>
      </c>
      <c r="AN198">
        <f>IFERROR(SMALL(AN47:AN127,ROW()-ROW($AN$130)+1),"")</f>
        <v>0</v>
      </c>
      <c r="AO198">
        <f>IFERROR(SMALL(AO47:AO127,ROW()-ROW($AO$130)+1),"")</f>
        <v>0</v>
      </c>
      <c r="AP198">
        <f>IFERROR(SMALL(AP47:AP127,ROW()-ROW($AP$130)+1),"")</f>
        <v>0</v>
      </c>
      <c r="AQ198">
        <f>IFERROR(SMALL(AQ47:AQ127,ROW()-ROW($AQ$130)+1),"")</f>
        <v>0</v>
      </c>
      <c r="AR198">
        <f>IFERROR(SMALL(AR47:AR127,ROW()-ROW($AR$130)+1),"")</f>
        <v>0</v>
      </c>
      <c r="AS198">
        <f>IFERROR(SMALL(AS47:AS127,ROW()-ROW($AS$130)+1),"")</f>
        <v>0</v>
      </c>
      <c r="AT198">
        <f>IFERROR(SMALL(AT47:AT127,ROW()-ROW($AT$130)+1),"")</f>
        <v>0</v>
      </c>
      <c r="AU198">
        <f>IFERROR(SMALL(AU47:AU127,ROW()-ROW($AU$130)+1),"")</f>
        <v>0</v>
      </c>
      <c r="AV198">
        <f>IFERROR(SMALL(AV47:AV127,ROW()-ROW($AV$130)+1),"")</f>
        <v>0</v>
      </c>
      <c r="AW198">
        <f>IFERROR(SMALL(AW47:AW127,ROW()-ROW($AW$130)+1),"")</f>
        <v>0</v>
      </c>
      <c r="AX198">
        <f>IFERROR(SMALL(AX47:AX127,ROW()-ROW($AX$130)+1),"")</f>
        <v>0</v>
      </c>
      <c r="AY198">
        <f>IFERROR(SMALL(AY47:AY127,ROW()-ROW($AY$130)+1),"")</f>
        <v>0</v>
      </c>
      <c r="AZ198">
        <f>IFERROR(SMALL(AZ47:AZ127,ROW()-ROW($AZ$130)+1),"")</f>
        <v>0</v>
      </c>
      <c r="BA198">
        <f>IFERROR(SMALL(BA47:BA127,ROW()-ROW($BA$130)+1),"")</f>
        <v>0</v>
      </c>
      <c r="BB198">
        <f>IFERROR(SMALL(BB47:BB127,ROW()-ROW($BB$130)+1),"")</f>
        <v>0</v>
      </c>
      <c r="BC198">
        <f>IFERROR(SMALL(BC47:BC127,ROW()-ROW($BC$130)+1),"")</f>
        <v>0</v>
      </c>
      <c r="BD198">
        <f>IFERROR(SMALL(BD47:BD127,ROW()-ROW($BD$130)+1),"")</f>
        <v>0</v>
      </c>
      <c r="BE198">
        <f>IFERROR(SMALL(BE47:BE127,ROW()-ROW($BE$130)+1),"")</f>
        <v>0</v>
      </c>
      <c r="BF198">
        <f>IFERROR(SMALL(BF47:BF127,ROW()-ROW($BF$130)+1),"")</f>
        <v>0</v>
      </c>
      <c r="BG198">
        <f>IFERROR(SMALL(BG47:BG127,ROW()-ROW($BG$130)+1),"")</f>
        <v>0</v>
      </c>
      <c r="BH198">
        <f>IFERROR(SMALL(BH47:BH127,ROW()-ROW($BH$130)+1),"")</f>
        <v>0</v>
      </c>
      <c r="BI198">
        <f>IFERROR(SMALL(BI47:BI127,ROW()-ROW($BI$130)+1),"")</f>
        <v>0</v>
      </c>
      <c r="BJ198">
        <f>IFERROR(SMALL(BJ47:BJ127,ROW()-ROW($BJ$130)+1),"")</f>
        <v>0</v>
      </c>
      <c r="BK198">
        <f>IFERROR(SMALL(BK47:BK127,ROW()-ROW($BK$130)+1),"")</f>
        <v>0</v>
      </c>
      <c r="BL198">
        <f>IFERROR(SMALL(BL47:BL127,ROW()-ROW($BL$130)+1),"")</f>
        <v>0</v>
      </c>
      <c r="BM198">
        <f>IFERROR(SMALL(BM47:BM127,ROW()-ROW($BM$130)+1),"")</f>
        <v>0</v>
      </c>
      <c r="BN198">
        <f>IFERROR(SMALL(BN47:BN127,ROW()-ROW($BN$130)+1),"")</f>
        <v>0</v>
      </c>
      <c r="BO198">
        <f>IFERROR(SMALL(BO47:BO127,ROW()-ROW($BO$130)+1),"")</f>
        <v>0</v>
      </c>
      <c r="BP198">
        <f>IFERROR(SMALL(BP47:BP127,ROW()-ROW($BP$130)+1),"")</f>
        <v>0</v>
      </c>
      <c r="BS198">
        <f>IFERROR(SMALL(BS47:BS127,ROW()-ROW($BS$130)+1),"")</f>
        <v>0</v>
      </c>
      <c r="BT198">
        <f>IFERROR(SMALL(BT47:BT127,ROW()-ROW($BT$130)+1),"")</f>
        <v>0</v>
      </c>
      <c r="BU198">
        <f>IFERROR(SMALL(BU47:BU127,ROW()-ROW($BU$130)+1),"")</f>
        <v>0</v>
      </c>
      <c r="BV198">
        <f>IFERROR(SMALL(BV47:BV127,ROW()-ROW($BV$130)+1),"")</f>
        <v>0</v>
      </c>
      <c r="BW198">
        <f>IFERROR(SMALL(BW47:BW127,ROW()-ROW($BW$130)+1),"")</f>
        <v>0</v>
      </c>
      <c r="BX198">
        <f>IFERROR(SMALL(BX47:BX127,ROW()-ROW($BX$130)+1),"")</f>
        <v>0</v>
      </c>
      <c r="BY198">
        <f>IFERROR(SMALL(BY47:BY127,ROW()-ROW($BY$130)+1),"")</f>
        <v>0</v>
      </c>
      <c r="BZ198">
        <f>IFERROR(SMALL(BZ47:BZ127,ROW()-ROW($BZ$130)+1),"")</f>
        <v>0</v>
      </c>
      <c r="CA198">
        <f>IFERROR(SMALL(CA47:CA127,ROW()-ROW($CA$130)+1),"")</f>
        <v>0</v>
      </c>
      <c r="CB198">
        <f>IFERROR(SMALL(CB47:CB127,ROW()-ROW($CB$130)+1),"")</f>
        <v>0</v>
      </c>
      <c r="CC198">
        <f>IFERROR(SMALL(CC47:CC127,ROW()-ROW($CC$130)+1),"")</f>
        <v>0</v>
      </c>
      <c r="CD198">
        <f>IFERROR(SMALL(CD47:CD127,ROW()-ROW($CD$130)+1),"")</f>
        <v>0</v>
      </c>
      <c r="CE198">
        <f>IFERROR(SMALL(CE47:CE127,ROW()-ROW($CE$130)+1),"")</f>
        <v>0</v>
      </c>
      <c r="CF198">
        <f>IFERROR(SMALL(CF47:CF127,ROW()-ROW($CF$130)+1),"")</f>
        <v>0</v>
      </c>
      <c r="CG198">
        <f>IFERROR(SMALL(CG47:CG127,ROW()-ROW($CG$130)+1),"")</f>
        <v>0</v>
      </c>
      <c r="CH198">
        <f>IFERROR(SMALL(CH47:CH127,ROW()-ROW($CH$130)+1),"")</f>
        <v>0</v>
      </c>
      <c r="CI198">
        <f>IFERROR(SMALL(CI47:CI127,ROW()-ROW($CI$130)+1),"")</f>
        <v>0</v>
      </c>
      <c r="CJ198">
        <f>IFERROR(SMALL(CJ47:CJ127,ROW()-ROW($CJ$130)+1),"")</f>
        <v>0</v>
      </c>
      <c r="CK198">
        <f>IFERROR(SMALL(CK47:CK127,ROW()-ROW($CK$130)+1),"")</f>
        <v>0</v>
      </c>
      <c r="CL198">
        <f>IFERROR(SMALL(CL47:CL127,ROW()-ROW($CL$130)+1),"")</f>
        <v>0</v>
      </c>
      <c r="CM198">
        <f>IFERROR(SMALL(CM47:CM127,ROW()-ROW($CM$130)+1),"")</f>
        <v>0</v>
      </c>
      <c r="CN198">
        <f>IFERROR(SMALL(CN47:CN127,ROW()-ROW($CN$130)+1),"")</f>
        <v>0</v>
      </c>
      <c r="CO198">
        <f>IFERROR(SMALL(CO47:CO127,ROW()-ROW($CO$130)+1),"")</f>
        <v>0</v>
      </c>
      <c r="CP198">
        <f>IFERROR(SMALL(CP47:CP127,ROW()-ROW($CP$130)+1),"")</f>
        <v>0</v>
      </c>
      <c r="CQ198">
        <f>IFERROR(SMALL(CQ47:CQ127,ROW()-ROW($CQ$130)+1),"")</f>
        <v>0</v>
      </c>
      <c r="CR198">
        <f>IFERROR(SMALL(CR47:CR127,ROW()-ROW($CR$130)+1),"")</f>
        <v>0</v>
      </c>
      <c r="CS198">
        <f>IFERROR(SMALL(CS47:CS127,ROW()-ROW($CS$130)+1),"")</f>
        <v>0</v>
      </c>
      <c r="CT198">
        <f>IFERROR(SMALL(CT47:CT127,ROW()-ROW($CT$130)+1),"")</f>
        <v>0</v>
      </c>
      <c r="CU198">
        <f>IFERROR(SMALL(CU47:CU127,ROW()-ROW($CU$130)+1),"")</f>
        <v>0</v>
      </c>
      <c r="CV198">
        <f>IFERROR(SMALL(CV47:CV127,ROW()-ROW($CV$130)+1),"")</f>
        <v>0</v>
      </c>
      <c r="CW198">
        <f>IFERROR(SMALL(CW47:CW127,ROW()-ROW($CW$130)+1),"")</f>
        <v>0</v>
      </c>
      <c r="CX198">
        <f>IFERROR(SMALL(CX47:CX127,ROW()-ROW($CX$130)+1),"")</f>
        <v>0</v>
      </c>
      <c r="CY198">
        <f>IFERROR(SMALL(CY47:CY127,ROW()-ROW($CY$130)+1),"")</f>
        <v>0</v>
      </c>
      <c r="CZ198">
        <f>IFERROR(SMALL(CZ47:CZ127,ROW()-ROW($CZ$130)+1),"")</f>
        <v>0</v>
      </c>
      <c r="DA198">
        <f>IFERROR(SMALL(DA47:DA127,ROW()-ROW($DA$130)+1),"")</f>
        <v>0</v>
      </c>
      <c r="DB198">
        <f>IFERROR(SMALL(DB47:DB127,ROW()-ROW($DB$130)+1),"")</f>
        <v>0</v>
      </c>
      <c r="DC198">
        <f>IFERROR(SMALL(DC47:DC127,ROW()-ROW($DC$130)+1),"")</f>
        <v>0</v>
      </c>
      <c r="DD198">
        <f>IFERROR(SMALL(DD47:DD127,ROW()-ROW($DD$130)+1),"")</f>
        <v>0</v>
      </c>
      <c r="DE198">
        <f>IFERROR(SMALL(DE47:DE127,ROW()-ROW($DE$130)+1),"")</f>
        <v>0</v>
      </c>
      <c r="DF198">
        <f>IFERROR(SMALL(DF47:DF127,ROW()-ROW($DF$130)+1),"")</f>
        <v>0</v>
      </c>
      <c r="DG198">
        <f>IFERROR(SMALL(DG47:DG127,ROW()-ROW($DG$130)+1),"")</f>
        <v>0</v>
      </c>
      <c r="DH198">
        <f>IFERROR(SMALL(DH47:DH127,ROW()-ROW($DH$130)+1),"")</f>
        <v>0</v>
      </c>
      <c r="DI198">
        <f>IFERROR(SMALL(DI47:DI127,ROW()-ROW($DI$130)+1),"")</f>
        <v>0</v>
      </c>
      <c r="DJ198">
        <f>IFERROR(SMALL(DJ47:DJ127,ROW()-ROW($DJ$130)+1),"")</f>
        <v>0</v>
      </c>
      <c r="DK198">
        <f>IFERROR(SMALL(DK47:DK127,ROW()-ROW($DK$130)+1),"")</f>
        <v>0</v>
      </c>
      <c r="DL198">
        <f>IFERROR(SMALL(DL47:DL127,ROW()-ROW($DL$130)+1),"")</f>
        <v>0</v>
      </c>
      <c r="DM198">
        <f>IFERROR(SMALL(DM47:DM127,ROW()-ROW($DM$130)+1),"")</f>
        <v>0</v>
      </c>
      <c r="DN198">
        <f>IFERROR(SMALL(DN47:DN127,ROW()-ROW($DN$130)+1),"")</f>
        <v>0</v>
      </c>
      <c r="DO198">
        <f>IFERROR(SMALL(DO47:DO127,ROW()-ROW($DO$130)+1),"")</f>
        <v>0</v>
      </c>
      <c r="DP198">
        <f>IFERROR(SMALL(DP47:DP127,ROW()-ROW($DP$130)+1),"")</f>
        <v>0</v>
      </c>
      <c r="DQ198">
        <f>IFERROR(SMALL(DQ47:DQ127,ROW()-ROW($DQ$130)+1),"")</f>
        <v>0</v>
      </c>
      <c r="DR198">
        <f>IFERROR(SMALL(DR47:DR127,ROW()-ROW($DR$130)+1),"")</f>
        <v>0</v>
      </c>
      <c r="DS198">
        <f>IFERROR(SMALL(DS47:DS127,ROW()-ROW($DS$130)+1),"")</f>
        <v>0</v>
      </c>
      <c r="DT198">
        <f>IFERROR(SMALL(DT47:DT127,ROW()-ROW($DT$130)+1),"")</f>
        <v>0</v>
      </c>
      <c r="DU198">
        <f>IFERROR(SMALL(DU47:DU127,ROW()-ROW($DU$130)+1),"")</f>
        <v>0</v>
      </c>
      <c r="DV198">
        <f>IFERROR(SMALL(DV47:DV127,ROW()-ROW($DV$130)+1),"")</f>
        <v>0</v>
      </c>
      <c r="DW198">
        <f>IFERROR(SMALL(DW47:DW127,ROW()-ROW($DW$130)+1),"")</f>
        <v>0</v>
      </c>
      <c r="DX198">
        <f>IFERROR(SMALL(DX47:DX127,ROW()-ROW($DX$130)+1),"")</f>
        <v>0</v>
      </c>
      <c r="DY198">
        <f>IFERROR(SMALL(DY47:DY127,ROW()-ROW($DY$130)+1),"")</f>
        <v>0</v>
      </c>
      <c r="DZ198">
        <f>IFERROR(SMALL(DZ47:DZ127,ROW()-ROW($DZ$130)+1),"")</f>
        <v>0</v>
      </c>
      <c r="EA198">
        <f>IFERROR(SMALL(EA47:EA127,ROW()-ROW($EA$130)+1),"")</f>
        <v>0</v>
      </c>
      <c r="EB198">
        <f>IFERROR(SMALL(EB47:EB127,ROW()-ROW($EB$130)+1),"")</f>
        <v>0</v>
      </c>
      <c r="EC198">
        <f>IFERROR(SMALL(EC47:EC127,ROW()-ROW($EC$130)+1),"")</f>
        <v>0</v>
      </c>
      <c r="ED198">
        <f>IFERROR(SMALL(ED47:ED127,ROW()-ROW($ED$130)+1),"")</f>
        <v>0</v>
      </c>
    </row>
    <row r="199" spans="5:134">
      <c r="E199">
        <f>IFERROR(SMALL(E47:E127,ROW()-ROW($E$130)+1),"")</f>
        <v>0</v>
      </c>
      <c r="F199">
        <f>IFERROR(SMALL(F47:F127,ROW()-ROW($F$130)+1),"")</f>
        <v>0</v>
      </c>
      <c r="G199">
        <f>IFERROR(SMALL(G47:G127,ROW()-ROW($G$130)+1),"")</f>
        <v>0</v>
      </c>
      <c r="H199">
        <f>IFERROR(SMALL(H47:H127,ROW()-ROW($H$130)+1),"")</f>
        <v>0</v>
      </c>
      <c r="I199">
        <f>IFERROR(SMALL(I47:I127,ROW()-ROW($I$130)+1),"")</f>
        <v>0</v>
      </c>
      <c r="J199">
        <f>IFERROR(SMALL(J47:J127,ROW()-ROW($J$130)+1),"")</f>
        <v>0</v>
      </c>
      <c r="K199">
        <f>IFERROR(SMALL(K47:K127,ROW()-ROW($K$130)+1),"")</f>
        <v>0</v>
      </c>
      <c r="L199">
        <f>IFERROR(SMALL(L47:L127,ROW()-ROW($L$130)+1),"")</f>
        <v>0</v>
      </c>
      <c r="M199">
        <f>IFERROR(SMALL(M47:M127,ROW()-ROW($M$130)+1),"")</f>
        <v>0</v>
      </c>
      <c r="N199">
        <f>IFERROR(SMALL(N47:N127,ROW()-ROW($N$130)+1),"")</f>
        <v>0</v>
      </c>
      <c r="O199">
        <f>IFERROR(SMALL(O47:O127,ROW()-ROW($O$130)+1),"")</f>
        <v>0</v>
      </c>
      <c r="P199">
        <f>IFERROR(SMALL(P47:P127,ROW()-ROW($P$130)+1),"")</f>
        <v>0</v>
      </c>
      <c r="Q199">
        <f>IFERROR(SMALL(Q47:Q127,ROW()-ROW($Q$130)+1),"")</f>
        <v>0</v>
      </c>
      <c r="R199">
        <f>IFERROR(SMALL(R47:R127,ROW()-ROW($R$130)+1),"")</f>
        <v>0</v>
      </c>
      <c r="S199">
        <f>IFERROR(SMALL(S47:S127,ROW()-ROW($S$130)+1),"")</f>
        <v>0</v>
      </c>
      <c r="T199">
        <f>IFERROR(SMALL(T47:T127,ROW()-ROW($T$130)+1),"")</f>
        <v>0</v>
      </c>
      <c r="U199">
        <f>IFERROR(SMALL(U47:U127,ROW()-ROW($U$130)+1),"")</f>
        <v>0</v>
      </c>
      <c r="V199">
        <f>IFERROR(SMALL(V47:V127,ROW()-ROW($V$130)+1),"")</f>
        <v>0</v>
      </c>
      <c r="W199">
        <f>IFERROR(SMALL(W47:W127,ROW()-ROW($W$130)+1),"")</f>
        <v>0</v>
      </c>
      <c r="X199">
        <f>IFERROR(SMALL(X47:X127,ROW()-ROW($X$130)+1),"")</f>
        <v>0</v>
      </c>
      <c r="Y199">
        <f>IFERROR(SMALL(Y47:Y127,ROW()-ROW($Y$130)+1),"")</f>
        <v>0</v>
      </c>
      <c r="Z199">
        <f>IFERROR(SMALL(Z47:Z127,ROW()-ROW($Z$130)+1),"")</f>
        <v>0</v>
      </c>
      <c r="AA199">
        <f>IFERROR(SMALL(AA47:AA127,ROW()-ROW($AA$130)+1),"")</f>
        <v>0</v>
      </c>
      <c r="AB199">
        <f>IFERROR(SMALL(AB47:AB127,ROW()-ROW($AB$130)+1),"")</f>
        <v>0</v>
      </c>
      <c r="AC199">
        <f>IFERROR(SMALL(AC47:AC127,ROW()-ROW($AC$130)+1),"")</f>
        <v>0</v>
      </c>
      <c r="AD199">
        <f>IFERROR(SMALL(AD47:AD127,ROW()-ROW($AD$130)+1),"")</f>
        <v>0</v>
      </c>
      <c r="AE199">
        <f>IFERROR(SMALL(AE47:AE127,ROW()-ROW($AE$130)+1),"")</f>
        <v>0</v>
      </c>
      <c r="AF199">
        <f>IFERROR(SMALL(AF47:AF127,ROW()-ROW($AF$130)+1),"")</f>
        <v>0</v>
      </c>
      <c r="AG199">
        <f>IFERROR(SMALL(AG47:AG127,ROW()-ROW($AG$130)+1),"")</f>
        <v>0</v>
      </c>
      <c r="AH199">
        <f>IFERROR(SMALL(AH47:AH127,ROW()-ROW($AH$130)+1),"")</f>
        <v>0</v>
      </c>
      <c r="AI199">
        <f>IFERROR(SMALL(AI47:AI127,ROW()-ROW($AI$130)+1),"")</f>
        <v>0</v>
      </c>
      <c r="AJ199">
        <f>IFERROR(SMALL(AJ47:AJ127,ROW()-ROW($AJ$130)+1),"")</f>
        <v>0</v>
      </c>
      <c r="AK199">
        <f>IFERROR(SMALL(AK47:AK127,ROW()-ROW($AK$130)+1),"")</f>
        <v>0</v>
      </c>
      <c r="AL199">
        <f>IFERROR(SMALL(AL47:AL127,ROW()-ROW($AL$130)+1),"")</f>
        <v>0</v>
      </c>
      <c r="AM199">
        <f>IFERROR(SMALL(AM47:AM127,ROW()-ROW($AM$130)+1),"")</f>
        <v>0</v>
      </c>
      <c r="AN199">
        <f>IFERROR(SMALL(AN47:AN127,ROW()-ROW($AN$130)+1),"")</f>
        <v>0</v>
      </c>
      <c r="AO199">
        <f>IFERROR(SMALL(AO47:AO127,ROW()-ROW($AO$130)+1),"")</f>
        <v>0</v>
      </c>
      <c r="AP199">
        <f>IFERROR(SMALL(AP47:AP127,ROW()-ROW($AP$130)+1),"")</f>
        <v>0</v>
      </c>
      <c r="AQ199">
        <f>IFERROR(SMALL(AQ47:AQ127,ROW()-ROW($AQ$130)+1),"")</f>
        <v>0</v>
      </c>
      <c r="AR199">
        <f>IFERROR(SMALL(AR47:AR127,ROW()-ROW($AR$130)+1),"")</f>
        <v>0</v>
      </c>
      <c r="AS199">
        <f>IFERROR(SMALL(AS47:AS127,ROW()-ROW($AS$130)+1),"")</f>
        <v>0</v>
      </c>
      <c r="AT199">
        <f>IFERROR(SMALL(AT47:AT127,ROW()-ROW($AT$130)+1),"")</f>
        <v>0</v>
      </c>
      <c r="AU199">
        <f>IFERROR(SMALL(AU47:AU127,ROW()-ROW($AU$130)+1),"")</f>
        <v>0</v>
      </c>
      <c r="AV199">
        <f>IFERROR(SMALL(AV47:AV127,ROW()-ROW($AV$130)+1),"")</f>
        <v>0</v>
      </c>
      <c r="AW199">
        <f>IFERROR(SMALL(AW47:AW127,ROW()-ROW($AW$130)+1),"")</f>
        <v>0</v>
      </c>
      <c r="AX199">
        <f>IFERROR(SMALL(AX47:AX127,ROW()-ROW($AX$130)+1),"")</f>
        <v>0</v>
      </c>
      <c r="AY199">
        <f>IFERROR(SMALL(AY47:AY127,ROW()-ROW($AY$130)+1),"")</f>
        <v>0</v>
      </c>
      <c r="AZ199">
        <f>IFERROR(SMALL(AZ47:AZ127,ROW()-ROW($AZ$130)+1),"")</f>
        <v>0</v>
      </c>
      <c r="BA199">
        <f>IFERROR(SMALL(BA47:BA127,ROW()-ROW($BA$130)+1),"")</f>
        <v>0</v>
      </c>
      <c r="BB199">
        <f>IFERROR(SMALL(BB47:BB127,ROW()-ROW($BB$130)+1),"")</f>
        <v>0</v>
      </c>
      <c r="BC199">
        <f>IFERROR(SMALL(BC47:BC127,ROW()-ROW($BC$130)+1),"")</f>
        <v>0</v>
      </c>
      <c r="BD199">
        <f>IFERROR(SMALL(BD47:BD127,ROW()-ROW($BD$130)+1),"")</f>
        <v>0</v>
      </c>
      <c r="BE199">
        <f>IFERROR(SMALL(BE47:BE127,ROW()-ROW($BE$130)+1),"")</f>
        <v>0</v>
      </c>
      <c r="BF199">
        <f>IFERROR(SMALL(BF47:BF127,ROW()-ROW($BF$130)+1),"")</f>
        <v>0</v>
      </c>
      <c r="BG199">
        <f>IFERROR(SMALL(BG47:BG127,ROW()-ROW($BG$130)+1),"")</f>
        <v>0</v>
      </c>
      <c r="BH199">
        <f>IFERROR(SMALL(BH47:BH127,ROW()-ROW($BH$130)+1),"")</f>
        <v>0</v>
      </c>
      <c r="BI199">
        <f>IFERROR(SMALL(BI47:BI127,ROW()-ROW($BI$130)+1),"")</f>
        <v>0</v>
      </c>
      <c r="BJ199">
        <f>IFERROR(SMALL(BJ47:BJ127,ROW()-ROW($BJ$130)+1),"")</f>
        <v>0</v>
      </c>
      <c r="BK199">
        <f>IFERROR(SMALL(BK47:BK127,ROW()-ROW($BK$130)+1),"")</f>
        <v>0</v>
      </c>
      <c r="BL199">
        <f>IFERROR(SMALL(BL47:BL127,ROW()-ROW($BL$130)+1),"")</f>
        <v>0</v>
      </c>
      <c r="BM199">
        <f>IFERROR(SMALL(BM47:BM127,ROW()-ROW($BM$130)+1),"")</f>
        <v>0</v>
      </c>
      <c r="BN199">
        <f>IFERROR(SMALL(BN47:BN127,ROW()-ROW($BN$130)+1),"")</f>
        <v>0</v>
      </c>
      <c r="BO199">
        <f>IFERROR(SMALL(BO47:BO127,ROW()-ROW($BO$130)+1),"")</f>
        <v>0</v>
      </c>
      <c r="BP199">
        <f>IFERROR(SMALL(BP47:BP127,ROW()-ROW($BP$130)+1),"")</f>
        <v>0</v>
      </c>
      <c r="BS199">
        <f>IFERROR(SMALL(BS47:BS127,ROW()-ROW($BS$130)+1),"")</f>
        <v>0</v>
      </c>
      <c r="BT199">
        <f>IFERROR(SMALL(BT47:BT127,ROW()-ROW($BT$130)+1),"")</f>
        <v>0</v>
      </c>
      <c r="BU199">
        <f>IFERROR(SMALL(BU47:BU127,ROW()-ROW($BU$130)+1),"")</f>
        <v>0</v>
      </c>
      <c r="BV199">
        <f>IFERROR(SMALL(BV47:BV127,ROW()-ROW($BV$130)+1),"")</f>
        <v>0</v>
      </c>
      <c r="BW199">
        <f>IFERROR(SMALL(BW47:BW127,ROW()-ROW($BW$130)+1),"")</f>
        <v>0</v>
      </c>
      <c r="BX199">
        <f>IFERROR(SMALL(BX47:BX127,ROW()-ROW($BX$130)+1),"")</f>
        <v>0</v>
      </c>
      <c r="BY199">
        <f>IFERROR(SMALL(BY47:BY127,ROW()-ROW($BY$130)+1),"")</f>
        <v>0</v>
      </c>
      <c r="BZ199">
        <f>IFERROR(SMALL(BZ47:BZ127,ROW()-ROW($BZ$130)+1),"")</f>
        <v>0</v>
      </c>
      <c r="CA199">
        <f>IFERROR(SMALL(CA47:CA127,ROW()-ROW($CA$130)+1),"")</f>
        <v>0</v>
      </c>
      <c r="CB199">
        <f>IFERROR(SMALL(CB47:CB127,ROW()-ROW($CB$130)+1),"")</f>
        <v>0</v>
      </c>
      <c r="CC199">
        <f>IFERROR(SMALL(CC47:CC127,ROW()-ROW($CC$130)+1),"")</f>
        <v>0</v>
      </c>
      <c r="CD199">
        <f>IFERROR(SMALL(CD47:CD127,ROW()-ROW($CD$130)+1),"")</f>
        <v>0</v>
      </c>
      <c r="CE199">
        <f>IFERROR(SMALL(CE47:CE127,ROW()-ROW($CE$130)+1),"")</f>
        <v>0</v>
      </c>
      <c r="CF199">
        <f>IFERROR(SMALL(CF47:CF127,ROW()-ROW($CF$130)+1),"")</f>
        <v>0</v>
      </c>
      <c r="CG199">
        <f>IFERROR(SMALL(CG47:CG127,ROW()-ROW($CG$130)+1),"")</f>
        <v>0</v>
      </c>
      <c r="CH199">
        <f>IFERROR(SMALL(CH47:CH127,ROW()-ROW($CH$130)+1),"")</f>
        <v>0</v>
      </c>
      <c r="CI199">
        <f>IFERROR(SMALL(CI47:CI127,ROW()-ROW($CI$130)+1),"")</f>
        <v>0</v>
      </c>
      <c r="CJ199">
        <f>IFERROR(SMALL(CJ47:CJ127,ROW()-ROW($CJ$130)+1),"")</f>
        <v>0</v>
      </c>
      <c r="CK199">
        <f>IFERROR(SMALL(CK47:CK127,ROW()-ROW($CK$130)+1),"")</f>
        <v>0</v>
      </c>
      <c r="CL199">
        <f>IFERROR(SMALL(CL47:CL127,ROW()-ROW($CL$130)+1),"")</f>
        <v>0</v>
      </c>
      <c r="CM199">
        <f>IFERROR(SMALL(CM47:CM127,ROW()-ROW($CM$130)+1),"")</f>
        <v>0</v>
      </c>
      <c r="CN199">
        <f>IFERROR(SMALL(CN47:CN127,ROW()-ROW($CN$130)+1),"")</f>
        <v>0</v>
      </c>
      <c r="CO199">
        <f>IFERROR(SMALL(CO47:CO127,ROW()-ROW($CO$130)+1),"")</f>
        <v>0</v>
      </c>
      <c r="CP199">
        <f>IFERROR(SMALL(CP47:CP127,ROW()-ROW($CP$130)+1),"")</f>
        <v>0</v>
      </c>
      <c r="CQ199">
        <f>IFERROR(SMALL(CQ47:CQ127,ROW()-ROW($CQ$130)+1),"")</f>
        <v>0</v>
      </c>
      <c r="CR199">
        <f>IFERROR(SMALL(CR47:CR127,ROW()-ROW($CR$130)+1),"")</f>
        <v>0</v>
      </c>
      <c r="CS199">
        <f>IFERROR(SMALL(CS47:CS127,ROW()-ROW($CS$130)+1),"")</f>
        <v>0</v>
      </c>
      <c r="CT199">
        <f>IFERROR(SMALL(CT47:CT127,ROW()-ROW($CT$130)+1),"")</f>
        <v>0</v>
      </c>
      <c r="CU199">
        <f>IFERROR(SMALL(CU47:CU127,ROW()-ROW($CU$130)+1),"")</f>
        <v>0</v>
      </c>
      <c r="CV199">
        <f>IFERROR(SMALL(CV47:CV127,ROW()-ROW($CV$130)+1),"")</f>
        <v>0</v>
      </c>
      <c r="CW199">
        <f>IFERROR(SMALL(CW47:CW127,ROW()-ROW($CW$130)+1),"")</f>
        <v>0</v>
      </c>
      <c r="CX199">
        <f>IFERROR(SMALL(CX47:CX127,ROW()-ROW($CX$130)+1),"")</f>
        <v>0</v>
      </c>
      <c r="CY199">
        <f>IFERROR(SMALL(CY47:CY127,ROW()-ROW($CY$130)+1),"")</f>
        <v>0</v>
      </c>
      <c r="CZ199">
        <f>IFERROR(SMALL(CZ47:CZ127,ROW()-ROW($CZ$130)+1),"")</f>
        <v>0</v>
      </c>
      <c r="DA199">
        <f>IFERROR(SMALL(DA47:DA127,ROW()-ROW($DA$130)+1),"")</f>
        <v>0</v>
      </c>
      <c r="DB199">
        <f>IFERROR(SMALL(DB47:DB127,ROW()-ROW($DB$130)+1),"")</f>
        <v>0</v>
      </c>
      <c r="DC199">
        <f>IFERROR(SMALL(DC47:DC127,ROW()-ROW($DC$130)+1),"")</f>
        <v>0</v>
      </c>
      <c r="DD199">
        <f>IFERROR(SMALL(DD47:DD127,ROW()-ROW($DD$130)+1),"")</f>
        <v>0</v>
      </c>
      <c r="DE199">
        <f>IFERROR(SMALL(DE47:DE127,ROW()-ROW($DE$130)+1),"")</f>
        <v>0</v>
      </c>
      <c r="DF199">
        <f>IFERROR(SMALL(DF47:DF127,ROW()-ROW($DF$130)+1),"")</f>
        <v>0</v>
      </c>
      <c r="DG199">
        <f>IFERROR(SMALL(DG47:DG127,ROW()-ROW($DG$130)+1),"")</f>
        <v>0</v>
      </c>
      <c r="DH199">
        <f>IFERROR(SMALL(DH47:DH127,ROW()-ROW($DH$130)+1),"")</f>
        <v>0</v>
      </c>
      <c r="DI199">
        <f>IFERROR(SMALL(DI47:DI127,ROW()-ROW($DI$130)+1),"")</f>
        <v>0</v>
      </c>
      <c r="DJ199">
        <f>IFERROR(SMALL(DJ47:DJ127,ROW()-ROW($DJ$130)+1),"")</f>
        <v>0</v>
      </c>
      <c r="DK199">
        <f>IFERROR(SMALL(DK47:DK127,ROW()-ROW($DK$130)+1),"")</f>
        <v>0</v>
      </c>
      <c r="DL199">
        <f>IFERROR(SMALL(DL47:DL127,ROW()-ROW($DL$130)+1),"")</f>
        <v>0</v>
      </c>
      <c r="DM199">
        <f>IFERROR(SMALL(DM47:DM127,ROW()-ROW($DM$130)+1),"")</f>
        <v>0</v>
      </c>
      <c r="DN199">
        <f>IFERROR(SMALL(DN47:DN127,ROW()-ROW($DN$130)+1),"")</f>
        <v>0</v>
      </c>
      <c r="DO199">
        <f>IFERROR(SMALL(DO47:DO127,ROW()-ROW($DO$130)+1),"")</f>
        <v>0</v>
      </c>
      <c r="DP199">
        <f>IFERROR(SMALL(DP47:DP127,ROW()-ROW($DP$130)+1),"")</f>
        <v>0</v>
      </c>
      <c r="DQ199">
        <f>IFERROR(SMALL(DQ47:DQ127,ROW()-ROW($DQ$130)+1),"")</f>
        <v>0</v>
      </c>
      <c r="DR199">
        <f>IFERROR(SMALL(DR47:DR127,ROW()-ROW($DR$130)+1),"")</f>
        <v>0</v>
      </c>
      <c r="DS199">
        <f>IFERROR(SMALL(DS47:DS127,ROW()-ROW($DS$130)+1),"")</f>
        <v>0</v>
      </c>
      <c r="DT199">
        <f>IFERROR(SMALL(DT47:DT127,ROW()-ROW($DT$130)+1),"")</f>
        <v>0</v>
      </c>
      <c r="DU199">
        <f>IFERROR(SMALL(DU47:DU127,ROW()-ROW($DU$130)+1),"")</f>
        <v>0</v>
      </c>
      <c r="DV199">
        <f>IFERROR(SMALL(DV47:DV127,ROW()-ROW($DV$130)+1),"")</f>
        <v>0</v>
      </c>
      <c r="DW199">
        <f>IFERROR(SMALL(DW47:DW127,ROW()-ROW($DW$130)+1),"")</f>
        <v>0</v>
      </c>
      <c r="DX199">
        <f>IFERROR(SMALL(DX47:DX127,ROW()-ROW($DX$130)+1),"")</f>
        <v>0</v>
      </c>
      <c r="DY199">
        <f>IFERROR(SMALL(DY47:DY127,ROW()-ROW($DY$130)+1),"")</f>
        <v>0</v>
      </c>
      <c r="DZ199">
        <f>IFERROR(SMALL(DZ47:DZ127,ROW()-ROW($DZ$130)+1),"")</f>
        <v>0</v>
      </c>
      <c r="EA199">
        <f>IFERROR(SMALL(EA47:EA127,ROW()-ROW($EA$130)+1),"")</f>
        <v>0</v>
      </c>
      <c r="EB199">
        <f>IFERROR(SMALL(EB47:EB127,ROW()-ROW($EB$130)+1),"")</f>
        <v>0</v>
      </c>
      <c r="EC199">
        <f>IFERROR(SMALL(EC47:EC127,ROW()-ROW($EC$130)+1),"")</f>
        <v>0</v>
      </c>
      <c r="ED199">
        <f>IFERROR(SMALL(ED47:ED127,ROW()-ROW($ED$130)+1),"")</f>
        <v>0</v>
      </c>
    </row>
    <row r="200" spans="5:134">
      <c r="E200">
        <f>IFERROR(SMALL(E47:E127,ROW()-ROW($E$130)+1),"")</f>
        <v>0</v>
      </c>
      <c r="F200">
        <f>IFERROR(SMALL(F47:F127,ROW()-ROW($F$130)+1),"")</f>
        <v>0</v>
      </c>
      <c r="G200">
        <f>IFERROR(SMALL(G47:G127,ROW()-ROW($G$130)+1),"")</f>
        <v>0</v>
      </c>
      <c r="H200">
        <f>IFERROR(SMALL(H47:H127,ROW()-ROW($H$130)+1),"")</f>
        <v>0</v>
      </c>
      <c r="I200">
        <f>IFERROR(SMALL(I47:I127,ROW()-ROW($I$130)+1),"")</f>
        <v>0</v>
      </c>
      <c r="J200">
        <f>IFERROR(SMALL(J47:J127,ROW()-ROW($J$130)+1),"")</f>
        <v>0</v>
      </c>
      <c r="K200">
        <f>IFERROR(SMALL(K47:K127,ROW()-ROW($K$130)+1),"")</f>
        <v>0</v>
      </c>
      <c r="L200">
        <f>IFERROR(SMALL(L47:L127,ROW()-ROW($L$130)+1),"")</f>
        <v>0</v>
      </c>
      <c r="M200">
        <f>IFERROR(SMALL(M47:M127,ROW()-ROW($M$130)+1),"")</f>
        <v>0</v>
      </c>
      <c r="N200">
        <f>IFERROR(SMALL(N47:N127,ROW()-ROW($N$130)+1),"")</f>
        <v>0</v>
      </c>
      <c r="O200">
        <f>IFERROR(SMALL(O47:O127,ROW()-ROW($O$130)+1),"")</f>
        <v>0</v>
      </c>
      <c r="P200">
        <f>IFERROR(SMALL(P47:P127,ROW()-ROW($P$130)+1),"")</f>
        <v>0</v>
      </c>
      <c r="Q200">
        <f>IFERROR(SMALL(Q47:Q127,ROW()-ROW($Q$130)+1),"")</f>
        <v>0</v>
      </c>
      <c r="R200">
        <f>IFERROR(SMALL(R47:R127,ROW()-ROW($R$130)+1),"")</f>
        <v>0</v>
      </c>
      <c r="S200">
        <f>IFERROR(SMALL(S47:S127,ROW()-ROW($S$130)+1),"")</f>
        <v>0</v>
      </c>
      <c r="T200">
        <f>IFERROR(SMALL(T47:T127,ROW()-ROW($T$130)+1),"")</f>
        <v>0</v>
      </c>
      <c r="U200">
        <f>IFERROR(SMALL(U47:U127,ROW()-ROW($U$130)+1),"")</f>
        <v>0</v>
      </c>
      <c r="V200">
        <f>IFERROR(SMALL(V47:V127,ROW()-ROW($V$130)+1),"")</f>
        <v>0</v>
      </c>
      <c r="W200">
        <f>IFERROR(SMALL(W47:W127,ROW()-ROW($W$130)+1),"")</f>
        <v>0</v>
      </c>
      <c r="X200">
        <f>IFERROR(SMALL(X47:X127,ROW()-ROW($X$130)+1),"")</f>
        <v>0</v>
      </c>
      <c r="Y200">
        <f>IFERROR(SMALL(Y47:Y127,ROW()-ROW($Y$130)+1),"")</f>
        <v>0</v>
      </c>
      <c r="Z200">
        <f>IFERROR(SMALL(Z47:Z127,ROW()-ROW($Z$130)+1),"")</f>
        <v>0</v>
      </c>
      <c r="AA200">
        <f>IFERROR(SMALL(AA47:AA127,ROW()-ROW($AA$130)+1),"")</f>
        <v>0</v>
      </c>
      <c r="AB200">
        <f>IFERROR(SMALL(AB47:AB127,ROW()-ROW($AB$130)+1),"")</f>
        <v>0</v>
      </c>
      <c r="AC200">
        <f>IFERROR(SMALL(AC47:AC127,ROW()-ROW($AC$130)+1),"")</f>
        <v>0</v>
      </c>
      <c r="AD200">
        <f>IFERROR(SMALL(AD47:AD127,ROW()-ROW($AD$130)+1),"")</f>
        <v>0</v>
      </c>
      <c r="AE200">
        <f>IFERROR(SMALL(AE47:AE127,ROW()-ROW($AE$130)+1),"")</f>
        <v>0</v>
      </c>
      <c r="AF200">
        <f>IFERROR(SMALL(AF47:AF127,ROW()-ROW($AF$130)+1),"")</f>
        <v>0</v>
      </c>
      <c r="AG200">
        <f>IFERROR(SMALL(AG47:AG127,ROW()-ROW($AG$130)+1),"")</f>
        <v>0</v>
      </c>
      <c r="AH200">
        <f>IFERROR(SMALL(AH47:AH127,ROW()-ROW($AH$130)+1),"")</f>
        <v>0</v>
      </c>
      <c r="AI200">
        <f>IFERROR(SMALL(AI47:AI127,ROW()-ROW($AI$130)+1),"")</f>
        <v>0</v>
      </c>
      <c r="AJ200">
        <f>IFERROR(SMALL(AJ47:AJ127,ROW()-ROW($AJ$130)+1),"")</f>
        <v>0</v>
      </c>
      <c r="AK200">
        <f>IFERROR(SMALL(AK47:AK127,ROW()-ROW($AK$130)+1),"")</f>
        <v>0</v>
      </c>
      <c r="AL200">
        <f>IFERROR(SMALL(AL47:AL127,ROW()-ROW($AL$130)+1),"")</f>
        <v>0</v>
      </c>
      <c r="AM200">
        <f>IFERROR(SMALL(AM47:AM127,ROW()-ROW($AM$130)+1),"")</f>
        <v>0</v>
      </c>
      <c r="AN200">
        <f>IFERROR(SMALL(AN47:AN127,ROW()-ROW($AN$130)+1),"")</f>
        <v>0</v>
      </c>
      <c r="AO200">
        <f>IFERROR(SMALL(AO47:AO127,ROW()-ROW($AO$130)+1),"")</f>
        <v>0</v>
      </c>
      <c r="AP200">
        <f>IFERROR(SMALL(AP47:AP127,ROW()-ROW($AP$130)+1),"")</f>
        <v>0</v>
      </c>
      <c r="AQ200">
        <f>IFERROR(SMALL(AQ47:AQ127,ROW()-ROW($AQ$130)+1),"")</f>
        <v>0</v>
      </c>
      <c r="AR200">
        <f>IFERROR(SMALL(AR47:AR127,ROW()-ROW($AR$130)+1),"")</f>
        <v>0</v>
      </c>
      <c r="AS200">
        <f>IFERROR(SMALL(AS47:AS127,ROW()-ROW($AS$130)+1),"")</f>
        <v>0</v>
      </c>
      <c r="AT200">
        <f>IFERROR(SMALL(AT47:AT127,ROW()-ROW($AT$130)+1),"")</f>
        <v>0</v>
      </c>
      <c r="AU200">
        <f>IFERROR(SMALL(AU47:AU127,ROW()-ROW($AU$130)+1),"")</f>
        <v>0</v>
      </c>
      <c r="AV200">
        <f>IFERROR(SMALL(AV47:AV127,ROW()-ROW($AV$130)+1),"")</f>
        <v>0</v>
      </c>
      <c r="AW200">
        <f>IFERROR(SMALL(AW47:AW127,ROW()-ROW($AW$130)+1),"")</f>
        <v>0</v>
      </c>
      <c r="AX200">
        <f>IFERROR(SMALL(AX47:AX127,ROW()-ROW($AX$130)+1),"")</f>
        <v>0</v>
      </c>
      <c r="AY200">
        <f>IFERROR(SMALL(AY47:AY127,ROW()-ROW($AY$130)+1),"")</f>
        <v>0</v>
      </c>
      <c r="AZ200">
        <f>IFERROR(SMALL(AZ47:AZ127,ROW()-ROW($AZ$130)+1),"")</f>
        <v>0</v>
      </c>
      <c r="BA200">
        <f>IFERROR(SMALL(BA47:BA127,ROW()-ROW($BA$130)+1),"")</f>
        <v>0</v>
      </c>
      <c r="BB200">
        <f>IFERROR(SMALL(BB47:BB127,ROW()-ROW($BB$130)+1),"")</f>
        <v>0</v>
      </c>
      <c r="BC200">
        <f>IFERROR(SMALL(BC47:BC127,ROW()-ROW($BC$130)+1),"")</f>
        <v>0</v>
      </c>
      <c r="BD200">
        <f>IFERROR(SMALL(BD47:BD127,ROW()-ROW($BD$130)+1),"")</f>
        <v>0</v>
      </c>
      <c r="BE200">
        <f>IFERROR(SMALL(BE47:BE127,ROW()-ROW($BE$130)+1),"")</f>
        <v>0</v>
      </c>
      <c r="BF200">
        <f>IFERROR(SMALL(BF47:BF127,ROW()-ROW($BF$130)+1),"")</f>
        <v>0</v>
      </c>
      <c r="BG200">
        <f>IFERROR(SMALL(BG47:BG127,ROW()-ROW($BG$130)+1),"")</f>
        <v>0</v>
      </c>
      <c r="BH200">
        <f>IFERROR(SMALL(BH47:BH127,ROW()-ROW($BH$130)+1),"")</f>
        <v>0</v>
      </c>
      <c r="BI200">
        <f>IFERROR(SMALL(BI47:BI127,ROW()-ROW($BI$130)+1),"")</f>
        <v>0</v>
      </c>
      <c r="BJ200">
        <f>IFERROR(SMALL(BJ47:BJ127,ROW()-ROW($BJ$130)+1),"")</f>
        <v>0</v>
      </c>
      <c r="BK200">
        <f>IFERROR(SMALL(BK47:BK127,ROW()-ROW($BK$130)+1),"")</f>
        <v>0</v>
      </c>
      <c r="BL200">
        <f>IFERROR(SMALL(BL47:BL127,ROW()-ROW($BL$130)+1),"")</f>
        <v>0</v>
      </c>
      <c r="BM200">
        <f>IFERROR(SMALL(BM47:BM127,ROW()-ROW($BM$130)+1),"")</f>
        <v>0</v>
      </c>
      <c r="BN200">
        <f>IFERROR(SMALL(BN47:BN127,ROW()-ROW($BN$130)+1),"")</f>
        <v>0</v>
      </c>
      <c r="BO200">
        <f>IFERROR(SMALL(BO47:BO127,ROW()-ROW($BO$130)+1),"")</f>
        <v>0</v>
      </c>
      <c r="BP200">
        <f>IFERROR(SMALL(BP47:BP127,ROW()-ROW($BP$130)+1),"")</f>
        <v>0</v>
      </c>
      <c r="BS200">
        <f>IFERROR(SMALL(BS47:BS127,ROW()-ROW($BS$130)+1),"")</f>
        <v>0</v>
      </c>
      <c r="BT200">
        <f>IFERROR(SMALL(BT47:BT127,ROW()-ROW($BT$130)+1),"")</f>
        <v>0</v>
      </c>
      <c r="BU200">
        <f>IFERROR(SMALL(BU47:BU127,ROW()-ROW($BU$130)+1),"")</f>
        <v>0</v>
      </c>
      <c r="BV200">
        <f>IFERROR(SMALL(BV47:BV127,ROW()-ROW($BV$130)+1),"")</f>
        <v>0</v>
      </c>
      <c r="BW200">
        <f>IFERROR(SMALL(BW47:BW127,ROW()-ROW($BW$130)+1),"")</f>
        <v>0</v>
      </c>
      <c r="BX200">
        <f>IFERROR(SMALL(BX47:BX127,ROW()-ROW($BX$130)+1),"")</f>
        <v>0</v>
      </c>
      <c r="BY200">
        <f>IFERROR(SMALL(BY47:BY127,ROW()-ROW($BY$130)+1),"")</f>
        <v>0</v>
      </c>
      <c r="BZ200">
        <f>IFERROR(SMALL(BZ47:BZ127,ROW()-ROW($BZ$130)+1),"")</f>
        <v>0</v>
      </c>
      <c r="CA200">
        <f>IFERROR(SMALL(CA47:CA127,ROW()-ROW($CA$130)+1),"")</f>
        <v>0</v>
      </c>
      <c r="CB200">
        <f>IFERROR(SMALL(CB47:CB127,ROW()-ROW($CB$130)+1),"")</f>
        <v>0</v>
      </c>
      <c r="CC200">
        <f>IFERROR(SMALL(CC47:CC127,ROW()-ROW($CC$130)+1),"")</f>
        <v>0</v>
      </c>
      <c r="CD200">
        <f>IFERROR(SMALL(CD47:CD127,ROW()-ROW($CD$130)+1),"")</f>
        <v>0</v>
      </c>
      <c r="CE200">
        <f>IFERROR(SMALL(CE47:CE127,ROW()-ROW($CE$130)+1),"")</f>
        <v>0</v>
      </c>
      <c r="CF200">
        <f>IFERROR(SMALL(CF47:CF127,ROW()-ROW($CF$130)+1),"")</f>
        <v>0</v>
      </c>
      <c r="CG200">
        <f>IFERROR(SMALL(CG47:CG127,ROW()-ROW($CG$130)+1),"")</f>
        <v>0</v>
      </c>
      <c r="CH200">
        <f>IFERROR(SMALL(CH47:CH127,ROW()-ROW($CH$130)+1),"")</f>
        <v>0</v>
      </c>
      <c r="CI200">
        <f>IFERROR(SMALL(CI47:CI127,ROW()-ROW($CI$130)+1),"")</f>
        <v>0</v>
      </c>
      <c r="CJ200">
        <f>IFERROR(SMALL(CJ47:CJ127,ROW()-ROW($CJ$130)+1),"")</f>
        <v>0</v>
      </c>
      <c r="CK200">
        <f>IFERROR(SMALL(CK47:CK127,ROW()-ROW($CK$130)+1),"")</f>
        <v>0</v>
      </c>
      <c r="CL200">
        <f>IFERROR(SMALL(CL47:CL127,ROW()-ROW($CL$130)+1),"")</f>
        <v>0</v>
      </c>
      <c r="CM200">
        <f>IFERROR(SMALL(CM47:CM127,ROW()-ROW($CM$130)+1),"")</f>
        <v>0</v>
      </c>
      <c r="CN200">
        <f>IFERROR(SMALL(CN47:CN127,ROW()-ROW($CN$130)+1),"")</f>
        <v>0</v>
      </c>
      <c r="CO200">
        <f>IFERROR(SMALL(CO47:CO127,ROW()-ROW($CO$130)+1),"")</f>
        <v>0</v>
      </c>
      <c r="CP200">
        <f>IFERROR(SMALL(CP47:CP127,ROW()-ROW($CP$130)+1),"")</f>
        <v>0</v>
      </c>
      <c r="CQ200">
        <f>IFERROR(SMALL(CQ47:CQ127,ROW()-ROW($CQ$130)+1),"")</f>
        <v>0</v>
      </c>
      <c r="CR200">
        <f>IFERROR(SMALL(CR47:CR127,ROW()-ROW($CR$130)+1),"")</f>
        <v>0</v>
      </c>
      <c r="CS200">
        <f>IFERROR(SMALL(CS47:CS127,ROW()-ROW($CS$130)+1),"")</f>
        <v>0</v>
      </c>
      <c r="CT200">
        <f>IFERROR(SMALL(CT47:CT127,ROW()-ROW($CT$130)+1),"")</f>
        <v>0</v>
      </c>
      <c r="CU200">
        <f>IFERROR(SMALL(CU47:CU127,ROW()-ROW($CU$130)+1),"")</f>
        <v>0</v>
      </c>
      <c r="CV200">
        <f>IFERROR(SMALL(CV47:CV127,ROW()-ROW($CV$130)+1),"")</f>
        <v>0</v>
      </c>
      <c r="CW200">
        <f>IFERROR(SMALL(CW47:CW127,ROW()-ROW($CW$130)+1),"")</f>
        <v>0</v>
      </c>
      <c r="CX200">
        <f>IFERROR(SMALL(CX47:CX127,ROW()-ROW($CX$130)+1),"")</f>
        <v>0</v>
      </c>
      <c r="CY200">
        <f>IFERROR(SMALL(CY47:CY127,ROW()-ROW($CY$130)+1),"")</f>
        <v>0</v>
      </c>
      <c r="CZ200">
        <f>IFERROR(SMALL(CZ47:CZ127,ROW()-ROW($CZ$130)+1),"")</f>
        <v>0</v>
      </c>
      <c r="DA200">
        <f>IFERROR(SMALL(DA47:DA127,ROW()-ROW($DA$130)+1),"")</f>
        <v>0</v>
      </c>
      <c r="DB200">
        <f>IFERROR(SMALL(DB47:DB127,ROW()-ROW($DB$130)+1),"")</f>
        <v>0</v>
      </c>
      <c r="DC200">
        <f>IFERROR(SMALL(DC47:DC127,ROW()-ROW($DC$130)+1),"")</f>
        <v>0</v>
      </c>
      <c r="DD200">
        <f>IFERROR(SMALL(DD47:DD127,ROW()-ROW($DD$130)+1),"")</f>
        <v>0</v>
      </c>
      <c r="DE200">
        <f>IFERROR(SMALL(DE47:DE127,ROW()-ROW($DE$130)+1),"")</f>
        <v>0</v>
      </c>
      <c r="DF200">
        <f>IFERROR(SMALL(DF47:DF127,ROW()-ROW($DF$130)+1),"")</f>
        <v>0</v>
      </c>
      <c r="DG200">
        <f>IFERROR(SMALL(DG47:DG127,ROW()-ROW($DG$130)+1),"")</f>
        <v>0</v>
      </c>
      <c r="DH200">
        <f>IFERROR(SMALL(DH47:DH127,ROW()-ROW($DH$130)+1),"")</f>
        <v>0</v>
      </c>
      <c r="DI200">
        <f>IFERROR(SMALL(DI47:DI127,ROW()-ROW($DI$130)+1),"")</f>
        <v>0</v>
      </c>
      <c r="DJ200">
        <f>IFERROR(SMALL(DJ47:DJ127,ROW()-ROW($DJ$130)+1),"")</f>
        <v>0</v>
      </c>
      <c r="DK200">
        <f>IFERROR(SMALL(DK47:DK127,ROW()-ROW($DK$130)+1),"")</f>
        <v>0</v>
      </c>
      <c r="DL200">
        <f>IFERROR(SMALL(DL47:DL127,ROW()-ROW($DL$130)+1),"")</f>
        <v>0</v>
      </c>
      <c r="DM200">
        <f>IFERROR(SMALL(DM47:DM127,ROW()-ROW($DM$130)+1),"")</f>
        <v>0</v>
      </c>
      <c r="DN200">
        <f>IFERROR(SMALL(DN47:DN127,ROW()-ROW($DN$130)+1),"")</f>
        <v>0</v>
      </c>
      <c r="DO200">
        <f>IFERROR(SMALL(DO47:DO127,ROW()-ROW($DO$130)+1),"")</f>
        <v>0</v>
      </c>
      <c r="DP200">
        <f>IFERROR(SMALL(DP47:DP127,ROW()-ROW($DP$130)+1),"")</f>
        <v>0</v>
      </c>
      <c r="DQ200">
        <f>IFERROR(SMALL(DQ47:DQ127,ROW()-ROW($DQ$130)+1),"")</f>
        <v>0</v>
      </c>
      <c r="DR200">
        <f>IFERROR(SMALL(DR47:DR127,ROW()-ROW($DR$130)+1),"")</f>
        <v>0</v>
      </c>
      <c r="DS200">
        <f>IFERROR(SMALL(DS47:DS127,ROW()-ROW($DS$130)+1),"")</f>
        <v>0</v>
      </c>
      <c r="DT200">
        <f>IFERROR(SMALL(DT47:DT127,ROW()-ROW($DT$130)+1),"")</f>
        <v>0</v>
      </c>
      <c r="DU200">
        <f>IFERROR(SMALL(DU47:DU127,ROW()-ROW($DU$130)+1),"")</f>
        <v>0</v>
      </c>
      <c r="DV200">
        <f>IFERROR(SMALL(DV47:DV127,ROW()-ROW($DV$130)+1),"")</f>
        <v>0</v>
      </c>
      <c r="DW200">
        <f>IFERROR(SMALL(DW47:DW127,ROW()-ROW($DW$130)+1),"")</f>
        <v>0</v>
      </c>
      <c r="DX200">
        <f>IFERROR(SMALL(DX47:DX127,ROW()-ROW($DX$130)+1),"")</f>
        <v>0</v>
      </c>
      <c r="DY200">
        <f>IFERROR(SMALL(DY47:DY127,ROW()-ROW($DY$130)+1),"")</f>
        <v>0</v>
      </c>
      <c r="DZ200">
        <f>IFERROR(SMALL(DZ47:DZ127,ROW()-ROW($DZ$130)+1),"")</f>
        <v>0</v>
      </c>
      <c r="EA200">
        <f>IFERROR(SMALL(EA47:EA127,ROW()-ROW($EA$130)+1),"")</f>
        <v>0</v>
      </c>
      <c r="EB200">
        <f>IFERROR(SMALL(EB47:EB127,ROW()-ROW($EB$130)+1),"")</f>
        <v>0</v>
      </c>
      <c r="EC200">
        <f>IFERROR(SMALL(EC47:EC127,ROW()-ROW($EC$130)+1),"")</f>
        <v>0</v>
      </c>
      <c r="ED200">
        <f>IFERROR(SMALL(ED47:ED127,ROW()-ROW($ED$130)+1),"")</f>
        <v>0</v>
      </c>
    </row>
    <row r="201" spans="5:134">
      <c r="E201">
        <f>IFERROR(SMALL(E47:E127,ROW()-ROW($E$130)+1),"")</f>
        <v>0</v>
      </c>
      <c r="F201">
        <f>IFERROR(SMALL(F47:F127,ROW()-ROW($F$130)+1),"")</f>
        <v>0</v>
      </c>
      <c r="G201">
        <f>IFERROR(SMALL(G47:G127,ROW()-ROW($G$130)+1),"")</f>
        <v>0</v>
      </c>
      <c r="H201">
        <f>IFERROR(SMALL(H47:H127,ROW()-ROW($H$130)+1),"")</f>
        <v>0</v>
      </c>
      <c r="I201">
        <f>IFERROR(SMALL(I47:I127,ROW()-ROW($I$130)+1),"")</f>
        <v>0</v>
      </c>
      <c r="J201">
        <f>IFERROR(SMALL(J47:J127,ROW()-ROW($J$130)+1),"")</f>
        <v>0</v>
      </c>
      <c r="K201">
        <f>IFERROR(SMALL(K47:K127,ROW()-ROW($K$130)+1),"")</f>
        <v>0</v>
      </c>
      <c r="L201">
        <f>IFERROR(SMALL(L47:L127,ROW()-ROW($L$130)+1),"")</f>
        <v>0</v>
      </c>
      <c r="M201">
        <f>IFERROR(SMALL(M47:M127,ROW()-ROW($M$130)+1),"")</f>
        <v>0</v>
      </c>
      <c r="N201">
        <f>IFERROR(SMALL(N47:N127,ROW()-ROW($N$130)+1),"")</f>
        <v>0</v>
      </c>
      <c r="O201">
        <f>IFERROR(SMALL(O47:O127,ROW()-ROW($O$130)+1),"")</f>
        <v>0</v>
      </c>
      <c r="P201">
        <f>IFERROR(SMALL(P47:P127,ROW()-ROW($P$130)+1),"")</f>
        <v>0</v>
      </c>
      <c r="Q201">
        <f>IFERROR(SMALL(Q47:Q127,ROW()-ROW($Q$130)+1),"")</f>
        <v>0</v>
      </c>
      <c r="R201">
        <f>IFERROR(SMALL(R47:R127,ROW()-ROW($R$130)+1),"")</f>
        <v>0</v>
      </c>
      <c r="S201">
        <f>IFERROR(SMALL(S47:S127,ROW()-ROW($S$130)+1),"")</f>
        <v>0</v>
      </c>
      <c r="T201">
        <f>IFERROR(SMALL(T47:T127,ROW()-ROW($T$130)+1),"")</f>
        <v>0</v>
      </c>
      <c r="U201">
        <f>IFERROR(SMALL(U47:U127,ROW()-ROW($U$130)+1),"")</f>
        <v>0</v>
      </c>
      <c r="V201">
        <f>IFERROR(SMALL(V47:V127,ROW()-ROW($V$130)+1),"")</f>
        <v>0</v>
      </c>
      <c r="W201">
        <f>IFERROR(SMALL(W47:W127,ROW()-ROW($W$130)+1),"")</f>
        <v>0</v>
      </c>
      <c r="X201">
        <f>IFERROR(SMALL(X47:X127,ROW()-ROW($X$130)+1),"")</f>
        <v>0</v>
      </c>
      <c r="Y201">
        <f>IFERROR(SMALL(Y47:Y127,ROW()-ROW($Y$130)+1),"")</f>
        <v>0</v>
      </c>
      <c r="Z201">
        <f>IFERROR(SMALL(Z47:Z127,ROW()-ROW($Z$130)+1),"")</f>
        <v>0</v>
      </c>
      <c r="AA201">
        <f>IFERROR(SMALL(AA47:AA127,ROW()-ROW($AA$130)+1),"")</f>
        <v>0</v>
      </c>
      <c r="AB201">
        <f>IFERROR(SMALL(AB47:AB127,ROW()-ROW($AB$130)+1),"")</f>
        <v>0</v>
      </c>
      <c r="AC201">
        <f>IFERROR(SMALL(AC47:AC127,ROW()-ROW($AC$130)+1),"")</f>
        <v>0</v>
      </c>
      <c r="AD201">
        <f>IFERROR(SMALL(AD47:AD127,ROW()-ROW($AD$130)+1),"")</f>
        <v>0</v>
      </c>
      <c r="AE201">
        <f>IFERROR(SMALL(AE47:AE127,ROW()-ROW($AE$130)+1),"")</f>
        <v>0</v>
      </c>
      <c r="AF201">
        <f>IFERROR(SMALL(AF47:AF127,ROW()-ROW($AF$130)+1),"")</f>
        <v>0</v>
      </c>
      <c r="AG201">
        <f>IFERROR(SMALL(AG47:AG127,ROW()-ROW($AG$130)+1),"")</f>
        <v>0</v>
      </c>
      <c r="AH201">
        <f>IFERROR(SMALL(AH47:AH127,ROW()-ROW($AH$130)+1),"")</f>
        <v>0</v>
      </c>
      <c r="AI201">
        <f>IFERROR(SMALL(AI47:AI127,ROW()-ROW($AI$130)+1),"")</f>
        <v>0</v>
      </c>
      <c r="AJ201">
        <f>IFERROR(SMALL(AJ47:AJ127,ROW()-ROW($AJ$130)+1),"")</f>
        <v>0</v>
      </c>
      <c r="AK201">
        <f>IFERROR(SMALL(AK47:AK127,ROW()-ROW($AK$130)+1),"")</f>
        <v>0</v>
      </c>
      <c r="AL201">
        <f>IFERROR(SMALL(AL47:AL127,ROW()-ROW($AL$130)+1),"")</f>
        <v>0</v>
      </c>
      <c r="AM201">
        <f>IFERROR(SMALL(AM47:AM127,ROW()-ROW($AM$130)+1),"")</f>
        <v>0</v>
      </c>
      <c r="AN201">
        <f>IFERROR(SMALL(AN47:AN127,ROW()-ROW($AN$130)+1),"")</f>
        <v>0</v>
      </c>
      <c r="AO201">
        <f>IFERROR(SMALL(AO47:AO127,ROW()-ROW($AO$130)+1),"")</f>
        <v>0</v>
      </c>
      <c r="AP201">
        <f>IFERROR(SMALL(AP47:AP127,ROW()-ROW($AP$130)+1),"")</f>
        <v>0</v>
      </c>
      <c r="AQ201">
        <f>IFERROR(SMALL(AQ47:AQ127,ROW()-ROW($AQ$130)+1),"")</f>
        <v>0</v>
      </c>
      <c r="AR201">
        <f>IFERROR(SMALL(AR47:AR127,ROW()-ROW($AR$130)+1),"")</f>
        <v>0</v>
      </c>
      <c r="AS201">
        <f>IFERROR(SMALL(AS47:AS127,ROW()-ROW($AS$130)+1),"")</f>
        <v>0</v>
      </c>
      <c r="AT201">
        <f>IFERROR(SMALL(AT47:AT127,ROW()-ROW($AT$130)+1),"")</f>
        <v>0</v>
      </c>
      <c r="AU201">
        <f>IFERROR(SMALL(AU47:AU127,ROW()-ROW($AU$130)+1),"")</f>
        <v>0</v>
      </c>
      <c r="AV201">
        <f>IFERROR(SMALL(AV47:AV127,ROW()-ROW($AV$130)+1),"")</f>
        <v>0</v>
      </c>
      <c r="AW201">
        <f>IFERROR(SMALL(AW47:AW127,ROW()-ROW($AW$130)+1),"")</f>
        <v>0</v>
      </c>
      <c r="AX201">
        <f>IFERROR(SMALL(AX47:AX127,ROW()-ROW($AX$130)+1),"")</f>
        <v>0</v>
      </c>
      <c r="AY201">
        <f>IFERROR(SMALL(AY47:AY127,ROW()-ROW($AY$130)+1),"")</f>
        <v>0</v>
      </c>
      <c r="AZ201">
        <f>IFERROR(SMALL(AZ47:AZ127,ROW()-ROW($AZ$130)+1),"")</f>
        <v>0</v>
      </c>
      <c r="BA201">
        <f>IFERROR(SMALL(BA47:BA127,ROW()-ROW($BA$130)+1),"")</f>
        <v>0</v>
      </c>
      <c r="BB201">
        <f>IFERROR(SMALL(BB47:BB127,ROW()-ROW($BB$130)+1),"")</f>
        <v>0</v>
      </c>
      <c r="BC201">
        <f>IFERROR(SMALL(BC47:BC127,ROW()-ROW($BC$130)+1),"")</f>
        <v>0</v>
      </c>
      <c r="BD201">
        <f>IFERROR(SMALL(BD47:BD127,ROW()-ROW($BD$130)+1),"")</f>
        <v>0</v>
      </c>
      <c r="BE201">
        <f>IFERROR(SMALL(BE47:BE127,ROW()-ROW($BE$130)+1),"")</f>
        <v>0</v>
      </c>
      <c r="BF201">
        <f>IFERROR(SMALL(BF47:BF127,ROW()-ROW($BF$130)+1),"")</f>
        <v>0</v>
      </c>
      <c r="BG201">
        <f>IFERROR(SMALL(BG47:BG127,ROW()-ROW($BG$130)+1),"")</f>
        <v>0</v>
      </c>
      <c r="BH201">
        <f>IFERROR(SMALL(BH47:BH127,ROW()-ROW($BH$130)+1),"")</f>
        <v>0</v>
      </c>
      <c r="BI201">
        <f>IFERROR(SMALL(BI47:BI127,ROW()-ROW($BI$130)+1),"")</f>
        <v>0</v>
      </c>
      <c r="BJ201">
        <f>IFERROR(SMALL(BJ47:BJ127,ROW()-ROW($BJ$130)+1),"")</f>
        <v>0</v>
      </c>
      <c r="BK201">
        <f>IFERROR(SMALL(BK47:BK127,ROW()-ROW($BK$130)+1),"")</f>
        <v>0</v>
      </c>
      <c r="BL201">
        <f>IFERROR(SMALL(BL47:BL127,ROW()-ROW($BL$130)+1),"")</f>
        <v>0</v>
      </c>
      <c r="BM201">
        <f>IFERROR(SMALL(BM47:BM127,ROW()-ROW($BM$130)+1),"")</f>
        <v>0</v>
      </c>
      <c r="BN201">
        <f>IFERROR(SMALL(BN47:BN127,ROW()-ROW($BN$130)+1),"")</f>
        <v>0</v>
      </c>
      <c r="BO201">
        <f>IFERROR(SMALL(BO47:BO127,ROW()-ROW($BO$130)+1),"")</f>
        <v>0</v>
      </c>
      <c r="BP201">
        <f>IFERROR(SMALL(BP47:BP127,ROW()-ROW($BP$130)+1),"")</f>
        <v>0</v>
      </c>
      <c r="BS201">
        <f>IFERROR(SMALL(BS47:BS127,ROW()-ROW($BS$130)+1),"")</f>
        <v>0</v>
      </c>
      <c r="BT201">
        <f>IFERROR(SMALL(BT47:BT127,ROW()-ROW($BT$130)+1),"")</f>
        <v>0</v>
      </c>
      <c r="BU201">
        <f>IFERROR(SMALL(BU47:BU127,ROW()-ROW($BU$130)+1),"")</f>
        <v>0</v>
      </c>
      <c r="BV201">
        <f>IFERROR(SMALL(BV47:BV127,ROW()-ROW($BV$130)+1),"")</f>
        <v>0</v>
      </c>
      <c r="BW201">
        <f>IFERROR(SMALL(BW47:BW127,ROW()-ROW($BW$130)+1),"")</f>
        <v>0</v>
      </c>
      <c r="BX201">
        <f>IFERROR(SMALL(BX47:BX127,ROW()-ROW($BX$130)+1),"")</f>
        <v>0</v>
      </c>
      <c r="BY201">
        <f>IFERROR(SMALL(BY47:BY127,ROW()-ROW($BY$130)+1),"")</f>
        <v>0</v>
      </c>
      <c r="BZ201">
        <f>IFERROR(SMALL(BZ47:BZ127,ROW()-ROW($BZ$130)+1),"")</f>
        <v>0</v>
      </c>
      <c r="CA201">
        <f>IFERROR(SMALL(CA47:CA127,ROW()-ROW($CA$130)+1),"")</f>
        <v>0</v>
      </c>
      <c r="CB201">
        <f>IFERROR(SMALL(CB47:CB127,ROW()-ROW($CB$130)+1),"")</f>
        <v>0</v>
      </c>
      <c r="CC201">
        <f>IFERROR(SMALL(CC47:CC127,ROW()-ROW($CC$130)+1),"")</f>
        <v>0</v>
      </c>
      <c r="CD201">
        <f>IFERROR(SMALL(CD47:CD127,ROW()-ROW($CD$130)+1),"")</f>
        <v>0</v>
      </c>
      <c r="CE201">
        <f>IFERROR(SMALL(CE47:CE127,ROW()-ROW($CE$130)+1),"")</f>
        <v>0</v>
      </c>
      <c r="CF201">
        <f>IFERROR(SMALL(CF47:CF127,ROW()-ROW($CF$130)+1),"")</f>
        <v>0</v>
      </c>
      <c r="CG201">
        <f>IFERROR(SMALL(CG47:CG127,ROW()-ROW($CG$130)+1),"")</f>
        <v>0</v>
      </c>
      <c r="CH201">
        <f>IFERROR(SMALL(CH47:CH127,ROW()-ROW($CH$130)+1),"")</f>
        <v>0</v>
      </c>
      <c r="CI201">
        <f>IFERROR(SMALL(CI47:CI127,ROW()-ROW($CI$130)+1),"")</f>
        <v>0</v>
      </c>
      <c r="CJ201">
        <f>IFERROR(SMALL(CJ47:CJ127,ROW()-ROW($CJ$130)+1),"")</f>
        <v>0</v>
      </c>
      <c r="CK201">
        <f>IFERROR(SMALL(CK47:CK127,ROW()-ROW($CK$130)+1),"")</f>
        <v>0</v>
      </c>
      <c r="CL201">
        <f>IFERROR(SMALL(CL47:CL127,ROW()-ROW($CL$130)+1),"")</f>
        <v>0</v>
      </c>
      <c r="CM201">
        <f>IFERROR(SMALL(CM47:CM127,ROW()-ROW($CM$130)+1),"")</f>
        <v>0</v>
      </c>
      <c r="CN201">
        <f>IFERROR(SMALL(CN47:CN127,ROW()-ROW($CN$130)+1),"")</f>
        <v>0</v>
      </c>
      <c r="CO201">
        <f>IFERROR(SMALL(CO47:CO127,ROW()-ROW($CO$130)+1),"")</f>
        <v>0</v>
      </c>
      <c r="CP201">
        <f>IFERROR(SMALL(CP47:CP127,ROW()-ROW($CP$130)+1),"")</f>
        <v>0</v>
      </c>
      <c r="CQ201">
        <f>IFERROR(SMALL(CQ47:CQ127,ROW()-ROW($CQ$130)+1),"")</f>
        <v>0</v>
      </c>
      <c r="CR201">
        <f>IFERROR(SMALL(CR47:CR127,ROW()-ROW($CR$130)+1),"")</f>
        <v>0</v>
      </c>
      <c r="CS201">
        <f>IFERROR(SMALL(CS47:CS127,ROW()-ROW($CS$130)+1),"")</f>
        <v>0</v>
      </c>
      <c r="CT201">
        <f>IFERROR(SMALL(CT47:CT127,ROW()-ROW($CT$130)+1),"")</f>
        <v>0</v>
      </c>
      <c r="CU201">
        <f>IFERROR(SMALL(CU47:CU127,ROW()-ROW($CU$130)+1),"")</f>
        <v>0</v>
      </c>
      <c r="CV201">
        <f>IFERROR(SMALL(CV47:CV127,ROW()-ROW($CV$130)+1),"")</f>
        <v>0</v>
      </c>
      <c r="CW201">
        <f>IFERROR(SMALL(CW47:CW127,ROW()-ROW($CW$130)+1),"")</f>
        <v>0</v>
      </c>
      <c r="CX201">
        <f>IFERROR(SMALL(CX47:CX127,ROW()-ROW($CX$130)+1),"")</f>
        <v>0</v>
      </c>
      <c r="CY201">
        <f>IFERROR(SMALL(CY47:CY127,ROW()-ROW($CY$130)+1),"")</f>
        <v>0</v>
      </c>
      <c r="CZ201">
        <f>IFERROR(SMALL(CZ47:CZ127,ROW()-ROW($CZ$130)+1),"")</f>
        <v>0</v>
      </c>
      <c r="DA201">
        <f>IFERROR(SMALL(DA47:DA127,ROW()-ROW($DA$130)+1),"")</f>
        <v>0</v>
      </c>
      <c r="DB201">
        <f>IFERROR(SMALL(DB47:DB127,ROW()-ROW($DB$130)+1),"")</f>
        <v>0</v>
      </c>
      <c r="DC201">
        <f>IFERROR(SMALL(DC47:DC127,ROW()-ROW($DC$130)+1),"")</f>
        <v>0</v>
      </c>
      <c r="DD201">
        <f>IFERROR(SMALL(DD47:DD127,ROW()-ROW($DD$130)+1),"")</f>
        <v>0</v>
      </c>
      <c r="DE201">
        <f>IFERROR(SMALL(DE47:DE127,ROW()-ROW($DE$130)+1),"")</f>
        <v>0</v>
      </c>
      <c r="DF201">
        <f>IFERROR(SMALL(DF47:DF127,ROW()-ROW($DF$130)+1),"")</f>
        <v>0</v>
      </c>
      <c r="DG201">
        <f>IFERROR(SMALL(DG47:DG127,ROW()-ROW($DG$130)+1),"")</f>
        <v>0</v>
      </c>
      <c r="DH201">
        <f>IFERROR(SMALL(DH47:DH127,ROW()-ROW($DH$130)+1),"")</f>
        <v>0</v>
      </c>
      <c r="DI201">
        <f>IFERROR(SMALL(DI47:DI127,ROW()-ROW($DI$130)+1),"")</f>
        <v>0</v>
      </c>
      <c r="DJ201">
        <f>IFERROR(SMALL(DJ47:DJ127,ROW()-ROW($DJ$130)+1),"")</f>
        <v>0</v>
      </c>
      <c r="DK201">
        <f>IFERROR(SMALL(DK47:DK127,ROW()-ROW($DK$130)+1),"")</f>
        <v>0</v>
      </c>
      <c r="DL201">
        <f>IFERROR(SMALL(DL47:DL127,ROW()-ROW($DL$130)+1),"")</f>
        <v>0</v>
      </c>
      <c r="DM201">
        <f>IFERROR(SMALL(DM47:DM127,ROW()-ROW($DM$130)+1),"")</f>
        <v>0</v>
      </c>
      <c r="DN201">
        <f>IFERROR(SMALL(DN47:DN127,ROW()-ROW($DN$130)+1),"")</f>
        <v>0</v>
      </c>
      <c r="DO201">
        <f>IFERROR(SMALL(DO47:DO127,ROW()-ROW($DO$130)+1),"")</f>
        <v>0</v>
      </c>
      <c r="DP201">
        <f>IFERROR(SMALL(DP47:DP127,ROW()-ROW($DP$130)+1),"")</f>
        <v>0</v>
      </c>
      <c r="DQ201">
        <f>IFERROR(SMALL(DQ47:DQ127,ROW()-ROW($DQ$130)+1),"")</f>
        <v>0</v>
      </c>
      <c r="DR201">
        <f>IFERROR(SMALL(DR47:DR127,ROW()-ROW($DR$130)+1),"")</f>
        <v>0</v>
      </c>
      <c r="DS201">
        <f>IFERROR(SMALL(DS47:DS127,ROW()-ROW($DS$130)+1),"")</f>
        <v>0</v>
      </c>
      <c r="DT201">
        <f>IFERROR(SMALL(DT47:DT127,ROW()-ROW($DT$130)+1),"")</f>
        <v>0</v>
      </c>
      <c r="DU201">
        <f>IFERROR(SMALL(DU47:DU127,ROW()-ROW($DU$130)+1),"")</f>
        <v>0</v>
      </c>
      <c r="DV201">
        <f>IFERROR(SMALL(DV47:DV127,ROW()-ROW($DV$130)+1),"")</f>
        <v>0</v>
      </c>
      <c r="DW201">
        <f>IFERROR(SMALL(DW47:DW127,ROW()-ROW($DW$130)+1),"")</f>
        <v>0</v>
      </c>
      <c r="DX201">
        <f>IFERROR(SMALL(DX47:DX127,ROW()-ROW($DX$130)+1),"")</f>
        <v>0</v>
      </c>
      <c r="DY201">
        <f>IFERROR(SMALL(DY47:DY127,ROW()-ROW($DY$130)+1),"")</f>
        <v>0</v>
      </c>
      <c r="DZ201">
        <f>IFERROR(SMALL(DZ47:DZ127,ROW()-ROW($DZ$130)+1),"")</f>
        <v>0</v>
      </c>
      <c r="EA201">
        <f>IFERROR(SMALL(EA47:EA127,ROW()-ROW($EA$130)+1),"")</f>
        <v>0</v>
      </c>
      <c r="EB201">
        <f>IFERROR(SMALL(EB47:EB127,ROW()-ROW($EB$130)+1),"")</f>
        <v>0</v>
      </c>
      <c r="EC201">
        <f>IFERROR(SMALL(EC47:EC127,ROW()-ROW($EC$130)+1),"")</f>
        <v>0</v>
      </c>
      <c r="ED201">
        <f>IFERROR(SMALL(ED47:ED127,ROW()-ROW($ED$130)+1),"")</f>
        <v>0</v>
      </c>
    </row>
    <row r="202" spans="5:134">
      <c r="E202">
        <f>IFERROR(SMALL(E47:E127,ROW()-ROW($E$130)+1),"")</f>
        <v>0</v>
      </c>
      <c r="F202">
        <f>IFERROR(SMALL(F47:F127,ROW()-ROW($F$130)+1),"")</f>
        <v>0</v>
      </c>
      <c r="G202">
        <f>IFERROR(SMALL(G47:G127,ROW()-ROW($G$130)+1),"")</f>
        <v>0</v>
      </c>
      <c r="H202">
        <f>IFERROR(SMALL(H47:H127,ROW()-ROW($H$130)+1),"")</f>
        <v>0</v>
      </c>
      <c r="I202">
        <f>IFERROR(SMALL(I47:I127,ROW()-ROW($I$130)+1),"")</f>
        <v>0</v>
      </c>
      <c r="J202">
        <f>IFERROR(SMALL(J47:J127,ROW()-ROW($J$130)+1),"")</f>
        <v>0</v>
      </c>
      <c r="K202">
        <f>IFERROR(SMALL(K47:K127,ROW()-ROW($K$130)+1),"")</f>
        <v>0</v>
      </c>
      <c r="L202">
        <f>IFERROR(SMALL(L47:L127,ROW()-ROW($L$130)+1),"")</f>
        <v>0</v>
      </c>
      <c r="M202">
        <f>IFERROR(SMALL(M47:M127,ROW()-ROW($M$130)+1),"")</f>
        <v>0</v>
      </c>
      <c r="N202">
        <f>IFERROR(SMALL(N47:N127,ROW()-ROW($N$130)+1),"")</f>
        <v>0</v>
      </c>
      <c r="O202">
        <f>IFERROR(SMALL(O47:O127,ROW()-ROW($O$130)+1),"")</f>
        <v>0</v>
      </c>
      <c r="P202">
        <f>IFERROR(SMALL(P47:P127,ROW()-ROW($P$130)+1),"")</f>
        <v>0</v>
      </c>
      <c r="Q202">
        <f>IFERROR(SMALL(Q47:Q127,ROW()-ROW($Q$130)+1),"")</f>
        <v>0</v>
      </c>
      <c r="R202">
        <f>IFERROR(SMALL(R47:R127,ROW()-ROW($R$130)+1),"")</f>
        <v>0</v>
      </c>
      <c r="S202">
        <f>IFERROR(SMALL(S47:S127,ROW()-ROW($S$130)+1),"")</f>
        <v>0</v>
      </c>
      <c r="T202">
        <f>IFERROR(SMALL(T47:T127,ROW()-ROW($T$130)+1),"")</f>
        <v>0</v>
      </c>
      <c r="U202">
        <f>IFERROR(SMALL(U47:U127,ROW()-ROW($U$130)+1),"")</f>
        <v>0</v>
      </c>
      <c r="V202">
        <f>IFERROR(SMALL(V47:V127,ROW()-ROW($V$130)+1),"")</f>
        <v>0</v>
      </c>
      <c r="W202">
        <f>IFERROR(SMALL(W47:W127,ROW()-ROW($W$130)+1),"")</f>
        <v>0</v>
      </c>
      <c r="X202">
        <f>IFERROR(SMALL(X47:X127,ROW()-ROW($X$130)+1),"")</f>
        <v>0</v>
      </c>
      <c r="Y202">
        <f>IFERROR(SMALL(Y47:Y127,ROW()-ROW($Y$130)+1),"")</f>
        <v>0</v>
      </c>
      <c r="Z202">
        <f>IFERROR(SMALL(Z47:Z127,ROW()-ROW($Z$130)+1),"")</f>
        <v>0</v>
      </c>
      <c r="AA202">
        <f>IFERROR(SMALL(AA47:AA127,ROW()-ROW($AA$130)+1),"")</f>
        <v>0</v>
      </c>
      <c r="AB202">
        <f>IFERROR(SMALL(AB47:AB127,ROW()-ROW($AB$130)+1),"")</f>
        <v>0</v>
      </c>
      <c r="AC202">
        <f>IFERROR(SMALL(AC47:AC127,ROW()-ROW($AC$130)+1),"")</f>
        <v>0</v>
      </c>
      <c r="AD202">
        <f>IFERROR(SMALL(AD47:AD127,ROW()-ROW($AD$130)+1),"")</f>
        <v>0</v>
      </c>
      <c r="AE202">
        <f>IFERROR(SMALL(AE47:AE127,ROW()-ROW($AE$130)+1),"")</f>
        <v>0</v>
      </c>
      <c r="AF202">
        <f>IFERROR(SMALL(AF47:AF127,ROW()-ROW($AF$130)+1),"")</f>
        <v>0</v>
      </c>
      <c r="AG202">
        <f>IFERROR(SMALL(AG47:AG127,ROW()-ROW($AG$130)+1),"")</f>
        <v>0</v>
      </c>
      <c r="AH202">
        <f>IFERROR(SMALL(AH47:AH127,ROW()-ROW($AH$130)+1),"")</f>
        <v>0</v>
      </c>
      <c r="AI202">
        <f>IFERROR(SMALL(AI47:AI127,ROW()-ROW($AI$130)+1),"")</f>
        <v>0</v>
      </c>
      <c r="AJ202">
        <f>IFERROR(SMALL(AJ47:AJ127,ROW()-ROW($AJ$130)+1),"")</f>
        <v>0</v>
      </c>
      <c r="AK202">
        <f>IFERROR(SMALL(AK47:AK127,ROW()-ROW($AK$130)+1),"")</f>
        <v>0</v>
      </c>
      <c r="AL202">
        <f>IFERROR(SMALL(AL47:AL127,ROW()-ROW($AL$130)+1),"")</f>
        <v>0</v>
      </c>
      <c r="AM202">
        <f>IFERROR(SMALL(AM47:AM127,ROW()-ROW($AM$130)+1),"")</f>
        <v>0</v>
      </c>
      <c r="AN202">
        <f>IFERROR(SMALL(AN47:AN127,ROW()-ROW($AN$130)+1),"")</f>
        <v>0</v>
      </c>
      <c r="AO202">
        <f>IFERROR(SMALL(AO47:AO127,ROW()-ROW($AO$130)+1),"")</f>
        <v>0</v>
      </c>
      <c r="AP202">
        <f>IFERROR(SMALL(AP47:AP127,ROW()-ROW($AP$130)+1),"")</f>
        <v>0</v>
      </c>
      <c r="AQ202">
        <f>IFERROR(SMALL(AQ47:AQ127,ROW()-ROW($AQ$130)+1),"")</f>
        <v>0</v>
      </c>
      <c r="AR202">
        <f>IFERROR(SMALL(AR47:AR127,ROW()-ROW($AR$130)+1),"")</f>
        <v>0</v>
      </c>
      <c r="AS202">
        <f>IFERROR(SMALL(AS47:AS127,ROW()-ROW($AS$130)+1),"")</f>
        <v>0</v>
      </c>
      <c r="AT202">
        <f>IFERROR(SMALL(AT47:AT127,ROW()-ROW($AT$130)+1),"")</f>
        <v>0</v>
      </c>
      <c r="AU202">
        <f>IFERROR(SMALL(AU47:AU127,ROW()-ROW($AU$130)+1),"")</f>
        <v>0</v>
      </c>
      <c r="AV202">
        <f>IFERROR(SMALL(AV47:AV127,ROW()-ROW($AV$130)+1),"")</f>
        <v>0</v>
      </c>
      <c r="AW202">
        <f>IFERROR(SMALL(AW47:AW127,ROW()-ROW($AW$130)+1),"")</f>
        <v>0</v>
      </c>
      <c r="AX202">
        <f>IFERROR(SMALL(AX47:AX127,ROW()-ROW($AX$130)+1),"")</f>
        <v>0</v>
      </c>
      <c r="AY202">
        <f>IFERROR(SMALL(AY47:AY127,ROW()-ROW($AY$130)+1),"")</f>
        <v>0</v>
      </c>
      <c r="AZ202">
        <f>IFERROR(SMALL(AZ47:AZ127,ROW()-ROW($AZ$130)+1),"")</f>
        <v>0</v>
      </c>
      <c r="BA202">
        <f>IFERROR(SMALL(BA47:BA127,ROW()-ROW($BA$130)+1),"")</f>
        <v>0</v>
      </c>
      <c r="BB202">
        <f>IFERROR(SMALL(BB47:BB127,ROW()-ROW($BB$130)+1),"")</f>
        <v>0</v>
      </c>
      <c r="BC202">
        <f>IFERROR(SMALL(BC47:BC127,ROW()-ROW($BC$130)+1),"")</f>
        <v>0</v>
      </c>
      <c r="BD202">
        <f>IFERROR(SMALL(BD47:BD127,ROW()-ROW($BD$130)+1),"")</f>
        <v>0</v>
      </c>
      <c r="BE202">
        <f>IFERROR(SMALL(BE47:BE127,ROW()-ROW($BE$130)+1),"")</f>
        <v>0</v>
      </c>
      <c r="BF202">
        <f>IFERROR(SMALL(BF47:BF127,ROW()-ROW($BF$130)+1),"")</f>
        <v>0</v>
      </c>
      <c r="BG202">
        <f>IFERROR(SMALL(BG47:BG127,ROW()-ROW($BG$130)+1),"")</f>
        <v>0</v>
      </c>
      <c r="BH202">
        <f>IFERROR(SMALL(BH47:BH127,ROW()-ROW($BH$130)+1),"")</f>
        <v>0</v>
      </c>
      <c r="BI202">
        <f>IFERROR(SMALL(BI47:BI127,ROW()-ROW($BI$130)+1),"")</f>
        <v>0</v>
      </c>
      <c r="BJ202">
        <f>IFERROR(SMALL(BJ47:BJ127,ROW()-ROW($BJ$130)+1),"")</f>
        <v>0</v>
      </c>
      <c r="BK202">
        <f>IFERROR(SMALL(BK47:BK127,ROW()-ROW($BK$130)+1),"")</f>
        <v>0</v>
      </c>
      <c r="BL202">
        <f>IFERROR(SMALL(BL47:BL127,ROW()-ROW($BL$130)+1),"")</f>
        <v>0</v>
      </c>
      <c r="BM202">
        <f>IFERROR(SMALL(BM47:BM127,ROW()-ROW($BM$130)+1),"")</f>
        <v>0</v>
      </c>
      <c r="BN202">
        <f>IFERROR(SMALL(BN47:BN127,ROW()-ROW($BN$130)+1),"")</f>
        <v>0</v>
      </c>
      <c r="BO202">
        <f>IFERROR(SMALL(BO47:BO127,ROW()-ROW($BO$130)+1),"")</f>
        <v>0</v>
      </c>
      <c r="BP202">
        <f>IFERROR(SMALL(BP47:BP127,ROW()-ROW($BP$130)+1),"")</f>
        <v>0</v>
      </c>
      <c r="BS202">
        <f>IFERROR(SMALL(BS47:BS127,ROW()-ROW($BS$130)+1),"")</f>
        <v>0</v>
      </c>
      <c r="BT202">
        <f>IFERROR(SMALL(BT47:BT127,ROW()-ROW($BT$130)+1),"")</f>
        <v>0</v>
      </c>
      <c r="BU202">
        <f>IFERROR(SMALL(BU47:BU127,ROW()-ROW($BU$130)+1),"")</f>
        <v>0</v>
      </c>
      <c r="BV202">
        <f>IFERROR(SMALL(BV47:BV127,ROW()-ROW($BV$130)+1),"")</f>
        <v>0</v>
      </c>
      <c r="BW202">
        <f>IFERROR(SMALL(BW47:BW127,ROW()-ROW($BW$130)+1),"")</f>
        <v>0</v>
      </c>
      <c r="BX202">
        <f>IFERROR(SMALL(BX47:BX127,ROW()-ROW($BX$130)+1),"")</f>
        <v>0</v>
      </c>
      <c r="BY202">
        <f>IFERROR(SMALL(BY47:BY127,ROW()-ROW($BY$130)+1),"")</f>
        <v>0</v>
      </c>
      <c r="BZ202">
        <f>IFERROR(SMALL(BZ47:BZ127,ROW()-ROW($BZ$130)+1),"")</f>
        <v>0</v>
      </c>
      <c r="CA202">
        <f>IFERROR(SMALL(CA47:CA127,ROW()-ROW($CA$130)+1),"")</f>
        <v>0</v>
      </c>
      <c r="CB202">
        <f>IFERROR(SMALL(CB47:CB127,ROW()-ROW($CB$130)+1),"")</f>
        <v>0</v>
      </c>
      <c r="CC202">
        <f>IFERROR(SMALL(CC47:CC127,ROW()-ROW($CC$130)+1),"")</f>
        <v>0</v>
      </c>
      <c r="CD202">
        <f>IFERROR(SMALL(CD47:CD127,ROW()-ROW($CD$130)+1),"")</f>
        <v>0</v>
      </c>
      <c r="CE202">
        <f>IFERROR(SMALL(CE47:CE127,ROW()-ROW($CE$130)+1),"")</f>
        <v>0</v>
      </c>
      <c r="CF202">
        <f>IFERROR(SMALL(CF47:CF127,ROW()-ROW($CF$130)+1),"")</f>
        <v>0</v>
      </c>
      <c r="CG202">
        <f>IFERROR(SMALL(CG47:CG127,ROW()-ROW($CG$130)+1),"")</f>
        <v>0</v>
      </c>
      <c r="CH202">
        <f>IFERROR(SMALL(CH47:CH127,ROW()-ROW($CH$130)+1),"")</f>
        <v>0</v>
      </c>
      <c r="CI202">
        <f>IFERROR(SMALL(CI47:CI127,ROW()-ROW($CI$130)+1),"")</f>
        <v>0</v>
      </c>
      <c r="CJ202">
        <f>IFERROR(SMALL(CJ47:CJ127,ROW()-ROW($CJ$130)+1),"")</f>
        <v>0</v>
      </c>
      <c r="CK202">
        <f>IFERROR(SMALL(CK47:CK127,ROW()-ROW($CK$130)+1),"")</f>
        <v>0</v>
      </c>
      <c r="CL202">
        <f>IFERROR(SMALL(CL47:CL127,ROW()-ROW($CL$130)+1),"")</f>
        <v>0</v>
      </c>
      <c r="CM202">
        <f>IFERROR(SMALL(CM47:CM127,ROW()-ROW($CM$130)+1),"")</f>
        <v>0</v>
      </c>
      <c r="CN202">
        <f>IFERROR(SMALL(CN47:CN127,ROW()-ROW($CN$130)+1),"")</f>
        <v>0</v>
      </c>
      <c r="CO202">
        <f>IFERROR(SMALL(CO47:CO127,ROW()-ROW($CO$130)+1),"")</f>
        <v>0</v>
      </c>
      <c r="CP202">
        <f>IFERROR(SMALL(CP47:CP127,ROW()-ROW($CP$130)+1),"")</f>
        <v>0</v>
      </c>
      <c r="CQ202">
        <f>IFERROR(SMALL(CQ47:CQ127,ROW()-ROW($CQ$130)+1),"")</f>
        <v>0</v>
      </c>
      <c r="CR202">
        <f>IFERROR(SMALL(CR47:CR127,ROW()-ROW($CR$130)+1),"")</f>
        <v>0</v>
      </c>
      <c r="CS202">
        <f>IFERROR(SMALL(CS47:CS127,ROW()-ROW($CS$130)+1),"")</f>
        <v>0</v>
      </c>
      <c r="CT202">
        <f>IFERROR(SMALL(CT47:CT127,ROW()-ROW($CT$130)+1),"")</f>
        <v>0</v>
      </c>
      <c r="CU202">
        <f>IFERROR(SMALL(CU47:CU127,ROW()-ROW($CU$130)+1),"")</f>
        <v>0</v>
      </c>
      <c r="CV202">
        <f>IFERROR(SMALL(CV47:CV127,ROW()-ROW($CV$130)+1),"")</f>
        <v>0</v>
      </c>
      <c r="CW202">
        <f>IFERROR(SMALL(CW47:CW127,ROW()-ROW($CW$130)+1),"")</f>
        <v>0</v>
      </c>
      <c r="CX202">
        <f>IFERROR(SMALL(CX47:CX127,ROW()-ROW($CX$130)+1),"")</f>
        <v>0</v>
      </c>
      <c r="CY202">
        <f>IFERROR(SMALL(CY47:CY127,ROW()-ROW($CY$130)+1),"")</f>
        <v>0</v>
      </c>
      <c r="CZ202">
        <f>IFERROR(SMALL(CZ47:CZ127,ROW()-ROW($CZ$130)+1),"")</f>
        <v>0</v>
      </c>
      <c r="DA202">
        <f>IFERROR(SMALL(DA47:DA127,ROW()-ROW($DA$130)+1),"")</f>
        <v>0</v>
      </c>
      <c r="DB202">
        <f>IFERROR(SMALL(DB47:DB127,ROW()-ROW($DB$130)+1),"")</f>
        <v>0</v>
      </c>
      <c r="DC202">
        <f>IFERROR(SMALL(DC47:DC127,ROW()-ROW($DC$130)+1),"")</f>
        <v>0</v>
      </c>
      <c r="DD202">
        <f>IFERROR(SMALL(DD47:DD127,ROW()-ROW($DD$130)+1),"")</f>
        <v>0</v>
      </c>
      <c r="DE202">
        <f>IFERROR(SMALL(DE47:DE127,ROW()-ROW($DE$130)+1),"")</f>
        <v>0</v>
      </c>
      <c r="DF202">
        <f>IFERROR(SMALL(DF47:DF127,ROW()-ROW($DF$130)+1),"")</f>
        <v>0</v>
      </c>
      <c r="DG202">
        <f>IFERROR(SMALL(DG47:DG127,ROW()-ROW($DG$130)+1),"")</f>
        <v>0</v>
      </c>
      <c r="DH202">
        <f>IFERROR(SMALL(DH47:DH127,ROW()-ROW($DH$130)+1),"")</f>
        <v>0</v>
      </c>
      <c r="DI202">
        <f>IFERROR(SMALL(DI47:DI127,ROW()-ROW($DI$130)+1),"")</f>
        <v>0</v>
      </c>
      <c r="DJ202">
        <f>IFERROR(SMALL(DJ47:DJ127,ROW()-ROW($DJ$130)+1),"")</f>
        <v>0</v>
      </c>
      <c r="DK202">
        <f>IFERROR(SMALL(DK47:DK127,ROW()-ROW($DK$130)+1),"")</f>
        <v>0</v>
      </c>
      <c r="DL202">
        <f>IFERROR(SMALL(DL47:DL127,ROW()-ROW($DL$130)+1),"")</f>
        <v>0</v>
      </c>
      <c r="DM202">
        <f>IFERROR(SMALL(DM47:DM127,ROW()-ROW($DM$130)+1),"")</f>
        <v>0</v>
      </c>
      <c r="DN202">
        <f>IFERROR(SMALL(DN47:DN127,ROW()-ROW($DN$130)+1),"")</f>
        <v>0</v>
      </c>
      <c r="DO202">
        <f>IFERROR(SMALL(DO47:DO127,ROW()-ROW($DO$130)+1),"")</f>
        <v>0</v>
      </c>
      <c r="DP202">
        <f>IFERROR(SMALL(DP47:DP127,ROW()-ROW($DP$130)+1),"")</f>
        <v>0</v>
      </c>
      <c r="DQ202">
        <f>IFERROR(SMALL(DQ47:DQ127,ROW()-ROW($DQ$130)+1),"")</f>
        <v>0</v>
      </c>
      <c r="DR202">
        <f>IFERROR(SMALL(DR47:DR127,ROW()-ROW($DR$130)+1),"")</f>
        <v>0</v>
      </c>
      <c r="DS202">
        <f>IFERROR(SMALL(DS47:DS127,ROW()-ROW($DS$130)+1),"")</f>
        <v>0</v>
      </c>
      <c r="DT202">
        <f>IFERROR(SMALL(DT47:DT127,ROW()-ROW($DT$130)+1),"")</f>
        <v>0</v>
      </c>
      <c r="DU202">
        <f>IFERROR(SMALL(DU47:DU127,ROW()-ROW($DU$130)+1),"")</f>
        <v>0</v>
      </c>
      <c r="DV202">
        <f>IFERROR(SMALL(DV47:DV127,ROW()-ROW($DV$130)+1),"")</f>
        <v>0</v>
      </c>
      <c r="DW202">
        <f>IFERROR(SMALL(DW47:DW127,ROW()-ROW($DW$130)+1),"")</f>
        <v>0</v>
      </c>
      <c r="DX202">
        <f>IFERROR(SMALL(DX47:DX127,ROW()-ROW($DX$130)+1),"")</f>
        <v>0</v>
      </c>
      <c r="DY202">
        <f>IFERROR(SMALL(DY47:DY127,ROW()-ROW($DY$130)+1),"")</f>
        <v>0</v>
      </c>
      <c r="DZ202">
        <f>IFERROR(SMALL(DZ47:DZ127,ROW()-ROW($DZ$130)+1),"")</f>
        <v>0</v>
      </c>
      <c r="EA202">
        <f>IFERROR(SMALL(EA47:EA127,ROW()-ROW($EA$130)+1),"")</f>
        <v>0</v>
      </c>
      <c r="EB202">
        <f>IFERROR(SMALL(EB47:EB127,ROW()-ROW($EB$130)+1),"")</f>
        <v>0</v>
      </c>
      <c r="EC202">
        <f>IFERROR(SMALL(EC47:EC127,ROW()-ROW($EC$130)+1),"")</f>
        <v>0</v>
      </c>
      <c r="ED202">
        <f>IFERROR(SMALL(ED47:ED127,ROW()-ROW($ED$130)+1),"")</f>
        <v>0</v>
      </c>
    </row>
    <row r="203" spans="5:134">
      <c r="E203">
        <f>IFERROR(SMALL(E47:E127,ROW()-ROW($E$130)+1),"")</f>
        <v>0</v>
      </c>
      <c r="F203">
        <f>IFERROR(SMALL(F47:F127,ROW()-ROW($F$130)+1),"")</f>
        <v>0</v>
      </c>
      <c r="G203">
        <f>IFERROR(SMALL(G47:G127,ROW()-ROW($G$130)+1),"")</f>
        <v>0</v>
      </c>
      <c r="H203">
        <f>IFERROR(SMALL(H47:H127,ROW()-ROW($H$130)+1),"")</f>
        <v>0</v>
      </c>
      <c r="I203">
        <f>IFERROR(SMALL(I47:I127,ROW()-ROW($I$130)+1),"")</f>
        <v>0</v>
      </c>
      <c r="J203">
        <f>IFERROR(SMALL(J47:J127,ROW()-ROW($J$130)+1),"")</f>
        <v>0</v>
      </c>
      <c r="K203">
        <f>IFERROR(SMALL(K47:K127,ROW()-ROW($K$130)+1),"")</f>
        <v>0</v>
      </c>
      <c r="L203">
        <f>IFERROR(SMALL(L47:L127,ROW()-ROW($L$130)+1),"")</f>
        <v>0</v>
      </c>
      <c r="M203">
        <f>IFERROR(SMALL(M47:M127,ROW()-ROW($M$130)+1),"")</f>
        <v>0</v>
      </c>
      <c r="N203">
        <f>IFERROR(SMALL(N47:N127,ROW()-ROW($N$130)+1),"")</f>
        <v>0</v>
      </c>
      <c r="O203">
        <f>IFERROR(SMALL(O47:O127,ROW()-ROW($O$130)+1),"")</f>
        <v>0</v>
      </c>
      <c r="P203">
        <f>IFERROR(SMALL(P47:P127,ROW()-ROW($P$130)+1),"")</f>
        <v>0</v>
      </c>
      <c r="Q203">
        <f>IFERROR(SMALL(Q47:Q127,ROW()-ROW($Q$130)+1),"")</f>
        <v>0</v>
      </c>
      <c r="R203">
        <f>IFERROR(SMALL(R47:R127,ROW()-ROW($R$130)+1),"")</f>
        <v>0</v>
      </c>
      <c r="S203">
        <f>IFERROR(SMALL(S47:S127,ROW()-ROW($S$130)+1),"")</f>
        <v>0</v>
      </c>
      <c r="T203">
        <f>IFERROR(SMALL(T47:T127,ROW()-ROW($T$130)+1),"")</f>
        <v>0</v>
      </c>
      <c r="U203">
        <f>IFERROR(SMALL(U47:U127,ROW()-ROW($U$130)+1),"")</f>
        <v>0</v>
      </c>
      <c r="V203">
        <f>IFERROR(SMALL(V47:V127,ROW()-ROW($V$130)+1),"")</f>
        <v>0</v>
      </c>
      <c r="W203">
        <f>IFERROR(SMALL(W47:W127,ROW()-ROW($W$130)+1),"")</f>
        <v>0</v>
      </c>
      <c r="X203">
        <f>IFERROR(SMALL(X47:X127,ROW()-ROW($X$130)+1),"")</f>
        <v>0</v>
      </c>
      <c r="Y203">
        <f>IFERROR(SMALL(Y47:Y127,ROW()-ROW($Y$130)+1),"")</f>
        <v>0</v>
      </c>
      <c r="Z203">
        <f>IFERROR(SMALL(Z47:Z127,ROW()-ROW($Z$130)+1),"")</f>
        <v>0</v>
      </c>
      <c r="AA203">
        <f>IFERROR(SMALL(AA47:AA127,ROW()-ROW($AA$130)+1),"")</f>
        <v>0</v>
      </c>
      <c r="AB203">
        <f>IFERROR(SMALL(AB47:AB127,ROW()-ROW($AB$130)+1),"")</f>
        <v>0</v>
      </c>
      <c r="AC203">
        <f>IFERROR(SMALL(AC47:AC127,ROW()-ROW($AC$130)+1),"")</f>
        <v>0</v>
      </c>
      <c r="AD203">
        <f>IFERROR(SMALL(AD47:AD127,ROW()-ROW($AD$130)+1),"")</f>
        <v>0</v>
      </c>
      <c r="AE203">
        <f>IFERROR(SMALL(AE47:AE127,ROW()-ROW($AE$130)+1),"")</f>
        <v>0</v>
      </c>
      <c r="AF203">
        <f>IFERROR(SMALL(AF47:AF127,ROW()-ROW($AF$130)+1),"")</f>
        <v>0</v>
      </c>
      <c r="AG203">
        <f>IFERROR(SMALL(AG47:AG127,ROW()-ROW($AG$130)+1),"")</f>
        <v>0</v>
      </c>
      <c r="AH203">
        <f>IFERROR(SMALL(AH47:AH127,ROW()-ROW($AH$130)+1),"")</f>
        <v>0</v>
      </c>
      <c r="AI203">
        <f>IFERROR(SMALL(AI47:AI127,ROW()-ROW($AI$130)+1),"")</f>
        <v>0</v>
      </c>
      <c r="AJ203">
        <f>IFERROR(SMALL(AJ47:AJ127,ROW()-ROW($AJ$130)+1),"")</f>
        <v>0</v>
      </c>
      <c r="AK203">
        <f>IFERROR(SMALL(AK47:AK127,ROW()-ROW($AK$130)+1),"")</f>
        <v>0</v>
      </c>
      <c r="AL203">
        <f>IFERROR(SMALL(AL47:AL127,ROW()-ROW($AL$130)+1),"")</f>
        <v>0</v>
      </c>
      <c r="AM203">
        <f>IFERROR(SMALL(AM47:AM127,ROW()-ROW($AM$130)+1),"")</f>
        <v>0</v>
      </c>
      <c r="AN203">
        <f>IFERROR(SMALL(AN47:AN127,ROW()-ROW($AN$130)+1),"")</f>
        <v>0</v>
      </c>
      <c r="AO203">
        <f>IFERROR(SMALL(AO47:AO127,ROW()-ROW($AO$130)+1),"")</f>
        <v>0</v>
      </c>
      <c r="AP203">
        <f>IFERROR(SMALL(AP47:AP127,ROW()-ROW($AP$130)+1),"")</f>
        <v>0</v>
      </c>
      <c r="AQ203">
        <f>IFERROR(SMALL(AQ47:AQ127,ROW()-ROW($AQ$130)+1),"")</f>
        <v>0</v>
      </c>
      <c r="AR203">
        <f>IFERROR(SMALL(AR47:AR127,ROW()-ROW($AR$130)+1),"")</f>
        <v>0</v>
      </c>
      <c r="AS203">
        <f>IFERROR(SMALL(AS47:AS127,ROW()-ROW($AS$130)+1),"")</f>
        <v>0</v>
      </c>
      <c r="AT203">
        <f>IFERROR(SMALL(AT47:AT127,ROW()-ROW($AT$130)+1),"")</f>
        <v>0</v>
      </c>
      <c r="AU203">
        <f>IFERROR(SMALL(AU47:AU127,ROW()-ROW($AU$130)+1),"")</f>
        <v>0</v>
      </c>
      <c r="AV203">
        <f>IFERROR(SMALL(AV47:AV127,ROW()-ROW($AV$130)+1),"")</f>
        <v>0</v>
      </c>
      <c r="AW203">
        <f>IFERROR(SMALL(AW47:AW127,ROW()-ROW($AW$130)+1),"")</f>
        <v>0</v>
      </c>
      <c r="AX203">
        <f>IFERROR(SMALL(AX47:AX127,ROW()-ROW($AX$130)+1),"")</f>
        <v>0</v>
      </c>
      <c r="AY203">
        <f>IFERROR(SMALL(AY47:AY127,ROW()-ROW($AY$130)+1),"")</f>
        <v>0</v>
      </c>
      <c r="AZ203">
        <f>IFERROR(SMALL(AZ47:AZ127,ROW()-ROW($AZ$130)+1),"")</f>
        <v>0</v>
      </c>
      <c r="BA203">
        <f>IFERROR(SMALL(BA47:BA127,ROW()-ROW($BA$130)+1),"")</f>
        <v>0</v>
      </c>
      <c r="BB203">
        <f>IFERROR(SMALL(BB47:BB127,ROW()-ROW($BB$130)+1),"")</f>
        <v>0</v>
      </c>
      <c r="BC203">
        <f>IFERROR(SMALL(BC47:BC127,ROW()-ROW($BC$130)+1),"")</f>
        <v>0</v>
      </c>
      <c r="BD203">
        <f>IFERROR(SMALL(BD47:BD127,ROW()-ROW($BD$130)+1),"")</f>
        <v>0</v>
      </c>
      <c r="BE203">
        <f>IFERROR(SMALL(BE47:BE127,ROW()-ROW($BE$130)+1),"")</f>
        <v>0</v>
      </c>
      <c r="BF203">
        <f>IFERROR(SMALL(BF47:BF127,ROW()-ROW($BF$130)+1),"")</f>
        <v>0</v>
      </c>
      <c r="BG203">
        <f>IFERROR(SMALL(BG47:BG127,ROW()-ROW($BG$130)+1),"")</f>
        <v>0</v>
      </c>
      <c r="BH203">
        <f>IFERROR(SMALL(BH47:BH127,ROW()-ROW($BH$130)+1),"")</f>
        <v>0</v>
      </c>
      <c r="BI203">
        <f>IFERROR(SMALL(BI47:BI127,ROW()-ROW($BI$130)+1),"")</f>
        <v>0</v>
      </c>
      <c r="BJ203">
        <f>IFERROR(SMALL(BJ47:BJ127,ROW()-ROW($BJ$130)+1),"")</f>
        <v>0</v>
      </c>
      <c r="BK203">
        <f>IFERROR(SMALL(BK47:BK127,ROW()-ROW($BK$130)+1),"")</f>
        <v>0</v>
      </c>
      <c r="BL203">
        <f>IFERROR(SMALL(BL47:BL127,ROW()-ROW($BL$130)+1),"")</f>
        <v>0</v>
      </c>
      <c r="BM203">
        <f>IFERROR(SMALL(BM47:BM127,ROW()-ROW($BM$130)+1),"")</f>
        <v>0</v>
      </c>
      <c r="BN203">
        <f>IFERROR(SMALL(BN47:BN127,ROW()-ROW($BN$130)+1),"")</f>
        <v>0</v>
      </c>
      <c r="BO203">
        <f>IFERROR(SMALL(BO47:BO127,ROW()-ROW($BO$130)+1),"")</f>
        <v>0</v>
      </c>
      <c r="BP203">
        <f>IFERROR(SMALL(BP47:BP127,ROW()-ROW($BP$130)+1),"")</f>
        <v>0</v>
      </c>
      <c r="BS203">
        <f>IFERROR(SMALL(BS47:BS127,ROW()-ROW($BS$130)+1),"")</f>
        <v>0</v>
      </c>
      <c r="BT203">
        <f>IFERROR(SMALL(BT47:BT127,ROW()-ROW($BT$130)+1),"")</f>
        <v>0</v>
      </c>
      <c r="BU203">
        <f>IFERROR(SMALL(BU47:BU127,ROW()-ROW($BU$130)+1),"")</f>
        <v>0</v>
      </c>
      <c r="BV203">
        <f>IFERROR(SMALL(BV47:BV127,ROW()-ROW($BV$130)+1),"")</f>
        <v>0</v>
      </c>
      <c r="BW203">
        <f>IFERROR(SMALL(BW47:BW127,ROW()-ROW($BW$130)+1),"")</f>
        <v>0</v>
      </c>
      <c r="BX203">
        <f>IFERROR(SMALL(BX47:BX127,ROW()-ROW($BX$130)+1),"")</f>
        <v>0</v>
      </c>
      <c r="BY203">
        <f>IFERROR(SMALL(BY47:BY127,ROW()-ROW($BY$130)+1),"")</f>
        <v>0</v>
      </c>
      <c r="BZ203">
        <f>IFERROR(SMALL(BZ47:BZ127,ROW()-ROW($BZ$130)+1),"")</f>
        <v>0</v>
      </c>
      <c r="CA203">
        <f>IFERROR(SMALL(CA47:CA127,ROW()-ROW($CA$130)+1),"")</f>
        <v>0</v>
      </c>
      <c r="CB203">
        <f>IFERROR(SMALL(CB47:CB127,ROW()-ROW($CB$130)+1),"")</f>
        <v>0</v>
      </c>
      <c r="CC203">
        <f>IFERROR(SMALL(CC47:CC127,ROW()-ROW($CC$130)+1),"")</f>
        <v>0</v>
      </c>
      <c r="CD203">
        <f>IFERROR(SMALL(CD47:CD127,ROW()-ROW($CD$130)+1),"")</f>
        <v>0</v>
      </c>
      <c r="CE203">
        <f>IFERROR(SMALL(CE47:CE127,ROW()-ROW($CE$130)+1),"")</f>
        <v>0</v>
      </c>
      <c r="CF203">
        <f>IFERROR(SMALL(CF47:CF127,ROW()-ROW($CF$130)+1),"")</f>
        <v>0</v>
      </c>
      <c r="CG203">
        <f>IFERROR(SMALL(CG47:CG127,ROW()-ROW($CG$130)+1),"")</f>
        <v>0</v>
      </c>
      <c r="CH203">
        <f>IFERROR(SMALL(CH47:CH127,ROW()-ROW($CH$130)+1),"")</f>
        <v>0</v>
      </c>
      <c r="CI203">
        <f>IFERROR(SMALL(CI47:CI127,ROW()-ROW($CI$130)+1),"")</f>
        <v>0</v>
      </c>
      <c r="CJ203">
        <f>IFERROR(SMALL(CJ47:CJ127,ROW()-ROW($CJ$130)+1),"")</f>
        <v>0</v>
      </c>
      <c r="CK203">
        <f>IFERROR(SMALL(CK47:CK127,ROW()-ROW($CK$130)+1),"")</f>
        <v>0</v>
      </c>
      <c r="CL203">
        <f>IFERROR(SMALL(CL47:CL127,ROW()-ROW($CL$130)+1),"")</f>
        <v>0</v>
      </c>
      <c r="CM203">
        <f>IFERROR(SMALL(CM47:CM127,ROW()-ROW($CM$130)+1),"")</f>
        <v>0</v>
      </c>
      <c r="CN203">
        <f>IFERROR(SMALL(CN47:CN127,ROW()-ROW($CN$130)+1),"")</f>
        <v>0</v>
      </c>
      <c r="CO203">
        <f>IFERROR(SMALL(CO47:CO127,ROW()-ROW($CO$130)+1),"")</f>
        <v>0</v>
      </c>
      <c r="CP203">
        <f>IFERROR(SMALL(CP47:CP127,ROW()-ROW($CP$130)+1),"")</f>
        <v>0</v>
      </c>
      <c r="CQ203">
        <f>IFERROR(SMALL(CQ47:CQ127,ROW()-ROW($CQ$130)+1),"")</f>
        <v>0</v>
      </c>
      <c r="CR203">
        <f>IFERROR(SMALL(CR47:CR127,ROW()-ROW($CR$130)+1),"")</f>
        <v>0</v>
      </c>
      <c r="CS203">
        <f>IFERROR(SMALL(CS47:CS127,ROW()-ROW($CS$130)+1),"")</f>
        <v>0</v>
      </c>
      <c r="CT203">
        <f>IFERROR(SMALL(CT47:CT127,ROW()-ROW($CT$130)+1),"")</f>
        <v>0</v>
      </c>
      <c r="CU203">
        <f>IFERROR(SMALL(CU47:CU127,ROW()-ROW($CU$130)+1),"")</f>
        <v>0</v>
      </c>
      <c r="CV203">
        <f>IFERROR(SMALL(CV47:CV127,ROW()-ROW($CV$130)+1),"")</f>
        <v>0</v>
      </c>
      <c r="CW203">
        <f>IFERROR(SMALL(CW47:CW127,ROW()-ROW($CW$130)+1),"")</f>
        <v>0</v>
      </c>
      <c r="CX203">
        <f>IFERROR(SMALL(CX47:CX127,ROW()-ROW($CX$130)+1),"")</f>
        <v>0</v>
      </c>
      <c r="CY203">
        <f>IFERROR(SMALL(CY47:CY127,ROW()-ROW($CY$130)+1),"")</f>
        <v>0</v>
      </c>
      <c r="CZ203">
        <f>IFERROR(SMALL(CZ47:CZ127,ROW()-ROW($CZ$130)+1),"")</f>
        <v>0</v>
      </c>
      <c r="DA203">
        <f>IFERROR(SMALL(DA47:DA127,ROW()-ROW($DA$130)+1),"")</f>
        <v>0</v>
      </c>
      <c r="DB203">
        <f>IFERROR(SMALL(DB47:DB127,ROW()-ROW($DB$130)+1),"")</f>
        <v>0</v>
      </c>
      <c r="DC203">
        <f>IFERROR(SMALL(DC47:DC127,ROW()-ROW($DC$130)+1),"")</f>
        <v>0</v>
      </c>
      <c r="DD203">
        <f>IFERROR(SMALL(DD47:DD127,ROW()-ROW($DD$130)+1),"")</f>
        <v>0</v>
      </c>
      <c r="DE203">
        <f>IFERROR(SMALL(DE47:DE127,ROW()-ROW($DE$130)+1),"")</f>
        <v>0</v>
      </c>
      <c r="DF203">
        <f>IFERROR(SMALL(DF47:DF127,ROW()-ROW($DF$130)+1),"")</f>
        <v>0</v>
      </c>
      <c r="DG203">
        <f>IFERROR(SMALL(DG47:DG127,ROW()-ROW($DG$130)+1),"")</f>
        <v>0</v>
      </c>
      <c r="DH203">
        <f>IFERROR(SMALL(DH47:DH127,ROW()-ROW($DH$130)+1),"")</f>
        <v>0</v>
      </c>
      <c r="DI203">
        <f>IFERROR(SMALL(DI47:DI127,ROW()-ROW($DI$130)+1),"")</f>
        <v>0</v>
      </c>
      <c r="DJ203">
        <f>IFERROR(SMALL(DJ47:DJ127,ROW()-ROW($DJ$130)+1),"")</f>
        <v>0</v>
      </c>
      <c r="DK203">
        <f>IFERROR(SMALL(DK47:DK127,ROW()-ROW($DK$130)+1),"")</f>
        <v>0</v>
      </c>
      <c r="DL203">
        <f>IFERROR(SMALL(DL47:DL127,ROW()-ROW($DL$130)+1),"")</f>
        <v>0</v>
      </c>
      <c r="DM203">
        <f>IFERROR(SMALL(DM47:DM127,ROW()-ROW($DM$130)+1),"")</f>
        <v>0</v>
      </c>
      <c r="DN203">
        <f>IFERROR(SMALL(DN47:DN127,ROW()-ROW($DN$130)+1),"")</f>
        <v>0</v>
      </c>
      <c r="DO203">
        <f>IFERROR(SMALL(DO47:DO127,ROW()-ROW($DO$130)+1),"")</f>
        <v>0</v>
      </c>
      <c r="DP203">
        <f>IFERROR(SMALL(DP47:DP127,ROW()-ROW($DP$130)+1),"")</f>
        <v>0</v>
      </c>
      <c r="DQ203">
        <f>IFERROR(SMALL(DQ47:DQ127,ROW()-ROW($DQ$130)+1),"")</f>
        <v>0</v>
      </c>
      <c r="DR203">
        <f>IFERROR(SMALL(DR47:DR127,ROW()-ROW($DR$130)+1),"")</f>
        <v>0</v>
      </c>
      <c r="DS203">
        <f>IFERROR(SMALL(DS47:DS127,ROW()-ROW($DS$130)+1),"")</f>
        <v>0</v>
      </c>
      <c r="DT203">
        <f>IFERROR(SMALL(DT47:DT127,ROW()-ROW($DT$130)+1),"")</f>
        <v>0</v>
      </c>
      <c r="DU203">
        <f>IFERROR(SMALL(DU47:DU127,ROW()-ROW($DU$130)+1),"")</f>
        <v>0</v>
      </c>
      <c r="DV203">
        <f>IFERROR(SMALL(DV47:DV127,ROW()-ROW($DV$130)+1),"")</f>
        <v>0</v>
      </c>
      <c r="DW203">
        <f>IFERROR(SMALL(DW47:DW127,ROW()-ROW($DW$130)+1),"")</f>
        <v>0</v>
      </c>
      <c r="DX203">
        <f>IFERROR(SMALL(DX47:DX127,ROW()-ROW($DX$130)+1),"")</f>
        <v>0</v>
      </c>
      <c r="DY203">
        <f>IFERROR(SMALL(DY47:DY127,ROW()-ROW($DY$130)+1),"")</f>
        <v>0</v>
      </c>
      <c r="DZ203">
        <f>IFERROR(SMALL(DZ47:DZ127,ROW()-ROW($DZ$130)+1),"")</f>
        <v>0</v>
      </c>
      <c r="EA203">
        <f>IFERROR(SMALL(EA47:EA127,ROW()-ROW($EA$130)+1),"")</f>
        <v>0</v>
      </c>
      <c r="EB203">
        <f>IFERROR(SMALL(EB47:EB127,ROW()-ROW($EB$130)+1),"")</f>
        <v>0</v>
      </c>
      <c r="EC203">
        <f>IFERROR(SMALL(EC47:EC127,ROW()-ROW($EC$130)+1),"")</f>
        <v>0</v>
      </c>
      <c r="ED203">
        <f>IFERROR(SMALL(ED47:ED127,ROW()-ROW($ED$130)+1),"")</f>
        <v>0</v>
      </c>
    </row>
    <row r="204" spans="5:134">
      <c r="E204">
        <f>IFERROR(SMALL(E47:E127,ROW()-ROW($E$130)+1),"")</f>
        <v>0</v>
      </c>
      <c r="F204">
        <f>IFERROR(SMALL(F47:F127,ROW()-ROW($F$130)+1),"")</f>
        <v>0</v>
      </c>
      <c r="G204">
        <f>IFERROR(SMALL(G47:G127,ROW()-ROW($G$130)+1),"")</f>
        <v>0</v>
      </c>
      <c r="H204">
        <f>IFERROR(SMALL(H47:H127,ROW()-ROW($H$130)+1),"")</f>
        <v>0</v>
      </c>
      <c r="I204">
        <f>IFERROR(SMALL(I47:I127,ROW()-ROW($I$130)+1),"")</f>
        <v>0</v>
      </c>
      <c r="J204">
        <f>IFERROR(SMALL(J47:J127,ROW()-ROW($J$130)+1),"")</f>
        <v>0</v>
      </c>
      <c r="K204">
        <f>IFERROR(SMALL(K47:K127,ROW()-ROW($K$130)+1),"")</f>
        <v>0</v>
      </c>
      <c r="L204">
        <f>IFERROR(SMALL(L47:L127,ROW()-ROW($L$130)+1),"")</f>
        <v>0</v>
      </c>
      <c r="M204">
        <f>IFERROR(SMALL(M47:M127,ROW()-ROW($M$130)+1),"")</f>
        <v>0</v>
      </c>
      <c r="N204">
        <f>IFERROR(SMALL(N47:N127,ROW()-ROW($N$130)+1),"")</f>
        <v>0</v>
      </c>
      <c r="O204">
        <f>IFERROR(SMALL(O47:O127,ROW()-ROW($O$130)+1),"")</f>
        <v>0</v>
      </c>
      <c r="P204">
        <f>IFERROR(SMALL(P47:P127,ROW()-ROW($P$130)+1),"")</f>
        <v>0</v>
      </c>
      <c r="Q204">
        <f>IFERROR(SMALL(Q47:Q127,ROW()-ROW($Q$130)+1),"")</f>
        <v>0</v>
      </c>
      <c r="R204">
        <f>IFERROR(SMALL(R47:R127,ROW()-ROW($R$130)+1),"")</f>
        <v>0</v>
      </c>
      <c r="S204">
        <f>IFERROR(SMALL(S47:S127,ROW()-ROW($S$130)+1),"")</f>
        <v>0</v>
      </c>
      <c r="T204">
        <f>IFERROR(SMALL(T47:T127,ROW()-ROW($T$130)+1),"")</f>
        <v>0</v>
      </c>
      <c r="U204">
        <f>IFERROR(SMALL(U47:U127,ROW()-ROW($U$130)+1),"")</f>
        <v>0</v>
      </c>
      <c r="V204">
        <f>IFERROR(SMALL(V47:V127,ROW()-ROW($V$130)+1),"")</f>
        <v>0</v>
      </c>
      <c r="W204">
        <f>IFERROR(SMALL(W47:W127,ROW()-ROW($W$130)+1),"")</f>
        <v>0</v>
      </c>
      <c r="X204">
        <f>IFERROR(SMALL(X47:X127,ROW()-ROW($X$130)+1),"")</f>
        <v>0</v>
      </c>
      <c r="Y204">
        <f>IFERROR(SMALL(Y47:Y127,ROW()-ROW($Y$130)+1),"")</f>
        <v>0</v>
      </c>
      <c r="Z204">
        <f>IFERROR(SMALL(Z47:Z127,ROW()-ROW($Z$130)+1),"")</f>
        <v>0</v>
      </c>
      <c r="AA204">
        <f>IFERROR(SMALL(AA47:AA127,ROW()-ROW($AA$130)+1),"")</f>
        <v>0</v>
      </c>
      <c r="AB204">
        <f>IFERROR(SMALL(AB47:AB127,ROW()-ROW($AB$130)+1),"")</f>
        <v>0</v>
      </c>
      <c r="AC204">
        <f>IFERROR(SMALL(AC47:AC127,ROW()-ROW($AC$130)+1),"")</f>
        <v>0</v>
      </c>
      <c r="AD204">
        <f>IFERROR(SMALL(AD47:AD127,ROW()-ROW($AD$130)+1),"")</f>
        <v>0</v>
      </c>
      <c r="AE204">
        <f>IFERROR(SMALL(AE47:AE127,ROW()-ROW($AE$130)+1),"")</f>
        <v>0</v>
      </c>
      <c r="AF204">
        <f>IFERROR(SMALL(AF47:AF127,ROW()-ROW($AF$130)+1),"")</f>
        <v>0</v>
      </c>
      <c r="AG204">
        <f>IFERROR(SMALL(AG47:AG127,ROW()-ROW($AG$130)+1),"")</f>
        <v>0</v>
      </c>
      <c r="AH204">
        <f>IFERROR(SMALL(AH47:AH127,ROW()-ROW($AH$130)+1),"")</f>
        <v>0</v>
      </c>
      <c r="AI204">
        <f>IFERROR(SMALL(AI47:AI127,ROW()-ROW($AI$130)+1),"")</f>
        <v>0</v>
      </c>
      <c r="AJ204">
        <f>IFERROR(SMALL(AJ47:AJ127,ROW()-ROW($AJ$130)+1),"")</f>
        <v>0</v>
      </c>
      <c r="AK204">
        <f>IFERROR(SMALL(AK47:AK127,ROW()-ROW($AK$130)+1),"")</f>
        <v>0</v>
      </c>
      <c r="AL204">
        <f>IFERROR(SMALL(AL47:AL127,ROW()-ROW($AL$130)+1),"")</f>
        <v>0</v>
      </c>
      <c r="AM204">
        <f>IFERROR(SMALL(AM47:AM127,ROW()-ROW($AM$130)+1),"")</f>
        <v>0</v>
      </c>
      <c r="AN204">
        <f>IFERROR(SMALL(AN47:AN127,ROW()-ROW($AN$130)+1),"")</f>
        <v>0</v>
      </c>
      <c r="AO204">
        <f>IFERROR(SMALL(AO47:AO127,ROW()-ROW($AO$130)+1),"")</f>
        <v>0</v>
      </c>
      <c r="AP204">
        <f>IFERROR(SMALL(AP47:AP127,ROW()-ROW($AP$130)+1),"")</f>
        <v>0</v>
      </c>
      <c r="AQ204">
        <f>IFERROR(SMALL(AQ47:AQ127,ROW()-ROW($AQ$130)+1),"")</f>
        <v>0</v>
      </c>
      <c r="AR204">
        <f>IFERROR(SMALL(AR47:AR127,ROW()-ROW($AR$130)+1),"")</f>
        <v>0</v>
      </c>
      <c r="AS204">
        <f>IFERROR(SMALL(AS47:AS127,ROW()-ROW($AS$130)+1),"")</f>
        <v>0</v>
      </c>
      <c r="AT204">
        <f>IFERROR(SMALL(AT47:AT127,ROW()-ROW($AT$130)+1),"")</f>
        <v>0</v>
      </c>
      <c r="AU204">
        <f>IFERROR(SMALL(AU47:AU127,ROW()-ROW($AU$130)+1),"")</f>
        <v>0</v>
      </c>
      <c r="AV204">
        <f>IFERROR(SMALL(AV47:AV127,ROW()-ROW($AV$130)+1),"")</f>
        <v>0</v>
      </c>
      <c r="AW204">
        <f>IFERROR(SMALL(AW47:AW127,ROW()-ROW($AW$130)+1),"")</f>
        <v>0</v>
      </c>
      <c r="AX204">
        <f>IFERROR(SMALL(AX47:AX127,ROW()-ROW($AX$130)+1),"")</f>
        <v>0</v>
      </c>
      <c r="AY204">
        <f>IFERROR(SMALL(AY47:AY127,ROW()-ROW($AY$130)+1),"")</f>
        <v>0</v>
      </c>
      <c r="AZ204">
        <f>IFERROR(SMALL(AZ47:AZ127,ROW()-ROW($AZ$130)+1),"")</f>
        <v>0</v>
      </c>
      <c r="BA204">
        <f>IFERROR(SMALL(BA47:BA127,ROW()-ROW($BA$130)+1),"")</f>
        <v>0</v>
      </c>
      <c r="BB204">
        <f>IFERROR(SMALL(BB47:BB127,ROW()-ROW($BB$130)+1),"")</f>
        <v>0</v>
      </c>
      <c r="BC204">
        <f>IFERROR(SMALL(BC47:BC127,ROW()-ROW($BC$130)+1),"")</f>
        <v>0</v>
      </c>
      <c r="BD204">
        <f>IFERROR(SMALL(BD47:BD127,ROW()-ROW($BD$130)+1),"")</f>
        <v>0</v>
      </c>
      <c r="BE204">
        <f>IFERROR(SMALL(BE47:BE127,ROW()-ROW($BE$130)+1),"")</f>
        <v>0</v>
      </c>
      <c r="BF204">
        <f>IFERROR(SMALL(BF47:BF127,ROW()-ROW($BF$130)+1),"")</f>
        <v>0</v>
      </c>
      <c r="BG204">
        <f>IFERROR(SMALL(BG47:BG127,ROW()-ROW($BG$130)+1),"")</f>
        <v>0</v>
      </c>
      <c r="BH204">
        <f>IFERROR(SMALL(BH47:BH127,ROW()-ROW($BH$130)+1),"")</f>
        <v>0</v>
      </c>
      <c r="BI204">
        <f>IFERROR(SMALL(BI47:BI127,ROW()-ROW($BI$130)+1),"")</f>
        <v>0</v>
      </c>
      <c r="BJ204">
        <f>IFERROR(SMALL(BJ47:BJ127,ROW()-ROW($BJ$130)+1),"")</f>
        <v>0</v>
      </c>
      <c r="BK204">
        <f>IFERROR(SMALL(BK47:BK127,ROW()-ROW($BK$130)+1),"")</f>
        <v>0</v>
      </c>
      <c r="BL204">
        <f>IFERROR(SMALL(BL47:BL127,ROW()-ROW($BL$130)+1),"")</f>
        <v>0</v>
      </c>
      <c r="BM204">
        <f>IFERROR(SMALL(BM47:BM127,ROW()-ROW($BM$130)+1),"")</f>
        <v>0</v>
      </c>
      <c r="BN204">
        <f>IFERROR(SMALL(BN47:BN127,ROW()-ROW($BN$130)+1),"")</f>
        <v>0</v>
      </c>
      <c r="BO204">
        <f>IFERROR(SMALL(BO47:BO127,ROW()-ROW($BO$130)+1),"")</f>
        <v>0</v>
      </c>
      <c r="BP204">
        <f>IFERROR(SMALL(BP47:BP127,ROW()-ROW($BP$130)+1),"")</f>
        <v>0</v>
      </c>
      <c r="BS204">
        <f>IFERROR(SMALL(BS47:BS127,ROW()-ROW($BS$130)+1),"")</f>
        <v>0</v>
      </c>
      <c r="BT204">
        <f>IFERROR(SMALL(BT47:BT127,ROW()-ROW($BT$130)+1),"")</f>
        <v>0</v>
      </c>
      <c r="BU204">
        <f>IFERROR(SMALL(BU47:BU127,ROW()-ROW($BU$130)+1),"")</f>
        <v>0</v>
      </c>
      <c r="BV204">
        <f>IFERROR(SMALL(BV47:BV127,ROW()-ROW($BV$130)+1),"")</f>
        <v>0</v>
      </c>
      <c r="BW204">
        <f>IFERROR(SMALL(BW47:BW127,ROW()-ROW($BW$130)+1),"")</f>
        <v>0</v>
      </c>
      <c r="BX204">
        <f>IFERROR(SMALL(BX47:BX127,ROW()-ROW($BX$130)+1),"")</f>
        <v>0</v>
      </c>
      <c r="BY204">
        <f>IFERROR(SMALL(BY47:BY127,ROW()-ROW($BY$130)+1),"")</f>
        <v>0</v>
      </c>
      <c r="BZ204">
        <f>IFERROR(SMALL(BZ47:BZ127,ROW()-ROW($BZ$130)+1),"")</f>
        <v>0</v>
      </c>
      <c r="CA204">
        <f>IFERROR(SMALL(CA47:CA127,ROW()-ROW($CA$130)+1),"")</f>
        <v>0</v>
      </c>
      <c r="CB204">
        <f>IFERROR(SMALL(CB47:CB127,ROW()-ROW($CB$130)+1),"")</f>
        <v>0</v>
      </c>
      <c r="CC204">
        <f>IFERROR(SMALL(CC47:CC127,ROW()-ROW($CC$130)+1),"")</f>
        <v>0</v>
      </c>
      <c r="CD204">
        <f>IFERROR(SMALL(CD47:CD127,ROW()-ROW($CD$130)+1),"")</f>
        <v>0</v>
      </c>
      <c r="CE204">
        <f>IFERROR(SMALL(CE47:CE127,ROW()-ROW($CE$130)+1),"")</f>
        <v>0</v>
      </c>
      <c r="CF204">
        <f>IFERROR(SMALL(CF47:CF127,ROW()-ROW($CF$130)+1),"")</f>
        <v>0</v>
      </c>
      <c r="CG204">
        <f>IFERROR(SMALL(CG47:CG127,ROW()-ROW($CG$130)+1),"")</f>
        <v>0</v>
      </c>
      <c r="CH204">
        <f>IFERROR(SMALL(CH47:CH127,ROW()-ROW($CH$130)+1),"")</f>
        <v>0</v>
      </c>
      <c r="CI204">
        <f>IFERROR(SMALL(CI47:CI127,ROW()-ROW($CI$130)+1),"")</f>
        <v>0</v>
      </c>
      <c r="CJ204">
        <f>IFERROR(SMALL(CJ47:CJ127,ROW()-ROW($CJ$130)+1),"")</f>
        <v>0</v>
      </c>
      <c r="CK204">
        <f>IFERROR(SMALL(CK47:CK127,ROW()-ROW($CK$130)+1),"")</f>
        <v>0</v>
      </c>
      <c r="CL204">
        <f>IFERROR(SMALL(CL47:CL127,ROW()-ROW($CL$130)+1),"")</f>
        <v>0</v>
      </c>
      <c r="CM204">
        <f>IFERROR(SMALL(CM47:CM127,ROW()-ROW($CM$130)+1),"")</f>
        <v>0</v>
      </c>
      <c r="CN204">
        <f>IFERROR(SMALL(CN47:CN127,ROW()-ROW($CN$130)+1),"")</f>
        <v>0</v>
      </c>
      <c r="CO204">
        <f>IFERROR(SMALL(CO47:CO127,ROW()-ROW($CO$130)+1),"")</f>
        <v>0</v>
      </c>
      <c r="CP204">
        <f>IFERROR(SMALL(CP47:CP127,ROW()-ROW($CP$130)+1),"")</f>
        <v>0</v>
      </c>
      <c r="CQ204">
        <f>IFERROR(SMALL(CQ47:CQ127,ROW()-ROW($CQ$130)+1),"")</f>
        <v>0</v>
      </c>
      <c r="CR204">
        <f>IFERROR(SMALL(CR47:CR127,ROW()-ROW($CR$130)+1),"")</f>
        <v>0</v>
      </c>
      <c r="CS204">
        <f>IFERROR(SMALL(CS47:CS127,ROW()-ROW($CS$130)+1),"")</f>
        <v>0</v>
      </c>
      <c r="CT204">
        <f>IFERROR(SMALL(CT47:CT127,ROW()-ROW($CT$130)+1),"")</f>
        <v>0</v>
      </c>
      <c r="CU204">
        <f>IFERROR(SMALL(CU47:CU127,ROW()-ROW($CU$130)+1),"")</f>
        <v>0</v>
      </c>
      <c r="CV204">
        <f>IFERROR(SMALL(CV47:CV127,ROW()-ROW($CV$130)+1),"")</f>
        <v>0</v>
      </c>
      <c r="CW204">
        <f>IFERROR(SMALL(CW47:CW127,ROW()-ROW($CW$130)+1),"")</f>
        <v>0</v>
      </c>
      <c r="CX204">
        <f>IFERROR(SMALL(CX47:CX127,ROW()-ROW($CX$130)+1),"")</f>
        <v>0</v>
      </c>
      <c r="CY204">
        <f>IFERROR(SMALL(CY47:CY127,ROW()-ROW($CY$130)+1),"")</f>
        <v>0</v>
      </c>
      <c r="CZ204">
        <f>IFERROR(SMALL(CZ47:CZ127,ROW()-ROW($CZ$130)+1),"")</f>
        <v>0</v>
      </c>
      <c r="DA204">
        <f>IFERROR(SMALL(DA47:DA127,ROW()-ROW($DA$130)+1),"")</f>
        <v>0</v>
      </c>
      <c r="DB204">
        <f>IFERROR(SMALL(DB47:DB127,ROW()-ROW($DB$130)+1),"")</f>
        <v>0</v>
      </c>
      <c r="DC204">
        <f>IFERROR(SMALL(DC47:DC127,ROW()-ROW($DC$130)+1),"")</f>
        <v>0</v>
      </c>
      <c r="DD204">
        <f>IFERROR(SMALL(DD47:DD127,ROW()-ROW($DD$130)+1),"")</f>
        <v>0</v>
      </c>
      <c r="DE204">
        <f>IFERROR(SMALL(DE47:DE127,ROW()-ROW($DE$130)+1),"")</f>
        <v>0</v>
      </c>
      <c r="DF204">
        <f>IFERROR(SMALL(DF47:DF127,ROW()-ROW($DF$130)+1),"")</f>
        <v>0</v>
      </c>
      <c r="DG204">
        <f>IFERROR(SMALL(DG47:DG127,ROW()-ROW($DG$130)+1),"")</f>
        <v>0</v>
      </c>
      <c r="DH204">
        <f>IFERROR(SMALL(DH47:DH127,ROW()-ROW($DH$130)+1),"")</f>
        <v>0</v>
      </c>
      <c r="DI204">
        <f>IFERROR(SMALL(DI47:DI127,ROW()-ROW($DI$130)+1),"")</f>
        <v>0</v>
      </c>
      <c r="DJ204">
        <f>IFERROR(SMALL(DJ47:DJ127,ROW()-ROW($DJ$130)+1),"")</f>
        <v>0</v>
      </c>
      <c r="DK204">
        <f>IFERROR(SMALL(DK47:DK127,ROW()-ROW($DK$130)+1),"")</f>
        <v>0</v>
      </c>
      <c r="DL204">
        <f>IFERROR(SMALL(DL47:DL127,ROW()-ROW($DL$130)+1),"")</f>
        <v>0</v>
      </c>
      <c r="DM204">
        <f>IFERROR(SMALL(DM47:DM127,ROW()-ROW($DM$130)+1),"")</f>
        <v>0</v>
      </c>
      <c r="DN204">
        <f>IFERROR(SMALL(DN47:DN127,ROW()-ROW($DN$130)+1),"")</f>
        <v>0</v>
      </c>
      <c r="DO204">
        <f>IFERROR(SMALL(DO47:DO127,ROW()-ROW($DO$130)+1),"")</f>
        <v>0</v>
      </c>
      <c r="DP204">
        <f>IFERROR(SMALL(DP47:DP127,ROW()-ROW($DP$130)+1),"")</f>
        <v>0</v>
      </c>
      <c r="DQ204">
        <f>IFERROR(SMALL(DQ47:DQ127,ROW()-ROW($DQ$130)+1),"")</f>
        <v>0</v>
      </c>
      <c r="DR204">
        <f>IFERROR(SMALL(DR47:DR127,ROW()-ROW($DR$130)+1),"")</f>
        <v>0</v>
      </c>
      <c r="DS204">
        <f>IFERROR(SMALL(DS47:DS127,ROW()-ROW($DS$130)+1),"")</f>
        <v>0</v>
      </c>
      <c r="DT204">
        <f>IFERROR(SMALL(DT47:DT127,ROW()-ROW($DT$130)+1),"")</f>
        <v>0</v>
      </c>
      <c r="DU204">
        <f>IFERROR(SMALL(DU47:DU127,ROW()-ROW($DU$130)+1),"")</f>
        <v>0</v>
      </c>
      <c r="DV204">
        <f>IFERROR(SMALL(DV47:DV127,ROW()-ROW($DV$130)+1),"")</f>
        <v>0</v>
      </c>
      <c r="DW204">
        <f>IFERROR(SMALL(DW47:DW127,ROW()-ROW($DW$130)+1),"")</f>
        <v>0</v>
      </c>
      <c r="DX204">
        <f>IFERROR(SMALL(DX47:DX127,ROW()-ROW($DX$130)+1),"")</f>
        <v>0</v>
      </c>
      <c r="DY204">
        <f>IFERROR(SMALL(DY47:DY127,ROW()-ROW($DY$130)+1),"")</f>
        <v>0</v>
      </c>
      <c r="DZ204">
        <f>IFERROR(SMALL(DZ47:DZ127,ROW()-ROW($DZ$130)+1),"")</f>
        <v>0</v>
      </c>
      <c r="EA204">
        <f>IFERROR(SMALL(EA47:EA127,ROW()-ROW($EA$130)+1),"")</f>
        <v>0</v>
      </c>
      <c r="EB204">
        <f>IFERROR(SMALL(EB47:EB127,ROW()-ROW($EB$130)+1),"")</f>
        <v>0</v>
      </c>
      <c r="EC204">
        <f>IFERROR(SMALL(EC47:EC127,ROW()-ROW($EC$130)+1),"")</f>
        <v>0</v>
      </c>
      <c r="ED204">
        <f>IFERROR(SMALL(ED47:ED127,ROW()-ROW($ED$130)+1),"")</f>
        <v>0</v>
      </c>
    </row>
    <row r="205" spans="5:134">
      <c r="E205">
        <f>IFERROR(SMALL(E47:E127,ROW()-ROW($E$130)+1),"")</f>
        <v>0</v>
      </c>
      <c r="F205">
        <f>IFERROR(SMALL(F47:F127,ROW()-ROW($F$130)+1),"")</f>
        <v>0</v>
      </c>
      <c r="G205">
        <f>IFERROR(SMALL(G47:G127,ROW()-ROW($G$130)+1),"")</f>
        <v>0</v>
      </c>
      <c r="H205">
        <f>IFERROR(SMALL(H47:H127,ROW()-ROW($H$130)+1),"")</f>
        <v>0</v>
      </c>
      <c r="I205">
        <f>IFERROR(SMALL(I47:I127,ROW()-ROW($I$130)+1),"")</f>
        <v>0</v>
      </c>
      <c r="J205">
        <f>IFERROR(SMALL(J47:J127,ROW()-ROW($J$130)+1),"")</f>
        <v>0</v>
      </c>
      <c r="K205">
        <f>IFERROR(SMALL(K47:K127,ROW()-ROW($K$130)+1),"")</f>
        <v>0</v>
      </c>
      <c r="L205">
        <f>IFERROR(SMALL(L47:L127,ROW()-ROW($L$130)+1),"")</f>
        <v>0</v>
      </c>
      <c r="M205">
        <f>IFERROR(SMALL(M47:M127,ROW()-ROW($M$130)+1),"")</f>
        <v>0</v>
      </c>
      <c r="N205">
        <f>IFERROR(SMALL(N47:N127,ROW()-ROW($N$130)+1),"")</f>
        <v>0</v>
      </c>
      <c r="O205">
        <f>IFERROR(SMALL(O47:O127,ROW()-ROW($O$130)+1),"")</f>
        <v>0</v>
      </c>
      <c r="P205">
        <f>IFERROR(SMALL(P47:P127,ROW()-ROW($P$130)+1),"")</f>
        <v>0</v>
      </c>
      <c r="Q205">
        <f>IFERROR(SMALL(Q47:Q127,ROW()-ROW($Q$130)+1),"")</f>
        <v>0</v>
      </c>
      <c r="R205">
        <f>IFERROR(SMALL(R47:R127,ROW()-ROW($R$130)+1),"")</f>
        <v>0</v>
      </c>
      <c r="S205">
        <f>IFERROR(SMALL(S47:S127,ROW()-ROW($S$130)+1),"")</f>
        <v>0</v>
      </c>
      <c r="T205">
        <f>IFERROR(SMALL(T47:T127,ROW()-ROW($T$130)+1),"")</f>
        <v>0</v>
      </c>
      <c r="U205">
        <f>IFERROR(SMALL(U47:U127,ROW()-ROW($U$130)+1),"")</f>
        <v>0</v>
      </c>
      <c r="V205">
        <f>IFERROR(SMALL(V47:V127,ROW()-ROW($V$130)+1),"")</f>
        <v>0</v>
      </c>
      <c r="W205">
        <f>IFERROR(SMALL(W47:W127,ROW()-ROW($W$130)+1),"")</f>
        <v>0</v>
      </c>
      <c r="X205">
        <f>IFERROR(SMALL(X47:X127,ROW()-ROW($X$130)+1),"")</f>
        <v>0</v>
      </c>
      <c r="Y205">
        <f>IFERROR(SMALL(Y47:Y127,ROW()-ROW($Y$130)+1),"")</f>
        <v>0</v>
      </c>
      <c r="Z205">
        <f>IFERROR(SMALL(Z47:Z127,ROW()-ROW($Z$130)+1),"")</f>
        <v>0</v>
      </c>
      <c r="AA205">
        <f>IFERROR(SMALL(AA47:AA127,ROW()-ROW($AA$130)+1),"")</f>
        <v>0</v>
      </c>
      <c r="AB205">
        <f>IFERROR(SMALL(AB47:AB127,ROW()-ROW($AB$130)+1),"")</f>
        <v>0</v>
      </c>
      <c r="AC205">
        <f>IFERROR(SMALL(AC47:AC127,ROW()-ROW($AC$130)+1),"")</f>
        <v>0</v>
      </c>
      <c r="AD205">
        <f>IFERROR(SMALL(AD47:AD127,ROW()-ROW($AD$130)+1),"")</f>
        <v>0</v>
      </c>
      <c r="AE205">
        <f>IFERROR(SMALL(AE47:AE127,ROW()-ROW($AE$130)+1),"")</f>
        <v>0</v>
      </c>
      <c r="AF205">
        <f>IFERROR(SMALL(AF47:AF127,ROW()-ROW($AF$130)+1),"")</f>
        <v>0</v>
      </c>
      <c r="AG205">
        <f>IFERROR(SMALL(AG47:AG127,ROW()-ROW($AG$130)+1),"")</f>
        <v>0</v>
      </c>
      <c r="AH205">
        <f>IFERROR(SMALL(AH47:AH127,ROW()-ROW($AH$130)+1),"")</f>
        <v>0</v>
      </c>
      <c r="AI205">
        <f>IFERROR(SMALL(AI47:AI127,ROW()-ROW($AI$130)+1),"")</f>
        <v>0</v>
      </c>
      <c r="AJ205">
        <f>IFERROR(SMALL(AJ47:AJ127,ROW()-ROW($AJ$130)+1),"")</f>
        <v>0</v>
      </c>
      <c r="AK205">
        <f>IFERROR(SMALL(AK47:AK127,ROW()-ROW($AK$130)+1),"")</f>
        <v>0</v>
      </c>
      <c r="AL205">
        <f>IFERROR(SMALL(AL47:AL127,ROW()-ROW($AL$130)+1),"")</f>
        <v>0</v>
      </c>
      <c r="AM205">
        <f>IFERROR(SMALL(AM47:AM127,ROW()-ROW($AM$130)+1),"")</f>
        <v>0</v>
      </c>
      <c r="AN205">
        <f>IFERROR(SMALL(AN47:AN127,ROW()-ROW($AN$130)+1),"")</f>
        <v>0</v>
      </c>
      <c r="AO205">
        <f>IFERROR(SMALL(AO47:AO127,ROW()-ROW($AO$130)+1),"")</f>
        <v>0</v>
      </c>
      <c r="AP205">
        <f>IFERROR(SMALL(AP47:AP127,ROW()-ROW($AP$130)+1),"")</f>
        <v>0</v>
      </c>
      <c r="AQ205">
        <f>IFERROR(SMALL(AQ47:AQ127,ROW()-ROW($AQ$130)+1),"")</f>
        <v>0</v>
      </c>
      <c r="AR205">
        <f>IFERROR(SMALL(AR47:AR127,ROW()-ROW($AR$130)+1),"")</f>
        <v>0</v>
      </c>
      <c r="AS205">
        <f>IFERROR(SMALL(AS47:AS127,ROW()-ROW($AS$130)+1),"")</f>
        <v>0</v>
      </c>
      <c r="AT205">
        <f>IFERROR(SMALL(AT47:AT127,ROW()-ROW($AT$130)+1),"")</f>
        <v>0</v>
      </c>
      <c r="AU205">
        <f>IFERROR(SMALL(AU47:AU127,ROW()-ROW($AU$130)+1),"")</f>
        <v>0</v>
      </c>
      <c r="AV205">
        <f>IFERROR(SMALL(AV47:AV127,ROW()-ROW($AV$130)+1),"")</f>
        <v>0</v>
      </c>
      <c r="AW205">
        <f>IFERROR(SMALL(AW47:AW127,ROW()-ROW($AW$130)+1),"")</f>
        <v>0</v>
      </c>
      <c r="AX205">
        <f>IFERROR(SMALL(AX47:AX127,ROW()-ROW($AX$130)+1),"")</f>
        <v>0</v>
      </c>
      <c r="AY205">
        <f>IFERROR(SMALL(AY47:AY127,ROW()-ROW($AY$130)+1),"")</f>
        <v>0</v>
      </c>
      <c r="AZ205">
        <f>IFERROR(SMALL(AZ47:AZ127,ROW()-ROW($AZ$130)+1),"")</f>
        <v>0</v>
      </c>
      <c r="BA205">
        <f>IFERROR(SMALL(BA47:BA127,ROW()-ROW($BA$130)+1),"")</f>
        <v>0</v>
      </c>
      <c r="BB205">
        <f>IFERROR(SMALL(BB47:BB127,ROW()-ROW($BB$130)+1),"")</f>
        <v>0</v>
      </c>
      <c r="BC205">
        <f>IFERROR(SMALL(BC47:BC127,ROW()-ROW($BC$130)+1),"")</f>
        <v>0</v>
      </c>
      <c r="BD205">
        <f>IFERROR(SMALL(BD47:BD127,ROW()-ROW($BD$130)+1),"")</f>
        <v>0</v>
      </c>
      <c r="BE205">
        <f>IFERROR(SMALL(BE47:BE127,ROW()-ROW($BE$130)+1),"")</f>
        <v>0</v>
      </c>
      <c r="BF205">
        <f>IFERROR(SMALL(BF47:BF127,ROW()-ROW($BF$130)+1),"")</f>
        <v>0</v>
      </c>
      <c r="BG205">
        <f>IFERROR(SMALL(BG47:BG127,ROW()-ROW($BG$130)+1),"")</f>
        <v>0</v>
      </c>
      <c r="BH205">
        <f>IFERROR(SMALL(BH47:BH127,ROW()-ROW($BH$130)+1),"")</f>
        <v>0</v>
      </c>
      <c r="BI205">
        <f>IFERROR(SMALL(BI47:BI127,ROW()-ROW($BI$130)+1),"")</f>
        <v>0</v>
      </c>
      <c r="BJ205">
        <f>IFERROR(SMALL(BJ47:BJ127,ROW()-ROW($BJ$130)+1),"")</f>
        <v>0</v>
      </c>
      <c r="BK205">
        <f>IFERROR(SMALL(BK47:BK127,ROW()-ROW($BK$130)+1),"")</f>
        <v>0</v>
      </c>
      <c r="BL205">
        <f>IFERROR(SMALL(BL47:BL127,ROW()-ROW($BL$130)+1),"")</f>
        <v>0</v>
      </c>
      <c r="BM205">
        <f>IFERROR(SMALL(BM47:BM127,ROW()-ROW($BM$130)+1),"")</f>
        <v>0</v>
      </c>
      <c r="BN205">
        <f>IFERROR(SMALL(BN47:BN127,ROW()-ROW($BN$130)+1),"")</f>
        <v>0</v>
      </c>
      <c r="BO205">
        <f>IFERROR(SMALL(BO47:BO127,ROW()-ROW($BO$130)+1),"")</f>
        <v>0</v>
      </c>
      <c r="BP205">
        <f>IFERROR(SMALL(BP47:BP127,ROW()-ROW($BP$130)+1),"")</f>
        <v>0</v>
      </c>
      <c r="BS205">
        <f>IFERROR(SMALL(BS47:BS127,ROW()-ROW($BS$130)+1),"")</f>
        <v>0</v>
      </c>
      <c r="BT205">
        <f>IFERROR(SMALL(BT47:BT127,ROW()-ROW($BT$130)+1),"")</f>
        <v>0</v>
      </c>
      <c r="BU205">
        <f>IFERROR(SMALL(BU47:BU127,ROW()-ROW($BU$130)+1),"")</f>
        <v>0</v>
      </c>
      <c r="BV205">
        <f>IFERROR(SMALL(BV47:BV127,ROW()-ROW($BV$130)+1),"")</f>
        <v>0</v>
      </c>
      <c r="BW205">
        <f>IFERROR(SMALL(BW47:BW127,ROW()-ROW($BW$130)+1),"")</f>
        <v>0</v>
      </c>
      <c r="BX205">
        <f>IFERROR(SMALL(BX47:BX127,ROW()-ROW($BX$130)+1),"")</f>
        <v>0</v>
      </c>
      <c r="BY205">
        <f>IFERROR(SMALL(BY47:BY127,ROW()-ROW($BY$130)+1),"")</f>
        <v>0</v>
      </c>
      <c r="BZ205">
        <f>IFERROR(SMALL(BZ47:BZ127,ROW()-ROW($BZ$130)+1),"")</f>
        <v>0</v>
      </c>
      <c r="CA205">
        <f>IFERROR(SMALL(CA47:CA127,ROW()-ROW($CA$130)+1),"")</f>
        <v>0</v>
      </c>
      <c r="CB205">
        <f>IFERROR(SMALL(CB47:CB127,ROW()-ROW($CB$130)+1),"")</f>
        <v>0</v>
      </c>
      <c r="CC205">
        <f>IFERROR(SMALL(CC47:CC127,ROW()-ROW($CC$130)+1),"")</f>
        <v>0</v>
      </c>
      <c r="CD205">
        <f>IFERROR(SMALL(CD47:CD127,ROW()-ROW($CD$130)+1),"")</f>
        <v>0</v>
      </c>
      <c r="CE205">
        <f>IFERROR(SMALL(CE47:CE127,ROW()-ROW($CE$130)+1),"")</f>
        <v>0</v>
      </c>
      <c r="CF205">
        <f>IFERROR(SMALL(CF47:CF127,ROW()-ROW($CF$130)+1),"")</f>
        <v>0</v>
      </c>
      <c r="CG205">
        <f>IFERROR(SMALL(CG47:CG127,ROW()-ROW($CG$130)+1),"")</f>
        <v>0</v>
      </c>
      <c r="CH205">
        <f>IFERROR(SMALL(CH47:CH127,ROW()-ROW($CH$130)+1),"")</f>
        <v>0</v>
      </c>
      <c r="CI205">
        <f>IFERROR(SMALL(CI47:CI127,ROW()-ROW($CI$130)+1),"")</f>
        <v>0</v>
      </c>
      <c r="CJ205">
        <f>IFERROR(SMALL(CJ47:CJ127,ROW()-ROW($CJ$130)+1),"")</f>
        <v>0</v>
      </c>
      <c r="CK205">
        <f>IFERROR(SMALL(CK47:CK127,ROW()-ROW($CK$130)+1),"")</f>
        <v>0</v>
      </c>
      <c r="CL205">
        <f>IFERROR(SMALL(CL47:CL127,ROW()-ROW($CL$130)+1),"")</f>
        <v>0</v>
      </c>
      <c r="CM205">
        <f>IFERROR(SMALL(CM47:CM127,ROW()-ROW($CM$130)+1),"")</f>
        <v>0</v>
      </c>
      <c r="CN205">
        <f>IFERROR(SMALL(CN47:CN127,ROW()-ROW($CN$130)+1),"")</f>
        <v>0</v>
      </c>
      <c r="CO205">
        <f>IFERROR(SMALL(CO47:CO127,ROW()-ROW($CO$130)+1),"")</f>
        <v>0</v>
      </c>
      <c r="CP205">
        <f>IFERROR(SMALL(CP47:CP127,ROW()-ROW($CP$130)+1),"")</f>
        <v>0</v>
      </c>
      <c r="CQ205">
        <f>IFERROR(SMALL(CQ47:CQ127,ROW()-ROW($CQ$130)+1),"")</f>
        <v>0</v>
      </c>
      <c r="CR205">
        <f>IFERROR(SMALL(CR47:CR127,ROW()-ROW($CR$130)+1),"")</f>
        <v>0</v>
      </c>
      <c r="CS205">
        <f>IFERROR(SMALL(CS47:CS127,ROW()-ROW($CS$130)+1),"")</f>
        <v>0</v>
      </c>
      <c r="CT205">
        <f>IFERROR(SMALL(CT47:CT127,ROW()-ROW($CT$130)+1),"")</f>
        <v>0</v>
      </c>
      <c r="CU205">
        <f>IFERROR(SMALL(CU47:CU127,ROW()-ROW($CU$130)+1),"")</f>
        <v>0</v>
      </c>
      <c r="CV205">
        <f>IFERROR(SMALL(CV47:CV127,ROW()-ROW($CV$130)+1),"")</f>
        <v>0</v>
      </c>
      <c r="CW205">
        <f>IFERROR(SMALL(CW47:CW127,ROW()-ROW($CW$130)+1),"")</f>
        <v>0</v>
      </c>
      <c r="CX205">
        <f>IFERROR(SMALL(CX47:CX127,ROW()-ROW($CX$130)+1),"")</f>
        <v>0</v>
      </c>
      <c r="CY205">
        <f>IFERROR(SMALL(CY47:CY127,ROW()-ROW($CY$130)+1),"")</f>
        <v>0</v>
      </c>
      <c r="CZ205">
        <f>IFERROR(SMALL(CZ47:CZ127,ROW()-ROW($CZ$130)+1),"")</f>
        <v>0</v>
      </c>
      <c r="DA205">
        <f>IFERROR(SMALL(DA47:DA127,ROW()-ROW($DA$130)+1),"")</f>
        <v>0</v>
      </c>
      <c r="DB205">
        <f>IFERROR(SMALL(DB47:DB127,ROW()-ROW($DB$130)+1),"")</f>
        <v>0</v>
      </c>
      <c r="DC205">
        <f>IFERROR(SMALL(DC47:DC127,ROW()-ROW($DC$130)+1),"")</f>
        <v>0</v>
      </c>
      <c r="DD205">
        <f>IFERROR(SMALL(DD47:DD127,ROW()-ROW($DD$130)+1),"")</f>
        <v>0</v>
      </c>
      <c r="DE205">
        <f>IFERROR(SMALL(DE47:DE127,ROW()-ROW($DE$130)+1),"")</f>
        <v>0</v>
      </c>
      <c r="DF205">
        <f>IFERROR(SMALL(DF47:DF127,ROW()-ROW($DF$130)+1),"")</f>
        <v>0</v>
      </c>
      <c r="DG205">
        <f>IFERROR(SMALL(DG47:DG127,ROW()-ROW($DG$130)+1),"")</f>
        <v>0</v>
      </c>
      <c r="DH205">
        <f>IFERROR(SMALL(DH47:DH127,ROW()-ROW($DH$130)+1),"")</f>
        <v>0</v>
      </c>
      <c r="DI205">
        <f>IFERROR(SMALL(DI47:DI127,ROW()-ROW($DI$130)+1),"")</f>
        <v>0</v>
      </c>
      <c r="DJ205">
        <f>IFERROR(SMALL(DJ47:DJ127,ROW()-ROW($DJ$130)+1),"")</f>
        <v>0</v>
      </c>
      <c r="DK205">
        <f>IFERROR(SMALL(DK47:DK127,ROW()-ROW($DK$130)+1),"")</f>
        <v>0</v>
      </c>
      <c r="DL205">
        <f>IFERROR(SMALL(DL47:DL127,ROW()-ROW($DL$130)+1),"")</f>
        <v>0</v>
      </c>
      <c r="DM205">
        <f>IFERROR(SMALL(DM47:DM127,ROW()-ROW($DM$130)+1),"")</f>
        <v>0</v>
      </c>
      <c r="DN205">
        <f>IFERROR(SMALL(DN47:DN127,ROW()-ROW($DN$130)+1),"")</f>
        <v>0</v>
      </c>
      <c r="DO205">
        <f>IFERROR(SMALL(DO47:DO127,ROW()-ROW($DO$130)+1),"")</f>
        <v>0</v>
      </c>
      <c r="DP205">
        <f>IFERROR(SMALL(DP47:DP127,ROW()-ROW($DP$130)+1),"")</f>
        <v>0</v>
      </c>
      <c r="DQ205">
        <f>IFERROR(SMALL(DQ47:DQ127,ROW()-ROW($DQ$130)+1),"")</f>
        <v>0</v>
      </c>
      <c r="DR205">
        <f>IFERROR(SMALL(DR47:DR127,ROW()-ROW($DR$130)+1),"")</f>
        <v>0</v>
      </c>
      <c r="DS205">
        <f>IFERROR(SMALL(DS47:DS127,ROW()-ROW($DS$130)+1),"")</f>
        <v>0</v>
      </c>
      <c r="DT205">
        <f>IFERROR(SMALL(DT47:DT127,ROW()-ROW($DT$130)+1),"")</f>
        <v>0</v>
      </c>
      <c r="DU205">
        <f>IFERROR(SMALL(DU47:DU127,ROW()-ROW($DU$130)+1),"")</f>
        <v>0</v>
      </c>
      <c r="DV205">
        <f>IFERROR(SMALL(DV47:DV127,ROW()-ROW($DV$130)+1),"")</f>
        <v>0</v>
      </c>
      <c r="DW205">
        <f>IFERROR(SMALL(DW47:DW127,ROW()-ROW($DW$130)+1),"")</f>
        <v>0</v>
      </c>
      <c r="DX205">
        <f>IFERROR(SMALL(DX47:DX127,ROW()-ROW($DX$130)+1),"")</f>
        <v>0</v>
      </c>
      <c r="DY205">
        <f>IFERROR(SMALL(DY47:DY127,ROW()-ROW($DY$130)+1),"")</f>
        <v>0</v>
      </c>
      <c r="DZ205">
        <f>IFERROR(SMALL(DZ47:DZ127,ROW()-ROW($DZ$130)+1),"")</f>
        <v>0</v>
      </c>
      <c r="EA205">
        <f>IFERROR(SMALL(EA47:EA127,ROW()-ROW($EA$130)+1),"")</f>
        <v>0</v>
      </c>
      <c r="EB205">
        <f>IFERROR(SMALL(EB47:EB127,ROW()-ROW($EB$130)+1),"")</f>
        <v>0</v>
      </c>
      <c r="EC205">
        <f>IFERROR(SMALL(EC47:EC127,ROW()-ROW($EC$130)+1),"")</f>
        <v>0</v>
      </c>
      <c r="ED205">
        <f>IFERROR(SMALL(ED47:ED127,ROW()-ROW($ED$130)+1),"")</f>
        <v>0</v>
      </c>
    </row>
    <row r="206" spans="5:134">
      <c r="E206">
        <f>IFERROR(SMALL(E47:E127,ROW()-ROW($E$130)+1),"")</f>
        <v>0</v>
      </c>
      <c r="F206">
        <f>IFERROR(SMALL(F47:F127,ROW()-ROW($F$130)+1),"")</f>
        <v>0</v>
      </c>
      <c r="G206">
        <f>IFERROR(SMALL(G47:G127,ROW()-ROW($G$130)+1),"")</f>
        <v>0</v>
      </c>
      <c r="H206">
        <f>IFERROR(SMALL(H47:H127,ROW()-ROW($H$130)+1),"")</f>
        <v>0</v>
      </c>
      <c r="I206">
        <f>IFERROR(SMALL(I47:I127,ROW()-ROW($I$130)+1),"")</f>
        <v>0</v>
      </c>
      <c r="J206">
        <f>IFERROR(SMALL(J47:J127,ROW()-ROW($J$130)+1),"")</f>
        <v>0</v>
      </c>
      <c r="K206">
        <f>IFERROR(SMALL(K47:K127,ROW()-ROW($K$130)+1),"")</f>
        <v>0</v>
      </c>
      <c r="L206">
        <f>IFERROR(SMALL(L47:L127,ROW()-ROW($L$130)+1),"")</f>
        <v>0</v>
      </c>
      <c r="M206">
        <f>IFERROR(SMALL(M47:M127,ROW()-ROW($M$130)+1),"")</f>
        <v>0</v>
      </c>
      <c r="N206">
        <f>IFERROR(SMALL(N47:N127,ROW()-ROW($N$130)+1),"")</f>
        <v>0</v>
      </c>
      <c r="O206">
        <f>IFERROR(SMALL(O47:O127,ROW()-ROW($O$130)+1),"")</f>
        <v>0</v>
      </c>
      <c r="P206">
        <f>IFERROR(SMALL(P47:P127,ROW()-ROW($P$130)+1),"")</f>
        <v>0</v>
      </c>
      <c r="Q206">
        <f>IFERROR(SMALL(Q47:Q127,ROW()-ROW($Q$130)+1),"")</f>
        <v>0</v>
      </c>
      <c r="R206">
        <f>IFERROR(SMALL(R47:R127,ROW()-ROW($R$130)+1),"")</f>
        <v>0</v>
      </c>
      <c r="S206">
        <f>IFERROR(SMALL(S47:S127,ROW()-ROW($S$130)+1),"")</f>
        <v>0</v>
      </c>
      <c r="T206">
        <f>IFERROR(SMALL(T47:T127,ROW()-ROW($T$130)+1),"")</f>
        <v>0</v>
      </c>
      <c r="U206">
        <f>IFERROR(SMALL(U47:U127,ROW()-ROW($U$130)+1),"")</f>
        <v>0</v>
      </c>
      <c r="V206">
        <f>IFERROR(SMALL(V47:V127,ROW()-ROW($V$130)+1),"")</f>
        <v>0</v>
      </c>
      <c r="W206">
        <f>IFERROR(SMALL(W47:W127,ROW()-ROW($W$130)+1),"")</f>
        <v>0</v>
      </c>
      <c r="X206">
        <f>IFERROR(SMALL(X47:X127,ROW()-ROW($X$130)+1),"")</f>
        <v>0</v>
      </c>
      <c r="Y206">
        <f>IFERROR(SMALL(Y47:Y127,ROW()-ROW($Y$130)+1),"")</f>
        <v>0</v>
      </c>
      <c r="Z206">
        <f>IFERROR(SMALL(Z47:Z127,ROW()-ROW($Z$130)+1),"")</f>
        <v>0</v>
      </c>
      <c r="AA206">
        <f>IFERROR(SMALL(AA47:AA127,ROW()-ROW($AA$130)+1),"")</f>
        <v>0</v>
      </c>
      <c r="AB206">
        <f>IFERROR(SMALL(AB47:AB127,ROW()-ROW($AB$130)+1),"")</f>
        <v>0</v>
      </c>
      <c r="AC206">
        <f>IFERROR(SMALL(AC47:AC127,ROW()-ROW($AC$130)+1),"")</f>
        <v>0</v>
      </c>
      <c r="AD206">
        <f>IFERROR(SMALL(AD47:AD127,ROW()-ROW($AD$130)+1),"")</f>
        <v>0</v>
      </c>
      <c r="AE206">
        <f>IFERROR(SMALL(AE47:AE127,ROW()-ROW($AE$130)+1),"")</f>
        <v>0</v>
      </c>
      <c r="AF206">
        <f>IFERROR(SMALL(AF47:AF127,ROW()-ROW($AF$130)+1),"")</f>
        <v>0</v>
      </c>
      <c r="AG206">
        <f>IFERROR(SMALL(AG47:AG127,ROW()-ROW($AG$130)+1),"")</f>
        <v>0</v>
      </c>
      <c r="AH206">
        <f>IFERROR(SMALL(AH47:AH127,ROW()-ROW($AH$130)+1),"")</f>
        <v>0</v>
      </c>
      <c r="AI206">
        <f>IFERROR(SMALL(AI47:AI127,ROW()-ROW($AI$130)+1),"")</f>
        <v>0</v>
      </c>
      <c r="AJ206">
        <f>IFERROR(SMALL(AJ47:AJ127,ROW()-ROW($AJ$130)+1),"")</f>
        <v>0</v>
      </c>
      <c r="AK206">
        <f>IFERROR(SMALL(AK47:AK127,ROW()-ROW($AK$130)+1),"")</f>
        <v>0</v>
      </c>
      <c r="AL206">
        <f>IFERROR(SMALL(AL47:AL127,ROW()-ROW($AL$130)+1),"")</f>
        <v>0</v>
      </c>
      <c r="AM206">
        <f>IFERROR(SMALL(AM47:AM127,ROW()-ROW($AM$130)+1),"")</f>
        <v>0</v>
      </c>
      <c r="AN206">
        <f>IFERROR(SMALL(AN47:AN127,ROW()-ROW($AN$130)+1),"")</f>
        <v>0</v>
      </c>
      <c r="AO206">
        <f>IFERROR(SMALL(AO47:AO127,ROW()-ROW($AO$130)+1),"")</f>
        <v>0</v>
      </c>
      <c r="AP206">
        <f>IFERROR(SMALL(AP47:AP127,ROW()-ROW($AP$130)+1),"")</f>
        <v>0</v>
      </c>
      <c r="AQ206">
        <f>IFERROR(SMALL(AQ47:AQ127,ROW()-ROW($AQ$130)+1),"")</f>
        <v>0</v>
      </c>
      <c r="AR206">
        <f>IFERROR(SMALL(AR47:AR127,ROW()-ROW($AR$130)+1),"")</f>
        <v>0</v>
      </c>
      <c r="AS206">
        <f>IFERROR(SMALL(AS47:AS127,ROW()-ROW($AS$130)+1),"")</f>
        <v>0</v>
      </c>
      <c r="AT206">
        <f>IFERROR(SMALL(AT47:AT127,ROW()-ROW($AT$130)+1),"")</f>
        <v>0</v>
      </c>
      <c r="AU206">
        <f>IFERROR(SMALL(AU47:AU127,ROW()-ROW($AU$130)+1),"")</f>
        <v>0</v>
      </c>
      <c r="AV206">
        <f>IFERROR(SMALL(AV47:AV127,ROW()-ROW($AV$130)+1),"")</f>
        <v>0</v>
      </c>
      <c r="AW206">
        <f>IFERROR(SMALL(AW47:AW127,ROW()-ROW($AW$130)+1),"")</f>
        <v>0</v>
      </c>
      <c r="AX206">
        <f>IFERROR(SMALL(AX47:AX127,ROW()-ROW($AX$130)+1),"")</f>
        <v>0</v>
      </c>
      <c r="AY206">
        <f>IFERROR(SMALL(AY47:AY127,ROW()-ROW($AY$130)+1),"")</f>
        <v>0</v>
      </c>
      <c r="AZ206">
        <f>IFERROR(SMALL(AZ47:AZ127,ROW()-ROW($AZ$130)+1),"")</f>
        <v>0</v>
      </c>
      <c r="BA206">
        <f>IFERROR(SMALL(BA47:BA127,ROW()-ROW($BA$130)+1),"")</f>
        <v>0</v>
      </c>
      <c r="BB206">
        <f>IFERROR(SMALL(BB47:BB127,ROW()-ROW($BB$130)+1),"")</f>
        <v>0</v>
      </c>
      <c r="BC206">
        <f>IFERROR(SMALL(BC47:BC127,ROW()-ROW($BC$130)+1),"")</f>
        <v>0</v>
      </c>
      <c r="BD206">
        <f>IFERROR(SMALL(BD47:BD127,ROW()-ROW($BD$130)+1),"")</f>
        <v>0</v>
      </c>
      <c r="BE206">
        <f>IFERROR(SMALL(BE47:BE127,ROW()-ROW($BE$130)+1),"")</f>
        <v>0</v>
      </c>
      <c r="BF206">
        <f>IFERROR(SMALL(BF47:BF127,ROW()-ROW($BF$130)+1),"")</f>
        <v>0</v>
      </c>
      <c r="BG206">
        <f>IFERROR(SMALL(BG47:BG127,ROW()-ROW($BG$130)+1),"")</f>
        <v>0</v>
      </c>
      <c r="BH206">
        <f>IFERROR(SMALL(BH47:BH127,ROW()-ROW($BH$130)+1),"")</f>
        <v>0</v>
      </c>
      <c r="BI206">
        <f>IFERROR(SMALL(BI47:BI127,ROW()-ROW($BI$130)+1),"")</f>
        <v>0</v>
      </c>
      <c r="BJ206">
        <f>IFERROR(SMALL(BJ47:BJ127,ROW()-ROW($BJ$130)+1),"")</f>
        <v>0</v>
      </c>
      <c r="BK206">
        <f>IFERROR(SMALL(BK47:BK127,ROW()-ROW($BK$130)+1),"")</f>
        <v>0</v>
      </c>
      <c r="BL206">
        <f>IFERROR(SMALL(BL47:BL127,ROW()-ROW($BL$130)+1),"")</f>
        <v>0</v>
      </c>
      <c r="BM206">
        <f>IFERROR(SMALL(BM47:BM127,ROW()-ROW($BM$130)+1),"")</f>
        <v>0</v>
      </c>
      <c r="BN206">
        <f>IFERROR(SMALL(BN47:BN127,ROW()-ROW($BN$130)+1),"")</f>
        <v>0</v>
      </c>
      <c r="BO206">
        <f>IFERROR(SMALL(BO47:BO127,ROW()-ROW($BO$130)+1),"")</f>
        <v>0</v>
      </c>
      <c r="BP206">
        <f>IFERROR(SMALL(BP47:BP127,ROW()-ROW($BP$130)+1),"")</f>
        <v>0</v>
      </c>
      <c r="BS206">
        <f>IFERROR(SMALL(BS47:BS127,ROW()-ROW($BS$130)+1),"")</f>
        <v>0</v>
      </c>
      <c r="BT206">
        <f>IFERROR(SMALL(BT47:BT127,ROW()-ROW($BT$130)+1),"")</f>
        <v>0</v>
      </c>
      <c r="BU206">
        <f>IFERROR(SMALL(BU47:BU127,ROW()-ROW($BU$130)+1),"")</f>
        <v>0</v>
      </c>
      <c r="BV206">
        <f>IFERROR(SMALL(BV47:BV127,ROW()-ROW($BV$130)+1),"")</f>
        <v>0</v>
      </c>
      <c r="BW206">
        <f>IFERROR(SMALL(BW47:BW127,ROW()-ROW($BW$130)+1),"")</f>
        <v>0</v>
      </c>
      <c r="BX206">
        <f>IFERROR(SMALL(BX47:BX127,ROW()-ROW($BX$130)+1),"")</f>
        <v>0</v>
      </c>
      <c r="BY206">
        <f>IFERROR(SMALL(BY47:BY127,ROW()-ROW($BY$130)+1),"")</f>
        <v>0</v>
      </c>
      <c r="BZ206">
        <f>IFERROR(SMALL(BZ47:BZ127,ROW()-ROW($BZ$130)+1),"")</f>
        <v>0</v>
      </c>
      <c r="CA206">
        <f>IFERROR(SMALL(CA47:CA127,ROW()-ROW($CA$130)+1),"")</f>
        <v>0</v>
      </c>
      <c r="CB206">
        <f>IFERROR(SMALL(CB47:CB127,ROW()-ROW($CB$130)+1),"")</f>
        <v>0</v>
      </c>
      <c r="CC206">
        <f>IFERROR(SMALL(CC47:CC127,ROW()-ROW($CC$130)+1),"")</f>
        <v>0</v>
      </c>
      <c r="CD206">
        <f>IFERROR(SMALL(CD47:CD127,ROW()-ROW($CD$130)+1),"")</f>
        <v>0</v>
      </c>
      <c r="CE206">
        <f>IFERROR(SMALL(CE47:CE127,ROW()-ROW($CE$130)+1),"")</f>
        <v>0</v>
      </c>
      <c r="CF206">
        <f>IFERROR(SMALL(CF47:CF127,ROW()-ROW($CF$130)+1),"")</f>
        <v>0</v>
      </c>
      <c r="CG206">
        <f>IFERROR(SMALL(CG47:CG127,ROW()-ROW($CG$130)+1),"")</f>
        <v>0</v>
      </c>
      <c r="CH206">
        <f>IFERROR(SMALL(CH47:CH127,ROW()-ROW($CH$130)+1),"")</f>
        <v>0</v>
      </c>
      <c r="CI206">
        <f>IFERROR(SMALL(CI47:CI127,ROW()-ROW($CI$130)+1),"")</f>
        <v>0</v>
      </c>
      <c r="CJ206">
        <f>IFERROR(SMALL(CJ47:CJ127,ROW()-ROW($CJ$130)+1),"")</f>
        <v>0</v>
      </c>
      <c r="CK206">
        <f>IFERROR(SMALL(CK47:CK127,ROW()-ROW($CK$130)+1),"")</f>
        <v>0</v>
      </c>
      <c r="CL206">
        <f>IFERROR(SMALL(CL47:CL127,ROW()-ROW($CL$130)+1),"")</f>
        <v>0</v>
      </c>
      <c r="CM206">
        <f>IFERROR(SMALL(CM47:CM127,ROW()-ROW($CM$130)+1),"")</f>
        <v>0</v>
      </c>
      <c r="CN206">
        <f>IFERROR(SMALL(CN47:CN127,ROW()-ROW($CN$130)+1),"")</f>
        <v>0</v>
      </c>
      <c r="CO206">
        <f>IFERROR(SMALL(CO47:CO127,ROW()-ROW($CO$130)+1),"")</f>
        <v>0</v>
      </c>
      <c r="CP206">
        <f>IFERROR(SMALL(CP47:CP127,ROW()-ROW($CP$130)+1),"")</f>
        <v>0</v>
      </c>
      <c r="CQ206">
        <f>IFERROR(SMALL(CQ47:CQ127,ROW()-ROW($CQ$130)+1),"")</f>
        <v>0</v>
      </c>
      <c r="CR206">
        <f>IFERROR(SMALL(CR47:CR127,ROW()-ROW($CR$130)+1),"")</f>
        <v>0</v>
      </c>
      <c r="CS206">
        <f>IFERROR(SMALL(CS47:CS127,ROW()-ROW($CS$130)+1),"")</f>
        <v>0</v>
      </c>
      <c r="CT206">
        <f>IFERROR(SMALL(CT47:CT127,ROW()-ROW($CT$130)+1),"")</f>
        <v>0</v>
      </c>
      <c r="CU206">
        <f>IFERROR(SMALL(CU47:CU127,ROW()-ROW($CU$130)+1),"")</f>
        <v>0</v>
      </c>
      <c r="CV206">
        <f>IFERROR(SMALL(CV47:CV127,ROW()-ROW($CV$130)+1),"")</f>
        <v>0</v>
      </c>
      <c r="CW206">
        <f>IFERROR(SMALL(CW47:CW127,ROW()-ROW($CW$130)+1),"")</f>
        <v>0</v>
      </c>
      <c r="CX206">
        <f>IFERROR(SMALL(CX47:CX127,ROW()-ROW($CX$130)+1),"")</f>
        <v>0</v>
      </c>
      <c r="CY206">
        <f>IFERROR(SMALL(CY47:CY127,ROW()-ROW($CY$130)+1),"")</f>
        <v>0</v>
      </c>
      <c r="CZ206">
        <f>IFERROR(SMALL(CZ47:CZ127,ROW()-ROW($CZ$130)+1),"")</f>
        <v>0</v>
      </c>
      <c r="DA206">
        <f>IFERROR(SMALL(DA47:DA127,ROW()-ROW($DA$130)+1),"")</f>
        <v>0</v>
      </c>
      <c r="DB206">
        <f>IFERROR(SMALL(DB47:DB127,ROW()-ROW($DB$130)+1),"")</f>
        <v>0</v>
      </c>
      <c r="DC206">
        <f>IFERROR(SMALL(DC47:DC127,ROW()-ROW($DC$130)+1),"")</f>
        <v>0</v>
      </c>
      <c r="DD206">
        <f>IFERROR(SMALL(DD47:DD127,ROW()-ROW($DD$130)+1),"")</f>
        <v>0</v>
      </c>
      <c r="DE206">
        <f>IFERROR(SMALL(DE47:DE127,ROW()-ROW($DE$130)+1),"")</f>
        <v>0</v>
      </c>
      <c r="DF206">
        <f>IFERROR(SMALL(DF47:DF127,ROW()-ROW($DF$130)+1),"")</f>
        <v>0</v>
      </c>
      <c r="DG206">
        <f>IFERROR(SMALL(DG47:DG127,ROW()-ROW($DG$130)+1),"")</f>
        <v>0</v>
      </c>
      <c r="DH206">
        <f>IFERROR(SMALL(DH47:DH127,ROW()-ROW($DH$130)+1),"")</f>
        <v>0</v>
      </c>
      <c r="DI206">
        <f>IFERROR(SMALL(DI47:DI127,ROW()-ROW($DI$130)+1),"")</f>
        <v>0</v>
      </c>
      <c r="DJ206">
        <f>IFERROR(SMALL(DJ47:DJ127,ROW()-ROW($DJ$130)+1),"")</f>
        <v>0</v>
      </c>
      <c r="DK206">
        <f>IFERROR(SMALL(DK47:DK127,ROW()-ROW($DK$130)+1),"")</f>
        <v>0</v>
      </c>
      <c r="DL206">
        <f>IFERROR(SMALL(DL47:DL127,ROW()-ROW($DL$130)+1),"")</f>
        <v>0</v>
      </c>
      <c r="DM206">
        <f>IFERROR(SMALL(DM47:DM127,ROW()-ROW($DM$130)+1),"")</f>
        <v>0</v>
      </c>
      <c r="DN206">
        <f>IFERROR(SMALL(DN47:DN127,ROW()-ROW($DN$130)+1),"")</f>
        <v>0</v>
      </c>
      <c r="DO206">
        <f>IFERROR(SMALL(DO47:DO127,ROW()-ROW($DO$130)+1),"")</f>
        <v>0</v>
      </c>
      <c r="DP206">
        <f>IFERROR(SMALL(DP47:DP127,ROW()-ROW($DP$130)+1),"")</f>
        <v>0</v>
      </c>
      <c r="DQ206">
        <f>IFERROR(SMALL(DQ47:DQ127,ROW()-ROW($DQ$130)+1),"")</f>
        <v>0</v>
      </c>
      <c r="DR206">
        <f>IFERROR(SMALL(DR47:DR127,ROW()-ROW($DR$130)+1),"")</f>
        <v>0</v>
      </c>
      <c r="DS206">
        <f>IFERROR(SMALL(DS47:DS127,ROW()-ROW($DS$130)+1),"")</f>
        <v>0</v>
      </c>
      <c r="DT206">
        <f>IFERROR(SMALL(DT47:DT127,ROW()-ROW($DT$130)+1),"")</f>
        <v>0</v>
      </c>
      <c r="DU206">
        <f>IFERROR(SMALL(DU47:DU127,ROW()-ROW($DU$130)+1),"")</f>
        <v>0</v>
      </c>
      <c r="DV206">
        <f>IFERROR(SMALL(DV47:DV127,ROW()-ROW($DV$130)+1),"")</f>
        <v>0</v>
      </c>
      <c r="DW206">
        <f>IFERROR(SMALL(DW47:DW127,ROW()-ROW($DW$130)+1),"")</f>
        <v>0</v>
      </c>
      <c r="DX206">
        <f>IFERROR(SMALL(DX47:DX127,ROW()-ROW($DX$130)+1),"")</f>
        <v>0</v>
      </c>
      <c r="DY206">
        <f>IFERROR(SMALL(DY47:DY127,ROW()-ROW($DY$130)+1),"")</f>
        <v>0</v>
      </c>
      <c r="DZ206">
        <f>IFERROR(SMALL(DZ47:DZ127,ROW()-ROW($DZ$130)+1),"")</f>
        <v>0</v>
      </c>
      <c r="EA206">
        <f>IFERROR(SMALL(EA47:EA127,ROW()-ROW($EA$130)+1),"")</f>
        <v>0</v>
      </c>
      <c r="EB206">
        <f>IFERROR(SMALL(EB47:EB127,ROW()-ROW($EB$130)+1),"")</f>
        <v>0</v>
      </c>
      <c r="EC206">
        <f>IFERROR(SMALL(EC47:EC127,ROW()-ROW($EC$130)+1),"")</f>
        <v>0</v>
      </c>
      <c r="ED206">
        <f>IFERROR(SMALL(ED47:ED127,ROW()-ROW($ED$130)+1),"")</f>
        <v>0</v>
      </c>
    </row>
    <row r="207" spans="5:134">
      <c r="E207">
        <f>IFERROR(SMALL(E47:E127,ROW()-ROW($E$130)+1),"")</f>
        <v>0</v>
      </c>
      <c r="F207">
        <f>IFERROR(SMALL(F47:F127,ROW()-ROW($F$130)+1),"")</f>
        <v>0</v>
      </c>
      <c r="G207">
        <f>IFERROR(SMALL(G47:G127,ROW()-ROW($G$130)+1),"")</f>
        <v>0</v>
      </c>
      <c r="H207">
        <f>IFERROR(SMALL(H47:H127,ROW()-ROW($H$130)+1),"")</f>
        <v>0</v>
      </c>
      <c r="I207">
        <f>IFERROR(SMALL(I47:I127,ROW()-ROW($I$130)+1),"")</f>
        <v>0</v>
      </c>
      <c r="J207">
        <f>IFERROR(SMALL(J47:J127,ROW()-ROW($J$130)+1),"")</f>
        <v>0</v>
      </c>
      <c r="K207">
        <f>IFERROR(SMALL(K47:K127,ROW()-ROW($K$130)+1),"")</f>
        <v>0</v>
      </c>
      <c r="L207">
        <f>IFERROR(SMALL(L47:L127,ROW()-ROW($L$130)+1),"")</f>
        <v>0</v>
      </c>
      <c r="M207">
        <f>IFERROR(SMALL(M47:M127,ROW()-ROW($M$130)+1),"")</f>
        <v>0</v>
      </c>
      <c r="N207">
        <f>IFERROR(SMALL(N47:N127,ROW()-ROW($N$130)+1),"")</f>
        <v>0</v>
      </c>
      <c r="O207">
        <f>IFERROR(SMALL(O47:O127,ROW()-ROW($O$130)+1),"")</f>
        <v>0</v>
      </c>
      <c r="P207">
        <f>IFERROR(SMALL(P47:P127,ROW()-ROW($P$130)+1),"")</f>
        <v>0</v>
      </c>
      <c r="Q207">
        <f>IFERROR(SMALL(Q47:Q127,ROW()-ROW($Q$130)+1),"")</f>
        <v>0</v>
      </c>
      <c r="R207">
        <f>IFERROR(SMALL(R47:R127,ROW()-ROW($R$130)+1),"")</f>
        <v>0</v>
      </c>
      <c r="S207">
        <f>IFERROR(SMALL(S47:S127,ROW()-ROW($S$130)+1),"")</f>
        <v>0</v>
      </c>
      <c r="T207">
        <f>IFERROR(SMALL(T47:T127,ROW()-ROW($T$130)+1),"")</f>
        <v>0</v>
      </c>
      <c r="U207">
        <f>IFERROR(SMALL(U47:U127,ROW()-ROW($U$130)+1),"")</f>
        <v>0</v>
      </c>
      <c r="V207">
        <f>IFERROR(SMALL(V47:V127,ROW()-ROW($V$130)+1),"")</f>
        <v>0</v>
      </c>
      <c r="W207">
        <f>IFERROR(SMALL(W47:W127,ROW()-ROW($W$130)+1),"")</f>
        <v>0</v>
      </c>
      <c r="X207">
        <f>IFERROR(SMALL(X47:X127,ROW()-ROW($X$130)+1),"")</f>
        <v>0</v>
      </c>
      <c r="Y207">
        <f>IFERROR(SMALL(Y47:Y127,ROW()-ROW($Y$130)+1),"")</f>
        <v>0</v>
      </c>
      <c r="Z207">
        <f>IFERROR(SMALL(Z47:Z127,ROW()-ROW($Z$130)+1),"")</f>
        <v>0</v>
      </c>
      <c r="AA207">
        <f>IFERROR(SMALL(AA47:AA127,ROW()-ROW($AA$130)+1),"")</f>
        <v>0</v>
      </c>
      <c r="AB207">
        <f>IFERROR(SMALL(AB47:AB127,ROW()-ROW($AB$130)+1),"")</f>
        <v>0</v>
      </c>
      <c r="AC207">
        <f>IFERROR(SMALL(AC47:AC127,ROW()-ROW($AC$130)+1),"")</f>
        <v>0</v>
      </c>
      <c r="AD207">
        <f>IFERROR(SMALL(AD47:AD127,ROW()-ROW($AD$130)+1),"")</f>
        <v>0</v>
      </c>
      <c r="AE207">
        <f>IFERROR(SMALL(AE47:AE127,ROW()-ROW($AE$130)+1),"")</f>
        <v>0</v>
      </c>
      <c r="AF207">
        <f>IFERROR(SMALL(AF47:AF127,ROW()-ROW($AF$130)+1),"")</f>
        <v>0</v>
      </c>
      <c r="AG207">
        <f>IFERROR(SMALL(AG47:AG127,ROW()-ROW($AG$130)+1),"")</f>
        <v>0</v>
      </c>
      <c r="AH207">
        <f>IFERROR(SMALL(AH47:AH127,ROW()-ROW($AH$130)+1),"")</f>
        <v>0</v>
      </c>
      <c r="AI207">
        <f>IFERROR(SMALL(AI47:AI127,ROW()-ROW($AI$130)+1),"")</f>
        <v>0</v>
      </c>
      <c r="AJ207">
        <f>IFERROR(SMALL(AJ47:AJ127,ROW()-ROW($AJ$130)+1),"")</f>
        <v>0</v>
      </c>
      <c r="AK207">
        <f>IFERROR(SMALL(AK47:AK127,ROW()-ROW($AK$130)+1),"")</f>
        <v>0</v>
      </c>
      <c r="AL207">
        <f>IFERROR(SMALL(AL47:AL127,ROW()-ROW($AL$130)+1),"")</f>
        <v>0</v>
      </c>
      <c r="AM207">
        <f>IFERROR(SMALL(AM47:AM127,ROW()-ROW($AM$130)+1),"")</f>
        <v>0</v>
      </c>
      <c r="AN207">
        <f>IFERROR(SMALL(AN47:AN127,ROW()-ROW($AN$130)+1),"")</f>
        <v>0</v>
      </c>
      <c r="AO207">
        <f>IFERROR(SMALL(AO47:AO127,ROW()-ROW($AO$130)+1),"")</f>
        <v>0</v>
      </c>
      <c r="AP207">
        <f>IFERROR(SMALL(AP47:AP127,ROW()-ROW($AP$130)+1),"")</f>
        <v>0</v>
      </c>
      <c r="AQ207">
        <f>IFERROR(SMALL(AQ47:AQ127,ROW()-ROW($AQ$130)+1),"")</f>
        <v>0</v>
      </c>
      <c r="AR207">
        <f>IFERROR(SMALL(AR47:AR127,ROW()-ROW($AR$130)+1),"")</f>
        <v>0</v>
      </c>
      <c r="AS207">
        <f>IFERROR(SMALL(AS47:AS127,ROW()-ROW($AS$130)+1),"")</f>
        <v>0</v>
      </c>
      <c r="AT207">
        <f>IFERROR(SMALL(AT47:AT127,ROW()-ROW($AT$130)+1),"")</f>
        <v>0</v>
      </c>
      <c r="AU207">
        <f>IFERROR(SMALL(AU47:AU127,ROW()-ROW($AU$130)+1),"")</f>
        <v>0</v>
      </c>
      <c r="AV207">
        <f>IFERROR(SMALL(AV47:AV127,ROW()-ROW($AV$130)+1),"")</f>
        <v>0</v>
      </c>
      <c r="AW207">
        <f>IFERROR(SMALL(AW47:AW127,ROW()-ROW($AW$130)+1),"")</f>
        <v>0</v>
      </c>
      <c r="AX207">
        <f>IFERROR(SMALL(AX47:AX127,ROW()-ROW($AX$130)+1),"")</f>
        <v>0</v>
      </c>
      <c r="AY207">
        <f>IFERROR(SMALL(AY47:AY127,ROW()-ROW($AY$130)+1),"")</f>
        <v>0</v>
      </c>
      <c r="AZ207">
        <f>IFERROR(SMALL(AZ47:AZ127,ROW()-ROW($AZ$130)+1),"")</f>
        <v>0</v>
      </c>
      <c r="BA207">
        <f>IFERROR(SMALL(BA47:BA127,ROW()-ROW($BA$130)+1),"")</f>
        <v>0</v>
      </c>
      <c r="BB207">
        <f>IFERROR(SMALL(BB47:BB127,ROW()-ROW($BB$130)+1),"")</f>
        <v>0</v>
      </c>
      <c r="BC207">
        <f>IFERROR(SMALL(BC47:BC127,ROW()-ROW($BC$130)+1),"")</f>
        <v>0</v>
      </c>
      <c r="BD207">
        <f>IFERROR(SMALL(BD47:BD127,ROW()-ROW($BD$130)+1),"")</f>
        <v>0</v>
      </c>
      <c r="BE207">
        <f>IFERROR(SMALL(BE47:BE127,ROW()-ROW($BE$130)+1),"")</f>
        <v>0</v>
      </c>
      <c r="BF207">
        <f>IFERROR(SMALL(BF47:BF127,ROW()-ROW($BF$130)+1),"")</f>
        <v>0</v>
      </c>
      <c r="BG207">
        <f>IFERROR(SMALL(BG47:BG127,ROW()-ROW($BG$130)+1),"")</f>
        <v>0</v>
      </c>
      <c r="BH207">
        <f>IFERROR(SMALL(BH47:BH127,ROW()-ROW($BH$130)+1),"")</f>
        <v>0</v>
      </c>
      <c r="BI207">
        <f>IFERROR(SMALL(BI47:BI127,ROW()-ROW($BI$130)+1),"")</f>
        <v>0</v>
      </c>
      <c r="BJ207">
        <f>IFERROR(SMALL(BJ47:BJ127,ROW()-ROW($BJ$130)+1),"")</f>
        <v>0</v>
      </c>
      <c r="BK207">
        <f>IFERROR(SMALL(BK47:BK127,ROW()-ROW($BK$130)+1),"")</f>
        <v>0</v>
      </c>
      <c r="BL207">
        <f>IFERROR(SMALL(BL47:BL127,ROW()-ROW($BL$130)+1),"")</f>
        <v>0</v>
      </c>
      <c r="BM207">
        <f>IFERROR(SMALL(BM47:BM127,ROW()-ROW($BM$130)+1),"")</f>
        <v>0</v>
      </c>
      <c r="BN207">
        <f>IFERROR(SMALL(BN47:BN127,ROW()-ROW($BN$130)+1),"")</f>
        <v>0</v>
      </c>
      <c r="BO207">
        <f>IFERROR(SMALL(BO47:BO127,ROW()-ROW($BO$130)+1),"")</f>
        <v>0</v>
      </c>
      <c r="BP207">
        <f>IFERROR(SMALL(BP47:BP127,ROW()-ROW($BP$130)+1),"")</f>
        <v>0</v>
      </c>
      <c r="BS207">
        <f>IFERROR(SMALL(BS47:BS127,ROW()-ROW($BS$130)+1),"")</f>
        <v>0</v>
      </c>
      <c r="BT207">
        <f>IFERROR(SMALL(BT47:BT127,ROW()-ROW($BT$130)+1),"")</f>
        <v>0</v>
      </c>
      <c r="BU207">
        <f>IFERROR(SMALL(BU47:BU127,ROW()-ROW($BU$130)+1),"")</f>
        <v>0</v>
      </c>
      <c r="BV207">
        <f>IFERROR(SMALL(BV47:BV127,ROW()-ROW($BV$130)+1),"")</f>
        <v>0</v>
      </c>
      <c r="BW207">
        <f>IFERROR(SMALL(BW47:BW127,ROW()-ROW($BW$130)+1),"")</f>
        <v>0</v>
      </c>
      <c r="BX207">
        <f>IFERROR(SMALL(BX47:BX127,ROW()-ROW($BX$130)+1),"")</f>
        <v>0</v>
      </c>
      <c r="BY207">
        <f>IFERROR(SMALL(BY47:BY127,ROW()-ROW($BY$130)+1),"")</f>
        <v>0</v>
      </c>
      <c r="BZ207">
        <f>IFERROR(SMALL(BZ47:BZ127,ROW()-ROW($BZ$130)+1),"")</f>
        <v>0</v>
      </c>
      <c r="CA207">
        <f>IFERROR(SMALL(CA47:CA127,ROW()-ROW($CA$130)+1),"")</f>
        <v>0</v>
      </c>
      <c r="CB207">
        <f>IFERROR(SMALL(CB47:CB127,ROW()-ROW($CB$130)+1),"")</f>
        <v>0</v>
      </c>
      <c r="CC207">
        <f>IFERROR(SMALL(CC47:CC127,ROW()-ROW($CC$130)+1),"")</f>
        <v>0</v>
      </c>
      <c r="CD207">
        <f>IFERROR(SMALL(CD47:CD127,ROW()-ROW($CD$130)+1),"")</f>
        <v>0</v>
      </c>
      <c r="CE207">
        <f>IFERROR(SMALL(CE47:CE127,ROW()-ROW($CE$130)+1),"")</f>
        <v>0</v>
      </c>
      <c r="CF207">
        <f>IFERROR(SMALL(CF47:CF127,ROW()-ROW($CF$130)+1),"")</f>
        <v>0</v>
      </c>
      <c r="CG207">
        <f>IFERROR(SMALL(CG47:CG127,ROW()-ROW($CG$130)+1),"")</f>
        <v>0</v>
      </c>
      <c r="CH207">
        <f>IFERROR(SMALL(CH47:CH127,ROW()-ROW($CH$130)+1),"")</f>
        <v>0</v>
      </c>
      <c r="CI207">
        <f>IFERROR(SMALL(CI47:CI127,ROW()-ROW($CI$130)+1),"")</f>
        <v>0</v>
      </c>
      <c r="CJ207">
        <f>IFERROR(SMALL(CJ47:CJ127,ROW()-ROW($CJ$130)+1),"")</f>
        <v>0</v>
      </c>
      <c r="CK207">
        <f>IFERROR(SMALL(CK47:CK127,ROW()-ROW($CK$130)+1),"")</f>
        <v>0</v>
      </c>
      <c r="CL207">
        <f>IFERROR(SMALL(CL47:CL127,ROW()-ROW($CL$130)+1),"")</f>
        <v>0</v>
      </c>
      <c r="CM207">
        <f>IFERROR(SMALL(CM47:CM127,ROW()-ROW($CM$130)+1),"")</f>
        <v>0</v>
      </c>
      <c r="CN207">
        <f>IFERROR(SMALL(CN47:CN127,ROW()-ROW($CN$130)+1),"")</f>
        <v>0</v>
      </c>
      <c r="CO207">
        <f>IFERROR(SMALL(CO47:CO127,ROW()-ROW($CO$130)+1),"")</f>
        <v>0</v>
      </c>
      <c r="CP207">
        <f>IFERROR(SMALL(CP47:CP127,ROW()-ROW($CP$130)+1),"")</f>
        <v>0</v>
      </c>
      <c r="CQ207">
        <f>IFERROR(SMALL(CQ47:CQ127,ROW()-ROW($CQ$130)+1),"")</f>
        <v>0</v>
      </c>
      <c r="CR207">
        <f>IFERROR(SMALL(CR47:CR127,ROW()-ROW($CR$130)+1),"")</f>
        <v>0</v>
      </c>
      <c r="CS207">
        <f>IFERROR(SMALL(CS47:CS127,ROW()-ROW($CS$130)+1),"")</f>
        <v>0</v>
      </c>
      <c r="CT207">
        <f>IFERROR(SMALL(CT47:CT127,ROW()-ROW($CT$130)+1),"")</f>
        <v>0</v>
      </c>
      <c r="CU207">
        <f>IFERROR(SMALL(CU47:CU127,ROW()-ROW($CU$130)+1),"")</f>
        <v>0</v>
      </c>
      <c r="CV207">
        <f>IFERROR(SMALL(CV47:CV127,ROW()-ROW($CV$130)+1),"")</f>
        <v>0</v>
      </c>
      <c r="CW207">
        <f>IFERROR(SMALL(CW47:CW127,ROW()-ROW($CW$130)+1),"")</f>
        <v>0</v>
      </c>
      <c r="CX207">
        <f>IFERROR(SMALL(CX47:CX127,ROW()-ROW($CX$130)+1),"")</f>
        <v>0</v>
      </c>
      <c r="CY207">
        <f>IFERROR(SMALL(CY47:CY127,ROW()-ROW($CY$130)+1),"")</f>
        <v>0</v>
      </c>
      <c r="CZ207">
        <f>IFERROR(SMALL(CZ47:CZ127,ROW()-ROW($CZ$130)+1),"")</f>
        <v>0</v>
      </c>
      <c r="DA207">
        <f>IFERROR(SMALL(DA47:DA127,ROW()-ROW($DA$130)+1),"")</f>
        <v>0</v>
      </c>
      <c r="DB207">
        <f>IFERROR(SMALL(DB47:DB127,ROW()-ROW($DB$130)+1),"")</f>
        <v>0</v>
      </c>
      <c r="DC207">
        <f>IFERROR(SMALL(DC47:DC127,ROW()-ROW($DC$130)+1),"")</f>
        <v>0</v>
      </c>
      <c r="DD207">
        <f>IFERROR(SMALL(DD47:DD127,ROW()-ROW($DD$130)+1),"")</f>
        <v>0</v>
      </c>
      <c r="DE207">
        <f>IFERROR(SMALL(DE47:DE127,ROW()-ROW($DE$130)+1),"")</f>
        <v>0</v>
      </c>
      <c r="DF207">
        <f>IFERROR(SMALL(DF47:DF127,ROW()-ROW($DF$130)+1),"")</f>
        <v>0</v>
      </c>
      <c r="DG207">
        <f>IFERROR(SMALL(DG47:DG127,ROW()-ROW($DG$130)+1),"")</f>
        <v>0</v>
      </c>
      <c r="DH207">
        <f>IFERROR(SMALL(DH47:DH127,ROW()-ROW($DH$130)+1),"")</f>
        <v>0</v>
      </c>
      <c r="DI207">
        <f>IFERROR(SMALL(DI47:DI127,ROW()-ROW($DI$130)+1),"")</f>
        <v>0</v>
      </c>
      <c r="DJ207">
        <f>IFERROR(SMALL(DJ47:DJ127,ROW()-ROW($DJ$130)+1),"")</f>
        <v>0</v>
      </c>
      <c r="DK207">
        <f>IFERROR(SMALL(DK47:DK127,ROW()-ROW($DK$130)+1),"")</f>
        <v>0</v>
      </c>
      <c r="DL207">
        <f>IFERROR(SMALL(DL47:DL127,ROW()-ROW($DL$130)+1),"")</f>
        <v>0</v>
      </c>
      <c r="DM207">
        <f>IFERROR(SMALL(DM47:DM127,ROW()-ROW($DM$130)+1),"")</f>
        <v>0</v>
      </c>
      <c r="DN207">
        <f>IFERROR(SMALL(DN47:DN127,ROW()-ROW($DN$130)+1),"")</f>
        <v>0</v>
      </c>
      <c r="DO207">
        <f>IFERROR(SMALL(DO47:DO127,ROW()-ROW($DO$130)+1),"")</f>
        <v>0</v>
      </c>
      <c r="DP207">
        <f>IFERROR(SMALL(DP47:DP127,ROW()-ROW($DP$130)+1),"")</f>
        <v>0</v>
      </c>
      <c r="DQ207">
        <f>IFERROR(SMALL(DQ47:DQ127,ROW()-ROW($DQ$130)+1),"")</f>
        <v>0</v>
      </c>
      <c r="DR207">
        <f>IFERROR(SMALL(DR47:DR127,ROW()-ROW($DR$130)+1),"")</f>
        <v>0</v>
      </c>
      <c r="DS207">
        <f>IFERROR(SMALL(DS47:DS127,ROW()-ROW($DS$130)+1),"")</f>
        <v>0</v>
      </c>
      <c r="DT207">
        <f>IFERROR(SMALL(DT47:DT127,ROW()-ROW($DT$130)+1),"")</f>
        <v>0</v>
      </c>
      <c r="DU207">
        <f>IFERROR(SMALL(DU47:DU127,ROW()-ROW($DU$130)+1),"")</f>
        <v>0</v>
      </c>
      <c r="DV207">
        <f>IFERROR(SMALL(DV47:DV127,ROW()-ROW($DV$130)+1),"")</f>
        <v>0</v>
      </c>
      <c r="DW207">
        <f>IFERROR(SMALL(DW47:DW127,ROW()-ROW($DW$130)+1),"")</f>
        <v>0</v>
      </c>
      <c r="DX207">
        <f>IFERROR(SMALL(DX47:DX127,ROW()-ROW($DX$130)+1),"")</f>
        <v>0</v>
      </c>
      <c r="DY207">
        <f>IFERROR(SMALL(DY47:DY127,ROW()-ROW($DY$130)+1),"")</f>
        <v>0</v>
      </c>
      <c r="DZ207">
        <f>IFERROR(SMALL(DZ47:DZ127,ROW()-ROW($DZ$130)+1),"")</f>
        <v>0</v>
      </c>
      <c r="EA207">
        <f>IFERROR(SMALL(EA47:EA127,ROW()-ROW($EA$130)+1),"")</f>
        <v>0</v>
      </c>
      <c r="EB207">
        <f>IFERROR(SMALL(EB47:EB127,ROW()-ROW($EB$130)+1),"")</f>
        <v>0</v>
      </c>
      <c r="EC207">
        <f>IFERROR(SMALL(EC47:EC127,ROW()-ROW($EC$130)+1),"")</f>
        <v>0</v>
      </c>
      <c r="ED207">
        <f>IFERROR(SMALL(ED47:ED127,ROW()-ROW($ED$130)+1),"")</f>
        <v>0</v>
      </c>
    </row>
    <row r="208" spans="5:134">
      <c r="E208">
        <f>IFERROR(SMALL(E47:E127,ROW()-ROW($E$130)+1),"")</f>
        <v>0</v>
      </c>
      <c r="F208">
        <f>IFERROR(SMALL(F47:F127,ROW()-ROW($F$130)+1),"")</f>
        <v>0</v>
      </c>
      <c r="G208">
        <f>IFERROR(SMALL(G47:G127,ROW()-ROW($G$130)+1),"")</f>
        <v>0</v>
      </c>
      <c r="H208">
        <f>IFERROR(SMALL(H47:H127,ROW()-ROW($H$130)+1),"")</f>
        <v>0</v>
      </c>
      <c r="I208">
        <f>IFERROR(SMALL(I47:I127,ROW()-ROW($I$130)+1),"")</f>
        <v>0</v>
      </c>
      <c r="J208">
        <f>IFERROR(SMALL(J47:J127,ROW()-ROW($J$130)+1),"")</f>
        <v>0</v>
      </c>
      <c r="K208">
        <f>IFERROR(SMALL(K47:K127,ROW()-ROW($K$130)+1),"")</f>
        <v>0</v>
      </c>
      <c r="L208">
        <f>IFERROR(SMALL(L47:L127,ROW()-ROW($L$130)+1),"")</f>
        <v>0</v>
      </c>
      <c r="M208">
        <f>IFERROR(SMALL(M47:M127,ROW()-ROW($M$130)+1),"")</f>
        <v>0</v>
      </c>
      <c r="N208">
        <f>IFERROR(SMALL(N47:N127,ROW()-ROW($N$130)+1),"")</f>
        <v>0</v>
      </c>
      <c r="O208">
        <f>IFERROR(SMALL(O47:O127,ROW()-ROW($O$130)+1),"")</f>
        <v>0</v>
      </c>
      <c r="P208">
        <f>IFERROR(SMALL(P47:P127,ROW()-ROW($P$130)+1),"")</f>
        <v>0</v>
      </c>
      <c r="Q208">
        <f>IFERROR(SMALL(Q47:Q127,ROW()-ROW($Q$130)+1),"")</f>
        <v>0</v>
      </c>
      <c r="R208">
        <f>IFERROR(SMALL(R47:R127,ROW()-ROW($R$130)+1),"")</f>
        <v>0</v>
      </c>
      <c r="S208">
        <f>IFERROR(SMALL(S47:S127,ROW()-ROW($S$130)+1),"")</f>
        <v>0</v>
      </c>
      <c r="T208">
        <f>IFERROR(SMALL(T47:T127,ROW()-ROW($T$130)+1),"")</f>
        <v>0</v>
      </c>
      <c r="U208">
        <f>IFERROR(SMALL(U47:U127,ROW()-ROW($U$130)+1),"")</f>
        <v>0</v>
      </c>
      <c r="V208">
        <f>IFERROR(SMALL(V47:V127,ROW()-ROW($V$130)+1),"")</f>
        <v>0</v>
      </c>
      <c r="W208">
        <f>IFERROR(SMALL(W47:W127,ROW()-ROW($W$130)+1),"")</f>
        <v>0</v>
      </c>
      <c r="X208">
        <f>IFERROR(SMALL(X47:X127,ROW()-ROW($X$130)+1),"")</f>
        <v>0</v>
      </c>
      <c r="Y208">
        <f>IFERROR(SMALL(Y47:Y127,ROW()-ROW($Y$130)+1),"")</f>
        <v>0</v>
      </c>
      <c r="Z208">
        <f>IFERROR(SMALL(Z47:Z127,ROW()-ROW($Z$130)+1),"")</f>
        <v>0</v>
      </c>
      <c r="AA208">
        <f>IFERROR(SMALL(AA47:AA127,ROW()-ROW($AA$130)+1),"")</f>
        <v>0</v>
      </c>
      <c r="AB208">
        <f>IFERROR(SMALL(AB47:AB127,ROW()-ROW($AB$130)+1),"")</f>
        <v>0</v>
      </c>
      <c r="AC208">
        <f>IFERROR(SMALL(AC47:AC127,ROW()-ROW($AC$130)+1),"")</f>
        <v>0</v>
      </c>
      <c r="AD208">
        <f>IFERROR(SMALL(AD47:AD127,ROW()-ROW($AD$130)+1),"")</f>
        <v>0</v>
      </c>
      <c r="AE208">
        <f>IFERROR(SMALL(AE47:AE127,ROW()-ROW($AE$130)+1),"")</f>
        <v>0</v>
      </c>
      <c r="AF208">
        <f>IFERROR(SMALL(AF47:AF127,ROW()-ROW($AF$130)+1),"")</f>
        <v>0</v>
      </c>
      <c r="AG208">
        <f>IFERROR(SMALL(AG47:AG127,ROW()-ROW($AG$130)+1),"")</f>
        <v>0</v>
      </c>
      <c r="AH208">
        <f>IFERROR(SMALL(AH47:AH127,ROW()-ROW($AH$130)+1),"")</f>
        <v>0</v>
      </c>
      <c r="AI208">
        <f>IFERROR(SMALL(AI47:AI127,ROW()-ROW($AI$130)+1),"")</f>
        <v>0</v>
      </c>
      <c r="AJ208">
        <f>IFERROR(SMALL(AJ47:AJ127,ROW()-ROW($AJ$130)+1),"")</f>
        <v>0</v>
      </c>
      <c r="AK208">
        <f>IFERROR(SMALL(AK47:AK127,ROW()-ROW($AK$130)+1),"")</f>
        <v>0</v>
      </c>
      <c r="AL208">
        <f>IFERROR(SMALL(AL47:AL127,ROW()-ROW($AL$130)+1),"")</f>
        <v>0</v>
      </c>
      <c r="AM208">
        <f>IFERROR(SMALL(AM47:AM127,ROW()-ROW($AM$130)+1),"")</f>
        <v>0</v>
      </c>
      <c r="AN208">
        <f>IFERROR(SMALL(AN47:AN127,ROW()-ROW($AN$130)+1),"")</f>
        <v>0</v>
      </c>
      <c r="AO208">
        <f>IFERROR(SMALL(AO47:AO127,ROW()-ROW($AO$130)+1),"")</f>
        <v>0</v>
      </c>
      <c r="AP208">
        <f>IFERROR(SMALL(AP47:AP127,ROW()-ROW($AP$130)+1),"")</f>
        <v>0</v>
      </c>
      <c r="AQ208">
        <f>IFERROR(SMALL(AQ47:AQ127,ROW()-ROW($AQ$130)+1),"")</f>
        <v>0</v>
      </c>
      <c r="AR208">
        <f>IFERROR(SMALL(AR47:AR127,ROW()-ROW($AR$130)+1),"")</f>
        <v>0</v>
      </c>
      <c r="AS208">
        <f>IFERROR(SMALL(AS47:AS127,ROW()-ROW($AS$130)+1),"")</f>
        <v>0</v>
      </c>
      <c r="AT208">
        <f>IFERROR(SMALL(AT47:AT127,ROW()-ROW($AT$130)+1),"")</f>
        <v>0</v>
      </c>
      <c r="AU208">
        <f>IFERROR(SMALL(AU47:AU127,ROW()-ROW($AU$130)+1),"")</f>
        <v>0</v>
      </c>
      <c r="AV208">
        <f>IFERROR(SMALL(AV47:AV127,ROW()-ROW($AV$130)+1),"")</f>
        <v>0</v>
      </c>
      <c r="AW208">
        <f>IFERROR(SMALL(AW47:AW127,ROW()-ROW($AW$130)+1),"")</f>
        <v>0</v>
      </c>
      <c r="AX208">
        <f>IFERROR(SMALL(AX47:AX127,ROW()-ROW($AX$130)+1),"")</f>
        <v>0</v>
      </c>
      <c r="AY208">
        <f>IFERROR(SMALL(AY47:AY127,ROW()-ROW($AY$130)+1),"")</f>
        <v>0</v>
      </c>
      <c r="AZ208">
        <f>IFERROR(SMALL(AZ47:AZ127,ROW()-ROW($AZ$130)+1),"")</f>
        <v>0</v>
      </c>
      <c r="BA208">
        <f>IFERROR(SMALL(BA47:BA127,ROW()-ROW($BA$130)+1),"")</f>
        <v>0</v>
      </c>
      <c r="BB208">
        <f>IFERROR(SMALL(BB47:BB127,ROW()-ROW($BB$130)+1),"")</f>
        <v>0</v>
      </c>
      <c r="BC208">
        <f>IFERROR(SMALL(BC47:BC127,ROW()-ROW($BC$130)+1),"")</f>
        <v>0</v>
      </c>
      <c r="BD208">
        <f>IFERROR(SMALL(BD47:BD127,ROW()-ROW($BD$130)+1),"")</f>
        <v>0</v>
      </c>
      <c r="BE208">
        <f>IFERROR(SMALL(BE47:BE127,ROW()-ROW($BE$130)+1),"")</f>
        <v>0</v>
      </c>
      <c r="BF208">
        <f>IFERROR(SMALL(BF47:BF127,ROW()-ROW($BF$130)+1),"")</f>
        <v>0</v>
      </c>
      <c r="BG208">
        <f>IFERROR(SMALL(BG47:BG127,ROW()-ROW($BG$130)+1),"")</f>
        <v>0</v>
      </c>
      <c r="BH208">
        <f>IFERROR(SMALL(BH47:BH127,ROW()-ROW($BH$130)+1),"")</f>
        <v>0</v>
      </c>
      <c r="BI208">
        <f>IFERROR(SMALL(BI47:BI127,ROW()-ROW($BI$130)+1),"")</f>
        <v>0</v>
      </c>
      <c r="BJ208">
        <f>IFERROR(SMALL(BJ47:BJ127,ROW()-ROW($BJ$130)+1),"")</f>
        <v>0</v>
      </c>
      <c r="BK208">
        <f>IFERROR(SMALL(BK47:BK127,ROW()-ROW($BK$130)+1),"")</f>
        <v>0</v>
      </c>
      <c r="BL208">
        <f>IFERROR(SMALL(BL47:BL127,ROW()-ROW($BL$130)+1),"")</f>
        <v>0</v>
      </c>
      <c r="BM208">
        <f>IFERROR(SMALL(BM47:BM127,ROW()-ROW($BM$130)+1),"")</f>
        <v>0</v>
      </c>
      <c r="BN208">
        <f>IFERROR(SMALL(BN47:BN127,ROW()-ROW($BN$130)+1),"")</f>
        <v>0</v>
      </c>
      <c r="BO208">
        <f>IFERROR(SMALL(BO47:BO127,ROW()-ROW($BO$130)+1),"")</f>
        <v>0</v>
      </c>
      <c r="BP208">
        <f>IFERROR(SMALL(BP47:BP127,ROW()-ROW($BP$130)+1),"")</f>
        <v>0</v>
      </c>
      <c r="BS208">
        <f>IFERROR(SMALL(BS47:BS127,ROW()-ROW($BS$130)+1),"")</f>
        <v>0</v>
      </c>
      <c r="BT208">
        <f>IFERROR(SMALL(BT47:BT127,ROW()-ROW($BT$130)+1),"")</f>
        <v>0</v>
      </c>
      <c r="BU208">
        <f>IFERROR(SMALL(BU47:BU127,ROW()-ROW($BU$130)+1),"")</f>
        <v>0</v>
      </c>
      <c r="BV208">
        <f>IFERROR(SMALL(BV47:BV127,ROW()-ROW($BV$130)+1),"")</f>
        <v>0</v>
      </c>
      <c r="BW208">
        <f>IFERROR(SMALL(BW47:BW127,ROW()-ROW($BW$130)+1),"")</f>
        <v>0</v>
      </c>
      <c r="BX208">
        <f>IFERROR(SMALL(BX47:BX127,ROW()-ROW($BX$130)+1),"")</f>
        <v>0</v>
      </c>
      <c r="BY208">
        <f>IFERROR(SMALL(BY47:BY127,ROW()-ROW($BY$130)+1),"")</f>
        <v>0</v>
      </c>
      <c r="BZ208">
        <f>IFERROR(SMALL(BZ47:BZ127,ROW()-ROW($BZ$130)+1),"")</f>
        <v>0</v>
      </c>
      <c r="CA208">
        <f>IFERROR(SMALL(CA47:CA127,ROW()-ROW($CA$130)+1),"")</f>
        <v>0</v>
      </c>
      <c r="CB208">
        <f>IFERROR(SMALL(CB47:CB127,ROW()-ROW($CB$130)+1),"")</f>
        <v>0</v>
      </c>
      <c r="CC208">
        <f>IFERROR(SMALL(CC47:CC127,ROW()-ROW($CC$130)+1),"")</f>
        <v>0</v>
      </c>
      <c r="CD208">
        <f>IFERROR(SMALL(CD47:CD127,ROW()-ROW($CD$130)+1),"")</f>
        <v>0</v>
      </c>
      <c r="CE208">
        <f>IFERROR(SMALL(CE47:CE127,ROW()-ROW($CE$130)+1),"")</f>
        <v>0</v>
      </c>
      <c r="CF208">
        <f>IFERROR(SMALL(CF47:CF127,ROW()-ROW($CF$130)+1),"")</f>
        <v>0</v>
      </c>
      <c r="CG208">
        <f>IFERROR(SMALL(CG47:CG127,ROW()-ROW($CG$130)+1),"")</f>
        <v>0</v>
      </c>
      <c r="CH208">
        <f>IFERROR(SMALL(CH47:CH127,ROW()-ROW($CH$130)+1),"")</f>
        <v>0</v>
      </c>
      <c r="CI208">
        <f>IFERROR(SMALL(CI47:CI127,ROW()-ROW($CI$130)+1),"")</f>
        <v>0</v>
      </c>
      <c r="CJ208">
        <f>IFERROR(SMALL(CJ47:CJ127,ROW()-ROW($CJ$130)+1),"")</f>
        <v>0</v>
      </c>
      <c r="CK208">
        <f>IFERROR(SMALL(CK47:CK127,ROW()-ROW($CK$130)+1),"")</f>
        <v>0</v>
      </c>
      <c r="CL208">
        <f>IFERROR(SMALL(CL47:CL127,ROW()-ROW($CL$130)+1),"")</f>
        <v>0</v>
      </c>
      <c r="CM208">
        <f>IFERROR(SMALL(CM47:CM127,ROW()-ROW($CM$130)+1),"")</f>
        <v>0</v>
      </c>
      <c r="CN208">
        <f>IFERROR(SMALL(CN47:CN127,ROW()-ROW($CN$130)+1),"")</f>
        <v>0</v>
      </c>
      <c r="CO208">
        <f>IFERROR(SMALL(CO47:CO127,ROW()-ROW($CO$130)+1),"")</f>
        <v>0</v>
      </c>
      <c r="CP208">
        <f>IFERROR(SMALL(CP47:CP127,ROW()-ROW($CP$130)+1),"")</f>
        <v>0</v>
      </c>
      <c r="CQ208">
        <f>IFERROR(SMALL(CQ47:CQ127,ROW()-ROW($CQ$130)+1),"")</f>
        <v>0</v>
      </c>
      <c r="CR208">
        <f>IFERROR(SMALL(CR47:CR127,ROW()-ROW($CR$130)+1),"")</f>
        <v>0</v>
      </c>
      <c r="CS208">
        <f>IFERROR(SMALL(CS47:CS127,ROW()-ROW($CS$130)+1),"")</f>
        <v>0</v>
      </c>
      <c r="CT208">
        <f>IFERROR(SMALL(CT47:CT127,ROW()-ROW($CT$130)+1),"")</f>
        <v>0</v>
      </c>
      <c r="CU208">
        <f>IFERROR(SMALL(CU47:CU127,ROW()-ROW($CU$130)+1),"")</f>
        <v>0</v>
      </c>
      <c r="CV208">
        <f>IFERROR(SMALL(CV47:CV127,ROW()-ROW($CV$130)+1),"")</f>
        <v>0</v>
      </c>
      <c r="CW208">
        <f>IFERROR(SMALL(CW47:CW127,ROW()-ROW($CW$130)+1),"")</f>
        <v>0</v>
      </c>
      <c r="CX208">
        <f>IFERROR(SMALL(CX47:CX127,ROW()-ROW($CX$130)+1),"")</f>
        <v>0</v>
      </c>
      <c r="CY208">
        <f>IFERROR(SMALL(CY47:CY127,ROW()-ROW($CY$130)+1),"")</f>
        <v>0</v>
      </c>
      <c r="CZ208">
        <f>IFERROR(SMALL(CZ47:CZ127,ROW()-ROW($CZ$130)+1),"")</f>
        <v>0</v>
      </c>
      <c r="DA208">
        <f>IFERROR(SMALL(DA47:DA127,ROW()-ROW($DA$130)+1),"")</f>
        <v>0</v>
      </c>
      <c r="DB208">
        <f>IFERROR(SMALL(DB47:DB127,ROW()-ROW($DB$130)+1),"")</f>
        <v>0</v>
      </c>
      <c r="DC208">
        <f>IFERROR(SMALL(DC47:DC127,ROW()-ROW($DC$130)+1),"")</f>
        <v>0</v>
      </c>
      <c r="DD208">
        <f>IFERROR(SMALL(DD47:DD127,ROW()-ROW($DD$130)+1),"")</f>
        <v>0</v>
      </c>
      <c r="DE208">
        <f>IFERROR(SMALL(DE47:DE127,ROW()-ROW($DE$130)+1),"")</f>
        <v>0</v>
      </c>
      <c r="DF208">
        <f>IFERROR(SMALL(DF47:DF127,ROW()-ROW($DF$130)+1),"")</f>
        <v>0</v>
      </c>
      <c r="DG208">
        <f>IFERROR(SMALL(DG47:DG127,ROW()-ROW($DG$130)+1),"")</f>
        <v>0</v>
      </c>
      <c r="DH208">
        <f>IFERROR(SMALL(DH47:DH127,ROW()-ROW($DH$130)+1),"")</f>
        <v>0</v>
      </c>
      <c r="DI208">
        <f>IFERROR(SMALL(DI47:DI127,ROW()-ROW($DI$130)+1),"")</f>
        <v>0</v>
      </c>
      <c r="DJ208">
        <f>IFERROR(SMALL(DJ47:DJ127,ROW()-ROW($DJ$130)+1),"")</f>
        <v>0</v>
      </c>
      <c r="DK208">
        <f>IFERROR(SMALL(DK47:DK127,ROW()-ROW($DK$130)+1),"")</f>
        <v>0</v>
      </c>
      <c r="DL208">
        <f>IFERROR(SMALL(DL47:DL127,ROW()-ROW($DL$130)+1),"")</f>
        <v>0</v>
      </c>
      <c r="DM208">
        <f>IFERROR(SMALL(DM47:DM127,ROW()-ROW($DM$130)+1),"")</f>
        <v>0</v>
      </c>
      <c r="DN208">
        <f>IFERROR(SMALL(DN47:DN127,ROW()-ROW($DN$130)+1),"")</f>
        <v>0</v>
      </c>
      <c r="DO208">
        <f>IFERROR(SMALL(DO47:DO127,ROW()-ROW($DO$130)+1),"")</f>
        <v>0</v>
      </c>
      <c r="DP208">
        <f>IFERROR(SMALL(DP47:DP127,ROW()-ROW($DP$130)+1),"")</f>
        <v>0</v>
      </c>
      <c r="DQ208">
        <f>IFERROR(SMALL(DQ47:DQ127,ROW()-ROW($DQ$130)+1),"")</f>
        <v>0</v>
      </c>
      <c r="DR208">
        <f>IFERROR(SMALL(DR47:DR127,ROW()-ROW($DR$130)+1),"")</f>
        <v>0</v>
      </c>
      <c r="DS208">
        <f>IFERROR(SMALL(DS47:DS127,ROW()-ROW($DS$130)+1),"")</f>
        <v>0</v>
      </c>
      <c r="DT208">
        <f>IFERROR(SMALL(DT47:DT127,ROW()-ROW($DT$130)+1),"")</f>
        <v>0</v>
      </c>
      <c r="DU208">
        <f>IFERROR(SMALL(DU47:DU127,ROW()-ROW($DU$130)+1),"")</f>
        <v>0</v>
      </c>
      <c r="DV208">
        <f>IFERROR(SMALL(DV47:DV127,ROW()-ROW($DV$130)+1),"")</f>
        <v>0</v>
      </c>
      <c r="DW208">
        <f>IFERROR(SMALL(DW47:DW127,ROW()-ROW($DW$130)+1),"")</f>
        <v>0</v>
      </c>
      <c r="DX208">
        <f>IFERROR(SMALL(DX47:DX127,ROW()-ROW($DX$130)+1),"")</f>
        <v>0</v>
      </c>
      <c r="DY208">
        <f>IFERROR(SMALL(DY47:DY127,ROW()-ROW($DY$130)+1),"")</f>
        <v>0</v>
      </c>
      <c r="DZ208">
        <f>IFERROR(SMALL(DZ47:DZ127,ROW()-ROW($DZ$130)+1),"")</f>
        <v>0</v>
      </c>
      <c r="EA208">
        <f>IFERROR(SMALL(EA47:EA127,ROW()-ROW($EA$130)+1),"")</f>
        <v>0</v>
      </c>
      <c r="EB208">
        <f>IFERROR(SMALL(EB47:EB127,ROW()-ROW($EB$130)+1),"")</f>
        <v>0</v>
      </c>
      <c r="EC208">
        <f>IFERROR(SMALL(EC47:EC127,ROW()-ROW($EC$130)+1),"")</f>
        <v>0</v>
      </c>
      <c r="ED208">
        <f>IFERROR(SMALL(ED47:ED127,ROW()-ROW($ED$130)+1),"")</f>
        <v>0</v>
      </c>
    </row>
    <row r="209" spans="4:134">
      <c r="E209">
        <f>IFERROR(SMALL(E47:E127,ROW()-ROW($E$130)+1),"")</f>
        <v>0</v>
      </c>
      <c r="F209">
        <f>IFERROR(SMALL(F47:F127,ROW()-ROW($F$130)+1),"")</f>
        <v>0</v>
      </c>
      <c r="G209">
        <f>IFERROR(SMALL(G47:G127,ROW()-ROW($G$130)+1),"")</f>
        <v>0</v>
      </c>
      <c r="H209">
        <f>IFERROR(SMALL(H47:H127,ROW()-ROW($H$130)+1),"")</f>
        <v>0</v>
      </c>
      <c r="I209">
        <f>IFERROR(SMALL(I47:I127,ROW()-ROW($I$130)+1),"")</f>
        <v>0</v>
      </c>
      <c r="J209">
        <f>IFERROR(SMALL(J47:J127,ROW()-ROW($J$130)+1),"")</f>
        <v>0</v>
      </c>
      <c r="K209">
        <f>IFERROR(SMALL(K47:K127,ROW()-ROW($K$130)+1),"")</f>
        <v>0</v>
      </c>
      <c r="L209">
        <f>IFERROR(SMALL(L47:L127,ROW()-ROW($L$130)+1),"")</f>
        <v>0</v>
      </c>
      <c r="M209">
        <f>IFERROR(SMALL(M47:M127,ROW()-ROW($M$130)+1),"")</f>
        <v>0</v>
      </c>
      <c r="N209">
        <f>IFERROR(SMALL(N47:N127,ROW()-ROW($N$130)+1),"")</f>
        <v>0</v>
      </c>
      <c r="O209">
        <f>IFERROR(SMALL(O47:O127,ROW()-ROW($O$130)+1),"")</f>
        <v>0</v>
      </c>
      <c r="P209">
        <f>IFERROR(SMALL(P47:P127,ROW()-ROW($P$130)+1),"")</f>
        <v>0</v>
      </c>
      <c r="Q209">
        <f>IFERROR(SMALL(Q47:Q127,ROW()-ROW($Q$130)+1),"")</f>
        <v>0</v>
      </c>
      <c r="R209">
        <f>IFERROR(SMALL(R47:R127,ROW()-ROW($R$130)+1),"")</f>
        <v>0</v>
      </c>
      <c r="S209">
        <f>IFERROR(SMALL(S47:S127,ROW()-ROW($S$130)+1),"")</f>
        <v>0</v>
      </c>
      <c r="T209">
        <f>IFERROR(SMALL(T47:T127,ROW()-ROW($T$130)+1),"")</f>
        <v>0</v>
      </c>
      <c r="U209">
        <f>IFERROR(SMALL(U47:U127,ROW()-ROW($U$130)+1),"")</f>
        <v>0</v>
      </c>
      <c r="V209">
        <f>IFERROR(SMALL(V47:V127,ROW()-ROW($V$130)+1),"")</f>
        <v>0</v>
      </c>
      <c r="W209">
        <f>IFERROR(SMALL(W47:W127,ROW()-ROW($W$130)+1),"")</f>
        <v>0</v>
      </c>
      <c r="X209">
        <f>IFERROR(SMALL(X47:X127,ROW()-ROW($X$130)+1),"")</f>
        <v>0</v>
      </c>
      <c r="Y209">
        <f>IFERROR(SMALL(Y47:Y127,ROW()-ROW($Y$130)+1),"")</f>
        <v>0</v>
      </c>
      <c r="Z209">
        <f>IFERROR(SMALL(Z47:Z127,ROW()-ROW($Z$130)+1),"")</f>
        <v>0</v>
      </c>
      <c r="AA209">
        <f>IFERROR(SMALL(AA47:AA127,ROW()-ROW($AA$130)+1),"")</f>
        <v>0</v>
      </c>
      <c r="AB209">
        <f>IFERROR(SMALL(AB47:AB127,ROW()-ROW($AB$130)+1),"")</f>
        <v>0</v>
      </c>
      <c r="AC209">
        <f>IFERROR(SMALL(AC47:AC127,ROW()-ROW($AC$130)+1),"")</f>
        <v>0</v>
      </c>
      <c r="AD209">
        <f>IFERROR(SMALL(AD47:AD127,ROW()-ROW($AD$130)+1),"")</f>
        <v>0</v>
      </c>
      <c r="AE209">
        <f>IFERROR(SMALL(AE47:AE127,ROW()-ROW($AE$130)+1),"")</f>
        <v>0</v>
      </c>
      <c r="AF209">
        <f>IFERROR(SMALL(AF47:AF127,ROW()-ROW($AF$130)+1),"")</f>
        <v>0</v>
      </c>
      <c r="AG209">
        <f>IFERROR(SMALL(AG47:AG127,ROW()-ROW($AG$130)+1),"")</f>
        <v>0</v>
      </c>
      <c r="AH209">
        <f>IFERROR(SMALL(AH47:AH127,ROW()-ROW($AH$130)+1),"")</f>
        <v>0</v>
      </c>
      <c r="AI209">
        <f>IFERROR(SMALL(AI47:AI127,ROW()-ROW($AI$130)+1),"")</f>
        <v>0</v>
      </c>
      <c r="AJ209">
        <f>IFERROR(SMALL(AJ47:AJ127,ROW()-ROW($AJ$130)+1),"")</f>
        <v>0</v>
      </c>
      <c r="AK209">
        <f>IFERROR(SMALL(AK47:AK127,ROW()-ROW($AK$130)+1),"")</f>
        <v>0</v>
      </c>
      <c r="AL209">
        <f>IFERROR(SMALL(AL47:AL127,ROW()-ROW($AL$130)+1),"")</f>
        <v>0</v>
      </c>
      <c r="AM209">
        <f>IFERROR(SMALL(AM47:AM127,ROW()-ROW($AM$130)+1),"")</f>
        <v>0</v>
      </c>
      <c r="AN209">
        <f>IFERROR(SMALL(AN47:AN127,ROW()-ROW($AN$130)+1),"")</f>
        <v>0</v>
      </c>
      <c r="AO209">
        <f>IFERROR(SMALL(AO47:AO127,ROW()-ROW($AO$130)+1),"")</f>
        <v>0</v>
      </c>
      <c r="AP209">
        <f>IFERROR(SMALL(AP47:AP127,ROW()-ROW($AP$130)+1),"")</f>
        <v>0</v>
      </c>
      <c r="AQ209">
        <f>IFERROR(SMALL(AQ47:AQ127,ROW()-ROW($AQ$130)+1),"")</f>
        <v>0</v>
      </c>
      <c r="AR209">
        <f>IFERROR(SMALL(AR47:AR127,ROW()-ROW($AR$130)+1),"")</f>
        <v>0</v>
      </c>
      <c r="AS209">
        <f>IFERROR(SMALL(AS47:AS127,ROW()-ROW($AS$130)+1),"")</f>
        <v>0</v>
      </c>
      <c r="AT209">
        <f>IFERROR(SMALL(AT47:AT127,ROW()-ROW($AT$130)+1),"")</f>
        <v>0</v>
      </c>
      <c r="AU209">
        <f>IFERROR(SMALL(AU47:AU127,ROW()-ROW($AU$130)+1),"")</f>
        <v>0</v>
      </c>
      <c r="AV209">
        <f>IFERROR(SMALL(AV47:AV127,ROW()-ROW($AV$130)+1),"")</f>
        <v>0</v>
      </c>
      <c r="AW209">
        <f>IFERROR(SMALL(AW47:AW127,ROW()-ROW($AW$130)+1),"")</f>
        <v>0</v>
      </c>
      <c r="AX209">
        <f>IFERROR(SMALL(AX47:AX127,ROW()-ROW($AX$130)+1),"")</f>
        <v>0</v>
      </c>
      <c r="AY209">
        <f>IFERROR(SMALL(AY47:AY127,ROW()-ROW($AY$130)+1),"")</f>
        <v>0</v>
      </c>
      <c r="AZ209">
        <f>IFERROR(SMALL(AZ47:AZ127,ROW()-ROW($AZ$130)+1),"")</f>
        <v>0</v>
      </c>
      <c r="BA209">
        <f>IFERROR(SMALL(BA47:BA127,ROW()-ROW($BA$130)+1),"")</f>
        <v>0</v>
      </c>
      <c r="BB209">
        <f>IFERROR(SMALL(BB47:BB127,ROW()-ROW($BB$130)+1),"")</f>
        <v>0</v>
      </c>
      <c r="BC209">
        <f>IFERROR(SMALL(BC47:BC127,ROW()-ROW($BC$130)+1),"")</f>
        <v>0</v>
      </c>
      <c r="BD209">
        <f>IFERROR(SMALL(BD47:BD127,ROW()-ROW($BD$130)+1),"")</f>
        <v>0</v>
      </c>
      <c r="BE209">
        <f>IFERROR(SMALL(BE47:BE127,ROW()-ROW($BE$130)+1),"")</f>
        <v>0</v>
      </c>
      <c r="BF209">
        <f>IFERROR(SMALL(BF47:BF127,ROW()-ROW($BF$130)+1),"")</f>
        <v>0</v>
      </c>
      <c r="BG209">
        <f>IFERROR(SMALL(BG47:BG127,ROW()-ROW($BG$130)+1),"")</f>
        <v>0</v>
      </c>
      <c r="BH209">
        <f>IFERROR(SMALL(BH47:BH127,ROW()-ROW($BH$130)+1),"")</f>
        <v>0</v>
      </c>
      <c r="BI209">
        <f>IFERROR(SMALL(BI47:BI127,ROW()-ROW($BI$130)+1),"")</f>
        <v>0</v>
      </c>
      <c r="BJ209">
        <f>IFERROR(SMALL(BJ47:BJ127,ROW()-ROW($BJ$130)+1),"")</f>
        <v>0</v>
      </c>
      <c r="BK209">
        <f>IFERROR(SMALL(BK47:BK127,ROW()-ROW($BK$130)+1),"")</f>
        <v>0</v>
      </c>
      <c r="BL209">
        <f>IFERROR(SMALL(BL47:BL127,ROW()-ROW($BL$130)+1),"")</f>
        <v>0</v>
      </c>
      <c r="BM209">
        <f>IFERROR(SMALL(BM47:BM127,ROW()-ROW($BM$130)+1),"")</f>
        <v>0</v>
      </c>
      <c r="BN209">
        <f>IFERROR(SMALL(BN47:BN127,ROW()-ROW($BN$130)+1),"")</f>
        <v>0</v>
      </c>
      <c r="BO209">
        <f>IFERROR(SMALL(BO47:BO127,ROW()-ROW($BO$130)+1),"")</f>
        <v>0</v>
      </c>
      <c r="BP209">
        <f>IFERROR(SMALL(BP47:BP127,ROW()-ROW($BP$130)+1),"")</f>
        <v>0</v>
      </c>
      <c r="BS209">
        <f>IFERROR(SMALL(BS47:BS127,ROW()-ROW($BS$130)+1),"")</f>
        <v>0</v>
      </c>
      <c r="BT209">
        <f>IFERROR(SMALL(BT47:BT127,ROW()-ROW($BT$130)+1),"")</f>
        <v>0</v>
      </c>
      <c r="BU209">
        <f>IFERROR(SMALL(BU47:BU127,ROW()-ROW($BU$130)+1),"")</f>
        <v>0</v>
      </c>
      <c r="BV209">
        <f>IFERROR(SMALL(BV47:BV127,ROW()-ROW($BV$130)+1),"")</f>
        <v>0</v>
      </c>
      <c r="BW209">
        <f>IFERROR(SMALL(BW47:BW127,ROW()-ROW($BW$130)+1),"")</f>
        <v>0</v>
      </c>
      <c r="BX209">
        <f>IFERROR(SMALL(BX47:BX127,ROW()-ROW($BX$130)+1),"")</f>
        <v>0</v>
      </c>
      <c r="BY209">
        <f>IFERROR(SMALL(BY47:BY127,ROW()-ROW($BY$130)+1),"")</f>
        <v>0</v>
      </c>
      <c r="BZ209">
        <f>IFERROR(SMALL(BZ47:BZ127,ROW()-ROW($BZ$130)+1),"")</f>
        <v>0</v>
      </c>
      <c r="CA209">
        <f>IFERROR(SMALL(CA47:CA127,ROW()-ROW($CA$130)+1),"")</f>
        <v>0</v>
      </c>
      <c r="CB209">
        <f>IFERROR(SMALL(CB47:CB127,ROW()-ROW($CB$130)+1),"")</f>
        <v>0</v>
      </c>
      <c r="CC209">
        <f>IFERROR(SMALL(CC47:CC127,ROW()-ROW($CC$130)+1),"")</f>
        <v>0</v>
      </c>
      <c r="CD209">
        <f>IFERROR(SMALL(CD47:CD127,ROW()-ROW($CD$130)+1),"")</f>
        <v>0</v>
      </c>
      <c r="CE209">
        <f>IFERROR(SMALL(CE47:CE127,ROW()-ROW($CE$130)+1),"")</f>
        <v>0</v>
      </c>
      <c r="CF209">
        <f>IFERROR(SMALL(CF47:CF127,ROW()-ROW($CF$130)+1),"")</f>
        <v>0</v>
      </c>
      <c r="CG209">
        <f>IFERROR(SMALL(CG47:CG127,ROW()-ROW($CG$130)+1),"")</f>
        <v>0</v>
      </c>
      <c r="CH209">
        <f>IFERROR(SMALL(CH47:CH127,ROW()-ROW($CH$130)+1),"")</f>
        <v>0</v>
      </c>
      <c r="CI209">
        <f>IFERROR(SMALL(CI47:CI127,ROW()-ROW($CI$130)+1),"")</f>
        <v>0</v>
      </c>
      <c r="CJ209">
        <f>IFERROR(SMALL(CJ47:CJ127,ROW()-ROW($CJ$130)+1),"")</f>
        <v>0</v>
      </c>
      <c r="CK209">
        <f>IFERROR(SMALL(CK47:CK127,ROW()-ROW($CK$130)+1),"")</f>
        <v>0</v>
      </c>
      <c r="CL209">
        <f>IFERROR(SMALL(CL47:CL127,ROW()-ROW($CL$130)+1),"")</f>
        <v>0</v>
      </c>
      <c r="CM209">
        <f>IFERROR(SMALL(CM47:CM127,ROW()-ROW($CM$130)+1),"")</f>
        <v>0</v>
      </c>
      <c r="CN209">
        <f>IFERROR(SMALL(CN47:CN127,ROW()-ROW($CN$130)+1),"")</f>
        <v>0</v>
      </c>
      <c r="CO209">
        <f>IFERROR(SMALL(CO47:CO127,ROW()-ROW($CO$130)+1),"")</f>
        <v>0</v>
      </c>
      <c r="CP209">
        <f>IFERROR(SMALL(CP47:CP127,ROW()-ROW($CP$130)+1),"")</f>
        <v>0</v>
      </c>
      <c r="CQ209">
        <f>IFERROR(SMALL(CQ47:CQ127,ROW()-ROW($CQ$130)+1),"")</f>
        <v>0</v>
      </c>
      <c r="CR209">
        <f>IFERROR(SMALL(CR47:CR127,ROW()-ROW($CR$130)+1),"")</f>
        <v>0</v>
      </c>
      <c r="CS209">
        <f>IFERROR(SMALL(CS47:CS127,ROW()-ROW($CS$130)+1),"")</f>
        <v>0</v>
      </c>
      <c r="CT209">
        <f>IFERROR(SMALL(CT47:CT127,ROW()-ROW($CT$130)+1),"")</f>
        <v>0</v>
      </c>
      <c r="CU209">
        <f>IFERROR(SMALL(CU47:CU127,ROW()-ROW($CU$130)+1),"")</f>
        <v>0</v>
      </c>
      <c r="CV209">
        <f>IFERROR(SMALL(CV47:CV127,ROW()-ROW($CV$130)+1),"")</f>
        <v>0</v>
      </c>
      <c r="CW209">
        <f>IFERROR(SMALL(CW47:CW127,ROW()-ROW($CW$130)+1),"")</f>
        <v>0</v>
      </c>
      <c r="CX209">
        <f>IFERROR(SMALL(CX47:CX127,ROW()-ROW($CX$130)+1),"")</f>
        <v>0</v>
      </c>
      <c r="CY209">
        <f>IFERROR(SMALL(CY47:CY127,ROW()-ROW($CY$130)+1),"")</f>
        <v>0</v>
      </c>
      <c r="CZ209">
        <f>IFERROR(SMALL(CZ47:CZ127,ROW()-ROW($CZ$130)+1),"")</f>
        <v>0</v>
      </c>
      <c r="DA209">
        <f>IFERROR(SMALL(DA47:DA127,ROW()-ROW($DA$130)+1),"")</f>
        <v>0</v>
      </c>
      <c r="DB209">
        <f>IFERROR(SMALL(DB47:DB127,ROW()-ROW($DB$130)+1),"")</f>
        <v>0</v>
      </c>
      <c r="DC209">
        <f>IFERROR(SMALL(DC47:DC127,ROW()-ROW($DC$130)+1),"")</f>
        <v>0</v>
      </c>
      <c r="DD209">
        <f>IFERROR(SMALL(DD47:DD127,ROW()-ROW($DD$130)+1),"")</f>
        <v>0</v>
      </c>
      <c r="DE209">
        <f>IFERROR(SMALL(DE47:DE127,ROW()-ROW($DE$130)+1),"")</f>
        <v>0</v>
      </c>
      <c r="DF209">
        <f>IFERROR(SMALL(DF47:DF127,ROW()-ROW($DF$130)+1),"")</f>
        <v>0</v>
      </c>
      <c r="DG209">
        <f>IFERROR(SMALL(DG47:DG127,ROW()-ROW($DG$130)+1),"")</f>
        <v>0</v>
      </c>
      <c r="DH209">
        <f>IFERROR(SMALL(DH47:DH127,ROW()-ROW($DH$130)+1),"")</f>
        <v>0</v>
      </c>
      <c r="DI209">
        <f>IFERROR(SMALL(DI47:DI127,ROW()-ROW($DI$130)+1),"")</f>
        <v>0</v>
      </c>
      <c r="DJ209">
        <f>IFERROR(SMALL(DJ47:DJ127,ROW()-ROW($DJ$130)+1),"")</f>
        <v>0</v>
      </c>
      <c r="DK209">
        <f>IFERROR(SMALL(DK47:DK127,ROW()-ROW($DK$130)+1),"")</f>
        <v>0</v>
      </c>
      <c r="DL209">
        <f>IFERROR(SMALL(DL47:DL127,ROW()-ROW($DL$130)+1),"")</f>
        <v>0</v>
      </c>
      <c r="DM209">
        <f>IFERROR(SMALL(DM47:DM127,ROW()-ROW($DM$130)+1),"")</f>
        <v>0</v>
      </c>
      <c r="DN209">
        <f>IFERROR(SMALL(DN47:DN127,ROW()-ROW($DN$130)+1),"")</f>
        <v>0</v>
      </c>
      <c r="DO209">
        <f>IFERROR(SMALL(DO47:DO127,ROW()-ROW($DO$130)+1),"")</f>
        <v>0</v>
      </c>
      <c r="DP209">
        <f>IFERROR(SMALL(DP47:DP127,ROW()-ROW($DP$130)+1),"")</f>
        <v>0</v>
      </c>
      <c r="DQ209">
        <f>IFERROR(SMALL(DQ47:DQ127,ROW()-ROW($DQ$130)+1),"")</f>
        <v>0</v>
      </c>
      <c r="DR209">
        <f>IFERROR(SMALL(DR47:DR127,ROW()-ROW($DR$130)+1),"")</f>
        <v>0</v>
      </c>
      <c r="DS209">
        <f>IFERROR(SMALL(DS47:DS127,ROW()-ROW($DS$130)+1),"")</f>
        <v>0</v>
      </c>
      <c r="DT209">
        <f>IFERROR(SMALL(DT47:DT127,ROW()-ROW($DT$130)+1),"")</f>
        <v>0</v>
      </c>
      <c r="DU209">
        <f>IFERROR(SMALL(DU47:DU127,ROW()-ROW($DU$130)+1),"")</f>
        <v>0</v>
      </c>
      <c r="DV209">
        <f>IFERROR(SMALL(DV47:DV127,ROW()-ROW($DV$130)+1),"")</f>
        <v>0</v>
      </c>
      <c r="DW209">
        <f>IFERROR(SMALL(DW47:DW127,ROW()-ROW($DW$130)+1),"")</f>
        <v>0</v>
      </c>
      <c r="DX209">
        <f>IFERROR(SMALL(DX47:DX127,ROW()-ROW($DX$130)+1),"")</f>
        <v>0</v>
      </c>
      <c r="DY209">
        <f>IFERROR(SMALL(DY47:DY127,ROW()-ROW($DY$130)+1),"")</f>
        <v>0</v>
      </c>
      <c r="DZ209">
        <f>IFERROR(SMALL(DZ47:DZ127,ROW()-ROW($DZ$130)+1),"")</f>
        <v>0</v>
      </c>
      <c r="EA209">
        <f>IFERROR(SMALL(EA47:EA127,ROW()-ROW($EA$130)+1),"")</f>
        <v>0</v>
      </c>
      <c r="EB209">
        <f>IFERROR(SMALL(EB47:EB127,ROW()-ROW($EB$130)+1),"")</f>
        <v>0</v>
      </c>
      <c r="EC209">
        <f>IFERROR(SMALL(EC47:EC127,ROW()-ROW($EC$130)+1),"")</f>
        <v>0</v>
      </c>
      <c r="ED209">
        <f>IFERROR(SMALL(ED47:ED127,ROW()-ROW($ED$130)+1),"")</f>
        <v>0</v>
      </c>
    </row>
    <row r="211" spans="4:134">
      <c r="D211" t="s">
        <v>93</v>
      </c>
      <c r="E211" t="s">
        <v>90</v>
      </c>
      <c r="F211" t="s">
        <v>95</v>
      </c>
      <c r="G211" t="s">
        <v>90</v>
      </c>
      <c r="H211" t="s">
        <v>96</v>
      </c>
      <c r="I211" t="s">
        <v>90</v>
      </c>
      <c r="J211" t="s">
        <v>95</v>
      </c>
      <c r="K211" t="s">
        <v>90</v>
      </c>
      <c r="L211" t="s">
        <v>96</v>
      </c>
      <c r="M211" t="s">
        <v>90</v>
      </c>
      <c r="N211" t="s">
        <v>95</v>
      </c>
      <c r="O211" t="s">
        <v>90</v>
      </c>
      <c r="P211" t="s">
        <v>96</v>
      </c>
      <c r="Q211" t="s">
        <v>90</v>
      </c>
      <c r="R211" t="s">
        <v>95</v>
      </c>
      <c r="S211" t="s">
        <v>90</v>
      </c>
      <c r="T211" t="s">
        <v>96</v>
      </c>
      <c r="U211" t="s">
        <v>90</v>
      </c>
      <c r="V211" t="s">
        <v>95</v>
      </c>
      <c r="W211" t="s">
        <v>90</v>
      </c>
      <c r="X211" t="s">
        <v>96</v>
      </c>
      <c r="Y211" t="s">
        <v>90</v>
      </c>
      <c r="Z211" t="s">
        <v>95</v>
      </c>
      <c r="AA211" t="s">
        <v>90</v>
      </c>
      <c r="AB211" t="s">
        <v>96</v>
      </c>
      <c r="AC211" t="s">
        <v>90</v>
      </c>
      <c r="AD211" t="s">
        <v>95</v>
      </c>
      <c r="AE211" t="s">
        <v>90</v>
      </c>
      <c r="AF211" t="s">
        <v>96</v>
      </c>
      <c r="AG211" t="s">
        <v>90</v>
      </c>
      <c r="AH211" t="s">
        <v>95</v>
      </c>
      <c r="AI211" t="s">
        <v>90</v>
      </c>
      <c r="AJ211" t="s">
        <v>96</v>
      </c>
      <c r="AK211" t="s">
        <v>90</v>
      </c>
      <c r="AL211" t="s">
        <v>95</v>
      </c>
      <c r="AM211" t="s">
        <v>90</v>
      </c>
      <c r="AN211" t="s">
        <v>96</v>
      </c>
      <c r="AO211" t="s">
        <v>90</v>
      </c>
      <c r="AP211" t="s">
        <v>95</v>
      </c>
      <c r="AQ211" t="s">
        <v>90</v>
      </c>
      <c r="AR211" t="s">
        <v>96</v>
      </c>
      <c r="AS211" t="s">
        <v>90</v>
      </c>
      <c r="AT211" t="s">
        <v>95</v>
      </c>
      <c r="AU211" t="s">
        <v>90</v>
      </c>
      <c r="AV211" t="s">
        <v>96</v>
      </c>
      <c r="AW211" t="s">
        <v>90</v>
      </c>
      <c r="AX211" t="s">
        <v>95</v>
      </c>
      <c r="AY211" t="s">
        <v>90</v>
      </c>
      <c r="AZ211" t="s">
        <v>96</v>
      </c>
      <c r="BA211" t="s">
        <v>90</v>
      </c>
      <c r="BB211" t="s">
        <v>95</v>
      </c>
      <c r="BC211" t="s">
        <v>90</v>
      </c>
      <c r="BD211" t="s">
        <v>96</v>
      </c>
      <c r="BE211" t="s">
        <v>90</v>
      </c>
      <c r="BF211" t="s">
        <v>95</v>
      </c>
      <c r="BG211" t="s">
        <v>90</v>
      </c>
      <c r="BH211" t="s">
        <v>96</v>
      </c>
      <c r="BI211" t="s">
        <v>90</v>
      </c>
      <c r="BJ211" t="s">
        <v>95</v>
      </c>
      <c r="BK211" t="s">
        <v>90</v>
      </c>
      <c r="BL211" t="s">
        <v>96</v>
      </c>
      <c r="BM211" t="s">
        <v>90</v>
      </c>
      <c r="BN211" t="s">
        <v>95</v>
      </c>
      <c r="BO211" t="s">
        <v>90</v>
      </c>
      <c r="BP211" t="s">
        <v>96</v>
      </c>
      <c r="BR211" t="s">
        <v>93</v>
      </c>
      <c r="BS211" t="s">
        <v>90</v>
      </c>
      <c r="BT211" t="s">
        <v>95</v>
      </c>
      <c r="BU211" t="s">
        <v>90</v>
      </c>
      <c r="BV211" t="s">
        <v>96</v>
      </c>
      <c r="BW211" t="s">
        <v>90</v>
      </c>
      <c r="BX211" t="s">
        <v>95</v>
      </c>
      <c r="BY211" t="s">
        <v>90</v>
      </c>
      <c r="BZ211" t="s">
        <v>96</v>
      </c>
      <c r="CA211" t="s">
        <v>90</v>
      </c>
      <c r="CB211" t="s">
        <v>95</v>
      </c>
      <c r="CC211" t="s">
        <v>90</v>
      </c>
      <c r="CD211" t="s">
        <v>96</v>
      </c>
      <c r="CE211" t="s">
        <v>90</v>
      </c>
      <c r="CF211" t="s">
        <v>95</v>
      </c>
      <c r="CG211" t="s">
        <v>90</v>
      </c>
      <c r="CH211" t="s">
        <v>96</v>
      </c>
      <c r="CI211" t="s">
        <v>90</v>
      </c>
      <c r="CJ211" t="s">
        <v>95</v>
      </c>
      <c r="CK211" t="s">
        <v>90</v>
      </c>
      <c r="CL211" t="s">
        <v>96</v>
      </c>
      <c r="CM211" t="s">
        <v>90</v>
      </c>
      <c r="CN211" t="s">
        <v>95</v>
      </c>
      <c r="CO211" t="s">
        <v>90</v>
      </c>
      <c r="CP211" t="s">
        <v>96</v>
      </c>
      <c r="CQ211" t="s">
        <v>90</v>
      </c>
      <c r="CR211" t="s">
        <v>95</v>
      </c>
      <c r="CS211" t="s">
        <v>90</v>
      </c>
      <c r="CT211" t="s">
        <v>96</v>
      </c>
      <c r="CU211" t="s">
        <v>90</v>
      </c>
      <c r="CV211" t="s">
        <v>95</v>
      </c>
      <c r="CW211" t="s">
        <v>90</v>
      </c>
      <c r="CX211" t="s">
        <v>96</v>
      </c>
      <c r="CY211" t="s">
        <v>90</v>
      </c>
      <c r="CZ211" t="s">
        <v>95</v>
      </c>
      <c r="DA211" t="s">
        <v>90</v>
      </c>
      <c r="DB211" t="s">
        <v>96</v>
      </c>
      <c r="DC211" t="s">
        <v>90</v>
      </c>
      <c r="DD211" t="s">
        <v>95</v>
      </c>
      <c r="DE211" t="s">
        <v>90</v>
      </c>
      <c r="DF211" t="s">
        <v>96</v>
      </c>
      <c r="DG211" t="s">
        <v>90</v>
      </c>
      <c r="DH211" t="s">
        <v>95</v>
      </c>
      <c r="DI211" t="s">
        <v>90</v>
      </c>
      <c r="DJ211" t="s">
        <v>96</v>
      </c>
      <c r="DK211" t="s">
        <v>90</v>
      </c>
      <c r="DL211" t="s">
        <v>95</v>
      </c>
      <c r="DM211" t="s">
        <v>90</v>
      </c>
      <c r="DN211" t="s">
        <v>96</v>
      </c>
      <c r="DO211" t="s">
        <v>90</v>
      </c>
      <c r="DP211" t="s">
        <v>95</v>
      </c>
      <c r="DQ211" t="s">
        <v>90</v>
      </c>
      <c r="DR211" t="s">
        <v>96</v>
      </c>
      <c r="DS211" t="s">
        <v>90</v>
      </c>
      <c r="DT211" t="s">
        <v>95</v>
      </c>
      <c r="DU211" t="s">
        <v>90</v>
      </c>
      <c r="DV211" t="s">
        <v>96</v>
      </c>
      <c r="DW211" t="s">
        <v>90</v>
      </c>
      <c r="DX211" t="s">
        <v>95</v>
      </c>
      <c r="DY211" t="s">
        <v>90</v>
      </c>
      <c r="DZ211" t="s">
        <v>96</v>
      </c>
      <c r="EA211" t="s">
        <v>90</v>
      </c>
      <c r="EB211" t="s">
        <v>95</v>
      </c>
      <c r="EC211" t="s">
        <v>90</v>
      </c>
      <c r="ED211" t="s">
        <v>96</v>
      </c>
    </row>
    <row r="212" spans="4:134">
      <c r="E212">
        <f>IF(ISNA(F212),NA(),E130)</f>
        <v>0</v>
      </c>
      <c r="F212">
        <f>IF(F130="",NA(),F130)</f>
        <v>0</v>
      </c>
      <c r="G212">
        <f>IF(ISNA(H212),NA(),G130)</f>
        <v>0</v>
      </c>
      <c r="H212">
        <f>IF(H130="",NA(),H130)</f>
        <v>0</v>
      </c>
      <c r="I212">
        <f>IF(ISNA(J212),NA(),I130)</f>
        <v>0</v>
      </c>
      <c r="J212">
        <f>IF(J130="",NA(),J130)</f>
        <v>0</v>
      </c>
      <c r="K212">
        <f>IF(ISNA(L212),NA(),K130)</f>
        <v>0</v>
      </c>
      <c r="L212">
        <f>IF(L130="",NA(),L130)</f>
        <v>0</v>
      </c>
      <c r="M212">
        <f>IF(ISNA(N212),NA(),M130)</f>
        <v>0</v>
      </c>
      <c r="N212">
        <f>IF(N130="",NA(),N130)</f>
        <v>0</v>
      </c>
      <c r="O212">
        <f>IF(ISNA(P212),NA(),O130)</f>
        <v>0</v>
      </c>
      <c r="P212">
        <f>IF(P130="",NA(),P130)</f>
        <v>0</v>
      </c>
      <c r="Q212">
        <f>IF(ISNA(R212),NA(),Q130)</f>
        <v>0</v>
      </c>
      <c r="R212">
        <f>IF(R130="",NA(),R130)</f>
        <v>0</v>
      </c>
      <c r="S212">
        <f>IF(ISNA(T212),NA(),S130)</f>
        <v>0</v>
      </c>
      <c r="T212">
        <f>IF(T130="",NA(),T130)</f>
        <v>0</v>
      </c>
      <c r="U212">
        <f>IF(ISNA(V212),NA(),U130)</f>
        <v>0</v>
      </c>
      <c r="V212">
        <f>IF(V130="",NA(),V130)</f>
        <v>0</v>
      </c>
      <c r="W212">
        <f>IF(ISNA(X212),NA(),W130)</f>
        <v>0</v>
      </c>
      <c r="X212">
        <f>IF(X130="",NA(),X130)</f>
        <v>0</v>
      </c>
      <c r="Y212">
        <f>IF(ISNA(Z212),NA(),Y130)</f>
        <v>0</v>
      </c>
      <c r="Z212">
        <f>IF(Z130="",NA(),Z130)</f>
        <v>0</v>
      </c>
      <c r="AA212">
        <f>IF(ISNA(AB212),NA(),AA130)</f>
        <v>0</v>
      </c>
      <c r="AB212">
        <f>IF(AB130="",NA(),AB130)</f>
        <v>0</v>
      </c>
      <c r="AC212">
        <f>IF(ISNA(AD212),NA(),AC130)</f>
        <v>0</v>
      </c>
      <c r="AD212">
        <f>IF(AD130="",NA(),AD130)</f>
        <v>0</v>
      </c>
      <c r="AE212">
        <f>IF(ISNA(AF212),NA(),AE130)</f>
        <v>0</v>
      </c>
      <c r="AF212">
        <f>IF(AF130="",NA(),AF130)</f>
        <v>0</v>
      </c>
      <c r="AG212">
        <f>IF(ISNA(AH212),NA(),AG130)</f>
        <v>0</v>
      </c>
      <c r="AH212">
        <f>IF(AH130="",NA(),AH130)</f>
        <v>0</v>
      </c>
      <c r="AI212">
        <f>IF(ISNA(AJ212),NA(),AI130)</f>
        <v>0</v>
      </c>
      <c r="AJ212">
        <f>IF(AJ130="",NA(),AJ130)</f>
        <v>0</v>
      </c>
      <c r="AK212">
        <f>IF(ISNA(AL212),NA(),AK130)</f>
        <v>0</v>
      </c>
      <c r="AL212">
        <f>IF(AL130="",NA(),AL130)</f>
        <v>0</v>
      </c>
      <c r="AM212">
        <f>IF(ISNA(AN212),NA(),AM130)</f>
        <v>0</v>
      </c>
      <c r="AN212">
        <f>IF(AN130="",NA(),AN130)</f>
        <v>0</v>
      </c>
      <c r="AO212">
        <f>IF(ISNA(AP212),NA(),AO130)</f>
        <v>0</v>
      </c>
      <c r="AP212">
        <f>IF(AP130="",NA(),AP130)</f>
        <v>0</v>
      </c>
      <c r="AQ212">
        <f>IF(ISNA(AR212),NA(),AQ130)</f>
        <v>0</v>
      </c>
      <c r="AR212">
        <f>IF(AR130="",NA(),AR130)</f>
        <v>0</v>
      </c>
      <c r="AS212">
        <f>IF(ISNA(AT212),NA(),AS130)</f>
        <v>0</v>
      </c>
      <c r="AT212">
        <f>IF(AT130="",NA(),AT130)</f>
        <v>0</v>
      </c>
      <c r="AU212">
        <f>IF(ISNA(AV212),NA(),AU130)</f>
        <v>0</v>
      </c>
      <c r="AV212">
        <f>IF(AV130="",NA(),AV130)</f>
        <v>0</v>
      </c>
      <c r="AW212">
        <f>IF(ISNA(AX212),NA(),AW130)</f>
        <v>0</v>
      </c>
      <c r="AX212">
        <f>IF(AX130="",NA(),AX130)</f>
        <v>0</v>
      </c>
      <c r="AY212">
        <f>IF(ISNA(AZ212),NA(),AY130)</f>
        <v>0</v>
      </c>
      <c r="AZ212">
        <f>IF(AZ130="",NA(),AZ130)</f>
        <v>0</v>
      </c>
      <c r="BA212">
        <f>IF(ISNA(BB212),NA(),BA130)</f>
        <v>0</v>
      </c>
      <c r="BB212">
        <f>IF(BB130="",NA(),BB130)</f>
        <v>0</v>
      </c>
      <c r="BC212">
        <f>IF(ISNA(BD212),NA(),BC130)</f>
        <v>0</v>
      </c>
      <c r="BD212">
        <f>IF(BD130="",NA(),BD130)</f>
        <v>0</v>
      </c>
      <c r="BE212">
        <f>IF(ISNA(BF212),NA(),BE130)</f>
        <v>0</v>
      </c>
      <c r="BF212">
        <f>IF(BF130="",NA(),BF130)</f>
        <v>0</v>
      </c>
      <c r="BG212">
        <f>IF(ISNA(BH212),NA(),BG130)</f>
        <v>0</v>
      </c>
      <c r="BH212">
        <f>IF(BH130="",NA(),BH130)</f>
        <v>0</v>
      </c>
      <c r="BI212">
        <f>IF(ISNA(BJ212),NA(),BI130)</f>
        <v>0</v>
      </c>
      <c r="BJ212">
        <f>IF(BJ130="",NA(),BJ130)</f>
        <v>0</v>
      </c>
      <c r="BK212">
        <f>IF(ISNA(BL212),NA(),BK130)</f>
        <v>0</v>
      </c>
      <c r="BL212">
        <f>IF(BL130="",NA(),BL130)</f>
        <v>0</v>
      </c>
      <c r="BM212">
        <f>IF(ISNA(BN212),NA(),BM130)</f>
        <v>0</v>
      </c>
      <c r="BN212">
        <f>IF(BN130="",NA(),BN130)</f>
        <v>0</v>
      </c>
      <c r="BO212">
        <f>IF(ISNA(BP212),NA(),BO130)</f>
        <v>0</v>
      </c>
      <c r="BP212">
        <f>IF(BP130="",NA(),BP130)</f>
        <v>0</v>
      </c>
      <c r="BS212">
        <f>IF(ISNA(BT212),NA(),BS130)</f>
        <v>0</v>
      </c>
      <c r="BT212">
        <f>IF(BT130="",NA(),BT130)</f>
        <v>0</v>
      </c>
      <c r="BU212">
        <f>IF(ISNA(BV212),NA(),BU130)</f>
        <v>0</v>
      </c>
      <c r="BV212">
        <f>IF(BV130="",NA(),BV130)</f>
        <v>0</v>
      </c>
      <c r="BW212">
        <f>IF(ISNA(BX212),NA(),BW130)</f>
        <v>0</v>
      </c>
      <c r="BX212">
        <f>IF(BX130="",NA(),BX130)</f>
        <v>0</v>
      </c>
      <c r="BY212">
        <f>IF(ISNA(BZ212),NA(),BY130)</f>
        <v>0</v>
      </c>
      <c r="BZ212">
        <f>IF(BZ130="",NA(),BZ130)</f>
        <v>0</v>
      </c>
      <c r="CA212">
        <f>IF(ISNA(CB212),NA(),CA130)</f>
        <v>0</v>
      </c>
      <c r="CB212">
        <f>IF(CB130="",NA(),CB130)</f>
        <v>0</v>
      </c>
      <c r="CC212">
        <f>IF(ISNA(CD212),NA(),CC130)</f>
        <v>0</v>
      </c>
      <c r="CD212">
        <f>IF(CD130="",NA(),CD130)</f>
        <v>0</v>
      </c>
      <c r="CE212">
        <f>IF(ISNA(CF212),NA(),CE130)</f>
        <v>0</v>
      </c>
      <c r="CF212">
        <f>IF(CF130="",NA(),CF130)</f>
        <v>0</v>
      </c>
      <c r="CG212">
        <f>IF(ISNA(CH212),NA(),CG130)</f>
        <v>0</v>
      </c>
      <c r="CH212">
        <f>IF(CH130="",NA(),CH130)</f>
        <v>0</v>
      </c>
      <c r="CI212">
        <f>IF(ISNA(CJ212),NA(),CI130)</f>
        <v>0</v>
      </c>
      <c r="CJ212">
        <f>IF(CJ130="",NA(),CJ130)</f>
        <v>0</v>
      </c>
      <c r="CK212">
        <f>IF(ISNA(CL212),NA(),CK130)</f>
        <v>0</v>
      </c>
      <c r="CL212">
        <f>IF(CL130="",NA(),CL130)</f>
        <v>0</v>
      </c>
      <c r="CM212">
        <f>IF(ISNA(CN212),NA(),CM130)</f>
        <v>0</v>
      </c>
      <c r="CN212">
        <f>IF(CN130="",NA(),CN130)</f>
        <v>0</v>
      </c>
      <c r="CO212">
        <f>IF(ISNA(CP212),NA(),CO130)</f>
        <v>0</v>
      </c>
      <c r="CP212">
        <f>IF(CP130="",NA(),CP130)</f>
        <v>0</v>
      </c>
      <c r="CQ212">
        <f>IF(ISNA(CR212),NA(),CQ130)</f>
        <v>0</v>
      </c>
      <c r="CR212">
        <f>IF(CR130="",NA(),CR130)</f>
        <v>0</v>
      </c>
      <c r="CS212">
        <f>IF(ISNA(CT212),NA(),CS130)</f>
        <v>0</v>
      </c>
      <c r="CT212">
        <f>IF(CT130="",NA(),CT130)</f>
        <v>0</v>
      </c>
      <c r="CU212">
        <f>IF(ISNA(CV212),NA(),CU130)</f>
        <v>0</v>
      </c>
      <c r="CV212">
        <f>IF(CV130="",NA(),CV130)</f>
        <v>0</v>
      </c>
      <c r="CW212">
        <f>IF(ISNA(CX212),NA(),CW130)</f>
        <v>0</v>
      </c>
      <c r="CX212">
        <f>IF(CX130="",NA(),CX130)</f>
        <v>0</v>
      </c>
      <c r="CY212">
        <f>IF(ISNA(CZ212),NA(),CY130)</f>
        <v>0</v>
      </c>
      <c r="CZ212">
        <f>IF(CZ130="",NA(),CZ130)</f>
        <v>0</v>
      </c>
      <c r="DA212">
        <f>IF(ISNA(DB212),NA(),DA130)</f>
        <v>0</v>
      </c>
      <c r="DB212">
        <f>IF(DB130="",NA(),DB130)</f>
        <v>0</v>
      </c>
      <c r="DC212">
        <f>IF(ISNA(DD212),NA(),DC130)</f>
        <v>0</v>
      </c>
      <c r="DD212">
        <f>IF(DD130="",NA(),DD130)</f>
        <v>0</v>
      </c>
      <c r="DE212">
        <f>IF(ISNA(DF212),NA(),DE130)</f>
        <v>0</v>
      </c>
      <c r="DF212">
        <f>IF(DF130="",NA(),DF130)</f>
        <v>0</v>
      </c>
      <c r="DG212">
        <f>IF(ISNA(DH212),NA(),DG130)</f>
        <v>0</v>
      </c>
      <c r="DH212">
        <f>IF(DH130="",NA(),DH130)</f>
        <v>0</v>
      </c>
      <c r="DI212">
        <f>IF(ISNA(DJ212),NA(),DI130)</f>
        <v>0</v>
      </c>
      <c r="DJ212">
        <f>IF(DJ130="",NA(),DJ130)</f>
        <v>0</v>
      </c>
      <c r="DK212">
        <f>IF(ISNA(DL212),NA(),DK130)</f>
        <v>0</v>
      </c>
      <c r="DL212">
        <f>IF(DL130="",NA(),DL130)</f>
        <v>0</v>
      </c>
      <c r="DM212">
        <f>IF(ISNA(DN212),NA(),DM130)</f>
        <v>0</v>
      </c>
      <c r="DN212">
        <f>IF(DN130="",NA(),DN130)</f>
        <v>0</v>
      </c>
      <c r="DO212">
        <f>IF(ISNA(DP212),NA(),DO130)</f>
        <v>0</v>
      </c>
      <c r="DP212">
        <f>IF(DP130="",NA(),DP130)</f>
        <v>0</v>
      </c>
      <c r="DQ212">
        <f>IF(ISNA(DR212),NA(),DQ130)</f>
        <v>0</v>
      </c>
      <c r="DR212">
        <f>IF(DR130="",NA(),DR130)</f>
        <v>0</v>
      </c>
      <c r="DS212">
        <f>IF(ISNA(DT212),NA(),DS130)</f>
        <v>0</v>
      </c>
      <c r="DT212">
        <f>IF(DT130="",NA(),DT130)</f>
        <v>0</v>
      </c>
      <c r="DU212">
        <f>IF(ISNA(DV212),NA(),DU130)</f>
        <v>0</v>
      </c>
      <c r="DV212">
        <f>IF(DV130="",NA(),DV130)</f>
        <v>0</v>
      </c>
      <c r="DW212">
        <f>IF(ISNA(DX212),NA(),DW130)</f>
        <v>0</v>
      </c>
      <c r="DX212">
        <f>IF(DX130="",NA(),DX130)</f>
        <v>0</v>
      </c>
      <c r="DY212">
        <f>IF(ISNA(DZ212),NA(),DY130)</f>
        <v>0</v>
      </c>
      <c r="DZ212">
        <f>IF(DZ130="",NA(),DZ130)</f>
        <v>0</v>
      </c>
      <c r="EA212">
        <f>IF(ISNA(EB212),NA(),EA130)</f>
        <v>0</v>
      </c>
      <c r="EB212">
        <f>IF(EB130="",NA(),EB130)</f>
        <v>0</v>
      </c>
      <c r="EC212">
        <f>IF(ISNA(ED212),NA(),EC130)</f>
        <v>0</v>
      </c>
      <c r="ED212">
        <f>IF(ED130="",NA(),ED130)</f>
        <v>0</v>
      </c>
    </row>
    <row r="213" spans="4:134">
      <c r="E213">
        <f>IF(ISNA(F213),NA(),E131)</f>
        <v>0</v>
      </c>
      <c r="F213">
        <f>IF(OR(F131="",AND(F131=F130,F131=F132)),NA(), F131)</f>
        <v>0</v>
      </c>
      <c r="G213">
        <f>IF(ISNA(H213),NA(),G131)</f>
        <v>0</v>
      </c>
      <c r="H213">
        <f>IF(OR(H131="",AND(H131=H130,H131=H132)),NA(), H131)</f>
        <v>0</v>
      </c>
      <c r="I213">
        <f>IF(ISNA(J213),NA(),I131)</f>
        <v>0</v>
      </c>
      <c r="J213">
        <f>IF(OR(J131="",AND(J131=J130,J131=J132)),NA(), J131)</f>
        <v>0</v>
      </c>
      <c r="K213">
        <f>IF(ISNA(L213),NA(),K131)</f>
        <v>0</v>
      </c>
      <c r="L213">
        <f>IF(OR(L131="",AND(L131=L130,L131=L132)),NA(), L131)</f>
        <v>0</v>
      </c>
      <c r="M213">
        <f>IF(ISNA(N213),NA(),M131)</f>
        <v>0</v>
      </c>
      <c r="N213">
        <f>IF(OR(N131="",AND(N131=N130,N131=N132)),NA(), N131)</f>
        <v>0</v>
      </c>
      <c r="O213">
        <f>IF(ISNA(P213),NA(),O131)</f>
        <v>0</v>
      </c>
      <c r="P213">
        <f>IF(OR(P131="",AND(P131=P130,P131=P132)),NA(), P131)</f>
        <v>0</v>
      </c>
      <c r="Q213">
        <f>IF(ISNA(R213),NA(),Q131)</f>
        <v>0</v>
      </c>
      <c r="R213">
        <f>IF(OR(R131="",AND(R131=R130,R131=R132)),NA(), R131)</f>
        <v>0</v>
      </c>
      <c r="S213">
        <f>IF(ISNA(T213),NA(),S131)</f>
        <v>0</v>
      </c>
      <c r="T213">
        <f>IF(OR(T131="",AND(T131=T130,T131=T132)),NA(), T131)</f>
        <v>0</v>
      </c>
      <c r="U213">
        <f>IF(ISNA(V213),NA(),U131)</f>
        <v>0</v>
      </c>
      <c r="V213">
        <f>IF(OR(V131="",AND(V131=V130,V131=V132)),NA(), V131)</f>
        <v>0</v>
      </c>
      <c r="W213">
        <f>IF(ISNA(X213),NA(),W131)</f>
        <v>0</v>
      </c>
      <c r="X213">
        <f>IF(OR(X131="",AND(X131=X130,X131=X132)),NA(), X131)</f>
        <v>0</v>
      </c>
      <c r="Y213">
        <f>IF(ISNA(Z213),NA(),Y131)</f>
        <v>0</v>
      </c>
      <c r="Z213">
        <f>IF(OR(Z131="",AND(Z131=Z130,Z131=Z132)),NA(), Z131)</f>
        <v>0</v>
      </c>
      <c r="AA213">
        <f>IF(ISNA(AB213),NA(),AA131)</f>
        <v>0</v>
      </c>
      <c r="AB213">
        <f>IF(OR(AB131="",AND(AB131=AB130,AB131=AB132)),NA(), AB131)</f>
        <v>0</v>
      </c>
      <c r="AC213">
        <f>IF(ISNA(AD213),NA(),AC131)</f>
        <v>0</v>
      </c>
      <c r="AD213">
        <f>IF(OR(AD131="",AND(AD131=AD130,AD131=AD132)),NA(), AD131)</f>
        <v>0</v>
      </c>
      <c r="AE213">
        <f>IF(ISNA(AF213),NA(),AE131)</f>
        <v>0</v>
      </c>
      <c r="AF213">
        <f>IF(OR(AF131="",AND(AF131=AF130,AF131=AF132)),NA(), AF131)</f>
        <v>0</v>
      </c>
      <c r="AG213">
        <f>IF(ISNA(AH213),NA(),AG131)</f>
        <v>0</v>
      </c>
      <c r="AH213">
        <f>IF(OR(AH131="",AND(AH131=AH130,AH131=AH132)),NA(), AH131)</f>
        <v>0</v>
      </c>
      <c r="AI213">
        <f>IF(ISNA(AJ213),NA(),AI131)</f>
        <v>0</v>
      </c>
      <c r="AJ213">
        <f>IF(OR(AJ131="",AND(AJ131=AJ130,AJ131=AJ132)),NA(), AJ131)</f>
        <v>0</v>
      </c>
      <c r="AK213">
        <f>IF(ISNA(AL213),NA(),AK131)</f>
        <v>0</v>
      </c>
      <c r="AL213">
        <f>IF(OR(AL131="",AND(AL131=AL130,AL131=AL132)),NA(), AL131)</f>
        <v>0</v>
      </c>
      <c r="AM213">
        <f>IF(ISNA(AN213),NA(),AM131)</f>
        <v>0</v>
      </c>
      <c r="AN213">
        <f>IF(OR(AN131="",AND(AN131=AN130,AN131=AN132)),NA(), AN131)</f>
        <v>0</v>
      </c>
      <c r="AO213">
        <f>IF(ISNA(AP213),NA(),AO131)</f>
        <v>0</v>
      </c>
      <c r="AP213">
        <f>IF(OR(AP131="",AND(AP131=AP130,AP131=AP132)),NA(), AP131)</f>
        <v>0</v>
      </c>
      <c r="AQ213">
        <f>IF(ISNA(AR213),NA(),AQ131)</f>
        <v>0</v>
      </c>
      <c r="AR213">
        <f>IF(OR(AR131="",AND(AR131=AR130,AR131=AR132)),NA(), AR131)</f>
        <v>0</v>
      </c>
      <c r="AS213">
        <f>IF(ISNA(AT213),NA(),AS131)</f>
        <v>0</v>
      </c>
      <c r="AT213">
        <f>IF(OR(AT131="",AND(AT131=AT130,AT131=AT132)),NA(), AT131)</f>
        <v>0</v>
      </c>
      <c r="AU213">
        <f>IF(ISNA(AV213),NA(),AU131)</f>
        <v>0</v>
      </c>
      <c r="AV213">
        <f>IF(OR(AV131="",AND(AV131=AV130,AV131=AV132)),NA(), AV131)</f>
        <v>0</v>
      </c>
      <c r="AW213">
        <f>IF(ISNA(AX213),NA(),AW131)</f>
        <v>0</v>
      </c>
      <c r="AX213">
        <f>IF(OR(AX131="",AND(AX131=AX130,AX131=AX132)),NA(), AX131)</f>
        <v>0</v>
      </c>
      <c r="AY213">
        <f>IF(ISNA(AZ213),NA(),AY131)</f>
        <v>0</v>
      </c>
      <c r="AZ213">
        <f>IF(OR(AZ131="",AND(AZ131=AZ130,AZ131=AZ132)),NA(), AZ131)</f>
        <v>0</v>
      </c>
      <c r="BA213">
        <f>IF(ISNA(BB213),NA(),BA131)</f>
        <v>0</v>
      </c>
      <c r="BB213">
        <f>IF(OR(BB131="",AND(BB131=BB130,BB131=BB132)),NA(), BB131)</f>
        <v>0</v>
      </c>
      <c r="BC213">
        <f>IF(ISNA(BD213),NA(),BC131)</f>
        <v>0</v>
      </c>
      <c r="BD213">
        <f>IF(OR(BD131="",AND(BD131=BD130,BD131=BD132)),NA(), BD131)</f>
        <v>0</v>
      </c>
      <c r="BE213">
        <f>IF(ISNA(BF213),NA(),BE131)</f>
        <v>0</v>
      </c>
      <c r="BF213">
        <f>IF(OR(BF131="",AND(BF131=BF130,BF131=BF132)),NA(), BF131)</f>
        <v>0</v>
      </c>
      <c r="BG213">
        <f>IF(ISNA(BH213),NA(),BG131)</f>
        <v>0</v>
      </c>
      <c r="BH213">
        <f>IF(OR(BH131="",AND(BH131=BH130,BH131=BH132)),NA(), BH131)</f>
        <v>0</v>
      </c>
      <c r="BI213">
        <f>IF(ISNA(BJ213),NA(),BI131)</f>
        <v>0</v>
      </c>
      <c r="BJ213">
        <f>IF(OR(BJ131="",AND(BJ131=BJ130,BJ131=BJ132)),NA(), BJ131)</f>
        <v>0</v>
      </c>
      <c r="BK213">
        <f>IF(ISNA(BL213),NA(),BK131)</f>
        <v>0</v>
      </c>
      <c r="BL213">
        <f>IF(OR(BL131="",AND(BL131=BL130,BL131=BL132)),NA(), BL131)</f>
        <v>0</v>
      </c>
      <c r="BM213">
        <f>IF(ISNA(BN213),NA(),BM131)</f>
        <v>0</v>
      </c>
      <c r="BN213">
        <f>IF(OR(BN131="",AND(BN131=BN130,BN131=BN132)),NA(), BN131)</f>
        <v>0</v>
      </c>
      <c r="BO213">
        <f>IF(ISNA(BP213),NA(),BO131)</f>
        <v>0</v>
      </c>
      <c r="BP213">
        <f>IF(OR(BP131="",AND(BP131=BP130,BP131=BP132)),NA(), BP131)</f>
        <v>0</v>
      </c>
      <c r="BS213">
        <f>IF(ISNA(BT213),NA(),BS131)</f>
        <v>0</v>
      </c>
      <c r="BT213">
        <f>IF(OR(BT131="",AND(BT131=BT130,BT131=BT132)),NA(), BT131)</f>
        <v>0</v>
      </c>
      <c r="BU213">
        <f>IF(ISNA(BV213),NA(),BU131)</f>
        <v>0</v>
      </c>
      <c r="BV213">
        <f>IF(OR(BV131="",AND(BV131=BV130,BV131=BV132)),NA(), BV131)</f>
        <v>0</v>
      </c>
      <c r="BW213">
        <f>IF(ISNA(BX213),NA(),BW131)</f>
        <v>0</v>
      </c>
      <c r="BX213">
        <f>IF(OR(BX131="",AND(BX131=BX130,BX131=BX132)),NA(), BX131)</f>
        <v>0</v>
      </c>
      <c r="BY213">
        <f>IF(ISNA(BZ213),NA(),BY131)</f>
        <v>0</v>
      </c>
      <c r="BZ213">
        <f>IF(OR(BZ131="",AND(BZ131=BZ130,BZ131=BZ132)),NA(), BZ131)</f>
        <v>0</v>
      </c>
      <c r="CA213">
        <f>IF(ISNA(CB213),NA(),CA131)</f>
        <v>0</v>
      </c>
      <c r="CB213">
        <f>IF(OR(CB131="",AND(CB131=CB130,CB131=CB132)),NA(), CB131)</f>
        <v>0</v>
      </c>
      <c r="CC213">
        <f>IF(ISNA(CD213),NA(),CC131)</f>
        <v>0</v>
      </c>
      <c r="CD213">
        <f>IF(OR(CD131="",AND(CD131=CD130,CD131=CD132)),NA(), CD131)</f>
        <v>0</v>
      </c>
      <c r="CE213">
        <f>IF(ISNA(CF213),NA(),CE131)</f>
        <v>0</v>
      </c>
      <c r="CF213">
        <f>IF(OR(CF131="",AND(CF131=CF130,CF131=CF132)),NA(), CF131)</f>
        <v>0</v>
      </c>
      <c r="CG213">
        <f>IF(ISNA(CH213),NA(),CG131)</f>
        <v>0</v>
      </c>
      <c r="CH213">
        <f>IF(OR(CH131="",AND(CH131=CH130,CH131=CH132)),NA(), CH131)</f>
        <v>0</v>
      </c>
      <c r="CI213">
        <f>IF(ISNA(CJ213),NA(),CI131)</f>
        <v>0</v>
      </c>
      <c r="CJ213">
        <f>IF(OR(CJ131="",AND(CJ131=CJ130,CJ131=CJ132)),NA(), CJ131)</f>
        <v>0</v>
      </c>
      <c r="CK213">
        <f>IF(ISNA(CL213),NA(),CK131)</f>
        <v>0</v>
      </c>
      <c r="CL213">
        <f>IF(OR(CL131="",AND(CL131=CL130,CL131=CL132)),NA(), CL131)</f>
        <v>0</v>
      </c>
      <c r="CM213">
        <f>IF(ISNA(CN213),NA(),CM131)</f>
        <v>0</v>
      </c>
      <c r="CN213">
        <f>IF(OR(CN131="",AND(CN131=CN130,CN131=CN132)),NA(), CN131)</f>
        <v>0</v>
      </c>
      <c r="CO213">
        <f>IF(ISNA(CP213),NA(),CO131)</f>
        <v>0</v>
      </c>
      <c r="CP213">
        <f>IF(OR(CP131="",AND(CP131=CP130,CP131=CP132)),NA(), CP131)</f>
        <v>0</v>
      </c>
      <c r="CQ213">
        <f>IF(ISNA(CR213),NA(),CQ131)</f>
        <v>0</v>
      </c>
      <c r="CR213">
        <f>IF(OR(CR131="",AND(CR131=CR130,CR131=CR132)),NA(), CR131)</f>
        <v>0</v>
      </c>
      <c r="CS213">
        <f>IF(ISNA(CT213),NA(),CS131)</f>
        <v>0</v>
      </c>
      <c r="CT213">
        <f>IF(OR(CT131="",AND(CT131=CT130,CT131=CT132)),NA(), CT131)</f>
        <v>0</v>
      </c>
      <c r="CU213">
        <f>IF(ISNA(CV213),NA(),CU131)</f>
        <v>0</v>
      </c>
      <c r="CV213">
        <f>IF(OR(CV131="",AND(CV131=CV130,CV131=CV132)),NA(), CV131)</f>
        <v>0</v>
      </c>
      <c r="CW213">
        <f>IF(ISNA(CX213),NA(),CW131)</f>
        <v>0</v>
      </c>
      <c r="CX213">
        <f>IF(OR(CX131="",AND(CX131=CX130,CX131=CX132)),NA(), CX131)</f>
        <v>0</v>
      </c>
      <c r="CY213">
        <f>IF(ISNA(CZ213),NA(),CY131)</f>
        <v>0</v>
      </c>
      <c r="CZ213">
        <f>IF(OR(CZ131="",AND(CZ131=CZ130,CZ131=CZ132)),NA(), CZ131)</f>
        <v>0</v>
      </c>
      <c r="DA213">
        <f>IF(ISNA(DB213),NA(),DA131)</f>
        <v>0</v>
      </c>
      <c r="DB213">
        <f>IF(OR(DB131="",AND(DB131=DB130,DB131=DB132)),NA(), DB131)</f>
        <v>0</v>
      </c>
      <c r="DC213">
        <f>IF(ISNA(DD213),NA(),DC131)</f>
        <v>0</v>
      </c>
      <c r="DD213">
        <f>IF(OR(DD131="",AND(DD131=DD130,DD131=DD132)),NA(), DD131)</f>
        <v>0</v>
      </c>
      <c r="DE213">
        <f>IF(ISNA(DF213),NA(),DE131)</f>
        <v>0</v>
      </c>
      <c r="DF213">
        <f>IF(OR(DF131="",AND(DF131=DF130,DF131=DF132)),NA(), DF131)</f>
        <v>0</v>
      </c>
      <c r="DG213">
        <f>IF(ISNA(DH213),NA(),DG131)</f>
        <v>0</v>
      </c>
      <c r="DH213">
        <f>IF(OR(DH131="",AND(DH131=DH130,DH131=DH132)),NA(), DH131)</f>
        <v>0</v>
      </c>
      <c r="DI213">
        <f>IF(ISNA(DJ213),NA(),DI131)</f>
        <v>0</v>
      </c>
      <c r="DJ213">
        <f>IF(OR(DJ131="",AND(DJ131=DJ130,DJ131=DJ132)),NA(), DJ131)</f>
        <v>0</v>
      </c>
      <c r="DK213">
        <f>IF(ISNA(DL213),NA(),DK131)</f>
        <v>0</v>
      </c>
      <c r="DL213">
        <f>IF(OR(DL131="",AND(DL131=DL130,DL131=DL132)),NA(), DL131)</f>
        <v>0</v>
      </c>
      <c r="DM213">
        <f>IF(ISNA(DN213),NA(),DM131)</f>
        <v>0</v>
      </c>
      <c r="DN213">
        <f>IF(OR(DN131="",AND(DN131=DN130,DN131=DN132)),NA(), DN131)</f>
        <v>0</v>
      </c>
      <c r="DO213">
        <f>IF(ISNA(DP213),NA(),DO131)</f>
        <v>0</v>
      </c>
      <c r="DP213">
        <f>IF(OR(DP131="",AND(DP131=DP130,DP131=DP132)),NA(), DP131)</f>
        <v>0</v>
      </c>
      <c r="DQ213">
        <f>IF(ISNA(DR213),NA(),DQ131)</f>
        <v>0</v>
      </c>
      <c r="DR213">
        <f>IF(OR(DR131="",AND(DR131=DR130,DR131=DR132)),NA(), DR131)</f>
        <v>0</v>
      </c>
      <c r="DS213">
        <f>IF(ISNA(DT213),NA(),DS131)</f>
        <v>0</v>
      </c>
      <c r="DT213">
        <f>IF(OR(DT131="",AND(DT131=DT130,DT131=DT132)),NA(), DT131)</f>
        <v>0</v>
      </c>
      <c r="DU213">
        <f>IF(ISNA(DV213),NA(),DU131)</f>
        <v>0</v>
      </c>
      <c r="DV213">
        <f>IF(OR(DV131="",AND(DV131=DV130,DV131=DV132)),NA(), DV131)</f>
        <v>0</v>
      </c>
      <c r="DW213">
        <f>IF(ISNA(DX213),NA(),DW131)</f>
        <v>0</v>
      </c>
      <c r="DX213">
        <f>IF(OR(DX131="",AND(DX131=DX130,DX131=DX132)),NA(), DX131)</f>
        <v>0</v>
      </c>
      <c r="DY213">
        <f>IF(ISNA(DZ213),NA(),DY131)</f>
        <v>0</v>
      </c>
      <c r="DZ213">
        <f>IF(OR(DZ131="",AND(DZ131=DZ130,DZ131=DZ132)),NA(), DZ131)</f>
        <v>0</v>
      </c>
      <c r="EA213">
        <f>IF(ISNA(EB213),NA(),EA131)</f>
        <v>0</v>
      </c>
      <c r="EB213">
        <f>IF(OR(EB131="",AND(EB131=EB130,EB131=EB132)),NA(), EB131)</f>
        <v>0</v>
      </c>
      <c r="EC213">
        <f>IF(ISNA(ED213),NA(),EC131)</f>
        <v>0</v>
      </c>
      <c r="ED213">
        <f>IF(OR(ED131="",AND(ED131=ED130,ED131=ED132)),NA(), ED131)</f>
        <v>0</v>
      </c>
    </row>
    <row r="214" spans="4:134">
      <c r="E214">
        <f>IF(ISNA(F214),NA(),E132)</f>
        <v>0</v>
      </c>
      <c r="F214">
        <f>IF(OR(F132="",AND(F132=F131,F132=F133)),NA(), F132)</f>
        <v>0</v>
      </c>
      <c r="G214">
        <f>IF(ISNA(H214),NA(),G132)</f>
        <v>0</v>
      </c>
      <c r="H214">
        <f>IF(OR(H132="",AND(H132=H131,H132=H133)),NA(), H132)</f>
        <v>0</v>
      </c>
      <c r="I214">
        <f>IF(ISNA(J214),NA(),I132)</f>
        <v>0</v>
      </c>
      <c r="J214">
        <f>IF(OR(J132="",AND(J132=J131,J132=J133)),NA(), J132)</f>
        <v>0</v>
      </c>
      <c r="K214">
        <f>IF(ISNA(L214),NA(),K132)</f>
        <v>0</v>
      </c>
      <c r="L214">
        <f>IF(OR(L132="",AND(L132=L131,L132=L133)),NA(), L132)</f>
        <v>0</v>
      </c>
      <c r="M214">
        <f>IF(ISNA(N214),NA(),M132)</f>
        <v>0</v>
      </c>
      <c r="N214">
        <f>IF(OR(N132="",AND(N132=N131,N132=N133)),NA(), N132)</f>
        <v>0</v>
      </c>
      <c r="O214">
        <f>IF(ISNA(P214),NA(),O132)</f>
        <v>0</v>
      </c>
      <c r="P214">
        <f>IF(OR(P132="",AND(P132=P131,P132=P133)),NA(), P132)</f>
        <v>0</v>
      </c>
      <c r="Q214">
        <f>IF(ISNA(R214),NA(),Q132)</f>
        <v>0</v>
      </c>
      <c r="R214">
        <f>IF(OR(R132="",AND(R132=R131,R132=R133)),NA(), R132)</f>
        <v>0</v>
      </c>
      <c r="S214">
        <f>IF(ISNA(T214),NA(),S132)</f>
        <v>0</v>
      </c>
      <c r="T214">
        <f>IF(OR(T132="",AND(T132=T131,T132=T133)),NA(), T132)</f>
        <v>0</v>
      </c>
      <c r="U214">
        <f>IF(ISNA(V214),NA(),U132)</f>
        <v>0</v>
      </c>
      <c r="V214">
        <f>IF(OR(V132="",AND(V132=V131,V132=V133)),NA(), V132)</f>
        <v>0</v>
      </c>
      <c r="W214">
        <f>IF(ISNA(X214),NA(),W132)</f>
        <v>0</v>
      </c>
      <c r="X214">
        <f>IF(OR(X132="",AND(X132=X131,X132=X133)),NA(), X132)</f>
        <v>0</v>
      </c>
      <c r="Y214">
        <f>IF(ISNA(Z214),NA(),Y132)</f>
        <v>0</v>
      </c>
      <c r="Z214">
        <f>IF(OR(Z132="",AND(Z132=Z131,Z132=Z133)),NA(), Z132)</f>
        <v>0</v>
      </c>
      <c r="AA214">
        <f>IF(ISNA(AB214),NA(),AA132)</f>
        <v>0</v>
      </c>
      <c r="AB214">
        <f>IF(OR(AB132="",AND(AB132=AB131,AB132=AB133)),NA(), AB132)</f>
        <v>0</v>
      </c>
      <c r="AC214">
        <f>IF(ISNA(AD214),NA(),AC132)</f>
        <v>0</v>
      </c>
      <c r="AD214">
        <f>IF(OR(AD132="",AND(AD132=AD131,AD132=AD133)),NA(), AD132)</f>
        <v>0</v>
      </c>
      <c r="AE214">
        <f>IF(ISNA(AF214),NA(),AE132)</f>
        <v>0</v>
      </c>
      <c r="AF214">
        <f>IF(OR(AF132="",AND(AF132=AF131,AF132=AF133)),NA(), AF132)</f>
        <v>0</v>
      </c>
      <c r="AG214">
        <f>IF(ISNA(AH214),NA(),AG132)</f>
        <v>0</v>
      </c>
      <c r="AH214">
        <f>IF(OR(AH132="",AND(AH132=AH131,AH132=AH133)),NA(), AH132)</f>
        <v>0</v>
      </c>
      <c r="AI214">
        <f>IF(ISNA(AJ214),NA(),AI132)</f>
        <v>0</v>
      </c>
      <c r="AJ214">
        <f>IF(OR(AJ132="",AND(AJ132=AJ131,AJ132=AJ133)),NA(), AJ132)</f>
        <v>0</v>
      </c>
      <c r="AK214">
        <f>IF(ISNA(AL214),NA(),AK132)</f>
        <v>0</v>
      </c>
      <c r="AL214">
        <f>IF(OR(AL132="",AND(AL132=AL131,AL132=AL133)),NA(), AL132)</f>
        <v>0</v>
      </c>
      <c r="AM214">
        <f>IF(ISNA(AN214),NA(),AM132)</f>
        <v>0</v>
      </c>
      <c r="AN214">
        <f>IF(OR(AN132="",AND(AN132=AN131,AN132=AN133)),NA(), AN132)</f>
        <v>0</v>
      </c>
      <c r="AO214">
        <f>IF(ISNA(AP214),NA(),AO132)</f>
        <v>0</v>
      </c>
      <c r="AP214">
        <f>IF(OR(AP132="",AND(AP132=AP131,AP132=AP133)),NA(), AP132)</f>
        <v>0</v>
      </c>
      <c r="AQ214">
        <f>IF(ISNA(AR214),NA(),AQ132)</f>
        <v>0</v>
      </c>
      <c r="AR214">
        <f>IF(OR(AR132="",AND(AR132=AR131,AR132=AR133)),NA(), AR132)</f>
        <v>0</v>
      </c>
      <c r="AS214">
        <f>IF(ISNA(AT214),NA(),AS132)</f>
        <v>0</v>
      </c>
      <c r="AT214">
        <f>IF(OR(AT132="",AND(AT132=AT131,AT132=AT133)),NA(), AT132)</f>
        <v>0</v>
      </c>
      <c r="AU214">
        <f>IF(ISNA(AV214),NA(),AU132)</f>
        <v>0</v>
      </c>
      <c r="AV214">
        <f>IF(OR(AV132="",AND(AV132=AV131,AV132=AV133)),NA(), AV132)</f>
        <v>0</v>
      </c>
      <c r="AW214">
        <f>IF(ISNA(AX214),NA(),AW132)</f>
        <v>0</v>
      </c>
      <c r="AX214">
        <f>IF(OR(AX132="",AND(AX132=AX131,AX132=AX133)),NA(), AX132)</f>
        <v>0</v>
      </c>
      <c r="AY214">
        <f>IF(ISNA(AZ214),NA(),AY132)</f>
        <v>0</v>
      </c>
      <c r="AZ214">
        <f>IF(OR(AZ132="",AND(AZ132=AZ131,AZ132=AZ133)),NA(), AZ132)</f>
        <v>0</v>
      </c>
      <c r="BA214">
        <f>IF(ISNA(BB214),NA(),BA132)</f>
        <v>0</v>
      </c>
      <c r="BB214">
        <f>IF(OR(BB132="",AND(BB132=BB131,BB132=BB133)),NA(), BB132)</f>
        <v>0</v>
      </c>
      <c r="BC214">
        <f>IF(ISNA(BD214),NA(),BC132)</f>
        <v>0</v>
      </c>
      <c r="BD214">
        <f>IF(OR(BD132="",AND(BD132=BD131,BD132=BD133)),NA(), BD132)</f>
        <v>0</v>
      </c>
      <c r="BE214">
        <f>IF(ISNA(BF214),NA(),BE132)</f>
        <v>0</v>
      </c>
      <c r="BF214">
        <f>IF(OR(BF132="",AND(BF132=BF131,BF132=BF133)),NA(), BF132)</f>
        <v>0</v>
      </c>
      <c r="BG214">
        <f>IF(ISNA(BH214),NA(),BG132)</f>
        <v>0</v>
      </c>
      <c r="BH214">
        <f>IF(OR(BH132="",AND(BH132=BH131,BH132=BH133)),NA(), BH132)</f>
        <v>0</v>
      </c>
      <c r="BI214">
        <f>IF(ISNA(BJ214),NA(),BI132)</f>
        <v>0</v>
      </c>
      <c r="BJ214">
        <f>IF(OR(BJ132="",AND(BJ132=BJ131,BJ132=BJ133)),NA(), BJ132)</f>
        <v>0</v>
      </c>
      <c r="BK214">
        <f>IF(ISNA(BL214),NA(),BK132)</f>
        <v>0</v>
      </c>
      <c r="BL214">
        <f>IF(OR(BL132="",AND(BL132=BL131,BL132=BL133)),NA(), BL132)</f>
        <v>0</v>
      </c>
      <c r="BM214">
        <f>IF(ISNA(BN214),NA(),BM132)</f>
        <v>0</v>
      </c>
      <c r="BN214">
        <f>IF(OR(BN132="",AND(BN132=BN131,BN132=BN133)),NA(), BN132)</f>
        <v>0</v>
      </c>
      <c r="BO214">
        <f>IF(ISNA(BP214),NA(),BO132)</f>
        <v>0</v>
      </c>
      <c r="BP214">
        <f>IF(OR(BP132="",AND(BP132=BP131,BP132=BP133)),NA(), BP132)</f>
        <v>0</v>
      </c>
      <c r="BS214">
        <f>IF(ISNA(BT214),NA(),BS132)</f>
        <v>0</v>
      </c>
      <c r="BT214">
        <f>IF(OR(BT132="",AND(BT132=BT131,BT132=BT133)),NA(), BT132)</f>
        <v>0</v>
      </c>
      <c r="BU214">
        <f>IF(ISNA(BV214),NA(),BU132)</f>
        <v>0</v>
      </c>
      <c r="BV214">
        <f>IF(OR(BV132="",AND(BV132=BV131,BV132=BV133)),NA(), BV132)</f>
        <v>0</v>
      </c>
      <c r="BW214">
        <f>IF(ISNA(BX214),NA(),BW132)</f>
        <v>0</v>
      </c>
      <c r="BX214">
        <f>IF(OR(BX132="",AND(BX132=BX131,BX132=BX133)),NA(), BX132)</f>
        <v>0</v>
      </c>
      <c r="BY214">
        <f>IF(ISNA(BZ214),NA(),BY132)</f>
        <v>0</v>
      </c>
      <c r="BZ214">
        <f>IF(OR(BZ132="",AND(BZ132=BZ131,BZ132=BZ133)),NA(), BZ132)</f>
        <v>0</v>
      </c>
      <c r="CA214">
        <f>IF(ISNA(CB214),NA(),CA132)</f>
        <v>0</v>
      </c>
      <c r="CB214">
        <f>IF(OR(CB132="",AND(CB132=CB131,CB132=CB133)),NA(), CB132)</f>
        <v>0</v>
      </c>
      <c r="CC214">
        <f>IF(ISNA(CD214),NA(),CC132)</f>
        <v>0</v>
      </c>
      <c r="CD214">
        <f>IF(OR(CD132="",AND(CD132=CD131,CD132=CD133)),NA(), CD132)</f>
        <v>0</v>
      </c>
      <c r="CE214">
        <f>IF(ISNA(CF214),NA(),CE132)</f>
        <v>0</v>
      </c>
      <c r="CF214">
        <f>IF(OR(CF132="",AND(CF132=CF131,CF132=CF133)),NA(), CF132)</f>
        <v>0</v>
      </c>
      <c r="CG214">
        <f>IF(ISNA(CH214),NA(),CG132)</f>
        <v>0</v>
      </c>
      <c r="CH214">
        <f>IF(OR(CH132="",AND(CH132=CH131,CH132=CH133)),NA(), CH132)</f>
        <v>0</v>
      </c>
      <c r="CI214">
        <f>IF(ISNA(CJ214),NA(),CI132)</f>
        <v>0</v>
      </c>
      <c r="CJ214">
        <f>IF(OR(CJ132="",AND(CJ132=CJ131,CJ132=CJ133)),NA(), CJ132)</f>
        <v>0</v>
      </c>
      <c r="CK214">
        <f>IF(ISNA(CL214),NA(),CK132)</f>
        <v>0</v>
      </c>
      <c r="CL214">
        <f>IF(OR(CL132="",AND(CL132=CL131,CL132=CL133)),NA(), CL132)</f>
        <v>0</v>
      </c>
      <c r="CM214">
        <f>IF(ISNA(CN214),NA(),CM132)</f>
        <v>0</v>
      </c>
      <c r="CN214">
        <f>IF(OR(CN132="",AND(CN132=CN131,CN132=CN133)),NA(), CN132)</f>
        <v>0</v>
      </c>
      <c r="CO214">
        <f>IF(ISNA(CP214),NA(),CO132)</f>
        <v>0</v>
      </c>
      <c r="CP214">
        <f>IF(OR(CP132="",AND(CP132=CP131,CP132=CP133)),NA(), CP132)</f>
        <v>0</v>
      </c>
      <c r="CQ214">
        <f>IF(ISNA(CR214),NA(),CQ132)</f>
        <v>0</v>
      </c>
      <c r="CR214">
        <f>IF(OR(CR132="",AND(CR132=CR131,CR132=CR133)),NA(), CR132)</f>
        <v>0</v>
      </c>
      <c r="CS214">
        <f>IF(ISNA(CT214),NA(),CS132)</f>
        <v>0</v>
      </c>
      <c r="CT214">
        <f>IF(OR(CT132="",AND(CT132=CT131,CT132=CT133)),NA(), CT132)</f>
        <v>0</v>
      </c>
      <c r="CU214">
        <f>IF(ISNA(CV214),NA(),CU132)</f>
        <v>0</v>
      </c>
      <c r="CV214">
        <f>IF(OR(CV132="",AND(CV132=CV131,CV132=CV133)),NA(), CV132)</f>
        <v>0</v>
      </c>
      <c r="CW214">
        <f>IF(ISNA(CX214),NA(),CW132)</f>
        <v>0</v>
      </c>
      <c r="CX214">
        <f>IF(OR(CX132="",AND(CX132=CX131,CX132=CX133)),NA(), CX132)</f>
        <v>0</v>
      </c>
      <c r="CY214">
        <f>IF(ISNA(CZ214),NA(),CY132)</f>
        <v>0</v>
      </c>
      <c r="CZ214">
        <f>IF(OR(CZ132="",AND(CZ132=CZ131,CZ132=CZ133)),NA(), CZ132)</f>
        <v>0</v>
      </c>
      <c r="DA214">
        <f>IF(ISNA(DB214),NA(),DA132)</f>
        <v>0</v>
      </c>
      <c r="DB214">
        <f>IF(OR(DB132="",AND(DB132=DB131,DB132=DB133)),NA(), DB132)</f>
        <v>0</v>
      </c>
      <c r="DC214">
        <f>IF(ISNA(DD214),NA(),DC132)</f>
        <v>0</v>
      </c>
      <c r="DD214">
        <f>IF(OR(DD132="",AND(DD132=DD131,DD132=DD133)),NA(), DD132)</f>
        <v>0</v>
      </c>
      <c r="DE214">
        <f>IF(ISNA(DF214),NA(),DE132)</f>
        <v>0</v>
      </c>
      <c r="DF214">
        <f>IF(OR(DF132="",AND(DF132=DF131,DF132=DF133)),NA(), DF132)</f>
        <v>0</v>
      </c>
      <c r="DG214">
        <f>IF(ISNA(DH214),NA(),DG132)</f>
        <v>0</v>
      </c>
      <c r="DH214">
        <f>IF(OR(DH132="",AND(DH132=DH131,DH132=DH133)),NA(), DH132)</f>
        <v>0</v>
      </c>
      <c r="DI214">
        <f>IF(ISNA(DJ214),NA(),DI132)</f>
        <v>0</v>
      </c>
      <c r="DJ214">
        <f>IF(OR(DJ132="",AND(DJ132=DJ131,DJ132=DJ133)),NA(), DJ132)</f>
        <v>0</v>
      </c>
      <c r="DK214">
        <f>IF(ISNA(DL214),NA(),DK132)</f>
        <v>0</v>
      </c>
      <c r="DL214">
        <f>IF(OR(DL132="",AND(DL132=DL131,DL132=DL133)),NA(), DL132)</f>
        <v>0</v>
      </c>
      <c r="DM214">
        <f>IF(ISNA(DN214),NA(),DM132)</f>
        <v>0</v>
      </c>
      <c r="DN214">
        <f>IF(OR(DN132="",AND(DN132=DN131,DN132=DN133)),NA(), DN132)</f>
        <v>0</v>
      </c>
      <c r="DO214">
        <f>IF(ISNA(DP214),NA(),DO132)</f>
        <v>0</v>
      </c>
      <c r="DP214">
        <f>IF(OR(DP132="",AND(DP132=DP131,DP132=DP133)),NA(), DP132)</f>
        <v>0</v>
      </c>
      <c r="DQ214">
        <f>IF(ISNA(DR214),NA(),DQ132)</f>
        <v>0</v>
      </c>
      <c r="DR214">
        <f>IF(OR(DR132="",AND(DR132=DR131,DR132=DR133)),NA(), DR132)</f>
        <v>0</v>
      </c>
      <c r="DS214">
        <f>IF(ISNA(DT214),NA(),DS132)</f>
        <v>0</v>
      </c>
      <c r="DT214">
        <f>IF(OR(DT132="",AND(DT132=DT131,DT132=DT133)),NA(), DT132)</f>
        <v>0</v>
      </c>
      <c r="DU214">
        <f>IF(ISNA(DV214),NA(),DU132)</f>
        <v>0</v>
      </c>
      <c r="DV214">
        <f>IF(OR(DV132="",AND(DV132=DV131,DV132=DV133)),NA(), DV132)</f>
        <v>0</v>
      </c>
      <c r="DW214">
        <f>IF(ISNA(DX214),NA(),DW132)</f>
        <v>0</v>
      </c>
      <c r="DX214">
        <f>IF(OR(DX132="",AND(DX132=DX131,DX132=DX133)),NA(), DX132)</f>
        <v>0</v>
      </c>
      <c r="DY214">
        <f>IF(ISNA(DZ214),NA(),DY132)</f>
        <v>0</v>
      </c>
      <c r="DZ214">
        <f>IF(OR(DZ132="",AND(DZ132=DZ131,DZ132=DZ133)),NA(), DZ132)</f>
        <v>0</v>
      </c>
      <c r="EA214">
        <f>IF(ISNA(EB214),NA(),EA132)</f>
        <v>0</v>
      </c>
      <c r="EB214">
        <f>IF(OR(EB132="",AND(EB132=EB131,EB132=EB133)),NA(), EB132)</f>
        <v>0</v>
      </c>
      <c r="EC214">
        <f>IF(ISNA(ED214),NA(),EC132)</f>
        <v>0</v>
      </c>
      <c r="ED214">
        <f>IF(OR(ED132="",AND(ED132=ED131,ED132=ED133)),NA(), ED132)</f>
        <v>0</v>
      </c>
    </row>
    <row r="215" spans="4:134">
      <c r="E215">
        <f>IF(ISNA(F215),NA(),E133)</f>
        <v>0</v>
      </c>
      <c r="F215">
        <f>IF(OR(F133="",AND(F133=F132,F133=F134)),NA(), F133)</f>
        <v>0</v>
      </c>
      <c r="G215">
        <f>IF(ISNA(H215),NA(),G133)</f>
        <v>0</v>
      </c>
      <c r="H215">
        <f>IF(OR(H133="",AND(H133=H132,H133=H134)),NA(), H133)</f>
        <v>0</v>
      </c>
      <c r="I215">
        <f>IF(ISNA(J215),NA(),I133)</f>
        <v>0</v>
      </c>
      <c r="J215">
        <f>IF(OR(J133="",AND(J133=J132,J133=J134)),NA(), J133)</f>
        <v>0</v>
      </c>
      <c r="K215">
        <f>IF(ISNA(L215),NA(),K133)</f>
        <v>0</v>
      </c>
      <c r="L215">
        <f>IF(OR(L133="",AND(L133=L132,L133=L134)),NA(), L133)</f>
        <v>0</v>
      </c>
      <c r="M215">
        <f>IF(ISNA(N215),NA(),M133)</f>
        <v>0</v>
      </c>
      <c r="N215">
        <f>IF(OR(N133="",AND(N133=N132,N133=N134)),NA(), N133)</f>
        <v>0</v>
      </c>
      <c r="O215">
        <f>IF(ISNA(P215),NA(),O133)</f>
        <v>0</v>
      </c>
      <c r="P215">
        <f>IF(OR(P133="",AND(P133=P132,P133=P134)),NA(), P133)</f>
        <v>0</v>
      </c>
      <c r="Q215">
        <f>IF(ISNA(R215),NA(),Q133)</f>
        <v>0</v>
      </c>
      <c r="R215">
        <f>IF(OR(R133="",AND(R133=R132,R133=R134)),NA(), R133)</f>
        <v>0</v>
      </c>
      <c r="S215">
        <f>IF(ISNA(T215),NA(),S133)</f>
        <v>0</v>
      </c>
      <c r="T215">
        <f>IF(OR(T133="",AND(T133=T132,T133=T134)),NA(), T133)</f>
        <v>0</v>
      </c>
      <c r="U215">
        <f>IF(ISNA(V215),NA(),U133)</f>
        <v>0</v>
      </c>
      <c r="V215">
        <f>IF(OR(V133="",AND(V133=V132,V133=V134)),NA(), V133)</f>
        <v>0</v>
      </c>
      <c r="W215">
        <f>IF(ISNA(X215),NA(),W133)</f>
        <v>0</v>
      </c>
      <c r="X215">
        <f>IF(OR(X133="",AND(X133=X132,X133=X134)),NA(), X133)</f>
        <v>0</v>
      </c>
      <c r="Y215">
        <f>IF(ISNA(Z215),NA(),Y133)</f>
        <v>0</v>
      </c>
      <c r="Z215">
        <f>IF(OR(Z133="",AND(Z133=Z132,Z133=Z134)),NA(), Z133)</f>
        <v>0</v>
      </c>
      <c r="AA215">
        <f>IF(ISNA(AB215),NA(),AA133)</f>
        <v>0</v>
      </c>
      <c r="AB215">
        <f>IF(OR(AB133="",AND(AB133=AB132,AB133=AB134)),NA(), AB133)</f>
        <v>0</v>
      </c>
      <c r="AC215">
        <f>IF(ISNA(AD215),NA(),AC133)</f>
        <v>0</v>
      </c>
      <c r="AD215">
        <f>IF(OR(AD133="",AND(AD133=AD132,AD133=AD134)),NA(), AD133)</f>
        <v>0</v>
      </c>
      <c r="AE215">
        <f>IF(ISNA(AF215),NA(),AE133)</f>
        <v>0</v>
      </c>
      <c r="AF215">
        <f>IF(OR(AF133="",AND(AF133=AF132,AF133=AF134)),NA(), AF133)</f>
        <v>0</v>
      </c>
      <c r="AG215">
        <f>IF(ISNA(AH215),NA(),AG133)</f>
        <v>0</v>
      </c>
      <c r="AH215">
        <f>IF(OR(AH133="",AND(AH133=AH132,AH133=AH134)),NA(), AH133)</f>
        <v>0</v>
      </c>
      <c r="AI215">
        <f>IF(ISNA(AJ215),NA(),AI133)</f>
        <v>0</v>
      </c>
      <c r="AJ215">
        <f>IF(OR(AJ133="",AND(AJ133=AJ132,AJ133=AJ134)),NA(), AJ133)</f>
        <v>0</v>
      </c>
      <c r="AK215">
        <f>IF(ISNA(AL215),NA(),AK133)</f>
        <v>0</v>
      </c>
      <c r="AL215">
        <f>IF(OR(AL133="",AND(AL133=AL132,AL133=AL134)),NA(), AL133)</f>
        <v>0</v>
      </c>
      <c r="AM215">
        <f>IF(ISNA(AN215),NA(),AM133)</f>
        <v>0</v>
      </c>
      <c r="AN215">
        <f>IF(OR(AN133="",AND(AN133=AN132,AN133=AN134)),NA(), AN133)</f>
        <v>0</v>
      </c>
      <c r="AO215">
        <f>IF(ISNA(AP215),NA(),AO133)</f>
        <v>0</v>
      </c>
      <c r="AP215">
        <f>IF(OR(AP133="",AND(AP133=AP132,AP133=AP134)),NA(), AP133)</f>
        <v>0</v>
      </c>
      <c r="AQ215">
        <f>IF(ISNA(AR215),NA(),AQ133)</f>
        <v>0</v>
      </c>
      <c r="AR215">
        <f>IF(OR(AR133="",AND(AR133=AR132,AR133=AR134)),NA(), AR133)</f>
        <v>0</v>
      </c>
      <c r="AS215">
        <f>IF(ISNA(AT215),NA(),AS133)</f>
        <v>0</v>
      </c>
      <c r="AT215">
        <f>IF(OR(AT133="",AND(AT133=AT132,AT133=AT134)),NA(), AT133)</f>
        <v>0</v>
      </c>
      <c r="AU215">
        <f>IF(ISNA(AV215),NA(),AU133)</f>
        <v>0</v>
      </c>
      <c r="AV215">
        <f>IF(OR(AV133="",AND(AV133=AV132,AV133=AV134)),NA(), AV133)</f>
        <v>0</v>
      </c>
      <c r="AW215">
        <f>IF(ISNA(AX215),NA(),AW133)</f>
        <v>0</v>
      </c>
      <c r="AX215">
        <f>IF(OR(AX133="",AND(AX133=AX132,AX133=AX134)),NA(), AX133)</f>
        <v>0</v>
      </c>
      <c r="AY215">
        <f>IF(ISNA(AZ215),NA(),AY133)</f>
        <v>0</v>
      </c>
      <c r="AZ215">
        <f>IF(OR(AZ133="",AND(AZ133=AZ132,AZ133=AZ134)),NA(), AZ133)</f>
        <v>0</v>
      </c>
      <c r="BA215">
        <f>IF(ISNA(BB215),NA(),BA133)</f>
        <v>0</v>
      </c>
      <c r="BB215">
        <f>IF(OR(BB133="",AND(BB133=BB132,BB133=BB134)),NA(), BB133)</f>
        <v>0</v>
      </c>
      <c r="BC215">
        <f>IF(ISNA(BD215),NA(),BC133)</f>
        <v>0</v>
      </c>
      <c r="BD215">
        <f>IF(OR(BD133="",AND(BD133=BD132,BD133=BD134)),NA(), BD133)</f>
        <v>0</v>
      </c>
      <c r="BE215">
        <f>IF(ISNA(BF215),NA(),BE133)</f>
        <v>0</v>
      </c>
      <c r="BF215">
        <f>IF(OR(BF133="",AND(BF133=BF132,BF133=BF134)),NA(), BF133)</f>
        <v>0</v>
      </c>
      <c r="BG215">
        <f>IF(ISNA(BH215),NA(),BG133)</f>
        <v>0</v>
      </c>
      <c r="BH215">
        <f>IF(OR(BH133="",AND(BH133=BH132,BH133=BH134)),NA(), BH133)</f>
        <v>0</v>
      </c>
      <c r="BI215">
        <f>IF(ISNA(BJ215),NA(),BI133)</f>
        <v>0</v>
      </c>
      <c r="BJ215">
        <f>IF(OR(BJ133="",AND(BJ133=BJ132,BJ133=BJ134)),NA(), BJ133)</f>
        <v>0</v>
      </c>
      <c r="BK215">
        <f>IF(ISNA(BL215),NA(),BK133)</f>
        <v>0</v>
      </c>
      <c r="BL215">
        <f>IF(OR(BL133="",AND(BL133=BL132,BL133=BL134)),NA(), BL133)</f>
        <v>0</v>
      </c>
      <c r="BM215">
        <f>IF(ISNA(BN215),NA(),BM133)</f>
        <v>0</v>
      </c>
      <c r="BN215">
        <f>IF(OR(BN133="",AND(BN133=BN132,BN133=BN134)),NA(), BN133)</f>
        <v>0</v>
      </c>
      <c r="BO215">
        <f>IF(ISNA(BP215),NA(),BO133)</f>
        <v>0</v>
      </c>
      <c r="BP215">
        <f>IF(OR(BP133="",AND(BP133=BP132,BP133=BP134)),NA(), BP133)</f>
        <v>0</v>
      </c>
      <c r="BS215">
        <f>IF(ISNA(BT215),NA(),BS133)</f>
        <v>0</v>
      </c>
      <c r="BT215">
        <f>IF(OR(BT133="",AND(BT133=BT132,BT133=BT134)),NA(), BT133)</f>
        <v>0</v>
      </c>
      <c r="BU215">
        <f>IF(ISNA(BV215),NA(),BU133)</f>
        <v>0</v>
      </c>
      <c r="BV215">
        <f>IF(OR(BV133="",AND(BV133=BV132,BV133=BV134)),NA(), BV133)</f>
        <v>0</v>
      </c>
      <c r="BW215">
        <f>IF(ISNA(BX215),NA(),BW133)</f>
        <v>0</v>
      </c>
      <c r="BX215">
        <f>IF(OR(BX133="",AND(BX133=BX132,BX133=BX134)),NA(), BX133)</f>
        <v>0</v>
      </c>
      <c r="BY215">
        <f>IF(ISNA(BZ215),NA(),BY133)</f>
        <v>0</v>
      </c>
      <c r="BZ215">
        <f>IF(OR(BZ133="",AND(BZ133=BZ132,BZ133=BZ134)),NA(), BZ133)</f>
        <v>0</v>
      </c>
      <c r="CA215">
        <f>IF(ISNA(CB215),NA(),CA133)</f>
        <v>0</v>
      </c>
      <c r="CB215">
        <f>IF(OR(CB133="",AND(CB133=CB132,CB133=CB134)),NA(), CB133)</f>
        <v>0</v>
      </c>
      <c r="CC215">
        <f>IF(ISNA(CD215),NA(),CC133)</f>
        <v>0</v>
      </c>
      <c r="CD215">
        <f>IF(OR(CD133="",AND(CD133=CD132,CD133=CD134)),NA(), CD133)</f>
        <v>0</v>
      </c>
      <c r="CE215">
        <f>IF(ISNA(CF215),NA(),CE133)</f>
        <v>0</v>
      </c>
      <c r="CF215">
        <f>IF(OR(CF133="",AND(CF133=CF132,CF133=CF134)),NA(), CF133)</f>
        <v>0</v>
      </c>
      <c r="CG215">
        <f>IF(ISNA(CH215),NA(),CG133)</f>
        <v>0</v>
      </c>
      <c r="CH215">
        <f>IF(OR(CH133="",AND(CH133=CH132,CH133=CH134)),NA(), CH133)</f>
        <v>0</v>
      </c>
      <c r="CI215">
        <f>IF(ISNA(CJ215),NA(),CI133)</f>
        <v>0</v>
      </c>
      <c r="CJ215">
        <f>IF(OR(CJ133="",AND(CJ133=CJ132,CJ133=CJ134)),NA(), CJ133)</f>
        <v>0</v>
      </c>
      <c r="CK215">
        <f>IF(ISNA(CL215),NA(),CK133)</f>
        <v>0</v>
      </c>
      <c r="CL215">
        <f>IF(OR(CL133="",AND(CL133=CL132,CL133=CL134)),NA(), CL133)</f>
        <v>0</v>
      </c>
      <c r="CM215">
        <f>IF(ISNA(CN215),NA(),CM133)</f>
        <v>0</v>
      </c>
      <c r="CN215">
        <f>IF(OR(CN133="",AND(CN133=CN132,CN133=CN134)),NA(), CN133)</f>
        <v>0</v>
      </c>
      <c r="CO215">
        <f>IF(ISNA(CP215),NA(),CO133)</f>
        <v>0</v>
      </c>
      <c r="CP215">
        <f>IF(OR(CP133="",AND(CP133=CP132,CP133=CP134)),NA(), CP133)</f>
        <v>0</v>
      </c>
      <c r="CQ215">
        <f>IF(ISNA(CR215),NA(),CQ133)</f>
        <v>0</v>
      </c>
      <c r="CR215">
        <f>IF(OR(CR133="",AND(CR133=CR132,CR133=CR134)),NA(), CR133)</f>
        <v>0</v>
      </c>
      <c r="CS215">
        <f>IF(ISNA(CT215),NA(),CS133)</f>
        <v>0</v>
      </c>
      <c r="CT215">
        <f>IF(OR(CT133="",AND(CT133=CT132,CT133=CT134)),NA(), CT133)</f>
        <v>0</v>
      </c>
      <c r="CU215">
        <f>IF(ISNA(CV215),NA(),CU133)</f>
        <v>0</v>
      </c>
      <c r="CV215">
        <f>IF(OR(CV133="",AND(CV133=CV132,CV133=CV134)),NA(), CV133)</f>
        <v>0</v>
      </c>
      <c r="CW215">
        <f>IF(ISNA(CX215),NA(),CW133)</f>
        <v>0</v>
      </c>
      <c r="CX215">
        <f>IF(OR(CX133="",AND(CX133=CX132,CX133=CX134)),NA(), CX133)</f>
        <v>0</v>
      </c>
      <c r="CY215">
        <f>IF(ISNA(CZ215),NA(),CY133)</f>
        <v>0</v>
      </c>
      <c r="CZ215">
        <f>IF(OR(CZ133="",AND(CZ133=CZ132,CZ133=CZ134)),NA(), CZ133)</f>
        <v>0</v>
      </c>
      <c r="DA215">
        <f>IF(ISNA(DB215),NA(),DA133)</f>
        <v>0</v>
      </c>
      <c r="DB215">
        <f>IF(OR(DB133="",AND(DB133=DB132,DB133=DB134)),NA(), DB133)</f>
        <v>0</v>
      </c>
      <c r="DC215">
        <f>IF(ISNA(DD215),NA(),DC133)</f>
        <v>0</v>
      </c>
      <c r="DD215">
        <f>IF(OR(DD133="",AND(DD133=DD132,DD133=DD134)),NA(), DD133)</f>
        <v>0</v>
      </c>
      <c r="DE215">
        <f>IF(ISNA(DF215),NA(),DE133)</f>
        <v>0</v>
      </c>
      <c r="DF215">
        <f>IF(OR(DF133="",AND(DF133=DF132,DF133=DF134)),NA(), DF133)</f>
        <v>0</v>
      </c>
      <c r="DG215">
        <f>IF(ISNA(DH215),NA(),DG133)</f>
        <v>0</v>
      </c>
      <c r="DH215">
        <f>IF(OR(DH133="",AND(DH133=DH132,DH133=DH134)),NA(), DH133)</f>
        <v>0</v>
      </c>
      <c r="DI215">
        <f>IF(ISNA(DJ215),NA(),DI133)</f>
        <v>0</v>
      </c>
      <c r="DJ215">
        <f>IF(OR(DJ133="",AND(DJ133=DJ132,DJ133=DJ134)),NA(), DJ133)</f>
        <v>0</v>
      </c>
      <c r="DK215">
        <f>IF(ISNA(DL215),NA(),DK133)</f>
        <v>0</v>
      </c>
      <c r="DL215">
        <f>IF(OR(DL133="",AND(DL133=DL132,DL133=DL134)),NA(), DL133)</f>
        <v>0</v>
      </c>
      <c r="DM215">
        <f>IF(ISNA(DN215),NA(),DM133)</f>
        <v>0</v>
      </c>
      <c r="DN215">
        <f>IF(OR(DN133="",AND(DN133=DN132,DN133=DN134)),NA(), DN133)</f>
        <v>0</v>
      </c>
      <c r="DO215">
        <f>IF(ISNA(DP215),NA(),DO133)</f>
        <v>0</v>
      </c>
      <c r="DP215">
        <f>IF(OR(DP133="",AND(DP133=DP132,DP133=DP134)),NA(), DP133)</f>
        <v>0</v>
      </c>
      <c r="DQ215">
        <f>IF(ISNA(DR215),NA(),DQ133)</f>
        <v>0</v>
      </c>
      <c r="DR215">
        <f>IF(OR(DR133="",AND(DR133=DR132,DR133=DR134)),NA(), DR133)</f>
        <v>0</v>
      </c>
      <c r="DS215">
        <f>IF(ISNA(DT215),NA(),DS133)</f>
        <v>0</v>
      </c>
      <c r="DT215">
        <f>IF(OR(DT133="",AND(DT133=DT132,DT133=DT134)),NA(), DT133)</f>
        <v>0</v>
      </c>
      <c r="DU215">
        <f>IF(ISNA(DV215),NA(),DU133)</f>
        <v>0</v>
      </c>
      <c r="DV215">
        <f>IF(OR(DV133="",AND(DV133=DV132,DV133=DV134)),NA(), DV133)</f>
        <v>0</v>
      </c>
      <c r="DW215">
        <f>IF(ISNA(DX215),NA(),DW133)</f>
        <v>0</v>
      </c>
      <c r="DX215">
        <f>IF(OR(DX133="",AND(DX133=DX132,DX133=DX134)),NA(), DX133)</f>
        <v>0</v>
      </c>
      <c r="DY215">
        <f>IF(ISNA(DZ215),NA(),DY133)</f>
        <v>0</v>
      </c>
      <c r="DZ215">
        <f>IF(OR(DZ133="",AND(DZ133=DZ132,DZ133=DZ134)),NA(), DZ133)</f>
        <v>0</v>
      </c>
      <c r="EA215">
        <f>IF(ISNA(EB215),NA(),EA133)</f>
        <v>0</v>
      </c>
      <c r="EB215">
        <f>IF(OR(EB133="",AND(EB133=EB132,EB133=EB134)),NA(), EB133)</f>
        <v>0</v>
      </c>
      <c r="EC215">
        <f>IF(ISNA(ED215),NA(),EC133)</f>
        <v>0</v>
      </c>
      <c r="ED215">
        <f>IF(OR(ED133="",AND(ED133=ED132,ED133=ED134)),NA(), ED133)</f>
        <v>0</v>
      </c>
    </row>
    <row r="216" spans="4:134">
      <c r="E216">
        <f>IF(ISNA(F216),NA(),E134)</f>
        <v>0</v>
      </c>
      <c r="F216">
        <f>IF(OR(F134="",AND(F134=F133,F134=F135)),NA(), F134)</f>
        <v>0</v>
      </c>
      <c r="G216">
        <f>IF(ISNA(H216),NA(),G134)</f>
        <v>0</v>
      </c>
      <c r="H216">
        <f>IF(OR(H134="",AND(H134=H133,H134=H135)),NA(), H134)</f>
        <v>0</v>
      </c>
      <c r="I216">
        <f>IF(ISNA(J216),NA(),I134)</f>
        <v>0</v>
      </c>
      <c r="J216">
        <f>IF(OR(J134="",AND(J134=J133,J134=J135)),NA(), J134)</f>
        <v>0</v>
      </c>
      <c r="K216">
        <f>IF(ISNA(L216),NA(),K134)</f>
        <v>0</v>
      </c>
      <c r="L216">
        <f>IF(OR(L134="",AND(L134=L133,L134=L135)),NA(), L134)</f>
        <v>0</v>
      </c>
      <c r="M216">
        <f>IF(ISNA(N216),NA(),M134)</f>
        <v>0</v>
      </c>
      <c r="N216">
        <f>IF(OR(N134="",AND(N134=N133,N134=N135)),NA(), N134)</f>
        <v>0</v>
      </c>
      <c r="O216">
        <f>IF(ISNA(P216),NA(),O134)</f>
        <v>0</v>
      </c>
      <c r="P216">
        <f>IF(OR(P134="",AND(P134=P133,P134=P135)),NA(), P134)</f>
        <v>0</v>
      </c>
      <c r="Q216">
        <f>IF(ISNA(R216),NA(),Q134)</f>
        <v>0</v>
      </c>
      <c r="R216">
        <f>IF(OR(R134="",AND(R134=R133,R134=R135)),NA(), R134)</f>
        <v>0</v>
      </c>
      <c r="S216">
        <f>IF(ISNA(T216),NA(),S134)</f>
        <v>0</v>
      </c>
      <c r="T216">
        <f>IF(OR(T134="",AND(T134=T133,T134=T135)),NA(), T134)</f>
        <v>0</v>
      </c>
      <c r="U216">
        <f>IF(ISNA(V216),NA(),U134)</f>
        <v>0</v>
      </c>
      <c r="V216">
        <f>IF(OR(V134="",AND(V134=V133,V134=V135)),NA(), V134)</f>
        <v>0</v>
      </c>
      <c r="W216">
        <f>IF(ISNA(X216),NA(),W134)</f>
        <v>0</v>
      </c>
      <c r="X216">
        <f>IF(OR(X134="",AND(X134=X133,X134=X135)),NA(), X134)</f>
        <v>0</v>
      </c>
      <c r="Y216">
        <f>IF(ISNA(Z216),NA(),Y134)</f>
        <v>0</v>
      </c>
      <c r="Z216">
        <f>IF(OR(Z134="",AND(Z134=Z133,Z134=Z135)),NA(), Z134)</f>
        <v>0</v>
      </c>
      <c r="AA216">
        <f>IF(ISNA(AB216),NA(),AA134)</f>
        <v>0</v>
      </c>
      <c r="AB216">
        <f>IF(OR(AB134="",AND(AB134=AB133,AB134=AB135)),NA(), AB134)</f>
        <v>0</v>
      </c>
      <c r="AC216">
        <f>IF(ISNA(AD216),NA(),AC134)</f>
        <v>0</v>
      </c>
      <c r="AD216">
        <f>IF(OR(AD134="",AND(AD134=AD133,AD134=AD135)),NA(), AD134)</f>
        <v>0</v>
      </c>
      <c r="AE216">
        <f>IF(ISNA(AF216),NA(),AE134)</f>
        <v>0</v>
      </c>
      <c r="AF216">
        <f>IF(OR(AF134="",AND(AF134=AF133,AF134=AF135)),NA(), AF134)</f>
        <v>0</v>
      </c>
      <c r="AG216">
        <f>IF(ISNA(AH216),NA(),AG134)</f>
        <v>0</v>
      </c>
      <c r="AH216">
        <f>IF(OR(AH134="",AND(AH134=AH133,AH134=AH135)),NA(), AH134)</f>
        <v>0</v>
      </c>
      <c r="AI216">
        <f>IF(ISNA(AJ216),NA(),AI134)</f>
        <v>0</v>
      </c>
      <c r="AJ216">
        <f>IF(OR(AJ134="",AND(AJ134=AJ133,AJ134=AJ135)),NA(), AJ134)</f>
        <v>0</v>
      </c>
      <c r="AK216">
        <f>IF(ISNA(AL216),NA(),AK134)</f>
        <v>0</v>
      </c>
      <c r="AL216">
        <f>IF(OR(AL134="",AND(AL134=AL133,AL134=AL135)),NA(), AL134)</f>
        <v>0</v>
      </c>
      <c r="AM216">
        <f>IF(ISNA(AN216),NA(),AM134)</f>
        <v>0</v>
      </c>
      <c r="AN216">
        <f>IF(OR(AN134="",AND(AN134=AN133,AN134=AN135)),NA(), AN134)</f>
        <v>0</v>
      </c>
      <c r="AO216">
        <f>IF(ISNA(AP216),NA(),AO134)</f>
        <v>0</v>
      </c>
      <c r="AP216">
        <f>IF(OR(AP134="",AND(AP134=AP133,AP134=AP135)),NA(), AP134)</f>
        <v>0</v>
      </c>
      <c r="AQ216">
        <f>IF(ISNA(AR216),NA(),AQ134)</f>
        <v>0</v>
      </c>
      <c r="AR216">
        <f>IF(OR(AR134="",AND(AR134=AR133,AR134=AR135)),NA(), AR134)</f>
        <v>0</v>
      </c>
      <c r="AS216">
        <f>IF(ISNA(AT216),NA(),AS134)</f>
        <v>0</v>
      </c>
      <c r="AT216">
        <f>IF(OR(AT134="",AND(AT134=AT133,AT134=AT135)),NA(), AT134)</f>
        <v>0</v>
      </c>
      <c r="AU216">
        <f>IF(ISNA(AV216),NA(),AU134)</f>
        <v>0</v>
      </c>
      <c r="AV216">
        <f>IF(OR(AV134="",AND(AV134=AV133,AV134=AV135)),NA(), AV134)</f>
        <v>0</v>
      </c>
      <c r="AW216">
        <f>IF(ISNA(AX216),NA(),AW134)</f>
        <v>0</v>
      </c>
      <c r="AX216">
        <f>IF(OR(AX134="",AND(AX134=AX133,AX134=AX135)),NA(), AX134)</f>
        <v>0</v>
      </c>
      <c r="AY216">
        <f>IF(ISNA(AZ216),NA(),AY134)</f>
        <v>0</v>
      </c>
      <c r="AZ216">
        <f>IF(OR(AZ134="",AND(AZ134=AZ133,AZ134=AZ135)),NA(), AZ134)</f>
        <v>0</v>
      </c>
      <c r="BA216">
        <f>IF(ISNA(BB216),NA(),BA134)</f>
        <v>0</v>
      </c>
      <c r="BB216">
        <f>IF(OR(BB134="",AND(BB134=BB133,BB134=BB135)),NA(), BB134)</f>
        <v>0</v>
      </c>
      <c r="BC216">
        <f>IF(ISNA(BD216),NA(),BC134)</f>
        <v>0</v>
      </c>
      <c r="BD216">
        <f>IF(OR(BD134="",AND(BD134=BD133,BD134=BD135)),NA(), BD134)</f>
        <v>0</v>
      </c>
      <c r="BE216">
        <f>IF(ISNA(BF216),NA(),BE134)</f>
        <v>0</v>
      </c>
      <c r="BF216">
        <f>IF(OR(BF134="",AND(BF134=BF133,BF134=BF135)),NA(), BF134)</f>
        <v>0</v>
      </c>
      <c r="BG216">
        <f>IF(ISNA(BH216),NA(),BG134)</f>
        <v>0</v>
      </c>
      <c r="BH216">
        <f>IF(OR(BH134="",AND(BH134=BH133,BH134=BH135)),NA(), BH134)</f>
        <v>0</v>
      </c>
      <c r="BI216">
        <f>IF(ISNA(BJ216),NA(),BI134)</f>
        <v>0</v>
      </c>
      <c r="BJ216">
        <f>IF(OR(BJ134="",AND(BJ134=BJ133,BJ134=BJ135)),NA(), BJ134)</f>
        <v>0</v>
      </c>
      <c r="BK216">
        <f>IF(ISNA(BL216),NA(),BK134)</f>
        <v>0</v>
      </c>
      <c r="BL216">
        <f>IF(OR(BL134="",AND(BL134=BL133,BL134=BL135)),NA(), BL134)</f>
        <v>0</v>
      </c>
      <c r="BM216">
        <f>IF(ISNA(BN216),NA(),BM134)</f>
        <v>0</v>
      </c>
      <c r="BN216">
        <f>IF(OR(BN134="",AND(BN134=BN133,BN134=BN135)),NA(), BN134)</f>
        <v>0</v>
      </c>
      <c r="BO216">
        <f>IF(ISNA(BP216),NA(),BO134)</f>
        <v>0</v>
      </c>
      <c r="BP216">
        <f>IF(OR(BP134="",AND(BP134=BP133,BP134=BP135)),NA(), BP134)</f>
        <v>0</v>
      </c>
      <c r="BS216">
        <f>IF(ISNA(BT216),NA(),BS134)</f>
        <v>0</v>
      </c>
      <c r="BT216">
        <f>IF(OR(BT134="",AND(BT134=BT133,BT134=BT135)),NA(), BT134)</f>
        <v>0</v>
      </c>
      <c r="BU216">
        <f>IF(ISNA(BV216),NA(),BU134)</f>
        <v>0</v>
      </c>
      <c r="BV216">
        <f>IF(OR(BV134="",AND(BV134=BV133,BV134=BV135)),NA(), BV134)</f>
        <v>0</v>
      </c>
      <c r="BW216">
        <f>IF(ISNA(BX216),NA(),BW134)</f>
        <v>0</v>
      </c>
      <c r="BX216">
        <f>IF(OR(BX134="",AND(BX134=BX133,BX134=BX135)),NA(), BX134)</f>
        <v>0</v>
      </c>
      <c r="BY216">
        <f>IF(ISNA(BZ216),NA(),BY134)</f>
        <v>0</v>
      </c>
      <c r="BZ216">
        <f>IF(OR(BZ134="",AND(BZ134=BZ133,BZ134=BZ135)),NA(), BZ134)</f>
        <v>0</v>
      </c>
      <c r="CA216">
        <f>IF(ISNA(CB216),NA(),CA134)</f>
        <v>0</v>
      </c>
      <c r="CB216">
        <f>IF(OR(CB134="",AND(CB134=CB133,CB134=CB135)),NA(), CB134)</f>
        <v>0</v>
      </c>
      <c r="CC216">
        <f>IF(ISNA(CD216),NA(),CC134)</f>
        <v>0</v>
      </c>
      <c r="CD216">
        <f>IF(OR(CD134="",AND(CD134=CD133,CD134=CD135)),NA(), CD134)</f>
        <v>0</v>
      </c>
      <c r="CE216">
        <f>IF(ISNA(CF216),NA(),CE134)</f>
        <v>0</v>
      </c>
      <c r="CF216">
        <f>IF(OR(CF134="",AND(CF134=CF133,CF134=CF135)),NA(), CF134)</f>
        <v>0</v>
      </c>
      <c r="CG216">
        <f>IF(ISNA(CH216),NA(),CG134)</f>
        <v>0</v>
      </c>
      <c r="CH216">
        <f>IF(OR(CH134="",AND(CH134=CH133,CH134=CH135)),NA(), CH134)</f>
        <v>0</v>
      </c>
      <c r="CI216">
        <f>IF(ISNA(CJ216),NA(),CI134)</f>
        <v>0</v>
      </c>
      <c r="CJ216">
        <f>IF(OR(CJ134="",AND(CJ134=CJ133,CJ134=CJ135)),NA(), CJ134)</f>
        <v>0</v>
      </c>
      <c r="CK216">
        <f>IF(ISNA(CL216),NA(),CK134)</f>
        <v>0</v>
      </c>
      <c r="CL216">
        <f>IF(OR(CL134="",AND(CL134=CL133,CL134=CL135)),NA(), CL134)</f>
        <v>0</v>
      </c>
      <c r="CM216">
        <f>IF(ISNA(CN216),NA(),CM134)</f>
        <v>0</v>
      </c>
      <c r="CN216">
        <f>IF(OR(CN134="",AND(CN134=CN133,CN134=CN135)),NA(), CN134)</f>
        <v>0</v>
      </c>
      <c r="CO216">
        <f>IF(ISNA(CP216),NA(),CO134)</f>
        <v>0</v>
      </c>
      <c r="CP216">
        <f>IF(OR(CP134="",AND(CP134=CP133,CP134=CP135)),NA(), CP134)</f>
        <v>0</v>
      </c>
      <c r="CQ216">
        <f>IF(ISNA(CR216),NA(),CQ134)</f>
        <v>0</v>
      </c>
      <c r="CR216">
        <f>IF(OR(CR134="",AND(CR134=CR133,CR134=CR135)),NA(), CR134)</f>
        <v>0</v>
      </c>
      <c r="CS216">
        <f>IF(ISNA(CT216),NA(),CS134)</f>
        <v>0</v>
      </c>
      <c r="CT216">
        <f>IF(OR(CT134="",AND(CT134=CT133,CT134=CT135)),NA(), CT134)</f>
        <v>0</v>
      </c>
      <c r="CU216">
        <f>IF(ISNA(CV216),NA(),CU134)</f>
        <v>0</v>
      </c>
      <c r="CV216">
        <f>IF(OR(CV134="",AND(CV134=CV133,CV134=CV135)),NA(), CV134)</f>
        <v>0</v>
      </c>
      <c r="CW216">
        <f>IF(ISNA(CX216),NA(),CW134)</f>
        <v>0</v>
      </c>
      <c r="CX216">
        <f>IF(OR(CX134="",AND(CX134=CX133,CX134=CX135)),NA(), CX134)</f>
        <v>0</v>
      </c>
      <c r="CY216">
        <f>IF(ISNA(CZ216),NA(),CY134)</f>
        <v>0</v>
      </c>
      <c r="CZ216">
        <f>IF(OR(CZ134="",AND(CZ134=CZ133,CZ134=CZ135)),NA(), CZ134)</f>
        <v>0</v>
      </c>
      <c r="DA216">
        <f>IF(ISNA(DB216),NA(),DA134)</f>
        <v>0</v>
      </c>
      <c r="DB216">
        <f>IF(OR(DB134="",AND(DB134=DB133,DB134=DB135)),NA(), DB134)</f>
        <v>0</v>
      </c>
      <c r="DC216">
        <f>IF(ISNA(DD216),NA(),DC134)</f>
        <v>0</v>
      </c>
      <c r="DD216">
        <f>IF(OR(DD134="",AND(DD134=DD133,DD134=DD135)),NA(), DD134)</f>
        <v>0</v>
      </c>
      <c r="DE216">
        <f>IF(ISNA(DF216),NA(),DE134)</f>
        <v>0</v>
      </c>
      <c r="DF216">
        <f>IF(OR(DF134="",AND(DF134=DF133,DF134=DF135)),NA(), DF134)</f>
        <v>0</v>
      </c>
      <c r="DG216">
        <f>IF(ISNA(DH216),NA(),DG134)</f>
        <v>0</v>
      </c>
      <c r="DH216">
        <f>IF(OR(DH134="",AND(DH134=DH133,DH134=DH135)),NA(), DH134)</f>
        <v>0</v>
      </c>
      <c r="DI216">
        <f>IF(ISNA(DJ216),NA(),DI134)</f>
        <v>0</v>
      </c>
      <c r="DJ216">
        <f>IF(OR(DJ134="",AND(DJ134=DJ133,DJ134=DJ135)),NA(), DJ134)</f>
        <v>0</v>
      </c>
      <c r="DK216">
        <f>IF(ISNA(DL216),NA(),DK134)</f>
        <v>0</v>
      </c>
      <c r="DL216">
        <f>IF(OR(DL134="",AND(DL134=DL133,DL134=DL135)),NA(), DL134)</f>
        <v>0</v>
      </c>
      <c r="DM216">
        <f>IF(ISNA(DN216),NA(),DM134)</f>
        <v>0</v>
      </c>
      <c r="DN216">
        <f>IF(OR(DN134="",AND(DN134=DN133,DN134=DN135)),NA(), DN134)</f>
        <v>0</v>
      </c>
      <c r="DO216">
        <f>IF(ISNA(DP216),NA(),DO134)</f>
        <v>0</v>
      </c>
      <c r="DP216">
        <f>IF(OR(DP134="",AND(DP134=DP133,DP134=DP135)),NA(), DP134)</f>
        <v>0</v>
      </c>
      <c r="DQ216">
        <f>IF(ISNA(DR216),NA(),DQ134)</f>
        <v>0</v>
      </c>
      <c r="DR216">
        <f>IF(OR(DR134="",AND(DR134=DR133,DR134=DR135)),NA(), DR134)</f>
        <v>0</v>
      </c>
      <c r="DS216">
        <f>IF(ISNA(DT216),NA(),DS134)</f>
        <v>0</v>
      </c>
      <c r="DT216">
        <f>IF(OR(DT134="",AND(DT134=DT133,DT134=DT135)),NA(), DT134)</f>
        <v>0</v>
      </c>
      <c r="DU216">
        <f>IF(ISNA(DV216),NA(),DU134)</f>
        <v>0</v>
      </c>
      <c r="DV216">
        <f>IF(OR(DV134="",AND(DV134=DV133,DV134=DV135)),NA(), DV134)</f>
        <v>0</v>
      </c>
      <c r="DW216">
        <f>IF(ISNA(DX216),NA(),DW134)</f>
        <v>0</v>
      </c>
      <c r="DX216">
        <f>IF(OR(DX134="",AND(DX134=DX133,DX134=DX135)),NA(), DX134)</f>
        <v>0</v>
      </c>
      <c r="DY216">
        <f>IF(ISNA(DZ216),NA(),DY134)</f>
        <v>0</v>
      </c>
      <c r="DZ216">
        <f>IF(OR(DZ134="",AND(DZ134=DZ133,DZ134=DZ135)),NA(), DZ134)</f>
        <v>0</v>
      </c>
      <c r="EA216">
        <f>IF(ISNA(EB216),NA(),EA134)</f>
        <v>0</v>
      </c>
      <c r="EB216">
        <f>IF(OR(EB134="",AND(EB134=EB133,EB134=EB135)),NA(), EB134)</f>
        <v>0</v>
      </c>
      <c r="EC216">
        <f>IF(ISNA(ED216),NA(),EC134)</f>
        <v>0</v>
      </c>
      <c r="ED216">
        <f>IF(OR(ED134="",AND(ED134=ED133,ED134=ED135)),NA(), ED134)</f>
        <v>0</v>
      </c>
    </row>
    <row r="217" spans="4:134">
      <c r="E217">
        <f>IF(ISNA(F217),NA(),E135)</f>
        <v>0</v>
      </c>
      <c r="F217">
        <f>IF(OR(F135="",AND(F135=F134,F135=F136)),NA(), F135)</f>
        <v>0</v>
      </c>
      <c r="G217">
        <f>IF(ISNA(H217),NA(),G135)</f>
        <v>0</v>
      </c>
      <c r="H217">
        <f>IF(OR(H135="",AND(H135=H134,H135=H136)),NA(), H135)</f>
        <v>0</v>
      </c>
      <c r="I217">
        <f>IF(ISNA(J217),NA(),I135)</f>
        <v>0</v>
      </c>
      <c r="J217">
        <f>IF(OR(J135="",AND(J135=J134,J135=J136)),NA(), J135)</f>
        <v>0</v>
      </c>
      <c r="K217">
        <f>IF(ISNA(L217),NA(),K135)</f>
        <v>0</v>
      </c>
      <c r="L217">
        <f>IF(OR(L135="",AND(L135=L134,L135=L136)),NA(), L135)</f>
        <v>0</v>
      </c>
      <c r="M217">
        <f>IF(ISNA(N217),NA(),M135)</f>
        <v>0</v>
      </c>
      <c r="N217">
        <f>IF(OR(N135="",AND(N135=N134,N135=N136)),NA(), N135)</f>
        <v>0</v>
      </c>
      <c r="O217">
        <f>IF(ISNA(P217),NA(),O135)</f>
        <v>0</v>
      </c>
      <c r="P217">
        <f>IF(OR(P135="",AND(P135=P134,P135=P136)),NA(), P135)</f>
        <v>0</v>
      </c>
      <c r="Q217">
        <f>IF(ISNA(R217),NA(),Q135)</f>
        <v>0</v>
      </c>
      <c r="R217">
        <f>IF(OR(R135="",AND(R135=R134,R135=R136)),NA(), R135)</f>
        <v>0</v>
      </c>
      <c r="S217">
        <f>IF(ISNA(T217),NA(),S135)</f>
        <v>0</v>
      </c>
      <c r="T217">
        <f>IF(OR(T135="",AND(T135=T134,T135=T136)),NA(), T135)</f>
        <v>0</v>
      </c>
      <c r="U217">
        <f>IF(ISNA(V217),NA(),U135)</f>
        <v>0</v>
      </c>
      <c r="V217">
        <f>IF(OR(V135="",AND(V135=V134,V135=V136)),NA(), V135)</f>
        <v>0</v>
      </c>
      <c r="W217">
        <f>IF(ISNA(X217),NA(),W135)</f>
        <v>0</v>
      </c>
      <c r="X217">
        <f>IF(OR(X135="",AND(X135=X134,X135=X136)),NA(), X135)</f>
        <v>0</v>
      </c>
      <c r="Y217">
        <f>IF(ISNA(Z217),NA(),Y135)</f>
        <v>0</v>
      </c>
      <c r="Z217">
        <f>IF(OR(Z135="",AND(Z135=Z134,Z135=Z136)),NA(), Z135)</f>
        <v>0</v>
      </c>
      <c r="AA217">
        <f>IF(ISNA(AB217),NA(),AA135)</f>
        <v>0</v>
      </c>
      <c r="AB217">
        <f>IF(OR(AB135="",AND(AB135=AB134,AB135=AB136)),NA(), AB135)</f>
        <v>0</v>
      </c>
      <c r="AC217">
        <f>IF(ISNA(AD217),NA(),AC135)</f>
        <v>0</v>
      </c>
      <c r="AD217">
        <f>IF(OR(AD135="",AND(AD135=AD134,AD135=AD136)),NA(), AD135)</f>
        <v>0</v>
      </c>
      <c r="AE217">
        <f>IF(ISNA(AF217),NA(),AE135)</f>
        <v>0</v>
      </c>
      <c r="AF217">
        <f>IF(OR(AF135="",AND(AF135=AF134,AF135=AF136)),NA(), AF135)</f>
        <v>0</v>
      </c>
      <c r="AG217">
        <f>IF(ISNA(AH217),NA(),AG135)</f>
        <v>0</v>
      </c>
      <c r="AH217">
        <f>IF(OR(AH135="",AND(AH135=AH134,AH135=AH136)),NA(), AH135)</f>
        <v>0</v>
      </c>
      <c r="AI217">
        <f>IF(ISNA(AJ217),NA(),AI135)</f>
        <v>0</v>
      </c>
      <c r="AJ217">
        <f>IF(OR(AJ135="",AND(AJ135=AJ134,AJ135=AJ136)),NA(), AJ135)</f>
        <v>0</v>
      </c>
      <c r="AK217">
        <f>IF(ISNA(AL217),NA(),AK135)</f>
        <v>0</v>
      </c>
      <c r="AL217">
        <f>IF(OR(AL135="",AND(AL135=AL134,AL135=AL136)),NA(), AL135)</f>
        <v>0</v>
      </c>
      <c r="AM217">
        <f>IF(ISNA(AN217),NA(),AM135)</f>
        <v>0</v>
      </c>
      <c r="AN217">
        <f>IF(OR(AN135="",AND(AN135=AN134,AN135=AN136)),NA(), AN135)</f>
        <v>0</v>
      </c>
      <c r="AO217">
        <f>IF(ISNA(AP217),NA(),AO135)</f>
        <v>0</v>
      </c>
      <c r="AP217">
        <f>IF(OR(AP135="",AND(AP135=AP134,AP135=AP136)),NA(), AP135)</f>
        <v>0</v>
      </c>
      <c r="AQ217">
        <f>IF(ISNA(AR217),NA(),AQ135)</f>
        <v>0</v>
      </c>
      <c r="AR217">
        <f>IF(OR(AR135="",AND(AR135=AR134,AR135=AR136)),NA(), AR135)</f>
        <v>0</v>
      </c>
      <c r="AS217">
        <f>IF(ISNA(AT217),NA(),AS135)</f>
        <v>0</v>
      </c>
      <c r="AT217">
        <f>IF(OR(AT135="",AND(AT135=AT134,AT135=AT136)),NA(), AT135)</f>
        <v>0</v>
      </c>
      <c r="AU217">
        <f>IF(ISNA(AV217),NA(),AU135)</f>
        <v>0</v>
      </c>
      <c r="AV217">
        <f>IF(OR(AV135="",AND(AV135=AV134,AV135=AV136)),NA(), AV135)</f>
        <v>0</v>
      </c>
      <c r="AW217">
        <f>IF(ISNA(AX217),NA(),AW135)</f>
        <v>0</v>
      </c>
      <c r="AX217">
        <f>IF(OR(AX135="",AND(AX135=AX134,AX135=AX136)),NA(), AX135)</f>
        <v>0</v>
      </c>
      <c r="AY217">
        <f>IF(ISNA(AZ217),NA(),AY135)</f>
        <v>0</v>
      </c>
      <c r="AZ217">
        <f>IF(OR(AZ135="",AND(AZ135=AZ134,AZ135=AZ136)),NA(), AZ135)</f>
        <v>0</v>
      </c>
      <c r="BA217">
        <f>IF(ISNA(BB217),NA(),BA135)</f>
        <v>0</v>
      </c>
      <c r="BB217">
        <f>IF(OR(BB135="",AND(BB135=BB134,BB135=BB136)),NA(), BB135)</f>
        <v>0</v>
      </c>
      <c r="BC217">
        <f>IF(ISNA(BD217),NA(),BC135)</f>
        <v>0</v>
      </c>
      <c r="BD217">
        <f>IF(OR(BD135="",AND(BD135=BD134,BD135=BD136)),NA(), BD135)</f>
        <v>0</v>
      </c>
      <c r="BE217">
        <f>IF(ISNA(BF217),NA(),BE135)</f>
        <v>0</v>
      </c>
      <c r="BF217">
        <f>IF(OR(BF135="",AND(BF135=BF134,BF135=BF136)),NA(), BF135)</f>
        <v>0</v>
      </c>
      <c r="BG217">
        <f>IF(ISNA(BH217),NA(),BG135)</f>
        <v>0</v>
      </c>
      <c r="BH217">
        <f>IF(OR(BH135="",AND(BH135=BH134,BH135=BH136)),NA(), BH135)</f>
        <v>0</v>
      </c>
      <c r="BI217">
        <f>IF(ISNA(BJ217),NA(),BI135)</f>
        <v>0</v>
      </c>
      <c r="BJ217">
        <f>IF(OR(BJ135="",AND(BJ135=BJ134,BJ135=BJ136)),NA(), BJ135)</f>
        <v>0</v>
      </c>
      <c r="BK217">
        <f>IF(ISNA(BL217),NA(),BK135)</f>
        <v>0</v>
      </c>
      <c r="BL217">
        <f>IF(OR(BL135="",AND(BL135=BL134,BL135=BL136)),NA(), BL135)</f>
        <v>0</v>
      </c>
      <c r="BM217">
        <f>IF(ISNA(BN217),NA(),BM135)</f>
        <v>0</v>
      </c>
      <c r="BN217">
        <f>IF(OR(BN135="",AND(BN135=BN134,BN135=BN136)),NA(), BN135)</f>
        <v>0</v>
      </c>
      <c r="BO217">
        <f>IF(ISNA(BP217),NA(),BO135)</f>
        <v>0</v>
      </c>
      <c r="BP217">
        <f>IF(OR(BP135="",AND(BP135=BP134,BP135=BP136)),NA(), BP135)</f>
        <v>0</v>
      </c>
      <c r="BS217">
        <f>IF(ISNA(BT217),NA(),BS135)</f>
        <v>0</v>
      </c>
      <c r="BT217">
        <f>IF(OR(BT135="",AND(BT135=BT134,BT135=BT136)),NA(), BT135)</f>
        <v>0</v>
      </c>
      <c r="BU217">
        <f>IF(ISNA(BV217),NA(),BU135)</f>
        <v>0</v>
      </c>
      <c r="BV217">
        <f>IF(OR(BV135="",AND(BV135=BV134,BV135=BV136)),NA(), BV135)</f>
        <v>0</v>
      </c>
      <c r="BW217">
        <f>IF(ISNA(BX217),NA(),BW135)</f>
        <v>0</v>
      </c>
      <c r="BX217">
        <f>IF(OR(BX135="",AND(BX135=BX134,BX135=BX136)),NA(), BX135)</f>
        <v>0</v>
      </c>
      <c r="BY217">
        <f>IF(ISNA(BZ217),NA(),BY135)</f>
        <v>0</v>
      </c>
      <c r="BZ217">
        <f>IF(OR(BZ135="",AND(BZ135=BZ134,BZ135=BZ136)),NA(), BZ135)</f>
        <v>0</v>
      </c>
      <c r="CA217">
        <f>IF(ISNA(CB217),NA(),CA135)</f>
        <v>0</v>
      </c>
      <c r="CB217">
        <f>IF(OR(CB135="",AND(CB135=CB134,CB135=CB136)),NA(), CB135)</f>
        <v>0</v>
      </c>
      <c r="CC217">
        <f>IF(ISNA(CD217),NA(),CC135)</f>
        <v>0</v>
      </c>
      <c r="CD217">
        <f>IF(OR(CD135="",AND(CD135=CD134,CD135=CD136)),NA(), CD135)</f>
        <v>0</v>
      </c>
      <c r="CE217">
        <f>IF(ISNA(CF217),NA(),CE135)</f>
        <v>0</v>
      </c>
      <c r="CF217">
        <f>IF(OR(CF135="",AND(CF135=CF134,CF135=CF136)),NA(), CF135)</f>
        <v>0</v>
      </c>
      <c r="CG217">
        <f>IF(ISNA(CH217),NA(),CG135)</f>
        <v>0</v>
      </c>
      <c r="CH217">
        <f>IF(OR(CH135="",AND(CH135=CH134,CH135=CH136)),NA(), CH135)</f>
        <v>0</v>
      </c>
      <c r="CI217">
        <f>IF(ISNA(CJ217),NA(),CI135)</f>
        <v>0</v>
      </c>
      <c r="CJ217">
        <f>IF(OR(CJ135="",AND(CJ135=CJ134,CJ135=CJ136)),NA(), CJ135)</f>
        <v>0</v>
      </c>
      <c r="CK217">
        <f>IF(ISNA(CL217),NA(),CK135)</f>
        <v>0</v>
      </c>
      <c r="CL217">
        <f>IF(OR(CL135="",AND(CL135=CL134,CL135=CL136)),NA(), CL135)</f>
        <v>0</v>
      </c>
      <c r="CM217">
        <f>IF(ISNA(CN217),NA(),CM135)</f>
        <v>0</v>
      </c>
      <c r="CN217">
        <f>IF(OR(CN135="",AND(CN135=CN134,CN135=CN136)),NA(), CN135)</f>
        <v>0</v>
      </c>
      <c r="CO217">
        <f>IF(ISNA(CP217),NA(),CO135)</f>
        <v>0</v>
      </c>
      <c r="CP217">
        <f>IF(OR(CP135="",AND(CP135=CP134,CP135=CP136)),NA(), CP135)</f>
        <v>0</v>
      </c>
      <c r="CQ217">
        <f>IF(ISNA(CR217),NA(),CQ135)</f>
        <v>0</v>
      </c>
      <c r="CR217">
        <f>IF(OR(CR135="",AND(CR135=CR134,CR135=CR136)),NA(), CR135)</f>
        <v>0</v>
      </c>
      <c r="CS217">
        <f>IF(ISNA(CT217),NA(),CS135)</f>
        <v>0</v>
      </c>
      <c r="CT217">
        <f>IF(OR(CT135="",AND(CT135=CT134,CT135=CT136)),NA(), CT135)</f>
        <v>0</v>
      </c>
      <c r="CU217">
        <f>IF(ISNA(CV217),NA(),CU135)</f>
        <v>0</v>
      </c>
      <c r="CV217">
        <f>IF(OR(CV135="",AND(CV135=CV134,CV135=CV136)),NA(), CV135)</f>
        <v>0</v>
      </c>
      <c r="CW217">
        <f>IF(ISNA(CX217),NA(),CW135)</f>
        <v>0</v>
      </c>
      <c r="CX217">
        <f>IF(OR(CX135="",AND(CX135=CX134,CX135=CX136)),NA(), CX135)</f>
        <v>0</v>
      </c>
      <c r="CY217">
        <f>IF(ISNA(CZ217),NA(),CY135)</f>
        <v>0</v>
      </c>
      <c r="CZ217">
        <f>IF(OR(CZ135="",AND(CZ135=CZ134,CZ135=CZ136)),NA(), CZ135)</f>
        <v>0</v>
      </c>
      <c r="DA217">
        <f>IF(ISNA(DB217),NA(),DA135)</f>
        <v>0</v>
      </c>
      <c r="DB217">
        <f>IF(OR(DB135="",AND(DB135=DB134,DB135=DB136)),NA(), DB135)</f>
        <v>0</v>
      </c>
      <c r="DC217">
        <f>IF(ISNA(DD217),NA(),DC135)</f>
        <v>0</v>
      </c>
      <c r="DD217">
        <f>IF(OR(DD135="",AND(DD135=DD134,DD135=DD136)),NA(), DD135)</f>
        <v>0</v>
      </c>
      <c r="DE217">
        <f>IF(ISNA(DF217),NA(),DE135)</f>
        <v>0</v>
      </c>
      <c r="DF217">
        <f>IF(OR(DF135="",AND(DF135=DF134,DF135=DF136)),NA(), DF135)</f>
        <v>0</v>
      </c>
      <c r="DG217">
        <f>IF(ISNA(DH217),NA(),DG135)</f>
        <v>0</v>
      </c>
      <c r="DH217">
        <f>IF(OR(DH135="",AND(DH135=DH134,DH135=DH136)),NA(), DH135)</f>
        <v>0</v>
      </c>
      <c r="DI217">
        <f>IF(ISNA(DJ217),NA(),DI135)</f>
        <v>0</v>
      </c>
      <c r="DJ217">
        <f>IF(OR(DJ135="",AND(DJ135=DJ134,DJ135=DJ136)),NA(), DJ135)</f>
        <v>0</v>
      </c>
      <c r="DK217">
        <f>IF(ISNA(DL217),NA(),DK135)</f>
        <v>0</v>
      </c>
      <c r="DL217">
        <f>IF(OR(DL135="",AND(DL135=DL134,DL135=DL136)),NA(), DL135)</f>
        <v>0</v>
      </c>
      <c r="DM217">
        <f>IF(ISNA(DN217),NA(),DM135)</f>
        <v>0</v>
      </c>
      <c r="DN217">
        <f>IF(OR(DN135="",AND(DN135=DN134,DN135=DN136)),NA(), DN135)</f>
        <v>0</v>
      </c>
      <c r="DO217">
        <f>IF(ISNA(DP217),NA(),DO135)</f>
        <v>0</v>
      </c>
      <c r="DP217">
        <f>IF(OR(DP135="",AND(DP135=DP134,DP135=DP136)),NA(), DP135)</f>
        <v>0</v>
      </c>
      <c r="DQ217">
        <f>IF(ISNA(DR217),NA(),DQ135)</f>
        <v>0</v>
      </c>
      <c r="DR217">
        <f>IF(OR(DR135="",AND(DR135=DR134,DR135=DR136)),NA(), DR135)</f>
        <v>0</v>
      </c>
      <c r="DS217">
        <f>IF(ISNA(DT217),NA(),DS135)</f>
        <v>0</v>
      </c>
      <c r="DT217">
        <f>IF(OR(DT135="",AND(DT135=DT134,DT135=DT136)),NA(), DT135)</f>
        <v>0</v>
      </c>
      <c r="DU217">
        <f>IF(ISNA(DV217),NA(),DU135)</f>
        <v>0</v>
      </c>
      <c r="DV217">
        <f>IF(OR(DV135="",AND(DV135=DV134,DV135=DV136)),NA(), DV135)</f>
        <v>0</v>
      </c>
      <c r="DW217">
        <f>IF(ISNA(DX217),NA(),DW135)</f>
        <v>0</v>
      </c>
      <c r="DX217">
        <f>IF(OR(DX135="",AND(DX135=DX134,DX135=DX136)),NA(), DX135)</f>
        <v>0</v>
      </c>
      <c r="DY217">
        <f>IF(ISNA(DZ217),NA(),DY135)</f>
        <v>0</v>
      </c>
      <c r="DZ217">
        <f>IF(OR(DZ135="",AND(DZ135=DZ134,DZ135=DZ136)),NA(), DZ135)</f>
        <v>0</v>
      </c>
      <c r="EA217">
        <f>IF(ISNA(EB217),NA(),EA135)</f>
        <v>0</v>
      </c>
      <c r="EB217">
        <f>IF(OR(EB135="",AND(EB135=EB134,EB135=EB136)),NA(), EB135)</f>
        <v>0</v>
      </c>
      <c r="EC217">
        <f>IF(ISNA(ED217),NA(),EC135)</f>
        <v>0</v>
      </c>
      <c r="ED217">
        <f>IF(OR(ED135="",AND(ED135=ED134,ED135=ED136)),NA(), ED135)</f>
        <v>0</v>
      </c>
    </row>
    <row r="218" spans="4:134">
      <c r="E218">
        <f>IF(ISNA(F218),NA(),E136)</f>
        <v>0</v>
      </c>
      <c r="F218">
        <f>IF(OR(F136="",AND(F136=F135,F136=F137)),NA(), F136)</f>
        <v>0</v>
      </c>
      <c r="G218">
        <f>IF(ISNA(H218),NA(),G136)</f>
        <v>0</v>
      </c>
      <c r="H218">
        <f>IF(OR(H136="",AND(H136=H135,H136=H137)),NA(), H136)</f>
        <v>0</v>
      </c>
      <c r="I218">
        <f>IF(ISNA(J218),NA(),I136)</f>
        <v>0</v>
      </c>
      <c r="J218">
        <f>IF(OR(J136="",AND(J136=J135,J136=J137)),NA(), J136)</f>
        <v>0</v>
      </c>
      <c r="K218">
        <f>IF(ISNA(L218),NA(),K136)</f>
        <v>0</v>
      </c>
      <c r="L218">
        <f>IF(OR(L136="",AND(L136=L135,L136=L137)),NA(), L136)</f>
        <v>0</v>
      </c>
      <c r="M218">
        <f>IF(ISNA(N218),NA(),M136)</f>
        <v>0</v>
      </c>
      <c r="N218">
        <f>IF(OR(N136="",AND(N136=N135,N136=N137)),NA(), N136)</f>
        <v>0</v>
      </c>
      <c r="O218">
        <f>IF(ISNA(P218),NA(),O136)</f>
        <v>0</v>
      </c>
      <c r="P218">
        <f>IF(OR(P136="",AND(P136=P135,P136=P137)),NA(), P136)</f>
        <v>0</v>
      </c>
      <c r="Q218">
        <f>IF(ISNA(R218),NA(),Q136)</f>
        <v>0</v>
      </c>
      <c r="R218">
        <f>IF(OR(R136="",AND(R136=R135,R136=R137)),NA(), R136)</f>
        <v>0</v>
      </c>
      <c r="S218">
        <f>IF(ISNA(T218),NA(),S136)</f>
        <v>0</v>
      </c>
      <c r="T218">
        <f>IF(OR(T136="",AND(T136=T135,T136=T137)),NA(), T136)</f>
        <v>0</v>
      </c>
      <c r="U218">
        <f>IF(ISNA(V218),NA(),U136)</f>
        <v>0</v>
      </c>
      <c r="V218">
        <f>IF(OR(V136="",AND(V136=V135,V136=V137)),NA(), V136)</f>
        <v>0</v>
      </c>
      <c r="W218">
        <f>IF(ISNA(X218),NA(),W136)</f>
        <v>0</v>
      </c>
      <c r="X218">
        <f>IF(OR(X136="",AND(X136=X135,X136=X137)),NA(), X136)</f>
        <v>0</v>
      </c>
      <c r="Y218">
        <f>IF(ISNA(Z218),NA(),Y136)</f>
        <v>0</v>
      </c>
      <c r="Z218">
        <f>IF(OR(Z136="",AND(Z136=Z135,Z136=Z137)),NA(), Z136)</f>
        <v>0</v>
      </c>
      <c r="AA218">
        <f>IF(ISNA(AB218),NA(),AA136)</f>
        <v>0</v>
      </c>
      <c r="AB218">
        <f>IF(OR(AB136="",AND(AB136=AB135,AB136=AB137)),NA(), AB136)</f>
        <v>0</v>
      </c>
      <c r="AC218">
        <f>IF(ISNA(AD218),NA(),AC136)</f>
        <v>0</v>
      </c>
      <c r="AD218">
        <f>IF(OR(AD136="",AND(AD136=AD135,AD136=AD137)),NA(), AD136)</f>
        <v>0</v>
      </c>
      <c r="AE218">
        <f>IF(ISNA(AF218),NA(),AE136)</f>
        <v>0</v>
      </c>
      <c r="AF218">
        <f>IF(OR(AF136="",AND(AF136=AF135,AF136=AF137)),NA(), AF136)</f>
        <v>0</v>
      </c>
      <c r="AG218">
        <f>IF(ISNA(AH218),NA(),AG136)</f>
        <v>0</v>
      </c>
      <c r="AH218">
        <f>IF(OR(AH136="",AND(AH136=AH135,AH136=AH137)),NA(), AH136)</f>
        <v>0</v>
      </c>
      <c r="AI218">
        <f>IF(ISNA(AJ218),NA(),AI136)</f>
        <v>0</v>
      </c>
      <c r="AJ218">
        <f>IF(OR(AJ136="",AND(AJ136=AJ135,AJ136=AJ137)),NA(), AJ136)</f>
        <v>0</v>
      </c>
      <c r="AK218">
        <f>IF(ISNA(AL218),NA(),AK136)</f>
        <v>0</v>
      </c>
      <c r="AL218">
        <f>IF(OR(AL136="",AND(AL136=AL135,AL136=AL137)),NA(), AL136)</f>
        <v>0</v>
      </c>
      <c r="AM218">
        <f>IF(ISNA(AN218),NA(),AM136)</f>
        <v>0</v>
      </c>
      <c r="AN218">
        <f>IF(OR(AN136="",AND(AN136=AN135,AN136=AN137)),NA(), AN136)</f>
        <v>0</v>
      </c>
      <c r="AO218">
        <f>IF(ISNA(AP218),NA(),AO136)</f>
        <v>0</v>
      </c>
      <c r="AP218">
        <f>IF(OR(AP136="",AND(AP136=AP135,AP136=AP137)),NA(), AP136)</f>
        <v>0</v>
      </c>
      <c r="AQ218">
        <f>IF(ISNA(AR218),NA(),AQ136)</f>
        <v>0</v>
      </c>
      <c r="AR218">
        <f>IF(OR(AR136="",AND(AR136=AR135,AR136=AR137)),NA(), AR136)</f>
        <v>0</v>
      </c>
      <c r="AS218">
        <f>IF(ISNA(AT218),NA(),AS136)</f>
        <v>0</v>
      </c>
      <c r="AT218">
        <f>IF(OR(AT136="",AND(AT136=AT135,AT136=AT137)),NA(), AT136)</f>
        <v>0</v>
      </c>
      <c r="AU218">
        <f>IF(ISNA(AV218),NA(),AU136)</f>
        <v>0</v>
      </c>
      <c r="AV218">
        <f>IF(OR(AV136="",AND(AV136=AV135,AV136=AV137)),NA(), AV136)</f>
        <v>0</v>
      </c>
      <c r="AW218">
        <f>IF(ISNA(AX218),NA(),AW136)</f>
        <v>0</v>
      </c>
      <c r="AX218">
        <f>IF(OR(AX136="",AND(AX136=AX135,AX136=AX137)),NA(), AX136)</f>
        <v>0</v>
      </c>
      <c r="AY218">
        <f>IF(ISNA(AZ218),NA(),AY136)</f>
        <v>0</v>
      </c>
      <c r="AZ218">
        <f>IF(OR(AZ136="",AND(AZ136=AZ135,AZ136=AZ137)),NA(), AZ136)</f>
        <v>0</v>
      </c>
      <c r="BA218">
        <f>IF(ISNA(BB218),NA(),BA136)</f>
        <v>0</v>
      </c>
      <c r="BB218">
        <f>IF(OR(BB136="",AND(BB136=BB135,BB136=BB137)),NA(), BB136)</f>
        <v>0</v>
      </c>
      <c r="BC218">
        <f>IF(ISNA(BD218),NA(),BC136)</f>
        <v>0</v>
      </c>
      <c r="BD218">
        <f>IF(OR(BD136="",AND(BD136=BD135,BD136=BD137)),NA(), BD136)</f>
        <v>0</v>
      </c>
      <c r="BE218">
        <f>IF(ISNA(BF218),NA(),BE136)</f>
        <v>0</v>
      </c>
      <c r="BF218">
        <f>IF(OR(BF136="",AND(BF136=BF135,BF136=BF137)),NA(), BF136)</f>
        <v>0</v>
      </c>
      <c r="BG218">
        <f>IF(ISNA(BH218),NA(),BG136)</f>
        <v>0</v>
      </c>
      <c r="BH218">
        <f>IF(OR(BH136="",AND(BH136=BH135,BH136=BH137)),NA(), BH136)</f>
        <v>0</v>
      </c>
      <c r="BI218">
        <f>IF(ISNA(BJ218),NA(),BI136)</f>
        <v>0</v>
      </c>
      <c r="BJ218">
        <f>IF(OR(BJ136="",AND(BJ136=BJ135,BJ136=BJ137)),NA(), BJ136)</f>
        <v>0</v>
      </c>
      <c r="BK218">
        <f>IF(ISNA(BL218),NA(),BK136)</f>
        <v>0</v>
      </c>
      <c r="BL218">
        <f>IF(OR(BL136="",AND(BL136=BL135,BL136=BL137)),NA(), BL136)</f>
        <v>0</v>
      </c>
      <c r="BM218">
        <f>IF(ISNA(BN218),NA(),BM136)</f>
        <v>0</v>
      </c>
      <c r="BN218">
        <f>IF(OR(BN136="",AND(BN136=BN135,BN136=BN137)),NA(), BN136)</f>
        <v>0</v>
      </c>
      <c r="BO218">
        <f>IF(ISNA(BP218),NA(),BO136)</f>
        <v>0</v>
      </c>
      <c r="BP218">
        <f>IF(OR(BP136="",AND(BP136=BP135,BP136=BP137)),NA(), BP136)</f>
        <v>0</v>
      </c>
      <c r="BS218">
        <f>IF(ISNA(BT218),NA(),BS136)</f>
        <v>0</v>
      </c>
      <c r="BT218">
        <f>IF(OR(BT136="",AND(BT136=BT135,BT136=BT137)),NA(), BT136)</f>
        <v>0</v>
      </c>
      <c r="BU218">
        <f>IF(ISNA(BV218),NA(),BU136)</f>
        <v>0</v>
      </c>
      <c r="BV218">
        <f>IF(OR(BV136="",AND(BV136=BV135,BV136=BV137)),NA(), BV136)</f>
        <v>0</v>
      </c>
      <c r="BW218">
        <f>IF(ISNA(BX218),NA(),BW136)</f>
        <v>0</v>
      </c>
      <c r="BX218">
        <f>IF(OR(BX136="",AND(BX136=BX135,BX136=BX137)),NA(), BX136)</f>
        <v>0</v>
      </c>
      <c r="BY218">
        <f>IF(ISNA(BZ218),NA(),BY136)</f>
        <v>0</v>
      </c>
      <c r="BZ218">
        <f>IF(OR(BZ136="",AND(BZ136=BZ135,BZ136=BZ137)),NA(), BZ136)</f>
        <v>0</v>
      </c>
      <c r="CA218">
        <f>IF(ISNA(CB218),NA(),CA136)</f>
        <v>0</v>
      </c>
      <c r="CB218">
        <f>IF(OR(CB136="",AND(CB136=CB135,CB136=CB137)),NA(), CB136)</f>
        <v>0</v>
      </c>
      <c r="CC218">
        <f>IF(ISNA(CD218),NA(),CC136)</f>
        <v>0</v>
      </c>
      <c r="CD218">
        <f>IF(OR(CD136="",AND(CD136=CD135,CD136=CD137)),NA(), CD136)</f>
        <v>0</v>
      </c>
      <c r="CE218">
        <f>IF(ISNA(CF218),NA(),CE136)</f>
        <v>0</v>
      </c>
      <c r="CF218">
        <f>IF(OR(CF136="",AND(CF136=CF135,CF136=CF137)),NA(), CF136)</f>
        <v>0</v>
      </c>
      <c r="CG218">
        <f>IF(ISNA(CH218),NA(),CG136)</f>
        <v>0</v>
      </c>
      <c r="CH218">
        <f>IF(OR(CH136="",AND(CH136=CH135,CH136=CH137)),NA(), CH136)</f>
        <v>0</v>
      </c>
      <c r="CI218">
        <f>IF(ISNA(CJ218),NA(),CI136)</f>
        <v>0</v>
      </c>
      <c r="CJ218">
        <f>IF(OR(CJ136="",AND(CJ136=CJ135,CJ136=CJ137)),NA(), CJ136)</f>
        <v>0</v>
      </c>
      <c r="CK218">
        <f>IF(ISNA(CL218),NA(),CK136)</f>
        <v>0</v>
      </c>
      <c r="CL218">
        <f>IF(OR(CL136="",AND(CL136=CL135,CL136=CL137)),NA(), CL136)</f>
        <v>0</v>
      </c>
      <c r="CM218">
        <f>IF(ISNA(CN218),NA(),CM136)</f>
        <v>0</v>
      </c>
      <c r="CN218">
        <f>IF(OR(CN136="",AND(CN136=CN135,CN136=CN137)),NA(), CN136)</f>
        <v>0</v>
      </c>
      <c r="CO218">
        <f>IF(ISNA(CP218),NA(),CO136)</f>
        <v>0</v>
      </c>
      <c r="CP218">
        <f>IF(OR(CP136="",AND(CP136=CP135,CP136=CP137)),NA(), CP136)</f>
        <v>0</v>
      </c>
      <c r="CQ218">
        <f>IF(ISNA(CR218),NA(),CQ136)</f>
        <v>0</v>
      </c>
      <c r="CR218">
        <f>IF(OR(CR136="",AND(CR136=CR135,CR136=CR137)),NA(), CR136)</f>
        <v>0</v>
      </c>
      <c r="CS218">
        <f>IF(ISNA(CT218),NA(),CS136)</f>
        <v>0</v>
      </c>
      <c r="CT218">
        <f>IF(OR(CT136="",AND(CT136=CT135,CT136=CT137)),NA(), CT136)</f>
        <v>0</v>
      </c>
      <c r="CU218">
        <f>IF(ISNA(CV218),NA(),CU136)</f>
        <v>0</v>
      </c>
      <c r="CV218">
        <f>IF(OR(CV136="",AND(CV136=CV135,CV136=CV137)),NA(), CV136)</f>
        <v>0</v>
      </c>
      <c r="CW218">
        <f>IF(ISNA(CX218),NA(),CW136)</f>
        <v>0</v>
      </c>
      <c r="CX218">
        <f>IF(OR(CX136="",AND(CX136=CX135,CX136=CX137)),NA(), CX136)</f>
        <v>0</v>
      </c>
      <c r="CY218">
        <f>IF(ISNA(CZ218),NA(),CY136)</f>
        <v>0</v>
      </c>
      <c r="CZ218">
        <f>IF(OR(CZ136="",AND(CZ136=CZ135,CZ136=CZ137)),NA(), CZ136)</f>
        <v>0</v>
      </c>
      <c r="DA218">
        <f>IF(ISNA(DB218),NA(),DA136)</f>
        <v>0</v>
      </c>
      <c r="DB218">
        <f>IF(OR(DB136="",AND(DB136=DB135,DB136=DB137)),NA(), DB136)</f>
        <v>0</v>
      </c>
      <c r="DC218">
        <f>IF(ISNA(DD218),NA(),DC136)</f>
        <v>0</v>
      </c>
      <c r="DD218">
        <f>IF(OR(DD136="",AND(DD136=DD135,DD136=DD137)),NA(), DD136)</f>
        <v>0</v>
      </c>
      <c r="DE218">
        <f>IF(ISNA(DF218),NA(),DE136)</f>
        <v>0</v>
      </c>
      <c r="DF218">
        <f>IF(OR(DF136="",AND(DF136=DF135,DF136=DF137)),NA(), DF136)</f>
        <v>0</v>
      </c>
      <c r="DG218">
        <f>IF(ISNA(DH218),NA(),DG136)</f>
        <v>0</v>
      </c>
      <c r="DH218">
        <f>IF(OR(DH136="",AND(DH136=DH135,DH136=DH137)),NA(), DH136)</f>
        <v>0</v>
      </c>
      <c r="DI218">
        <f>IF(ISNA(DJ218),NA(),DI136)</f>
        <v>0</v>
      </c>
      <c r="DJ218">
        <f>IF(OR(DJ136="",AND(DJ136=DJ135,DJ136=DJ137)),NA(), DJ136)</f>
        <v>0</v>
      </c>
      <c r="DK218">
        <f>IF(ISNA(DL218),NA(),DK136)</f>
        <v>0</v>
      </c>
      <c r="DL218">
        <f>IF(OR(DL136="",AND(DL136=DL135,DL136=DL137)),NA(), DL136)</f>
        <v>0</v>
      </c>
      <c r="DM218">
        <f>IF(ISNA(DN218),NA(),DM136)</f>
        <v>0</v>
      </c>
      <c r="DN218">
        <f>IF(OR(DN136="",AND(DN136=DN135,DN136=DN137)),NA(), DN136)</f>
        <v>0</v>
      </c>
      <c r="DO218">
        <f>IF(ISNA(DP218),NA(),DO136)</f>
        <v>0</v>
      </c>
      <c r="DP218">
        <f>IF(OR(DP136="",AND(DP136=DP135,DP136=DP137)),NA(), DP136)</f>
        <v>0</v>
      </c>
      <c r="DQ218">
        <f>IF(ISNA(DR218),NA(),DQ136)</f>
        <v>0</v>
      </c>
      <c r="DR218">
        <f>IF(OR(DR136="",AND(DR136=DR135,DR136=DR137)),NA(), DR136)</f>
        <v>0</v>
      </c>
      <c r="DS218">
        <f>IF(ISNA(DT218),NA(),DS136)</f>
        <v>0</v>
      </c>
      <c r="DT218">
        <f>IF(OR(DT136="",AND(DT136=DT135,DT136=DT137)),NA(), DT136)</f>
        <v>0</v>
      </c>
      <c r="DU218">
        <f>IF(ISNA(DV218),NA(),DU136)</f>
        <v>0</v>
      </c>
      <c r="DV218">
        <f>IF(OR(DV136="",AND(DV136=DV135,DV136=DV137)),NA(), DV136)</f>
        <v>0</v>
      </c>
      <c r="DW218">
        <f>IF(ISNA(DX218),NA(),DW136)</f>
        <v>0</v>
      </c>
      <c r="DX218">
        <f>IF(OR(DX136="",AND(DX136=DX135,DX136=DX137)),NA(), DX136)</f>
        <v>0</v>
      </c>
      <c r="DY218">
        <f>IF(ISNA(DZ218),NA(),DY136)</f>
        <v>0</v>
      </c>
      <c r="DZ218">
        <f>IF(OR(DZ136="",AND(DZ136=DZ135,DZ136=DZ137)),NA(), DZ136)</f>
        <v>0</v>
      </c>
      <c r="EA218">
        <f>IF(ISNA(EB218),NA(),EA136)</f>
        <v>0</v>
      </c>
      <c r="EB218">
        <f>IF(OR(EB136="",AND(EB136=EB135,EB136=EB137)),NA(), EB136)</f>
        <v>0</v>
      </c>
      <c r="EC218">
        <f>IF(ISNA(ED218),NA(),EC136)</f>
        <v>0</v>
      </c>
      <c r="ED218">
        <f>IF(OR(ED136="",AND(ED136=ED135,ED136=ED137)),NA(), ED136)</f>
        <v>0</v>
      </c>
    </row>
    <row r="219" spans="4:134">
      <c r="E219">
        <f>IF(ISNA(F219),NA(),E137)</f>
        <v>0</v>
      </c>
      <c r="F219">
        <f>IF(OR(F137="",AND(F137=F136,F137=F138)),NA(), F137)</f>
        <v>0</v>
      </c>
      <c r="G219">
        <f>IF(ISNA(H219),NA(),G137)</f>
        <v>0</v>
      </c>
      <c r="H219">
        <f>IF(OR(H137="",AND(H137=H136,H137=H138)),NA(), H137)</f>
        <v>0</v>
      </c>
      <c r="I219">
        <f>IF(ISNA(J219),NA(),I137)</f>
        <v>0</v>
      </c>
      <c r="J219">
        <f>IF(OR(J137="",AND(J137=J136,J137=J138)),NA(), J137)</f>
        <v>0</v>
      </c>
      <c r="K219">
        <f>IF(ISNA(L219),NA(),K137)</f>
        <v>0</v>
      </c>
      <c r="L219">
        <f>IF(OR(L137="",AND(L137=L136,L137=L138)),NA(), L137)</f>
        <v>0</v>
      </c>
      <c r="M219">
        <f>IF(ISNA(N219),NA(),M137)</f>
        <v>0</v>
      </c>
      <c r="N219">
        <f>IF(OR(N137="",AND(N137=N136,N137=N138)),NA(), N137)</f>
        <v>0</v>
      </c>
      <c r="O219">
        <f>IF(ISNA(P219),NA(),O137)</f>
        <v>0</v>
      </c>
      <c r="P219">
        <f>IF(OR(P137="",AND(P137=P136,P137=P138)),NA(), P137)</f>
        <v>0</v>
      </c>
      <c r="Q219">
        <f>IF(ISNA(R219),NA(),Q137)</f>
        <v>0</v>
      </c>
      <c r="R219">
        <f>IF(OR(R137="",AND(R137=R136,R137=R138)),NA(), R137)</f>
        <v>0</v>
      </c>
      <c r="S219">
        <f>IF(ISNA(T219),NA(),S137)</f>
        <v>0</v>
      </c>
      <c r="T219">
        <f>IF(OR(T137="",AND(T137=T136,T137=T138)),NA(), T137)</f>
        <v>0</v>
      </c>
      <c r="U219">
        <f>IF(ISNA(V219),NA(),U137)</f>
        <v>0</v>
      </c>
      <c r="V219">
        <f>IF(OR(V137="",AND(V137=V136,V137=V138)),NA(), V137)</f>
        <v>0</v>
      </c>
      <c r="W219">
        <f>IF(ISNA(X219),NA(),W137)</f>
        <v>0</v>
      </c>
      <c r="X219">
        <f>IF(OR(X137="",AND(X137=X136,X137=X138)),NA(), X137)</f>
        <v>0</v>
      </c>
      <c r="Y219">
        <f>IF(ISNA(Z219),NA(),Y137)</f>
        <v>0</v>
      </c>
      <c r="Z219">
        <f>IF(OR(Z137="",AND(Z137=Z136,Z137=Z138)),NA(), Z137)</f>
        <v>0</v>
      </c>
      <c r="AA219">
        <f>IF(ISNA(AB219),NA(),AA137)</f>
        <v>0</v>
      </c>
      <c r="AB219">
        <f>IF(OR(AB137="",AND(AB137=AB136,AB137=AB138)),NA(), AB137)</f>
        <v>0</v>
      </c>
      <c r="AC219">
        <f>IF(ISNA(AD219),NA(),AC137)</f>
        <v>0</v>
      </c>
      <c r="AD219">
        <f>IF(OR(AD137="",AND(AD137=AD136,AD137=AD138)),NA(), AD137)</f>
        <v>0</v>
      </c>
      <c r="AE219">
        <f>IF(ISNA(AF219),NA(),AE137)</f>
        <v>0</v>
      </c>
      <c r="AF219">
        <f>IF(OR(AF137="",AND(AF137=AF136,AF137=AF138)),NA(), AF137)</f>
        <v>0</v>
      </c>
      <c r="AG219">
        <f>IF(ISNA(AH219),NA(),AG137)</f>
        <v>0</v>
      </c>
      <c r="AH219">
        <f>IF(OR(AH137="",AND(AH137=AH136,AH137=AH138)),NA(), AH137)</f>
        <v>0</v>
      </c>
      <c r="AI219">
        <f>IF(ISNA(AJ219),NA(),AI137)</f>
        <v>0</v>
      </c>
      <c r="AJ219">
        <f>IF(OR(AJ137="",AND(AJ137=AJ136,AJ137=AJ138)),NA(), AJ137)</f>
        <v>0</v>
      </c>
      <c r="AK219">
        <f>IF(ISNA(AL219),NA(),AK137)</f>
        <v>0</v>
      </c>
      <c r="AL219">
        <f>IF(OR(AL137="",AND(AL137=AL136,AL137=AL138)),NA(), AL137)</f>
        <v>0</v>
      </c>
      <c r="AM219">
        <f>IF(ISNA(AN219),NA(),AM137)</f>
        <v>0</v>
      </c>
      <c r="AN219">
        <f>IF(OR(AN137="",AND(AN137=AN136,AN137=AN138)),NA(), AN137)</f>
        <v>0</v>
      </c>
      <c r="AO219">
        <f>IF(ISNA(AP219),NA(),AO137)</f>
        <v>0</v>
      </c>
      <c r="AP219">
        <f>IF(OR(AP137="",AND(AP137=AP136,AP137=AP138)),NA(), AP137)</f>
        <v>0</v>
      </c>
      <c r="AQ219">
        <f>IF(ISNA(AR219),NA(),AQ137)</f>
        <v>0</v>
      </c>
      <c r="AR219">
        <f>IF(OR(AR137="",AND(AR137=AR136,AR137=AR138)),NA(), AR137)</f>
        <v>0</v>
      </c>
      <c r="AS219">
        <f>IF(ISNA(AT219),NA(),AS137)</f>
        <v>0</v>
      </c>
      <c r="AT219">
        <f>IF(OR(AT137="",AND(AT137=AT136,AT137=AT138)),NA(), AT137)</f>
        <v>0</v>
      </c>
      <c r="AU219">
        <f>IF(ISNA(AV219),NA(),AU137)</f>
        <v>0</v>
      </c>
      <c r="AV219">
        <f>IF(OR(AV137="",AND(AV137=AV136,AV137=AV138)),NA(), AV137)</f>
        <v>0</v>
      </c>
      <c r="AW219">
        <f>IF(ISNA(AX219),NA(),AW137)</f>
        <v>0</v>
      </c>
      <c r="AX219">
        <f>IF(OR(AX137="",AND(AX137=AX136,AX137=AX138)),NA(), AX137)</f>
        <v>0</v>
      </c>
      <c r="AY219">
        <f>IF(ISNA(AZ219),NA(),AY137)</f>
        <v>0</v>
      </c>
      <c r="AZ219">
        <f>IF(OR(AZ137="",AND(AZ137=AZ136,AZ137=AZ138)),NA(), AZ137)</f>
        <v>0</v>
      </c>
      <c r="BA219">
        <f>IF(ISNA(BB219),NA(),BA137)</f>
        <v>0</v>
      </c>
      <c r="BB219">
        <f>IF(OR(BB137="",AND(BB137=BB136,BB137=BB138)),NA(), BB137)</f>
        <v>0</v>
      </c>
      <c r="BC219">
        <f>IF(ISNA(BD219),NA(),BC137)</f>
        <v>0</v>
      </c>
      <c r="BD219">
        <f>IF(OR(BD137="",AND(BD137=BD136,BD137=BD138)),NA(), BD137)</f>
        <v>0</v>
      </c>
      <c r="BE219">
        <f>IF(ISNA(BF219),NA(),BE137)</f>
        <v>0</v>
      </c>
      <c r="BF219">
        <f>IF(OR(BF137="",AND(BF137=BF136,BF137=BF138)),NA(), BF137)</f>
        <v>0</v>
      </c>
      <c r="BG219">
        <f>IF(ISNA(BH219),NA(),BG137)</f>
        <v>0</v>
      </c>
      <c r="BH219">
        <f>IF(OR(BH137="",AND(BH137=BH136,BH137=BH138)),NA(), BH137)</f>
        <v>0</v>
      </c>
      <c r="BI219">
        <f>IF(ISNA(BJ219),NA(),BI137)</f>
        <v>0</v>
      </c>
      <c r="BJ219">
        <f>IF(OR(BJ137="",AND(BJ137=BJ136,BJ137=BJ138)),NA(), BJ137)</f>
        <v>0</v>
      </c>
      <c r="BK219">
        <f>IF(ISNA(BL219),NA(),BK137)</f>
        <v>0</v>
      </c>
      <c r="BL219">
        <f>IF(OR(BL137="",AND(BL137=BL136,BL137=BL138)),NA(), BL137)</f>
        <v>0</v>
      </c>
      <c r="BM219">
        <f>IF(ISNA(BN219),NA(),BM137)</f>
        <v>0</v>
      </c>
      <c r="BN219">
        <f>IF(OR(BN137="",AND(BN137=BN136,BN137=BN138)),NA(), BN137)</f>
        <v>0</v>
      </c>
      <c r="BO219">
        <f>IF(ISNA(BP219),NA(),BO137)</f>
        <v>0</v>
      </c>
      <c r="BP219">
        <f>IF(OR(BP137="",AND(BP137=BP136,BP137=BP138)),NA(), BP137)</f>
        <v>0</v>
      </c>
      <c r="BS219">
        <f>IF(ISNA(BT219),NA(),BS137)</f>
        <v>0</v>
      </c>
      <c r="BT219">
        <f>IF(OR(BT137="",AND(BT137=BT136,BT137=BT138)),NA(), BT137)</f>
        <v>0</v>
      </c>
      <c r="BU219">
        <f>IF(ISNA(BV219),NA(),BU137)</f>
        <v>0</v>
      </c>
      <c r="BV219">
        <f>IF(OR(BV137="",AND(BV137=BV136,BV137=BV138)),NA(), BV137)</f>
        <v>0</v>
      </c>
      <c r="BW219">
        <f>IF(ISNA(BX219),NA(),BW137)</f>
        <v>0</v>
      </c>
      <c r="BX219">
        <f>IF(OR(BX137="",AND(BX137=BX136,BX137=BX138)),NA(), BX137)</f>
        <v>0</v>
      </c>
      <c r="BY219">
        <f>IF(ISNA(BZ219),NA(),BY137)</f>
        <v>0</v>
      </c>
      <c r="BZ219">
        <f>IF(OR(BZ137="",AND(BZ137=BZ136,BZ137=BZ138)),NA(), BZ137)</f>
        <v>0</v>
      </c>
      <c r="CA219">
        <f>IF(ISNA(CB219),NA(),CA137)</f>
        <v>0</v>
      </c>
      <c r="CB219">
        <f>IF(OR(CB137="",AND(CB137=CB136,CB137=CB138)),NA(), CB137)</f>
        <v>0</v>
      </c>
      <c r="CC219">
        <f>IF(ISNA(CD219),NA(),CC137)</f>
        <v>0</v>
      </c>
      <c r="CD219">
        <f>IF(OR(CD137="",AND(CD137=CD136,CD137=CD138)),NA(), CD137)</f>
        <v>0</v>
      </c>
      <c r="CE219">
        <f>IF(ISNA(CF219),NA(),CE137)</f>
        <v>0</v>
      </c>
      <c r="CF219">
        <f>IF(OR(CF137="",AND(CF137=CF136,CF137=CF138)),NA(), CF137)</f>
        <v>0</v>
      </c>
      <c r="CG219">
        <f>IF(ISNA(CH219),NA(),CG137)</f>
        <v>0</v>
      </c>
      <c r="CH219">
        <f>IF(OR(CH137="",AND(CH137=CH136,CH137=CH138)),NA(), CH137)</f>
        <v>0</v>
      </c>
      <c r="CI219">
        <f>IF(ISNA(CJ219),NA(),CI137)</f>
        <v>0</v>
      </c>
      <c r="CJ219">
        <f>IF(OR(CJ137="",AND(CJ137=CJ136,CJ137=CJ138)),NA(), CJ137)</f>
        <v>0</v>
      </c>
      <c r="CK219">
        <f>IF(ISNA(CL219),NA(),CK137)</f>
        <v>0</v>
      </c>
      <c r="CL219">
        <f>IF(OR(CL137="",AND(CL137=CL136,CL137=CL138)),NA(), CL137)</f>
        <v>0</v>
      </c>
      <c r="CM219">
        <f>IF(ISNA(CN219),NA(),CM137)</f>
        <v>0</v>
      </c>
      <c r="CN219">
        <f>IF(OR(CN137="",AND(CN137=CN136,CN137=CN138)),NA(), CN137)</f>
        <v>0</v>
      </c>
      <c r="CO219">
        <f>IF(ISNA(CP219),NA(),CO137)</f>
        <v>0</v>
      </c>
      <c r="CP219">
        <f>IF(OR(CP137="",AND(CP137=CP136,CP137=CP138)),NA(), CP137)</f>
        <v>0</v>
      </c>
      <c r="CQ219">
        <f>IF(ISNA(CR219),NA(),CQ137)</f>
        <v>0</v>
      </c>
      <c r="CR219">
        <f>IF(OR(CR137="",AND(CR137=CR136,CR137=CR138)),NA(), CR137)</f>
        <v>0</v>
      </c>
      <c r="CS219">
        <f>IF(ISNA(CT219),NA(),CS137)</f>
        <v>0</v>
      </c>
      <c r="CT219">
        <f>IF(OR(CT137="",AND(CT137=CT136,CT137=CT138)),NA(), CT137)</f>
        <v>0</v>
      </c>
      <c r="CU219">
        <f>IF(ISNA(CV219),NA(),CU137)</f>
        <v>0</v>
      </c>
      <c r="CV219">
        <f>IF(OR(CV137="",AND(CV137=CV136,CV137=CV138)),NA(), CV137)</f>
        <v>0</v>
      </c>
      <c r="CW219">
        <f>IF(ISNA(CX219),NA(),CW137)</f>
        <v>0</v>
      </c>
      <c r="CX219">
        <f>IF(OR(CX137="",AND(CX137=CX136,CX137=CX138)),NA(), CX137)</f>
        <v>0</v>
      </c>
      <c r="CY219">
        <f>IF(ISNA(CZ219),NA(),CY137)</f>
        <v>0</v>
      </c>
      <c r="CZ219">
        <f>IF(OR(CZ137="",AND(CZ137=CZ136,CZ137=CZ138)),NA(), CZ137)</f>
        <v>0</v>
      </c>
      <c r="DA219">
        <f>IF(ISNA(DB219),NA(),DA137)</f>
        <v>0</v>
      </c>
      <c r="DB219">
        <f>IF(OR(DB137="",AND(DB137=DB136,DB137=DB138)),NA(), DB137)</f>
        <v>0</v>
      </c>
      <c r="DC219">
        <f>IF(ISNA(DD219),NA(),DC137)</f>
        <v>0</v>
      </c>
      <c r="DD219">
        <f>IF(OR(DD137="",AND(DD137=DD136,DD137=DD138)),NA(), DD137)</f>
        <v>0</v>
      </c>
      <c r="DE219">
        <f>IF(ISNA(DF219),NA(),DE137)</f>
        <v>0</v>
      </c>
      <c r="DF219">
        <f>IF(OR(DF137="",AND(DF137=DF136,DF137=DF138)),NA(), DF137)</f>
        <v>0</v>
      </c>
      <c r="DG219">
        <f>IF(ISNA(DH219),NA(),DG137)</f>
        <v>0</v>
      </c>
      <c r="DH219">
        <f>IF(OR(DH137="",AND(DH137=DH136,DH137=DH138)),NA(), DH137)</f>
        <v>0</v>
      </c>
      <c r="DI219">
        <f>IF(ISNA(DJ219),NA(),DI137)</f>
        <v>0</v>
      </c>
      <c r="DJ219">
        <f>IF(OR(DJ137="",AND(DJ137=DJ136,DJ137=DJ138)),NA(), DJ137)</f>
        <v>0</v>
      </c>
      <c r="DK219">
        <f>IF(ISNA(DL219),NA(),DK137)</f>
        <v>0</v>
      </c>
      <c r="DL219">
        <f>IF(OR(DL137="",AND(DL137=DL136,DL137=DL138)),NA(), DL137)</f>
        <v>0</v>
      </c>
      <c r="DM219">
        <f>IF(ISNA(DN219),NA(),DM137)</f>
        <v>0</v>
      </c>
      <c r="DN219">
        <f>IF(OR(DN137="",AND(DN137=DN136,DN137=DN138)),NA(), DN137)</f>
        <v>0</v>
      </c>
      <c r="DO219">
        <f>IF(ISNA(DP219),NA(),DO137)</f>
        <v>0</v>
      </c>
      <c r="DP219">
        <f>IF(OR(DP137="",AND(DP137=DP136,DP137=DP138)),NA(), DP137)</f>
        <v>0</v>
      </c>
      <c r="DQ219">
        <f>IF(ISNA(DR219),NA(),DQ137)</f>
        <v>0</v>
      </c>
      <c r="DR219">
        <f>IF(OR(DR137="",AND(DR137=DR136,DR137=DR138)),NA(), DR137)</f>
        <v>0</v>
      </c>
      <c r="DS219">
        <f>IF(ISNA(DT219),NA(),DS137)</f>
        <v>0</v>
      </c>
      <c r="DT219">
        <f>IF(OR(DT137="",AND(DT137=DT136,DT137=DT138)),NA(), DT137)</f>
        <v>0</v>
      </c>
      <c r="DU219">
        <f>IF(ISNA(DV219),NA(),DU137)</f>
        <v>0</v>
      </c>
      <c r="DV219">
        <f>IF(OR(DV137="",AND(DV137=DV136,DV137=DV138)),NA(), DV137)</f>
        <v>0</v>
      </c>
      <c r="DW219">
        <f>IF(ISNA(DX219),NA(),DW137)</f>
        <v>0</v>
      </c>
      <c r="DX219">
        <f>IF(OR(DX137="",AND(DX137=DX136,DX137=DX138)),NA(), DX137)</f>
        <v>0</v>
      </c>
      <c r="DY219">
        <f>IF(ISNA(DZ219),NA(),DY137)</f>
        <v>0</v>
      </c>
      <c r="DZ219">
        <f>IF(OR(DZ137="",AND(DZ137=DZ136,DZ137=DZ138)),NA(), DZ137)</f>
        <v>0</v>
      </c>
      <c r="EA219">
        <f>IF(ISNA(EB219),NA(),EA137)</f>
        <v>0</v>
      </c>
      <c r="EB219">
        <f>IF(OR(EB137="",AND(EB137=EB136,EB137=EB138)),NA(), EB137)</f>
        <v>0</v>
      </c>
      <c r="EC219">
        <f>IF(ISNA(ED219),NA(),EC137)</f>
        <v>0</v>
      </c>
      <c r="ED219">
        <f>IF(OR(ED137="",AND(ED137=ED136,ED137=ED138)),NA(), ED137)</f>
        <v>0</v>
      </c>
    </row>
    <row r="220" spans="4:134">
      <c r="E220">
        <f>IF(ISNA(F220),NA(),E138)</f>
        <v>0</v>
      </c>
      <c r="F220">
        <f>IF(OR(F138="",AND(F138=F137,F138=F139)),NA(), F138)</f>
        <v>0</v>
      </c>
      <c r="G220">
        <f>IF(ISNA(H220),NA(),G138)</f>
        <v>0</v>
      </c>
      <c r="H220">
        <f>IF(OR(H138="",AND(H138=H137,H138=H139)),NA(), H138)</f>
        <v>0</v>
      </c>
      <c r="I220">
        <f>IF(ISNA(J220),NA(),I138)</f>
        <v>0</v>
      </c>
      <c r="J220">
        <f>IF(OR(J138="",AND(J138=J137,J138=J139)),NA(), J138)</f>
        <v>0</v>
      </c>
      <c r="K220">
        <f>IF(ISNA(L220),NA(),K138)</f>
        <v>0</v>
      </c>
      <c r="L220">
        <f>IF(OR(L138="",AND(L138=L137,L138=L139)),NA(), L138)</f>
        <v>0</v>
      </c>
      <c r="M220">
        <f>IF(ISNA(N220),NA(),M138)</f>
        <v>0</v>
      </c>
      <c r="N220">
        <f>IF(OR(N138="",AND(N138=N137,N138=N139)),NA(), N138)</f>
        <v>0</v>
      </c>
      <c r="O220">
        <f>IF(ISNA(P220),NA(),O138)</f>
        <v>0</v>
      </c>
      <c r="P220">
        <f>IF(OR(P138="",AND(P138=P137,P138=P139)),NA(), P138)</f>
        <v>0</v>
      </c>
      <c r="Q220">
        <f>IF(ISNA(R220),NA(),Q138)</f>
        <v>0</v>
      </c>
      <c r="R220">
        <f>IF(OR(R138="",AND(R138=R137,R138=R139)),NA(), R138)</f>
        <v>0</v>
      </c>
      <c r="S220">
        <f>IF(ISNA(T220),NA(),S138)</f>
        <v>0</v>
      </c>
      <c r="T220">
        <f>IF(OR(T138="",AND(T138=T137,T138=T139)),NA(), T138)</f>
        <v>0</v>
      </c>
      <c r="U220">
        <f>IF(ISNA(V220),NA(),U138)</f>
        <v>0</v>
      </c>
      <c r="V220">
        <f>IF(OR(V138="",AND(V138=V137,V138=V139)),NA(), V138)</f>
        <v>0</v>
      </c>
      <c r="W220">
        <f>IF(ISNA(X220),NA(),W138)</f>
        <v>0</v>
      </c>
      <c r="X220">
        <f>IF(OR(X138="",AND(X138=X137,X138=X139)),NA(), X138)</f>
        <v>0</v>
      </c>
      <c r="Y220">
        <f>IF(ISNA(Z220),NA(),Y138)</f>
        <v>0</v>
      </c>
      <c r="Z220">
        <f>IF(OR(Z138="",AND(Z138=Z137,Z138=Z139)),NA(), Z138)</f>
        <v>0</v>
      </c>
      <c r="AA220">
        <f>IF(ISNA(AB220),NA(),AA138)</f>
        <v>0</v>
      </c>
      <c r="AB220">
        <f>IF(OR(AB138="",AND(AB138=AB137,AB138=AB139)),NA(), AB138)</f>
        <v>0</v>
      </c>
      <c r="AC220">
        <f>IF(ISNA(AD220),NA(),AC138)</f>
        <v>0</v>
      </c>
      <c r="AD220">
        <f>IF(OR(AD138="",AND(AD138=AD137,AD138=AD139)),NA(), AD138)</f>
        <v>0</v>
      </c>
      <c r="AE220">
        <f>IF(ISNA(AF220),NA(),AE138)</f>
        <v>0</v>
      </c>
      <c r="AF220">
        <f>IF(OR(AF138="",AND(AF138=AF137,AF138=AF139)),NA(), AF138)</f>
        <v>0</v>
      </c>
      <c r="AG220">
        <f>IF(ISNA(AH220),NA(),AG138)</f>
        <v>0</v>
      </c>
      <c r="AH220">
        <f>IF(OR(AH138="",AND(AH138=AH137,AH138=AH139)),NA(), AH138)</f>
        <v>0</v>
      </c>
      <c r="AI220">
        <f>IF(ISNA(AJ220),NA(),AI138)</f>
        <v>0</v>
      </c>
      <c r="AJ220">
        <f>IF(OR(AJ138="",AND(AJ138=AJ137,AJ138=AJ139)),NA(), AJ138)</f>
        <v>0</v>
      </c>
      <c r="AK220">
        <f>IF(ISNA(AL220),NA(),AK138)</f>
        <v>0</v>
      </c>
      <c r="AL220">
        <f>IF(OR(AL138="",AND(AL138=AL137,AL138=AL139)),NA(), AL138)</f>
        <v>0</v>
      </c>
      <c r="AM220">
        <f>IF(ISNA(AN220),NA(),AM138)</f>
        <v>0</v>
      </c>
      <c r="AN220">
        <f>IF(OR(AN138="",AND(AN138=AN137,AN138=AN139)),NA(), AN138)</f>
        <v>0</v>
      </c>
      <c r="AO220">
        <f>IF(ISNA(AP220),NA(),AO138)</f>
        <v>0</v>
      </c>
      <c r="AP220">
        <f>IF(OR(AP138="",AND(AP138=AP137,AP138=AP139)),NA(), AP138)</f>
        <v>0</v>
      </c>
      <c r="AQ220">
        <f>IF(ISNA(AR220),NA(),AQ138)</f>
        <v>0</v>
      </c>
      <c r="AR220">
        <f>IF(OR(AR138="",AND(AR138=AR137,AR138=AR139)),NA(), AR138)</f>
        <v>0</v>
      </c>
      <c r="AS220">
        <f>IF(ISNA(AT220),NA(),AS138)</f>
        <v>0</v>
      </c>
      <c r="AT220">
        <f>IF(OR(AT138="",AND(AT138=AT137,AT138=AT139)),NA(), AT138)</f>
        <v>0</v>
      </c>
      <c r="AU220">
        <f>IF(ISNA(AV220),NA(),AU138)</f>
        <v>0</v>
      </c>
      <c r="AV220">
        <f>IF(OR(AV138="",AND(AV138=AV137,AV138=AV139)),NA(), AV138)</f>
        <v>0</v>
      </c>
      <c r="AW220">
        <f>IF(ISNA(AX220),NA(),AW138)</f>
        <v>0</v>
      </c>
      <c r="AX220">
        <f>IF(OR(AX138="",AND(AX138=AX137,AX138=AX139)),NA(), AX138)</f>
        <v>0</v>
      </c>
      <c r="AY220">
        <f>IF(ISNA(AZ220),NA(),AY138)</f>
        <v>0</v>
      </c>
      <c r="AZ220">
        <f>IF(OR(AZ138="",AND(AZ138=AZ137,AZ138=AZ139)),NA(), AZ138)</f>
        <v>0</v>
      </c>
      <c r="BA220">
        <f>IF(ISNA(BB220),NA(),BA138)</f>
        <v>0</v>
      </c>
      <c r="BB220">
        <f>IF(OR(BB138="",AND(BB138=BB137,BB138=BB139)),NA(), BB138)</f>
        <v>0</v>
      </c>
      <c r="BC220">
        <f>IF(ISNA(BD220),NA(),BC138)</f>
        <v>0</v>
      </c>
      <c r="BD220">
        <f>IF(OR(BD138="",AND(BD138=BD137,BD138=BD139)),NA(), BD138)</f>
        <v>0</v>
      </c>
      <c r="BE220">
        <f>IF(ISNA(BF220),NA(),BE138)</f>
        <v>0</v>
      </c>
      <c r="BF220">
        <f>IF(OR(BF138="",AND(BF138=BF137,BF138=BF139)),NA(), BF138)</f>
        <v>0</v>
      </c>
      <c r="BG220">
        <f>IF(ISNA(BH220),NA(),BG138)</f>
        <v>0</v>
      </c>
      <c r="BH220">
        <f>IF(OR(BH138="",AND(BH138=BH137,BH138=BH139)),NA(), BH138)</f>
        <v>0</v>
      </c>
      <c r="BI220">
        <f>IF(ISNA(BJ220),NA(),BI138)</f>
        <v>0</v>
      </c>
      <c r="BJ220">
        <f>IF(OR(BJ138="",AND(BJ138=BJ137,BJ138=BJ139)),NA(), BJ138)</f>
        <v>0</v>
      </c>
      <c r="BK220">
        <f>IF(ISNA(BL220),NA(),BK138)</f>
        <v>0</v>
      </c>
      <c r="BL220">
        <f>IF(OR(BL138="",AND(BL138=BL137,BL138=BL139)),NA(), BL138)</f>
        <v>0</v>
      </c>
      <c r="BM220">
        <f>IF(ISNA(BN220),NA(),BM138)</f>
        <v>0</v>
      </c>
      <c r="BN220">
        <f>IF(OR(BN138="",AND(BN138=BN137,BN138=BN139)),NA(), BN138)</f>
        <v>0</v>
      </c>
      <c r="BO220">
        <f>IF(ISNA(BP220),NA(),BO138)</f>
        <v>0</v>
      </c>
      <c r="BP220">
        <f>IF(OR(BP138="",AND(BP138=BP137,BP138=BP139)),NA(), BP138)</f>
        <v>0</v>
      </c>
      <c r="BS220">
        <f>IF(ISNA(BT220),NA(),BS138)</f>
        <v>0</v>
      </c>
      <c r="BT220">
        <f>IF(OR(BT138="",AND(BT138=BT137,BT138=BT139)),NA(), BT138)</f>
        <v>0</v>
      </c>
      <c r="BU220">
        <f>IF(ISNA(BV220),NA(),BU138)</f>
        <v>0</v>
      </c>
      <c r="BV220">
        <f>IF(OR(BV138="",AND(BV138=BV137,BV138=BV139)),NA(), BV138)</f>
        <v>0</v>
      </c>
      <c r="BW220">
        <f>IF(ISNA(BX220),NA(),BW138)</f>
        <v>0</v>
      </c>
      <c r="BX220">
        <f>IF(OR(BX138="",AND(BX138=BX137,BX138=BX139)),NA(), BX138)</f>
        <v>0</v>
      </c>
      <c r="BY220">
        <f>IF(ISNA(BZ220),NA(),BY138)</f>
        <v>0</v>
      </c>
      <c r="BZ220">
        <f>IF(OR(BZ138="",AND(BZ138=BZ137,BZ138=BZ139)),NA(), BZ138)</f>
        <v>0</v>
      </c>
      <c r="CA220">
        <f>IF(ISNA(CB220),NA(),CA138)</f>
        <v>0</v>
      </c>
      <c r="CB220">
        <f>IF(OR(CB138="",AND(CB138=CB137,CB138=CB139)),NA(), CB138)</f>
        <v>0</v>
      </c>
      <c r="CC220">
        <f>IF(ISNA(CD220),NA(),CC138)</f>
        <v>0</v>
      </c>
      <c r="CD220">
        <f>IF(OR(CD138="",AND(CD138=CD137,CD138=CD139)),NA(), CD138)</f>
        <v>0</v>
      </c>
      <c r="CE220">
        <f>IF(ISNA(CF220),NA(),CE138)</f>
        <v>0</v>
      </c>
      <c r="CF220">
        <f>IF(OR(CF138="",AND(CF138=CF137,CF138=CF139)),NA(), CF138)</f>
        <v>0</v>
      </c>
      <c r="CG220">
        <f>IF(ISNA(CH220),NA(),CG138)</f>
        <v>0</v>
      </c>
      <c r="CH220">
        <f>IF(OR(CH138="",AND(CH138=CH137,CH138=CH139)),NA(), CH138)</f>
        <v>0</v>
      </c>
      <c r="CI220">
        <f>IF(ISNA(CJ220),NA(),CI138)</f>
        <v>0</v>
      </c>
      <c r="CJ220">
        <f>IF(OR(CJ138="",AND(CJ138=CJ137,CJ138=CJ139)),NA(), CJ138)</f>
        <v>0</v>
      </c>
      <c r="CK220">
        <f>IF(ISNA(CL220),NA(),CK138)</f>
        <v>0</v>
      </c>
      <c r="CL220">
        <f>IF(OR(CL138="",AND(CL138=CL137,CL138=CL139)),NA(), CL138)</f>
        <v>0</v>
      </c>
      <c r="CM220">
        <f>IF(ISNA(CN220),NA(),CM138)</f>
        <v>0</v>
      </c>
      <c r="CN220">
        <f>IF(OR(CN138="",AND(CN138=CN137,CN138=CN139)),NA(), CN138)</f>
        <v>0</v>
      </c>
      <c r="CO220">
        <f>IF(ISNA(CP220),NA(),CO138)</f>
        <v>0</v>
      </c>
      <c r="CP220">
        <f>IF(OR(CP138="",AND(CP138=CP137,CP138=CP139)),NA(), CP138)</f>
        <v>0</v>
      </c>
      <c r="CQ220">
        <f>IF(ISNA(CR220),NA(),CQ138)</f>
        <v>0</v>
      </c>
      <c r="CR220">
        <f>IF(OR(CR138="",AND(CR138=CR137,CR138=CR139)),NA(), CR138)</f>
        <v>0</v>
      </c>
      <c r="CS220">
        <f>IF(ISNA(CT220),NA(),CS138)</f>
        <v>0</v>
      </c>
      <c r="CT220">
        <f>IF(OR(CT138="",AND(CT138=CT137,CT138=CT139)),NA(), CT138)</f>
        <v>0</v>
      </c>
      <c r="CU220">
        <f>IF(ISNA(CV220),NA(),CU138)</f>
        <v>0</v>
      </c>
      <c r="CV220">
        <f>IF(OR(CV138="",AND(CV138=CV137,CV138=CV139)),NA(), CV138)</f>
        <v>0</v>
      </c>
      <c r="CW220">
        <f>IF(ISNA(CX220),NA(),CW138)</f>
        <v>0</v>
      </c>
      <c r="CX220">
        <f>IF(OR(CX138="",AND(CX138=CX137,CX138=CX139)),NA(), CX138)</f>
        <v>0</v>
      </c>
      <c r="CY220">
        <f>IF(ISNA(CZ220),NA(),CY138)</f>
        <v>0</v>
      </c>
      <c r="CZ220">
        <f>IF(OR(CZ138="",AND(CZ138=CZ137,CZ138=CZ139)),NA(), CZ138)</f>
        <v>0</v>
      </c>
      <c r="DA220">
        <f>IF(ISNA(DB220),NA(),DA138)</f>
        <v>0</v>
      </c>
      <c r="DB220">
        <f>IF(OR(DB138="",AND(DB138=DB137,DB138=DB139)),NA(), DB138)</f>
        <v>0</v>
      </c>
      <c r="DC220">
        <f>IF(ISNA(DD220),NA(),DC138)</f>
        <v>0</v>
      </c>
      <c r="DD220">
        <f>IF(OR(DD138="",AND(DD138=DD137,DD138=DD139)),NA(), DD138)</f>
        <v>0</v>
      </c>
      <c r="DE220">
        <f>IF(ISNA(DF220),NA(),DE138)</f>
        <v>0</v>
      </c>
      <c r="DF220">
        <f>IF(OR(DF138="",AND(DF138=DF137,DF138=DF139)),NA(), DF138)</f>
        <v>0</v>
      </c>
      <c r="DG220">
        <f>IF(ISNA(DH220),NA(),DG138)</f>
        <v>0</v>
      </c>
      <c r="DH220">
        <f>IF(OR(DH138="",AND(DH138=DH137,DH138=DH139)),NA(), DH138)</f>
        <v>0</v>
      </c>
      <c r="DI220">
        <f>IF(ISNA(DJ220),NA(),DI138)</f>
        <v>0</v>
      </c>
      <c r="DJ220">
        <f>IF(OR(DJ138="",AND(DJ138=DJ137,DJ138=DJ139)),NA(), DJ138)</f>
        <v>0</v>
      </c>
      <c r="DK220">
        <f>IF(ISNA(DL220),NA(),DK138)</f>
        <v>0</v>
      </c>
      <c r="DL220">
        <f>IF(OR(DL138="",AND(DL138=DL137,DL138=DL139)),NA(), DL138)</f>
        <v>0</v>
      </c>
      <c r="DM220">
        <f>IF(ISNA(DN220),NA(),DM138)</f>
        <v>0</v>
      </c>
      <c r="DN220">
        <f>IF(OR(DN138="",AND(DN138=DN137,DN138=DN139)),NA(), DN138)</f>
        <v>0</v>
      </c>
      <c r="DO220">
        <f>IF(ISNA(DP220),NA(),DO138)</f>
        <v>0</v>
      </c>
      <c r="DP220">
        <f>IF(OR(DP138="",AND(DP138=DP137,DP138=DP139)),NA(), DP138)</f>
        <v>0</v>
      </c>
      <c r="DQ220">
        <f>IF(ISNA(DR220),NA(),DQ138)</f>
        <v>0</v>
      </c>
      <c r="DR220">
        <f>IF(OR(DR138="",AND(DR138=DR137,DR138=DR139)),NA(), DR138)</f>
        <v>0</v>
      </c>
      <c r="DS220">
        <f>IF(ISNA(DT220),NA(),DS138)</f>
        <v>0</v>
      </c>
      <c r="DT220">
        <f>IF(OR(DT138="",AND(DT138=DT137,DT138=DT139)),NA(), DT138)</f>
        <v>0</v>
      </c>
      <c r="DU220">
        <f>IF(ISNA(DV220),NA(),DU138)</f>
        <v>0</v>
      </c>
      <c r="DV220">
        <f>IF(OR(DV138="",AND(DV138=DV137,DV138=DV139)),NA(), DV138)</f>
        <v>0</v>
      </c>
      <c r="DW220">
        <f>IF(ISNA(DX220),NA(),DW138)</f>
        <v>0</v>
      </c>
      <c r="DX220">
        <f>IF(OR(DX138="",AND(DX138=DX137,DX138=DX139)),NA(), DX138)</f>
        <v>0</v>
      </c>
      <c r="DY220">
        <f>IF(ISNA(DZ220),NA(),DY138)</f>
        <v>0</v>
      </c>
      <c r="DZ220">
        <f>IF(OR(DZ138="",AND(DZ138=DZ137,DZ138=DZ139)),NA(), DZ138)</f>
        <v>0</v>
      </c>
      <c r="EA220">
        <f>IF(ISNA(EB220),NA(),EA138)</f>
        <v>0</v>
      </c>
      <c r="EB220">
        <f>IF(OR(EB138="",AND(EB138=EB137,EB138=EB139)),NA(), EB138)</f>
        <v>0</v>
      </c>
      <c r="EC220">
        <f>IF(ISNA(ED220),NA(),EC138)</f>
        <v>0</v>
      </c>
      <c r="ED220">
        <f>IF(OR(ED138="",AND(ED138=ED137,ED138=ED139)),NA(), ED138)</f>
        <v>0</v>
      </c>
    </row>
    <row r="221" spans="4:134">
      <c r="E221">
        <f>IF(ISNA(F221),NA(),E139)</f>
        <v>0</v>
      </c>
      <c r="F221">
        <f>IF(OR(F139="",AND(F139=F138,F139=F140)),NA(), F139)</f>
        <v>0</v>
      </c>
      <c r="G221">
        <f>IF(ISNA(H221),NA(),G139)</f>
        <v>0</v>
      </c>
      <c r="H221">
        <f>IF(OR(H139="",AND(H139=H138,H139=H140)),NA(), H139)</f>
        <v>0</v>
      </c>
      <c r="I221">
        <f>IF(ISNA(J221),NA(),I139)</f>
        <v>0</v>
      </c>
      <c r="J221">
        <f>IF(OR(J139="",AND(J139=J138,J139=J140)),NA(), J139)</f>
        <v>0</v>
      </c>
      <c r="K221">
        <f>IF(ISNA(L221),NA(),K139)</f>
        <v>0</v>
      </c>
      <c r="L221">
        <f>IF(OR(L139="",AND(L139=L138,L139=L140)),NA(), L139)</f>
        <v>0</v>
      </c>
      <c r="M221">
        <f>IF(ISNA(N221),NA(),M139)</f>
        <v>0</v>
      </c>
      <c r="N221">
        <f>IF(OR(N139="",AND(N139=N138,N139=N140)),NA(), N139)</f>
        <v>0</v>
      </c>
      <c r="O221">
        <f>IF(ISNA(P221),NA(),O139)</f>
        <v>0</v>
      </c>
      <c r="P221">
        <f>IF(OR(P139="",AND(P139=P138,P139=P140)),NA(), P139)</f>
        <v>0</v>
      </c>
      <c r="Q221">
        <f>IF(ISNA(R221),NA(),Q139)</f>
        <v>0</v>
      </c>
      <c r="R221">
        <f>IF(OR(R139="",AND(R139=R138,R139=R140)),NA(), R139)</f>
        <v>0</v>
      </c>
      <c r="S221">
        <f>IF(ISNA(T221),NA(),S139)</f>
        <v>0</v>
      </c>
      <c r="T221">
        <f>IF(OR(T139="",AND(T139=T138,T139=T140)),NA(), T139)</f>
        <v>0</v>
      </c>
      <c r="U221">
        <f>IF(ISNA(V221),NA(),U139)</f>
        <v>0</v>
      </c>
      <c r="V221">
        <f>IF(OR(V139="",AND(V139=V138,V139=V140)),NA(), V139)</f>
        <v>0</v>
      </c>
      <c r="W221">
        <f>IF(ISNA(X221),NA(),W139)</f>
        <v>0</v>
      </c>
      <c r="X221">
        <f>IF(OR(X139="",AND(X139=X138,X139=X140)),NA(), X139)</f>
        <v>0</v>
      </c>
      <c r="Y221">
        <f>IF(ISNA(Z221),NA(),Y139)</f>
        <v>0</v>
      </c>
      <c r="Z221">
        <f>IF(OR(Z139="",AND(Z139=Z138,Z139=Z140)),NA(), Z139)</f>
        <v>0</v>
      </c>
      <c r="AA221">
        <f>IF(ISNA(AB221),NA(),AA139)</f>
        <v>0</v>
      </c>
      <c r="AB221">
        <f>IF(OR(AB139="",AND(AB139=AB138,AB139=AB140)),NA(), AB139)</f>
        <v>0</v>
      </c>
      <c r="AC221">
        <f>IF(ISNA(AD221),NA(),AC139)</f>
        <v>0</v>
      </c>
      <c r="AD221">
        <f>IF(OR(AD139="",AND(AD139=AD138,AD139=AD140)),NA(), AD139)</f>
        <v>0</v>
      </c>
      <c r="AE221">
        <f>IF(ISNA(AF221),NA(),AE139)</f>
        <v>0</v>
      </c>
      <c r="AF221">
        <f>IF(OR(AF139="",AND(AF139=AF138,AF139=AF140)),NA(), AF139)</f>
        <v>0</v>
      </c>
      <c r="AG221">
        <f>IF(ISNA(AH221),NA(),AG139)</f>
        <v>0</v>
      </c>
      <c r="AH221">
        <f>IF(OR(AH139="",AND(AH139=AH138,AH139=AH140)),NA(), AH139)</f>
        <v>0</v>
      </c>
      <c r="AI221">
        <f>IF(ISNA(AJ221),NA(),AI139)</f>
        <v>0</v>
      </c>
      <c r="AJ221">
        <f>IF(OR(AJ139="",AND(AJ139=AJ138,AJ139=AJ140)),NA(), AJ139)</f>
        <v>0</v>
      </c>
      <c r="AK221">
        <f>IF(ISNA(AL221),NA(),AK139)</f>
        <v>0</v>
      </c>
      <c r="AL221">
        <f>IF(OR(AL139="",AND(AL139=AL138,AL139=AL140)),NA(), AL139)</f>
        <v>0</v>
      </c>
      <c r="AM221">
        <f>IF(ISNA(AN221),NA(),AM139)</f>
        <v>0</v>
      </c>
      <c r="AN221">
        <f>IF(OR(AN139="",AND(AN139=AN138,AN139=AN140)),NA(), AN139)</f>
        <v>0</v>
      </c>
      <c r="AO221">
        <f>IF(ISNA(AP221),NA(),AO139)</f>
        <v>0</v>
      </c>
      <c r="AP221">
        <f>IF(OR(AP139="",AND(AP139=AP138,AP139=AP140)),NA(), AP139)</f>
        <v>0</v>
      </c>
      <c r="AQ221">
        <f>IF(ISNA(AR221),NA(),AQ139)</f>
        <v>0</v>
      </c>
      <c r="AR221">
        <f>IF(OR(AR139="",AND(AR139=AR138,AR139=AR140)),NA(), AR139)</f>
        <v>0</v>
      </c>
      <c r="AS221">
        <f>IF(ISNA(AT221),NA(),AS139)</f>
        <v>0</v>
      </c>
      <c r="AT221">
        <f>IF(OR(AT139="",AND(AT139=AT138,AT139=AT140)),NA(), AT139)</f>
        <v>0</v>
      </c>
      <c r="AU221">
        <f>IF(ISNA(AV221),NA(),AU139)</f>
        <v>0</v>
      </c>
      <c r="AV221">
        <f>IF(OR(AV139="",AND(AV139=AV138,AV139=AV140)),NA(), AV139)</f>
        <v>0</v>
      </c>
      <c r="AW221">
        <f>IF(ISNA(AX221),NA(),AW139)</f>
        <v>0</v>
      </c>
      <c r="AX221">
        <f>IF(OR(AX139="",AND(AX139=AX138,AX139=AX140)),NA(), AX139)</f>
        <v>0</v>
      </c>
      <c r="AY221">
        <f>IF(ISNA(AZ221),NA(),AY139)</f>
        <v>0</v>
      </c>
      <c r="AZ221">
        <f>IF(OR(AZ139="",AND(AZ139=AZ138,AZ139=AZ140)),NA(), AZ139)</f>
        <v>0</v>
      </c>
      <c r="BA221">
        <f>IF(ISNA(BB221),NA(),BA139)</f>
        <v>0</v>
      </c>
      <c r="BB221">
        <f>IF(OR(BB139="",AND(BB139=BB138,BB139=BB140)),NA(), BB139)</f>
        <v>0</v>
      </c>
      <c r="BC221">
        <f>IF(ISNA(BD221),NA(),BC139)</f>
        <v>0</v>
      </c>
      <c r="BD221">
        <f>IF(OR(BD139="",AND(BD139=BD138,BD139=BD140)),NA(), BD139)</f>
        <v>0</v>
      </c>
      <c r="BE221">
        <f>IF(ISNA(BF221),NA(),BE139)</f>
        <v>0</v>
      </c>
      <c r="BF221">
        <f>IF(OR(BF139="",AND(BF139=BF138,BF139=BF140)),NA(), BF139)</f>
        <v>0</v>
      </c>
      <c r="BG221">
        <f>IF(ISNA(BH221),NA(),BG139)</f>
        <v>0</v>
      </c>
      <c r="BH221">
        <f>IF(OR(BH139="",AND(BH139=BH138,BH139=BH140)),NA(), BH139)</f>
        <v>0</v>
      </c>
      <c r="BI221">
        <f>IF(ISNA(BJ221),NA(),BI139)</f>
        <v>0</v>
      </c>
      <c r="BJ221">
        <f>IF(OR(BJ139="",AND(BJ139=BJ138,BJ139=BJ140)),NA(), BJ139)</f>
        <v>0</v>
      </c>
      <c r="BK221">
        <f>IF(ISNA(BL221),NA(),BK139)</f>
        <v>0</v>
      </c>
      <c r="BL221">
        <f>IF(OR(BL139="",AND(BL139=BL138,BL139=BL140)),NA(), BL139)</f>
        <v>0</v>
      </c>
      <c r="BM221">
        <f>IF(ISNA(BN221),NA(),BM139)</f>
        <v>0</v>
      </c>
      <c r="BN221">
        <f>IF(OR(BN139="",AND(BN139=BN138,BN139=BN140)),NA(), BN139)</f>
        <v>0</v>
      </c>
      <c r="BO221">
        <f>IF(ISNA(BP221),NA(),BO139)</f>
        <v>0</v>
      </c>
      <c r="BP221">
        <f>IF(OR(BP139="",AND(BP139=BP138,BP139=BP140)),NA(), BP139)</f>
        <v>0</v>
      </c>
      <c r="BS221">
        <f>IF(ISNA(BT221),NA(),BS139)</f>
        <v>0</v>
      </c>
      <c r="BT221">
        <f>IF(OR(BT139="",AND(BT139=BT138,BT139=BT140)),NA(), BT139)</f>
        <v>0</v>
      </c>
      <c r="BU221">
        <f>IF(ISNA(BV221),NA(),BU139)</f>
        <v>0</v>
      </c>
      <c r="BV221">
        <f>IF(OR(BV139="",AND(BV139=BV138,BV139=BV140)),NA(), BV139)</f>
        <v>0</v>
      </c>
      <c r="BW221">
        <f>IF(ISNA(BX221),NA(),BW139)</f>
        <v>0</v>
      </c>
      <c r="BX221">
        <f>IF(OR(BX139="",AND(BX139=BX138,BX139=BX140)),NA(), BX139)</f>
        <v>0</v>
      </c>
      <c r="BY221">
        <f>IF(ISNA(BZ221),NA(),BY139)</f>
        <v>0</v>
      </c>
      <c r="BZ221">
        <f>IF(OR(BZ139="",AND(BZ139=BZ138,BZ139=BZ140)),NA(), BZ139)</f>
        <v>0</v>
      </c>
      <c r="CA221">
        <f>IF(ISNA(CB221),NA(),CA139)</f>
        <v>0</v>
      </c>
      <c r="CB221">
        <f>IF(OR(CB139="",AND(CB139=CB138,CB139=CB140)),NA(), CB139)</f>
        <v>0</v>
      </c>
      <c r="CC221">
        <f>IF(ISNA(CD221),NA(),CC139)</f>
        <v>0</v>
      </c>
      <c r="CD221">
        <f>IF(OR(CD139="",AND(CD139=CD138,CD139=CD140)),NA(), CD139)</f>
        <v>0</v>
      </c>
      <c r="CE221">
        <f>IF(ISNA(CF221),NA(),CE139)</f>
        <v>0</v>
      </c>
      <c r="CF221">
        <f>IF(OR(CF139="",AND(CF139=CF138,CF139=CF140)),NA(), CF139)</f>
        <v>0</v>
      </c>
      <c r="CG221">
        <f>IF(ISNA(CH221),NA(),CG139)</f>
        <v>0</v>
      </c>
      <c r="CH221">
        <f>IF(OR(CH139="",AND(CH139=CH138,CH139=CH140)),NA(), CH139)</f>
        <v>0</v>
      </c>
      <c r="CI221">
        <f>IF(ISNA(CJ221),NA(),CI139)</f>
        <v>0</v>
      </c>
      <c r="CJ221">
        <f>IF(OR(CJ139="",AND(CJ139=CJ138,CJ139=CJ140)),NA(), CJ139)</f>
        <v>0</v>
      </c>
      <c r="CK221">
        <f>IF(ISNA(CL221),NA(),CK139)</f>
        <v>0</v>
      </c>
      <c r="CL221">
        <f>IF(OR(CL139="",AND(CL139=CL138,CL139=CL140)),NA(), CL139)</f>
        <v>0</v>
      </c>
      <c r="CM221">
        <f>IF(ISNA(CN221),NA(),CM139)</f>
        <v>0</v>
      </c>
      <c r="CN221">
        <f>IF(OR(CN139="",AND(CN139=CN138,CN139=CN140)),NA(), CN139)</f>
        <v>0</v>
      </c>
      <c r="CO221">
        <f>IF(ISNA(CP221),NA(),CO139)</f>
        <v>0</v>
      </c>
      <c r="CP221">
        <f>IF(OR(CP139="",AND(CP139=CP138,CP139=CP140)),NA(), CP139)</f>
        <v>0</v>
      </c>
      <c r="CQ221">
        <f>IF(ISNA(CR221),NA(),CQ139)</f>
        <v>0</v>
      </c>
      <c r="CR221">
        <f>IF(OR(CR139="",AND(CR139=CR138,CR139=CR140)),NA(), CR139)</f>
        <v>0</v>
      </c>
      <c r="CS221">
        <f>IF(ISNA(CT221),NA(),CS139)</f>
        <v>0</v>
      </c>
      <c r="CT221">
        <f>IF(OR(CT139="",AND(CT139=CT138,CT139=CT140)),NA(), CT139)</f>
        <v>0</v>
      </c>
      <c r="CU221">
        <f>IF(ISNA(CV221),NA(),CU139)</f>
        <v>0</v>
      </c>
      <c r="CV221">
        <f>IF(OR(CV139="",AND(CV139=CV138,CV139=CV140)),NA(), CV139)</f>
        <v>0</v>
      </c>
      <c r="CW221">
        <f>IF(ISNA(CX221),NA(),CW139)</f>
        <v>0</v>
      </c>
      <c r="CX221">
        <f>IF(OR(CX139="",AND(CX139=CX138,CX139=CX140)),NA(), CX139)</f>
        <v>0</v>
      </c>
      <c r="CY221">
        <f>IF(ISNA(CZ221),NA(),CY139)</f>
        <v>0</v>
      </c>
      <c r="CZ221">
        <f>IF(OR(CZ139="",AND(CZ139=CZ138,CZ139=CZ140)),NA(), CZ139)</f>
        <v>0</v>
      </c>
      <c r="DA221">
        <f>IF(ISNA(DB221),NA(),DA139)</f>
        <v>0</v>
      </c>
      <c r="DB221">
        <f>IF(OR(DB139="",AND(DB139=DB138,DB139=DB140)),NA(), DB139)</f>
        <v>0</v>
      </c>
      <c r="DC221">
        <f>IF(ISNA(DD221),NA(),DC139)</f>
        <v>0</v>
      </c>
      <c r="DD221">
        <f>IF(OR(DD139="",AND(DD139=DD138,DD139=DD140)),NA(), DD139)</f>
        <v>0</v>
      </c>
      <c r="DE221">
        <f>IF(ISNA(DF221),NA(),DE139)</f>
        <v>0</v>
      </c>
      <c r="DF221">
        <f>IF(OR(DF139="",AND(DF139=DF138,DF139=DF140)),NA(), DF139)</f>
        <v>0</v>
      </c>
      <c r="DG221">
        <f>IF(ISNA(DH221),NA(),DG139)</f>
        <v>0</v>
      </c>
      <c r="DH221">
        <f>IF(OR(DH139="",AND(DH139=DH138,DH139=DH140)),NA(), DH139)</f>
        <v>0</v>
      </c>
      <c r="DI221">
        <f>IF(ISNA(DJ221),NA(),DI139)</f>
        <v>0</v>
      </c>
      <c r="DJ221">
        <f>IF(OR(DJ139="",AND(DJ139=DJ138,DJ139=DJ140)),NA(), DJ139)</f>
        <v>0</v>
      </c>
      <c r="DK221">
        <f>IF(ISNA(DL221),NA(),DK139)</f>
        <v>0</v>
      </c>
      <c r="DL221">
        <f>IF(OR(DL139="",AND(DL139=DL138,DL139=DL140)),NA(), DL139)</f>
        <v>0</v>
      </c>
      <c r="DM221">
        <f>IF(ISNA(DN221),NA(),DM139)</f>
        <v>0</v>
      </c>
      <c r="DN221">
        <f>IF(OR(DN139="",AND(DN139=DN138,DN139=DN140)),NA(), DN139)</f>
        <v>0</v>
      </c>
      <c r="DO221">
        <f>IF(ISNA(DP221),NA(),DO139)</f>
        <v>0</v>
      </c>
      <c r="DP221">
        <f>IF(OR(DP139="",AND(DP139=DP138,DP139=DP140)),NA(), DP139)</f>
        <v>0</v>
      </c>
      <c r="DQ221">
        <f>IF(ISNA(DR221),NA(),DQ139)</f>
        <v>0</v>
      </c>
      <c r="DR221">
        <f>IF(OR(DR139="",AND(DR139=DR138,DR139=DR140)),NA(), DR139)</f>
        <v>0</v>
      </c>
      <c r="DS221">
        <f>IF(ISNA(DT221),NA(),DS139)</f>
        <v>0</v>
      </c>
      <c r="DT221">
        <f>IF(OR(DT139="",AND(DT139=DT138,DT139=DT140)),NA(), DT139)</f>
        <v>0</v>
      </c>
      <c r="DU221">
        <f>IF(ISNA(DV221),NA(),DU139)</f>
        <v>0</v>
      </c>
      <c r="DV221">
        <f>IF(OR(DV139="",AND(DV139=DV138,DV139=DV140)),NA(), DV139)</f>
        <v>0</v>
      </c>
      <c r="DW221">
        <f>IF(ISNA(DX221),NA(),DW139)</f>
        <v>0</v>
      </c>
      <c r="DX221">
        <f>IF(OR(DX139="",AND(DX139=DX138,DX139=DX140)),NA(), DX139)</f>
        <v>0</v>
      </c>
      <c r="DY221">
        <f>IF(ISNA(DZ221),NA(),DY139)</f>
        <v>0</v>
      </c>
      <c r="DZ221">
        <f>IF(OR(DZ139="",AND(DZ139=DZ138,DZ139=DZ140)),NA(), DZ139)</f>
        <v>0</v>
      </c>
      <c r="EA221">
        <f>IF(ISNA(EB221),NA(),EA139)</f>
        <v>0</v>
      </c>
      <c r="EB221">
        <f>IF(OR(EB139="",AND(EB139=EB138,EB139=EB140)),NA(), EB139)</f>
        <v>0</v>
      </c>
      <c r="EC221">
        <f>IF(ISNA(ED221),NA(),EC139)</f>
        <v>0</v>
      </c>
      <c r="ED221">
        <f>IF(OR(ED139="",AND(ED139=ED138,ED139=ED140)),NA(), ED139)</f>
        <v>0</v>
      </c>
    </row>
    <row r="222" spans="4:134">
      <c r="E222">
        <f>IF(ISNA(F222),NA(),E140)</f>
        <v>0</v>
      </c>
      <c r="F222">
        <f>IF(OR(F140="",AND(F140=F139,F140=F141)),NA(), F140)</f>
        <v>0</v>
      </c>
      <c r="G222">
        <f>IF(ISNA(H222),NA(),G140)</f>
        <v>0</v>
      </c>
      <c r="H222">
        <f>IF(OR(H140="",AND(H140=H139,H140=H141)),NA(), H140)</f>
        <v>0</v>
      </c>
      <c r="I222">
        <f>IF(ISNA(J222),NA(),I140)</f>
        <v>0</v>
      </c>
      <c r="J222">
        <f>IF(OR(J140="",AND(J140=J139,J140=J141)),NA(), J140)</f>
        <v>0</v>
      </c>
      <c r="K222">
        <f>IF(ISNA(L222),NA(),K140)</f>
        <v>0</v>
      </c>
      <c r="L222">
        <f>IF(OR(L140="",AND(L140=L139,L140=L141)),NA(), L140)</f>
        <v>0</v>
      </c>
      <c r="M222">
        <f>IF(ISNA(N222),NA(),M140)</f>
        <v>0</v>
      </c>
      <c r="N222">
        <f>IF(OR(N140="",AND(N140=N139,N140=N141)),NA(), N140)</f>
        <v>0</v>
      </c>
      <c r="O222">
        <f>IF(ISNA(P222),NA(),O140)</f>
        <v>0</v>
      </c>
      <c r="P222">
        <f>IF(OR(P140="",AND(P140=P139,P140=P141)),NA(), P140)</f>
        <v>0</v>
      </c>
      <c r="Q222">
        <f>IF(ISNA(R222),NA(),Q140)</f>
        <v>0</v>
      </c>
      <c r="R222">
        <f>IF(OR(R140="",AND(R140=R139,R140=R141)),NA(), R140)</f>
        <v>0</v>
      </c>
      <c r="S222">
        <f>IF(ISNA(T222),NA(),S140)</f>
        <v>0</v>
      </c>
      <c r="T222">
        <f>IF(OR(T140="",AND(T140=T139,T140=T141)),NA(), T140)</f>
        <v>0</v>
      </c>
      <c r="U222">
        <f>IF(ISNA(V222),NA(),U140)</f>
        <v>0</v>
      </c>
      <c r="V222">
        <f>IF(OR(V140="",AND(V140=V139,V140=V141)),NA(), V140)</f>
        <v>0</v>
      </c>
      <c r="W222">
        <f>IF(ISNA(X222),NA(),W140)</f>
        <v>0</v>
      </c>
      <c r="X222">
        <f>IF(OR(X140="",AND(X140=X139,X140=X141)),NA(), X140)</f>
        <v>0</v>
      </c>
      <c r="Y222">
        <f>IF(ISNA(Z222),NA(),Y140)</f>
        <v>0</v>
      </c>
      <c r="Z222">
        <f>IF(OR(Z140="",AND(Z140=Z139,Z140=Z141)),NA(), Z140)</f>
        <v>0</v>
      </c>
      <c r="AA222">
        <f>IF(ISNA(AB222),NA(),AA140)</f>
        <v>0</v>
      </c>
      <c r="AB222">
        <f>IF(OR(AB140="",AND(AB140=AB139,AB140=AB141)),NA(), AB140)</f>
        <v>0</v>
      </c>
      <c r="AC222">
        <f>IF(ISNA(AD222),NA(),AC140)</f>
        <v>0</v>
      </c>
      <c r="AD222">
        <f>IF(OR(AD140="",AND(AD140=AD139,AD140=AD141)),NA(), AD140)</f>
        <v>0</v>
      </c>
      <c r="AE222">
        <f>IF(ISNA(AF222),NA(),AE140)</f>
        <v>0</v>
      </c>
      <c r="AF222">
        <f>IF(OR(AF140="",AND(AF140=AF139,AF140=AF141)),NA(), AF140)</f>
        <v>0</v>
      </c>
      <c r="AG222">
        <f>IF(ISNA(AH222),NA(),AG140)</f>
        <v>0</v>
      </c>
      <c r="AH222">
        <f>IF(OR(AH140="",AND(AH140=AH139,AH140=AH141)),NA(), AH140)</f>
        <v>0</v>
      </c>
      <c r="AI222">
        <f>IF(ISNA(AJ222),NA(),AI140)</f>
        <v>0</v>
      </c>
      <c r="AJ222">
        <f>IF(OR(AJ140="",AND(AJ140=AJ139,AJ140=AJ141)),NA(), AJ140)</f>
        <v>0</v>
      </c>
      <c r="AK222">
        <f>IF(ISNA(AL222),NA(),AK140)</f>
        <v>0</v>
      </c>
      <c r="AL222">
        <f>IF(OR(AL140="",AND(AL140=AL139,AL140=AL141)),NA(), AL140)</f>
        <v>0</v>
      </c>
      <c r="AM222">
        <f>IF(ISNA(AN222),NA(),AM140)</f>
        <v>0</v>
      </c>
      <c r="AN222">
        <f>IF(OR(AN140="",AND(AN140=AN139,AN140=AN141)),NA(), AN140)</f>
        <v>0</v>
      </c>
      <c r="AO222">
        <f>IF(ISNA(AP222),NA(),AO140)</f>
        <v>0</v>
      </c>
      <c r="AP222">
        <f>IF(OR(AP140="",AND(AP140=AP139,AP140=AP141)),NA(), AP140)</f>
        <v>0</v>
      </c>
      <c r="AQ222">
        <f>IF(ISNA(AR222),NA(),AQ140)</f>
        <v>0</v>
      </c>
      <c r="AR222">
        <f>IF(OR(AR140="",AND(AR140=AR139,AR140=AR141)),NA(), AR140)</f>
        <v>0</v>
      </c>
      <c r="AS222">
        <f>IF(ISNA(AT222),NA(),AS140)</f>
        <v>0</v>
      </c>
      <c r="AT222">
        <f>IF(OR(AT140="",AND(AT140=AT139,AT140=AT141)),NA(), AT140)</f>
        <v>0</v>
      </c>
      <c r="AU222">
        <f>IF(ISNA(AV222),NA(),AU140)</f>
        <v>0</v>
      </c>
      <c r="AV222">
        <f>IF(OR(AV140="",AND(AV140=AV139,AV140=AV141)),NA(), AV140)</f>
        <v>0</v>
      </c>
      <c r="AW222">
        <f>IF(ISNA(AX222),NA(),AW140)</f>
        <v>0</v>
      </c>
      <c r="AX222">
        <f>IF(OR(AX140="",AND(AX140=AX139,AX140=AX141)),NA(), AX140)</f>
        <v>0</v>
      </c>
      <c r="AY222">
        <f>IF(ISNA(AZ222),NA(),AY140)</f>
        <v>0</v>
      </c>
      <c r="AZ222">
        <f>IF(OR(AZ140="",AND(AZ140=AZ139,AZ140=AZ141)),NA(), AZ140)</f>
        <v>0</v>
      </c>
      <c r="BA222">
        <f>IF(ISNA(BB222),NA(),BA140)</f>
        <v>0</v>
      </c>
      <c r="BB222">
        <f>IF(OR(BB140="",AND(BB140=BB139,BB140=BB141)),NA(), BB140)</f>
        <v>0</v>
      </c>
      <c r="BC222">
        <f>IF(ISNA(BD222),NA(),BC140)</f>
        <v>0</v>
      </c>
      <c r="BD222">
        <f>IF(OR(BD140="",AND(BD140=BD139,BD140=BD141)),NA(), BD140)</f>
        <v>0</v>
      </c>
      <c r="BE222">
        <f>IF(ISNA(BF222),NA(),BE140)</f>
        <v>0</v>
      </c>
      <c r="BF222">
        <f>IF(OR(BF140="",AND(BF140=BF139,BF140=BF141)),NA(), BF140)</f>
        <v>0</v>
      </c>
      <c r="BG222">
        <f>IF(ISNA(BH222),NA(),BG140)</f>
        <v>0</v>
      </c>
      <c r="BH222">
        <f>IF(OR(BH140="",AND(BH140=BH139,BH140=BH141)),NA(), BH140)</f>
        <v>0</v>
      </c>
      <c r="BI222">
        <f>IF(ISNA(BJ222),NA(),BI140)</f>
        <v>0</v>
      </c>
      <c r="BJ222">
        <f>IF(OR(BJ140="",AND(BJ140=BJ139,BJ140=BJ141)),NA(), BJ140)</f>
        <v>0</v>
      </c>
      <c r="BK222">
        <f>IF(ISNA(BL222),NA(),BK140)</f>
        <v>0</v>
      </c>
      <c r="BL222">
        <f>IF(OR(BL140="",AND(BL140=BL139,BL140=BL141)),NA(), BL140)</f>
        <v>0</v>
      </c>
      <c r="BM222">
        <f>IF(ISNA(BN222),NA(),BM140)</f>
        <v>0</v>
      </c>
      <c r="BN222">
        <f>IF(OR(BN140="",AND(BN140=BN139,BN140=BN141)),NA(), BN140)</f>
        <v>0</v>
      </c>
      <c r="BO222">
        <f>IF(ISNA(BP222),NA(),BO140)</f>
        <v>0</v>
      </c>
      <c r="BP222">
        <f>IF(OR(BP140="",AND(BP140=BP139,BP140=BP141)),NA(), BP140)</f>
        <v>0</v>
      </c>
      <c r="BS222">
        <f>IF(ISNA(BT222),NA(),BS140)</f>
        <v>0</v>
      </c>
      <c r="BT222">
        <f>IF(OR(BT140="",AND(BT140=BT139,BT140=BT141)),NA(), BT140)</f>
        <v>0</v>
      </c>
      <c r="BU222">
        <f>IF(ISNA(BV222),NA(),BU140)</f>
        <v>0</v>
      </c>
      <c r="BV222">
        <f>IF(OR(BV140="",AND(BV140=BV139,BV140=BV141)),NA(), BV140)</f>
        <v>0</v>
      </c>
      <c r="BW222">
        <f>IF(ISNA(BX222),NA(),BW140)</f>
        <v>0</v>
      </c>
      <c r="BX222">
        <f>IF(OR(BX140="",AND(BX140=BX139,BX140=BX141)),NA(), BX140)</f>
        <v>0</v>
      </c>
      <c r="BY222">
        <f>IF(ISNA(BZ222),NA(),BY140)</f>
        <v>0</v>
      </c>
      <c r="BZ222">
        <f>IF(OR(BZ140="",AND(BZ140=BZ139,BZ140=BZ141)),NA(), BZ140)</f>
        <v>0</v>
      </c>
      <c r="CA222">
        <f>IF(ISNA(CB222),NA(),CA140)</f>
        <v>0</v>
      </c>
      <c r="CB222">
        <f>IF(OR(CB140="",AND(CB140=CB139,CB140=CB141)),NA(), CB140)</f>
        <v>0</v>
      </c>
      <c r="CC222">
        <f>IF(ISNA(CD222),NA(),CC140)</f>
        <v>0</v>
      </c>
      <c r="CD222">
        <f>IF(OR(CD140="",AND(CD140=CD139,CD140=CD141)),NA(), CD140)</f>
        <v>0</v>
      </c>
      <c r="CE222">
        <f>IF(ISNA(CF222),NA(),CE140)</f>
        <v>0</v>
      </c>
      <c r="CF222">
        <f>IF(OR(CF140="",AND(CF140=CF139,CF140=CF141)),NA(), CF140)</f>
        <v>0</v>
      </c>
      <c r="CG222">
        <f>IF(ISNA(CH222),NA(),CG140)</f>
        <v>0</v>
      </c>
      <c r="CH222">
        <f>IF(OR(CH140="",AND(CH140=CH139,CH140=CH141)),NA(), CH140)</f>
        <v>0</v>
      </c>
      <c r="CI222">
        <f>IF(ISNA(CJ222),NA(),CI140)</f>
        <v>0</v>
      </c>
      <c r="CJ222">
        <f>IF(OR(CJ140="",AND(CJ140=CJ139,CJ140=CJ141)),NA(), CJ140)</f>
        <v>0</v>
      </c>
      <c r="CK222">
        <f>IF(ISNA(CL222),NA(),CK140)</f>
        <v>0</v>
      </c>
      <c r="CL222">
        <f>IF(OR(CL140="",AND(CL140=CL139,CL140=CL141)),NA(), CL140)</f>
        <v>0</v>
      </c>
      <c r="CM222">
        <f>IF(ISNA(CN222),NA(),CM140)</f>
        <v>0</v>
      </c>
      <c r="CN222">
        <f>IF(OR(CN140="",AND(CN140=CN139,CN140=CN141)),NA(), CN140)</f>
        <v>0</v>
      </c>
      <c r="CO222">
        <f>IF(ISNA(CP222),NA(),CO140)</f>
        <v>0</v>
      </c>
      <c r="CP222">
        <f>IF(OR(CP140="",AND(CP140=CP139,CP140=CP141)),NA(), CP140)</f>
        <v>0</v>
      </c>
      <c r="CQ222">
        <f>IF(ISNA(CR222),NA(),CQ140)</f>
        <v>0</v>
      </c>
      <c r="CR222">
        <f>IF(OR(CR140="",AND(CR140=CR139,CR140=CR141)),NA(), CR140)</f>
        <v>0</v>
      </c>
      <c r="CS222">
        <f>IF(ISNA(CT222),NA(),CS140)</f>
        <v>0</v>
      </c>
      <c r="CT222">
        <f>IF(OR(CT140="",AND(CT140=CT139,CT140=CT141)),NA(), CT140)</f>
        <v>0</v>
      </c>
      <c r="CU222">
        <f>IF(ISNA(CV222),NA(),CU140)</f>
        <v>0</v>
      </c>
      <c r="CV222">
        <f>IF(OR(CV140="",AND(CV140=CV139,CV140=CV141)),NA(), CV140)</f>
        <v>0</v>
      </c>
      <c r="CW222">
        <f>IF(ISNA(CX222),NA(),CW140)</f>
        <v>0</v>
      </c>
      <c r="CX222">
        <f>IF(OR(CX140="",AND(CX140=CX139,CX140=CX141)),NA(), CX140)</f>
        <v>0</v>
      </c>
      <c r="CY222">
        <f>IF(ISNA(CZ222),NA(),CY140)</f>
        <v>0</v>
      </c>
      <c r="CZ222">
        <f>IF(OR(CZ140="",AND(CZ140=CZ139,CZ140=CZ141)),NA(), CZ140)</f>
        <v>0</v>
      </c>
      <c r="DA222">
        <f>IF(ISNA(DB222),NA(),DA140)</f>
        <v>0</v>
      </c>
      <c r="DB222">
        <f>IF(OR(DB140="",AND(DB140=DB139,DB140=DB141)),NA(), DB140)</f>
        <v>0</v>
      </c>
      <c r="DC222">
        <f>IF(ISNA(DD222),NA(),DC140)</f>
        <v>0</v>
      </c>
      <c r="DD222">
        <f>IF(OR(DD140="",AND(DD140=DD139,DD140=DD141)),NA(), DD140)</f>
        <v>0</v>
      </c>
      <c r="DE222">
        <f>IF(ISNA(DF222),NA(),DE140)</f>
        <v>0</v>
      </c>
      <c r="DF222">
        <f>IF(OR(DF140="",AND(DF140=DF139,DF140=DF141)),NA(), DF140)</f>
        <v>0</v>
      </c>
      <c r="DG222">
        <f>IF(ISNA(DH222),NA(),DG140)</f>
        <v>0</v>
      </c>
      <c r="DH222">
        <f>IF(OR(DH140="",AND(DH140=DH139,DH140=DH141)),NA(), DH140)</f>
        <v>0</v>
      </c>
      <c r="DI222">
        <f>IF(ISNA(DJ222),NA(),DI140)</f>
        <v>0</v>
      </c>
      <c r="DJ222">
        <f>IF(OR(DJ140="",AND(DJ140=DJ139,DJ140=DJ141)),NA(), DJ140)</f>
        <v>0</v>
      </c>
      <c r="DK222">
        <f>IF(ISNA(DL222),NA(),DK140)</f>
        <v>0</v>
      </c>
      <c r="DL222">
        <f>IF(OR(DL140="",AND(DL140=DL139,DL140=DL141)),NA(), DL140)</f>
        <v>0</v>
      </c>
      <c r="DM222">
        <f>IF(ISNA(DN222),NA(),DM140)</f>
        <v>0</v>
      </c>
      <c r="DN222">
        <f>IF(OR(DN140="",AND(DN140=DN139,DN140=DN141)),NA(), DN140)</f>
        <v>0</v>
      </c>
      <c r="DO222">
        <f>IF(ISNA(DP222),NA(),DO140)</f>
        <v>0</v>
      </c>
      <c r="DP222">
        <f>IF(OR(DP140="",AND(DP140=DP139,DP140=DP141)),NA(), DP140)</f>
        <v>0</v>
      </c>
      <c r="DQ222">
        <f>IF(ISNA(DR222),NA(),DQ140)</f>
        <v>0</v>
      </c>
      <c r="DR222">
        <f>IF(OR(DR140="",AND(DR140=DR139,DR140=DR141)),NA(), DR140)</f>
        <v>0</v>
      </c>
      <c r="DS222">
        <f>IF(ISNA(DT222),NA(),DS140)</f>
        <v>0</v>
      </c>
      <c r="DT222">
        <f>IF(OR(DT140="",AND(DT140=DT139,DT140=DT141)),NA(), DT140)</f>
        <v>0</v>
      </c>
      <c r="DU222">
        <f>IF(ISNA(DV222),NA(),DU140)</f>
        <v>0</v>
      </c>
      <c r="DV222">
        <f>IF(OR(DV140="",AND(DV140=DV139,DV140=DV141)),NA(), DV140)</f>
        <v>0</v>
      </c>
      <c r="DW222">
        <f>IF(ISNA(DX222),NA(),DW140)</f>
        <v>0</v>
      </c>
      <c r="DX222">
        <f>IF(OR(DX140="",AND(DX140=DX139,DX140=DX141)),NA(), DX140)</f>
        <v>0</v>
      </c>
      <c r="DY222">
        <f>IF(ISNA(DZ222),NA(),DY140)</f>
        <v>0</v>
      </c>
      <c r="DZ222">
        <f>IF(OR(DZ140="",AND(DZ140=DZ139,DZ140=DZ141)),NA(), DZ140)</f>
        <v>0</v>
      </c>
      <c r="EA222">
        <f>IF(ISNA(EB222),NA(),EA140)</f>
        <v>0</v>
      </c>
      <c r="EB222">
        <f>IF(OR(EB140="",AND(EB140=EB139,EB140=EB141)),NA(), EB140)</f>
        <v>0</v>
      </c>
      <c r="EC222">
        <f>IF(ISNA(ED222),NA(),EC140)</f>
        <v>0</v>
      </c>
      <c r="ED222">
        <f>IF(OR(ED140="",AND(ED140=ED139,ED140=ED141)),NA(), ED140)</f>
        <v>0</v>
      </c>
    </row>
    <row r="223" spans="4:134">
      <c r="E223">
        <f>IF(ISNA(F223),NA(),E141)</f>
        <v>0</v>
      </c>
      <c r="F223">
        <f>IF(OR(F141="",AND(F141=F140,F141=F142)),NA(), F141)</f>
        <v>0</v>
      </c>
      <c r="G223">
        <f>IF(ISNA(H223),NA(),G141)</f>
        <v>0</v>
      </c>
      <c r="H223">
        <f>IF(OR(H141="",AND(H141=H140,H141=H142)),NA(), H141)</f>
        <v>0</v>
      </c>
      <c r="I223">
        <f>IF(ISNA(J223),NA(),I141)</f>
        <v>0</v>
      </c>
      <c r="J223">
        <f>IF(OR(J141="",AND(J141=J140,J141=J142)),NA(), J141)</f>
        <v>0</v>
      </c>
      <c r="K223">
        <f>IF(ISNA(L223),NA(),K141)</f>
        <v>0</v>
      </c>
      <c r="L223">
        <f>IF(OR(L141="",AND(L141=L140,L141=L142)),NA(), L141)</f>
        <v>0</v>
      </c>
      <c r="M223">
        <f>IF(ISNA(N223),NA(),M141)</f>
        <v>0</v>
      </c>
      <c r="N223">
        <f>IF(OR(N141="",AND(N141=N140,N141=N142)),NA(), N141)</f>
        <v>0</v>
      </c>
      <c r="O223">
        <f>IF(ISNA(P223),NA(),O141)</f>
        <v>0</v>
      </c>
      <c r="P223">
        <f>IF(OR(P141="",AND(P141=P140,P141=P142)),NA(), P141)</f>
        <v>0</v>
      </c>
      <c r="Q223">
        <f>IF(ISNA(R223),NA(),Q141)</f>
        <v>0</v>
      </c>
      <c r="R223">
        <f>IF(OR(R141="",AND(R141=R140,R141=R142)),NA(), R141)</f>
        <v>0</v>
      </c>
      <c r="S223">
        <f>IF(ISNA(T223),NA(),S141)</f>
        <v>0</v>
      </c>
      <c r="T223">
        <f>IF(OR(T141="",AND(T141=T140,T141=T142)),NA(), T141)</f>
        <v>0</v>
      </c>
      <c r="U223">
        <f>IF(ISNA(V223),NA(),U141)</f>
        <v>0</v>
      </c>
      <c r="V223">
        <f>IF(OR(V141="",AND(V141=V140,V141=V142)),NA(), V141)</f>
        <v>0</v>
      </c>
      <c r="W223">
        <f>IF(ISNA(X223),NA(),W141)</f>
        <v>0</v>
      </c>
      <c r="X223">
        <f>IF(OR(X141="",AND(X141=X140,X141=X142)),NA(), X141)</f>
        <v>0</v>
      </c>
      <c r="Y223">
        <f>IF(ISNA(Z223),NA(),Y141)</f>
        <v>0</v>
      </c>
      <c r="Z223">
        <f>IF(OR(Z141="",AND(Z141=Z140,Z141=Z142)),NA(), Z141)</f>
        <v>0</v>
      </c>
      <c r="AA223">
        <f>IF(ISNA(AB223),NA(),AA141)</f>
        <v>0</v>
      </c>
      <c r="AB223">
        <f>IF(OR(AB141="",AND(AB141=AB140,AB141=AB142)),NA(), AB141)</f>
        <v>0</v>
      </c>
      <c r="AC223">
        <f>IF(ISNA(AD223),NA(),AC141)</f>
        <v>0</v>
      </c>
      <c r="AD223">
        <f>IF(OR(AD141="",AND(AD141=AD140,AD141=AD142)),NA(), AD141)</f>
        <v>0</v>
      </c>
      <c r="AE223">
        <f>IF(ISNA(AF223),NA(),AE141)</f>
        <v>0</v>
      </c>
      <c r="AF223">
        <f>IF(OR(AF141="",AND(AF141=AF140,AF141=AF142)),NA(), AF141)</f>
        <v>0</v>
      </c>
      <c r="AG223">
        <f>IF(ISNA(AH223),NA(),AG141)</f>
        <v>0</v>
      </c>
      <c r="AH223">
        <f>IF(OR(AH141="",AND(AH141=AH140,AH141=AH142)),NA(), AH141)</f>
        <v>0</v>
      </c>
      <c r="AI223">
        <f>IF(ISNA(AJ223),NA(),AI141)</f>
        <v>0</v>
      </c>
      <c r="AJ223">
        <f>IF(OR(AJ141="",AND(AJ141=AJ140,AJ141=AJ142)),NA(), AJ141)</f>
        <v>0</v>
      </c>
      <c r="AK223">
        <f>IF(ISNA(AL223),NA(),AK141)</f>
        <v>0</v>
      </c>
      <c r="AL223">
        <f>IF(OR(AL141="",AND(AL141=AL140,AL141=AL142)),NA(), AL141)</f>
        <v>0</v>
      </c>
      <c r="AM223">
        <f>IF(ISNA(AN223),NA(),AM141)</f>
        <v>0</v>
      </c>
      <c r="AN223">
        <f>IF(OR(AN141="",AND(AN141=AN140,AN141=AN142)),NA(), AN141)</f>
        <v>0</v>
      </c>
      <c r="AO223">
        <f>IF(ISNA(AP223),NA(),AO141)</f>
        <v>0</v>
      </c>
      <c r="AP223">
        <f>IF(OR(AP141="",AND(AP141=AP140,AP141=AP142)),NA(), AP141)</f>
        <v>0</v>
      </c>
      <c r="AQ223">
        <f>IF(ISNA(AR223),NA(),AQ141)</f>
        <v>0</v>
      </c>
      <c r="AR223">
        <f>IF(OR(AR141="",AND(AR141=AR140,AR141=AR142)),NA(), AR141)</f>
        <v>0</v>
      </c>
      <c r="AS223">
        <f>IF(ISNA(AT223),NA(),AS141)</f>
        <v>0</v>
      </c>
      <c r="AT223">
        <f>IF(OR(AT141="",AND(AT141=AT140,AT141=AT142)),NA(), AT141)</f>
        <v>0</v>
      </c>
      <c r="AU223">
        <f>IF(ISNA(AV223),NA(),AU141)</f>
        <v>0</v>
      </c>
      <c r="AV223">
        <f>IF(OR(AV141="",AND(AV141=AV140,AV141=AV142)),NA(), AV141)</f>
        <v>0</v>
      </c>
      <c r="AW223">
        <f>IF(ISNA(AX223),NA(),AW141)</f>
        <v>0</v>
      </c>
      <c r="AX223">
        <f>IF(OR(AX141="",AND(AX141=AX140,AX141=AX142)),NA(), AX141)</f>
        <v>0</v>
      </c>
      <c r="AY223">
        <f>IF(ISNA(AZ223),NA(),AY141)</f>
        <v>0</v>
      </c>
      <c r="AZ223">
        <f>IF(OR(AZ141="",AND(AZ141=AZ140,AZ141=AZ142)),NA(), AZ141)</f>
        <v>0</v>
      </c>
      <c r="BA223">
        <f>IF(ISNA(BB223),NA(),BA141)</f>
        <v>0</v>
      </c>
      <c r="BB223">
        <f>IF(OR(BB141="",AND(BB141=BB140,BB141=BB142)),NA(), BB141)</f>
        <v>0</v>
      </c>
      <c r="BC223">
        <f>IF(ISNA(BD223),NA(),BC141)</f>
        <v>0</v>
      </c>
      <c r="BD223">
        <f>IF(OR(BD141="",AND(BD141=BD140,BD141=BD142)),NA(), BD141)</f>
        <v>0</v>
      </c>
      <c r="BE223">
        <f>IF(ISNA(BF223),NA(),BE141)</f>
        <v>0</v>
      </c>
      <c r="BF223">
        <f>IF(OR(BF141="",AND(BF141=BF140,BF141=BF142)),NA(), BF141)</f>
        <v>0</v>
      </c>
      <c r="BG223">
        <f>IF(ISNA(BH223),NA(),BG141)</f>
        <v>0</v>
      </c>
      <c r="BH223">
        <f>IF(OR(BH141="",AND(BH141=BH140,BH141=BH142)),NA(), BH141)</f>
        <v>0</v>
      </c>
      <c r="BI223">
        <f>IF(ISNA(BJ223),NA(),BI141)</f>
        <v>0</v>
      </c>
      <c r="BJ223">
        <f>IF(OR(BJ141="",AND(BJ141=BJ140,BJ141=BJ142)),NA(), BJ141)</f>
        <v>0</v>
      </c>
      <c r="BK223">
        <f>IF(ISNA(BL223),NA(),BK141)</f>
        <v>0</v>
      </c>
      <c r="BL223">
        <f>IF(OR(BL141="",AND(BL141=BL140,BL141=BL142)),NA(), BL141)</f>
        <v>0</v>
      </c>
      <c r="BM223">
        <f>IF(ISNA(BN223),NA(),BM141)</f>
        <v>0</v>
      </c>
      <c r="BN223">
        <f>IF(OR(BN141="",AND(BN141=BN140,BN141=BN142)),NA(), BN141)</f>
        <v>0</v>
      </c>
      <c r="BO223">
        <f>IF(ISNA(BP223),NA(),BO141)</f>
        <v>0</v>
      </c>
      <c r="BP223">
        <f>IF(OR(BP141="",AND(BP141=BP140,BP141=BP142)),NA(), BP141)</f>
        <v>0</v>
      </c>
      <c r="BS223">
        <f>IF(ISNA(BT223),NA(),BS141)</f>
        <v>0</v>
      </c>
      <c r="BT223">
        <f>IF(OR(BT141="",AND(BT141=BT140,BT141=BT142)),NA(), BT141)</f>
        <v>0</v>
      </c>
      <c r="BU223">
        <f>IF(ISNA(BV223),NA(),BU141)</f>
        <v>0</v>
      </c>
      <c r="BV223">
        <f>IF(OR(BV141="",AND(BV141=BV140,BV141=BV142)),NA(), BV141)</f>
        <v>0</v>
      </c>
      <c r="BW223">
        <f>IF(ISNA(BX223),NA(),BW141)</f>
        <v>0</v>
      </c>
      <c r="BX223">
        <f>IF(OR(BX141="",AND(BX141=BX140,BX141=BX142)),NA(), BX141)</f>
        <v>0</v>
      </c>
      <c r="BY223">
        <f>IF(ISNA(BZ223),NA(),BY141)</f>
        <v>0</v>
      </c>
      <c r="BZ223">
        <f>IF(OR(BZ141="",AND(BZ141=BZ140,BZ141=BZ142)),NA(), BZ141)</f>
        <v>0</v>
      </c>
      <c r="CA223">
        <f>IF(ISNA(CB223),NA(),CA141)</f>
        <v>0</v>
      </c>
      <c r="CB223">
        <f>IF(OR(CB141="",AND(CB141=CB140,CB141=CB142)),NA(), CB141)</f>
        <v>0</v>
      </c>
      <c r="CC223">
        <f>IF(ISNA(CD223),NA(),CC141)</f>
        <v>0</v>
      </c>
      <c r="CD223">
        <f>IF(OR(CD141="",AND(CD141=CD140,CD141=CD142)),NA(), CD141)</f>
        <v>0</v>
      </c>
      <c r="CE223">
        <f>IF(ISNA(CF223),NA(),CE141)</f>
        <v>0</v>
      </c>
      <c r="CF223">
        <f>IF(OR(CF141="",AND(CF141=CF140,CF141=CF142)),NA(), CF141)</f>
        <v>0</v>
      </c>
      <c r="CG223">
        <f>IF(ISNA(CH223),NA(),CG141)</f>
        <v>0</v>
      </c>
      <c r="CH223">
        <f>IF(OR(CH141="",AND(CH141=CH140,CH141=CH142)),NA(), CH141)</f>
        <v>0</v>
      </c>
      <c r="CI223">
        <f>IF(ISNA(CJ223),NA(),CI141)</f>
        <v>0</v>
      </c>
      <c r="CJ223">
        <f>IF(OR(CJ141="",AND(CJ141=CJ140,CJ141=CJ142)),NA(), CJ141)</f>
        <v>0</v>
      </c>
      <c r="CK223">
        <f>IF(ISNA(CL223),NA(),CK141)</f>
        <v>0</v>
      </c>
      <c r="CL223">
        <f>IF(OR(CL141="",AND(CL141=CL140,CL141=CL142)),NA(), CL141)</f>
        <v>0</v>
      </c>
      <c r="CM223">
        <f>IF(ISNA(CN223),NA(),CM141)</f>
        <v>0</v>
      </c>
      <c r="CN223">
        <f>IF(OR(CN141="",AND(CN141=CN140,CN141=CN142)),NA(), CN141)</f>
        <v>0</v>
      </c>
      <c r="CO223">
        <f>IF(ISNA(CP223),NA(),CO141)</f>
        <v>0</v>
      </c>
      <c r="CP223">
        <f>IF(OR(CP141="",AND(CP141=CP140,CP141=CP142)),NA(), CP141)</f>
        <v>0</v>
      </c>
      <c r="CQ223">
        <f>IF(ISNA(CR223),NA(),CQ141)</f>
        <v>0</v>
      </c>
      <c r="CR223">
        <f>IF(OR(CR141="",AND(CR141=CR140,CR141=CR142)),NA(), CR141)</f>
        <v>0</v>
      </c>
      <c r="CS223">
        <f>IF(ISNA(CT223),NA(),CS141)</f>
        <v>0</v>
      </c>
      <c r="CT223">
        <f>IF(OR(CT141="",AND(CT141=CT140,CT141=CT142)),NA(), CT141)</f>
        <v>0</v>
      </c>
      <c r="CU223">
        <f>IF(ISNA(CV223),NA(),CU141)</f>
        <v>0</v>
      </c>
      <c r="CV223">
        <f>IF(OR(CV141="",AND(CV141=CV140,CV141=CV142)),NA(), CV141)</f>
        <v>0</v>
      </c>
      <c r="CW223">
        <f>IF(ISNA(CX223),NA(),CW141)</f>
        <v>0</v>
      </c>
      <c r="CX223">
        <f>IF(OR(CX141="",AND(CX141=CX140,CX141=CX142)),NA(), CX141)</f>
        <v>0</v>
      </c>
      <c r="CY223">
        <f>IF(ISNA(CZ223),NA(),CY141)</f>
        <v>0</v>
      </c>
      <c r="CZ223">
        <f>IF(OR(CZ141="",AND(CZ141=CZ140,CZ141=CZ142)),NA(), CZ141)</f>
        <v>0</v>
      </c>
      <c r="DA223">
        <f>IF(ISNA(DB223),NA(),DA141)</f>
        <v>0</v>
      </c>
      <c r="DB223">
        <f>IF(OR(DB141="",AND(DB141=DB140,DB141=DB142)),NA(), DB141)</f>
        <v>0</v>
      </c>
      <c r="DC223">
        <f>IF(ISNA(DD223),NA(),DC141)</f>
        <v>0</v>
      </c>
      <c r="DD223">
        <f>IF(OR(DD141="",AND(DD141=DD140,DD141=DD142)),NA(), DD141)</f>
        <v>0</v>
      </c>
      <c r="DE223">
        <f>IF(ISNA(DF223),NA(),DE141)</f>
        <v>0</v>
      </c>
      <c r="DF223">
        <f>IF(OR(DF141="",AND(DF141=DF140,DF141=DF142)),NA(), DF141)</f>
        <v>0</v>
      </c>
      <c r="DG223">
        <f>IF(ISNA(DH223),NA(),DG141)</f>
        <v>0</v>
      </c>
      <c r="DH223">
        <f>IF(OR(DH141="",AND(DH141=DH140,DH141=DH142)),NA(), DH141)</f>
        <v>0</v>
      </c>
      <c r="DI223">
        <f>IF(ISNA(DJ223),NA(),DI141)</f>
        <v>0</v>
      </c>
      <c r="DJ223">
        <f>IF(OR(DJ141="",AND(DJ141=DJ140,DJ141=DJ142)),NA(), DJ141)</f>
        <v>0</v>
      </c>
      <c r="DK223">
        <f>IF(ISNA(DL223),NA(),DK141)</f>
        <v>0</v>
      </c>
      <c r="DL223">
        <f>IF(OR(DL141="",AND(DL141=DL140,DL141=DL142)),NA(), DL141)</f>
        <v>0</v>
      </c>
      <c r="DM223">
        <f>IF(ISNA(DN223),NA(),DM141)</f>
        <v>0</v>
      </c>
      <c r="DN223">
        <f>IF(OR(DN141="",AND(DN141=DN140,DN141=DN142)),NA(), DN141)</f>
        <v>0</v>
      </c>
      <c r="DO223">
        <f>IF(ISNA(DP223),NA(),DO141)</f>
        <v>0</v>
      </c>
      <c r="DP223">
        <f>IF(OR(DP141="",AND(DP141=DP140,DP141=DP142)),NA(), DP141)</f>
        <v>0</v>
      </c>
      <c r="DQ223">
        <f>IF(ISNA(DR223),NA(),DQ141)</f>
        <v>0</v>
      </c>
      <c r="DR223">
        <f>IF(OR(DR141="",AND(DR141=DR140,DR141=DR142)),NA(), DR141)</f>
        <v>0</v>
      </c>
      <c r="DS223">
        <f>IF(ISNA(DT223),NA(),DS141)</f>
        <v>0</v>
      </c>
      <c r="DT223">
        <f>IF(OR(DT141="",AND(DT141=DT140,DT141=DT142)),NA(), DT141)</f>
        <v>0</v>
      </c>
      <c r="DU223">
        <f>IF(ISNA(DV223),NA(),DU141)</f>
        <v>0</v>
      </c>
      <c r="DV223">
        <f>IF(OR(DV141="",AND(DV141=DV140,DV141=DV142)),NA(), DV141)</f>
        <v>0</v>
      </c>
      <c r="DW223">
        <f>IF(ISNA(DX223),NA(),DW141)</f>
        <v>0</v>
      </c>
      <c r="DX223">
        <f>IF(OR(DX141="",AND(DX141=DX140,DX141=DX142)),NA(), DX141)</f>
        <v>0</v>
      </c>
      <c r="DY223">
        <f>IF(ISNA(DZ223),NA(),DY141)</f>
        <v>0</v>
      </c>
      <c r="DZ223">
        <f>IF(OR(DZ141="",AND(DZ141=DZ140,DZ141=DZ142)),NA(), DZ141)</f>
        <v>0</v>
      </c>
      <c r="EA223">
        <f>IF(ISNA(EB223),NA(),EA141)</f>
        <v>0</v>
      </c>
      <c r="EB223">
        <f>IF(OR(EB141="",AND(EB141=EB140,EB141=EB142)),NA(), EB141)</f>
        <v>0</v>
      </c>
      <c r="EC223">
        <f>IF(ISNA(ED223),NA(),EC141)</f>
        <v>0</v>
      </c>
      <c r="ED223">
        <f>IF(OR(ED141="",AND(ED141=ED140,ED141=ED142)),NA(), ED141)</f>
        <v>0</v>
      </c>
    </row>
    <row r="224" spans="4:134">
      <c r="E224">
        <f>IF(ISNA(F224),NA(),E142)</f>
        <v>0</v>
      </c>
      <c r="F224">
        <f>IF(OR(F142="",AND(F142=F141,F142=F143)),NA(), F142)</f>
        <v>0</v>
      </c>
      <c r="G224">
        <f>IF(ISNA(H224),NA(),G142)</f>
        <v>0</v>
      </c>
      <c r="H224">
        <f>IF(OR(H142="",AND(H142=H141,H142=H143)),NA(), H142)</f>
        <v>0</v>
      </c>
      <c r="I224">
        <f>IF(ISNA(J224),NA(),I142)</f>
        <v>0</v>
      </c>
      <c r="J224">
        <f>IF(OR(J142="",AND(J142=J141,J142=J143)),NA(), J142)</f>
        <v>0</v>
      </c>
      <c r="K224">
        <f>IF(ISNA(L224),NA(),K142)</f>
        <v>0</v>
      </c>
      <c r="L224">
        <f>IF(OR(L142="",AND(L142=L141,L142=L143)),NA(), L142)</f>
        <v>0</v>
      </c>
      <c r="M224">
        <f>IF(ISNA(N224),NA(),M142)</f>
        <v>0</v>
      </c>
      <c r="N224">
        <f>IF(OR(N142="",AND(N142=N141,N142=N143)),NA(), N142)</f>
        <v>0</v>
      </c>
      <c r="O224">
        <f>IF(ISNA(P224),NA(),O142)</f>
        <v>0</v>
      </c>
      <c r="P224">
        <f>IF(OR(P142="",AND(P142=P141,P142=P143)),NA(), P142)</f>
        <v>0</v>
      </c>
      <c r="Q224">
        <f>IF(ISNA(R224),NA(),Q142)</f>
        <v>0</v>
      </c>
      <c r="R224">
        <f>IF(OR(R142="",AND(R142=R141,R142=R143)),NA(), R142)</f>
        <v>0</v>
      </c>
      <c r="S224">
        <f>IF(ISNA(T224),NA(),S142)</f>
        <v>0</v>
      </c>
      <c r="T224">
        <f>IF(OR(T142="",AND(T142=T141,T142=T143)),NA(), T142)</f>
        <v>0</v>
      </c>
      <c r="U224">
        <f>IF(ISNA(V224),NA(),U142)</f>
        <v>0</v>
      </c>
      <c r="V224">
        <f>IF(OR(V142="",AND(V142=V141,V142=V143)),NA(), V142)</f>
        <v>0</v>
      </c>
      <c r="W224">
        <f>IF(ISNA(X224),NA(),W142)</f>
        <v>0</v>
      </c>
      <c r="X224">
        <f>IF(OR(X142="",AND(X142=X141,X142=X143)),NA(), X142)</f>
        <v>0</v>
      </c>
      <c r="Y224">
        <f>IF(ISNA(Z224),NA(),Y142)</f>
        <v>0</v>
      </c>
      <c r="Z224">
        <f>IF(OR(Z142="",AND(Z142=Z141,Z142=Z143)),NA(), Z142)</f>
        <v>0</v>
      </c>
      <c r="AA224">
        <f>IF(ISNA(AB224),NA(),AA142)</f>
        <v>0</v>
      </c>
      <c r="AB224">
        <f>IF(OR(AB142="",AND(AB142=AB141,AB142=AB143)),NA(), AB142)</f>
        <v>0</v>
      </c>
      <c r="AC224">
        <f>IF(ISNA(AD224),NA(),AC142)</f>
        <v>0</v>
      </c>
      <c r="AD224">
        <f>IF(OR(AD142="",AND(AD142=AD141,AD142=AD143)),NA(), AD142)</f>
        <v>0</v>
      </c>
      <c r="AE224">
        <f>IF(ISNA(AF224),NA(),AE142)</f>
        <v>0</v>
      </c>
      <c r="AF224">
        <f>IF(OR(AF142="",AND(AF142=AF141,AF142=AF143)),NA(), AF142)</f>
        <v>0</v>
      </c>
      <c r="AG224">
        <f>IF(ISNA(AH224),NA(),AG142)</f>
        <v>0</v>
      </c>
      <c r="AH224">
        <f>IF(OR(AH142="",AND(AH142=AH141,AH142=AH143)),NA(), AH142)</f>
        <v>0</v>
      </c>
      <c r="AI224">
        <f>IF(ISNA(AJ224),NA(),AI142)</f>
        <v>0</v>
      </c>
      <c r="AJ224">
        <f>IF(OR(AJ142="",AND(AJ142=AJ141,AJ142=AJ143)),NA(), AJ142)</f>
        <v>0</v>
      </c>
      <c r="AK224">
        <f>IF(ISNA(AL224),NA(),AK142)</f>
        <v>0</v>
      </c>
      <c r="AL224">
        <f>IF(OR(AL142="",AND(AL142=AL141,AL142=AL143)),NA(), AL142)</f>
        <v>0</v>
      </c>
      <c r="AM224">
        <f>IF(ISNA(AN224),NA(),AM142)</f>
        <v>0</v>
      </c>
      <c r="AN224">
        <f>IF(OR(AN142="",AND(AN142=AN141,AN142=AN143)),NA(), AN142)</f>
        <v>0</v>
      </c>
      <c r="AO224">
        <f>IF(ISNA(AP224),NA(),AO142)</f>
        <v>0</v>
      </c>
      <c r="AP224">
        <f>IF(OR(AP142="",AND(AP142=AP141,AP142=AP143)),NA(), AP142)</f>
        <v>0</v>
      </c>
      <c r="AQ224">
        <f>IF(ISNA(AR224),NA(),AQ142)</f>
        <v>0</v>
      </c>
      <c r="AR224">
        <f>IF(OR(AR142="",AND(AR142=AR141,AR142=AR143)),NA(), AR142)</f>
        <v>0</v>
      </c>
      <c r="AS224">
        <f>IF(ISNA(AT224),NA(),AS142)</f>
        <v>0</v>
      </c>
      <c r="AT224">
        <f>IF(OR(AT142="",AND(AT142=AT141,AT142=AT143)),NA(), AT142)</f>
        <v>0</v>
      </c>
      <c r="AU224">
        <f>IF(ISNA(AV224),NA(),AU142)</f>
        <v>0</v>
      </c>
      <c r="AV224">
        <f>IF(OR(AV142="",AND(AV142=AV141,AV142=AV143)),NA(), AV142)</f>
        <v>0</v>
      </c>
      <c r="AW224">
        <f>IF(ISNA(AX224),NA(),AW142)</f>
        <v>0</v>
      </c>
      <c r="AX224">
        <f>IF(OR(AX142="",AND(AX142=AX141,AX142=AX143)),NA(), AX142)</f>
        <v>0</v>
      </c>
      <c r="AY224">
        <f>IF(ISNA(AZ224),NA(),AY142)</f>
        <v>0</v>
      </c>
      <c r="AZ224">
        <f>IF(OR(AZ142="",AND(AZ142=AZ141,AZ142=AZ143)),NA(), AZ142)</f>
        <v>0</v>
      </c>
      <c r="BA224">
        <f>IF(ISNA(BB224),NA(),BA142)</f>
        <v>0</v>
      </c>
      <c r="BB224">
        <f>IF(OR(BB142="",AND(BB142=BB141,BB142=BB143)),NA(), BB142)</f>
        <v>0</v>
      </c>
      <c r="BC224">
        <f>IF(ISNA(BD224),NA(),BC142)</f>
        <v>0</v>
      </c>
      <c r="BD224">
        <f>IF(OR(BD142="",AND(BD142=BD141,BD142=BD143)),NA(), BD142)</f>
        <v>0</v>
      </c>
      <c r="BE224">
        <f>IF(ISNA(BF224),NA(),BE142)</f>
        <v>0</v>
      </c>
      <c r="BF224">
        <f>IF(OR(BF142="",AND(BF142=BF141,BF142=BF143)),NA(), BF142)</f>
        <v>0</v>
      </c>
      <c r="BG224">
        <f>IF(ISNA(BH224),NA(),BG142)</f>
        <v>0</v>
      </c>
      <c r="BH224">
        <f>IF(OR(BH142="",AND(BH142=BH141,BH142=BH143)),NA(), BH142)</f>
        <v>0</v>
      </c>
      <c r="BI224">
        <f>IF(ISNA(BJ224),NA(),BI142)</f>
        <v>0</v>
      </c>
      <c r="BJ224">
        <f>IF(OR(BJ142="",AND(BJ142=BJ141,BJ142=BJ143)),NA(), BJ142)</f>
        <v>0</v>
      </c>
      <c r="BK224">
        <f>IF(ISNA(BL224),NA(),BK142)</f>
        <v>0</v>
      </c>
      <c r="BL224">
        <f>IF(OR(BL142="",AND(BL142=BL141,BL142=BL143)),NA(), BL142)</f>
        <v>0</v>
      </c>
      <c r="BM224">
        <f>IF(ISNA(BN224),NA(),BM142)</f>
        <v>0</v>
      </c>
      <c r="BN224">
        <f>IF(OR(BN142="",AND(BN142=BN141,BN142=BN143)),NA(), BN142)</f>
        <v>0</v>
      </c>
      <c r="BO224">
        <f>IF(ISNA(BP224),NA(),BO142)</f>
        <v>0</v>
      </c>
      <c r="BP224">
        <f>IF(OR(BP142="",AND(BP142=BP141,BP142=BP143)),NA(), BP142)</f>
        <v>0</v>
      </c>
      <c r="BS224">
        <f>IF(ISNA(BT224),NA(),BS142)</f>
        <v>0</v>
      </c>
      <c r="BT224">
        <f>IF(OR(BT142="",AND(BT142=BT141,BT142=BT143)),NA(), BT142)</f>
        <v>0</v>
      </c>
      <c r="BU224">
        <f>IF(ISNA(BV224),NA(),BU142)</f>
        <v>0</v>
      </c>
      <c r="BV224">
        <f>IF(OR(BV142="",AND(BV142=BV141,BV142=BV143)),NA(), BV142)</f>
        <v>0</v>
      </c>
      <c r="BW224">
        <f>IF(ISNA(BX224),NA(),BW142)</f>
        <v>0</v>
      </c>
      <c r="BX224">
        <f>IF(OR(BX142="",AND(BX142=BX141,BX142=BX143)),NA(), BX142)</f>
        <v>0</v>
      </c>
      <c r="BY224">
        <f>IF(ISNA(BZ224),NA(),BY142)</f>
        <v>0</v>
      </c>
      <c r="BZ224">
        <f>IF(OR(BZ142="",AND(BZ142=BZ141,BZ142=BZ143)),NA(), BZ142)</f>
        <v>0</v>
      </c>
      <c r="CA224">
        <f>IF(ISNA(CB224),NA(),CA142)</f>
        <v>0</v>
      </c>
      <c r="CB224">
        <f>IF(OR(CB142="",AND(CB142=CB141,CB142=CB143)),NA(), CB142)</f>
        <v>0</v>
      </c>
      <c r="CC224">
        <f>IF(ISNA(CD224),NA(),CC142)</f>
        <v>0</v>
      </c>
      <c r="CD224">
        <f>IF(OR(CD142="",AND(CD142=CD141,CD142=CD143)),NA(), CD142)</f>
        <v>0</v>
      </c>
      <c r="CE224">
        <f>IF(ISNA(CF224),NA(),CE142)</f>
        <v>0</v>
      </c>
      <c r="CF224">
        <f>IF(OR(CF142="",AND(CF142=CF141,CF142=CF143)),NA(), CF142)</f>
        <v>0</v>
      </c>
      <c r="CG224">
        <f>IF(ISNA(CH224),NA(),CG142)</f>
        <v>0</v>
      </c>
      <c r="CH224">
        <f>IF(OR(CH142="",AND(CH142=CH141,CH142=CH143)),NA(), CH142)</f>
        <v>0</v>
      </c>
      <c r="CI224">
        <f>IF(ISNA(CJ224),NA(),CI142)</f>
        <v>0</v>
      </c>
      <c r="CJ224">
        <f>IF(OR(CJ142="",AND(CJ142=CJ141,CJ142=CJ143)),NA(), CJ142)</f>
        <v>0</v>
      </c>
      <c r="CK224">
        <f>IF(ISNA(CL224),NA(),CK142)</f>
        <v>0</v>
      </c>
      <c r="CL224">
        <f>IF(OR(CL142="",AND(CL142=CL141,CL142=CL143)),NA(), CL142)</f>
        <v>0</v>
      </c>
      <c r="CM224">
        <f>IF(ISNA(CN224),NA(),CM142)</f>
        <v>0</v>
      </c>
      <c r="CN224">
        <f>IF(OR(CN142="",AND(CN142=CN141,CN142=CN143)),NA(), CN142)</f>
        <v>0</v>
      </c>
      <c r="CO224">
        <f>IF(ISNA(CP224),NA(),CO142)</f>
        <v>0</v>
      </c>
      <c r="CP224">
        <f>IF(OR(CP142="",AND(CP142=CP141,CP142=CP143)),NA(), CP142)</f>
        <v>0</v>
      </c>
      <c r="CQ224">
        <f>IF(ISNA(CR224),NA(),CQ142)</f>
        <v>0</v>
      </c>
      <c r="CR224">
        <f>IF(OR(CR142="",AND(CR142=CR141,CR142=CR143)),NA(), CR142)</f>
        <v>0</v>
      </c>
      <c r="CS224">
        <f>IF(ISNA(CT224),NA(),CS142)</f>
        <v>0</v>
      </c>
      <c r="CT224">
        <f>IF(OR(CT142="",AND(CT142=CT141,CT142=CT143)),NA(), CT142)</f>
        <v>0</v>
      </c>
      <c r="CU224">
        <f>IF(ISNA(CV224),NA(),CU142)</f>
        <v>0</v>
      </c>
      <c r="CV224">
        <f>IF(OR(CV142="",AND(CV142=CV141,CV142=CV143)),NA(), CV142)</f>
        <v>0</v>
      </c>
      <c r="CW224">
        <f>IF(ISNA(CX224),NA(),CW142)</f>
        <v>0</v>
      </c>
      <c r="CX224">
        <f>IF(OR(CX142="",AND(CX142=CX141,CX142=CX143)),NA(), CX142)</f>
        <v>0</v>
      </c>
      <c r="CY224">
        <f>IF(ISNA(CZ224),NA(),CY142)</f>
        <v>0</v>
      </c>
      <c r="CZ224">
        <f>IF(OR(CZ142="",AND(CZ142=CZ141,CZ142=CZ143)),NA(), CZ142)</f>
        <v>0</v>
      </c>
      <c r="DA224">
        <f>IF(ISNA(DB224),NA(),DA142)</f>
        <v>0</v>
      </c>
      <c r="DB224">
        <f>IF(OR(DB142="",AND(DB142=DB141,DB142=DB143)),NA(), DB142)</f>
        <v>0</v>
      </c>
      <c r="DC224">
        <f>IF(ISNA(DD224),NA(),DC142)</f>
        <v>0</v>
      </c>
      <c r="DD224">
        <f>IF(OR(DD142="",AND(DD142=DD141,DD142=DD143)),NA(), DD142)</f>
        <v>0</v>
      </c>
      <c r="DE224">
        <f>IF(ISNA(DF224),NA(),DE142)</f>
        <v>0</v>
      </c>
      <c r="DF224">
        <f>IF(OR(DF142="",AND(DF142=DF141,DF142=DF143)),NA(), DF142)</f>
        <v>0</v>
      </c>
      <c r="DG224">
        <f>IF(ISNA(DH224),NA(),DG142)</f>
        <v>0</v>
      </c>
      <c r="DH224">
        <f>IF(OR(DH142="",AND(DH142=DH141,DH142=DH143)),NA(), DH142)</f>
        <v>0</v>
      </c>
      <c r="DI224">
        <f>IF(ISNA(DJ224),NA(),DI142)</f>
        <v>0</v>
      </c>
      <c r="DJ224">
        <f>IF(OR(DJ142="",AND(DJ142=DJ141,DJ142=DJ143)),NA(), DJ142)</f>
        <v>0</v>
      </c>
      <c r="DK224">
        <f>IF(ISNA(DL224),NA(),DK142)</f>
        <v>0</v>
      </c>
      <c r="DL224">
        <f>IF(OR(DL142="",AND(DL142=DL141,DL142=DL143)),NA(), DL142)</f>
        <v>0</v>
      </c>
      <c r="DM224">
        <f>IF(ISNA(DN224),NA(),DM142)</f>
        <v>0</v>
      </c>
      <c r="DN224">
        <f>IF(OR(DN142="",AND(DN142=DN141,DN142=DN143)),NA(), DN142)</f>
        <v>0</v>
      </c>
      <c r="DO224">
        <f>IF(ISNA(DP224),NA(),DO142)</f>
        <v>0</v>
      </c>
      <c r="DP224">
        <f>IF(OR(DP142="",AND(DP142=DP141,DP142=DP143)),NA(), DP142)</f>
        <v>0</v>
      </c>
      <c r="DQ224">
        <f>IF(ISNA(DR224),NA(),DQ142)</f>
        <v>0</v>
      </c>
      <c r="DR224">
        <f>IF(OR(DR142="",AND(DR142=DR141,DR142=DR143)),NA(), DR142)</f>
        <v>0</v>
      </c>
      <c r="DS224">
        <f>IF(ISNA(DT224),NA(),DS142)</f>
        <v>0</v>
      </c>
      <c r="DT224">
        <f>IF(OR(DT142="",AND(DT142=DT141,DT142=DT143)),NA(), DT142)</f>
        <v>0</v>
      </c>
      <c r="DU224">
        <f>IF(ISNA(DV224),NA(),DU142)</f>
        <v>0</v>
      </c>
      <c r="DV224">
        <f>IF(OR(DV142="",AND(DV142=DV141,DV142=DV143)),NA(), DV142)</f>
        <v>0</v>
      </c>
      <c r="DW224">
        <f>IF(ISNA(DX224),NA(),DW142)</f>
        <v>0</v>
      </c>
      <c r="DX224">
        <f>IF(OR(DX142="",AND(DX142=DX141,DX142=DX143)),NA(), DX142)</f>
        <v>0</v>
      </c>
      <c r="DY224">
        <f>IF(ISNA(DZ224),NA(),DY142)</f>
        <v>0</v>
      </c>
      <c r="DZ224">
        <f>IF(OR(DZ142="",AND(DZ142=DZ141,DZ142=DZ143)),NA(), DZ142)</f>
        <v>0</v>
      </c>
      <c r="EA224">
        <f>IF(ISNA(EB224),NA(),EA142)</f>
        <v>0</v>
      </c>
      <c r="EB224">
        <f>IF(OR(EB142="",AND(EB142=EB141,EB142=EB143)),NA(), EB142)</f>
        <v>0</v>
      </c>
      <c r="EC224">
        <f>IF(ISNA(ED224),NA(),EC142)</f>
        <v>0</v>
      </c>
      <c r="ED224">
        <f>IF(OR(ED142="",AND(ED142=ED141,ED142=ED143)),NA(), ED142)</f>
        <v>0</v>
      </c>
    </row>
    <row r="225" spans="5:134">
      <c r="E225">
        <f>IF(ISNA(F225),NA(),E143)</f>
        <v>0</v>
      </c>
      <c r="F225">
        <f>IF(OR(F143="",AND(F143=F142,F143=F144)),NA(), F143)</f>
        <v>0</v>
      </c>
      <c r="G225">
        <f>IF(ISNA(H225),NA(),G143)</f>
        <v>0</v>
      </c>
      <c r="H225">
        <f>IF(OR(H143="",AND(H143=H142,H143=H144)),NA(), H143)</f>
        <v>0</v>
      </c>
      <c r="I225">
        <f>IF(ISNA(J225),NA(),I143)</f>
        <v>0</v>
      </c>
      <c r="J225">
        <f>IF(OR(J143="",AND(J143=J142,J143=J144)),NA(), J143)</f>
        <v>0</v>
      </c>
      <c r="K225">
        <f>IF(ISNA(L225),NA(),K143)</f>
        <v>0</v>
      </c>
      <c r="L225">
        <f>IF(OR(L143="",AND(L143=L142,L143=L144)),NA(), L143)</f>
        <v>0</v>
      </c>
      <c r="M225">
        <f>IF(ISNA(N225),NA(),M143)</f>
        <v>0</v>
      </c>
      <c r="N225">
        <f>IF(OR(N143="",AND(N143=N142,N143=N144)),NA(), N143)</f>
        <v>0</v>
      </c>
      <c r="O225">
        <f>IF(ISNA(P225),NA(),O143)</f>
        <v>0</v>
      </c>
      <c r="P225">
        <f>IF(OR(P143="",AND(P143=P142,P143=P144)),NA(), P143)</f>
        <v>0</v>
      </c>
      <c r="Q225">
        <f>IF(ISNA(R225),NA(),Q143)</f>
        <v>0</v>
      </c>
      <c r="R225">
        <f>IF(OR(R143="",AND(R143=R142,R143=R144)),NA(), R143)</f>
        <v>0</v>
      </c>
      <c r="S225">
        <f>IF(ISNA(T225),NA(),S143)</f>
        <v>0</v>
      </c>
      <c r="T225">
        <f>IF(OR(T143="",AND(T143=T142,T143=T144)),NA(), T143)</f>
        <v>0</v>
      </c>
      <c r="U225">
        <f>IF(ISNA(V225),NA(),U143)</f>
        <v>0</v>
      </c>
      <c r="V225">
        <f>IF(OR(V143="",AND(V143=V142,V143=V144)),NA(), V143)</f>
        <v>0</v>
      </c>
      <c r="W225">
        <f>IF(ISNA(X225),NA(),W143)</f>
        <v>0</v>
      </c>
      <c r="X225">
        <f>IF(OR(X143="",AND(X143=X142,X143=X144)),NA(), X143)</f>
        <v>0</v>
      </c>
      <c r="Y225">
        <f>IF(ISNA(Z225),NA(),Y143)</f>
        <v>0</v>
      </c>
      <c r="Z225">
        <f>IF(OR(Z143="",AND(Z143=Z142,Z143=Z144)),NA(), Z143)</f>
        <v>0</v>
      </c>
      <c r="AA225">
        <f>IF(ISNA(AB225),NA(),AA143)</f>
        <v>0</v>
      </c>
      <c r="AB225">
        <f>IF(OR(AB143="",AND(AB143=AB142,AB143=AB144)),NA(), AB143)</f>
        <v>0</v>
      </c>
      <c r="AC225">
        <f>IF(ISNA(AD225),NA(),AC143)</f>
        <v>0</v>
      </c>
      <c r="AD225">
        <f>IF(OR(AD143="",AND(AD143=AD142,AD143=AD144)),NA(), AD143)</f>
        <v>0</v>
      </c>
      <c r="AE225">
        <f>IF(ISNA(AF225),NA(),AE143)</f>
        <v>0</v>
      </c>
      <c r="AF225">
        <f>IF(OR(AF143="",AND(AF143=AF142,AF143=AF144)),NA(), AF143)</f>
        <v>0</v>
      </c>
      <c r="AG225">
        <f>IF(ISNA(AH225),NA(),AG143)</f>
        <v>0</v>
      </c>
      <c r="AH225">
        <f>IF(OR(AH143="",AND(AH143=AH142,AH143=AH144)),NA(), AH143)</f>
        <v>0</v>
      </c>
      <c r="AI225">
        <f>IF(ISNA(AJ225),NA(),AI143)</f>
        <v>0</v>
      </c>
      <c r="AJ225">
        <f>IF(OR(AJ143="",AND(AJ143=AJ142,AJ143=AJ144)),NA(), AJ143)</f>
        <v>0</v>
      </c>
      <c r="AK225">
        <f>IF(ISNA(AL225),NA(),AK143)</f>
        <v>0</v>
      </c>
      <c r="AL225">
        <f>IF(OR(AL143="",AND(AL143=AL142,AL143=AL144)),NA(), AL143)</f>
        <v>0</v>
      </c>
      <c r="AM225">
        <f>IF(ISNA(AN225),NA(),AM143)</f>
        <v>0</v>
      </c>
      <c r="AN225">
        <f>IF(OR(AN143="",AND(AN143=AN142,AN143=AN144)),NA(), AN143)</f>
        <v>0</v>
      </c>
      <c r="AO225">
        <f>IF(ISNA(AP225),NA(),AO143)</f>
        <v>0</v>
      </c>
      <c r="AP225">
        <f>IF(OR(AP143="",AND(AP143=AP142,AP143=AP144)),NA(), AP143)</f>
        <v>0</v>
      </c>
      <c r="AQ225">
        <f>IF(ISNA(AR225),NA(),AQ143)</f>
        <v>0</v>
      </c>
      <c r="AR225">
        <f>IF(OR(AR143="",AND(AR143=AR142,AR143=AR144)),NA(), AR143)</f>
        <v>0</v>
      </c>
      <c r="AS225">
        <f>IF(ISNA(AT225),NA(),AS143)</f>
        <v>0</v>
      </c>
      <c r="AT225">
        <f>IF(OR(AT143="",AND(AT143=AT142,AT143=AT144)),NA(), AT143)</f>
        <v>0</v>
      </c>
      <c r="AU225">
        <f>IF(ISNA(AV225),NA(),AU143)</f>
        <v>0</v>
      </c>
      <c r="AV225">
        <f>IF(OR(AV143="",AND(AV143=AV142,AV143=AV144)),NA(), AV143)</f>
        <v>0</v>
      </c>
      <c r="AW225">
        <f>IF(ISNA(AX225),NA(),AW143)</f>
        <v>0</v>
      </c>
      <c r="AX225">
        <f>IF(OR(AX143="",AND(AX143=AX142,AX143=AX144)),NA(), AX143)</f>
        <v>0</v>
      </c>
      <c r="AY225">
        <f>IF(ISNA(AZ225),NA(),AY143)</f>
        <v>0</v>
      </c>
      <c r="AZ225">
        <f>IF(OR(AZ143="",AND(AZ143=AZ142,AZ143=AZ144)),NA(), AZ143)</f>
        <v>0</v>
      </c>
      <c r="BA225">
        <f>IF(ISNA(BB225),NA(),BA143)</f>
        <v>0</v>
      </c>
      <c r="BB225">
        <f>IF(OR(BB143="",AND(BB143=BB142,BB143=BB144)),NA(), BB143)</f>
        <v>0</v>
      </c>
      <c r="BC225">
        <f>IF(ISNA(BD225),NA(),BC143)</f>
        <v>0</v>
      </c>
      <c r="BD225">
        <f>IF(OR(BD143="",AND(BD143=BD142,BD143=BD144)),NA(), BD143)</f>
        <v>0</v>
      </c>
      <c r="BE225">
        <f>IF(ISNA(BF225),NA(),BE143)</f>
        <v>0</v>
      </c>
      <c r="BF225">
        <f>IF(OR(BF143="",AND(BF143=BF142,BF143=BF144)),NA(), BF143)</f>
        <v>0</v>
      </c>
      <c r="BG225">
        <f>IF(ISNA(BH225),NA(),BG143)</f>
        <v>0</v>
      </c>
      <c r="BH225">
        <f>IF(OR(BH143="",AND(BH143=BH142,BH143=BH144)),NA(), BH143)</f>
        <v>0</v>
      </c>
      <c r="BI225">
        <f>IF(ISNA(BJ225),NA(),BI143)</f>
        <v>0</v>
      </c>
      <c r="BJ225">
        <f>IF(OR(BJ143="",AND(BJ143=BJ142,BJ143=BJ144)),NA(), BJ143)</f>
        <v>0</v>
      </c>
      <c r="BK225">
        <f>IF(ISNA(BL225),NA(),BK143)</f>
        <v>0</v>
      </c>
      <c r="BL225">
        <f>IF(OR(BL143="",AND(BL143=BL142,BL143=BL144)),NA(), BL143)</f>
        <v>0</v>
      </c>
      <c r="BM225">
        <f>IF(ISNA(BN225),NA(),BM143)</f>
        <v>0</v>
      </c>
      <c r="BN225">
        <f>IF(OR(BN143="",AND(BN143=BN142,BN143=BN144)),NA(), BN143)</f>
        <v>0</v>
      </c>
      <c r="BO225">
        <f>IF(ISNA(BP225),NA(),BO143)</f>
        <v>0</v>
      </c>
      <c r="BP225">
        <f>IF(OR(BP143="",AND(BP143=BP142,BP143=BP144)),NA(), BP143)</f>
        <v>0</v>
      </c>
      <c r="BS225">
        <f>IF(ISNA(BT225),NA(),BS143)</f>
        <v>0</v>
      </c>
      <c r="BT225">
        <f>IF(OR(BT143="",AND(BT143=BT142,BT143=BT144)),NA(), BT143)</f>
        <v>0</v>
      </c>
      <c r="BU225">
        <f>IF(ISNA(BV225),NA(),BU143)</f>
        <v>0</v>
      </c>
      <c r="BV225">
        <f>IF(OR(BV143="",AND(BV143=BV142,BV143=BV144)),NA(), BV143)</f>
        <v>0</v>
      </c>
      <c r="BW225">
        <f>IF(ISNA(BX225),NA(),BW143)</f>
        <v>0</v>
      </c>
      <c r="BX225">
        <f>IF(OR(BX143="",AND(BX143=BX142,BX143=BX144)),NA(), BX143)</f>
        <v>0</v>
      </c>
      <c r="BY225">
        <f>IF(ISNA(BZ225),NA(),BY143)</f>
        <v>0</v>
      </c>
      <c r="BZ225">
        <f>IF(OR(BZ143="",AND(BZ143=BZ142,BZ143=BZ144)),NA(), BZ143)</f>
        <v>0</v>
      </c>
      <c r="CA225">
        <f>IF(ISNA(CB225),NA(),CA143)</f>
        <v>0</v>
      </c>
      <c r="CB225">
        <f>IF(OR(CB143="",AND(CB143=CB142,CB143=CB144)),NA(), CB143)</f>
        <v>0</v>
      </c>
      <c r="CC225">
        <f>IF(ISNA(CD225),NA(),CC143)</f>
        <v>0</v>
      </c>
      <c r="CD225">
        <f>IF(OR(CD143="",AND(CD143=CD142,CD143=CD144)),NA(), CD143)</f>
        <v>0</v>
      </c>
      <c r="CE225">
        <f>IF(ISNA(CF225),NA(),CE143)</f>
        <v>0</v>
      </c>
      <c r="CF225">
        <f>IF(OR(CF143="",AND(CF143=CF142,CF143=CF144)),NA(), CF143)</f>
        <v>0</v>
      </c>
      <c r="CG225">
        <f>IF(ISNA(CH225),NA(),CG143)</f>
        <v>0</v>
      </c>
      <c r="CH225">
        <f>IF(OR(CH143="",AND(CH143=CH142,CH143=CH144)),NA(), CH143)</f>
        <v>0</v>
      </c>
      <c r="CI225">
        <f>IF(ISNA(CJ225),NA(),CI143)</f>
        <v>0</v>
      </c>
      <c r="CJ225">
        <f>IF(OR(CJ143="",AND(CJ143=CJ142,CJ143=CJ144)),NA(), CJ143)</f>
        <v>0</v>
      </c>
      <c r="CK225">
        <f>IF(ISNA(CL225),NA(),CK143)</f>
        <v>0</v>
      </c>
      <c r="CL225">
        <f>IF(OR(CL143="",AND(CL143=CL142,CL143=CL144)),NA(), CL143)</f>
        <v>0</v>
      </c>
      <c r="CM225">
        <f>IF(ISNA(CN225),NA(),CM143)</f>
        <v>0</v>
      </c>
      <c r="CN225">
        <f>IF(OR(CN143="",AND(CN143=CN142,CN143=CN144)),NA(), CN143)</f>
        <v>0</v>
      </c>
      <c r="CO225">
        <f>IF(ISNA(CP225),NA(),CO143)</f>
        <v>0</v>
      </c>
      <c r="CP225">
        <f>IF(OR(CP143="",AND(CP143=CP142,CP143=CP144)),NA(), CP143)</f>
        <v>0</v>
      </c>
      <c r="CQ225">
        <f>IF(ISNA(CR225),NA(),CQ143)</f>
        <v>0</v>
      </c>
      <c r="CR225">
        <f>IF(OR(CR143="",AND(CR143=CR142,CR143=CR144)),NA(), CR143)</f>
        <v>0</v>
      </c>
      <c r="CS225">
        <f>IF(ISNA(CT225),NA(),CS143)</f>
        <v>0</v>
      </c>
      <c r="CT225">
        <f>IF(OR(CT143="",AND(CT143=CT142,CT143=CT144)),NA(), CT143)</f>
        <v>0</v>
      </c>
      <c r="CU225">
        <f>IF(ISNA(CV225),NA(),CU143)</f>
        <v>0</v>
      </c>
      <c r="CV225">
        <f>IF(OR(CV143="",AND(CV143=CV142,CV143=CV144)),NA(), CV143)</f>
        <v>0</v>
      </c>
      <c r="CW225">
        <f>IF(ISNA(CX225),NA(),CW143)</f>
        <v>0</v>
      </c>
      <c r="CX225">
        <f>IF(OR(CX143="",AND(CX143=CX142,CX143=CX144)),NA(), CX143)</f>
        <v>0</v>
      </c>
      <c r="CY225">
        <f>IF(ISNA(CZ225),NA(),CY143)</f>
        <v>0</v>
      </c>
      <c r="CZ225">
        <f>IF(OR(CZ143="",AND(CZ143=CZ142,CZ143=CZ144)),NA(), CZ143)</f>
        <v>0</v>
      </c>
      <c r="DA225">
        <f>IF(ISNA(DB225),NA(),DA143)</f>
        <v>0</v>
      </c>
      <c r="DB225">
        <f>IF(OR(DB143="",AND(DB143=DB142,DB143=DB144)),NA(), DB143)</f>
        <v>0</v>
      </c>
      <c r="DC225">
        <f>IF(ISNA(DD225),NA(),DC143)</f>
        <v>0</v>
      </c>
      <c r="DD225">
        <f>IF(OR(DD143="",AND(DD143=DD142,DD143=DD144)),NA(), DD143)</f>
        <v>0</v>
      </c>
      <c r="DE225">
        <f>IF(ISNA(DF225),NA(),DE143)</f>
        <v>0</v>
      </c>
      <c r="DF225">
        <f>IF(OR(DF143="",AND(DF143=DF142,DF143=DF144)),NA(), DF143)</f>
        <v>0</v>
      </c>
      <c r="DG225">
        <f>IF(ISNA(DH225),NA(),DG143)</f>
        <v>0</v>
      </c>
      <c r="DH225">
        <f>IF(OR(DH143="",AND(DH143=DH142,DH143=DH144)),NA(), DH143)</f>
        <v>0</v>
      </c>
      <c r="DI225">
        <f>IF(ISNA(DJ225),NA(),DI143)</f>
        <v>0</v>
      </c>
      <c r="DJ225">
        <f>IF(OR(DJ143="",AND(DJ143=DJ142,DJ143=DJ144)),NA(), DJ143)</f>
        <v>0</v>
      </c>
      <c r="DK225">
        <f>IF(ISNA(DL225),NA(),DK143)</f>
        <v>0</v>
      </c>
      <c r="DL225">
        <f>IF(OR(DL143="",AND(DL143=DL142,DL143=DL144)),NA(), DL143)</f>
        <v>0</v>
      </c>
      <c r="DM225">
        <f>IF(ISNA(DN225),NA(),DM143)</f>
        <v>0</v>
      </c>
      <c r="DN225">
        <f>IF(OR(DN143="",AND(DN143=DN142,DN143=DN144)),NA(), DN143)</f>
        <v>0</v>
      </c>
      <c r="DO225">
        <f>IF(ISNA(DP225),NA(),DO143)</f>
        <v>0</v>
      </c>
      <c r="DP225">
        <f>IF(OR(DP143="",AND(DP143=DP142,DP143=DP144)),NA(), DP143)</f>
        <v>0</v>
      </c>
      <c r="DQ225">
        <f>IF(ISNA(DR225),NA(),DQ143)</f>
        <v>0</v>
      </c>
      <c r="DR225">
        <f>IF(OR(DR143="",AND(DR143=DR142,DR143=DR144)),NA(), DR143)</f>
        <v>0</v>
      </c>
      <c r="DS225">
        <f>IF(ISNA(DT225),NA(),DS143)</f>
        <v>0</v>
      </c>
      <c r="DT225">
        <f>IF(OR(DT143="",AND(DT143=DT142,DT143=DT144)),NA(), DT143)</f>
        <v>0</v>
      </c>
      <c r="DU225">
        <f>IF(ISNA(DV225),NA(),DU143)</f>
        <v>0</v>
      </c>
      <c r="DV225">
        <f>IF(OR(DV143="",AND(DV143=DV142,DV143=DV144)),NA(), DV143)</f>
        <v>0</v>
      </c>
      <c r="DW225">
        <f>IF(ISNA(DX225),NA(),DW143)</f>
        <v>0</v>
      </c>
      <c r="DX225">
        <f>IF(OR(DX143="",AND(DX143=DX142,DX143=DX144)),NA(), DX143)</f>
        <v>0</v>
      </c>
      <c r="DY225">
        <f>IF(ISNA(DZ225),NA(),DY143)</f>
        <v>0</v>
      </c>
      <c r="DZ225">
        <f>IF(OR(DZ143="",AND(DZ143=DZ142,DZ143=DZ144)),NA(), DZ143)</f>
        <v>0</v>
      </c>
      <c r="EA225">
        <f>IF(ISNA(EB225),NA(),EA143)</f>
        <v>0</v>
      </c>
      <c r="EB225">
        <f>IF(OR(EB143="",AND(EB143=EB142,EB143=EB144)),NA(), EB143)</f>
        <v>0</v>
      </c>
      <c r="EC225">
        <f>IF(ISNA(ED225),NA(),EC143)</f>
        <v>0</v>
      </c>
      <c r="ED225">
        <f>IF(OR(ED143="",AND(ED143=ED142,ED143=ED144)),NA(), ED143)</f>
        <v>0</v>
      </c>
    </row>
    <row r="226" spans="5:134">
      <c r="E226">
        <f>IF(ISNA(F226),NA(),E144)</f>
        <v>0</v>
      </c>
      <c r="F226">
        <f>IF(OR(F144="",AND(F144=F143,F144=F145)),NA(), F144)</f>
        <v>0</v>
      </c>
      <c r="G226">
        <f>IF(ISNA(H226),NA(),G144)</f>
        <v>0</v>
      </c>
      <c r="H226">
        <f>IF(OR(H144="",AND(H144=H143,H144=H145)),NA(), H144)</f>
        <v>0</v>
      </c>
      <c r="I226">
        <f>IF(ISNA(J226),NA(),I144)</f>
        <v>0</v>
      </c>
      <c r="J226">
        <f>IF(OR(J144="",AND(J144=J143,J144=J145)),NA(), J144)</f>
        <v>0</v>
      </c>
      <c r="K226">
        <f>IF(ISNA(L226),NA(),K144)</f>
        <v>0</v>
      </c>
      <c r="L226">
        <f>IF(OR(L144="",AND(L144=L143,L144=L145)),NA(), L144)</f>
        <v>0</v>
      </c>
      <c r="M226">
        <f>IF(ISNA(N226),NA(),M144)</f>
        <v>0</v>
      </c>
      <c r="N226">
        <f>IF(OR(N144="",AND(N144=N143,N144=N145)),NA(), N144)</f>
        <v>0</v>
      </c>
      <c r="O226">
        <f>IF(ISNA(P226),NA(),O144)</f>
        <v>0</v>
      </c>
      <c r="P226">
        <f>IF(OR(P144="",AND(P144=P143,P144=P145)),NA(), P144)</f>
        <v>0</v>
      </c>
      <c r="Q226">
        <f>IF(ISNA(R226),NA(),Q144)</f>
        <v>0</v>
      </c>
      <c r="R226">
        <f>IF(OR(R144="",AND(R144=R143,R144=R145)),NA(), R144)</f>
        <v>0</v>
      </c>
      <c r="S226">
        <f>IF(ISNA(T226),NA(),S144)</f>
        <v>0</v>
      </c>
      <c r="T226">
        <f>IF(OR(T144="",AND(T144=T143,T144=T145)),NA(), T144)</f>
        <v>0</v>
      </c>
      <c r="U226">
        <f>IF(ISNA(V226),NA(),U144)</f>
        <v>0</v>
      </c>
      <c r="V226">
        <f>IF(OR(V144="",AND(V144=V143,V144=V145)),NA(), V144)</f>
        <v>0</v>
      </c>
      <c r="W226">
        <f>IF(ISNA(X226),NA(),W144)</f>
        <v>0</v>
      </c>
      <c r="X226">
        <f>IF(OR(X144="",AND(X144=X143,X144=X145)),NA(), X144)</f>
        <v>0</v>
      </c>
      <c r="Y226">
        <f>IF(ISNA(Z226),NA(),Y144)</f>
        <v>0</v>
      </c>
      <c r="Z226">
        <f>IF(OR(Z144="",AND(Z144=Z143,Z144=Z145)),NA(), Z144)</f>
        <v>0</v>
      </c>
      <c r="AA226">
        <f>IF(ISNA(AB226),NA(),AA144)</f>
        <v>0</v>
      </c>
      <c r="AB226">
        <f>IF(OR(AB144="",AND(AB144=AB143,AB144=AB145)),NA(), AB144)</f>
        <v>0</v>
      </c>
      <c r="AC226">
        <f>IF(ISNA(AD226),NA(),AC144)</f>
        <v>0</v>
      </c>
      <c r="AD226">
        <f>IF(OR(AD144="",AND(AD144=AD143,AD144=AD145)),NA(), AD144)</f>
        <v>0</v>
      </c>
      <c r="AE226">
        <f>IF(ISNA(AF226),NA(),AE144)</f>
        <v>0</v>
      </c>
      <c r="AF226">
        <f>IF(OR(AF144="",AND(AF144=AF143,AF144=AF145)),NA(), AF144)</f>
        <v>0</v>
      </c>
      <c r="AG226">
        <f>IF(ISNA(AH226),NA(),AG144)</f>
        <v>0</v>
      </c>
      <c r="AH226">
        <f>IF(OR(AH144="",AND(AH144=AH143,AH144=AH145)),NA(), AH144)</f>
        <v>0</v>
      </c>
      <c r="AI226">
        <f>IF(ISNA(AJ226),NA(),AI144)</f>
        <v>0</v>
      </c>
      <c r="AJ226">
        <f>IF(OR(AJ144="",AND(AJ144=AJ143,AJ144=AJ145)),NA(), AJ144)</f>
        <v>0</v>
      </c>
      <c r="AK226">
        <f>IF(ISNA(AL226),NA(),AK144)</f>
        <v>0</v>
      </c>
      <c r="AL226">
        <f>IF(OR(AL144="",AND(AL144=AL143,AL144=AL145)),NA(), AL144)</f>
        <v>0</v>
      </c>
      <c r="AM226">
        <f>IF(ISNA(AN226),NA(),AM144)</f>
        <v>0</v>
      </c>
      <c r="AN226">
        <f>IF(OR(AN144="",AND(AN144=AN143,AN144=AN145)),NA(), AN144)</f>
        <v>0</v>
      </c>
      <c r="AO226">
        <f>IF(ISNA(AP226),NA(),AO144)</f>
        <v>0</v>
      </c>
      <c r="AP226">
        <f>IF(OR(AP144="",AND(AP144=AP143,AP144=AP145)),NA(), AP144)</f>
        <v>0</v>
      </c>
      <c r="AQ226">
        <f>IF(ISNA(AR226),NA(),AQ144)</f>
        <v>0</v>
      </c>
      <c r="AR226">
        <f>IF(OR(AR144="",AND(AR144=AR143,AR144=AR145)),NA(), AR144)</f>
        <v>0</v>
      </c>
      <c r="AS226">
        <f>IF(ISNA(AT226),NA(),AS144)</f>
        <v>0</v>
      </c>
      <c r="AT226">
        <f>IF(OR(AT144="",AND(AT144=AT143,AT144=AT145)),NA(), AT144)</f>
        <v>0</v>
      </c>
      <c r="AU226">
        <f>IF(ISNA(AV226),NA(),AU144)</f>
        <v>0</v>
      </c>
      <c r="AV226">
        <f>IF(OR(AV144="",AND(AV144=AV143,AV144=AV145)),NA(), AV144)</f>
        <v>0</v>
      </c>
      <c r="AW226">
        <f>IF(ISNA(AX226),NA(),AW144)</f>
        <v>0</v>
      </c>
      <c r="AX226">
        <f>IF(OR(AX144="",AND(AX144=AX143,AX144=AX145)),NA(), AX144)</f>
        <v>0</v>
      </c>
      <c r="AY226">
        <f>IF(ISNA(AZ226),NA(),AY144)</f>
        <v>0</v>
      </c>
      <c r="AZ226">
        <f>IF(OR(AZ144="",AND(AZ144=AZ143,AZ144=AZ145)),NA(), AZ144)</f>
        <v>0</v>
      </c>
      <c r="BA226">
        <f>IF(ISNA(BB226),NA(),BA144)</f>
        <v>0</v>
      </c>
      <c r="BB226">
        <f>IF(OR(BB144="",AND(BB144=BB143,BB144=BB145)),NA(), BB144)</f>
        <v>0</v>
      </c>
      <c r="BC226">
        <f>IF(ISNA(BD226),NA(),BC144)</f>
        <v>0</v>
      </c>
      <c r="BD226">
        <f>IF(OR(BD144="",AND(BD144=BD143,BD144=BD145)),NA(), BD144)</f>
        <v>0</v>
      </c>
      <c r="BE226">
        <f>IF(ISNA(BF226),NA(),BE144)</f>
        <v>0</v>
      </c>
      <c r="BF226">
        <f>IF(OR(BF144="",AND(BF144=BF143,BF144=BF145)),NA(), BF144)</f>
        <v>0</v>
      </c>
      <c r="BG226">
        <f>IF(ISNA(BH226),NA(),BG144)</f>
        <v>0</v>
      </c>
      <c r="BH226">
        <f>IF(OR(BH144="",AND(BH144=BH143,BH144=BH145)),NA(), BH144)</f>
        <v>0</v>
      </c>
      <c r="BI226">
        <f>IF(ISNA(BJ226),NA(),BI144)</f>
        <v>0</v>
      </c>
      <c r="BJ226">
        <f>IF(OR(BJ144="",AND(BJ144=BJ143,BJ144=BJ145)),NA(), BJ144)</f>
        <v>0</v>
      </c>
      <c r="BK226">
        <f>IF(ISNA(BL226),NA(),BK144)</f>
        <v>0</v>
      </c>
      <c r="BL226">
        <f>IF(OR(BL144="",AND(BL144=BL143,BL144=BL145)),NA(), BL144)</f>
        <v>0</v>
      </c>
      <c r="BM226">
        <f>IF(ISNA(BN226),NA(),BM144)</f>
        <v>0</v>
      </c>
      <c r="BN226">
        <f>IF(OR(BN144="",AND(BN144=BN143,BN144=BN145)),NA(), BN144)</f>
        <v>0</v>
      </c>
      <c r="BO226">
        <f>IF(ISNA(BP226),NA(),BO144)</f>
        <v>0</v>
      </c>
      <c r="BP226">
        <f>IF(OR(BP144="",AND(BP144=BP143,BP144=BP145)),NA(), BP144)</f>
        <v>0</v>
      </c>
      <c r="BS226">
        <f>IF(ISNA(BT226),NA(),BS144)</f>
        <v>0</v>
      </c>
      <c r="BT226">
        <f>IF(OR(BT144="",AND(BT144=BT143,BT144=BT145)),NA(), BT144)</f>
        <v>0</v>
      </c>
      <c r="BU226">
        <f>IF(ISNA(BV226),NA(),BU144)</f>
        <v>0</v>
      </c>
      <c r="BV226">
        <f>IF(OR(BV144="",AND(BV144=BV143,BV144=BV145)),NA(), BV144)</f>
        <v>0</v>
      </c>
      <c r="BW226">
        <f>IF(ISNA(BX226),NA(),BW144)</f>
        <v>0</v>
      </c>
      <c r="BX226">
        <f>IF(OR(BX144="",AND(BX144=BX143,BX144=BX145)),NA(), BX144)</f>
        <v>0</v>
      </c>
      <c r="BY226">
        <f>IF(ISNA(BZ226),NA(),BY144)</f>
        <v>0</v>
      </c>
      <c r="BZ226">
        <f>IF(OR(BZ144="",AND(BZ144=BZ143,BZ144=BZ145)),NA(), BZ144)</f>
        <v>0</v>
      </c>
      <c r="CA226">
        <f>IF(ISNA(CB226),NA(),CA144)</f>
        <v>0</v>
      </c>
      <c r="CB226">
        <f>IF(OR(CB144="",AND(CB144=CB143,CB144=CB145)),NA(), CB144)</f>
        <v>0</v>
      </c>
      <c r="CC226">
        <f>IF(ISNA(CD226),NA(),CC144)</f>
        <v>0</v>
      </c>
      <c r="CD226">
        <f>IF(OR(CD144="",AND(CD144=CD143,CD144=CD145)),NA(), CD144)</f>
        <v>0</v>
      </c>
      <c r="CE226">
        <f>IF(ISNA(CF226),NA(),CE144)</f>
        <v>0</v>
      </c>
      <c r="CF226">
        <f>IF(OR(CF144="",AND(CF144=CF143,CF144=CF145)),NA(), CF144)</f>
        <v>0</v>
      </c>
      <c r="CG226">
        <f>IF(ISNA(CH226),NA(),CG144)</f>
        <v>0</v>
      </c>
      <c r="CH226">
        <f>IF(OR(CH144="",AND(CH144=CH143,CH144=CH145)),NA(), CH144)</f>
        <v>0</v>
      </c>
      <c r="CI226">
        <f>IF(ISNA(CJ226),NA(),CI144)</f>
        <v>0</v>
      </c>
      <c r="CJ226">
        <f>IF(OR(CJ144="",AND(CJ144=CJ143,CJ144=CJ145)),NA(), CJ144)</f>
        <v>0</v>
      </c>
      <c r="CK226">
        <f>IF(ISNA(CL226),NA(),CK144)</f>
        <v>0</v>
      </c>
      <c r="CL226">
        <f>IF(OR(CL144="",AND(CL144=CL143,CL144=CL145)),NA(), CL144)</f>
        <v>0</v>
      </c>
      <c r="CM226">
        <f>IF(ISNA(CN226),NA(),CM144)</f>
        <v>0</v>
      </c>
      <c r="CN226">
        <f>IF(OR(CN144="",AND(CN144=CN143,CN144=CN145)),NA(), CN144)</f>
        <v>0</v>
      </c>
      <c r="CO226">
        <f>IF(ISNA(CP226),NA(),CO144)</f>
        <v>0</v>
      </c>
      <c r="CP226">
        <f>IF(OR(CP144="",AND(CP144=CP143,CP144=CP145)),NA(), CP144)</f>
        <v>0</v>
      </c>
      <c r="CQ226">
        <f>IF(ISNA(CR226),NA(),CQ144)</f>
        <v>0</v>
      </c>
      <c r="CR226">
        <f>IF(OR(CR144="",AND(CR144=CR143,CR144=CR145)),NA(), CR144)</f>
        <v>0</v>
      </c>
      <c r="CS226">
        <f>IF(ISNA(CT226),NA(),CS144)</f>
        <v>0</v>
      </c>
      <c r="CT226">
        <f>IF(OR(CT144="",AND(CT144=CT143,CT144=CT145)),NA(), CT144)</f>
        <v>0</v>
      </c>
      <c r="CU226">
        <f>IF(ISNA(CV226),NA(),CU144)</f>
        <v>0</v>
      </c>
      <c r="CV226">
        <f>IF(OR(CV144="",AND(CV144=CV143,CV144=CV145)),NA(), CV144)</f>
        <v>0</v>
      </c>
      <c r="CW226">
        <f>IF(ISNA(CX226),NA(),CW144)</f>
        <v>0</v>
      </c>
      <c r="CX226">
        <f>IF(OR(CX144="",AND(CX144=CX143,CX144=CX145)),NA(), CX144)</f>
        <v>0</v>
      </c>
      <c r="CY226">
        <f>IF(ISNA(CZ226),NA(),CY144)</f>
        <v>0</v>
      </c>
      <c r="CZ226">
        <f>IF(OR(CZ144="",AND(CZ144=CZ143,CZ144=CZ145)),NA(), CZ144)</f>
        <v>0</v>
      </c>
      <c r="DA226">
        <f>IF(ISNA(DB226),NA(),DA144)</f>
        <v>0</v>
      </c>
      <c r="DB226">
        <f>IF(OR(DB144="",AND(DB144=DB143,DB144=DB145)),NA(), DB144)</f>
        <v>0</v>
      </c>
      <c r="DC226">
        <f>IF(ISNA(DD226),NA(),DC144)</f>
        <v>0</v>
      </c>
      <c r="DD226">
        <f>IF(OR(DD144="",AND(DD144=DD143,DD144=DD145)),NA(), DD144)</f>
        <v>0</v>
      </c>
      <c r="DE226">
        <f>IF(ISNA(DF226),NA(),DE144)</f>
        <v>0</v>
      </c>
      <c r="DF226">
        <f>IF(OR(DF144="",AND(DF144=DF143,DF144=DF145)),NA(), DF144)</f>
        <v>0</v>
      </c>
      <c r="DG226">
        <f>IF(ISNA(DH226),NA(),DG144)</f>
        <v>0</v>
      </c>
      <c r="DH226">
        <f>IF(OR(DH144="",AND(DH144=DH143,DH144=DH145)),NA(), DH144)</f>
        <v>0</v>
      </c>
      <c r="DI226">
        <f>IF(ISNA(DJ226),NA(),DI144)</f>
        <v>0</v>
      </c>
      <c r="DJ226">
        <f>IF(OR(DJ144="",AND(DJ144=DJ143,DJ144=DJ145)),NA(), DJ144)</f>
        <v>0</v>
      </c>
      <c r="DK226">
        <f>IF(ISNA(DL226),NA(),DK144)</f>
        <v>0</v>
      </c>
      <c r="DL226">
        <f>IF(OR(DL144="",AND(DL144=DL143,DL144=DL145)),NA(), DL144)</f>
        <v>0</v>
      </c>
      <c r="DM226">
        <f>IF(ISNA(DN226),NA(),DM144)</f>
        <v>0</v>
      </c>
      <c r="DN226">
        <f>IF(OR(DN144="",AND(DN144=DN143,DN144=DN145)),NA(), DN144)</f>
        <v>0</v>
      </c>
      <c r="DO226">
        <f>IF(ISNA(DP226),NA(),DO144)</f>
        <v>0</v>
      </c>
      <c r="DP226">
        <f>IF(OR(DP144="",AND(DP144=DP143,DP144=DP145)),NA(), DP144)</f>
        <v>0</v>
      </c>
      <c r="DQ226">
        <f>IF(ISNA(DR226),NA(),DQ144)</f>
        <v>0</v>
      </c>
      <c r="DR226">
        <f>IF(OR(DR144="",AND(DR144=DR143,DR144=DR145)),NA(), DR144)</f>
        <v>0</v>
      </c>
      <c r="DS226">
        <f>IF(ISNA(DT226),NA(),DS144)</f>
        <v>0</v>
      </c>
      <c r="DT226">
        <f>IF(OR(DT144="",AND(DT144=DT143,DT144=DT145)),NA(), DT144)</f>
        <v>0</v>
      </c>
      <c r="DU226">
        <f>IF(ISNA(DV226),NA(),DU144)</f>
        <v>0</v>
      </c>
      <c r="DV226">
        <f>IF(OR(DV144="",AND(DV144=DV143,DV144=DV145)),NA(), DV144)</f>
        <v>0</v>
      </c>
      <c r="DW226">
        <f>IF(ISNA(DX226),NA(),DW144)</f>
        <v>0</v>
      </c>
      <c r="DX226">
        <f>IF(OR(DX144="",AND(DX144=DX143,DX144=DX145)),NA(), DX144)</f>
        <v>0</v>
      </c>
      <c r="DY226">
        <f>IF(ISNA(DZ226),NA(),DY144)</f>
        <v>0</v>
      </c>
      <c r="DZ226">
        <f>IF(OR(DZ144="",AND(DZ144=DZ143,DZ144=DZ145)),NA(), DZ144)</f>
        <v>0</v>
      </c>
      <c r="EA226">
        <f>IF(ISNA(EB226),NA(),EA144)</f>
        <v>0</v>
      </c>
      <c r="EB226">
        <f>IF(OR(EB144="",AND(EB144=EB143,EB144=EB145)),NA(), EB144)</f>
        <v>0</v>
      </c>
      <c r="EC226">
        <f>IF(ISNA(ED226),NA(),EC144)</f>
        <v>0</v>
      </c>
      <c r="ED226">
        <f>IF(OR(ED144="",AND(ED144=ED143,ED144=ED145)),NA(), ED144)</f>
        <v>0</v>
      </c>
    </row>
    <row r="227" spans="5:134">
      <c r="E227">
        <f>IF(ISNA(F227),NA(),E145)</f>
        <v>0</v>
      </c>
      <c r="F227">
        <f>IF(OR(F145="",AND(F145=F144,F145=F146)),NA(), F145)</f>
        <v>0</v>
      </c>
      <c r="G227">
        <f>IF(ISNA(H227),NA(),G145)</f>
        <v>0</v>
      </c>
      <c r="H227">
        <f>IF(OR(H145="",AND(H145=H144,H145=H146)),NA(), H145)</f>
        <v>0</v>
      </c>
      <c r="I227">
        <f>IF(ISNA(J227),NA(),I145)</f>
        <v>0</v>
      </c>
      <c r="J227">
        <f>IF(OR(J145="",AND(J145=J144,J145=J146)),NA(), J145)</f>
        <v>0</v>
      </c>
      <c r="K227">
        <f>IF(ISNA(L227),NA(),K145)</f>
        <v>0</v>
      </c>
      <c r="L227">
        <f>IF(OR(L145="",AND(L145=L144,L145=L146)),NA(), L145)</f>
        <v>0</v>
      </c>
      <c r="M227">
        <f>IF(ISNA(N227),NA(),M145)</f>
        <v>0</v>
      </c>
      <c r="N227">
        <f>IF(OR(N145="",AND(N145=N144,N145=N146)),NA(), N145)</f>
        <v>0</v>
      </c>
      <c r="O227">
        <f>IF(ISNA(P227),NA(),O145)</f>
        <v>0</v>
      </c>
      <c r="P227">
        <f>IF(OR(P145="",AND(P145=P144,P145=P146)),NA(), P145)</f>
        <v>0</v>
      </c>
      <c r="Q227">
        <f>IF(ISNA(R227),NA(),Q145)</f>
        <v>0</v>
      </c>
      <c r="R227">
        <f>IF(OR(R145="",AND(R145=R144,R145=R146)),NA(), R145)</f>
        <v>0</v>
      </c>
      <c r="S227">
        <f>IF(ISNA(T227),NA(),S145)</f>
        <v>0</v>
      </c>
      <c r="T227">
        <f>IF(OR(T145="",AND(T145=T144,T145=T146)),NA(), T145)</f>
        <v>0</v>
      </c>
      <c r="U227">
        <f>IF(ISNA(V227),NA(),U145)</f>
        <v>0</v>
      </c>
      <c r="V227">
        <f>IF(OR(V145="",AND(V145=V144,V145=V146)),NA(), V145)</f>
        <v>0</v>
      </c>
      <c r="W227">
        <f>IF(ISNA(X227),NA(),W145)</f>
        <v>0</v>
      </c>
      <c r="X227">
        <f>IF(OR(X145="",AND(X145=X144,X145=X146)),NA(), X145)</f>
        <v>0</v>
      </c>
      <c r="Y227">
        <f>IF(ISNA(Z227),NA(),Y145)</f>
        <v>0</v>
      </c>
      <c r="Z227">
        <f>IF(OR(Z145="",AND(Z145=Z144,Z145=Z146)),NA(), Z145)</f>
        <v>0</v>
      </c>
      <c r="AA227">
        <f>IF(ISNA(AB227),NA(),AA145)</f>
        <v>0</v>
      </c>
      <c r="AB227">
        <f>IF(OR(AB145="",AND(AB145=AB144,AB145=AB146)),NA(), AB145)</f>
        <v>0</v>
      </c>
      <c r="AC227">
        <f>IF(ISNA(AD227),NA(),AC145)</f>
        <v>0</v>
      </c>
      <c r="AD227">
        <f>IF(OR(AD145="",AND(AD145=AD144,AD145=AD146)),NA(), AD145)</f>
        <v>0</v>
      </c>
      <c r="AE227">
        <f>IF(ISNA(AF227),NA(),AE145)</f>
        <v>0</v>
      </c>
      <c r="AF227">
        <f>IF(OR(AF145="",AND(AF145=AF144,AF145=AF146)),NA(), AF145)</f>
        <v>0</v>
      </c>
      <c r="AG227">
        <f>IF(ISNA(AH227),NA(),AG145)</f>
        <v>0</v>
      </c>
      <c r="AH227">
        <f>IF(OR(AH145="",AND(AH145=AH144,AH145=AH146)),NA(), AH145)</f>
        <v>0</v>
      </c>
      <c r="AI227">
        <f>IF(ISNA(AJ227),NA(),AI145)</f>
        <v>0</v>
      </c>
      <c r="AJ227">
        <f>IF(OR(AJ145="",AND(AJ145=AJ144,AJ145=AJ146)),NA(), AJ145)</f>
        <v>0</v>
      </c>
      <c r="AK227">
        <f>IF(ISNA(AL227),NA(),AK145)</f>
        <v>0</v>
      </c>
      <c r="AL227">
        <f>IF(OR(AL145="",AND(AL145=AL144,AL145=AL146)),NA(), AL145)</f>
        <v>0</v>
      </c>
      <c r="AM227">
        <f>IF(ISNA(AN227),NA(),AM145)</f>
        <v>0</v>
      </c>
      <c r="AN227">
        <f>IF(OR(AN145="",AND(AN145=AN144,AN145=AN146)),NA(), AN145)</f>
        <v>0</v>
      </c>
      <c r="AO227">
        <f>IF(ISNA(AP227),NA(),AO145)</f>
        <v>0</v>
      </c>
      <c r="AP227">
        <f>IF(OR(AP145="",AND(AP145=AP144,AP145=AP146)),NA(), AP145)</f>
        <v>0</v>
      </c>
      <c r="AQ227">
        <f>IF(ISNA(AR227),NA(),AQ145)</f>
        <v>0</v>
      </c>
      <c r="AR227">
        <f>IF(OR(AR145="",AND(AR145=AR144,AR145=AR146)),NA(), AR145)</f>
        <v>0</v>
      </c>
      <c r="AS227">
        <f>IF(ISNA(AT227),NA(),AS145)</f>
        <v>0</v>
      </c>
      <c r="AT227">
        <f>IF(OR(AT145="",AND(AT145=AT144,AT145=AT146)),NA(), AT145)</f>
        <v>0</v>
      </c>
      <c r="AU227">
        <f>IF(ISNA(AV227),NA(),AU145)</f>
        <v>0</v>
      </c>
      <c r="AV227">
        <f>IF(OR(AV145="",AND(AV145=AV144,AV145=AV146)),NA(), AV145)</f>
        <v>0</v>
      </c>
      <c r="AW227">
        <f>IF(ISNA(AX227),NA(),AW145)</f>
        <v>0</v>
      </c>
      <c r="AX227">
        <f>IF(OR(AX145="",AND(AX145=AX144,AX145=AX146)),NA(), AX145)</f>
        <v>0</v>
      </c>
      <c r="AY227">
        <f>IF(ISNA(AZ227),NA(),AY145)</f>
        <v>0</v>
      </c>
      <c r="AZ227">
        <f>IF(OR(AZ145="",AND(AZ145=AZ144,AZ145=AZ146)),NA(), AZ145)</f>
        <v>0</v>
      </c>
      <c r="BA227">
        <f>IF(ISNA(BB227),NA(),BA145)</f>
        <v>0</v>
      </c>
      <c r="BB227">
        <f>IF(OR(BB145="",AND(BB145=BB144,BB145=BB146)),NA(), BB145)</f>
        <v>0</v>
      </c>
      <c r="BC227">
        <f>IF(ISNA(BD227),NA(),BC145)</f>
        <v>0</v>
      </c>
      <c r="BD227">
        <f>IF(OR(BD145="",AND(BD145=BD144,BD145=BD146)),NA(), BD145)</f>
        <v>0</v>
      </c>
      <c r="BE227">
        <f>IF(ISNA(BF227),NA(),BE145)</f>
        <v>0</v>
      </c>
      <c r="BF227">
        <f>IF(OR(BF145="",AND(BF145=BF144,BF145=BF146)),NA(), BF145)</f>
        <v>0</v>
      </c>
      <c r="BG227">
        <f>IF(ISNA(BH227),NA(),BG145)</f>
        <v>0</v>
      </c>
      <c r="BH227">
        <f>IF(OR(BH145="",AND(BH145=BH144,BH145=BH146)),NA(), BH145)</f>
        <v>0</v>
      </c>
      <c r="BI227">
        <f>IF(ISNA(BJ227),NA(),BI145)</f>
        <v>0</v>
      </c>
      <c r="BJ227">
        <f>IF(OR(BJ145="",AND(BJ145=BJ144,BJ145=BJ146)),NA(), BJ145)</f>
        <v>0</v>
      </c>
      <c r="BK227">
        <f>IF(ISNA(BL227),NA(),BK145)</f>
        <v>0</v>
      </c>
      <c r="BL227">
        <f>IF(OR(BL145="",AND(BL145=BL144,BL145=BL146)),NA(), BL145)</f>
        <v>0</v>
      </c>
      <c r="BM227">
        <f>IF(ISNA(BN227),NA(),BM145)</f>
        <v>0</v>
      </c>
      <c r="BN227">
        <f>IF(OR(BN145="",AND(BN145=BN144,BN145=BN146)),NA(), BN145)</f>
        <v>0</v>
      </c>
      <c r="BO227">
        <f>IF(ISNA(BP227),NA(),BO145)</f>
        <v>0</v>
      </c>
      <c r="BP227">
        <f>IF(OR(BP145="",AND(BP145=BP144,BP145=BP146)),NA(), BP145)</f>
        <v>0</v>
      </c>
      <c r="BS227">
        <f>IF(ISNA(BT227),NA(),BS145)</f>
        <v>0</v>
      </c>
      <c r="BT227">
        <f>IF(OR(BT145="",AND(BT145=BT144,BT145=BT146)),NA(), BT145)</f>
        <v>0</v>
      </c>
      <c r="BU227">
        <f>IF(ISNA(BV227),NA(),BU145)</f>
        <v>0</v>
      </c>
      <c r="BV227">
        <f>IF(OR(BV145="",AND(BV145=BV144,BV145=BV146)),NA(), BV145)</f>
        <v>0</v>
      </c>
      <c r="BW227">
        <f>IF(ISNA(BX227),NA(),BW145)</f>
        <v>0</v>
      </c>
      <c r="BX227">
        <f>IF(OR(BX145="",AND(BX145=BX144,BX145=BX146)),NA(), BX145)</f>
        <v>0</v>
      </c>
      <c r="BY227">
        <f>IF(ISNA(BZ227),NA(),BY145)</f>
        <v>0</v>
      </c>
      <c r="BZ227">
        <f>IF(OR(BZ145="",AND(BZ145=BZ144,BZ145=BZ146)),NA(), BZ145)</f>
        <v>0</v>
      </c>
      <c r="CA227">
        <f>IF(ISNA(CB227),NA(),CA145)</f>
        <v>0</v>
      </c>
      <c r="CB227">
        <f>IF(OR(CB145="",AND(CB145=CB144,CB145=CB146)),NA(), CB145)</f>
        <v>0</v>
      </c>
      <c r="CC227">
        <f>IF(ISNA(CD227),NA(),CC145)</f>
        <v>0</v>
      </c>
      <c r="CD227">
        <f>IF(OR(CD145="",AND(CD145=CD144,CD145=CD146)),NA(), CD145)</f>
        <v>0</v>
      </c>
      <c r="CE227">
        <f>IF(ISNA(CF227),NA(),CE145)</f>
        <v>0</v>
      </c>
      <c r="CF227">
        <f>IF(OR(CF145="",AND(CF145=CF144,CF145=CF146)),NA(), CF145)</f>
        <v>0</v>
      </c>
      <c r="CG227">
        <f>IF(ISNA(CH227),NA(),CG145)</f>
        <v>0</v>
      </c>
      <c r="CH227">
        <f>IF(OR(CH145="",AND(CH145=CH144,CH145=CH146)),NA(), CH145)</f>
        <v>0</v>
      </c>
      <c r="CI227">
        <f>IF(ISNA(CJ227),NA(),CI145)</f>
        <v>0</v>
      </c>
      <c r="CJ227">
        <f>IF(OR(CJ145="",AND(CJ145=CJ144,CJ145=CJ146)),NA(), CJ145)</f>
        <v>0</v>
      </c>
      <c r="CK227">
        <f>IF(ISNA(CL227),NA(),CK145)</f>
        <v>0</v>
      </c>
      <c r="CL227">
        <f>IF(OR(CL145="",AND(CL145=CL144,CL145=CL146)),NA(), CL145)</f>
        <v>0</v>
      </c>
      <c r="CM227">
        <f>IF(ISNA(CN227),NA(),CM145)</f>
        <v>0</v>
      </c>
      <c r="CN227">
        <f>IF(OR(CN145="",AND(CN145=CN144,CN145=CN146)),NA(), CN145)</f>
        <v>0</v>
      </c>
      <c r="CO227">
        <f>IF(ISNA(CP227),NA(),CO145)</f>
        <v>0</v>
      </c>
      <c r="CP227">
        <f>IF(OR(CP145="",AND(CP145=CP144,CP145=CP146)),NA(), CP145)</f>
        <v>0</v>
      </c>
      <c r="CQ227">
        <f>IF(ISNA(CR227),NA(),CQ145)</f>
        <v>0</v>
      </c>
      <c r="CR227">
        <f>IF(OR(CR145="",AND(CR145=CR144,CR145=CR146)),NA(), CR145)</f>
        <v>0</v>
      </c>
      <c r="CS227">
        <f>IF(ISNA(CT227),NA(),CS145)</f>
        <v>0</v>
      </c>
      <c r="CT227">
        <f>IF(OR(CT145="",AND(CT145=CT144,CT145=CT146)),NA(), CT145)</f>
        <v>0</v>
      </c>
      <c r="CU227">
        <f>IF(ISNA(CV227),NA(),CU145)</f>
        <v>0</v>
      </c>
      <c r="CV227">
        <f>IF(OR(CV145="",AND(CV145=CV144,CV145=CV146)),NA(), CV145)</f>
        <v>0</v>
      </c>
      <c r="CW227">
        <f>IF(ISNA(CX227),NA(),CW145)</f>
        <v>0</v>
      </c>
      <c r="CX227">
        <f>IF(OR(CX145="",AND(CX145=CX144,CX145=CX146)),NA(), CX145)</f>
        <v>0</v>
      </c>
      <c r="CY227">
        <f>IF(ISNA(CZ227),NA(),CY145)</f>
        <v>0</v>
      </c>
      <c r="CZ227">
        <f>IF(OR(CZ145="",AND(CZ145=CZ144,CZ145=CZ146)),NA(), CZ145)</f>
        <v>0</v>
      </c>
      <c r="DA227">
        <f>IF(ISNA(DB227),NA(),DA145)</f>
        <v>0</v>
      </c>
      <c r="DB227">
        <f>IF(OR(DB145="",AND(DB145=DB144,DB145=DB146)),NA(), DB145)</f>
        <v>0</v>
      </c>
      <c r="DC227">
        <f>IF(ISNA(DD227),NA(),DC145)</f>
        <v>0</v>
      </c>
      <c r="DD227">
        <f>IF(OR(DD145="",AND(DD145=DD144,DD145=DD146)),NA(), DD145)</f>
        <v>0</v>
      </c>
      <c r="DE227">
        <f>IF(ISNA(DF227),NA(),DE145)</f>
        <v>0</v>
      </c>
      <c r="DF227">
        <f>IF(OR(DF145="",AND(DF145=DF144,DF145=DF146)),NA(), DF145)</f>
        <v>0</v>
      </c>
      <c r="DG227">
        <f>IF(ISNA(DH227),NA(),DG145)</f>
        <v>0</v>
      </c>
      <c r="DH227">
        <f>IF(OR(DH145="",AND(DH145=DH144,DH145=DH146)),NA(), DH145)</f>
        <v>0</v>
      </c>
      <c r="DI227">
        <f>IF(ISNA(DJ227),NA(),DI145)</f>
        <v>0</v>
      </c>
      <c r="DJ227">
        <f>IF(OR(DJ145="",AND(DJ145=DJ144,DJ145=DJ146)),NA(), DJ145)</f>
        <v>0</v>
      </c>
      <c r="DK227">
        <f>IF(ISNA(DL227),NA(),DK145)</f>
        <v>0</v>
      </c>
      <c r="DL227">
        <f>IF(OR(DL145="",AND(DL145=DL144,DL145=DL146)),NA(), DL145)</f>
        <v>0</v>
      </c>
      <c r="DM227">
        <f>IF(ISNA(DN227),NA(),DM145)</f>
        <v>0</v>
      </c>
      <c r="DN227">
        <f>IF(OR(DN145="",AND(DN145=DN144,DN145=DN146)),NA(), DN145)</f>
        <v>0</v>
      </c>
      <c r="DO227">
        <f>IF(ISNA(DP227),NA(),DO145)</f>
        <v>0</v>
      </c>
      <c r="DP227">
        <f>IF(OR(DP145="",AND(DP145=DP144,DP145=DP146)),NA(), DP145)</f>
        <v>0</v>
      </c>
      <c r="DQ227">
        <f>IF(ISNA(DR227),NA(),DQ145)</f>
        <v>0</v>
      </c>
      <c r="DR227">
        <f>IF(OR(DR145="",AND(DR145=DR144,DR145=DR146)),NA(), DR145)</f>
        <v>0</v>
      </c>
      <c r="DS227">
        <f>IF(ISNA(DT227),NA(),DS145)</f>
        <v>0</v>
      </c>
      <c r="DT227">
        <f>IF(OR(DT145="",AND(DT145=DT144,DT145=DT146)),NA(), DT145)</f>
        <v>0</v>
      </c>
      <c r="DU227">
        <f>IF(ISNA(DV227),NA(),DU145)</f>
        <v>0</v>
      </c>
      <c r="DV227">
        <f>IF(OR(DV145="",AND(DV145=DV144,DV145=DV146)),NA(), DV145)</f>
        <v>0</v>
      </c>
      <c r="DW227">
        <f>IF(ISNA(DX227),NA(),DW145)</f>
        <v>0</v>
      </c>
      <c r="DX227">
        <f>IF(OR(DX145="",AND(DX145=DX144,DX145=DX146)),NA(), DX145)</f>
        <v>0</v>
      </c>
      <c r="DY227">
        <f>IF(ISNA(DZ227),NA(),DY145)</f>
        <v>0</v>
      </c>
      <c r="DZ227">
        <f>IF(OR(DZ145="",AND(DZ145=DZ144,DZ145=DZ146)),NA(), DZ145)</f>
        <v>0</v>
      </c>
      <c r="EA227">
        <f>IF(ISNA(EB227),NA(),EA145)</f>
        <v>0</v>
      </c>
      <c r="EB227">
        <f>IF(OR(EB145="",AND(EB145=EB144,EB145=EB146)),NA(), EB145)</f>
        <v>0</v>
      </c>
      <c r="EC227">
        <f>IF(ISNA(ED227),NA(),EC145)</f>
        <v>0</v>
      </c>
      <c r="ED227">
        <f>IF(OR(ED145="",AND(ED145=ED144,ED145=ED146)),NA(), ED145)</f>
        <v>0</v>
      </c>
    </row>
    <row r="228" spans="5:134">
      <c r="E228">
        <f>IF(ISNA(F228),NA(),E146)</f>
        <v>0</v>
      </c>
      <c r="F228">
        <f>IF(OR(F146="",AND(F146=F145,F146=F147)),NA(), F146)</f>
        <v>0</v>
      </c>
      <c r="G228">
        <f>IF(ISNA(H228),NA(),G146)</f>
        <v>0</v>
      </c>
      <c r="H228">
        <f>IF(OR(H146="",AND(H146=H145,H146=H147)),NA(), H146)</f>
        <v>0</v>
      </c>
      <c r="I228">
        <f>IF(ISNA(J228),NA(),I146)</f>
        <v>0</v>
      </c>
      <c r="J228">
        <f>IF(OR(J146="",AND(J146=J145,J146=J147)),NA(), J146)</f>
        <v>0</v>
      </c>
      <c r="K228">
        <f>IF(ISNA(L228),NA(),K146)</f>
        <v>0</v>
      </c>
      <c r="L228">
        <f>IF(OR(L146="",AND(L146=L145,L146=L147)),NA(), L146)</f>
        <v>0</v>
      </c>
      <c r="M228">
        <f>IF(ISNA(N228),NA(),M146)</f>
        <v>0</v>
      </c>
      <c r="N228">
        <f>IF(OR(N146="",AND(N146=N145,N146=N147)),NA(), N146)</f>
        <v>0</v>
      </c>
      <c r="O228">
        <f>IF(ISNA(P228),NA(),O146)</f>
        <v>0</v>
      </c>
      <c r="P228">
        <f>IF(OR(P146="",AND(P146=P145,P146=P147)),NA(), P146)</f>
        <v>0</v>
      </c>
      <c r="Q228">
        <f>IF(ISNA(R228),NA(),Q146)</f>
        <v>0</v>
      </c>
      <c r="R228">
        <f>IF(OR(R146="",AND(R146=R145,R146=R147)),NA(), R146)</f>
        <v>0</v>
      </c>
      <c r="S228">
        <f>IF(ISNA(T228),NA(),S146)</f>
        <v>0</v>
      </c>
      <c r="T228">
        <f>IF(OR(T146="",AND(T146=T145,T146=T147)),NA(), T146)</f>
        <v>0</v>
      </c>
      <c r="U228">
        <f>IF(ISNA(V228),NA(),U146)</f>
        <v>0</v>
      </c>
      <c r="V228">
        <f>IF(OR(V146="",AND(V146=V145,V146=V147)),NA(), V146)</f>
        <v>0</v>
      </c>
      <c r="W228">
        <f>IF(ISNA(X228),NA(),W146)</f>
        <v>0</v>
      </c>
      <c r="X228">
        <f>IF(OR(X146="",AND(X146=X145,X146=X147)),NA(), X146)</f>
        <v>0</v>
      </c>
      <c r="Y228">
        <f>IF(ISNA(Z228),NA(),Y146)</f>
        <v>0</v>
      </c>
      <c r="Z228">
        <f>IF(OR(Z146="",AND(Z146=Z145,Z146=Z147)),NA(), Z146)</f>
        <v>0</v>
      </c>
      <c r="AA228">
        <f>IF(ISNA(AB228),NA(),AA146)</f>
        <v>0</v>
      </c>
      <c r="AB228">
        <f>IF(OR(AB146="",AND(AB146=AB145,AB146=AB147)),NA(), AB146)</f>
        <v>0</v>
      </c>
      <c r="AC228">
        <f>IF(ISNA(AD228),NA(),AC146)</f>
        <v>0</v>
      </c>
      <c r="AD228">
        <f>IF(OR(AD146="",AND(AD146=AD145,AD146=AD147)),NA(), AD146)</f>
        <v>0</v>
      </c>
      <c r="AE228">
        <f>IF(ISNA(AF228),NA(),AE146)</f>
        <v>0</v>
      </c>
      <c r="AF228">
        <f>IF(OR(AF146="",AND(AF146=AF145,AF146=AF147)),NA(), AF146)</f>
        <v>0</v>
      </c>
      <c r="AG228">
        <f>IF(ISNA(AH228),NA(),AG146)</f>
        <v>0</v>
      </c>
      <c r="AH228">
        <f>IF(OR(AH146="",AND(AH146=AH145,AH146=AH147)),NA(), AH146)</f>
        <v>0</v>
      </c>
      <c r="AI228">
        <f>IF(ISNA(AJ228),NA(),AI146)</f>
        <v>0</v>
      </c>
      <c r="AJ228">
        <f>IF(OR(AJ146="",AND(AJ146=AJ145,AJ146=AJ147)),NA(), AJ146)</f>
        <v>0</v>
      </c>
      <c r="AK228">
        <f>IF(ISNA(AL228),NA(),AK146)</f>
        <v>0</v>
      </c>
      <c r="AL228">
        <f>IF(OR(AL146="",AND(AL146=AL145,AL146=AL147)),NA(), AL146)</f>
        <v>0</v>
      </c>
      <c r="AM228">
        <f>IF(ISNA(AN228),NA(),AM146)</f>
        <v>0</v>
      </c>
      <c r="AN228">
        <f>IF(OR(AN146="",AND(AN146=AN145,AN146=AN147)),NA(), AN146)</f>
        <v>0</v>
      </c>
      <c r="AO228">
        <f>IF(ISNA(AP228),NA(),AO146)</f>
        <v>0</v>
      </c>
      <c r="AP228">
        <f>IF(OR(AP146="",AND(AP146=AP145,AP146=AP147)),NA(), AP146)</f>
        <v>0</v>
      </c>
      <c r="AQ228">
        <f>IF(ISNA(AR228),NA(),AQ146)</f>
        <v>0</v>
      </c>
      <c r="AR228">
        <f>IF(OR(AR146="",AND(AR146=AR145,AR146=AR147)),NA(), AR146)</f>
        <v>0</v>
      </c>
      <c r="AS228">
        <f>IF(ISNA(AT228),NA(),AS146)</f>
        <v>0</v>
      </c>
      <c r="AT228">
        <f>IF(OR(AT146="",AND(AT146=AT145,AT146=AT147)),NA(), AT146)</f>
        <v>0</v>
      </c>
      <c r="AU228">
        <f>IF(ISNA(AV228),NA(),AU146)</f>
        <v>0</v>
      </c>
      <c r="AV228">
        <f>IF(OR(AV146="",AND(AV146=AV145,AV146=AV147)),NA(), AV146)</f>
        <v>0</v>
      </c>
      <c r="AW228">
        <f>IF(ISNA(AX228),NA(),AW146)</f>
        <v>0</v>
      </c>
      <c r="AX228">
        <f>IF(OR(AX146="",AND(AX146=AX145,AX146=AX147)),NA(), AX146)</f>
        <v>0</v>
      </c>
      <c r="AY228">
        <f>IF(ISNA(AZ228),NA(),AY146)</f>
        <v>0</v>
      </c>
      <c r="AZ228">
        <f>IF(OR(AZ146="",AND(AZ146=AZ145,AZ146=AZ147)),NA(), AZ146)</f>
        <v>0</v>
      </c>
      <c r="BA228">
        <f>IF(ISNA(BB228),NA(),BA146)</f>
        <v>0</v>
      </c>
      <c r="BB228">
        <f>IF(OR(BB146="",AND(BB146=BB145,BB146=BB147)),NA(), BB146)</f>
        <v>0</v>
      </c>
      <c r="BC228">
        <f>IF(ISNA(BD228),NA(),BC146)</f>
        <v>0</v>
      </c>
      <c r="BD228">
        <f>IF(OR(BD146="",AND(BD146=BD145,BD146=BD147)),NA(), BD146)</f>
        <v>0</v>
      </c>
      <c r="BE228">
        <f>IF(ISNA(BF228),NA(),BE146)</f>
        <v>0</v>
      </c>
      <c r="BF228">
        <f>IF(OR(BF146="",AND(BF146=BF145,BF146=BF147)),NA(), BF146)</f>
        <v>0</v>
      </c>
      <c r="BG228">
        <f>IF(ISNA(BH228),NA(),BG146)</f>
        <v>0</v>
      </c>
      <c r="BH228">
        <f>IF(OR(BH146="",AND(BH146=BH145,BH146=BH147)),NA(), BH146)</f>
        <v>0</v>
      </c>
      <c r="BI228">
        <f>IF(ISNA(BJ228),NA(),BI146)</f>
        <v>0</v>
      </c>
      <c r="BJ228">
        <f>IF(OR(BJ146="",AND(BJ146=BJ145,BJ146=BJ147)),NA(), BJ146)</f>
        <v>0</v>
      </c>
      <c r="BK228">
        <f>IF(ISNA(BL228),NA(),BK146)</f>
        <v>0</v>
      </c>
      <c r="BL228">
        <f>IF(OR(BL146="",AND(BL146=BL145,BL146=BL147)),NA(), BL146)</f>
        <v>0</v>
      </c>
      <c r="BM228">
        <f>IF(ISNA(BN228),NA(),BM146)</f>
        <v>0</v>
      </c>
      <c r="BN228">
        <f>IF(OR(BN146="",AND(BN146=BN145,BN146=BN147)),NA(), BN146)</f>
        <v>0</v>
      </c>
      <c r="BO228">
        <f>IF(ISNA(BP228),NA(),BO146)</f>
        <v>0</v>
      </c>
      <c r="BP228">
        <f>IF(OR(BP146="",AND(BP146=BP145,BP146=BP147)),NA(), BP146)</f>
        <v>0</v>
      </c>
      <c r="BS228">
        <f>IF(ISNA(BT228),NA(),BS146)</f>
        <v>0</v>
      </c>
      <c r="BT228">
        <f>IF(OR(BT146="",AND(BT146=BT145,BT146=BT147)),NA(), BT146)</f>
        <v>0</v>
      </c>
      <c r="BU228">
        <f>IF(ISNA(BV228),NA(),BU146)</f>
        <v>0</v>
      </c>
      <c r="BV228">
        <f>IF(OR(BV146="",AND(BV146=BV145,BV146=BV147)),NA(), BV146)</f>
        <v>0</v>
      </c>
      <c r="BW228">
        <f>IF(ISNA(BX228),NA(),BW146)</f>
        <v>0</v>
      </c>
      <c r="BX228">
        <f>IF(OR(BX146="",AND(BX146=BX145,BX146=BX147)),NA(), BX146)</f>
        <v>0</v>
      </c>
      <c r="BY228">
        <f>IF(ISNA(BZ228),NA(),BY146)</f>
        <v>0</v>
      </c>
      <c r="BZ228">
        <f>IF(OR(BZ146="",AND(BZ146=BZ145,BZ146=BZ147)),NA(), BZ146)</f>
        <v>0</v>
      </c>
      <c r="CA228">
        <f>IF(ISNA(CB228),NA(),CA146)</f>
        <v>0</v>
      </c>
      <c r="CB228">
        <f>IF(OR(CB146="",AND(CB146=CB145,CB146=CB147)),NA(), CB146)</f>
        <v>0</v>
      </c>
      <c r="CC228">
        <f>IF(ISNA(CD228),NA(),CC146)</f>
        <v>0</v>
      </c>
      <c r="CD228">
        <f>IF(OR(CD146="",AND(CD146=CD145,CD146=CD147)),NA(), CD146)</f>
        <v>0</v>
      </c>
      <c r="CE228">
        <f>IF(ISNA(CF228),NA(),CE146)</f>
        <v>0</v>
      </c>
      <c r="CF228">
        <f>IF(OR(CF146="",AND(CF146=CF145,CF146=CF147)),NA(), CF146)</f>
        <v>0</v>
      </c>
      <c r="CG228">
        <f>IF(ISNA(CH228),NA(),CG146)</f>
        <v>0</v>
      </c>
      <c r="CH228">
        <f>IF(OR(CH146="",AND(CH146=CH145,CH146=CH147)),NA(), CH146)</f>
        <v>0</v>
      </c>
      <c r="CI228">
        <f>IF(ISNA(CJ228),NA(),CI146)</f>
        <v>0</v>
      </c>
      <c r="CJ228">
        <f>IF(OR(CJ146="",AND(CJ146=CJ145,CJ146=CJ147)),NA(), CJ146)</f>
        <v>0</v>
      </c>
      <c r="CK228">
        <f>IF(ISNA(CL228),NA(),CK146)</f>
        <v>0</v>
      </c>
      <c r="CL228">
        <f>IF(OR(CL146="",AND(CL146=CL145,CL146=CL147)),NA(), CL146)</f>
        <v>0</v>
      </c>
      <c r="CM228">
        <f>IF(ISNA(CN228),NA(),CM146)</f>
        <v>0</v>
      </c>
      <c r="CN228">
        <f>IF(OR(CN146="",AND(CN146=CN145,CN146=CN147)),NA(), CN146)</f>
        <v>0</v>
      </c>
      <c r="CO228">
        <f>IF(ISNA(CP228),NA(),CO146)</f>
        <v>0</v>
      </c>
      <c r="CP228">
        <f>IF(OR(CP146="",AND(CP146=CP145,CP146=CP147)),NA(), CP146)</f>
        <v>0</v>
      </c>
      <c r="CQ228">
        <f>IF(ISNA(CR228),NA(),CQ146)</f>
        <v>0</v>
      </c>
      <c r="CR228">
        <f>IF(OR(CR146="",AND(CR146=CR145,CR146=CR147)),NA(), CR146)</f>
        <v>0</v>
      </c>
      <c r="CS228">
        <f>IF(ISNA(CT228),NA(),CS146)</f>
        <v>0</v>
      </c>
      <c r="CT228">
        <f>IF(OR(CT146="",AND(CT146=CT145,CT146=CT147)),NA(), CT146)</f>
        <v>0</v>
      </c>
      <c r="CU228">
        <f>IF(ISNA(CV228),NA(),CU146)</f>
        <v>0</v>
      </c>
      <c r="CV228">
        <f>IF(OR(CV146="",AND(CV146=CV145,CV146=CV147)),NA(), CV146)</f>
        <v>0</v>
      </c>
      <c r="CW228">
        <f>IF(ISNA(CX228),NA(),CW146)</f>
        <v>0</v>
      </c>
      <c r="CX228">
        <f>IF(OR(CX146="",AND(CX146=CX145,CX146=CX147)),NA(), CX146)</f>
        <v>0</v>
      </c>
      <c r="CY228">
        <f>IF(ISNA(CZ228),NA(),CY146)</f>
        <v>0</v>
      </c>
      <c r="CZ228">
        <f>IF(OR(CZ146="",AND(CZ146=CZ145,CZ146=CZ147)),NA(), CZ146)</f>
        <v>0</v>
      </c>
      <c r="DA228">
        <f>IF(ISNA(DB228),NA(),DA146)</f>
        <v>0</v>
      </c>
      <c r="DB228">
        <f>IF(OR(DB146="",AND(DB146=DB145,DB146=DB147)),NA(), DB146)</f>
        <v>0</v>
      </c>
      <c r="DC228">
        <f>IF(ISNA(DD228),NA(),DC146)</f>
        <v>0</v>
      </c>
      <c r="DD228">
        <f>IF(OR(DD146="",AND(DD146=DD145,DD146=DD147)),NA(), DD146)</f>
        <v>0</v>
      </c>
      <c r="DE228">
        <f>IF(ISNA(DF228),NA(),DE146)</f>
        <v>0</v>
      </c>
      <c r="DF228">
        <f>IF(OR(DF146="",AND(DF146=DF145,DF146=DF147)),NA(), DF146)</f>
        <v>0</v>
      </c>
      <c r="DG228">
        <f>IF(ISNA(DH228),NA(),DG146)</f>
        <v>0</v>
      </c>
      <c r="DH228">
        <f>IF(OR(DH146="",AND(DH146=DH145,DH146=DH147)),NA(), DH146)</f>
        <v>0</v>
      </c>
      <c r="DI228">
        <f>IF(ISNA(DJ228),NA(),DI146)</f>
        <v>0</v>
      </c>
      <c r="DJ228">
        <f>IF(OR(DJ146="",AND(DJ146=DJ145,DJ146=DJ147)),NA(), DJ146)</f>
        <v>0</v>
      </c>
      <c r="DK228">
        <f>IF(ISNA(DL228),NA(),DK146)</f>
        <v>0</v>
      </c>
      <c r="DL228">
        <f>IF(OR(DL146="",AND(DL146=DL145,DL146=DL147)),NA(), DL146)</f>
        <v>0</v>
      </c>
      <c r="DM228">
        <f>IF(ISNA(DN228),NA(),DM146)</f>
        <v>0</v>
      </c>
      <c r="DN228">
        <f>IF(OR(DN146="",AND(DN146=DN145,DN146=DN147)),NA(), DN146)</f>
        <v>0</v>
      </c>
      <c r="DO228">
        <f>IF(ISNA(DP228),NA(),DO146)</f>
        <v>0</v>
      </c>
      <c r="DP228">
        <f>IF(OR(DP146="",AND(DP146=DP145,DP146=DP147)),NA(), DP146)</f>
        <v>0</v>
      </c>
      <c r="DQ228">
        <f>IF(ISNA(DR228),NA(),DQ146)</f>
        <v>0</v>
      </c>
      <c r="DR228">
        <f>IF(OR(DR146="",AND(DR146=DR145,DR146=DR147)),NA(), DR146)</f>
        <v>0</v>
      </c>
      <c r="DS228">
        <f>IF(ISNA(DT228),NA(),DS146)</f>
        <v>0</v>
      </c>
      <c r="DT228">
        <f>IF(OR(DT146="",AND(DT146=DT145,DT146=DT147)),NA(), DT146)</f>
        <v>0</v>
      </c>
      <c r="DU228">
        <f>IF(ISNA(DV228),NA(),DU146)</f>
        <v>0</v>
      </c>
      <c r="DV228">
        <f>IF(OR(DV146="",AND(DV146=DV145,DV146=DV147)),NA(), DV146)</f>
        <v>0</v>
      </c>
      <c r="DW228">
        <f>IF(ISNA(DX228),NA(),DW146)</f>
        <v>0</v>
      </c>
      <c r="DX228">
        <f>IF(OR(DX146="",AND(DX146=DX145,DX146=DX147)),NA(), DX146)</f>
        <v>0</v>
      </c>
      <c r="DY228">
        <f>IF(ISNA(DZ228),NA(),DY146)</f>
        <v>0</v>
      </c>
      <c r="DZ228">
        <f>IF(OR(DZ146="",AND(DZ146=DZ145,DZ146=DZ147)),NA(), DZ146)</f>
        <v>0</v>
      </c>
      <c r="EA228">
        <f>IF(ISNA(EB228),NA(),EA146)</f>
        <v>0</v>
      </c>
      <c r="EB228">
        <f>IF(OR(EB146="",AND(EB146=EB145,EB146=EB147)),NA(), EB146)</f>
        <v>0</v>
      </c>
      <c r="EC228">
        <f>IF(ISNA(ED228),NA(),EC146)</f>
        <v>0</v>
      </c>
      <c r="ED228">
        <f>IF(OR(ED146="",AND(ED146=ED145,ED146=ED147)),NA(), ED146)</f>
        <v>0</v>
      </c>
    </row>
    <row r="229" spans="5:134">
      <c r="E229">
        <f>IF(ISNA(F229),NA(),E147)</f>
        <v>0</v>
      </c>
      <c r="F229">
        <f>IF(OR(F147="",AND(F147=F146,F147=F148)),NA(), F147)</f>
        <v>0</v>
      </c>
      <c r="G229">
        <f>IF(ISNA(H229),NA(),G147)</f>
        <v>0</v>
      </c>
      <c r="H229">
        <f>IF(OR(H147="",AND(H147=H146,H147=H148)),NA(), H147)</f>
        <v>0</v>
      </c>
      <c r="I229">
        <f>IF(ISNA(J229),NA(),I147)</f>
        <v>0</v>
      </c>
      <c r="J229">
        <f>IF(OR(J147="",AND(J147=J146,J147=J148)),NA(), J147)</f>
        <v>0</v>
      </c>
      <c r="K229">
        <f>IF(ISNA(L229),NA(),K147)</f>
        <v>0</v>
      </c>
      <c r="L229">
        <f>IF(OR(L147="",AND(L147=L146,L147=L148)),NA(), L147)</f>
        <v>0</v>
      </c>
      <c r="M229">
        <f>IF(ISNA(N229),NA(),M147)</f>
        <v>0</v>
      </c>
      <c r="N229">
        <f>IF(OR(N147="",AND(N147=N146,N147=N148)),NA(), N147)</f>
        <v>0</v>
      </c>
      <c r="O229">
        <f>IF(ISNA(P229),NA(),O147)</f>
        <v>0</v>
      </c>
      <c r="P229">
        <f>IF(OR(P147="",AND(P147=P146,P147=P148)),NA(), P147)</f>
        <v>0</v>
      </c>
      <c r="Q229">
        <f>IF(ISNA(R229),NA(),Q147)</f>
        <v>0</v>
      </c>
      <c r="R229">
        <f>IF(OR(R147="",AND(R147=R146,R147=R148)),NA(), R147)</f>
        <v>0</v>
      </c>
      <c r="S229">
        <f>IF(ISNA(T229),NA(),S147)</f>
        <v>0</v>
      </c>
      <c r="T229">
        <f>IF(OR(T147="",AND(T147=T146,T147=T148)),NA(), T147)</f>
        <v>0</v>
      </c>
      <c r="U229">
        <f>IF(ISNA(V229),NA(),U147)</f>
        <v>0</v>
      </c>
      <c r="V229">
        <f>IF(OR(V147="",AND(V147=V146,V147=V148)),NA(), V147)</f>
        <v>0</v>
      </c>
      <c r="W229">
        <f>IF(ISNA(X229),NA(),W147)</f>
        <v>0</v>
      </c>
      <c r="X229">
        <f>IF(OR(X147="",AND(X147=X146,X147=X148)),NA(), X147)</f>
        <v>0</v>
      </c>
      <c r="Y229">
        <f>IF(ISNA(Z229),NA(),Y147)</f>
        <v>0</v>
      </c>
      <c r="Z229">
        <f>IF(OR(Z147="",AND(Z147=Z146,Z147=Z148)),NA(), Z147)</f>
        <v>0</v>
      </c>
      <c r="AA229">
        <f>IF(ISNA(AB229),NA(),AA147)</f>
        <v>0</v>
      </c>
      <c r="AB229">
        <f>IF(OR(AB147="",AND(AB147=AB146,AB147=AB148)),NA(), AB147)</f>
        <v>0</v>
      </c>
      <c r="AC229">
        <f>IF(ISNA(AD229),NA(),AC147)</f>
        <v>0</v>
      </c>
      <c r="AD229">
        <f>IF(OR(AD147="",AND(AD147=AD146,AD147=AD148)),NA(), AD147)</f>
        <v>0</v>
      </c>
      <c r="AE229">
        <f>IF(ISNA(AF229),NA(),AE147)</f>
        <v>0</v>
      </c>
      <c r="AF229">
        <f>IF(OR(AF147="",AND(AF147=AF146,AF147=AF148)),NA(), AF147)</f>
        <v>0</v>
      </c>
      <c r="AG229">
        <f>IF(ISNA(AH229),NA(),AG147)</f>
        <v>0</v>
      </c>
      <c r="AH229">
        <f>IF(OR(AH147="",AND(AH147=AH146,AH147=AH148)),NA(), AH147)</f>
        <v>0</v>
      </c>
      <c r="AI229">
        <f>IF(ISNA(AJ229),NA(),AI147)</f>
        <v>0</v>
      </c>
      <c r="AJ229">
        <f>IF(OR(AJ147="",AND(AJ147=AJ146,AJ147=AJ148)),NA(), AJ147)</f>
        <v>0</v>
      </c>
      <c r="AK229">
        <f>IF(ISNA(AL229),NA(),AK147)</f>
        <v>0</v>
      </c>
      <c r="AL229">
        <f>IF(OR(AL147="",AND(AL147=AL146,AL147=AL148)),NA(), AL147)</f>
        <v>0</v>
      </c>
      <c r="AM229">
        <f>IF(ISNA(AN229),NA(),AM147)</f>
        <v>0</v>
      </c>
      <c r="AN229">
        <f>IF(OR(AN147="",AND(AN147=AN146,AN147=AN148)),NA(), AN147)</f>
        <v>0</v>
      </c>
      <c r="AO229">
        <f>IF(ISNA(AP229),NA(),AO147)</f>
        <v>0</v>
      </c>
      <c r="AP229">
        <f>IF(OR(AP147="",AND(AP147=AP146,AP147=AP148)),NA(), AP147)</f>
        <v>0</v>
      </c>
      <c r="AQ229">
        <f>IF(ISNA(AR229),NA(),AQ147)</f>
        <v>0</v>
      </c>
      <c r="AR229">
        <f>IF(OR(AR147="",AND(AR147=AR146,AR147=AR148)),NA(), AR147)</f>
        <v>0</v>
      </c>
      <c r="AS229">
        <f>IF(ISNA(AT229),NA(),AS147)</f>
        <v>0</v>
      </c>
      <c r="AT229">
        <f>IF(OR(AT147="",AND(AT147=AT146,AT147=AT148)),NA(), AT147)</f>
        <v>0</v>
      </c>
      <c r="AU229">
        <f>IF(ISNA(AV229),NA(),AU147)</f>
        <v>0</v>
      </c>
      <c r="AV229">
        <f>IF(OR(AV147="",AND(AV147=AV146,AV147=AV148)),NA(), AV147)</f>
        <v>0</v>
      </c>
      <c r="AW229">
        <f>IF(ISNA(AX229),NA(),AW147)</f>
        <v>0</v>
      </c>
      <c r="AX229">
        <f>IF(OR(AX147="",AND(AX147=AX146,AX147=AX148)),NA(), AX147)</f>
        <v>0</v>
      </c>
      <c r="AY229">
        <f>IF(ISNA(AZ229),NA(),AY147)</f>
        <v>0</v>
      </c>
      <c r="AZ229">
        <f>IF(OR(AZ147="",AND(AZ147=AZ146,AZ147=AZ148)),NA(), AZ147)</f>
        <v>0</v>
      </c>
      <c r="BA229">
        <f>IF(ISNA(BB229),NA(),BA147)</f>
        <v>0</v>
      </c>
      <c r="BB229">
        <f>IF(OR(BB147="",AND(BB147=BB146,BB147=BB148)),NA(), BB147)</f>
        <v>0</v>
      </c>
      <c r="BC229">
        <f>IF(ISNA(BD229),NA(),BC147)</f>
        <v>0</v>
      </c>
      <c r="BD229">
        <f>IF(OR(BD147="",AND(BD147=BD146,BD147=BD148)),NA(), BD147)</f>
        <v>0</v>
      </c>
      <c r="BE229">
        <f>IF(ISNA(BF229),NA(),BE147)</f>
        <v>0</v>
      </c>
      <c r="BF229">
        <f>IF(OR(BF147="",AND(BF147=BF146,BF147=BF148)),NA(), BF147)</f>
        <v>0</v>
      </c>
      <c r="BG229">
        <f>IF(ISNA(BH229),NA(),BG147)</f>
        <v>0</v>
      </c>
      <c r="BH229">
        <f>IF(OR(BH147="",AND(BH147=BH146,BH147=BH148)),NA(), BH147)</f>
        <v>0</v>
      </c>
      <c r="BI229">
        <f>IF(ISNA(BJ229),NA(),BI147)</f>
        <v>0</v>
      </c>
      <c r="BJ229">
        <f>IF(OR(BJ147="",AND(BJ147=BJ146,BJ147=BJ148)),NA(), BJ147)</f>
        <v>0</v>
      </c>
      <c r="BK229">
        <f>IF(ISNA(BL229),NA(),BK147)</f>
        <v>0</v>
      </c>
      <c r="BL229">
        <f>IF(OR(BL147="",AND(BL147=BL146,BL147=BL148)),NA(), BL147)</f>
        <v>0</v>
      </c>
      <c r="BM229">
        <f>IF(ISNA(BN229),NA(),BM147)</f>
        <v>0</v>
      </c>
      <c r="BN229">
        <f>IF(OR(BN147="",AND(BN147=BN146,BN147=BN148)),NA(), BN147)</f>
        <v>0</v>
      </c>
      <c r="BO229">
        <f>IF(ISNA(BP229),NA(),BO147)</f>
        <v>0</v>
      </c>
      <c r="BP229">
        <f>IF(OR(BP147="",AND(BP147=BP146,BP147=BP148)),NA(), BP147)</f>
        <v>0</v>
      </c>
      <c r="BS229">
        <f>IF(ISNA(BT229),NA(),BS147)</f>
        <v>0</v>
      </c>
      <c r="BT229">
        <f>IF(OR(BT147="",AND(BT147=BT146,BT147=BT148)),NA(), BT147)</f>
        <v>0</v>
      </c>
      <c r="BU229">
        <f>IF(ISNA(BV229),NA(),BU147)</f>
        <v>0</v>
      </c>
      <c r="BV229">
        <f>IF(OR(BV147="",AND(BV147=BV146,BV147=BV148)),NA(), BV147)</f>
        <v>0</v>
      </c>
      <c r="BW229">
        <f>IF(ISNA(BX229),NA(),BW147)</f>
        <v>0</v>
      </c>
      <c r="BX229">
        <f>IF(OR(BX147="",AND(BX147=BX146,BX147=BX148)),NA(), BX147)</f>
        <v>0</v>
      </c>
      <c r="BY229">
        <f>IF(ISNA(BZ229),NA(),BY147)</f>
        <v>0</v>
      </c>
      <c r="BZ229">
        <f>IF(OR(BZ147="",AND(BZ147=BZ146,BZ147=BZ148)),NA(), BZ147)</f>
        <v>0</v>
      </c>
      <c r="CA229">
        <f>IF(ISNA(CB229),NA(),CA147)</f>
        <v>0</v>
      </c>
      <c r="CB229">
        <f>IF(OR(CB147="",AND(CB147=CB146,CB147=CB148)),NA(), CB147)</f>
        <v>0</v>
      </c>
      <c r="CC229">
        <f>IF(ISNA(CD229),NA(),CC147)</f>
        <v>0</v>
      </c>
      <c r="CD229">
        <f>IF(OR(CD147="",AND(CD147=CD146,CD147=CD148)),NA(), CD147)</f>
        <v>0</v>
      </c>
      <c r="CE229">
        <f>IF(ISNA(CF229),NA(),CE147)</f>
        <v>0</v>
      </c>
      <c r="CF229">
        <f>IF(OR(CF147="",AND(CF147=CF146,CF147=CF148)),NA(), CF147)</f>
        <v>0</v>
      </c>
      <c r="CG229">
        <f>IF(ISNA(CH229),NA(),CG147)</f>
        <v>0</v>
      </c>
      <c r="CH229">
        <f>IF(OR(CH147="",AND(CH147=CH146,CH147=CH148)),NA(), CH147)</f>
        <v>0</v>
      </c>
      <c r="CI229">
        <f>IF(ISNA(CJ229),NA(),CI147)</f>
        <v>0</v>
      </c>
      <c r="CJ229">
        <f>IF(OR(CJ147="",AND(CJ147=CJ146,CJ147=CJ148)),NA(), CJ147)</f>
        <v>0</v>
      </c>
      <c r="CK229">
        <f>IF(ISNA(CL229),NA(),CK147)</f>
        <v>0</v>
      </c>
      <c r="CL229">
        <f>IF(OR(CL147="",AND(CL147=CL146,CL147=CL148)),NA(), CL147)</f>
        <v>0</v>
      </c>
      <c r="CM229">
        <f>IF(ISNA(CN229),NA(),CM147)</f>
        <v>0</v>
      </c>
      <c r="CN229">
        <f>IF(OR(CN147="",AND(CN147=CN146,CN147=CN148)),NA(), CN147)</f>
        <v>0</v>
      </c>
      <c r="CO229">
        <f>IF(ISNA(CP229),NA(),CO147)</f>
        <v>0</v>
      </c>
      <c r="CP229">
        <f>IF(OR(CP147="",AND(CP147=CP146,CP147=CP148)),NA(), CP147)</f>
        <v>0</v>
      </c>
      <c r="CQ229">
        <f>IF(ISNA(CR229),NA(),CQ147)</f>
        <v>0</v>
      </c>
      <c r="CR229">
        <f>IF(OR(CR147="",AND(CR147=CR146,CR147=CR148)),NA(), CR147)</f>
        <v>0</v>
      </c>
      <c r="CS229">
        <f>IF(ISNA(CT229),NA(),CS147)</f>
        <v>0</v>
      </c>
      <c r="CT229">
        <f>IF(OR(CT147="",AND(CT147=CT146,CT147=CT148)),NA(), CT147)</f>
        <v>0</v>
      </c>
      <c r="CU229">
        <f>IF(ISNA(CV229),NA(),CU147)</f>
        <v>0</v>
      </c>
      <c r="CV229">
        <f>IF(OR(CV147="",AND(CV147=CV146,CV147=CV148)),NA(), CV147)</f>
        <v>0</v>
      </c>
      <c r="CW229">
        <f>IF(ISNA(CX229),NA(),CW147)</f>
        <v>0</v>
      </c>
      <c r="CX229">
        <f>IF(OR(CX147="",AND(CX147=CX146,CX147=CX148)),NA(), CX147)</f>
        <v>0</v>
      </c>
      <c r="CY229">
        <f>IF(ISNA(CZ229),NA(),CY147)</f>
        <v>0</v>
      </c>
      <c r="CZ229">
        <f>IF(OR(CZ147="",AND(CZ147=CZ146,CZ147=CZ148)),NA(), CZ147)</f>
        <v>0</v>
      </c>
      <c r="DA229">
        <f>IF(ISNA(DB229),NA(),DA147)</f>
        <v>0</v>
      </c>
      <c r="DB229">
        <f>IF(OR(DB147="",AND(DB147=DB146,DB147=DB148)),NA(), DB147)</f>
        <v>0</v>
      </c>
      <c r="DC229">
        <f>IF(ISNA(DD229),NA(),DC147)</f>
        <v>0</v>
      </c>
      <c r="DD229">
        <f>IF(OR(DD147="",AND(DD147=DD146,DD147=DD148)),NA(), DD147)</f>
        <v>0</v>
      </c>
      <c r="DE229">
        <f>IF(ISNA(DF229),NA(),DE147)</f>
        <v>0</v>
      </c>
      <c r="DF229">
        <f>IF(OR(DF147="",AND(DF147=DF146,DF147=DF148)),NA(), DF147)</f>
        <v>0</v>
      </c>
      <c r="DG229">
        <f>IF(ISNA(DH229),NA(),DG147)</f>
        <v>0</v>
      </c>
      <c r="DH229">
        <f>IF(OR(DH147="",AND(DH147=DH146,DH147=DH148)),NA(), DH147)</f>
        <v>0</v>
      </c>
      <c r="DI229">
        <f>IF(ISNA(DJ229),NA(),DI147)</f>
        <v>0</v>
      </c>
      <c r="DJ229">
        <f>IF(OR(DJ147="",AND(DJ147=DJ146,DJ147=DJ148)),NA(), DJ147)</f>
        <v>0</v>
      </c>
      <c r="DK229">
        <f>IF(ISNA(DL229),NA(),DK147)</f>
        <v>0</v>
      </c>
      <c r="DL229">
        <f>IF(OR(DL147="",AND(DL147=DL146,DL147=DL148)),NA(), DL147)</f>
        <v>0</v>
      </c>
      <c r="DM229">
        <f>IF(ISNA(DN229),NA(),DM147)</f>
        <v>0</v>
      </c>
      <c r="DN229">
        <f>IF(OR(DN147="",AND(DN147=DN146,DN147=DN148)),NA(), DN147)</f>
        <v>0</v>
      </c>
      <c r="DO229">
        <f>IF(ISNA(DP229),NA(),DO147)</f>
        <v>0</v>
      </c>
      <c r="DP229">
        <f>IF(OR(DP147="",AND(DP147=DP146,DP147=DP148)),NA(), DP147)</f>
        <v>0</v>
      </c>
      <c r="DQ229">
        <f>IF(ISNA(DR229),NA(),DQ147)</f>
        <v>0</v>
      </c>
      <c r="DR229">
        <f>IF(OR(DR147="",AND(DR147=DR146,DR147=DR148)),NA(), DR147)</f>
        <v>0</v>
      </c>
      <c r="DS229">
        <f>IF(ISNA(DT229),NA(),DS147)</f>
        <v>0</v>
      </c>
      <c r="DT229">
        <f>IF(OR(DT147="",AND(DT147=DT146,DT147=DT148)),NA(), DT147)</f>
        <v>0</v>
      </c>
      <c r="DU229">
        <f>IF(ISNA(DV229),NA(),DU147)</f>
        <v>0</v>
      </c>
      <c r="DV229">
        <f>IF(OR(DV147="",AND(DV147=DV146,DV147=DV148)),NA(), DV147)</f>
        <v>0</v>
      </c>
      <c r="DW229">
        <f>IF(ISNA(DX229),NA(),DW147)</f>
        <v>0</v>
      </c>
      <c r="DX229">
        <f>IF(OR(DX147="",AND(DX147=DX146,DX147=DX148)),NA(), DX147)</f>
        <v>0</v>
      </c>
      <c r="DY229">
        <f>IF(ISNA(DZ229),NA(),DY147)</f>
        <v>0</v>
      </c>
      <c r="DZ229">
        <f>IF(OR(DZ147="",AND(DZ147=DZ146,DZ147=DZ148)),NA(), DZ147)</f>
        <v>0</v>
      </c>
      <c r="EA229">
        <f>IF(ISNA(EB229),NA(),EA147)</f>
        <v>0</v>
      </c>
      <c r="EB229">
        <f>IF(OR(EB147="",AND(EB147=EB146,EB147=EB148)),NA(), EB147)</f>
        <v>0</v>
      </c>
      <c r="EC229">
        <f>IF(ISNA(ED229),NA(),EC147)</f>
        <v>0</v>
      </c>
      <c r="ED229">
        <f>IF(OR(ED147="",AND(ED147=ED146,ED147=ED148)),NA(), ED147)</f>
        <v>0</v>
      </c>
    </row>
    <row r="230" spans="5:134">
      <c r="E230">
        <f>IF(ISNA(F230),NA(),E148)</f>
        <v>0</v>
      </c>
      <c r="F230">
        <f>IF(OR(F148="",AND(F148=F147,F148=F149)),NA(), F148)</f>
        <v>0</v>
      </c>
      <c r="G230">
        <f>IF(ISNA(H230),NA(),G148)</f>
        <v>0</v>
      </c>
      <c r="H230">
        <f>IF(OR(H148="",AND(H148=H147,H148=H149)),NA(), H148)</f>
        <v>0</v>
      </c>
      <c r="I230">
        <f>IF(ISNA(J230),NA(),I148)</f>
        <v>0</v>
      </c>
      <c r="J230">
        <f>IF(OR(J148="",AND(J148=J147,J148=J149)),NA(), J148)</f>
        <v>0</v>
      </c>
      <c r="K230">
        <f>IF(ISNA(L230),NA(),K148)</f>
        <v>0</v>
      </c>
      <c r="L230">
        <f>IF(OR(L148="",AND(L148=L147,L148=L149)),NA(), L148)</f>
        <v>0</v>
      </c>
      <c r="M230">
        <f>IF(ISNA(N230),NA(),M148)</f>
        <v>0</v>
      </c>
      <c r="N230">
        <f>IF(OR(N148="",AND(N148=N147,N148=N149)),NA(), N148)</f>
        <v>0</v>
      </c>
      <c r="O230">
        <f>IF(ISNA(P230),NA(),O148)</f>
        <v>0</v>
      </c>
      <c r="P230">
        <f>IF(OR(P148="",AND(P148=P147,P148=P149)),NA(), P148)</f>
        <v>0</v>
      </c>
      <c r="Q230">
        <f>IF(ISNA(R230),NA(),Q148)</f>
        <v>0</v>
      </c>
      <c r="R230">
        <f>IF(OR(R148="",AND(R148=R147,R148=R149)),NA(), R148)</f>
        <v>0</v>
      </c>
      <c r="S230">
        <f>IF(ISNA(T230),NA(),S148)</f>
        <v>0</v>
      </c>
      <c r="T230">
        <f>IF(OR(T148="",AND(T148=T147,T148=T149)),NA(), T148)</f>
        <v>0</v>
      </c>
      <c r="U230">
        <f>IF(ISNA(V230),NA(),U148)</f>
        <v>0</v>
      </c>
      <c r="V230">
        <f>IF(OR(V148="",AND(V148=V147,V148=V149)),NA(), V148)</f>
        <v>0</v>
      </c>
      <c r="W230">
        <f>IF(ISNA(X230),NA(),W148)</f>
        <v>0</v>
      </c>
      <c r="X230">
        <f>IF(OR(X148="",AND(X148=X147,X148=X149)),NA(), X148)</f>
        <v>0</v>
      </c>
      <c r="Y230">
        <f>IF(ISNA(Z230),NA(),Y148)</f>
        <v>0</v>
      </c>
      <c r="Z230">
        <f>IF(OR(Z148="",AND(Z148=Z147,Z148=Z149)),NA(), Z148)</f>
        <v>0</v>
      </c>
      <c r="AA230">
        <f>IF(ISNA(AB230),NA(),AA148)</f>
        <v>0</v>
      </c>
      <c r="AB230">
        <f>IF(OR(AB148="",AND(AB148=AB147,AB148=AB149)),NA(), AB148)</f>
        <v>0</v>
      </c>
      <c r="AC230">
        <f>IF(ISNA(AD230),NA(),AC148)</f>
        <v>0</v>
      </c>
      <c r="AD230">
        <f>IF(OR(AD148="",AND(AD148=AD147,AD148=AD149)),NA(), AD148)</f>
        <v>0</v>
      </c>
      <c r="AE230">
        <f>IF(ISNA(AF230),NA(),AE148)</f>
        <v>0</v>
      </c>
      <c r="AF230">
        <f>IF(OR(AF148="",AND(AF148=AF147,AF148=AF149)),NA(), AF148)</f>
        <v>0</v>
      </c>
      <c r="AG230">
        <f>IF(ISNA(AH230),NA(),AG148)</f>
        <v>0</v>
      </c>
      <c r="AH230">
        <f>IF(OR(AH148="",AND(AH148=AH147,AH148=AH149)),NA(), AH148)</f>
        <v>0</v>
      </c>
      <c r="AI230">
        <f>IF(ISNA(AJ230),NA(),AI148)</f>
        <v>0</v>
      </c>
      <c r="AJ230">
        <f>IF(OR(AJ148="",AND(AJ148=AJ147,AJ148=AJ149)),NA(), AJ148)</f>
        <v>0</v>
      </c>
      <c r="AK230">
        <f>IF(ISNA(AL230),NA(),AK148)</f>
        <v>0</v>
      </c>
      <c r="AL230">
        <f>IF(OR(AL148="",AND(AL148=AL147,AL148=AL149)),NA(), AL148)</f>
        <v>0</v>
      </c>
      <c r="AM230">
        <f>IF(ISNA(AN230),NA(),AM148)</f>
        <v>0</v>
      </c>
      <c r="AN230">
        <f>IF(OR(AN148="",AND(AN148=AN147,AN148=AN149)),NA(), AN148)</f>
        <v>0</v>
      </c>
      <c r="AO230">
        <f>IF(ISNA(AP230),NA(),AO148)</f>
        <v>0</v>
      </c>
      <c r="AP230">
        <f>IF(OR(AP148="",AND(AP148=AP147,AP148=AP149)),NA(), AP148)</f>
        <v>0</v>
      </c>
      <c r="AQ230">
        <f>IF(ISNA(AR230),NA(),AQ148)</f>
        <v>0</v>
      </c>
      <c r="AR230">
        <f>IF(OR(AR148="",AND(AR148=AR147,AR148=AR149)),NA(), AR148)</f>
        <v>0</v>
      </c>
      <c r="AS230">
        <f>IF(ISNA(AT230),NA(),AS148)</f>
        <v>0</v>
      </c>
      <c r="AT230">
        <f>IF(OR(AT148="",AND(AT148=AT147,AT148=AT149)),NA(), AT148)</f>
        <v>0</v>
      </c>
      <c r="AU230">
        <f>IF(ISNA(AV230),NA(),AU148)</f>
        <v>0</v>
      </c>
      <c r="AV230">
        <f>IF(OR(AV148="",AND(AV148=AV147,AV148=AV149)),NA(), AV148)</f>
        <v>0</v>
      </c>
      <c r="AW230">
        <f>IF(ISNA(AX230),NA(),AW148)</f>
        <v>0</v>
      </c>
      <c r="AX230">
        <f>IF(OR(AX148="",AND(AX148=AX147,AX148=AX149)),NA(), AX148)</f>
        <v>0</v>
      </c>
      <c r="AY230">
        <f>IF(ISNA(AZ230),NA(),AY148)</f>
        <v>0</v>
      </c>
      <c r="AZ230">
        <f>IF(OR(AZ148="",AND(AZ148=AZ147,AZ148=AZ149)),NA(), AZ148)</f>
        <v>0</v>
      </c>
      <c r="BA230">
        <f>IF(ISNA(BB230),NA(),BA148)</f>
        <v>0</v>
      </c>
      <c r="BB230">
        <f>IF(OR(BB148="",AND(BB148=BB147,BB148=BB149)),NA(), BB148)</f>
        <v>0</v>
      </c>
      <c r="BC230">
        <f>IF(ISNA(BD230),NA(),BC148)</f>
        <v>0</v>
      </c>
      <c r="BD230">
        <f>IF(OR(BD148="",AND(BD148=BD147,BD148=BD149)),NA(), BD148)</f>
        <v>0</v>
      </c>
      <c r="BE230">
        <f>IF(ISNA(BF230),NA(),BE148)</f>
        <v>0</v>
      </c>
      <c r="BF230">
        <f>IF(OR(BF148="",AND(BF148=BF147,BF148=BF149)),NA(), BF148)</f>
        <v>0</v>
      </c>
      <c r="BG230">
        <f>IF(ISNA(BH230),NA(),BG148)</f>
        <v>0</v>
      </c>
      <c r="BH230">
        <f>IF(OR(BH148="",AND(BH148=BH147,BH148=BH149)),NA(), BH148)</f>
        <v>0</v>
      </c>
      <c r="BI230">
        <f>IF(ISNA(BJ230),NA(),BI148)</f>
        <v>0</v>
      </c>
      <c r="BJ230">
        <f>IF(OR(BJ148="",AND(BJ148=BJ147,BJ148=BJ149)),NA(), BJ148)</f>
        <v>0</v>
      </c>
      <c r="BK230">
        <f>IF(ISNA(BL230),NA(),BK148)</f>
        <v>0</v>
      </c>
      <c r="BL230">
        <f>IF(OR(BL148="",AND(BL148=BL147,BL148=BL149)),NA(), BL148)</f>
        <v>0</v>
      </c>
      <c r="BM230">
        <f>IF(ISNA(BN230),NA(),BM148)</f>
        <v>0</v>
      </c>
      <c r="BN230">
        <f>IF(OR(BN148="",AND(BN148=BN147,BN148=BN149)),NA(), BN148)</f>
        <v>0</v>
      </c>
      <c r="BO230">
        <f>IF(ISNA(BP230),NA(),BO148)</f>
        <v>0</v>
      </c>
      <c r="BP230">
        <f>IF(OR(BP148="",AND(BP148=BP147,BP148=BP149)),NA(), BP148)</f>
        <v>0</v>
      </c>
      <c r="BS230">
        <f>IF(ISNA(BT230),NA(),BS148)</f>
        <v>0</v>
      </c>
      <c r="BT230">
        <f>IF(OR(BT148="",AND(BT148=BT147,BT148=BT149)),NA(), BT148)</f>
        <v>0</v>
      </c>
      <c r="BU230">
        <f>IF(ISNA(BV230),NA(),BU148)</f>
        <v>0</v>
      </c>
      <c r="BV230">
        <f>IF(OR(BV148="",AND(BV148=BV147,BV148=BV149)),NA(), BV148)</f>
        <v>0</v>
      </c>
      <c r="BW230">
        <f>IF(ISNA(BX230),NA(),BW148)</f>
        <v>0</v>
      </c>
      <c r="BX230">
        <f>IF(OR(BX148="",AND(BX148=BX147,BX148=BX149)),NA(), BX148)</f>
        <v>0</v>
      </c>
      <c r="BY230">
        <f>IF(ISNA(BZ230),NA(),BY148)</f>
        <v>0</v>
      </c>
      <c r="BZ230">
        <f>IF(OR(BZ148="",AND(BZ148=BZ147,BZ148=BZ149)),NA(), BZ148)</f>
        <v>0</v>
      </c>
      <c r="CA230">
        <f>IF(ISNA(CB230),NA(),CA148)</f>
        <v>0</v>
      </c>
      <c r="CB230">
        <f>IF(OR(CB148="",AND(CB148=CB147,CB148=CB149)),NA(), CB148)</f>
        <v>0</v>
      </c>
      <c r="CC230">
        <f>IF(ISNA(CD230),NA(),CC148)</f>
        <v>0</v>
      </c>
      <c r="CD230">
        <f>IF(OR(CD148="",AND(CD148=CD147,CD148=CD149)),NA(), CD148)</f>
        <v>0</v>
      </c>
      <c r="CE230">
        <f>IF(ISNA(CF230),NA(),CE148)</f>
        <v>0</v>
      </c>
      <c r="CF230">
        <f>IF(OR(CF148="",AND(CF148=CF147,CF148=CF149)),NA(), CF148)</f>
        <v>0</v>
      </c>
      <c r="CG230">
        <f>IF(ISNA(CH230),NA(),CG148)</f>
        <v>0</v>
      </c>
      <c r="CH230">
        <f>IF(OR(CH148="",AND(CH148=CH147,CH148=CH149)),NA(), CH148)</f>
        <v>0</v>
      </c>
      <c r="CI230">
        <f>IF(ISNA(CJ230),NA(),CI148)</f>
        <v>0</v>
      </c>
      <c r="CJ230">
        <f>IF(OR(CJ148="",AND(CJ148=CJ147,CJ148=CJ149)),NA(), CJ148)</f>
        <v>0</v>
      </c>
      <c r="CK230">
        <f>IF(ISNA(CL230),NA(),CK148)</f>
        <v>0</v>
      </c>
      <c r="CL230">
        <f>IF(OR(CL148="",AND(CL148=CL147,CL148=CL149)),NA(), CL148)</f>
        <v>0</v>
      </c>
      <c r="CM230">
        <f>IF(ISNA(CN230),NA(),CM148)</f>
        <v>0</v>
      </c>
      <c r="CN230">
        <f>IF(OR(CN148="",AND(CN148=CN147,CN148=CN149)),NA(), CN148)</f>
        <v>0</v>
      </c>
      <c r="CO230">
        <f>IF(ISNA(CP230),NA(),CO148)</f>
        <v>0</v>
      </c>
      <c r="CP230">
        <f>IF(OR(CP148="",AND(CP148=CP147,CP148=CP149)),NA(), CP148)</f>
        <v>0</v>
      </c>
      <c r="CQ230">
        <f>IF(ISNA(CR230),NA(),CQ148)</f>
        <v>0</v>
      </c>
      <c r="CR230">
        <f>IF(OR(CR148="",AND(CR148=CR147,CR148=CR149)),NA(), CR148)</f>
        <v>0</v>
      </c>
      <c r="CS230">
        <f>IF(ISNA(CT230),NA(),CS148)</f>
        <v>0</v>
      </c>
      <c r="CT230">
        <f>IF(OR(CT148="",AND(CT148=CT147,CT148=CT149)),NA(), CT148)</f>
        <v>0</v>
      </c>
      <c r="CU230">
        <f>IF(ISNA(CV230),NA(),CU148)</f>
        <v>0</v>
      </c>
      <c r="CV230">
        <f>IF(OR(CV148="",AND(CV148=CV147,CV148=CV149)),NA(), CV148)</f>
        <v>0</v>
      </c>
      <c r="CW230">
        <f>IF(ISNA(CX230),NA(),CW148)</f>
        <v>0</v>
      </c>
      <c r="CX230">
        <f>IF(OR(CX148="",AND(CX148=CX147,CX148=CX149)),NA(), CX148)</f>
        <v>0</v>
      </c>
      <c r="CY230">
        <f>IF(ISNA(CZ230),NA(),CY148)</f>
        <v>0</v>
      </c>
      <c r="CZ230">
        <f>IF(OR(CZ148="",AND(CZ148=CZ147,CZ148=CZ149)),NA(), CZ148)</f>
        <v>0</v>
      </c>
      <c r="DA230">
        <f>IF(ISNA(DB230),NA(),DA148)</f>
        <v>0</v>
      </c>
      <c r="DB230">
        <f>IF(OR(DB148="",AND(DB148=DB147,DB148=DB149)),NA(), DB148)</f>
        <v>0</v>
      </c>
      <c r="DC230">
        <f>IF(ISNA(DD230),NA(),DC148)</f>
        <v>0</v>
      </c>
      <c r="DD230">
        <f>IF(OR(DD148="",AND(DD148=DD147,DD148=DD149)),NA(), DD148)</f>
        <v>0</v>
      </c>
      <c r="DE230">
        <f>IF(ISNA(DF230),NA(),DE148)</f>
        <v>0</v>
      </c>
      <c r="DF230">
        <f>IF(OR(DF148="",AND(DF148=DF147,DF148=DF149)),NA(), DF148)</f>
        <v>0</v>
      </c>
      <c r="DG230">
        <f>IF(ISNA(DH230),NA(),DG148)</f>
        <v>0</v>
      </c>
      <c r="DH230">
        <f>IF(OR(DH148="",AND(DH148=DH147,DH148=DH149)),NA(), DH148)</f>
        <v>0</v>
      </c>
      <c r="DI230">
        <f>IF(ISNA(DJ230),NA(),DI148)</f>
        <v>0</v>
      </c>
      <c r="DJ230">
        <f>IF(OR(DJ148="",AND(DJ148=DJ147,DJ148=DJ149)),NA(), DJ148)</f>
        <v>0</v>
      </c>
      <c r="DK230">
        <f>IF(ISNA(DL230),NA(),DK148)</f>
        <v>0</v>
      </c>
      <c r="DL230">
        <f>IF(OR(DL148="",AND(DL148=DL147,DL148=DL149)),NA(), DL148)</f>
        <v>0</v>
      </c>
      <c r="DM230">
        <f>IF(ISNA(DN230),NA(),DM148)</f>
        <v>0</v>
      </c>
      <c r="DN230">
        <f>IF(OR(DN148="",AND(DN148=DN147,DN148=DN149)),NA(), DN148)</f>
        <v>0</v>
      </c>
      <c r="DO230">
        <f>IF(ISNA(DP230),NA(),DO148)</f>
        <v>0</v>
      </c>
      <c r="DP230">
        <f>IF(OR(DP148="",AND(DP148=DP147,DP148=DP149)),NA(), DP148)</f>
        <v>0</v>
      </c>
      <c r="DQ230">
        <f>IF(ISNA(DR230),NA(),DQ148)</f>
        <v>0</v>
      </c>
      <c r="DR230">
        <f>IF(OR(DR148="",AND(DR148=DR147,DR148=DR149)),NA(), DR148)</f>
        <v>0</v>
      </c>
      <c r="DS230">
        <f>IF(ISNA(DT230),NA(),DS148)</f>
        <v>0</v>
      </c>
      <c r="DT230">
        <f>IF(OR(DT148="",AND(DT148=DT147,DT148=DT149)),NA(), DT148)</f>
        <v>0</v>
      </c>
      <c r="DU230">
        <f>IF(ISNA(DV230),NA(),DU148)</f>
        <v>0</v>
      </c>
      <c r="DV230">
        <f>IF(OR(DV148="",AND(DV148=DV147,DV148=DV149)),NA(), DV148)</f>
        <v>0</v>
      </c>
      <c r="DW230">
        <f>IF(ISNA(DX230),NA(),DW148)</f>
        <v>0</v>
      </c>
      <c r="DX230">
        <f>IF(OR(DX148="",AND(DX148=DX147,DX148=DX149)),NA(), DX148)</f>
        <v>0</v>
      </c>
      <c r="DY230">
        <f>IF(ISNA(DZ230),NA(),DY148)</f>
        <v>0</v>
      </c>
      <c r="DZ230">
        <f>IF(OR(DZ148="",AND(DZ148=DZ147,DZ148=DZ149)),NA(), DZ148)</f>
        <v>0</v>
      </c>
      <c r="EA230">
        <f>IF(ISNA(EB230),NA(),EA148)</f>
        <v>0</v>
      </c>
      <c r="EB230">
        <f>IF(OR(EB148="",AND(EB148=EB147,EB148=EB149)),NA(), EB148)</f>
        <v>0</v>
      </c>
      <c r="EC230">
        <f>IF(ISNA(ED230),NA(),EC148)</f>
        <v>0</v>
      </c>
      <c r="ED230">
        <f>IF(OR(ED148="",AND(ED148=ED147,ED148=ED149)),NA(), ED148)</f>
        <v>0</v>
      </c>
    </row>
    <row r="231" spans="5:134">
      <c r="E231">
        <f>IF(ISNA(F231),NA(),E149)</f>
        <v>0</v>
      </c>
      <c r="F231">
        <f>IF(OR(F149="",AND(F149=F148,F149=F150)),NA(), F149)</f>
        <v>0</v>
      </c>
      <c r="G231">
        <f>IF(ISNA(H231),NA(),G149)</f>
        <v>0</v>
      </c>
      <c r="H231">
        <f>IF(OR(H149="",AND(H149=H148,H149=H150)),NA(), H149)</f>
        <v>0</v>
      </c>
      <c r="I231">
        <f>IF(ISNA(J231),NA(),I149)</f>
        <v>0</v>
      </c>
      <c r="J231">
        <f>IF(OR(J149="",AND(J149=J148,J149=J150)),NA(), J149)</f>
        <v>0</v>
      </c>
      <c r="K231">
        <f>IF(ISNA(L231),NA(),K149)</f>
        <v>0</v>
      </c>
      <c r="L231">
        <f>IF(OR(L149="",AND(L149=L148,L149=L150)),NA(), L149)</f>
        <v>0</v>
      </c>
      <c r="M231">
        <f>IF(ISNA(N231),NA(),M149)</f>
        <v>0</v>
      </c>
      <c r="N231">
        <f>IF(OR(N149="",AND(N149=N148,N149=N150)),NA(), N149)</f>
        <v>0</v>
      </c>
      <c r="O231">
        <f>IF(ISNA(P231),NA(),O149)</f>
        <v>0</v>
      </c>
      <c r="P231">
        <f>IF(OR(P149="",AND(P149=P148,P149=P150)),NA(), P149)</f>
        <v>0</v>
      </c>
      <c r="Q231">
        <f>IF(ISNA(R231),NA(),Q149)</f>
        <v>0</v>
      </c>
      <c r="R231">
        <f>IF(OR(R149="",AND(R149=R148,R149=R150)),NA(), R149)</f>
        <v>0</v>
      </c>
      <c r="S231">
        <f>IF(ISNA(T231),NA(),S149)</f>
        <v>0</v>
      </c>
      <c r="T231">
        <f>IF(OR(T149="",AND(T149=T148,T149=T150)),NA(), T149)</f>
        <v>0</v>
      </c>
      <c r="U231">
        <f>IF(ISNA(V231),NA(),U149)</f>
        <v>0</v>
      </c>
      <c r="V231">
        <f>IF(OR(V149="",AND(V149=V148,V149=V150)),NA(), V149)</f>
        <v>0</v>
      </c>
      <c r="W231">
        <f>IF(ISNA(X231),NA(),W149)</f>
        <v>0</v>
      </c>
      <c r="X231">
        <f>IF(OR(X149="",AND(X149=X148,X149=X150)),NA(), X149)</f>
        <v>0</v>
      </c>
      <c r="Y231">
        <f>IF(ISNA(Z231),NA(),Y149)</f>
        <v>0</v>
      </c>
      <c r="Z231">
        <f>IF(OR(Z149="",AND(Z149=Z148,Z149=Z150)),NA(), Z149)</f>
        <v>0</v>
      </c>
      <c r="AA231">
        <f>IF(ISNA(AB231),NA(),AA149)</f>
        <v>0</v>
      </c>
      <c r="AB231">
        <f>IF(OR(AB149="",AND(AB149=AB148,AB149=AB150)),NA(), AB149)</f>
        <v>0</v>
      </c>
      <c r="AC231">
        <f>IF(ISNA(AD231),NA(),AC149)</f>
        <v>0</v>
      </c>
      <c r="AD231">
        <f>IF(OR(AD149="",AND(AD149=AD148,AD149=AD150)),NA(), AD149)</f>
        <v>0</v>
      </c>
      <c r="AE231">
        <f>IF(ISNA(AF231),NA(),AE149)</f>
        <v>0</v>
      </c>
      <c r="AF231">
        <f>IF(OR(AF149="",AND(AF149=AF148,AF149=AF150)),NA(), AF149)</f>
        <v>0</v>
      </c>
      <c r="AG231">
        <f>IF(ISNA(AH231),NA(),AG149)</f>
        <v>0</v>
      </c>
      <c r="AH231">
        <f>IF(OR(AH149="",AND(AH149=AH148,AH149=AH150)),NA(), AH149)</f>
        <v>0</v>
      </c>
      <c r="AI231">
        <f>IF(ISNA(AJ231),NA(),AI149)</f>
        <v>0</v>
      </c>
      <c r="AJ231">
        <f>IF(OR(AJ149="",AND(AJ149=AJ148,AJ149=AJ150)),NA(), AJ149)</f>
        <v>0</v>
      </c>
      <c r="AK231">
        <f>IF(ISNA(AL231),NA(),AK149)</f>
        <v>0</v>
      </c>
      <c r="AL231">
        <f>IF(OR(AL149="",AND(AL149=AL148,AL149=AL150)),NA(), AL149)</f>
        <v>0</v>
      </c>
      <c r="AM231">
        <f>IF(ISNA(AN231),NA(),AM149)</f>
        <v>0</v>
      </c>
      <c r="AN231">
        <f>IF(OR(AN149="",AND(AN149=AN148,AN149=AN150)),NA(), AN149)</f>
        <v>0</v>
      </c>
      <c r="AO231">
        <f>IF(ISNA(AP231),NA(),AO149)</f>
        <v>0</v>
      </c>
      <c r="AP231">
        <f>IF(OR(AP149="",AND(AP149=AP148,AP149=AP150)),NA(), AP149)</f>
        <v>0</v>
      </c>
      <c r="AQ231">
        <f>IF(ISNA(AR231),NA(),AQ149)</f>
        <v>0</v>
      </c>
      <c r="AR231">
        <f>IF(OR(AR149="",AND(AR149=AR148,AR149=AR150)),NA(), AR149)</f>
        <v>0</v>
      </c>
      <c r="AS231">
        <f>IF(ISNA(AT231),NA(),AS149)</f>
        <v>0</v>
      </c>
      <c r="AT231">
        <f>IF(OR(AT149="",AND(AT149=AT148,AT149=AT150)),NA(), AT149)</f>
        <v>0</v>
      </c>
      <c r="AU231">
        <f>IF(ISNA(AV231),NA(),AU149)</f>
        <v>0</v>
      </c>
      <c r="AV231">
        <f>IF(OR(AV149="",AND(AV149=AV148,AV149=AV150)),NA(), AV149)</f>
        <v>0</v>
      </c>
      <c r="AW231">
        <f>IF(ISNA(AX231),NA(),AW149)</f>
        <v>0</v>
      </c>
      <c r="AX231">
        <f>IF(OR(AX149="",AND(AX149=AX148,AX149=AX150)),NA(), AX149)</f>
        <v>0</v>
      </c>
      <c r="AY231">
        <f>IF(ISNA(AZ231),NA(),AY149)</f>
        <v>0</v>
      </c>
      <c r="AZ231">
        <f>IF(OR(AZ149="",AND(AZ149=AZ148,AZ149=AZ150)),NA(), AZ149)</f>
        <v>0</v>
      </c>
      <c r="BA231">
        <f>IF(ISNA(BB231),NA(),BA149)</f>
        <v>0</v>
      </c>
      <c r="BB231">
        <f>IF(OR(BB149="",AND(BB149=BB148,BB149=BB150)),NA(), BB149)</f>
        <v>0</v>
      </c>
      <c r="BC231">
        <f>IF(ISNA(BD231),NA(),BC149)</f>
        <v>0</v>
      </c>
      <c r="BD231">
        <f>IF(OR(BD149="",AND(BD149=BD148,BD149=BD150)),NA(), BD149)</f>
        <v>0</v>
      </c>
      <c r="BE231">
        <f>IF(ISNA(BF231),NA(),BE149)</f>
        <v>0</v>
      </c>
      <c r="BF231">
        <f>IF(OR(BF149="",AND(BF149=BF148,BF149=BF150)),NA(), BF149)</f>
        <v>0</v>
      </c>
      <c r="BG231">
        <f>IF(ISNA(BH231),NA(),BG149)</f>
        <v>0</v>
      </c>
      <c r="BH231">
        <f>IF(OR(BH149="",AND(BH149=BH148,BH149=BH150)),NA(), BH149)</f>
        <v>0</v>
      </c>
      <c r="BI231">
        <f>IF(ISNA(BJ231),NA(),BI149)</f>
        <v>0</v>
      </c>
      <c r="BJ231">
        <f>IF(OR(BJ149="",AND(BJ149=BJ148,BJ149=BJ150)),NA(), BJ149)</f>
        <v>0</v>
      </c>
      <c r="BK231">
        <f>IF(ISNA(BL231),NA(),BK149)</f>
        <v>0</v>
      </c>
      <c r="BL231">
        <f>IF(OR(BL149="",AND(BL149=BL148,BL149=BL150)),NA(), BL149)</f>
        <v>0</v>
      </c>
      <c r="BM231">
        <f>IF(ISNA(BN231),NA(),BM149)</f>
        <v>0</v>
      </c>
      <c r="BN231">
        <f>IF(OR(BN149="",AND(BN149=BN148,BN149=BN150)),NA(), BN149)</f>
        <v>0</v>
      </c>
      <c r="BO231">
        <f>IF(ISNA(BP231),NA(),BO149)</f>
        <v>0</v>
      </c>
      <c r="BP231">
        <f>IF(OR(BP149="",AND(BP149=BP148,BP149=BP150)),NA(), BP149)</f>
        <v>0</v>
      </c>
      <c r="BS231">
        <f>IF(ISNA(BT231),NA(),BS149)</f>
        <v>0</v>
      </c>
      <c r="BT231">
        <f>IF(OR(BT149="",AND(BT149=BT148,BT149=BT150)),NA(), BT149)</f>
        <v>0</v>
      </c>
      <c r="BU231">
        <f>IF(ISNA(BV231),NA(),BU149)</f>
        <v>0</v>
      </c>
      <c r="BV231">
        <f>IF(OR(BV149="",AND(BV149=BV148,BV149=BV150)),NA(), BV149)</f>
        <v>0</v>
      </c>
      <c r="BW231">
        <f>IF(ISNA(BX231),NA(),BW149)</f>
        <v>0</v>
      </c>
      <c r="BX231">
        <f>IF(OR(BX149="",AND(BX149=BX148,BX149=BX150)),NA(), BX149)</f>
        <v>0</v>
      </c>
      <c r="BY231">
        <f>IF(ISNA(BZ231),NA(),BY149)</f>
        <v>0</v>
      </c>
      <c r="BZ231">
        <f>IF(OR(BZ149="",AND(BZ149=BZ148,BZ149=BZ150)),NA(), BZ149)</f>
        <v>0</v>
      </c>
      <c r="CA231">
        <f>IF(ISNA(CB231),NA(),CA149)</f>
        <v>0</v>
      </c>
      <c r="CB231">
        <f>IF(OR(CB149="",AND(CB149=CB148,CB149=CB150)),NA(), CB149)</f>
        <v>0</v>
      </c>
      <c r="CC231">
        <f>IF(ISNA(CD231),NA(),CC149)</f>
        <v>0</v>
      </c>
      <c r="CD231">
        <f>IF(OR(CD149="",AND(CD149=CD148,CD149=CD150)),NA(), CD149)</f>
        <v>0</v>
      </c>
      <c r="CE231">
        <f>IF(ISNA(CF231),NA(),CE149)</f>
        <v>0</v>
      </c>
      <c r="CF231">
        <f>IF(OR(CF149="",AND(CF149=CF148,CF149=CF150)),NA(), CF149)</f>
        <v>0</v>
      </c>
      <c r="CG231">
        <f>IF(ISNA(CH231),NA(),CG149)</f>
        <v>0</v>
      </c>
      <c r="CH231">
        <f>IF(OR(CH149="",AND(CH149=CH148,CH149=CH150)),NA(), CH149)</f>
        <v>0</v>
      </c>
      <c r="CI231">
        <f>IF(ISNA(CJ231),NA(),CI149)</f>
        <v>0</v>
      </c>
      <c r="CJ231">
        <f>IF(OR(CJ149="",AND(CJ149=CJ148,CJ149=CJ150)),NA(), CJ149)</f>
        <v>0</v>
      </c>
      <c r="CK231">
        <f>IF(ISNA(CL231),NA(),CK149)</f>
        <v>0</v>
      </c>
      <c r="CL231">
        <f>IF(OR(CL149="",AND(CL149=CL148,CL149=CL150)),NA(), CL149)</f>
        <v>0</v>
      </c>
      <c r="CM231">
        <f>IF(ISNA(CN231),NA(),CM149)</f>
        <v>0</v>
      </c>
      <c r="CN231">
        <f>IF(OR(CN149="",AND(CN149=CN148,CN149=CN150)),NA(), CN149)</f>
        <v>0</v>
      </c>
      <c r="CO231">
        <f>IF(ISNA(CP231),NA(),CO149)</f>
        <v>0</v>
      </c>
      <c r="CP231">
        <f>IF(OR(CP149="",AND(CP149=CP148,CP149=CP150)),NA(), CP149)</f>
        <v>0</v>
      </c>
      <c r="CQ231">
        <f>IF(ISNA(CR231),NA(),CQ149)</f>
        <v>0</v>
      </c>
      <c r="CR231">
        <f>IF(OR(CR149="",AND(CR149=CR148,CR149=CR150)),NA(), CR149)</f>
        <v>0</v>
      </c>
      <c r="CS231">
        <f>IF(ISNA(CT231),NA(),CS149)</f>
        <v>0</v>
      </c>
      <c r="CT231">
        <f>IF(OR(CT149="",AND(CT149=CT148,CT149=CT150)),NA(), CT149)</f>
        <v>0</v>
      </c>
      <c r="CU231">
        <f>IF(ISNA(CV231),NA(),CU149)</f>
        <v>0</v>
      </c>
      <c r="CV231">
        <f>IF(OR(CV149="",AND(CV149=CV148,CV149=CV150)),NA(), CV149)</f>
        <v>0</v>
      </c>
      <c r="CW231">
        <f>IF(ISNA(CX231),NA(),CW149)</f>
        <v>0</v>
      </c>
      <c r="CX231">
        <f>IF(OR(CX149="",AND(CX149=CX148,CX149=CX150)),NA(), CX149)</f>
        <v>0</v>
      </c>
      <c r="CY231">
        <f>IF(ISNA(CZ231),NA(),CY149)</f>
        <v>0</v>
      </c>
      <c r="CZ231">
        <f>IF(OR(CZ149="",AND(CZ149=CZ148,CZ149=CZ150)),NA(), CZ149)</f>
        <v>0</v>
      </c>
      <c r="DA231">
        <f>IF(ISNA(DB231),NA(),DA149)</f>
        <v>0</v>
      </c>
      <c r="DB231">
        <f>IF(OR(DB149="",AND(DB149=DB148,DB149=DB150)),NA(), DB149)</f>
        <v>0</v>
      </c>
      <c r="DC231">
        <f>IF(ISNA(DD231),NA(),DC149)</f>
        <v>0</v>
      </c>
      <c r="DD231">
        <f>IF(OR(DD149="",AND(DD149=DD148,DD149=DD150)),NA(), DD149)</f>
        <v>0</v>
      </c>
      <c r="DE231">
        <f>IF(ISNA(DF231),NA(),DE149)</f>
        <v>0</v>
      </c>
      <c r="DF231">
        <f>IF(OR(DF149="",AND(DF149=DF148,DF149=DF150)),NA(), DF149)</f>
        <v>0</v>
      </c>
      <c r="DG231">
        <f>IF(ISNA(DH231),NA(),DG149)</f>
        <v>0</v>
      </c>
      <c r="DH231">
        <f>IF(OR(DH149="",AND(DH149=DH148,DH149=DH150)),NA(), DH149)</f>
        <v>0</v>
      </c>
      <c r="DI231">
        <f>IF(ISNA(DJ231),NA(),DI149)</f>
        <v>0</v>
      </c>
      <c r="DJ231">
        <f>IF(OR(DJ149="",AND(DJ149=DJ148,DJ149=DJ150)),NA(), DJ149)</f>
        <v>0</v>
      </c>
      <c r="DK231">
        <f>IF(ISNA(DL231),NA(),DK149)</f>
        <v>0</v>
      </c>
      <c r="DL231">
        <f>IF(OR(DL149="",AND(DL149=DL148,DL149=DL150)),NA(), DL149)</f>
        <v>0</v>
      </c>
      <c r="DM231">
        <f>IF(ISNA(DN231),NA(),DM149)</f>
        <v>0</v>
      </c>
      <c r="DN231">
        <f>IF(OR(DN149="",AND(DN149=DN148,DN149=DN150)),NA(), DN149)</f>
        <v>0</v>
      </c>
      <c r="DO231">
        <f>IF(ISNA(DP231),NA(),DO149)</f>
        <v>0</v>
      </c>
      <c r="DP231">
        <f>IF(OR(DP149="",AND(DP149=DP148,DP149=DP150)),NA(), DP149)</f>
        <v>0</v>
      </c>
      <c r="DQ231">
        <f>IF(ISNA(DR231),NA(),DQ149)</f>
        <v>0</v>
      </c>
      <c r="DR231">
        <f>IF(OR(DR149="",AND(DR149=DR148,DR149=DR150)),NA(), DR149)</f>
        <v>0</v>
      </c>
      <c r="DS231">
        <f>IF(ISNA(DT231),NA(),DS149)</f>
        <v>0</v>
      </c>
      <c r="DT231">
        <f>IF(OR(DT149="",AND(DT149=DT148,DT149=DT150)),NA(), DT149)</f>
        <v>0</v>
      </c>
      <c r="DU231">
        <f>IF(ISNA(DV231),NA(),DU149)</f>
        <v>0</v>
      </c>
      <c r="DV231">
        <f>IF(OR(DV149="",AND(DV149=DV148,DV149=DV150)),NA(), DV149)</f>
        <v>0</v>
      </c>
      <c r="DW231">
        <f>IF(ISNA(DX231),NA(),DW149)</f>
        <v>0</v>
      </c>
      <c r="DX231">
        <f>IF(OR(DX149="",AND(DX149=DX148,DX149=DX150)),NA(), DX149)</f>
        <v>0</v>
      </c>
      <c r="DY231">
        <f>IF(ISNA(DZ231),NA(),DY149)</f>
        <v>0</v>
      </c>
      <c r="DZ231">
        <f>IF(OR(DZ149="",AND(DZ149=DZ148,DZ149=DZ150)),NA(), DZ149)</f>
        <v>0</v>
      </c>
      <c r="EA231">
        <f>IF(ISNA(EB231),NA(),EA149)</f>
        <v>0</v>
      </c>
      <c r="EB231">
        <f>IF(OR(EB149="",AND(EB149=EB148,EB149=EB150)),NA(), EB149)</f>
        <v>0</v>
      </c>
      <c r="EC231">
        <f>IF(ISNA(ED231),NA(),EC149)</f>
        <v>0</v>
      </c>
      <c r="ED231">
        <f>IF(OR(ED149="",AND(ED149=ED148,ED149=ED150)),NA(), ED149)</f>
        <v>0</v>
      </c>
    </row>
    <row r="232" spans="5:134">
      <c r="E232">
        <f>IF(ISNA(F232),NA(),E150)</f>
        <v>0</v>
      </c>
      <c r="F232">
        <f>IF(OR(F150="",AND(F150=F149,F150=F151)),NA(), F150)</f>
        <v>0</v>
      </c>
      <c r="G232">
        <f>IF(ISNA(H232),NA(),G150)</f>
        <v>0</v>
      </c>
      <c r="H232">
        <f>IF(OR(H150="",AND(H150=H149,H150=H151)),NA(), H150)</f>
        <v>0</v>
      </c>
      <c r="I232">
        <f>IF(ISNA(J232),NA(),I150)</f>
        <v>0</v>
      </c>
      <c r="J232">
        <f>IF(OR(J150="",AND(J150=J149,J150=J151)),NA(), J150)</f>
        <v>0</v>
      </c>
      <c r="K232">
        <f>IF(ISNA(L232),NA(),K150)</f>
        <v>0</v>
      </c>
      <c r="L232">
        <f>IF(OR(L150="",AND(L150=L149,L150=L151)),NA(), L150)</f>
        <v>0</v>
      </c>
      <c r="M232">
        <f>IF(ISNA(N232),NA(),M150)</f>
        <v>0</v>
      </c>
      <c r="N232">
        <f>IF(OR(N150="",AND(N150=N149,N150=N151)),NA(), N150)</f>
        <v>0</v>
      </c>
      <c r="O232">
        <f>IF(ISNA(P232),NA(),O150)</f>
        <v>0</v>
      </c>
      <c r="P232">
        <f>IF(OR(P150="",AND(P150=P149,P150=P151)),NA(), P150)</f>
        <v>0</v>
      </c>
      <c r="Q232">
        <f>IF(ISNA(R232),NA(),Q150)</f>
        <v>0</v>
      </c>
      <c r="R232">
        <f>IF(OR(R150="",AND(R150=R149,R150=R151)),NA(), R150)</f>
        <v>0</v>
      </c>
      <c r="S232">
        <f>IF(ISNA(T232),NA(),S150)</f>
        <v>0</v>
      </c>
      <c r="T232">
        <f>IF(OR(T150="",AND(T150=T149,T150=T151)),NA(), T150)</f>
        <v>0</v>
      </c>
      <c r="U232">
        <f>IF(ISNA(V232),NA(),U150)</f>
        <v>0</v>
      </c>
      <c r="V232">
        <f>IF(OR(V150="",AND(V150=V149,V150=V151)),NA(), V150)</f>
        <v>0</v>
      </c>
      <c r="W232">
        <f>IF(ISNA(X232),NA(),W150)</f>
        <v>0</v>
      </c>
      <c r="X232">
        <f>IF(OR(X150="",AND(X150=X149,X150=X151)),NA(), X150)</f>
        <v>0</v>
      </c>
      <c r="Y232">
        <f>IF(ISNA(Z232),NA(),Y150)</f>
        <v>0</v>
      </c>
      <c r="Z232">
        <f>IF(OR(Z150="",AND(Z150=Z149,Z150=Z151)),NA(), Z150)</f>
        <v>0</v>
      </c>
      <c r="AA232">
        <f>IF(ISNA(AB232),NA(),AA150)</f>
        <v>0</v>
      </c>
      <c r="AB232">
        <f>IF(OR(AB150="",AND(AB150=AB149,AB150=AB151)),NA(), AB150)</f>
        <v>0</v>
      </c>
      <c r="AC232">
        <f>IF(ISNA(AD232),NA(),AC150)</f>
        <v>0</v>
      </c>
      <c r="AD232">
        <f>IF(OR(AD150="",AND(AD150=AD149,AD150=AD151)),NA(), AD150)</f>
        <v>0</v>
      </c>
      <c r="AE232">
        <f>IF(ISNA(AF232),NA(),AE150)</f>
        <v>0</v>
      </c>
      <c r="AF232">
        <f>IF(OR(AF150="",AND(AF150=AF149,AF150=AF151)),NA(), AF150)</f>
        <v>0</v>
      </c>
      <c r="AG232">
        <f>IF(ISNA(AH232),NA(),AG150)</f>
        <v>0</v>
      </c>
      <c r="AH232">
        <f>IF(OR(AH150="",AND(AH150=AH149,AH150=AH151)),NA(), AH150)</f>
        <v>0</v>
      </c>
      <c r="AI232">
        <f>IF(ISNA(AJ232),NA(),AI150)</f>
        <v>0</v>
      </c>
      <c r="AJ232">
        <f>IF(OR(AJ150="",AND(AJ150=AJ149,AJ150=AJ151)),NA(), AJ150)</f>
        <v>0</v>
      </c>
      <c r="AK232">
        <f>IF(ISNA(AL232),NA(),AK150)</f>
        <v>0</v>
      </c>
      <c r="AL232">
        <f>IF(OR(AL150="",AND(AL150=AL149,AL150=AL151)),NA(), AL150)</f>
        <v>0</v>
      </c>
      <c r="AM232">
        <f>IF(ISNA(AN232),NA(),AM150)</f>
        <v>0</v>
      </c>
      <c r="AN232">
        <f>IF(OR(AN150="",AND(AN150=AN149,AN150=AN151)),NA(), AN150)</f>
        <v>0</v>
      </c>
      <c r="AO232">
        <f>IF(ISNA(AP232),NA(),AO150)</f>
        <v>0</v>
      </c>
      <c r="AP232">
        <f>IF(OR(AP150="",AND(AP150=AP149,AP150=AP151)),NA(), AP150)</f>
        <v>0</v>
      </c>
      <c r="AQ232">
        <f>IF(ISNA(AR232),NA(),AQ150)</f>
        <v>0</v>
      </c>
      <c r="AR232">
        <f>IF(OR(AR150="",AND(AR150=AR149,AR150=AR151)),NA(), AR150)</f>
        <v>0</v>
      </c>
      <c r="AS232">
        <f>IF(ISNA(AT232),NA(),AS150)</f>
        <v>0</v>
      </c>
      <c r="AT232">
        <f>IF(OR(AT150="",AND(AT150=AT149,AT150=AT151)),NA(), AT150)</f>
        <v>0</v>
      </c>
      <c r="AU232">
        <f>IF(ISNA(AV232),NA(),AU150)</f>
        <v>0</v>
      </c>
      <c r="AV232">
        <f>IF(OR(AV150="",AND(AV150=AV149,AV150=AV151)),NA(), AV150)</f>
        <v>0</v>
      </c>
      <c r="AW232">
        <f>IF(ISNA(AX232),NA(),AW150)</f>
        <v>0</v>
      </c>
      <c r="AX232">
        <f>IF(OR(AX150="",AND(AX150=AX149,AX150=AX151)),NA(), AX150)</f>
        <v>0</v>
      </c>
      <c r="AY232">
        <f>IF(ISNA(AZ232),NA(),AY150)</f>
        <v>0</v>
      </c>
      <c r="AZ232">
        <f>IF(OR(AZ150="",AND(AZ150=AZ149,AZ150=AZ151)),NA(), AZ150)</f>
        <v>0</v>
      </c>
      <c r="BA232">
        <f>IF(ISNA(BB232),NA(),BA150)</f>
        <v>0</v>
      </c>
      <c r="BB232">
        <f>IF(OR(BB150="",AND(BB150=BB149,BB150=BB151)),NA(), BB150)</f>
        <v>0</v>
      </c>
      <c r="BC232">
        <f>IF(ISNA(BD232),NA(),BC150)</f>
        <v>0</v>
      </c>
      <c r="BD232">
        <f>IF(OR(BD150="",AND(BD150=BD149,BD150=BD151)),NA(), BD150)</f>
        <v>0</v>
      </c>
      <c r="BE232">
        <f>IF(ISNA(BF232),NA(),BE150)</f>
        <v>0</v>
      </c>
      <c r="BF232">
        <f>IF(OR(BF150="",AND(BF150=BF149,BF150=BF151)),NA(), BF150)</f>
        <v>0</v>
      </c>
      <c r="BG232">
        <f>IF(ISNA(BH232),NA(),BG150)</f>
        <v>0</v>
      </c>
      <c r="BH232">
        <f>IF(OR(BH150="",AND(BH150=BH149,BH150=BH151)),NA(), BH150)</f>
        <v>0</v>
      </c>
      <c r="BI232">
        <f>IF(ISNA(BJ232),NA(),BI150)</f>
        <v>0</v>
      </c>
      <c r="BJ232">
        <f>IF(OR(BJ150="",AND(BJ150=BJ149,BJ150=BJ151)),NA(), BJ150)</f>
        <v>0</v>
      </c>
      <c r="BK232">
        <f>IF(ISNA(BL232),NA(),BK150)</f>
        <v>0</v>
      </c>
      <c r="BL232">
        <f>IF(OR(BL150="",AND(BL150=BL149,BL150=BL151)),NA(), BL150)</f>
        <v>0</v>
      </c>
      <c r="BM232">
        <f>IF(ISNA(BN232),NA(),BM150)</f>
        <v>0</v>
      </c>
      <c r="BN232">
        <f>IF(OR(BN150="",AND(BN150=BN149,BN150=BN151)),NA(), BN150)</f>
        <v>0</v>
      </c>
      <c r="BO232">
        <f>IF(ISNA(BP232),NA(),BO150)</f>
        <v>0</v>
      </c>
      <c r="BP232">
        <f>IF(OR(BP150="",AND(BP150=BP149,BP150=BP151)),NA(), BP150)</f>
        <v>0</v>
      </c>
      <c r="BS232">
        <f>IF(ISNA(BT232),NA(),BS150)</f>
        <v>0</v>
      </c>
      <c r="BT232">
        <f>IF(OR(BT150="",AND(BT150=BT149,BT150=BT151)),NA(), BT150)</f>
        <v>0</v>
      </c>
      <c r="BU232">
        <f>IF(ISNA(BV232),NA(),BU150)</f>
        <v>0</v>
      </c>
      <c r="BV232">
        <f>IF(OR(BV150="",AND(BV150=BV149,BV150=BV151)),NA(), BV150)</f>
        <v>0</v>
      </c>
      <c r="BW232">
        <f>IF(ISNA(BX232),NA(),BW150)</f>
        <v>0</v>
      </c>
      <c r="BX232">
        <f>IF(OR(BX150="",AND(BX150=BX149,BX150=BX151)),NA(), BX150)</f>
        <v>0</v>
      </c>
      <c r="BY232">
        <f>IF(ISNA(BZ232),NA(),BY150)</f>
        <v>0</v>
      </c>
      <c r="BZ232">
        <f>IF(OR(BZ150="",AND(BZ150=BZ149,BZ150=BZ151)),NA(), BZ150)</f>
        <v>0</v>
      </c>
      <c r="CA232">
        <f>IF(ISNA(CB232),NA(),CA150)</f>
        <v>0</v>
      </c>
      <c r="CB232">
        <f>IF(OR(CB150="",AND(CB150=CB149,CB150=CB151)),NA(), CB150)</f>
        <v>0</v>
      </c>
      <c r="CC232">
        <f>IF(ISNA(CD232),NA(),CC150)</f>
        <v>0</v>
      </c>
      <c r="CD232">
        <f>IF(OR(CD150="",AND(CD150=CD149,CD150=CD151)),NA(), CD150)</f>
        <v>0</v>
      </c>
      <c r="CE232">
        <f>IF(ISNA(CF232),NA(),CE150)</f>
        <v>0</v>
      </c>
      <c r="CF232">
        <f>IF(OR(CF150="",AND(CF150=CF149,CF150=CF151)),NA(), CF150)</f>
        <v>0</v>
      </c>
      <c r="CG232">
        <f>IF(ISNA(CH232),NA(),CG150)</f>
        <v>0</v>
      </c>
      <c r="CH232">
        <f>IF(OR(CH150="",AND(CH150=CH149,CH150=CH151)),NA(), CH150)</f>
        <v>0</v>
      </c>
      <c r="CI232">
        <f>IF(ISNA(CJ232),NA(),CI150)</f>
        <v>0</v>
      </c>
      <c r="CJ232">
        <f>IF(OR(CJ150="",AND(CJ150=CJ149,CJ150=CJ151)),NA(), CJ150)</f>
        <v>0</v>
      </c>
      <c r="CK232">
        <f>IF(ISNA(CL232),NA(),CK150)</f>
        <v>0</v>
      </c>
      <c r="CL232">
        <f>IF(OR(CL150="",AND(CL150=CL149,CL150=CL151)),NA(), CL150)</f>
        <v>0</v>
      </c>
      <c r="CM232">
        <f>IF(ISNA(CN232),NA(),CM150)</f>
        <v>0</v>
      </c>
      <c r="CN232">
        <f>IF(OR(CN150="",AND(CN150=CN149,CN150=CN151)),NA(), CN150)</f>
        <v>0</v>
      </c>
      <c r="CO232">
        <f>IF(ISNA(CP232),NA(),CO150)</f>
        <v>0</v>
      </c>
      <c r="CP232">
        <f>IF(OR(CP150="",AND(CP150=CP149,CP150=CP151)),NA(), CP150)</f>
        <v>0</v>
      </c>
      <c r="CQ232">
        <f>IF(ISNA(CR232),NA(),CQ150)</f>
        <v>0</v>
      </c>
      <c r="CR232">
        <f>IF(OR(CR150="",AND(CR150=CR149,CR150=CR151)),NA(), CR150)</f>
        <v>0</v>
      </c>
      <c r="CS232">
        <f>IF(ISNA(CT232),NA(),CS150)</f>
        <v>0</v>
      </c>
      <c r="CT232">
        <f>IF(OR(CT150="",AND(CT150=CT149,CT150=CT151)),NA(), CT150)</f>
        <v>0</v>
      </c>
      <c r="CU232">
        <f>IF(ISNA(CV232),NA(),CU150)</f>
        <v>0</v>
      </c>
      <c r="CV232">
        <f>IF(OR(CV150="",AND(CV150=CV149,CV150=CV151)),NA(), CV150)</f>
        <v>0</v>
      </c>
      <c r="CW232">
        <f>IF(ISNA(CX232),NA(),CW150)</f>
        <v>0</v>
      </c>
      <c r="CX232">
        <f>IF(OR(CX150="",AND(CX150=CX149,CX150=CX151)),NA(), CX150)</f>
        <v>0</v>
      </c>
      <c r="CY232">
        <f>IF(ISNA(CZ232),NA(),CY150)</f>
        <v>0</v>
      </c>
      <c r="CZ232">
        <f>IF(OR(CZ150="",AND(CZ150=CZ149,CZ150=CZ151)),NA(), CZ150)</f>
        <v>0</v>
      </c>
      <c r="DA232">
        <f>IF(ISNA(DB232),NA(),DA150)</f>
        <v>0</v>
      </c>
      <c r="DB232">
        <f>IF(OR(DB150="",AND(DB150=DB149,DB150=DB151)),NA(), DB150)</f>
        <v>0</v>
      </c>
      <c r="DC232">
        <f>IF(ISNA(DD232),NA(),DC150)</f>
        <v>0</v>
      </c>
      <c r="DD232">
        <f>IF(OR(DD150="",AND(DD150=DD149,DD150=DD151)),NA(), DD150)</f>
        <v>0</v>
      </c>
      <c r="DE232">
        <f>IF(ISNA(DF232),NA(),DE150)</f>
        <v>0</v>
      </c>
      <c r="DF232">
        <f>IF(OR(DF150="",AND(DF150=DF149,DF150=DF151)),NA(), DF150)</f>
        <v>0</v>
      </c>
      <c r="DG232">
        <f>IF(ISNA(DH232),NA(),DG150)</f>
        <v>0</v>
      </c>
      <c r="DH232">
        <f>IF(OR(DH150="",AND(DH150=DH149,DH150=DH151)),NA(), DH150)</f>
        <v>0</v>
      </c>
      <c r="DI232">
        <f>IF(ISNA(DJ232),NA(),DI150)</f>
        <v>0</v>
      </c>
      <c r="DJ232">
        <f>IF(OR(DJ150="",AND(DJ150=DJ149,DJ150=DJ151)),NA(), DJ150)</f>
        <v>0</v>
      </c>
      <c r="DK232">
        <f>IF(ISNA(DL232),NA(),DK150)</f>
        <v>0</v>
      </c>
      <c r="DL232">
        <f>IF(OR(DL150="",AND(DL150=DL149,DL150=DL151)),NA(), DL150)</f>
        <v>0</v>
      </c>
      <c r="DM232">
        <f>IF(ISNA(DN232),NA(),DM150)</f>
        <v>0</v>
      </c>
      <c r="DN232">
        <f>IF(OR(DN150="",AND(DN150=DN149,DN150=DN151)),NA(), DN150)</f>
        <v>0</v>
      </c>
      <c r="DO232">
        <f>IF(ISNA(DP232),NA(),DO150)</f>
        <v>0</v>
      </c>
      <c r="DP232">
        <f>IF(OR(DP150="",AND(DP150=DP149,DP150=DP151)),NA(), DP150)</f>
        <v>0</v>
      </c>
      <c r="DQ232">
        <f>IF(ISNA(DR232),NA(),DQ150)</f>
        <v>0</v>
      </c>
      <c r="DR232">
        <f>IF(OR(DR150="",AND(DR150=DR149,DR150=DR151)),NA(), DR150)</f>
        <v>0</v>
      </c>
      <c r="DS232">
        <f>IF(ISNA(DT232),NA(),DS150)</f>
        <v>0</v>
      </c>
      <c r="DT232">
        <f>IF(OR(DT150="",AND(DT150=DT149,DT150=DT151)),NA(), DT150)</f>
        <v>0</v>
      </c>
      <c r="DU232">
        <f>IF(ISNA(DV232),NA(),DU150)</f>
        <v>0</v>
      </c>
      <c r="DV232">
        <f>IF(OR(DV150="",AND(DV150=DV149,DV150=DV151)),NA(), DV150)</f>
        <v>0</v>
      </c>
      <c r="DW232">
        <f>IF(ISNA(DX232),NA(),DW150)</f>
        <v>0</v>
      </c>
      <c r="DX232">
        <f>IF(OR(DX150="",AND(DX150=DX149,DX150=DX151)),NA(), DX150)</f>
        <v>0</v>
      </c>
      <c r="DY232">
        <f>IF(ISNA(DZ232),NA(),DY150)</f>
        <v>0</v>
      </c>
      <c r="DZ232">
        <f>IF(OR(DZ150="",AND(DZ150=DZ149,DZ150=DZ151)),NA(), DZ150)</f>
        <v>0</v>
      </c>
      <c r="EA232">
        <f>IF(ISNA(EB232),NA(),EA150)</f>
        <v>0</v>
      </c>
      <c r="EB232">
        <f>IF(OR(EB150="",AND(EB150=EB149,EB150=EB151)),NA(), EB150)</f>
        <v>0</v>
      </c>
      <c r="EC232">
        <f>IF(ISNA(ED232),NA(),EC150)</f>
        <v>0</v>
      </c>
      <c r="ED232">
        <f>IF(OR(ED150="",AND(ED150=ED149,ED150=ED151)),NA(), ED150)</f>
        <v>0</v>
      </c>
    </row>
    <row r="233" spans="5:134">
      <c r="E233">
        <f>IF(ISNA(F233),NA(),E151)</f>
        <v>0</v>
      </c>
      <c r="F233">
        <f>IF(OR(F151="",AND(F151=F150,F151=F152)),NA(), F151)</f>
        <v>0</v>
      </c>
      <c r="G233">
        <f>IF(ISNA(H233),NA(),G151)</f>
        <v>0</v>
      </c>
      <c r="H233">
        <f>IF(OR(H151="",AND(H151=H150,H151=H152)),NA(), H151)</f>
        <v>0</v>
      </c>
      <c r="I233">
        <f>IF(ISNA(J233),NA(),I151)</f>
        <v>0</v>
      </c>
      <c r="J233">
        <f>IF(OR(J151="",AND(J151=J150,J151=J152)),NA(), J151)</f>
        <v>0</v>
      </c>
      <c r="K233">
        <f>IF(ISNA(L233),NA(),K151)</f>
        <v>0</v>
      </c>
      <c r="L233">
        <f>IF(OR(L151="",AND(L151=L150,L151=L152)),NA(), L151)</f>
        <v>0</v>
      </c>
      <c r="M233">
        <f>IF(ISNA(N233),NA(),M151)</f>
        <v>0</v>
      </c>
      <c r="N233">
        <f>IF(OR(N151="",AND(N151=N150,N151=N152)),NA(), N151)</f>
        <v>0</v>
      </c>
      <c r="O233">
        <f>IF(ISNA(P233),NA(),O151)</f>
        <v>0</v>
      </c>
      <c r="P233">
        <f>IF(OR(P151="",AND(P151=P150,P151=P152)),NA(), P151)</f>
        <v>0</v>
      </c>
      <c r="Q233">
        <f>IF(ISNA(R233),NA(),Q151)</f>
        <v>0</v>
      </c>
      <c r="R233">
        <f>IF(OR(R151="",AND(R151=R150,R151=R152)),NA(), R151)</f>
        <v>0</v>
      </c>
      <c r="S233">
        <f>IF(ISNA(T233),NA(),S151)</f>
        <v>0</v>
      </c>
      <c r="T233">
        <f>IF(OR(T151="",AND(T151=T150,T151=T152)),NA(), T151)</f>
        <v>0</v>
      </c>
      <c r="U233">
        <f>IF(ISNA(V233),NA(),U151)</f>
        <v>0</v>
      </c>
      <c r="V233">
        <f>IF(OR(V151="",AND(V151=V150,V151=V152)),NA(), V151)</f>
        <v>0</v>
      </c>
      <c r="W233">
        <f>IF(ISNA(X233),NA(),W151)</f>
        <v>0</v>
      </c>
      <c r="X233">
        <f>IF(OR(X151="",AND(X151=X150,X151=X152)),NA(), X151)</f>
        <v>0</v>
      </c>
      <c r="Y233">
        <f>IF(ISNA(Z233),NA(),Y151)</f>
        <v>0</v>
      </c>
      <c r="Z233">
        <f>IF(OR(Z151="",AND(Z151=Z150,Z151=Z152)),NA(), Z151)</f>
        <v>0</v>
      </c>
      <c r="AA233">
        <f>IF(ISNA(AB233),NA(),AA151)</f>
        <v>0</v>
      </c>
      <c r="AB233">
        <f>IF(OR(AB151="",AND(AB151=AB150,AB151=AB152)),NA(), AB151)</f>
        <v>0</v>
      </c>
      <c r="AC233">
        <f>IF(ISNA(AD233),NA(),AC151)</f>
        <v>0</v>
      </c>
      <c r="AD233">
        <f>IF(OR(AD151="",AND(AD151=AD150,AD151=AD152)),NA(), AD151)</f>
        <v>0</v>
      </c>
      <c r="AE233">
        <f>IF(ISNA(AF233),NA(),AE151)</f>
        <v>0</v>
      </c>
      <c r="AF233">
        <f>IF(OR(AF151="",AND(AF151=AF150,AF151=AF152)),NA(), AF151)</f>
        <v>0</v>
      </c>
      <c r="AG233">
        <f>IF(ISNA(AH233),NA(),AG151)</f>
        <v>0</v>
      </c>
      <c r="AH233">
        <f>IF(OR(AH151="",AND(AH151=AH150,AH151=AH152)),NA(), AH151)</f>
        <v>0</v>
      </c>
      <c r="AI233">
        <f>IF(ISNA(AJ233),NA(),AI151)</f>
        <v>0</v>
      </c>
      <c r="AJ233">
        <f>IF(OR(AJ151="",AND(AJ151=AJ150,AJ151=AJ152)),NA(), AJ151)</f>
        <v>0</v>
      </c>
      <c r="AK233">
        <f>IF(ISNA(AL233),NA(),AK151)</f>
        <v>0</v>
      </c>
      <c r="AL233">
        <f>IF(OR(AL151="",AND(AL151=AL150,AL151=AL152)),NA(), AL151)</f>
        <v>0</v>
      </c>
      <c r="AM233">
        <f>IF(ISNA(AN233),NA(),AM151)</f>
        <v>0</v>
      </c>
      <c r="AN233">
        <f>IF(OR(AN151="",AND(AN151=AN150,AN151=AN152)),NA(), AN151)</f>
        <v>0</v>
      </c>
      <c r="AO233">
        <f>IF(ISNA(AP233),NA(),AO151)</f>
        <v>0</v>
      </c>
      <c r="AP233">
        <f>IF(OR(AP151="",AND(AP151=AP150,AP151=AP152)),NA(), AP151)</f>
        <v>0</v>
      </c>
      <c r="AQ233">
        <f>IF(ISNA(AR233),NA(),AQ151)</f>
        <v>0</v>
      </c>
      <c r="AR233">
        <f>IF(OR(AR151="",AND(AR151=AR150,AR151=AR152)),NA(), AR151)</f>
        <v>0</v>
      </c>
      <c r="AS233">
        <f>IF(ISNA(AT233),NA(),AS151)</f>
        <v>0</v>
      </c>
      <c r="AT233">
        <f>IF(OR(AT151="",AND(AT151=AT150,AT151=AT152)),NA(), AT151)</f>
        <v>0</v>
      </c>
      <c r="AU233">
        <f>IF(ISNA(AV233),NA(),AU151)</f>
        <v>0</v>
      </c>
      <c r="AV233">
        <f>IF(OR(AV151="",AND(AV151=AV150,AV151=AV152)),NA(), AV151)</f>
        <v>0</v>
      </c>
      <c r="AW233">
        <f>IF(ISNA(AX233),NA(),AW151)</f>
        <v>0</v>
      </c>
      <c r="AX233">
        <f>IF(OR(AX151="",AND(AX151=AX150,AX151=AX152)),NA(), AX151)</f>
        <v>0</v>
      </c>
      <c r="AY233">
        <f>IF(ISNA(AZ233),NA(),AY151)</f>
        <v>0</v>
      </c>
      <c r="AZ233">
        <f>IF(OR(AZ151="",AND(AZ151=AZ150,AZ151=AZ152)),NA(), AZ151)</f>
        <v>0</v>
      </c>
      <c r="BA233">
        <f>IF(ISNA(BB233),NA(),BA151)</f>
        <v>0</v>
      </c>
      <c r="BB233">
        <f>IF(OR(BB151="",AND(BB151=BB150,BB151=BB152)),NA(), BB151)</f>
        <v>0</v>
      </c>
      <c r="BC233">
        <f>IF(ISNA(BD233),NA(),BC151)</f>
        <v>0</v>
      </c>
      <c r="BD233">
        <f>IF(OR(BD151="",AND(BD151=BD150,BD151=BD152)),NA(), BD151)</f>
        <v>0</v>
      </c>
      <c r="BE233">
        <f>IF(ISNA(BF233),NA(),BE151)</f>
        <v>0</v>
      </c>
      <c r="BF233">
        <f>IF(OR(BF151="",AND(BF151=BF150,BF151=BF152)),NA(), BF151)</f>
        <v>0</v>
      </c>
      <c r="BG233">
        <f>IF(ISNA(BH233),NA(),BG151)</f>
        <v>0</v>
      </c>
      <c r="BH233">
        <f>IF(OR(BH151="",AND(BH151=BH150,BH151=BH152)),NA(), BH151)</f>
        <v>0</v>
      </c>
      <c r="BI233">
        <f>IF(ISNA(BJ233),NA(),BI151)</f>
        <v>0</v>
      </c>
      <c r="BJ233">
        <f>IF(OR(BJ151="",AND(BJ151=BJ150,BJ151=BJ152)),NA(), BJ151)</f>
        <v>0</v>
      </c>
      <c r="BK233">
        <f>IF(ISNA(BL233),NA(),BK151)</f>
        <v>0</v>
      </c>
      <c r="BL233">
        <f>IF(OR(BL151="",AND(BL151=BL150,BL151=BL152)),NA(), BL151)</f>
        <v>0</v>
      </c>
      <c r="BM233">
        <f>IF(ISNA(BN233),NA(),BM151)</f>
        <v>0</v>
      </c>
      <c r="BN233">
        <f>IF(OR(BN151="",AND(BN151=BN150,BN151=BN152)),NA(), BN151)</f>
        <v>0</v>
      </c>
      <c r="BO233">
        <f>IF(ISNA(BP233),NA(),BO151)</f>
        <v>0</v>
      </c>
      <c r="BP233">
        <f>IF(OR(BP151="",AND(BP151=BP150,BP151=BP152)),NA(), BP151)</f>
        <v>0</v>
      </c>
      <c r="BS233">
        <f>IF(ISNA(BT233),NA(),BS151)</f>
        <v>0</v>
      </c>
      <c r="BT233">
        <f>IF(OR(BT151="",AND(BT151=BT150,BT151=BT152)),NA(), BT151)</f>
        <v>0</v>
      </c>
      <c r="BU233">
        <f>IF(ISNA(BV233),NA(),BU151)</f>
        <v>0</v>
      </c>
      <c r="BV233">
        <f>IF(OR(BV151="",AND(BV151=BV150,BV151=BV152)),NA(), BV151)</f>
        <v>0</v>
      </c>
      <c r="BW233">
        <f>IF(ISNA(BX233),NA(),BW151)</f>
        <v>0</v>
      </c>
      <c r="BX233">
        <f>IF(OR(BX151="",AND(BX151=BX150,BX151=BX152)),NA(), BX151)</f>
        <v>0</v>
      </c>
      <c r="BY233">
        <f>IF(ISNA(BZ233),NA(),BY151)</f>
        <v>0</v>
      </c>
      <c r="BZ233">
        <f>IF(OR(BZ151="",AND(BZ151=BZ150,BZ151=BZ152)),NA(), BZ151)</f>
        <v>0</v>
      </c>
      <c r="CA233">
        <f>IF(ISNA(CB233),NA(),CA151)</f>
        <v>0</v>
      </c>
      <c r="CB233">
        <f>IF(OR(CB151="",AND(CB151=CB150,CB151=CB152)),NA(), CB151)</f>
        <v>0</v>
      </c>
      <c r="CC233">
        <f>IF(ISNA(CD233),NA(),CC151)</f>
        <v>0</v>
      </c>
      <c r="CD233">
        <f>IF(OR(CD151="",AND(CD151=CD150,CD151=CD152)),NA(), CD151)</f>
        <v>0</v>
      </c>
      <c r="CE233">
        <f>IF(ISNA(CF233),NA(),CE151)</f>
        <v>0</v>
      </c>
      <c r="CF233">
        <f>IF(OR(CF151="",AND(CF151=CF150,CF151=CF152)),NA(), CF151)</f>
        <v>0</v>
      </c>
      <c r="CG233">
        <f>IF(ISNA(CH233),NA(),CG151)</f>
        <v>0</v>
      </c>
      <c r="CH233">
        <f>IF(OR(CH151="",AND(CH151=CH150,CH151=CH152)),NA(), CH151)</f>
        <v>0</v>
      </c>
      <c r="CI233">
        <f>IF(ISNA(CJ233),NA(),CI151)</f>
        <v>0</v>
      </c>
      <c r="CJ233">
        <f>IF(OR(CJ151="",AND(CJ151=CJ150,CJ151=CJ152)),NA(), CJ151)</f>
        <v>0</v>
      </c>
      <c r="CK233">
        <f>IF(ISNA(CL233),NA(),CK151)</f>
        <v>0</v>
      </c>
      <c r="CL233">
        <f>IF(OR(CL151="",AND(CL151=CL150,CL151=CL152)),NA(), CL151)</f>
        <v>0</v>
      </c>
      <c r="CM233">
        <f>IF(ISNA(CN233),NA(),CM151)</f>
        <v>0</v>
      </c>
      <c r="CN233">
        <f>IF(OR(CN151="",AND(CN151=CN150,CN151=CN152)),NA(), CN151)</f>
        <v>0</v>
      </c>
      <c r="CO233">
        <f>IF(ISNA(CP233),NA(),CO151)</f>
        <v>0</v>
      </c>
      <c r="CP233">
        <f>IF(OR(CP151="",AND(CP151=CP150,CP151=CP152)),NA(), CP151)</f>
        <v>0</v>
      </c>
      <c r="CQ233">
        <f>IF(ISNA(CR233),NA(),CQ151)</f>
        <v>0</v>
      </c>
      <c r="CR233">
        <f>IF(OR(CR151="",AND(CR151=CR150,CR151=CR152)),NA(), CR151)</f>
        <v>0</v>
      </c>
      <c r="CS233">
        <f>IF(ISNA(CT233),NA(),CS151)</f>
        <v>0</v>
      </c>
      <c r="CT233">
        <f>IF(OR(CT151="",AND(CT151=CT150,CT151=CT152)),NA(), CT151)</f>
        <v>0</v>
      </c>
      <c r="CU233">
        <f>IF(ISNA(CV233),NA(),CU151)</f>
        <v>0</v>
      </c>
      <c r="CV233">
        <f>IF(OR(CV151="",AND(CV151=CV150,CV151=CV152)),NA(), CV151)</f>
        <v>0</v>
      </c>
      <c r="CW233">
        <f>IF(ISNA(CX233),NA(),CW151)</f>
        <v>0</v>
      </c>
      <c r="CX233">
        <f>IF(OR(CX151="",AND(CX151=CX150,CX151=CX152)),NA(), CX151)</f>
        <v>0</v>
      </c>
      <c r="CY233">
        <f>IF(ISNA(CZ233),NA(),CY151)</f>
        <v>0</v>
      </c>
      <c r="CZ233">
        <f>IF(OR(CZ151="",AND(CZ151=CZ150,CZ151=CZ152)),NA(), CZ151)</f>
        <v>0</v>
      </c>
      <c r="DA233">
        <f>IF(ISNA(DB233),NA(),DA151)</f>
        <v>0</v>
      </c>
      <c r="DB233">
        <f>IF(OR(DB151="",AND(DB151=DB150,DB151=DB152)),NA(), DB151)</f>
        <v>0</v>
      </c>
      <c r="DC233">
        <f>IF(ISNA(DD233),NA(),DC151)</f>
        <v>0</v>
      </c>
      <c r="DD233">
        <f>IF(OR(DD151="",AND(DD151=DD150,DD151=DD152)),NA(), DD151)</f>
        <v>0</v>
      </c>
      <c r="DE233">
        <f>IF(ISNA(DF233),NA(),DE151)</f>
        <v>0</v>
      </c>
      <c r="DF233">
        <f>IF(OR(DF151="",AND(DF151=DF150,DF151=DF152)),NA(), DF151)</f>
        <v>0</v>
      </c>
      <c r="DG233">
        <f>IF(ISNA(DH233),NA(),DG151)</f>
        <v>0</v>
      </c>
      <c r="DH233">
        <f>IF(OR(DH151="",AND(DH151=DH150,DH151=DH152)),NA(), DH151)</f>
        <v>0</v>
      </c>
      <c r="DI233">
        <f>IF(ISNA(DJ233),NA(),DI151)</f>
        <v>0</v>
      </c>
      <c r="DJ233">
        <f>IF(OR(DJ151="",AND(DJ151=DJ150,DJ151=DJ152)),NA(), DJ151)</f>
        <v>0</v>
      </c>
      <c r="DK233">
        <f>IF(ISNA(DL233),NA(),DK151)</f>
        <v>0</v>
      </c>
      <c r="DL233">
        <f>IF(OR(DL151="",AND(DL151=DL150,DL151=DL152)),NA(), DL151)</f>
        <v>0</v>
      </c>
      <c r="DM233">
        <f>IF(ISNA(DN233),NA(),DM151)</f>
        <v>0</v>
      </c>
      <c r="DN233">
        <f>IF(OR(DN151="",AND(DN151=DN150,DN151=DN152)),NA(), DN151)</f>
        <v>0</v>
      </c>
      <c r="DO233">
        <f>IF(ISNA(DP233),NA(),DO151)</f>
        <v>0</v>
      </c>
      <c r="DP233">
        <f>IF(OR(DP151="",AND(DP151=DP150,DP151=DP152)),NA(), DP151)</f>
        <v>0</v>
      </c>
      <c r="DQ233">
        <f>IF(ISNA(DR233),NA(),DQ151)</f>
        <v>0</v>
      </c>
      <c r="DR233">
        <f>IF(OR(DR151="",AND(DR151=DR150,DR151=DR152)),NA(), DR151)</f>
        <v>0</v>
      </c>
      <c r="DS233">
        <f>IF(ISNA(DT233),NA(),DS151)</f>
        <v>0</v>
      </c>
      <c r="DT233">
        <f>IF(OR(DT151="",AND(DT151=DT150,DT151=DT152)),NA(), DT151)</f>
        <v>0</v>
      </c>
      <c r="DU233">
        <f>IF(ISNA(DV233),NA(),DU151)</f>
        <v>0</v>
      </c>
      <c r="DV233">
        <f>IF(OR(DV151="",AND(DV151=DV150,DV151=DV152)),NA(), DV151)</f>
        <v>0</v>
      </c>
      <c r="DW233">
        <f>IF(ISNA(DX233),NA(),DW151)</f>
        <v>0</v>
      </c>
      <c r="DX233">
        <f>IF(OR(DX151="",AND(DX151=DX150,DX151=DX152)),NA(), DX151)</f>
        <v>0</v>
      </c>
      <c r="DY233">
        <f>IF(ISNA(DZ233),NA(),DY151)</f>
        <v>0</v>
      </c>
      <c r="DZ233">
        <f>IF(OR(DZ151="",AND(DZ151=DZ150,DZ151=DZ152)),NA(), DZ151)</f>
        <v>0</v>
      </c>
      <c r="EA233">
        <f>IF(ISNA(EB233),NA(),EA151)</f>
        <v>0</v>
      </c>
      <c r="EB233">
        <f>IF(OR(EB151="",AND(EB151=EB150,EB151=EB152)),NA(), EB151)</f>
        <v>0</v>
      </c>
      <c r="EC233">
        <f>IF(ISNA(ED233),NA(),EC151)</f>
        <v>0</v>
      </c>
      <c r="ED233">
        <f>IF(OR(ED151="",AND(ED151=ED150,ED151=ED152)),NA(), ED151)</f>
        <v>0</v>
      </c>
    </row>
    <row r="234" spans="5:134">
      <c r="E234">
        <f>IF(ISNA(F234),NA(),E152)</f>
        <v>0</v>
      </c>
      <c r="F234">
        <f>IF(OR(F152="",AND(F152=F151,F152=F153)),NA(), F152)</f>
        <v>0</v>
      </c>
      <c r="G234">
        <f>IF(ISNA(H234),NA(),G152)</f>
        <v>0</v>
      </c>
      <c r="H234">
        <f>IF(OR(H152="",AND(H152=H151,H152=H153)),NA(), H152)</f>
        <v>0</v>
      </c>
      <c r="I234">
        <f>IF(ISNA(J234),NA(),I152)</f>
        <v>0</v>
      </c>
      <c r="J234">
        <f>IF(OR(J152="",AND(J152=J151,J152=J153)),NA(), J152)</f>
        <v>0</v>
      </c>
      <c r="K234">
        <f>IF(ISNA(L234),NA(),K152)</f>
        <v>0</v>
      </c>
      <c r="L234">
        <f>IF(OR(L152="",AND(L152=L151,L152=L153)),NA(), L152)</f>
        <v>0</v>
      </c>
      <c r="M234">
        <f>IF(ISNA(N234),NA(),M152)</f>
        <v>0</v>
      </c>
      <c r="N234">
        <f>IF(OR(N152="",AND(N152=N151,N152=N153)),NA(), N152)</f>
        <v>0</v>
      </c>
      <c r="O234">
        <f>IF(ISNA(P234),NA(),O152)</f>
        <v>0</v>
      </c>
      <c r="P234">
        <f>IF(OR(P152="",AND(P152=P151,P152=P153)),NA(), P152)</f>
        <v>0</v>
      </c>
      <c r="Q234">
        <f>IF(ISNA(R234),NA(),Q152)</f>
        <v>0</v>
      </c>
      <c r="R234">
        <f>IF(OR(R152="",AND(R152=R151,R152=R153)),NA(), R152)</f>
        <v>0</v>
      </c>
      <c r="S234">
        <f>IF(ISNA(T234),NA(),S152)</f>
        <v>0</v>
      </c>
      <c r="T234">
        <f>IF(OR(T152="",AND(T152=T151,T152=T153)),NA(), T152)</f>
        <v>0</v>
      </c>
      <c r="U234">
        <f>IF(ISNA(V234),NA(),U152)</f>
        <v>0</v>
      </c>
      <c r="V234">
        <f>IF(OR(V152="",AND(V152=V151,V152=V153)),NA(), V152)</f>
        <v>0</v>
      </c>
      <c r="W234">
        <f>IF(ISNA(X234),NA(),W152)</f>
        <v>0</v>
      </c>
      <c r="X234">
        <f>IF(OR(X152="",AND(X152=X151,X152=X153)),NA(), X152)</f>
        <v>0</v>
      </c>
      <c r="Y234">
        <f>IF(ISNA(Z234),NA(),Y152)</f>
        <v>0</v>
      </c>
      <c r="Z234">
        <f>IF(OR(Z152="",AND(Z152=Z151,Z152=Z153)),NA(), Z152)</f>
        <v>0</v>
      </c>
      <c r="AA234">
        <f>IF(ISNA(AB234),NA(),AA152)</f>
        <v>0</v>
      </c>
      <c r="AB234">
        <f>IF(OR(AB152="",AND(AB152=AB151,AB152=AB153)),NA(), AB152)</f>
        <v>0</v>
      </c>
      <c r="AC234">
        <f>IF(ISNA(AD234),NA(),AC152)</f>
        <v>0</v>
      </c>
      <c r="AD234">
        <f>IF(OR(AD152="",AND(AD152=AD151,AD152=AD153)),NA(), AD152)</f>
        <v>0</v>
      </c>
      <c r="AE234">
        <f>IF(ISNA(AF234),NA(),AE152)</f>
        <v>0</v>
      </c>
      <c r="AF234">
        <f>IF(OR(AF152="",AND(AF152=AF151,AF152=AF153)),NA(), AF152)</f>
        <v>0</v>
      </c>
      <c r="AG234">
        <f>IF(ISNA(AH234),NA(),AG152)</f>
        <v>0</v>
      </c>
      <c r="AH234">
        <f>IF(OR(AH152="",AND(AH152=AH151,AH152=AH153)),NA(), AH152)</f>
        <v>0</v>
      </c>
      <c r="AI234">
        <f>IF(ISNA(AJ234),NA(),AI152)</f>
        <v>0</v>
      </c>
      <c r="AJ234">
        <f>IF(OR(AJ152="",AND(AJ152=AJ151,AJ152=AJ153)),NA(), AJ152)</f>
        <v>0</v>
      </c>
      <c r="AK234">
        <f>IF(ISNA(AL234),NA(),AK152)</f>
        <v>0</v>
      </c>
      <c r="AL234">
        <f>IF(OR(AL152="",AND(AL152=AL151,AL152=AL153)),NA(), AL152)</f>
        <v>0</v>
      </c>
      <c r="AM234">
        <f>IF(ISNA(AN234),NA(),AM152)</f>
        <v>0</v>
      </c>
      <c r="AN234">
        <f>IF(OR(AN152="",AND(AN152=AN151,AN152=AN153)),NA(), AN152)</f>
        <v>0</v>
      </c>
      <c r="AO234">
        <f>IF(ISNA(AP234),NA(),AO152)</f>
        <v>0</v>
      </c>
      <c r="AP234">
        <f>IF(OR(AP152="",AND(AP152=AP151,AP152=AP153)),NA(), AP152)</f>
        <v>0</v>
      </c>
      <c r="AQ234">
        <f>IF(ISNA(AR234),NA(),AQ152)</f>
        <v>0</v>
      </c>
      <c r="AR234">
        <f>IF(OR(AR152="",AND(AR152=AR151,AR152=AR153)),NA(), AR152)</f>
        <v>0</v>
      </c>
      <c r="AS234">
        <f>IF(ISNA(AT234),NA(),AS152)</f>
        <v>0</v>
      </c>
      <c r="AT234">
        <f>IF(OR(AT152="",AND(AT152=AT151,AT152=AT153)),NA(), AT152)</f>
        <v>0</v>
      </c>
      <c r="AU234">
        <f>IF(ISNA(AV234),NA(),AU152)</f>
        <v>0</v>
      </c>
      <c r="AV234">
        <f>IF(OR(AV152="",AND(AV152=AV151,AV152=AV153)),NA(), AV152)</f>
        <v>0</v>
      </c>
      <c r="AW234">
        <f>IF(ISNA(AX234),NA(),AW152)</f>
        <v>0</v>
      </c>
      <c r="AX234">
        <f>IF(OR(AX152="",AND(AX152=AX151,AX152=AX153)),NA(), AX152)</f>
        <v>0</v>
      </c>
      <c r="AY234">
        <f>IF(ISNA(AZ234),NA(),AY152)</f>
        <v>0</v>
      </c>
      <c r="AZ234">
        <f>IF(OR(AZ152="",AND(AZ152=AZ151,AZ152=AZ153)),NA(), AZ152)</f>
        <v>0</v>
      </c>
      <c r="BA234">
        <f>IF(ISNA(BB234),NA(),BA152)</f>
        <v>0</v>
      </c>
      <c r="BB234">
        <f>IF(OR(BB152="",AND(BB152=BB151,BB152=BB153)),NA(), BB152)</f>
        <v>0</v>
      </c>
      <c r="BC234">
        <f>IF(ISNA(BD234),NA(),BC152)</f>
        <v>0</v>
      </c>
      <c r="BD234">
        <f>IF(OR(BD152="",AND(BD152=BD151,BD152=BD153)),NA(), BD152)</f>
        <v>0</v>
      </c>
      <c r="BE234">
        <f>IF(ISNA(BF234),NA(),BE152)</f>
        <v>0</v>
      </c>
      <c r="BF234">
        <f>IF(OR(BF152="",AND(BF152=BF151,BF152=BF153)),NA(), BF152)</f>
        <v>0</v>
      </c>
      <c r="BG234">
        <f>IF(ISNA(BH234),NA(),BG152)</f>
        <v>0</v>
      </c>
      <c r="BH234">
        <f>IF(OR(BH152="",AND(BH152=BH151,BH152=BH153)),NA(), BH152)</f>
        <v>0</v>
      </c>
      <c r="BI234">
        <f>IF(ISNA(BJ234),NA(),BI152)</f>
        <v>0</v>
      </c>
      <c r="BJ234">
        <f>IF(OR(BJ152="",AND(BJ152=BJ151,BJ152=BJ153)),NA(), BJ152)</f>
        <v>0</v>
      </c>
      <c r="BK234">
        <f>IF(ISNA(BL234),NA(),BK152)</f>
        <v>0</v>
      </c>
      <c r="BL234">
        <f>IF(OR(BL152="",AND(BL152=BL151,BL152=BL153)),NA(), BL152)</f>
        <v>0</v>
      </c>
      <c r="BM234">
        <f>IF(ISNA(BN234),NA(),BM152)</f>
        <v>0</v>
      </c>
      <c r="BN234">
        <f>IF(OR(BN152="",AND(BN152=BN151,BN152=BN153)),NA(), BN152)</f>
        <v>0</v>
      </c>
      <c r="BO234">
        <f>IF(ISNA(BP234),NA(),BO152)</f>
        <v>0</v>
      </c>
      <c r="BP234">
        <f>IF(OR(BP152="",AND(BP152=BP151,BP152=BP153)),NA(), BP152)</f>
        <v>0</v>
      </c>
      <c r="BS234">
        <f>IF(ISNA(BT234),NA(),BS152)</f>
        <v>0</v>
      </c>
      <c r="BT234">
        <f>IF(OR(BT152="",AND(BT152=BT151,BT152=BT153)),NA(), BT152)</f>
        <v>0</v>
      </c>
      <c r="BU234">
        <f>IF(ISNA(BV234),NA(),BU152)</f>
        <v>0</v>
      </c>
      <c r="BV234">
        <f>IF(OR(BV152="",AND(BV152=BV151,BV152=BV153)),NA(), BV152)</f>
        <v>0</v>
      </c>
      <c r="BW234">
        <f>IF(ISNA(BX234),NA(),BW152)</f>
        <v>0</v>
      </c>
      <c r="BX234">
        <f>IF(OR(BX152="",AND(BX152=BX151,BX152=BX153)),NA(), BX152)</f>
        <v>0</v>
      </c>
      <c r="BY234">
        <f>IF(ISNA(BZ234),NA(),BY152)</f>
        <v>0</v>
      </c>
      <c r="BZ234">
        <f>IF(OR(BZ152="",AND(BZ152=BZ151,BZ152=BZ153)),NA(), BZ152)</f>
        <v>0</v>
      </c>
      <c r="CA234">
        <f>IF(ISNA(CB234),NA(),CA152)</f>
        <v>0</v>
      </c>
      <c r="CB234">
        <f>IF(OR(CB152="",AND(CB152=CB151,CB152=CB153)),NA(), CB152)</f>
        <v>0</v>
      </c>
      <c r="CC234">
        <f>IF(ISNA(CD234),NA(),CC152)</f>
        <v>0</v>
      </c>
      <c r="CD234">
        <f>IF(OR(CD152="",AND(CD152=CD151,CD152=CD153)),NA(), CD152)</f>
        <v>0</v>
      </c>
      <c r="CE234">
        <f>IF(ISNA(CF234),NA(),CE152)</f>
        <v>0</v>
      </c>
      <c r="CF234">
        <f>IF(OR(CF152="",AND(CF152=CF151,CF152=CF153)),NA(), CF152)</f>
        <v>0</v>
      </c>
      <c r="CG234">
        <f>IF(ISNA(CH234),NA(),CG152)</f>
        <v>0</v>
      </c>
      <c r="CH234">
        <f>IF(OR(CH152="",AND(CH152=CH151,CH152=CH153)),NA(), CH152)</f>
        <v>0</v>
      </c>
      <c r="CI234">
        <f>IF(ISNA(CJ234),NA(),CI152)</f>
        <v>0</v>
      </c>
      <c r="CJ234">
        <f>IF(OR(CJ152="",AND(CJ152=CJ151,CJ152=CJ153)),NA(), CJ152)</f>
        <v>0</v>
      </c>
      <c r="CK234">
        <f>IF(ISNA(CL234),NA(),CK152)</f>
        <v>0</v>
      </c>
      <c r="CL234">
        <f>IF(OR(CL152="",AND(CL152=CL151,CL152=CL153)),NA(), CL152)</f>
        <v>0</v>
      </c>
      <c r="CM234">
        <f>IF(ISNA(CN234),NA(),CM152)</f>
        <v>0</v>
      </c>
      <c r="CN234">
        <f>IF(OR(CN152="",AND(CN152=CN151,CN152=CN153)),NA(), CN152)</f>
        <v>0</v>
      </c>
      <c r="CO234">
        <f>IF(ISNA(CP234),NA(),CO152)</f>
        <v>0</v>
      </c>
      <c r="CP234">
        <f>IF(OR(CP152="",AND(CP152=CP151,CP152=CP153)),NA(), CP152)</f>
        <v>0</v>
      </c>
      <c r="CQ234">
        <f>IF(ISNA(CR234),NA(),CQ152)</f>
        <v>0</v>
      </c>
      <c r="CR234">
        <f>IF(OR(CR152="",AND(CR152=CR151,CR152=CR153)),NA(), CR152)</f>
        <v>0</v>
      </c>
      <c r="CS234">
        <f>IF(ISNA(CT234),NA(),CS152)</f>
        <v>0</v>
      </c>
      <c r="CT234">
        <f>IF(OR(CT152="",AND(CT152=CT151,CT152=CT153)),NA(), CT152)</f>
        <v>0</v>
      </c>
      <c r="CU234">
        <f>IF(ISNA(CV234),NA(),CU152)</f>
        <v>0</v>
      </c>
      <c r="CV234">
        <f>IF(OR(CV152="",AND(CV152=CV151,CV152=CV153)),NA(), CV152)</f>
        <v>0</v>
      </c>
      <c r="CW234">
        <f>IF(ISNA(CX234),NA(),CW152)</f>
        <v>0</v>
      </c>
      <c r="CX234">
        <f>IF(OR(CX152="",AND(CX152=CX151,CX152=CX153)),NA(), CX152)</f>
        <v>0</v>
      </c>
      <c r="CY234">
        <f>IF(ISNA(CZ234),NA(),CY152)</f>
        <v>0</v>
      </c>
      <c r="CZ234">
        <f>IF(OR(CZ152="",AND(CZ152=CZ151,CZ152=CZ153)),NA(), CZ152)</f>
        <v>0</v>
      </c>
      <c r="DA234">
        <f>IF(ISNA(DB234),NA(),DA152)</f>
        <v>0</v>
      </c>
      <c r="DB234">
        <f>IF(OR(DB152="",AND(DB152=DB151,DB152=DB153)),NA(), DB152)</f>
        <v>0</v>
      </c>
      <c r="DC234">
        <f>IF(ISNA(DD234),NA(),DC152)</f>
        <v>0</v>
      </c>
      <c r="DD234">
        <f>IF(OR(DD152="",AND(DD152=DD151,DD152=DD153)),NA(), DD152)</f>
        <v>0</v>
      </c>
      <c r="DE234">
        <f>IF(ISNA(DF234),NA(),DE152)</f>
        <v>0</v>
      </c>
      <c r="DF234">
        <f>IF(OR(DF152="",AND(DF152=DF151,DF152=DF153)),NA(), DF152)</f>
        <v>0</v>
      </c>
      <c r="DG234">
        <f>IF(ISNA(DH234),NA(),DG152)</f>
        <v>0</v>
      </c>
      <c r="DH234">
        <f>IF(OR(DH152="",AND(DH152=DH151,DH152=DH153)),NA(), DH152)</f>
        <v>0</v>
      </c>
      <c r="DI234">
        <f>IF(ISNA(DJ234),NA(),DI152)</f>
        <v>0</v>
      </c>
      <c r="DJ234">
        <f>IF(OR(DJ152="",AND(DJ152=DJ151,DJ152=DJ153)),NA(), DJ152)</f>
        <v>0</v>
      </c>
      <c r="DK234">
        <f>IF(ISNA(DL234),NA(),DK152)</f>
        <v>0</v>
      </c>
      <c r="DL234">
        <f>IF(OR(DL152="",AND(DL152=DL151,DL152=DL153)),NA(), DL152)</f>
        <v>0</v>
      </c>
      <c r="DM234">
        <f>IF(ISNA(DN234),NA(),DM152)</f>
        <v>0</v>
      </c>
      <c r="DN234">
        <f>IF(OR(DN152="",AND(DN152=DN151,DN152=DN153)),NA(), DN152)</f>
        <v>0</v>
      </c>
      <c r="DO234">
        <f>IF(ISNA(DP234),NA(),DO152)</f>
        <v>0</v>
      </c>
      <c r="DP234">
        <f>IF(OR(DP152="",AND(DP152=DP151,DP152=DP153)),NA(), DP152)</f>
        <v>0</v>
      </c>
      <c r="DQ234">
        <f>IF(ISNA(DR234),NA(),DQ152)</f>
        <v>0</v>
      </c>
      <c r="DR234">
        <f>IF(OR(DR152="",AND(DR152=DR151,DR152=DR153)),NA(), DR152)</f>
        <v>0</v>
      </c>
      <c r="DS234">
        <f>IF(ISNA(DT234),NA(),DS152)</f>
        <v>0</v>
      </c>
      <c r="DT234">
        <f>IF(OR(DT152="",AND(DT152=DT151,DT152=DT153)),NA(), DT152)</f>
        <v>0</v>
      </c>
      <c r="DU234">
        <f>IF(ISNA(DV234),NA(),DU152)</f>
        <v>0</v>
      </c>
      <c r="DV234">
        <f>IF(OR(DV152="",AND(DV152=DV151,DV152=DV153)),NA(), DV152)</f>
        <v>0</v>
      </c>
      <c r="DW234">
        <f>IF(ISNA(DX234),NA(),DW152)</f>
        <v>0</v>
      </c>
      <c r="DX234">
        <f>IF(OR(DX152="",AND(DX152=DX151,DX152=DX153)),NA(), DX152)</f>
        <v>0</v>
      </c>
      <c r="DY234">
        <f>IF(ISNA(DZ234),NA(),DY152)</f>
        <v>0</v>
      </c>
      <c r="DZ234">
        <f>IF(OR(DZ152="",AND(DZ152=DZ151,DZ152=DZ153)),NA(), DZ152)</f>
        <v>0</v>
      </c>
      <c r="EA234">
        <f>IF(ISNA(EB234),NA(),EA152)</f>
        <v>0</v>
      </c>
      <c r="EB234">
        <f>IF(OR(EB152="",AND(EB152=EB151,EB152=EB153)),NA(), EB152)</f>
        <v>0</v>
      </c>
      <c r="EC234">
        <f>IF(ISNA(ED234),NA(),EC152)</f>
        <v>0</v>
      </c>
      <c r="ED234">
        <f>IF(OR(ED152="",AND(ED152=ED151,ED152=ED153)),NA(), ED152)</f>
        <v>0</v>
      </c>
    </row>
    <row r="235" spans="5:134">
      <c r="E235">
        <f>IF(ISNA(F235),NA(),E153)</f>
        <v>0</v>
      </c>
      <c r="F235">
        <f>IF(OR(F153="",AND(F153=F152,F153=F154)),NA(), F153)</f>
        <v>0</v>
      </c>
      <c r="G235">
        <f>IF(ISNA(H235),NA(),G153)</f>
        <v>0</v>
      </c>
      <c r="H235">
        <f>IF(OR(H153="",AND(H153=H152,H153=H154)),NA(), H153)</f>
        <v>0</v>
      </c>
      <c r="I235">
        <f>IF(ISNA(J235),NA(),I153)</f>
        <v>0</v>
      </c>
      <c r="J235">
        <f>IF(OR(J153="",AND(J153=J152,J153=J154)),NA(), J153)</f>
        <v>0</v>
      </c>
      <c r="K235">
        <f>IF(ISNA(L235),NA(),K153)</f>
        <v>0</v>
      </c>
      <c r="L235">
        <f>IF(OR(L153="",AND(L153=L152,L153=L154)),NA(), L153)</f>
        <v>0</v>
      </c>
      <c r="M235">
        <f>IF(ISNA(N235),NA(),M153)</f>
        <v>0</v>
      </c>
      <c r="N235">
        <f>IF(OR(N153="",AND(N153=N152,N153=N154)),NA(), N153)</f>
        <v>0</v>
      </c>
      <c r="O235">
        <f>IF(ISNA(P235),NA(),O153)</f>
        <v>0</v>
      </c>
      <c r="P235">
        <f>IF(OR(P153="",AND(P153=P152,P153=P154)),NA(), P153)</f>
        <v>0</v>
      </c>
      <c r="Q235">
        <f>IF(ISNA(R235),NA(),Q153)</f>
        <v>0</v>
      </c>
      <c r="R235">
        <f>IF(OR(R153="",AND(R153=R152,R153=R154)),NA(), R153)</f>
        <v>0</v>
      </c>
      <c r="S235">
        <f>IF(ISNA(T235),NA(),S153)</f>
        <v>0</v>
      </c>
      <c r="T235">
        <f>IF(OR(T153="",AND(T153=T152,T153=T154)),NA(), T153)</f>
        <v>0</v>
      </c>
      <c r="U235">
        <f>IF(ISNA(V235),NA(),U153)</f>
        <v>0</v>
      </c>
      <c r="V235">
        <f>IF(OR(V153="",AND(V153=V152,V153=V154)),NA(), V153)</f>
        <v>0</v>
      </c>
      <c r="W235">
        <f>IF(ISNA(X235),NA(),W153)</f>
        <v>0</v>
      </c>
      <c r="X235">
        <f>IF(OR(X153="",AND(X153=X152,X153=X154)),NA(), X153)</f>
        <v>0</v>
      </c>
      <c r="Y235">
        <f>IF(ISNA(Z235),NA(),Y153)</f>
        <v>0</v>
      </c>
      <c r="Z235">
        <f>IF(OR(Z153="",AND(Z153=Z152,Z153=Z154)),NA(), Z153)</f>
        <v>0</v>
      </c>
      <c r="AA235">
        <f>IF(ISNA(AB235),NA(),AA153)</f>
        <v>0</v>
      </c>
      <c r="AB235">
        <f>IF(OR(AB153="",AND(AB153=AB152,AB153=AB154)),NA(), AB153)</f>
        <v>0</v>
      </c>
      <c r="AC235">
        <f>IF(ISNA(AD235),NA(),AC153)</f>
        <v>0</v>
      </c>
      <c r="AD235">
        <f>IF(OR(AD153="",AND(AD153=AD152,AD153=AD154)),NA(), AD153)</f>
        <v>0</v>
      </c>
      <c r="AE235">
        <f>IF(ISNA(AF235),NA(),AE153)</f>
        <v>0</v>
      </c>
      <c r="AF235">
        <f>IF(OR(AF153="",AND(AF153=AF152,AF153=AF154)),NA(), AF153)</f>
        <v>0</v>
      </c>
      <c r="AG235">
        <f>IF(ISNA(AH235),NA(),AG153)</f>
        <v>0</v>
      </c>
      <c r="AH235">
        <f>IF(OR(AH153="",AND(AH153=AH152,AH153=AH154)),NA(), AH153)</f>
        <v>0</v>
      </c>
      <c r="AI235">
        <f>IF(ISNA(AJ235),NA(),AI153)</f>
        <v>0</v>
      </c>
      <c r="AJ235">
        <f>IF(OR(AJ153="",AND(AJ153=AJ152,AJ153=AJ154)),NA(), AJ153)</f>
        <v>0</v>
      </c>
      <c r="AK235">
        <f>IF(ISNA(AL235),NA(),AK153)</f>
        <v>0</v>
      </c>
      <c r="AL235">
        <f>IF(OR(AL153="",AND(AL153=AL152,AL153=AL154)),NA(), AL153)</f>
        <v>0</v>
      </c>
      <c r="AM235">
        <f>IF(ISNA(AN235),NA(),AM153)</f>
        <v>0</v>
      </c>
      <c r="AN235">
        <f>IF(OR(AN153="",AND(AN153=AN152,AN153=AN154)),NA(), AN153)</f>
        <v>0</v>
      </c>
      <c r="AO235">
        <f>IF(ISNA(AP235),NA(),AO153)</f>
        <v>0</v>
      </c>
      <c r="AP235">
        <f>IF(OR(AP153="",AND(AP153=AP152,AP153=AP154)),NA(), AP153)</f>
        <v>0</v>
      </c>
      <c r="AQ235">
        <f>IF(ISNA(AR235),NA(),AQ153)</f>
        <v>0</v>
      </c>
      <c r="AR235">
        <f>IF(OR(AR153="",AND(AR153=AR152,AR153=AR154)),NA(), AR153)</f>
        <v>0</v>
      </c>
      <c r="AS235">
        <f>IF(ISNA(AT235),NA(),AS153)</f>
        <v>0</v>
      </c>
      <c r="AT235">
        <f>IF(OR(AT153="",AND(AT153=AT152,AT153=AT154)),NA(), AT153)</f>
        <v>0</v>
      </c>
      <c r="AU235">
        <f>IF(ISNA(AV235),NA(),AU153)</f>
        <v>0</v>
      </c>
      <c r="AV235">
        <f>IF(OR(AV153="",AND(AV153=AV152,AV153=AV154)),NA(), AV153)</f>
        <v>0</v>
      </c>
      <c r="AW235">
        <f>IF(ISNA(AX235),NA(),AW153)</f>
        <v>0</v>
      </c>
      <c r="AX235">
        <f>IF(OR(AX153="",AND(AX153=AX152,AX153=AX154)),NA(), AX153)</f>
        <v>0</v>
      </c>
      <c r="AY235">
        <f>IF(ISNA(AZ235),NA(),AY153)</f>
        <v>0</v>
      </c>
      <c r="AZ235">
        <f>IF(OR(AZ153="",AND(AZ153=AZ152,AZ153=AZ154)),NA(), AZ153)</f>
        <v>0</v>
      </c>
      <c r="BA235">
        <f>IF(ISNA(BB235),NA(),BA153)</f>
        <v>0</v>
      </c>
      <c r="BB235">
        <f>IF(OR(BB153="",AND(BB153=BB152,BB153=BB154)),NA(), BB153)</f>
        <v>0</v>
      </c>
      <c r="BC235">
        <f>IF(ISNA(BD235),NA(),BC153)</f>
        <v>0</v>
      </c>
      <c r="BD235">
        <f>IF(OR(BD153="",AND(BD153=BD152,BD153=BD154)),NA(), BD153)</f>
        <v>0</v>
      </c>
      <c r="BE235">
        <f>IF(ISNA(BF235),NA(),BE153)</f>
        <v>0</v>
      </c>
      <c r="BF235">
        <f>IF(OR(BF153="",AND(BF153=BF152,BF153=BF154)),NA(), BF153)</f>
        <v>0</v>
      </c>
      <c r="BG235">
        <f>IF(ISNA(BH235),NA(),BG153)</f>
        <v>0</v>
      </c>
      <c r="BH235">
        <f>IF(OR(BH153="",AND(BH153=BH152,BH153=BH154)),NA(), BH153)</f>
        <v>0</v>
      </c>
      <c r="BI235">
        <f>IF(ISNA(BJ235),NA(),BI153)</f>
        <v>0</v>
      </c>
      <c r="BJ235">
        <f>IF(OR(BJ153="",AND(BJ153=BJ152,BJ153=BJ154)),NA(), BJ153)</f>
        <v>0</v>
      </c>
      <c r="BK235">
        <f>IF(ISNA(BL235),NA(),BK153)</f>
        <v>0</v>
      </c>
      <c r="BL235">
        <f>IF(OR(BL153="",AND(BL153=BL152,BL153=BL154)),NA(), BL153)</f>
        <v>0</v>
      </c>
      <c r="BM235">
        <f>IF(ISNA(BN235),NA(),BM153)</f>
        <v>0</v>
      </c>
      <c r="BN235">
        <f>IF(OR(BN153="",AND(BN153=BN152,BN153=BN154)),NA(), BN153)</f>
        <v>0</v>
      </c>
      <c r="BO235">
        <f>IF(ISNA(BP235),NA(),BO153)</f>
        <v>0</v>
      </c>
      <c r="BP235">
        <f>IF(OR(BP153="",AND(BP153=BP152,BP153=BP154)),NA(), BP153)</f>
        <v>0</v>
      </c>
      <c r="BS235">
        <f>IF(ISNA(BT235),NA(),BS153)</f>
        <v>0</v>
      </c>
      <c r="BT235">
        <f>IF(OR(BT153="",AND(BT153=BT152,BT153=BT154)),NA(), BT153)</f>
        <v>0</v>
      </c>
      <c r="BU235">
        <f>IF(ISNA(BV235),NA(),BU153)</f>
        <v>0</v>
      </c>
      <c r="BV235">
        <f>IF(OR(BV153="",AND(BV153=BV152,BV153=BV154)),NA(), BV153)</f>
        <v>0</v>
      </c>
      <c r="BW235">
        <f>IF(ISNA(BX235),NA(),BW153)</f>
        <v>0</v>
      </c>
      <c r="BX235">
        <f>IF(OR(BX153="",AND(BX153=BX152,BX153=BX154)),NA(), BX153)</f>
        <v>0</v>
      </c>
      <c r="BY235">
        <f>IF(ISNA(BZ235),NA(),BY153)</f>
        <v>0</v>
      </c>
      <c r="BZ235">
        <f>IF(OR(BZ153="",AND(BZ153=BZ152,BZ153=BZ154)),NA(), BZ153)</f>
        <v>0</v>
      </c>
      <c r="CA235">
        <f>IF(ISNA(CB235),NA(),CA153)</f>
        <v>0</v>
      </c>
      <c r="CB235">
        <f>IF(OR(CB153="",AND(CB153=CB152,CB153=CB154)),NA(), CB153)</f>
        <v>0</v>
      </c>
      <c r="CC235">
        <f>IF(ISNA(CD235),NA(),CC153)</f>
        <v>0</v>
      </c>
      <c r="CD235">
        <f>IF(OR(CD153="",AND(CD153=CD152,CD153=CD154)),NA(), CD153)</f>
        <v>0</v>
      </c>
      <c r="CE235">
        <f>IF(ISNA(CF235),NA(),CE153)</f>
        <v>0</v>
      </c>
      <c r="CF235">
        <f>IF(OR(CF153="",AND(CF153=CF152,CF153=CF154)),NA(), CF153)</f>
        <v>0</v>
      </c>
      <c r="CG235">
        <f>IF(ISNA(CH235),NA(),CG153)</f>
        <v>0</v>
      </c>
      <c r="CH235">
        <f>IF(OR(CH153="",AND(CH153=CH152,CH153=CH154)),NA(), CH153)</f>
        <v>0</v>
      </c>
      <c r="CI235">
        <f>IF(ISNA(CJ235),NA(),CI153)</f>
        <v>0</v>
      </c>
      <c r="CJ235">
        <f>IF(OR(CJ153="",AND(CJ153=CJ152,CJ153=CJ154)),NA(), CJ153)</f>
        <v>0</v>
      </c>
      <c r="CK235">
        <f>IF(ISNA(CL235),NA(),CK153)</f>
        <v>0</v>
      </c>
      <c r="CL235">
        <f>IF(OR(CL153="",AND(CL153=CL152,CL153=CL154)),NA(), CL153)</f>
        <v>0</v>
      </c>
      <c r="CM235">
        <f>IF(ISNA(CN235),NA(),CM153)</f>
        <v>0</v>
      </c>
      <c r="CN235">
        <f>IF(OR(CN153="",AND(CN153=CN152,CN153=CN154)),NA(), CN153)</f>
        <v>0</v>
      </c>
      <c r="CO235">
        <f>IF(ISNA(CP235),NA(),CO153)</f>
        <v>0</v>
      </c>
      <c r="CP235">
        <f>IF(OR(CP153="",AND(CP153=CP152,CP153=CP154)),NA(), CP153)</f>
        <v>0</v>
      </c>
      <c r="CQ235">
        <f>IF(ISNA(CR235),NA(),CQ153)</f>
        <v>0</v>
      </c>
      <c r="CR235">
        <f>IF(OR(CR153="",AND(CR153=CR152,CR153=CR154)),NA(), CR153)</f>
        <v>0</v>
      </c>
      <c r="CS235">
        <f>IF(ISNA(CT235),NA(),CS153)</f>
        <v>0</v>
      </c>
      <c r="CT235">
        <f>IF(OR(CT153="",AND(CT153=CT152,CT153=CT154)),NA(), CT153)</f>
        <v>0</v>
      </c>
      <c r="CU235">
        <f>IF(ISNA(CV235),NA(),CU153)</f>
        <v>0</v>
      </c>
      <c r="CV235">
        <f>IF(OR(CV153="",AND(CV153=CV152,CV153=CV154)),NA(), CV153)</f>
        <v>0</v>
      </c>
      <c r="CW235">
        <f>IF(ISNA(CX235),NA(),CW153)</f>
        <v>0</v>
      </c>
      <c r="CX235">
        <f>IF(OR(CX153="",AND(CX153=CX152,CX153=CX154)),NA(), CX153)</f>
        <v>0</v>
      </c>
      <c r="CY235">
        <f>IF(ISNA(CZ235),NA(),CY153)</f>
        <v>0</v>
      </c>
      <c r="CZ235">
        <f>IF(OR(CZ153="",AND(CZ153=CZ152,CZ153=CZ154)),NA(), CZ153)</f>
        <v>0</v>
      </c>
      <c r="DA235">
        <f>IF(ISNA(DB235),NA(),DA153)</f>
        <v>0</v>
      </c>
      <c r="DB235">
        <f>IF(OR(DB153="",AND(DB153=DB152,DB153=DB154)),NA(), DB153)</f>
        <v>0</v>
      </c>
      <c r="DC235">
        <f>IF(ISNA(DD235),NA(),DC153)</f>
        <v>0</v>
      </c>
      <c r="DD235">
        <f>IF(OR(DD153="",AND(DD153=DD152,DD153=DD154)),NA(), DD153)</f>
        <v>0</v>
      </c>
      <c r="DE235">
        <f>IF(ISNA(DF235),NA(),DE153)</f>
        <v>0</v>
      </c>
      <c r="DF235">
        <f>IF(OR(DF153="",AND(DF153=DF152,DF153=DF154)),NA(), DF153)</f>
        <v>0</v>
      </c>
      <c r="DG235">
        <f>IF(ISNA(DH235),NA(),DG153)</f>
        <v>0</v>
      </c>
      <c r="DH235">
        <f>IF(OR(DH153="",AND(DH153=DH152,DH153=DH154)),NA(), DH153)</f>
        <v>0</v>
      </c>
      <c r="DI235">
        <f>IF(ISNA(DJ235),NA(),DI153)</f>
        <v>0</v>
      </c>
      <c r="DJ235">
        <f>IF(OR(DJ153="",AND(DJ153=DJ152,DJ153=DJ154)),NA(), DJ153)</f>
        <v>0</v>
      </c>
      <c r="DK235">
        <f>IF(ISNA(DL235),NA(),DK153)</f>
        <v>0</v>
      </c>
      <c r="DL235">
        <f>IF(OR(DL153="",AND(DL153=DL152,DL153=DL154)),NA(), DL153)</f>
        <v>0</v>
      </c>
      <c r="DM235">
        <f>IF(ISNA(DN235),NA(),DM153)</f>
        <v>0</v>
      </c>
      <c r="DN235">
        <f>IF(OR(DN153="",AND(DN153=DN152,DN153=DN154)),NA(), DN153)</f>
        <v>0</v>
      </c>
      <c r="DO235">
        <f>IF(ISNA(DP235),NA(),DO153)</f>
        <v>0</v>
      </c>
      <c r="DP235">
        <f>IF(OR(DP153="",AND(DP153=DP152,DP153=DP154)),NA(), DP153)</f>
        <v>0</v>
      </c>
      <c r="DQ235">
        <f>IF(ISNA(DR235),NA(),DQ153)</f>
        <v>0</v>
      </c>
      <c r="DR235">
        <f>IF(OR(DR153="",AND(DR153=DR152,DR153=DR154)),NA(), DR153)</f>
        <v>0</v>
      </c>
      <c r="DS235">
        <f>IF(ISNA(DT235),NA(),DS153)</f>
        <v>0</v>
      </c>
      <c r="DT235">
        <f>IF(OR(DT153="",AND(DT153=DT152,DT153=DT154)),NA(), DT153)</f>
        <v>0</v>
      </c>
      <c r="DU235">
        <f>IF(ISNA(DV235),NA(),DU153)</f>
        <v>0</v>
      </c>
      <c r="DV235">
        <f>IF(OR(DV153="",AND(DV153=DV152,DV153=DV154)),NA(), DV153)</f>
        <v>0</v>
      </c>
      <c r="DW235">
        <f>IF(ISNA(DX235),NA(),DW153)</f>
        <v>0</v>
      </c>
      <c r="DX235">
        <f>IF(OR(DX153="",AND(DX153=DX152,DX153=DX154)),NA(), DX153)</f>
        <v>0</v>
      </c>
      <c r="DY235">
        <f>IF(ISNA(DZ235),NA(),DY153)</f>
        <v>0</v>
      </c>
      <c r="DZ235">
        <f>IF(OR(DZ153="",AND(DZ153=DZ152,DZ153=DZ154)),NA(), DZ153)</f>
        <v>0</v>
      </c>
      <c r="EA235">
        <f>IF(ISNA(EB235),NA(),EA153)</f>
        <v>0</v>
      </c>
      <c r="EB235">
        <f>IF(OR(EB153="",AND(EB153=EB152,EB153=EB154)),NA(), EB153)</f>
        <v>0</v>
      </c>
      <c r="EC235">
        <f>IF(ISNA(ED235),NA(),EC153)</f>
        <v>0</v>
      </c>
      <c r="ED235">
        <f>IF(OR(ED153="",AND(ED153=ED152,ED153=ED154)),NA(), ED153)</f>
        <v>0</v>
      </c>
    </row>
    <row r="236" spans="5:134">
      <c r="E236">
        <f>IF(ISNA(F236),NA(),E154)</f>
        <v>0</v>
      </c>
      <c r="F236">
        <f>IF(OR(F154="",AND(F154=F153,F154=F155)),NA(), F154)</f>
        <v>0</v>
      </c>
      <c r="G236">
        <f>IF(ISNA(H236),NA(),G154)</f>
        <v>0</v>
      </c>
      <c r="H236">
        <f>IF(OR(H154="",AND(H154=H153,H154=H155)),NA(), H154)</f>
        <v>0</v>
      </c>
      <c r="I236">
        <f>IF(ISNA(J236),NA(),I154)</f>
        <v>0</v>
      </c>
      <c r="J236">
        <f>IF(OR(J154="",AND(J154=J153,J154=J155)),NA(), J154)</f>
        <v>0</v>
      </c>
      <c r="K236">
        <f>IF(ISNA(L236),NA(),K154)</f>
        <v>0</v>
      </c>
      <c r="L236">
        <f>IF(OR(L154="",AND(L154=L153,L154=L155)),NA(), L154)</f>
        <v>0</v>
      </c>
      <c r="M236">
        <f>IF(ISNA(N236),NA(),M154)</f>
        <v>0</v>
      </c>
      <c r="N236">
        <f>IF(OR(N154="",AND(N154=N153,N154=N155)),NA(), N154)</f>
        <v>0</v>
      </c>
      <c r="O236">
        <f>IF(ISNA(P236),NA(),O154)</f>
        <v>0</v>
      </c>
      <c r="P236">
        <f>IF(OR(P154="",AND(P154=P153,P154=P155)),NA(), P154)</f>
        <v>0</v>
      </c>
      <c r="Q236">
        <f>IF(ISNA(R236),NA(),Q154)</f>
        <v>0</v>
      </c>
      <c r="R236">
        <f>IF(OR(R154="",AND(R154=R153,R154=R155)),NA(), R154)</f>
        <v>0</v>
      </c>
      <c r="S236">
        <f>IF(ISNA(T236),NA(),S154)</f>
        <v>0</v>
      </c>
      <c r="T236">
        <f>IF(OR(T154="",AND(T154=T153,T154=T155)),NA(), T154)</f>
        <v>0</v>
      </c>
      <c r="U236">
        <f>IF(ISNA(V236),NA(),U154)</f>
        <v>0</v>
      </c>
      <c r="V236">
        <f>IF(OR(V154="",AND(V154=V153,V154=V155)),NA(), V154)</f>
        <v>0</v>
      </c>
      <c r="W236">
        <f>IF(ISNA(X236),NA(),W154)</f>
        <v>0</v>
      </c>
      <c r="X236">
        <f>IF(OR(X154="",AND(X154=X153,X154=X155)),NA(), X154)</f>
        <v>0</v>
      </c>
      <c r="Y236">
        <f>IF(ISNA(Z236),NA(),Y154)</f>
        <v>0</v>
      </c>
      <c r="Z236">
        <f>IF(OR(Z154="",AND(Z154=Z153,Z154=Z155)),NA(), Z154)</f>
        <v>0</v>
      </c>
      <c r="AA236">
        <f>IF(ISNA(AB236),NA(),AA154)</f>
        <v>0</v>
      </c>
      <c r="AB236">
        <f>IF(OR(AB154="",AND(AB154=AB153,AB154=AB155)),NA(), AB154)</f>
        <v>0</v>
      </c>
      <c r="AC236">
        <f>IF(ISNA(AD236),NA(),AC154)</f>
        <v>0</v>
      </c>
      <c r="AD236">
        <f>IF(OR(AD154="",AND(AD154=AD153,AD154=AD155)),NA(), AD154)</f>
        <v>0</v>
      </c>
      <c r="AE236">
        <f>IF(ISNA(AF236),NA(),AE154)</f>
        <v>0</v>
      </c>
      <c r="AF236">
        <f>IF(OR(AF154="",AND(AF154=AF153,AF154=AF155)),NA(), AF154)</f>
        <v>0</v>
      </c>
      <c r="AG236">
        <f>IF(ISNA(AH236),NA(),AG154)</f>
        <v>0</v>
      </c>
      <c r="AH236">
        <f>IF(OR(AH154="",AND(AH154=AH153,AH154=AH155)),NA(), AH154)</f>
        <v>0</v>
      </c>
      <c r="AI236">
        <f>IF(ISNA(AJ236),NA(),AI154)</f>
        <v>0</v>
      </c>
      <c r="AJ236">
        <f>IF(OR(AJ154="",AND(AJ154=AJ153,AJ154=AJ155)),NA(), AJ154)</f>
        <v>0</v>
      </c>
      <c r="AK236">
        <f>IF(ISNA(AL236),NA(),AK154)</f>
        <v>0</v>
      </c>
      <c r="AL236">
        <f>IF(OR(AL154="",AND(AL154=AL153,AL154=AL155)),NA(), AL154)</f>
        <v>0</v>
      </c>
      <c r="AM236">
        <f>IF(ISNA(AN236),NA(),AM154)</f>
        <v>0</v>
      </c>
      <c r="AN236">
        <f>IF(OR(AN154="",AND(AN154=AN153,AN154=AN155)),NA(), AN154)</f>
        <v>0</v>
      </c>
      <c r="AO236">
        <f>IF(ISNA(AP236),NA(),AO154)</f>
        <v>0</v>
      </c>
      <c r="AP236">
        <f>IF(OR(AP154="",AND(AP154=AP153,AP154=AP155)),NA(), AP154)</f>
        <v>0</v>
      </c>
      <c r="AQ236">
        <f>IF(ISNA(AR236),NA(),AQ154)</f>
        <v>0</v>
      </c>
      <c r="AR236">
        <f>IF(OR(AR154="",AND(AR154=AR153,AR154=AR155)),NA(), AR154)</f>
        <v>0</v>
      </c>
      <c r="AS236">
        <f>IF(ISNA(AT236),NA(),AS154)</f>
        <v>0</v>
      </c>
      <c r="AT236">
        <f>IF(OR(AT154="",AND(AT154=AT153,AT154=AT155)),NA(), AT154)</f>
        <v>0</v>
      </c>
      <c r="AU236">
        <f>IF(ISNA(AV236),NA(),AU154)</f>
        <v>0</v>
      </c>
      <c r="AV236">
        <f>IF(OR(AV154="",AND(AV154=AV153,AV154=AV155)),NA(), AV154)</f>
        <v>0</v>
      </c>
      <c r="AW236">
        <f>IF(ISNA(AX236),NA(),AW154)</f>
        <v>0</v>
      </c>
      <c r="AX236">
        <f>IF(OR(AX154="",AND(AX154=AX153,AX154=AX155)),NA(), AX154)</f>
        <v>0</v>
      </c>
      <c r="AY236">
        <f>IF(ISNA(AZ236),NA(),AY154)</f>
        <v>0</v>
      </c>
      <c r="AZ236">
        <f>IF(OR(AZ154="",AND(AZ154=AZ153,AZ154=AZ155)),NA(), AZ154)</f>
        <v>0</v>
      </c>
      <c r="BA236">
        <f>IF(ISNA(BB236),NA(),BA154)</f>
        <v>0</v>
      </c>
      <c r="BB236">
        <f>IF(OR(BB154="",AND(BB154=BB153,BB154=BB155)),NA(), BB154)</f>
        <v>0</v>
      </c>
      <c r="BC236">
        <f>IF(ISNA(BD236),NA(),BC154)</f>
        <v>0</v>
      </c>
      <c r="BD236">
        <f>IF(OR(BD154="",AND(BD154=BD153,BD154=BD155)),NA(), BD154)</f>
        <v>0</v>
      </c>
      <c r="BE236">
        <f>IF(ISNA(BF236),NA(),BE154)</f>
        <v>0</v>
      </c>
      <c r="BF236">
        <f>IF(OR(BF154="",AND(BF154=BF153,BF154=BF155)),NA(), BF154)</f>
        <v>0</v>
      </c>
      <c r="BG236">
        <f>IF(ISNA(BH236),NA(),BG154)</f>
        <v>0</v>
      </c>
      <c r="BH236">
        <f>IF(OR(BH154="",AND(BH154=BH153,BH154=BH155)),NA(), BH154)</f>
        <v>0</v>
      </c>
      <c r="BI236">
        <f>IF(ISNA(BJ236),NA(),BI154)</f>
        <v>0</v>
      </c>
      <c r="BJ236">
        <f>IF(OR(BJ154="",AND(BJ154=BJ153,BJ154=BJ155)),NA(), BJ154)</f>
        <v>0</v>
      </c>
      <c r="BK236">
        <f>IF(ISNA(BL236),NA(),BK154)</f>
        <v>0</v>
      </c>
      <c r="BL236">
        <f>IF(OR(BL154="",AND(BL154=BL153,BL154=BL155)),NA(), BL154)</f>
        <v>0</v>
      </c>
      <c r="BM236">
        <f>IF(ISNA(BN236),NA(),BM154)</f>
        <v>0</v>
      </c>
      <c r="BN236">
        <f>IF(OR(BN154="",AND(BN154=BN153,BN154=BN155)),NA(), BN154)</f>
        <v>0</v>
      </c>
      <c r="BO236">
        <f>IF(ISNA(BP236),NA(),BO154)</f>
        <v>0</v>
      </c>
      <c r="BP236">
        <f>IF(OR(BP154="",AND(BP154=BP153,BP154=BP155)),NA(), BP154)</f>
        <v>0</v>
      </c>
      <c r="BS236">
        <f>IF(ISNA(BT236),NA(),BS154)</f>
        <v>0</v>
      </c>
      <c r="BT236">
        <f>IF(OR(BT154="",AND(BT154=BT153,BT154=BT155)),NA(), BT154)</f>
        <v>0</v>
      </c>
      <c r="BU236">
        <f>IF(ISNA(BV236),NA(),BU154)</f>
        <v>0</v>
      </c>
      <c r="BV236">
        <f>IF(OR(BV154="",AND(BV154=BV153,BV154=BV155)),NA(), BV154)</f>
        <v>0</v>
      </c>
      <c r="BW236">
        <f>IF(ISNA(BX236),NA(),BW154)</f>
        <v>0</v>
      </c>
      <c r="BX236">
        <f>IF(OR(BX154="",AND(BX154=BX153,BX154=BX155)),NA(), BX154)</f>
        <v>0</v>
      </c>
      <c r="BY236">
        <f>IF(ISNA(BZ236),NA(),BY154)</f>
        <v>0</v>
      </c>
      <c r="BZ236">
        <f>IF(OR(BZ154="",AND(BZ154=BZ153,BZ154=BZ155)),NA(), BZ154)</f>
        <v>0</v>
      </c>
      <c r="CA236">
        <f>IF(ISNA(CB236),NA(),CA154)</f>
        <v>0</v>
      </c>
      <c r="CB236">
        <f>IF(OR(CB154="",AND(CB154=CB153,CB154=CB155)),NA(), CB154)</f>
        <v>0</v>
      </c>
      <c r="CC236">
        <f>IF(ISNA(CD236),NA(),CC154)</f>
        <v>0</v>
      </c>
      <c r="CD236">
        <f>IF(OR(CD154="",AND(CD154=CD153,CD154=CD155)),NA(), CD154)</f>
        <v>0</v>
      </c>
      <c r="CE236">
        <f>IF(ISNA(CF236),NA(),CE154)</f>
        <v>0</v>
      </c>
      <c r="CF236">
        <f>IF(OR(CF154="",AND(CF154=CF153,CF154=CF155)),NA(), CF154)</f>
        <v>0</v>
      </c>
      <c r="CG236">
        <f>IF(ISNA(CH236),NA(),CG154)</f>
        <v>0</v>
      </c>
      <c r="CH236">
        <f>IF(OR(CH154="",AND(CH154=CH153,CH154=CH155)),NA(), CH154)</f>
        <v>0</v>
      </c>
      <c r="CI236">
        <f>IF(ISNA(CJ236),NA(),CI154)</f>
        <v>0</v>
      </c>
      <c r="CJ236">
        <f>IF(OR(CJ154="",AND(CJ154=CJ153,CJ154=CJ155)),NA(), CJ154)</f>
        <v>0</v>
      </c>
      <c r="CK236">
        <f>IF(ISNA(CL236),NA(),CK154)</f>
        <v>0</v>
      </c>
      <c r="CL236">
        <f>IF(OR(CL154="",AND(CL154=CL153,CL154=CL155)),NA(), CL154)</f>
        <v>0</v>
      </c>
      <c r="CM236">
        <f>IF(ISNA(CN236),NA(),CM154)</f>
        <v>0</v>
      </c>
      <c r="CN236">
        <f>IF(OR(CN154="",AND(CN154=CN153,CN154=CN155)),NA(), CN154)</f>
        <v>0</v>
      </c>
      <c r="CO236">
        <f>IF(ISNA(CP236),NA(),CO154)</f>
        <v>0</v>
      </c>
      <c r="CP236">
        <f>IF(OR(CP154="",AND(CP154=CP153,CP154=CP155)),NA(), CP154)</f>
        <v>0</v>
      </c>
      <c r="CQ236">
        <f>IF(ISNA(CR236),NA(),CQ154)</f>
        <v>0</v>
      </c>
      <c r="CR236">
        <f>IF(OR(CR154="",AND(CR154=CR153,CR154=CR155)),NA(), CR154)</f>
        <v>0</v>
      </c>
      <c r="CS236">
        <f>IF(ISNA(CT236),NA(),CS154)</f>
        <v>0</v>
      </c>
      <c r="CT236">
        <f>IF(OR(CT154="",AND(CT154=CT153,CT154=CT155)),NA(), CT154)</f>
        <v>0</v>
      </c>
      <c r="CU236">
        <f>IF(ISNA(CV236),NA(),CU154)</f>
        <v>0</v>
      </c>
      <c r="CV236">
        <f>IF(OR(CV154="",AND(CV154=CV153,CV154=CV155)),NA(), CV154)</f>
        <v>0</v>
      </c>
      <c r="CW236">
        <f>IF(ISNA(CX236),NA(),CW154)</f>
        <v>0</v>
      </c>
      <c r="CX236">
        <f>IF(OR(CX154="",AND(CX154=CX153,CX154=CX155)),NA(), CX154)</f>
        <v>0</v>
      </c>
      <c r="CY236">
        <f>IF(ISNA(CZ236),NA(),CY154)</f>
        <v>0</v>
      </c>
      <c r="CZ236">
        <f>IF(OR(CZ154="",AND(CZ154=CZ153,CZ154=CZ155)),NA(), CZ154)</f>
        <v>0</v>
      </c>
      <c r="DA236">
        <f>IF(ISNA(DB236),NA(),DA154)</f>
        <v>0</v>
      </c>
      <c r="DB236">
        <f>IF(OR(DB154="",AND(DB154=DB153,DB154=DB155)),NA(), DB154)</f>
        <v>0</v>
      </c>
      <c r="DC236">
        <f>IF(ISNA(DD236),NA(),DC154)</f>
        <v>0</v>
      </c>
      <c r="DD236">
        <f>IF(OR(DD154="",AND(DD154=DD153,DD154=DD155)),NA(), DD154)</f>
        <v>0</v>
      </c>
      <c r="DE236">
        <f>IF(ISNA(DF236),NA(),DE154)</f>
        <v>0</v>
      </c>
      <c r="DF236">
        <f>IF(OR(DF154="",AND(DF154=DF153,DF154=DF155)),NA(), DF154)</f>
        <v>0</v>
      </c>
      <c r="DG236">
        <f>IF(ISNA(DH236),NA(),DG154)</f>
        <v>0</v>
      </c>
      <c r="DH236">
        <f>IF(OR(DH154="",AND(DH154=DH153,DH154=DH155)),NA(), DH154)</f>
        <v>0</v>
      </c>
      <c r="DI236">
        <f>IF(ISNA(DJ236),NA(),DI154)</f>
        <v>0</v>
      </c>
      <c r="DJ236">
        <f>IF(OR(DJ154="",AND(DJ154=DJ153,DJ154=DJ155)),NA(), DJ154)</f>
        <v>0</v>
      </c>
      <c r="DK236">
        <f>IF(ISNA(DL236),NA(),DK154)</f>
        <v>0</v>
      </c>
      <c r="DL236">
        <f>IF(OR(DL154="",AND(DL154=DL153,DL154=DL155)),NA(), DL154)</f>
        <v>0</v>
      </c>
      <c r="DM236">
        <f>IF(ISNA(DN236),NA(),DM154)</f>
        <v>0</v>
      </c>
      <c r="DN236">
        <f>IF(OR(DN154="",AND(DN154=DN153,DN154=DN155)),NA(), DN154)</f>
        <v>0</v>
      </c>
      <c r="DO236">
        <f>IF(ISNA(DP236),NA(),DO154)</f>
        <v>0</v>
      </c>
      <c r="DP236">
        <f>IF(OR(DP154="",AND(DP154=DP153,DP154=DP155)),NA(), DP154)</f>
        <v>0</v>
      </c>
      <c r="DQ236">
        <f>IF(ISNA(DR236),NA(),DQ154)</f>
        <v>0</v>
      </c>
      <c r="DR236">
        <f>IF(OR(DR154="",AND(DR154=DR153,DR154=DR155)),NA(), DR154)</f>
        <v>0</v>
      </c>
      <c r="DS236">
        <f>IF(ISNA(DT236),NA(),DS154)</f>
        <v>0</v>
      </c>
      <c r="DT236">
        <f>IF(OR(DT154="",AND(DT154=DT153,DT154=DT155)),NA(), DT154)</f>
        <v>0</v>
      </c>
      <c r="DU236">
        <f>IF(ISNA(DV236),NA(),DU154)</f>
        <v>0</v>
      </c>
      <c r="DV236">
        <f>IF(OR(DV154="",AND(DV154=DV153,DV154=DV155)),NA(), DV154)</f>
        <v>0</v>
      </c>
      <c r="DW236">
        <f>IF(ISNA(DX236),NA(),DW154)</f>
        <v>0</v>
      </c>
      <c r="DX236">
        <f>IF(OR(DX154="",AND(DX154=DX153,DX154=DX155)),NA(), DX154)</f>
        <v>0</v>
      </c>
      <c r="DY236">
        <f>IF(ISNA(DZ236),NA(),DY154)</f>
        <v>0</v>
      </c>
      <c r="DZ236">
        <f>IF(OR(DZ154="",AND(DZ154=DZ153,DZ154=DZ155)),NA(), DZ154)</f>
        <v>0</v>
      </c>
      <c r="EA236">
        <f>IF(ISNA(EB236),NA(),EA154)</f>
        <v>0</v>
      </c>
      <c r="EB236">
        <f>IF(OR(EB154="",AND(EB154=EB153,EB154=EB155)),NA(), EB154)</f>
        <v>0</v>
      </c>
      <c r="EC236">
        <f>IF(ISNA(ED236),NA(),EC154)</f>
        <v>0</v>
      </c>
      <c r="ED236">
        <f>IF(OR(ED154="",AND(ED154=ED153,ED154=ED155)),NA(), ED154)</f>
        <v>0</v>
      </c>
    </row>
    <row r="237" spans="5:134">
      <c r="E237">
        <f>IF(ISNA(F237),NA(),E155)</f>
        <v>0</v>
      </c>
      <c r="F237">
        <f>IF(OR(F155="",AND(F155=F154,F155=F156)),NA(), F155)</f>
        <v>0</v>
      </c>
      <c r="G237">
        <f>IF(ISNA(H237),NA(),G155)</f>
        <v>0</v>
      </c>
      <c r="H237">
        <f>IF(OR(H155="",AND(H155=H154,H155=H156)),NA(), H155)</f>
        <v>0</v>
      </c>
      <c r="I237">
        <f>IF(ISNA(J237),NA(),I155)</f>
        <v>0</v>
      </c>
      <c r="J237">
        <f>IF(OR(J155="",AND(J155=J154,J155=J156)),NA(), J155)</f>
        <v>0</v>
      </c>
      <c r="K237">
        <f>IF(ISNA(L237),NA(),K155)</f>
        <v>0</v>
      </c>
      <c r="L237">
        <f>IF(OR(L155="",AND(L155=L154,L155=L156)),NA(), L155)</f>
        <v>0</v>
      </c>
      <c r="M237">
        <f>IF(ISNA(N237),NA(),M155)</f>
        <v>0</v>
      </c>
      <c r="N237">
        <f>IF(OR(N155="",AND(N155=N154,N155=N156)),NA(), N155)</f>
        <v>0</v>
      </c>
      <c r="O237">
        <f>IF(ISNA(P237),NA(),O155)</f>
        <v>0</v>
      </c>
      <c r="P237">
        <f>IF(OR(P155="",AND(P155=P154,P155=P156)),NA(), P155)</f>
        <v>0</v>
      </c>
      <c r="Q237">
        <f>IF(ISNA(R237),NA(),Q155)</f>
        <v>0</v>
      </c>
      <c r="R237">
        <f>IF(OR(R155="",AND(R155=R154,R155=R156)),NA(), R155)</f>
        <v>0</v>
      </c>
      <c r="S237">
        <f>IF(ISNA(T237),NA(),S155)</f>
        <v>0</v>
      </c>
      <c r="T237">
        <f>IF(OR(T155="",AND(T155=T154,T155=T156)),NA(), T155)</f>
        <v>0</v>
      </c>
      <c r="U237">
        <f>IF(ISNA(V237),NA(),U155)</f>
        <v>0</v>
      </c>
      <c r="V237">
        <f>IF(OR(V155="",AND(V155=V154,V155=V156)),NA(), V155)</f>
        <v>0</v>
      </c>
      <c r="W237">
        <f>IF(ISNA(X237),NA(),W155)</f>
        <v>0</v>
      </c>
      <c r="X237">
        <f>IF(OR(X155="",AND(X155=X154,X155=X156)),NA(), X155)</f>
        <v>0</v>
      </c>
      <c r="Y237">
        <f>IF(ISNA(Z237),NA(),Y155)</f>
        <v>0</v>
      </c>
      <c r="Z237">
        <f>IF(OR(Z155="",AND(Z155=Z154,Z155=Z156)),NA(), Z155)</f>
        <v>0</v>
      </c>
      <c r="AA237">
        <f>IF(ISNA(AB237),NA(),AA155)</f>
        <v>0</v>
      </c>
      <c r="AB237">
        <f>IF(OR(AB155="",AND(AB155=AB154,AB155=AB156)),NA(), AB155)</f>
        <v>0</v>
      </c>
      <c r="AC237">
        <f>IF(ISNA(AD237),NA(),AC155)</f>
        <v>0</v>
      </c>
      <c r="AD237">
        <f>IF(OR(AD155="",AND(AD155=AD154,AD155=AD156)),NA(), AD155)</f>
        <v>0</v>
      </c>
      <c r="AE237">
        <f>IF(ISNA(AF237),NA(),AE155)</f>
        <v>0</v>
      </c>
      <c r="AF237">
        <f>IF(OR(AF155="",AND(AF155=AF154,AF155=AF156)),NA(), AF155)</f>
        <v>0</v>
      </c>
      <c r="AG237">
        <f>IF(ISNA(AH237),NA(),AG155)</f>
        <v>0</v>
      </c>
      <c r="AH237">
        <f>IF(OR(AH155="",AND(AH155=AH154,AH155=AH156)),NA(), AH155)</f>
        <v>0</v>
      </c>
      <c r="AI237">
        <f>IF(ISNA(AJ237),NA(),AI155)</f>
        <v>0</v>
      </c>
      <c r="AJ237">
        <f>IF(OR(AJ155="",AND(AJ155=AJ154,AJ155=AJ156)),NA(), AJ155)</f>
        <v>0</v>
      </c>
      <c r="AK237">
        <f>IF(ISNA(AL237),NA(),AK155)</f>
        <v>0</v>
      </c>
      <c r="AL237">
        <f>IF(OR(AL155="",AND(AL155=AL154,AL155=AL156)),NA(), AL155)</f>
        <v>0</v>
      </c>
      <c r="AM237">
        <f>IF(ISNA(AN237),NA(),AM155)</f>
        <v>0</v>
      </c>
      <c r="AN237">
        <f>IF(OR(AN155="",AND(AN155=AN154,AN155=AN156)),NA(), AN155)</f>
        <v>0</v>
      </c>
      <c r="AO237">
        <f>IF(ISNA(AP237),NA(),AO155)</f>
        <v>0</v>
      </c>
      <c r="AP237">
        <f>IF(OR(AP155="",AND(AP155=AP154,AP155=AP156)),NA(), AP155)</f>
        <v>0</v>
      </c>
      <c r="AQ237">
        <f>IF(ISNA(AR237),NA(),AQ155)</f>
        <v>0</v>
      </c>
      <c r="AR237">
        <f>IF(OR(AR155="",AND(AR155=AR154,AR155=AR156)),NA(), AR155)</f>
        <v>0</v>
      </c>
      <c r="AS237">
        <f>IF(ISNA(AT237),NA(),AS155)</f>
        <v>0</v>
      </c>
      <c r="AT237">
        <f>IF(OR(AT155="",AND(AT155=AT154,AT155=AT156)),NA(), AT155)</f>
        <v>0</v>
      </c>
      <c r="AU237">
        <f>IF(ISNA(AV237),NA(),AU155)</f>
        <v>0</v>
      </c>
      <c r="AV237">
        <f>IF(OR(AV155="",AND(AV155=AV154,AV155=AV156)),NA(), AV155)</f>
        <v>0</v>
      </c>
      <c r="AW237">
        <f>IF(ISNA(AX237),NA(),AW155)</f>
        <v>0</v>
      </c>
      <c r="AX237">
        <f>IF(OR(AX155="",AND(AX155=AX154,AX155=AX156)),NA(), AX155)</f>
        <v>0</v>
      </c>
      <c r="AY237">
        <f>IF(ISNA(AZ237),NA(),AY155)</f>
        <v>0</v>
      </c>
      <c r="AZ237">
        <f>IF(OR(AZ155="",AND(AZ155=AZ154,AZ155=AZ156)),NA(), AZ155)</f>
        <v>0</v>
      </c>
      <c r="BA237">
        <f>IF(ISNA(BB237),NA(),BA155)</f>
        <v>0</v>
      </c>
      <c r="BB237">
        <f>IF(OR(BB155="",AND(BB155=BB154,BB155=BB156)),NA(), BB155)</f>
        <v>0</v>
      </c>
      <c r="BC237">
        <f>IF(ISNA(BD237),NA(),BC155)</f>
        <v>0</v>
      </c>
      <c r="BD237">
        <f>IF(OR(BD155="",AND(BD155=BD154,BD155=BD156)),NA(), BD155)</f>
        <v>0</v>
      </c>
      <c r="BE237">
        <f>IF(ISNA(BF237),NA(),BE155)</f>
        <v>0</v>
      </c>
      <c r="BF237">
        <f>IF(OR(BF155="",AND(BF155=BF154,BF155=BF156)),NA(), BF155)</f>
        <v>0</v>
      </c>
      <c r="BG237">
        <f>IF(ISNA(BH237),NA(),BG155)</f>
        <v>0</v>
      </c>
      <c r="BH237">
        <f>IF(OR(BH155="",AND(BH155=BH154,BH155=BH156)),NA(), BH155)</f>
        <v>0</v>
      </c>
      <c r="BI237">
        <f>IF(ISNA(BJ237),NA(),BI155)</f>
        <v>0</v>
      </c>
      <c r="BJ237">
        <f>IF(OR(BJ155="",AND(BJ155=BJ154,BJ155=BJ156)),NA(), BJ155)</f>
        <v>0</v>
      </c>
      <c r="BK237">
        <f>IF(ISNA(BL237),NA(),BK155)</f>
        <v>0</v>
      </c>
      <c r="BL237">
        <f>IF(OR(BL155="",AND(BL155=BL154,BL155=BL156)),NA(), BL155)</f>
        <v>0</v>
      </c>
      <c r="BM237">
        <f>IF(ISNA(BN237),NA(),BM155)</f>
        <v>0</v>
      </c>
      <c r="BN237">
        <f>IF(OR(BN155="",AND(BN155=BN154,BN155=BN156)),NA(), BN155)</f>
        <v>0</v>
      </c>
      <c r="BO237">
        <f>IF(ISNA(BP237),NA(),BO155)</f>
        <v>0</v>
      </c>
      <c r="BP237">
        <f>IF(OR(BP155="",AND(BP155=BP154,BP155=BP156)),NA(), BP155)</f>
        <v>0</v>
      </c>
      <c r="BS237">
        <f>IF(ISNA(BT237),NA(),BS155)</f>
        <v>0</v>
      </c>
      <c r="BT237">
        <f>IF(OR(BT155="",AND(BT155=BT154,BT155=BT156)),NA(), BT155)</f>
        <v>0</v>
      </c>
      <c r="BU237">
        <f>IF(ISNA(BV237),NA(),BU155)</f>
        <v>0</v>
      </c>
      <c r="BV237">
        <f>IF(OR(BV155="",AND(BV155=BV154,BV155=BV156)),NA(), BV155)</f>
        <v>0</v>
      </c>
      <c r="BW237">
        <f>IF(ISNA(BX237),NA(),BW155)</f>
        <v>0</v>
      </c>
      <c r="BX237">
        <f>IF(OR(BX155="",AND(BX155=BX154,BX155=BX156)),NA(), BX155)</f>
        <v>0</v>
      </c>
      <c r="BY237">
        <f>IF(ISNA(BZ237),NA(),BY155)</f>
        <v>0</v>
      </c>
      <c r="BZ237">
        <f>IF(OR(BZ155="",AND(BZ155=BZ154,BZ155=BZ156)),NA(), BZ155)</f>
        <v>0</v>
      </c>
      <c r="CA237">
        <f>IF(ISNA(CB237),NA(),CA155)</f>
        <v>0</v>
      </c>
      <c r="CB237">
        <f>IF(OR(CB155="",AND(CB155=CB154,CB155=CB156)),NA(), CB155)</f>
        <v>0</v>
      </c>
      <c r="CC237">
        <f>IF(ISNA(CD237),NA(),CC155)</f>
        <v>0</v>
      </c>
      <c r="CD237">
        <f>IF(OR(CD155="",AND(CD155=CD154,CD155=CD156)),NA(), CD155)</f>
        <v>0</v>
      </c>
      <c r="CE237">
        <f>IF(ISNA(CF237),NA(),CE155)</f>
        <v>0</v>
      </c>
      <c r="CF237">
        <f>IF(OR(CF155="",AND(CF155=CF154,CF155=CF156)),NA(), CF155)</f>
        <v>0</v>
      </c>
      <c r="CG237">
        <f>IF(ISNA(CH237),NA(),CG155)</f>
        <v>0</v>
      </c>
      <c r="CH237">
        <f>IF(OR(CH155="",AND(CH155=CH154,CH155=CH156)),NA(), CH155)</f>
        <v>0</v>
      </c>
      <c r="CI237">
        <f>IF(ISNA(CJ237),NA(),CI155)</f>
        <v>0</v>
      </c>
      <c r="CJ237">
        <f>IF(OR(CJ155="",AND(CJ155=CJ154,CJ155=CJ156)),NA(), CJ155)</f>
        <v>0</v>
      </c>
      <c r="CK237">
        <f>IF(ISNA(CL237),NA(),CK155)</f>
        <v>0</v>
      </c>
      <c r="CL237">
        <f>IF(OR(CL155="",AND(CL155=CL154,CL155=CL156)),NA(), CL155)</f>
        <v>0</v>
      </c>
      <c r="CM237">
        <f>IF(ISNA(CN237),NA(),CM155)</f>
        <v>0</v>
      </c>
      <c r="CN237">
        <f>IF(OR(CN155="",AND(CN155=CN154,CN155=CN156)),NA(), CN155)</f>
        <v>0</v>
      </c>
      <c r="CO237">
        <f>IF(ISNA(CP237),NA(),CO155)</f>
        <v>0</v>
      </c>
      <c r="CP237">
        <f>IF(OR(CP155="",AND(CP155=CP154,CP155=CP156)),NA(), CP155)</f>
        <v>0</v>
      </c>
      <c r="CQ237">
        <f>IF(ISNA(CR237),NA(),CQ155)</f>
        <v>0</v>
      </c>
      <c r="CR237">
        <f>IF(OR(CR155="",AND(CR155=CR154,CR155=CR156)),NA(), CR155)</f>
        <v>0</v>
      </c>
      <c r="CS237">
        <f>IF(ISNA(CT237),NA(),CS155)</f>
        <v>0</v>
      </c>
      <c r="CT237">
        <f>IF(OR(CT155="",AND(CT155=CT154,CT155=CT156)),NA(), CT155)</f>
        <v>0</v>
      </c>
      <c r="CU237">
        <f>IF(ISNA(CV237),NA(),CU155)</f>
        <v>0</v>
      </c>
      <c r="CV237">
        <f>IF(OR(CV155="",AND(CV155=CV154,CV155=CV156)),NA(), CV155)</f>
        <v>0</v>
      </c>
      <c r="CW237">
        <f>IF(ISNA(CX237),NA(),CW155)</f>
        <v>0</v>
      </c>
      <c r="CX237">
        <f>IF(OR(CX155="",AND(CX155=CX154,CX155=CX156)),NA(), CX155)</f>
        <v>0</v>
      </c>
      <c r="CY237">
        <f>IF(ISNA(CZ237),NA(),CY155)</f>
        <v>0</v>
      </c>
      <c r="CZ237">
        <f>IF(OR(CZ155="",AND(CZ155=CZ154,CZ155=CZ156)),NA(), CZ155)</f>
        <v>0</v>
      </c>
      <c r="DA237">
        <f>IF(ISNA(DB237),NA(),DA155)</f>
        <v>0</v>
      </c>
      <c r="DB237">
        <f>IF(OR(DB155="",AND(DB155=DB154,DB155=DB156)),NA(), DB155)</f>
        <v>0</v>
      </c>
      <c r="DC237">
        <f>IF(ISNA(DD237),NA(),DC155)</f>
        <v>0</v>
      </c>
      <c r="DD237">
        <f>IF(OR(DD155="",AND(DD155=DD154,DD155=DD156)),NA(), DD155)</f>
        <v>0</v>
      </c>
      <c r="DE237">
        <f>IF(ISNA(DF237),NA(),DE155)</f>
        <v>0</v>
      </c>
      <c r="DF237">
        <f>IF(OR(DF155="",AND(DF155=DF154,DF155=DF156)),NA(), DF155)</f>
        <v>0</v>
      </c>
      <c r="DG237">
        <f>IF(ISNA(DH237),NA(),DG155)</f>
        <v>0</v>
      </c>
      <c r="DH237">
        <f>IF(OR(DH155="",AND(DH155=DH154,DH155=DH156)),NA(), DH155)</f>
        <v>0</v>
      </c>
      <c r="DI237">
        <f>IF(ISNA(DJ237),NA(),DI155)</f>
        <v>0</v>
      </c>
      <c r="DJ237">
        <f>IF(OR(DJ155="",AND(DJ155=DJ154,DJ155=DJ156)),NA(), DJ155)</f>
        <v>0</v>
      </c>
      <c r="DK237">
        <f>IF(ISNA(DL237),NA(),DK155)</f>
        <v>0</v>
      </c>
      <c r="DL237">
        <f>IF(OR(DL155="",AND(DL155=DL154,DL155=DL156)),NA(), DL155)</f>
        <v>0</v>
      </c>
      <c r="DM237">
        <f>IF(ISNA(DN237),NA(),DM155)</f>
        <v>0</v>
      </c>
      <c r="DN237">
        <f>IF(OR(DN155="",AND(DN155=DN154,DN155=DN156)),NA(), DN155)</f>
        <v>0</v>
      </c>
      <c r="DO237">
        <f>IF(ISNA(DP237),NA(),DO155)</f>
        <v>0</v>
      </c>
      <c r="DP237">
        <f>IF(OR(DP155="",AND(DP155=DP154,DP155=DP156)),NA(), DP155)</f>
        <v>0</v>
      </c>
      <c r="DQ237">
        <f>IF(ISNA(DR237),NA(),DQ155)</f>
        <v>0</v>
      </c>
      <c r="DR237">
        <f>IF(OR(DR155="",AND(DR155=DR154,DR155=DR156)),NA(), DR155)</f>
        <v>0</v>
      </c>
      <c r="DS237">
        <f>IF(ISNA(DT237),NA(),DS155)</f>
        <v>0</v>
      </c>
      <c r="DT237">
        <f>IF(OR(DT155="",AND(DT155=DT154,DT155=DT156)),NA(), DT155)</f>
        <v>0</v>
      </c>
      <c r="DU237">
        <f>IF(ISNA(DV237),NA(),DU155)</f>
        <v>0</v>
      </c>
      <c r="DV237">
        <f>IF(OR(DV155="",AND(DV155=DV154,DV155=DV156)),NA(), DV155)</f>
        <v>0</v>
      </c>
      <c r="DW237">
        <f>IF(ISNA(DX237),NA(),DW155)</f>
        <v>0</v>
      </c>
      <c r="DX237">
        <f>IF(OR(DX155="",AND(DX155=DX154,DX155=DX156)),NA(), DX155)</f>
        <v>0</v>
      </c>
      <c r="DY237">
        <f>IF(ISNA(DZ237),NA(),DY155)</f>
        <v>0</v>
      </c>
      <c r="DZ237">
        <f>IF(OR(DZ155="",AND(DZ155=DZ154,DZ155=DZ156)),NA(), DZ155)</f>
        <v>0</v>
      </c>
      <c r="EA237">
        <f>IF(ISNA(EB237),NA(),EA155)</f>
        <v>0</v>
      </c>
      <c r="EB237">
        <f>IF(OR(EB155="",AND(EB155=EB154,EB155=EB156)),NA(), EB155)</f>
        <v>0</v>
      </c>
      <c r="EC237">
        <f>IF(ISNA(ED237),NA(),EC155)</f>
        <v>0</v>
      </c>
      <c r="ED237">
        <f>IF(OR(ED155="",AND(ED155=ED154,ED155=ED156)),NA(), ED155)</f>
        <v>0</v>
      </c>
    </row>
    <row r="238" spans="5:134">
      <c r="E238">
        <f>IF(ISNA(F238),NA(),E156)</f>
        <v>0</v>
      </c>
      <c r="F238">
        <f>IF(OR(F156="",AND(F156=F155,F156=F157)),NA(), F156)</f>
        <v>0</v>
      </c>
      <c r="G238">
        <f>IF(ISNA(H238),NA(),G156)</f>
        <v>0</v>
      </c>
      <c r="H238">
        <f>IF(OR(H156="",AND(H156=H155,H156=H157)),NA(), H156)</f>
        <v>0</v>
      </c>
      <c r="I238">
        <f>IF(ISNA(J238),NA(),I156)</f>
        <v>0</v>
      </c>
      <c r="J238">
        <f>IF(OR(J156="",AND(J156=J155,J156=J157)),NA(), J156)</f>
        <v>0</v>
      </c>
      <c r="K238">
        <f>IF(ISNA(L238),NA(),K156)</f>
        <v>0</v>
      </c>
      <c r="L238">
        <f>IF(OR(L156="",AND(L156=L155,L156=L157)),NA(), L156)</f>
        <v>0</v>
      </c>
      <c r="M238">
        <f>IF(ISNA(N238),NA(),M156)</f>
        <v>0</v>
      </c>
      <c r="N238">
        <f>IF(OR(N156="",AND(N156=N155,N156=N157)),NA(), N156)</f>
        <v>0</v>
      </c>
      <c r="O238">
        <f>IF(ISNA(P238),NA(),O156)</f>
        <v>0</v>
      </c>
      <c r="P238">
        <f>IF(OR(P156="",AND(P156=P155,P156=P157)),NA(), P156)</f>
        <v>0</v>
      </c>
      <c r="Q238">
        <f>IF(ISNA(R238),NA(),Q156)</f>
        <v>0</v>
      </c>
      <c r="R238">
        <f>IF(OR(R156="",AND(R156=R155,R156=R157)),NA(), R156)</f>
        <v>0</v>
      </c>
      <c r="S238">
        <f>IF(ISNA(T238),NA(),S156)</f>
        <v>0</v>
      </c>
      <c r="T238">
        <f>IF(OR(T156="",AND(T156=T155,T156=T157)),NA(), T156)</f>
        <v>0</v>
      </c>
      <c r="U238">
        <f>IF(ISNA(V238),NA(),U156)</f>
        <v>0</v>
      </c>
      <c r="V238">
        <f>IF(OR(V156="",AND(V156=V155,V156=V157)),NA(), V156)</f>
        <v>0</v>
      </c>
      <c r="W238">
        <f>IF(ISNA(X238),NA(),W156)</f>
        <v>0</v>
      </c>
      <c r="X238">
        <f>IF(OR(X156="",AND(X156=X155,X156=X157)),NA(), X156)</f>
        <v>0</v>
      </c>
      <c r="Y238">
        <f>IF(ISNA(Z238),NA(),Y156)</f>
        <v>0</v>
      </c>
      <c r="Z238">
        <f>IF(OR(Z156="",AND(Z156=Z155,Z156=Z157)),NA(), Z156)</f>
        <v>0</v>
      </c>
      <c r="AA238">
        <f>IF(ISNA(AB238),NA(),AA156)</f>
        <v>0</v>
      </c>
      <c r="AB238">
        <f>IF(OR(AB156="",AND(AB156=AB155,AB156=AB157)),NA(), AB156)</f>
        <v>0</v>
      </c>
      <c r="AC238">
        <f>IF(ISNA(AD238),NA(),AC156)</f>
        <v>0</v>
      </c>
      <c r="AD238">
        <f>IF(OR(AD156="",AND(AD156=AD155,AD156=AD157)),NA(), AD156)</f>
        <v>0</v>
      </c>
      <c r="AE238">
        <f>IF(ISNA(AF238),NA(),AE156)</f>
        <v>0</v>
      </c>
      <c r="AF238">
        <f>IF(OR(AF156="",AND(AF156=AF155,AF156=AF157)),NA(), AF156)</f>
        <v>0</v>
      </c>
      <c r="AG238">
        <f>IF(ISNA(AH238),NA(),AG156)</f>
        <v>0</v>
      </c>
      <c r="AH238">
        <f>IF(OR(AH156="",AND(AH156=AH155,AH156=AH157)),NA(), AH156)</f>
        <v>0</v>
      </c>
      <c r="AI238">
        <f>IF(ISNA(AJ238),NA(),AI156)</f>
        <v>0</v>
      </c>
      <c r="AJ238">
        <f>IF(OR(AJ156="",AND(AJ156=AJ155,AJ156=AJ157)),NA(), AJ156)</f>
        <v>0</v>
      </c>
      <c r="AK238">
        <f>IF(ISNA(AL238),NA(),AK156)</f>
        <v>0</v>
      </c>
      <c r="AL238">
        <f>IF(OR(AL156="",AND(AL156=AL155,AL156=AL157)),NA(), AL156)</f>
        <v>0</v>
      </c>
      <c r="AM238">
        <f>IF(ISNA(AN238),NA(),AM156)</f>
        <v>0</v>
      </c>
      <c r="AN238">
        <f>IF(OR(AN156="",AND(AN156=AN155,AN156=AN157)),NA(), AN156)</f>
        <v>0</v>
      </c>
      <c r="AO238">
        <f>IF(ISNA(AP238),NA(),AO156)</f>
        <v>0</v>
      </c>
      <c r="AP238">
        <f>IF(OR(AP156="",AND(AP156=AP155,AP156=AP157)),NA(), AP156)</f>
        <v>0</v>
      </c>
      <c r="AQ238">
        <f>IF(ISNA(AR238),NA(),AQ156)</f>
        <v>0</v>
      </c>
      <c r="AR238">
        <f>IF(OR(AR156="",AND(AR156=AR155,AR156=AR157)),NA(), AR156)</f>
        <v>0</v>
      </c>
      <c r="AS238">
        <f>IF(ISNA(AT238),NA(),AS156)</f>
        <v>0</v>
      </c>
      <c r="AT238">
        <f>IF(OR(AT156="",AND(AT156=AT155,AT156=AT157)),NA(), AT156)</f>
        <v>0</v>
      </c>
      <c r="AU238">
        <f>IF(ISNA(AV238),NA(),AU156)</f>
        <v>0</v>
      </c>
      <c r="AV238">
        <f>IF(OR(AV156="",AND(AV156=AV155,AV156=AV157)),NA(), AV156)</f>
        <v>0</v>
      </c>
      <c r="AW238">
        <f>IF(ISNA(AX238),NA(),AW156)</f>
        <v>0</v>
      </c>
      <c r="AX238">
        <f>IF(OR(AX156="",AND(AX156=AX155,AX156=AX157)),NA(), AX156)</f>
        <v>0</v>
      </c>
      <c r="AY238">
        <f>IF(ISNA(AZ238),NA(),AY156)</f>
        <v>0</v>
      </c>
      <c r="AZ238">
        <f>IF(OR(AZ156="",AND(AZ156=AZ155,AZ156=AZ157)),NA(), AZ156)</f>
        <v>0</v>
      </c>
      <c r="BA238">
        <f>IF(ISNA(BB238),NA(),BA156)</f>
        <v>0</v>
      </c>
      <c r="BB238">
        <f>IF(OR(BB156="",AND(BB156=BB155,BB156=BB157)),NA(), BB156)</f>
        <v>0</v>
      </c>
      <c r="BC238">
        <f>IF(ISNA(BD238),NA(),BC156)</f>
        <v>0</v>
      </c>
      <c r="BD238">
        <f>IF(OR(BD156="",AND(BD156=BD155,BD156=BD157)),NA(), BD156)</f>
        <v>0</v>
      </c>
      <c r="BE238">
        <f>IF(ISNA(BF238),NA(),BE156)</f>
        <v>0</v>
      </c>
      <c r="BF238">
        <f>IF(OR(BF156="",AND(BF156=BF155,BF156=BF157)),NA(), BF156)</f>
        <v>0</v>
      </c>
      <c r="BG238">
        <f>IF(ISNA(BH238),NA(),BG156)</f>
        <v>0</v>
      </c>
      <c r="BH238">
        <f>IF(OR(BH156="",AND(BH156=BH155,BH156=BH157)),NA(), BH156)</f>
        <v>0</v>
      </c>
      <c r="BI238">
        <f>IF(ISNA(BJ238),NA(),BI156)</f>
        <v>0</v>
      </c>
      <c r="BJ238">
        <f>IF(OR(BJ156="",AND(BJ156=BJ155,BJ156=BJ157)),NA(), BJ156)</f>
        <v>0</v>
      </c>
      <c r="BK238">
        <f>IF(ISNA(BL238),NA(),BK156)</f>
        <v>0</v>
      </c>
      <c r="BL238">
        <f>IF(OR(BL156="",AND(BL156=BL155,BL156=BL157)),NA(), BL156)</f>
        <v>0</v>
      </c>
      <c r="BM238">
        <f>IF(ISNA(BN238),NA(),BM156)</f>
        <v>0</v>
      </c>
      <c r="BN238">
        <f>IF(OR(BN156="",AND(BN156=BN155,BN156=BN157)),NA(), BN156)</f>
        <v>0</v>
      </c>
      <c r="BO238">
        <f>IF(ISNA(BP238),NA(),BO156)</f>
        <v>0</v>
      </c>
      <c r="BP238">
        <f>IF(OR(BP156="",AND(BP156=BP155,BP156=BP157)),NA(), BP156)</f>
        <v>0</v>
      </c>
      <c r="BS238">
        <f>IF(ISNA(BT238),NA(),BS156)</f>
        <v>0</v>
      </c>
      <c r="BT238">
        <f>IF(OR(BT156="",AND(BT156=BT155,BT156=BT157)),NA(), BT156)</f>
        <v>0</v>
      </c>
      <c r="BU238">
        <f>IF(ISNA(BV238),NA(),BU156)</f>
        <v>0</v>
      </c>
      <c r="BV238">
        <f>IF(OR(BV156="",AND(BV156=BV155,BV156=BV157)),NA(), BV156)</f>
        <v>0</v>
      </c>
      <c r="BW238">
        <f>IF(ISNA(BX238),NA(),BW156)</f>
        <v>0</v>
      </c>
      <c r="BX238">
        <f>IF(OR(BX156="",AND(BX156=BX155,BX156=BX157)),NA(), BX156)</f>
        <v>0</v>
      </c>
      <c r="BY238">
        <f>IF(ISNA(BZ238),NA(),BY156)</f>
        <v>0</v>
      </c>
      <c r="BZ238">
        <f>IF(OR(BZ156="",AND(BZ156=BZ155,BZ156=BZ157)),NA(), BZ156)</f>
        <v>0</v>
      </c>
      <c r="CA238">
        <f>IF(ISNA(CB238),NA(),CA156)</f>
        <v>0</v>
      </c>
      <c r="CB238">
        <f>IF(OR(CB156="",AND(CB156=CB155,CB156=CB157)),NA(), CB156)</f>
        <v>0</v>
      </c>
      <c r="CC238">
        <f>IF(ISNA(CD238),NA(),CC156)</f>
        <v>0</v>
      </c>
      <c r="CD238">
        <f>IF(OR(CD156="",AND(CD156=CD155,CD156=CD157)),NA(), CD156)</f>
        <v>0</v>
      </c>
      <c r="CE238">
        <f>IF(ISNA(CF238),NA(),CE156)</f>
        <v>0</v>
      </c>
      <c r="CF238">
        <f>IF(OR(CF156="",AND(CF156=CF155,CF156=CF157)),NA(), CF156)</f>
        <v>0</v>
      </c>
      <c r="CG238">
        <f>IF(ISNA(CH238),NA(),CG156)</f>
        <v>0</v>
      </c>
      <c r="CH238">
        <f>IF(OR(CH156="",AND(CH156=CH155,CH156=CH157)),NA(), CH156)</f>
        <v>0</v>
      </c>
      <c r="CI238">
        <f>IF(ISNA(CJ238),NA(),CI156)</f>
        <v>0</v>
      </c>
      <c r="CJ238">
        <f>IF(OR(CJ156="",AND(CJ156=CJ155,CJ156=CJ157)),NA(), CJ156)</f>
        <v>0</v>
      </c>
      <c r="CK238">
        <f>IF(ISNA(CL238),NA(),CK156)</f>
        <v>0</v>
      </c>
      <c r="CL238">
        <f>IF(OR(CL156="",AND(CL156=CL155,CL156=CL157)),NA(), CL156)</f>
        <v>0</v>
      </c>
      <c r="CM238">
        <f>IF(ISNA(CN238),NA(),CM156)</f>
        <v>0</v>
      </c>
      <c r="CN238">
        <f>IF(OR(CN156="",AND(CN156=CN155,CN156=CN157)),NA(), CN156)</f>
        <v>0</v>
      </c>
      <c r="CO238">
        <f>IF(ISNA(CP238),NA(),CO156)</f>
        <v>0</v>
      </c>
      <c r="CP238">
        <f>IF(OR(CP156="",AND(CP156=CP155,CP156=CP157)),NA(), CP156)</f>
        <v>0</v>
      </c>
      <c r="CQ238">
        <f>IF(ISNA(CR238),NA(),CQ156)</f>
        <v>0</v>
      </c>
      <c r="CR238">
        <f>IF(OR(CR156="",AND(CR156=CR155,CR156=CR157)),NA(), CR156)</f>
        <v>0</v>
      </c>
      <c r="CS238">
        <f>IF(ISNA(CT238),NA(),CS156)</f>
        <v>0</v>
      </c>
      <c r="CT238">
        <f>IF(OR(CT156="",AND(CT156=CT155,CT156=CT157)),NA(), CT156)</f>
        <v>0</v>
      </c>
      <c r="CU238">
        <f>IF(ISNA(CV238),NA(),CU156)</f>
        <v>0</v>
      </c>
      <c r="CV238">
        <f>IF(OR(CV156="",AND(CV156=CV155,CV156=CV157)),NA(), CV156)</f>
        <v>0</v>
      </c>
      <c r="CW238">
        <f>IF(ISNA(CX238),NA(),CW156)</f>
        <v>0</v>
      </c>
      <c r="CX238">
        <f>IF(OR(CX156="",AND(CX156=CX155,CX156=CX157)),NA(), CX156)</f>
        <v>0</v>
      </c>
      <c r="CY238">
        <f>IF(ISNA(CZ238),NA(),CY156)</f>
        <v>0</v>
      </c>
      <c r="CZ238">
        <f>IF(OR(CZ156="",AND(CZ156=CZ155,CZ156=CZ157)),NA(), CZ156)</f>
        <v>0</v>
      </c>
      <c r="DA238">
        <f>IF(ISNA(DB238),NA(),DA156)</f>
        <v>0</v>
      </c>
      <c r="DB238">
        <f>IF(OR(DB156="",AND(DB156=DB155,DB156=DB157)),NA(), DB156)</f>
        <v>0</v>
      </c>
      <c r="DC238">
        <f>IF(ISNA(DD238),NA(),DC156)</f>
        <v>0</v>
      </c>
      <c r="DD238">
        <f>IF(OR(DD156="",AND(DD156=DD155,DD156=DD157)),NA(), DD156)</f>
        <v>0</v>
      </c>
      <c r="DE238">
        <f>IF(ISNA(DF238),NA(),DE156)</f>
        <v>0</v>
      </c>
      <c r="DF238">
        <f>IF(OR(DF156="",AND(DF156=DF155,DF156=DF157)),NA(), DF156)</f>
        <v>0</v>
      </c>
      <c r="DG238">
        <f>IF(ISNA(DH238),NA(),DG156)</f>
        <v>0</v>
      </c>
      <c r="DH238">
        <f>IF(OR(DH156="",AND(DH156=DH155,DH156=DH157)),NA(), DH156)</f>
        <v>0</v>
      </c>
      <c r="DI238">
        <f>IF(ISNA(DJ238),NA(),DI156)</f>
        <v>0</v>
      </c>
      <c r="DJ238">
        <f>IF(OR(DJ156="",AND(DJ156=DJ155,DJ156=DJ157)),NA(), DJ156)</f>
        <v>0</v>
      </c>
      <c r="DK238">
        <f>IF(ISNA(DL238),NA(),DK156)</f>
        <v>0</v>
      </c>
      <c r="DL238">
        <f>IF(OR(DL156="",AND(DL156=DL155,DL156=DL157)),NA(), DL156)</f>
        <v>0</v>
      </c>
      <c r="DM238">
        <f>IF(ISNA(DN238),NA(),DM156)</f>
        <v>0</v>
      </c>
      <c r="DN238">
        <f>IF(OR(DN156="",AND(DN156=DN155,DN156=DN157)),NA(), DN156)</f>
        <v>0</v>
      </c>
      <c r="DO238">
        <f>IF(ISNA(DP238),NA(),DO156)</f>
        <v>0</v>
      </c>
      <c r="DP238">
        <f>IF(OR(DP156="",AND(DP156=DP155,DP156=DP157)),NA(), DP156)</f>
        <v>0</v>
      </c>
      <c r="DQ238">
        <f>IF(ISNA(DR238),NA(),DQ156)</f>
        <v>0</v>
      </c>
      <c r="DR238">
        <f>IF(OR(DR156="",AND(DR156=DR155,DR156=DR157)),NA(), DR156)</f>
        <v>0</v>
      </c>
      <c r="DS238">
        <f>IF(ISNA(DT238),NA(),DS156)</f>
        <v>0</v>
      </c>
      <c r="DT238">
        <f>IF(OR(DT156="",AND(DT156=DT155,DT156=DT157)),NA(), DT156)</f>
        <v>0</v>
      </c>
      <c r="DU238">
        <f>IF(ISNA(DV238),NA(),DU156)</f>
        <v>0</v>
      </c>
      <c r="DV238">
        <f>IF(OR(DV156="",AND(DV156=DV155,DV156=DV157)),NA(), DV156)</f>
        <v>0</v>
      </c>
      <c r="DW238">
        <f>IF(ISNA(DX238),NA(),DW156)</f>
        <v>0</v>
      </c>
      <c r="DX238">
        <f>IF(OR(DX156="",AND(DX156=DX155,DX156=DX157)),NA(), DX156)</f>
        <v>0</v>
      </c>
      <c r="DY238">
        <f>IF(ISNA(DZ238),NA(),DY156)</f>
        <v>0</v>
      </c>
      <c r="DZ238">
        <f>IF(OR(DZ156="",AND(DZ156=DZ155,DZ156=DZ157)),NA(), DZ156)</f>
        <v>0</v>
      </c>
      <c r="EA238">
        <f>IF(ISNA(EB238),NA(),EA156)</f>
        <v>0</v>
      </c>
      <c r="EB238">
        <f>IF(OR(EB156="",AND(EB156=EB155,EB156=EB157)),NA(), EB156)</f>
        <v>0</v>
      </c>
      <c r="EC238">
        <f>IF(ISNA(ED238),NA(),EC156)</f>
        <v>0</v>
      </c>
      <c r="ED238">
        <f>IF(OR(ED156="",AND(ED156=ED155,ED156=ED157)),NA(), ED156)</f>
        <v>0</v>
      </c>
    </row>
    <row r="239" spans="5:134">
      <c r="E239">
        <f>IF(ISNA(F239),NA(),E157)</f>
        <v>0</v>
      </c>
      <c r="F239">
        <f>IF(OR(F157="",AND(F157=F156,F157=F158)),NA(), F157)</f>
        <v>0</v>
      </c>
      <c r="G239">
        <f>IF(ISNA(H239),NA(),G157)</f>
        <v>0</v>
      </c>
      <c r="H239">
        <f>IF(OR(H157="",AND(H157=H156,H157=H158)),NA(), H157)</f>
        <v>0</v>
      </c>
      <c r="I239">
        <f>IF(ISNA(J239),NA(),I157)</f>
        <v>0</v>
      </c>
      <c r="J239">
        <f>IF(OR(J157="",AND(J157=J156,J157=J158)),NA(), J157)</f>
        <v>0</v>
      </c>
      <c r="K239">
        <f>IF(ISNA(L239),NA(),K157)</f>
        <v>0</v>
      </c>
      <c r="L239">
        <f>IF(OR(L157="",AND(L157=L156,L157=L158)),NA(), L157)</f>
        <v>0</v>
      </c>
      <c r="M239">
        <f>IF(ISNA(N239),NA(),M157)</f>
        <v>0</v>
      </c>
      <c r="N239">
        <f>IF(OR(N157="",AND(N157=N156,N157=N158)),NA(), N157)</f>
        <v>0</v>
      </c>
      <c r="O239">
        <f>IF(ISNA(P239),NA(),O157)</f>
        <v>0</v>
      </c>
      <c r="P239">
        <f>IF(OR(P157="",AND(P157=P156,P157=P158)),NA(), P157)</f>
        <v>0</v>
      </c>
      <c r="Q239">
        <f>IF(ISNA(R239),NA(),Q157)</f>
        <v>0</v>
      </c>
      <c r="R239">
        <f>IF(OR(R157="",AND(R157=R156,R157=R158)),NA(), R157)</f>
        <v>0</v>
      </c>
      <c r="S239">
        <f>IF(ISNA(T239),NA(),S157)</f>
        <v>0</v>
      </c>
      <c r="T239">
        <f>IF(OR(T157="",AND(T157=T156,T157=T158)),NA(), T157)</f>
        <v>0</v>
      </c>
      <c r="U239">
        <f>IF(ISNA(V239),NA(),U157)</f>
        <v>0</v>
      </c>
      <c r="V239">
        <f>IF(OR(V157="",AND(V157=V156,V157=V158)),NA(), V157)</f>
        <v>0</v>
      </c>
      <c r="W239">
        <f>IF(ISNA(X239),NA(),W157)</f>
        <v>0</v>
      </c>
      <c r="X239">
        <f>IF(OR(X157="",AND(X157=X156,X157=X158)),NA(), X157)</f>
        <v>0</v>
      </c>
      <c r="Y239">
        <f>IF(ISNA(Z239),NA(),Y157)</f>
        <v>0</v>
      </c>
      <c r="Z239">
        <f>IF(OR(Z157="",AND(Z157=Z156,Z157=Z158)),NA(), Z157)</f>
        <v>0</v>
      </c>
      <c r="AA239">
        <f>IF(ISNA(AB239),NA(),AA157)</f>
        <v>0</v>
      </c>
      <c r="AB239">
        <f>IF(OR(AB157="",AND(AB157=AB156,AB157=AB158)),NA(), AB157)</f>
        <v>0</v>
      </c>
      <c r="AC239">
        <f>IF(ISNA(AD239),NA(),AC157)</f>
        <v>0</v>
      </c>
      <c r="AD239">
        <f>IF(OR(AD157="",AND(AD157=AD156,AD157=AD158)),NA(), AD157)</f>
        <v>0</v>
      </c>
      <c r="AE239">
        <f>IF(ISNA(AF239),NA(),AE157)</f>
        <v>0</v>
      </c>
      <c r="AF239">
        <f>IF(OR(AF157="",AND(AF157=AF156,AF157=AF158)),NA(), AF157)</f>
        <v>0</v>
      </c>
      <c r="AG239">
        <f>IF(ISNA(AH239),NA(),AG157)</f>
        <v>0</v>
      </c>
      <c r="AH239">
        <f>IF(OR(AH157="",AND(AH157=AH156,AH157=AH158)),NA(), AH157)</f>
        <v>0</v>
      </c>
      <c r="AI239">
        <f>IF(ISNA(AJ239),NA(),AI157)</f>
        <v>0</v>
      </c>
      <c r="AJ239">
        <f>IF(OR(AJ157="",AND(AJ157=AJ156,AJ157=AJ158)),NA(), AJ157)</f>
        <v>0</v>
      </c>
      <c r="AK239">
        <f>IF(ISNA(AL239),NA(),AK157)</f>
        <v>0</v>
      </c>
      <c r="AL239">
        <f>IF(OR(AL157="",AND(AL157=AL156,AL157=AL158)),NA(), AL157)</f>
        <v>0</v>
      </c>
      <c r="AM239">
        <f>IF(ISNA(AN239),NA(),AM157)</f>
        <v>0</v>
      </c>
      <c r="AN239">
        <f>IF(OR(AN157="",AND(AN157=AN156,AN157=AN158)),NA(), AN157)</f>
        <v>0</v>
      </c>
      <c r="AO239">
        <f>IF(ISNA(AP239),NA(),AO157)</f>
        <v>0</v>
      </c>
      <c r="AP239">
        <f>IF(OR(AP157="",AND(AP157=AP156,AP157=AP158)),NA(), AP157)</f>
        <v>0</v>
      </c>
      <c r="AQ239">
        <f>IF(ISNA(AR239),NA(),AQ157)</f>
        <v>0</v>
      </c>
      <c r="AR239">
        <f>IF(OR(AR157="",AND(AR157=AR156,AR157=AR158)),NA(), AR157)</f>
        <v>0</v>
      </c>
      <c r="AS239">
        <f>IF(ISNA(AT239),NA(),AS157)</f>
        <v>0</v>
      </c>
      <c r="AT239">
        <f>IF(OR(AT157="",AND(AT157=AT156,AT157=AT158)),NA(), AT157)</f>
        <v>0</v>
      </c>
      <c r="AU239">
        <f>IF(ISNA(AV239),NA(),AU157)</f>
        <v>0</v>
      </c>
      <c r="AV239">
        <f>IF(OR(AV157="",AND(AV157=AV156,AV157=AV158)),NA(), AV157)</f>
        <v>0</v>
      </c>
      <c r="AW239">
        <f>IF(ISNA(AX239),NA(),AW157)</f>
        <v>0</v>
      </c>
      <c r="AX239">
        <f>IF(OR(AX157="",AND(AX157=AX156,AX157=AX158)),NA(), AX157)</f>
        <v>0</v>
      </c>
      <c r="AY239">
        <f>IF(ISNA(AZ239),NA(),AY157)</f>
        <v>0</v>
      </c>
      <c r="AZ239">
        <f>IF(OR(AZ157="",AND(AZ157=AZ156,AZ157=AZ158)),NA(), AZ157)</f>
        <v>0</v>
      </c>
      <c r="BA239">
        <f>IF(ISNA(BB239),NA(),BA157)</f>
        <v>0</v>
      </c>
      <c r="BB239">
        <f>IF(OR(BB157="",AND(BB157=BB156,BB157=BB158)),NA(), BB157)</f>
        <v>0</v>
      </c>
      <c r="BC239">
        <f>IF(ISNA(BD239),NA(),BC157)</f>
        <v>0</v>
      </c>
      <c r="BD239">
        <f>IF(OR(BD157="",AND(BD157=BD156,BD157=BD158)),NA(), BD157)</f>
        <v>0</v>
      </c>
      <c r="BE239">
        <f>IF(ISNA(BF239),NA(),BE157)</f>
        <v>0</v>
      </c>
      <c r="BF239">
        <f>IF(OR(BF157="",AND(BF157=BF156,BF157=BF158)),NA(), BF157)</f>
        <v>0</v>
      </c>
      <c r="BG239">
        <f>IF(ISNA(BH239),NA(),BG157)</f>
        <v>0</v>
      </c>
      <c r="BH239">
        <f>IF(OR(BH157="",AND(BH157=BH156,BH157=BH158)),NA(), BH157)</f>
        <v>0</v>
      </c>
      <c r="BI239">
        <f>IF(ISNA(BJ239),NA(),BI157)</f>
        <v>0</v>
      </c>
      <c r="BJ239">
        <f>IF(OR(BJ157="",AND(BJ157=BJ156,BJ157=BJ158)),NA(), BJ157)</f>
        <v>0</v>
      </c>
      <c r="BK239">
        <f>IF(ISNA(BL239),NA(),BK157)</f>
        <v>0</v>
      </c>
      <c r="BL239">
        <f>IF(OR(BL157="",AND(BL157=BL156,BL157=BL158)),NA(), BL157)</f>
        <v>0</v>
      </c>
      <c r="BM239">
        <f>IF(ISNA(BN239),NA(),BM157)</f>
        <v>0</v>
      </c>
      <c r="BN239">
        <f>IF(OR(BN157="",AND(BN157=BN156,BN157=BN158)),NA(), BN157)</f>
        <v>0</v>
      </c>
      <c r="BO239">
        <f>IF(ISNA(BP239),NA(),BO157)</f>
        <v>0</v>
      </c>
      <c r="BP239">
        <f>IF(OR(BP157="",AND(BP157=BP156,BP157=BP158)),NA(), BP157)</f>
        <v>0</v>
      </c>
      <c r="BS239">
        <f>IF(ISNA(BT239),NA(),BS157)</f>
        <v>0</v>
      </c>
      <c r="BT239">
        <f>IF(OR(BT157="",AND(BT157=BT156,BT157=BT158)),NA(), BT157)</f>
        <v>0</v>
      </c>
      <c r="BU239">
        <f>IF(ISNA(BV239),NA(),BU157)</f>
        <v>0</v>
      </c>
      <c r="BV239">
        <f>IF(OR(BV157="",AND(BV157=BV156,BV157=BV158)),NA(), BV157)</f>
        <v>0</v>
      </c>
      <c r="BW239">
        <f>IF(ISNA(BX239),NA(),BW157)</f>
        <v>0</v>
      </c>
      <c r="BX239">
        <f>IF(OR(BX157="",AND(BX157=BX156,BX157=BX158)),NA(), BX157)</f>
        <v>0</v>
      </c>
      <c r="BY239">
        <f>IF(ISNA(BZ239),NA(),BY157)</f>
        <v>0</v>
      </c>
      <c r="BZ239">
        <f>IF(OR(BZ157="",AND(BZ157=BZ156,BZ157=BZ158)),NA(), BZ157)</f>
        <v>0</v>
      </c>
      <c r="CA239">
        <f>IF(ISNA(CB239),NA(),CA157)</f>
        <v>0</v>
      </c>
      <c r="CB239">
        <f>IF(OR(CB157="",AND(CB157=CB156,CB157=CB158)),NA(), CB157)</f>
        <v>0</v>
      </c>
      <c r="CC239">
        <f>IF(ISNA(CD239),NA(),CC157)</f>
        <v>0</v>
      </c>
      <c r="CD239">
        <f>IF(OR(CD157="",AND(CD157=CD156,CD157=CD158)),NA(), CD157)</f>
        <v>0</v>
      </c>
      <c r="CE239">
        <f>IF(ISNA(CF239),NA(),CE157)</f>
        <v>0</v>
      </c>
      <c r="CF239">
        <f>IF(OR(CF157="",AND(CF157=CF156,CF157=CF158)),NA(), CF157)</f>
        <v>0</v>
      </c>
      <c r="CG239">
        <f>IF(ISNA(CH239),NA(),CG157)</f>
        <v>0</v>
      </c>
      <c r="CH239">
        <f>IF(OR(CH157="",AND(CH157=CH156,CH157=CH158)),NA(), CH157)</f>
        <v>0</v>
      </c>
      <c r="CI239">
        <f>IF(ISNA(CJ239),NA(),CI157)</f>
        <v>0</v>
      </c>
      <c r="CJ239">
        <f>IF(OR(CJ157="",AND(CJ157=CJ156,CJ157=CJ158)),NA(), CJ157)</f>
        <v>0</v>
      </c>
      <c r="CK239">
        <f>IF(ISNA(CL239),NA(),CK157)</f>
        <v>0</v>
      </c>
      <c r="CL239">
        <f>IF(OR(CL157="",AND(CL157=CL156,CL157=CL158)),NA(), CL157)</f>
        <v>0</v>
      </c>
      <c r="CM239">
        <f>IF(ISNA(CN239),NA(),CM157)</f>
        <v>0</v>
      </c>
      <c r="CN239">
        <f>IF(OR(CN157="",AND(CN157=CN156,CN157=CN158)),NA(), CN157)</f>
        <v>0</v>
      </c>
      <c r="CO239">
        <f>IF(ISNA(CP239),NA(),CO157)</f>
        <v>0</v>
      </c>
      <c r="CP239">
        <f>IF(OR(CP157="",AND(CP157=CP156,CP157=CP158)),NA(), CP157)</f>
        <v>0</v>
      </c>
      <c r="CQ239">
        <f>IF(ISNA(CR239),NA(),CQ157)</f>
        <v>0</v>
      </c>
      <c r="CR239">
        <f>IF(OR(CR157="",AND(CR157=CR156,CR157=CR158)),NA(), CR157)</f>
        <v>0</v>
      </c>
      <c r="CS239">
        <f>IF(ISNA(CT239),NA(),CS157)</f>
        <v>0</v>
      </c>
      <c r="CT239">
        <f>IF(OR(CT157="",AND(CT157=CT156,CT157=CT158)),NA(), CT157)</f>
        <v>0</v>
      </c>
      <c r="CU239">
        <f>IF(ISNA(CV239),NA(),CU157)</f>
        <v>0</v>
      </c>
      <c r="CV239">
        <f>IF(OR(CV157="",AND(CV157=CV156,CV157=CV158)),NA(), CV157)</f>
        <v>0</v>
      </c>
      <c r="CW239">
        <f>IF(ISNA(CX239),NA(),CW157)</f>
        <v>0</v>
      </c>
      <c r="CX239">
        <f>IF(OR(CX157="",AND(CX157=CX156,CX157=CX158)),NA(), CX157)</f>
        <v>0</v>
      </c>
      <c r="CY239">
        <f>IF(ISNA(CZ239),NA(),CY157)</f>
        <v>0</v>
      </c>
      <c r="CZ239">
        <f>IF(OR(CZ157="",AND(CZ157=CZ156,CZ157=CZ158)),NA(), CZ157)</f>
        <v>0</v>
      </c>
      <c r="DA239">
        <f>IF(ISNA(DB239),NA(),DA157)</f>
        <v>0</v>
      </c>
      <c r="DB239">
        <f>IF(OR(DB157="",AND(DB157=DB156,DB157=DB158)),NA(), DB157)</f>
        <v>0</v>
      </c>
      <c r="DC239">
        <f>IF(ISNA(DD239),NA(),DC157)</f>
        <v>0</v>
      </c>
      <c r="DD239">
        <f>IF(OR(DD157="",AND(DD157=DD156,DD157=DD158)),NA(), DD157)</f>
        <v>0</v>
      </c>
      <c r="DE239">
        <f>IF(ISNA(DF239),NA(),DE157)</f>
        <v>0</v>
      </c>
      <c r="DF239">
        <f>IF(OR(DF157="",AND(DF157=DF156,DF157=DF158)),NA(), DF157)</f>
        <v>0</v>
      </c>
      <c r="DG239">
        <f>IF(ISNA(DH239),NA(),DG157)</f>
        <v>0</v>
      </c>
      <c r="DH239">
        <f>IF(OR(DH157="",AND(DH157=DH156,DH157=DH158)),NA(), DH157)</f>
        <v>0</v>
      </c>
      <c r="DI239">
        <f>IF(ISNA(DJ239),NA(),DI157)</f>
        <v>0</v>
      </c>
      <c r="DJ239">
        <f>IF(OR(DJ157="",AND(DJ157=DJ156,DJ157=DJ158)),NA(), DJ157)</f>
        <v>0</v>
      </c>
      <c r="DK239">
        <f>IF(ISNA(DL239),NA(),DK157)</f>
        <v>0</v>
      </c>
      <c r="DL239">
        <f>IF(OR(DL157="",AND(DL157=DL156,DL157=DL158)),NA(), DL157)</f>
        <v>0</v>
      </c>
      <c r="DM239">
        <f>IF(ISNA(DN239),NA(),DM157)</f>
        <v>0</v>
      </c>
      <c r="DN239">
        <f>IF(OR(DN157="",AND(DN157=DN156,DN157=DN158)),NA(), DN157)</f>
        <v>0</v>
      </c>
      <c r="DO239">
        <f>IF(ISNA(DP239),NA(),DO157)</f>
        <v>0</v>
      </c>
      <c r="DP239">
        <f>IF(OR(DP157="",AND(DP157=DP156,DP157=DP158)),NA(), DP157)</f>
        <v>0</v>
      </c>
      <c r="DQ239">
        <f>IF(ISNA(DR239),NA(),DQ157)</f>
        <v>0</v>
      </c>
      <c r="DR239">
        <f>IF(OR(DR157="",AND(DR157=DR156,DR157=DR158)),NA(), DR157)</f>
        <v>0</v>
      </c>
      <c r="DS239">
        <f>IF(ISNA(DT239),NA(),DS157)</f>
        <v>0</v>
      </c>
      <c r="DT239">
        <f>IF(OR(DT157="",AND(DT157=DT156,DT157=DT158)),NA(), DT157)</f>
        <v>0</v>
      </c>
      <c r="DU239">
        <f>IF(ISNA(DV239),NA(),DU157)</f>
        <v>0</v>
      </c>
      <c r="DV239">
        <f>IF(OR(DV157="",AND(DV157=DV156,DV157=DV158)),NA(), DV157)</f>
        <v>0</v>
      </c>
      <c r="DW239">
        <f>IF(ISNA(DX239),NA(),DW157)</f>
        <v>0</v>
      </c>
      <c r="DX239">
        <f>IF(OR(DX157="",AND(DX157=DX156,DX157=DX158)),NA(), DX157)</f>
        <v>0</v>
      </c>
      <c r="DY239">
        <f>IF(ISNA(DZ239),NA(),DY157)</f>
        <v>0</v>
      </c>
      <c r="DZ239">
        <f>IF(OR(DZ157="",AND(DZ157=DZ156,DZ157=DZ158)),NA(), DZ157)</f>
        <v>0</v>
      </c>
      <c r="EA239">
        <f>IF(ISNA(EB239),NA(),EA157)</f>
        <v>0</v>
      </c>
      <c r="EB239">
        <f>IF(OR(EB157="",AND(EB157=EB156,EB157=EB158)),NA(), EB157)</f>
        <v>0</v>
      </c>
      <c r="EC239">
        <f>IF(ISNA(ED239),NA(),EC157)</f>
        <v>0</v>
      </c>
      <c r="ED239">
        <f>IF(OR(ED157="",AND(ED157=ED156,ED157=ED158)),NA(), ED157)</f>
        <v>0</v>
      </c>
    </row>
    <row r="240" spans="5:134">
      <c r="E240">
        <f>IF(ISNA(F240),NA(),E158)</f>
        <v>0</v>
      </c>
      <c r="F240">
        <f>IF(OR(F158="",AND(F158=F157,F158=F159)),NA(), F158)</f>
        <v>0</v>
      </c>
      <c r="G240">
        <f>IF(ISNA(H240),NA(),G158)</f>
        <v>0</v>
      </c>
      <c r="H240">
        <f>IF(OR(H158="",AND(H158=H157,H158=H159)),NA(), H158)</f>
        <v>0</v>
      </c>
      <c r="I240">
        <f>IF(ISNA(J240),NA(),I158)</f>
        <v>0</v>
      </c>
      <c r="J240">
        <f>IF(OR(J158="",AND(J158=J157,J158=J159)),NA(), J158)</f>
        <v>0</v>
      </c>
      <c r="K240">
        <f>IF(ISNA(L240),NA(),K158)</f>
        <v>0</v>
      </c>
      <c r="L240">
        <f>IF(OR(L158="",AND(L158=L157,L158=L159)),NA(), L158)</f>
        <v>0</v>
      </c>
      <c r="M240">
        <f>IF(ISNA(N240),NA(),M158)</f>
        <v>0</v>
      </c>
      <c r="N240">
        <f>IF(OR(N158="",AND(N158=N157,N158=N159)),NA(), N158)</f>
        <v>0</v>
      </c>
      <c r="O240">
        <f>IF(ISNA(P240),NA(),O158)</f>
        <v>0</v>
      </c>
      <c r="P240">
        <f>IF(OR(P158="",AND(P158=P157,P158=P159)),NA(), P158)</f>
        <v>0</v>
      </c>
      <c r="Q240">
        <f>IF(ISNA(R240),NA(),Q158)</f>
        <v>0</v>
      </c>
      <c r="R240">
        <f>IF(OR(R158="",AND(R158=R157,R158=R159)),NA(), R158)</f>
        <v>0</v>
      </c>
      <c r="S240">
        <f>IF(ISNA(T240),NA(),S158)</f>
        <v>0</v>
      </c>
      <c r="T240">
        <f>IF(OR(T158="",AND(T158=T157,T158=T159)),NA(), T158)</f>
        <v>0</v>
      </c>
      <c r="U240">
        <f>IF(ISNA(V240),NA(),U158)</f>
        <v>0</v>
      </c>
      <c r="V240">
        <f>IF(OR(V158="",AND(V158=V157,V158=V159)),NA(), V158)</f>
        <v>0</v>
      </c>
      <c r="W240">
        <f>IF(ISNA(X240),NA(),W158)</f>
        <v>0</v>
      </c>
      <c r="X240">
        <f>IF(OR(X158="",AND(X158=X157,X158=X159)),NA(), X158)</f>
        <v>0</v>
      </c>
      <c r="Y240">
        <f>IF(ISNA(Z240),NA(),Y158)</f>
        <v>0</v>
      </c>
      <c r="Z240">
        <f>IF(OR(Z158="",AND(Z158=Z157,Z158=Z159)),NA(), Z158)</f>
        <v>0</v>
      </c>
      <c r="AA240">
        <f>IF(ISNA(AB240),NA(),AA158)</f>
        <v>0</v>
      </c>
      <c r="AB240">
        <f>IF(OR(AB158="",AND(AB158=AB157,AB158=AB159)),NA(), AB158)</f>
        <v>0</v>
      </c>
      <c r="AC240">
        <f>IF(ISNA(AD240),NA(),AC158)</f>
        <v>0</v>
      </c>
      <c r="AD240">
        <f>IF(OR(AD158="",AND(AD158=AD157,AD158=AD159)),NA(), AD158)</f>
        <v>0</v>
      </c>
      <c r="AE240">
        <f>IF(ISNA(AF240),NA(),AE158)</f>
        <v>0</v>
      </c>
      <c r="AF240">
        <f>IF(OR(AF158="",AND(AF158=AF157,AF158=AF159)),NA(), AF158)</f>
        <v>0</v>
      </c>
      <c r="AG240">
        <f>IF(ISNA(AH240),NA(),AG158)</f>
        <v>0</v>
      </c>
      <c r="AH240">
        <f>IF(OR(AH158="",AND(AH158=AH157,AH158=AH159)),NA(), AH158)</f>
        <v>0</v>
      </c>
      <c r="AI240">
        <f>IF(ISNA(AJ240),NA(),AI158)</f>
        <v>0</v>
      </c>
      <c r="AJ240">
        <f>IF(OR(AJ158="",AND(AJ158=AJ157,AJ158=AJ159)),NA(), AJ158)</f>
        <v>0</v>
      </c>
      <c r="AK240">
        <f>IF(ISNA(AL240),NA(),AK158)</f>
        <v>0</v>
      </c>
      <c r="AL240">
        <f>IF(OR(AL158="",AND(AL158=AL157,AL158=AL159)),NA(), AL158)</f>
        <v>0</v>
      </c>
      <c r="AM240">
        <f>IF(ISNA(AN240),NA(),AM158)</f>
        <v>0</v>
      </c>
      <c r="AN240">
        <f>IF(OR(AN158="",AND(AN158=AN157,AN158=AN159)),NA(), AN158)</f>
        <v>0</v>
      </c>
      <c r="AO240">
        <f>IF(ISNA(AP240),NA(),AO158)</f>
        <v>0</v>
      </c>
      <c r="AP240">
        <f>IF(OR(AP158="",AND(AP158=AP157,AP158=AP159)),NA(), AP158)</f>
        <v>0</v>
      </c>
      <c r="AQ240">
        <f>IF(ISNA(AR240),NA(),AQ158)</f>
        <v>0</v>
      </c>
      <c r="AR240">
        <f>IF(OR(AR158="",AND(AR158=AR157,AR158=AR159)),NA(), AR158)</f>
        <v>0</v>
      </c>
      <c r="AS240">
        <f>IF(ISNA(AT240),NA(),AS158)</f>
        <v>0</v>
      </c>
      <c r="AT240">
        <f>IF(OR(AT158="",AND(AT158=AT157,AT158=AT159)),NA(), AT158)</f>
        <v>0</v>
      </c>
      <c r="AU240">
        <f>IF(ISNA(AV240),NA(),AU158)</f>
        <v>0</v>
      </c>
      <c r="AV240">
        <f>IF(OR(AV158="",AND(AV158=AV157,AV158=AV159)),NA(), AV158)</f>
        <v>0</v>
      </c>
      <c r="AW240">
        <f>IF(ISNA(AX240),NA(),AW158)</f>
        <v>0</v>
      </c>
      <c r="AX240">
        <f>IF(OR(AX158="",AND(AX158=AX157,AX158=AX159)),NA(), AX158)</f>
        <v>0</v>
      </c>
      <c r="AY240">
        <f>IF(ISNA(AZ240),NA(),AY158)</f>
        <v>0</v>
      </c>
      <c r="AZ240">
        <f>IF(OR(AZ158="",AND(AZ158=AZ157,AZ158=AZ159)),NA(), AZ158)</f>
        <v>0</v>
      </c>
      <c r="BA240">
        <f>IF(ISNA(BB240),NA(),BA158)</f>
        <v>0</v>
      </c>
      <c r="BB240">
        <f>IF(OR(BB158="",AND(BB158=BB157,BB158=BB159)),NA(), BB158)</f>
        <v>0</v>
      </c>
      <c r="BC240">
        <f>IF(ISNA(BD240),NA(),BC158)</f>
        <v>0</v>
      </c>
      <c r="BD240">
        <f>IF(OR(BD158="",AND(BD158=BD157,BD158=BD159)),NA(), BD158)</f>
        <v>0</v>
      </c>
      <c r="BE240">
        <f>IF(ISNA(BF240),NA(),BE158)</f>
        <v>0</v>
      </c>
      <c r="BF240">
        <f>IF(OR(BF158="",AND(BF158=BF157,BF158=BF159)),NA(), BF158)</f>
        <v>0</v>
      </c>
      <c r="BG240">
        <f>IF(ISNA(BH240),NA(),BG158)</f>
        <v>0</v>
      </c>
      <c r="BH240">
        <f>IF(OR(BH158="",AND(BH158=BH157,BH158=BH159)),NA(), BH158)</f>
        <v>0</v>
      </c>
      <c r="BI240">
        <f>IF(ISNA(BJ240),NA(),BI158)</f>
        <v>0</v>
      </c>
      <c r="BJ240">
        <f>IF(OR(BJ158="",AND(BJ158=BJ157,BJ158=BJ159)),NA(), BJ158)</f>
        <v>0</v>
      </c>
      <c r="BK240">
        <f>IF(ISNA(BL240),NA(),BK158)</f>
        <v>0</v>
      </c>
      <c r="BL240">
        <f>IF(OR(BL158="",AND(BL158=BL157,BL158=BL159)),NA(), BL158)</f>
        <v>0</v>
      </c>
      <c r="BM240">
        <f>IF(ISNA(BN240),NA(),BM158)</f>
        <v>0</v>
      </c>
      <c r="BN240">
        <f>IF(OR(BN158="",AND(BN158=BN157,BN158=BN159)),NA(), BN158)</f>
        <v>0</v>
      </c>
      <c r="BO240">
        <f>IF(ISNA(BP240),NA(),BO158)</f>
        <v>0</v>
      </c>
      <c r="BP240">
        <f>IF(OR(BP158="",AND(BP158=BP157,BP158=BP159)),NA(), BP158)</f>
        <v>0</v>
      </c>
      <c r="BS240">
        <f>IF(ISNA(BT240),NA(),BS158)</f>
        <v>0</v>
      </c>
      <c r="BT240">
        <f>IF(OR(BT158="",AND(BT158=BT157,BT158=BT159)),NA(), BT158)</f>
        <v>0</v>
      </c>
      <c r="BU240">
        <f>IF(ISNA(BV240),NA(),BU158)</f>
        <v>0</v>
      </c>
      <c r="BV240">
        <f>IF(OR(BV158="",AND(BV158=BV157,BV158=BV159)),NA(), BV158)</f>
        <v>0</v>
      </c>
      <c r="BW240">
        <f>IF(ISNA(BX240),NA(),BW158)</f>
        <v>0</v>
      </c>
      <c r="BX240">
        <f>IF(OR(BX158="",AND(BX158=BX157,BX158=BX159)),NA(), BX158)</f>
        <v>0</v>
      </c>
      <c r="BY240">
        <f>IF(ISNA(BZ240),NA(),BY158)</f>
        <v>0</v>
      </c>
      <c r="BZ240">
        <f>IF(OR(BZ158="",AND(BZ158=BZ157,BZ158=BZ159)),NA(), BZ158)</f>
        <v>0</v>
      </c>
      <c r="CA240">
        <f>IF(ISNA(CB240),NA(),CA158)</f>
        <v>0</v>
      </c>
      <c r="CB240">
        <f>IF(OR(CB158="",AND(CB158=CB157,CB158=CB159)),NA(), CB158)</f>
        <v>0</v>
      </c>
      <c r="CC240">
        <f>IF(ISNA(CD240),NA(),CC158)</f>
        <v>0</v>
      </c>
      <c r="CD240">
        <f>IF(OR(CD158="",AND(CD158=CD157,CD158=CD159)),NA(), CD158)</f>
        <v>0</v>
      </c>
      <c r="CE240">
        <f>IF(ISNA(CF240),NA(),CE158)</f>
        <v>0</v>
      </c>
      <c r="CF240">
        <f>IF(OR(CF158="",AND(CF158=CF157,CF158=CF159)),NA(), CF158)</f>
        <v>0</v>
      </c>
      <c r="CG240">
        <f>IF(ISNA(CH240),NA(),CG158)</f>
        <v>0</v>
      </c>
      <c r="CH240">
        <f>IF(OR(CH158="",AND(CH158=CH157,CH158=CH159)),NA(), CH158)</f>
        <v>0</v>
      </c>
      <c r="CI240">
        <f>IF(ISNA(CJ240),NA(),CI158)</f>
        <v>0</v>
      </c>
      <c r="CJ240">
        <f>IF(OR(CJ158="",AND(CJ158=CJ157,CJ158=CJ159)),NA(), CJ158)</f>
        <v>0</v>
      </c>
      <c r="CK240">
        <f>IF(ISNA(CL240),NA(),CK158)</f>
        <v>0</v>
      </c>
      <c r="CL240">
        <f>IF(OR(CL158="",AND(CL158=CL157,CL158=CL159)),NA(), CL158)</f>
        <v>0</v>
      </c>
      <c r="CM240">
        <f>IF(ISNA(CN240),NA(),CM158)</f>
        <v>0</v>
      </c>
      <c r="CN240">
        <f>IF(OR(CN158="",AND(CN158=CN157,CN158=CN159)),NA(), CN158)</f>
        <v>0</v>
      </c>
      <c r="CO240">
        <f>IF(ISNA(CP240),NA(),CO158)</f>
        <v>0</v>
      </c>
      <c r="CP240">
        <f>IF(OR(CP158="",AND(CP158=CP157,CP158=CP159)),NA(), CP158)</f>
        <v>0</v>
      </c>
      <c r="CQ240">
        <f>IF(ISNA(CR240),NA(),CQ158)</f>
        <v>0</v>
      </c>
      <c r="CR240">
        <f>IF(OR(CR158="",AND(CR158=CR157,CR158=CR159)),NA(), CR158)</f>
        <v>0</v>
      </c>
      <c r="CS240">
        <f>IF(ISNA(CT240),NA(),CS158)</f>
        <v>0</v>
      </c>
      <c r="CT240">
        <f>IF(OR(CT158="",AND(CT158=CT157,CT158=CT159)),NA(), CT158)</f>
        <v>0</v>
      </c>
      <c r="CU240">
        <f>IF(ISNA(CV240),NA(),CU158)</f>
        <v>0</v>
      </c>
      <c r="CV240">
        <f>IF(OR(CV158="",AND(CV158=CV157,CV158=CV159)),NA(), CV158)</f>
        <v>0</v>
      </c>
      <c r="CW240">
        <f>IF(ISNA(CX240),NA(),CW158)</f>
        <v>0</v>
      </c>
      <c r="CX240">
        <f>IF(OR(CX158="",AND(CX158=CX157,CX158=CX159)),NA(), CX158)</f>
        <v>0</v>
      </c>
      <c r="CY240">
        <f>IF(ISNA(CZ240),NA(),CY158)</f>
        <v>0</v>
      </c>
      <c r="CZ240">
        <f>IF(OR(CZ158="",AND(CZ158=CZ157,CZ158=CZ159)),NA(), CZ158)</f>
        <v>0</v>
      </c>
      <c r="DA240">
        <f>IF(ISNA(DB240),NA(),DA158)</f>
        <v>0</v>
      </c>
      <c r="DB240">
        <f>IF(OR(DB158="",AND(DB158=DB157,DB158=DB159)),NA(), DB158)</f>
        <v>0</v>
      </c>
      <c r="DC240">
        <f>IF(ISNA(DD240),NA(),DC158)</f>
        <v>0</v>
      </c>
      <c r="DD240">
        <f>IF(OR(DD158="",AND(DD158=DD157,DD158=DD159)),NA(), DD158)</f>
        <v>0</v>
      </c>
      <c r="DE240">
        <f>IF(ISNA(DF240),NA(),DE158)</f>
        <v>0</v>
      </c>
      <c r="DF240">
        <f>IF(OR(DF158="",AND(DF158=DF157,DF158=DF159)),NA(), DF158)</f>
        <v>0</v>
      </c>
      <c r="DG240">
        <f>IF(ISNA(DH240),NA(),DG158)</f>
        <v>0</v>
      </c>
      <c r="DH240">
        <f>IF(OR(DH158="",AND(DH158=DH157,DH158=DH159)),NA(), DH158)</f>
        <v>0</v>
      </c>
      <c r="DI240">
        <f>IF(ISNA(DJ240),NA(),DI158)</f>
        <v>0</v>
      </c>
      <c r="DJ240">
        <f>IF(OR(DJ158="",AND(DJ158=DJ157,DJ158=DJ159)),NA(), DJ158)</f>
        <v>0</v>
      </c>
      <c r="DK240">
        <f>IF(ISNA(DL240),NA(),DK158)</f>
        <v>0</v>
      </c>
      <c r="DL240">
        <f>IF(OR(DL158="",AND(DL158=DL157,DL158=DL159)),NA(), DL158)</f>
        <v>0</v>
      </c>
      <c r="DM240">
        <f>IF(ISNA(DN240),NA(),DM158)</f>
        <v>0</v>
      </c>
      <c r="DN240">
        <f>IF(OR(DN158="",AND(DN158=DN157,DN158=DN159)),NA(), DN158)</f>
        <v>0</v>
      </c>
      <c r="DO240">
        <f>IF(ISNA(DP240),NA(),DO158)</f>
        <v>0</v>
      </c>
      <c r="DP240">
        <f>IF(OR(DP158="",AND(DP158=DP157,DP158=DP159)),NA(), DP158)</f>
        <v>0</v>
      </c>
      <c r="DQ240">
        <f>IF(ISNA(DR240),NA(),DQ158)</f>
        <v>0</v>
      </c>
      <c r="DR240">
        <f>IF(OR(DR158="",AND(DR158=DR157,DR158=DR159)),NA(), DR158)</f>
        <v>0</v>
      </c>
      <c r="DS240">
        <f>IF(ISNA(DT240),NA(),DS158)</f>
        <v>0</v>
      </c>
      <c r="DT240">
        <f>IF(OR(DT158="",AND(DT158=DT157,DT158=DT159)),NA(), DT158)</f>
        <v>0</v>
      </c>
      <c r="DU240">
        <f>IF(ISNA(DV240),NA(),DU158)</f>
        <v>0</v>
      </c>
      <c r="DV240">
        <f>IF(OR(DV158="",AND(DV158=DV157,DV158=DV159)),NA(), DV158)</f>
        <v>0</v>
      </c>
      <c r="DW240">
        <f>IF(ISNA(DX240),NA(),DW158)</f>
        <v>0</v>
      </c>
      <c r="DX240">
        <f>IF(OR(DX158="",AND(DX158=DX157,DX158=DX159)),NA(), DX158)</f>
        <v>0</v>
      </c>
      <c r="DY240">
        <f>IF(ISNA(DZ240),NA(),DY158)</f>
        <v>0</v>
      </c>
      <c r="DZ240">
        <f>IF(OR(DZ158="",AND(DZ158=DZ157,DZ158=DZ159)),NA(), DZ158)</f>
        <v>0</v>
      </c>
      <c r="EA240">
        <f>IF(ISNA(EB240),NA(),EA158)</f>
        <v>0</v>
      </c>
      <c r="EB240">
        <f>IF(OR(EB158="",AND(EB158=EB157,EB158=EB159)),NA(), EB158)</f>
        <v>0</v>
      </c>
      <c r="EC240">
        <f>IF(ISNA(ED240),NA(),EC158)</f>
        <v>0</v>
      </c>
      <c r="ED240">
        <f>IF(OR(ED158="",AND(ED158=ED157,ED158=ED159)),NA(), ED158)</f>
        <v>0</v>
      </c>
    </row>
    <row r="241" spans="5:134">
      <c r="E241">
        <f>IF(ISNA(F241),NA(),E159)</f>
        <v>0</v>
      </c>
      <c r="F241">
        <f>IF(OR(F159="",AND(F159=F158,F159=F160)),NA(), F159)</f>
        <v>0</v>
      </c>
      <c r="G241">
        <f>IF(ISNA(H241),NA(),G159)</f>
        <v>0</v>
      </c>
      <c r="H241">
        <f>IF(OR(H159="",AND(H159=H158,H159=H160)),NA(), H159)</f>
        <v>0</v>
      </c>
      <c r="I241">
        <f>IF(ISNA(J241),NA(),I159)</f>
        <v>0</v>
      </c>
      <c r="J241">
        <f>IF(OR(J159="",AND(J159=J158,J159=J160)),NA(), J159)</f>
        <v>0</v>
      </c>
      <c r="K241">
        <f>IF(ISNA(L241),NA(),K159)</f>
        <v>0</v>
      </c>
      <c r="L241">
        <f>IF(OR(L159="",AND(L159=L158,L159=L160)),NA(), L159)</f>
        <v>0</v>
      </c>
      <c r="M241">
        <f>IF(ISNA(N241),NA(),M159)</f>
        <v>0</v>
      </c>
      <c r="N241">
        <f>IF(OR(N159="",AND(N159=N158,N159=N160)),NA(), N159)</f>
        <v>0</v>
      </c>
      <c r="O241">
        <f>IF(ISNA(P241),NA(),O159)</f>
        <v>0</v>
      </c>
      <c r="P241">
        <f>IF(OR(P159="",AND(P159=P158,P159=P160)),NA(), P159)</f>
        <v>0</v>
      </c>
      <c r="Q241">
        <f>IF(ISNA(R241),NA(),Q159)</f>
        <v>0</v>
      </c>
      <c r="R241">
        <f>IF(OR(R159="",AND(R159=R158,R159=R160)),NA(), R159)</f>
        <v>0</v>
      </c>
      <c r="S241">
        <f>IF(ISNA(T241),NA(),S159)</f>
        <v>0</v>
      </c>
      <c r="T241">
        <f>IF(OR(T159="",AND(T159=T158,T159=T160)),NA(), T159)</f>
        <v>0</v>
      </c>
      <c r="U241">
        <f>IF(ISNA(V241),NA(),U159)</f>
        <v>0</v>
      </c>
      <c r="V241">
        <f>IF(OR(V159="",AND(V159=V158,V159=V160)),NA(), V159)</f>
        <v>0</v>
      </c>
      <c r="W241">
        <f>IF(ISNA(X241),NA(),W159)</f>
        <v>0</v>
      </c>
      <c r="X241">
        <f>IF(OR(X159="",AND(X159=X158,X159=X160)),NA(), X159)</f>
        <v>0</v>
      </c>
      <c r="Y241">
        <f>IF(ISNA(Z241),NA(),Y159)</f>
        <v>0</v>
      </c>
      <c r="Z241">
        <f>IF(OR(Z159="",AND(Z159=Z158,Z159=Z160)),NA(), Z159)</f>
        <v>0</v>
      </c>
      <c r="AA241">
        <f>IF(ISNA(AB241),NA(),AA159)</f>
        <v>0</v>
      </c>
      <c r="AB241">
        <f>IF(OR(AB159="",AND(AB159=AB158,AB159=AB160)),NA(), AB159)</f>
        <v>0</v>
      </c>
      <c r="AC241">
        <f>IF(ISNA(AD241),NA(),AC159)</f>
        <v>0</v>
      </c>
      <c r="AD241">
        <f>IF(OR(AD159="",AND(AD159=AD158,AD159=AD160)),NA(), AD159)</f>
        <v>0</v>
      </c>
      <c r="AE241">
        <f>IF(ISNA(AF241),NA(),AE159)</f>
        <v>0</v>
      </c>
      <c r="AF241">
        <f>IF(OR(AF159="",AND(AF159=AF158,AF159=AF160)),NA(), AF159)</f>
        <v>0</v>
      </c>
      <c r="AG241">
        <f>IF(ISNA(AH241),NA(),AG159)</f>
        <v>0</v>
      </c>
      <c r="AH241">
        <f>IF(OR(AH159="",AND(AH159=AH158,AH159=AH160)),NA(), AH159)</f>
        <v>0</v>
      </c>
      <c r="AI241">
        <f>IF(ISNA(AJ241),NA(),AI159)</f>
        <v>0</v>
      </c>
      <c r="AJ241">
        <f>IF(OR(AJ159="",AND(AJ159=AJ158,AJ159=AJ160)),NA(), AJ159)</f>
        <v>0</v>
      </c>
      <c r="AK241">
        <f>IF(ISNA(AL241),NA(),AK159)</f>
        <v>0</v>
      </c>
      <c r="AL241">
        <f>IF(OR(AL159="",AND(AL159=AL158,AL159=AL160)),NA(), AL159)</f>
        <v>0</v>
      </c>
      <c r="AM241">
        <f>IF(ISNA(AN241),NA(),AM159)</f>
        <v>0</v>
      </c>
      <c r="AN241">
        <f>IF(OR(AN159="",AND(AN159=AN158,AN159=AN160)),NA(), AN159)</f>
        <v>0</v>
      </c>
      <c r="AO241">
        <f>IF(ISNA(AP241),NA(),AO159)</f>
        <v>0</v>
      </c>
      <c r="AP241">
        <f>IF(OR(AP159="",AND(AP159=AP158,AP159=AP160)),NA(), AP159)</f>
        <v>0</v>
      </c>
      <c r="AQ241">
        <f>IF(ISNA(AR241),NA(),AQ159)</f>
        <v>0</v>
      </c>
      <c r="AR241">
        <f>IF(OR(AR159="",AND(AR159=AR158,AR159=AR160)),NA(), AR159)</f>
        <v>0</v>
      </c>
      <c r="AS241">
        <f>IF(ISNA(AT241),NA(),AS159)</f>
        <v>0</v>
      </c>
      <c r="AT241">
        <f>IF(OR(AT159="",AND(AT159=AT158,AT159=AT160)),NA(), AT159)</f>
        <v>0</v>
      </c>
      <c r="AU241">
        <f>IF(ISNA(AV241),NA(),AU159)</f>
        <v>0</v>
      </c>
      <c r="AV241">
        <f>IF(OR(AV159="",AND(AV159=AV158,AV159=AV160)),NA(), AV159)</f>
        <v>0</v>
      </c>
      <c r="AW241">
        <f>IF(ISNA(AX241),NA(),AW159)</f>
        <v>0</v>
      </c>
      <c r="AX241">
        <f>IF(OR(AX159="",AND(AX159=AX158,AX159=AX160)),NA(), AX159)</f>
        <v>0</v>
      </c>
      <c r="AY241">
        <f>IF(ISNA(AZ241),NA(),AY159)</f>
        <v>0</v>
      </c>
      <c r="AZ241">
        <f>IF(OR(AZ159="",AND(AZ159=AZ158,AZ159=AZ160)),NA(), AZ159)</f>
        <v>0</v>
      </c>
      <c r="BA241">
        <f>IF(ISNA(BB241),NA(),BA159)</f>
        <v>0</v>
      </c>
      <c r="BB241">
        <f>IF(OR(BB159="",AND(BB159=BB158,BB159=BB160)),NA(), BB159)</f>
        <v>0</v>
      </c>
      <c r="BC241">
        <f>IF(ISNA(BD241),NA(),BC159)</f>
        <v>0</v>
      </c>
      <c r="BD241">
        <f>IF(OR(BD159="",AND(BD159=BD158,BD159=BD160)),NA(), BD159)</f>
        <v>0</v>
      </c>
      <c r="BE241">
        <f>IF(ISNA(BF241),NA(),BE159)</f>
        <v>0</v>
      </c>
      <c r="BF241">
        <f>IF(OR(BF159="",AND(BF159=BF158,BF159=BF160)),NA(), BF159)</f>
        <v>0</v>
      </c>
      <c r="BG241">
        <f>IF(ISNA(BH241),NA(),BG159)</f>
        <v>0</v>
      </c>
      <c r="BH241">
        <f>IF(OR(BH159="",AND(BH159=BH158,BH159=BH160)),NA(), BH159)</f>
        <v>0</v>
      </c>
      <c r="BI241">
        <f>IF(ISNA(BJ241),NA(),BI159)</f>
        <v>0</v>
      </c>
      <c r="BJ241">
        <f>IF(OR(BJ159="",AND(BJ159=BJ158,BJ159=BJ160)),NA(), BJ159)</f>
        <v>0</v>
      </c>
      <c r="BK241">
        <f>IF(ISNA(BL241),NA(),BK159)</f>
        <v>0</v>
      </c>
      <c r="BL241">
        <f>IF(OR(BL159="",AND(BL159=BL158,BL159=BL160)),NA(), BL159)</f>
        <v>0</v>
      </c>
      <c r="BM241">
        <f>IF(ISNA(BN241),NA(),BM159)</f>
        <v>0</v>
      </c>
      <c r="BN241">
        <f>IF(OR(BN159="",AND(BN159=BN158,BN159=BN160)),NA(), BN159)</f>
        <v>0</v>
      </c>
      <c r="BO241">
        <f>IF(ISNA(BP241),NA(),BO159)</f>
        <v>0</v>
      </c>
      <c r="BP241">
        <f>IF(OR(BP159="",AND(BP159=BP158,BP159=BP160)),NA(), BP159)</f>
        <v>0</v>
      </c>
      <c r="BS241">
        <f>IF(ISNA(BT241),NA(),BS159)</f>
        <v>0</v>
      </c>
      <c r="BT241">
        <f>IF(OR(BT159="",AND(BT159=BT158,BT159=BT160)),NA(), BT159)</f>
        <v>0</v>
      </c>
      <c r="BU241">
        <f>IF(ISNA(BV241),NA(),BU159)</f>
        <v>0</v>
      </c>
      <c r="BV241">
        <f>IF(OR(BV159="",AND(BV159=BV158,BV159=BV160)),NA(), BV159)</f>
        <v>0</v>
      </c>
      <c r="BW241">
        <f>IF(ISNA(BX241),NA(),BW159)</f>
        <v>0</v>
      </c>
      <c r="BX241">
        <f>IF(OR(BX159="",AND(BX159=BX158,BX159=BX160)),NA(), BX159)</f>
        <v>0</v>
      </c>
      <c r="BY241">
        <f>IF(ISNA(BZ241),NA(),BY159)</f>
        <v>0</v>
      </c>
      <c r="BZ241">
        <f>IF(OR(BZ159="",AND(BZ159=BZ158,BZ159=BZ160)),NA(), BZ159)</f>
        <v>0</v>
      </c>
      <c r="CA241">
        <f>IF(ISNA(CB241),NA(),CA159)</f>
        <v>0</v>
      </c>
      <c r="CB241">
        <f>IF(OR(CB159="",AND(CB159=CB158,CB159=CB160)),NA(), CB159)</f>
        <v>0</v>
      </c>
      <c r="CC241">
        <f>IF(ISNA(CD241),NA(),CC159)</f>
        <v>0</v>
      </c>
      <c r="CD241">
        <f>IF(OR(CD159="",AND(CD159=CD158,CD159=CD160)),NA(), CD159)</f>
        <v>0</v>
      </c>
      <c r="CE241">
        <f>IF(ISNA(CF241),NA(),CE159)</f>
        <v>0</v>
      </c>
      <c r="CF241">
        <f>IF(OR(CF159="",AND(CF159=CF158,CF159=CF160)),NA(), CF159)</f>
        <v>0</v>
      </c>
      <c r="CG241">
        <f>IF(ISNA(CH241),NA(),CG159)</f>
        <v>0</v>
      </c>
      <c r="CH241">
        <f>IF(OR(CH159="",AND(CH159=CH158,CH159=CH160)),NA(), CH159)</f>
        <v>0</v>
      </c>
      <c r="CI241">
        <f>IF(ISNA(CJ241),NA(),CI159)</f>
        <v>0</v>
      </c>
      <c r="CJ241">
        <f>IF(OR(CJ159="",AND(CJ159=CJ158,CJ159=CJ160)),NA(), CJ159)</f>
        <v>0</v>
      </c>
      <c r="CK241">
        <f>IF(ISNA(CL241),NA(),CK159)</f>
        <v>0</v>
      </c>
      <c r="CL241">
        <f>IF(OR(CL159="",AND(CL159=CL158,CL159=CL160)),NA(), CL159)</f>
        <v>0</v>
      </c>
      <c r="CM241">
        <f>IF(ISNA(CN241),NA(),CM159)</f>
        <v>0</v>
      </c>
      <c r="CN241">
        <f>IF(OR(CN159="",AND(CN159=CN158,CN159=CN160)),NA(), CN159)</f>
        <v>0</v>
      </c>
      <c r="CO241">
        <f>IF(ISNA(CP241),NA(),CO159)</f>
        <v>0</v>
      </c>
      <c r="CP241">
        <f>IF(OR(CP159="",AND(CP159=CP158,CP159=CP160)),NA(), CP159)</f>
        <v>0</v>
      </c>
      <c r="CQ241">
        <f>IF(ISNA(CR241),NA(),CQ159)</f>
        <v>0</v>
      </c>
      <c r="CR241">
        <f>IF(OR(CR159="",AND(CR159=CR158,CR159=CR160)),NA(), CR159)</f>
        <v>0</v>
      </c>
      <c r="CS241">
        <f>IF(ISNA(CT241),NA(),CS159)</f>
        <v>0</v>
      </c>
      <c r="CT241">
        <f>IF(OR(CT159="",AND(CT159=CT158,CT159=CT160)),NA(), CT159)</f>
        <v>0</v>
      </c>
      <c r="CU241">
        <f>IF(ISNA(CV241),NA(),CU159)</f>
        <v>0</v>
      </c>
      <c r="CV241">
        <f>IF(OR(CV159="",AND(CV159=CV158,CV159=CV160)),NA(), CV159)</f>
        <v>0</v>
      </c>
      <c r="CW241">
        <f>IF(ISNA(CX241),NA(),CW159)</f>
        <v>0</v>
      </c>
      <c r="CX241">
        <f>IF(OR(CX159="",AND(CX159=CX158,CX159=CX160)),NA(), CX159)</f>
        <v>0</v>
      </c>
      <c r="CY241">
        <f>IF(ISNA(CZ241),NA(),CY159)</f>
        <v>0</v>
      </c>
      <c r="CZ241">
        <f>IF(OR(CZ159="",AND(CZ159=CZ158,CZ159=CZ160)),NA(), CZ159)</f>
        <v>0</v>
      </c>
      <c r="DA241">
        <f>IF(ISNA(DB241),NA(),DA159)</f>
        <v>0</v>
      </c>
      <c r="DB241">
        <f>IF(OR(DB159="",AND(DB159=DB158,DB159=DB160)),NA(), DB159)</f>
        <v>0</v>
      </c>
      <c r="DC241">
        <f>IF(ISNA(DD241),NA(),DC159)</f>
        <v>0</v>
      </c>
      <c r="DD241">
        <f>IF(OR(DD159="",AND(DD159=DD158,DD159=DD160)),NA(), DD159)</f>
        <v>0</v>
      </c>
      <c r="DE241">
        <f>IF(ISNA(DF241),NA(),DE159)</f>
        <v>0</v>
      </c>
      <c r="DF241">
        <f>IF(OR(DF159="",AND(DF159=DF158,DF159=DF160)),NA(), DF159)</f>
        <v>0</v>
      </c>
      <c r="DG241">
        <f>IF(ISNA(DH241),NA(),DG159)</f>
        <v>0</v>
      </c>
      <c r="DH241">
        <f>IF(OR(DH159="",AND(DH159=DH158,DH159=DH160)),NA(), DH159)</f>
        <v>0</v>
      </c>
      <c r="DI241">
        <f>IF(ISNA(DJ241),NA(),DI159)</f>
        <v>0</v>
      </c>
      <c r="DJ241">
        <f>IF(OR(DJ159="",AND(DJ159=DJ158,DJ159=DJ160)),NA(), DJ159)</f>
        <v>0</v>
      </c>
      <c r="DK241">
        <f>IF(ISNA(DL241),NA(),DK159)</f>
        <v>0</v>
      </c>
      <c r="DL241">
        <f>IF(OR(DL159="",AND(DL159=DL158,DL159=DL160)),NA(), DL159)</f>
        <v>0</v>
      </c>
      <c r="DM241">
        <f>IF(ISNA(DN241),NA(),DM159)</f>
        <v>0</v>
      </c>
      <c r="DN241">
        <f>IF(OR(DN159="",AND(DN159=DN158,DN159=DN160)),NA(), DN159)</f>
        <v>0</v>
      </c>
      <c r="DO241">
        <f>IF(ISNA(DP241),NA(),DO159)</f>
        <v>0</v>
      </c>
      <c r="DP241">
        <f>IF(OR(DP159="",AND(DP159=DP158,DP159=DP160)),NA(), DP159)</f>
        <v>0</v>
      </c>
      <c r="DQ241">
        <f>IF(ISNA(DR241),NA(),DQ159)</f>
        <v>0</v>
      </c>
      <c r="DR241">
        <f>IF(OR(DR159="",AND(DR159=DR158,DR159=DR160)),NA(), DR159)</f>
        <v>0</v>
      </c>
      <c r="DS241">
        <f>IF(ISNA(DT241),NA(),DS159)</f>
        <v>0</v>
      </c>
      <c r="DT241">
        <f>IF(OR(DT159="",AND(DT159=DT158,DT159=DT160)),NA(), DT159)</f>
        <v>0</v>
      </c>
      <c r="DU241">
        <f>IF(ISNA(DV241),NA(),DU159)</f>
        <v>0</v>
      </c>
      <c r="DV241">
        <f>IF(OR(DV159="",AND(DV159=DV158,DV159=DV160)),NA(), DV159)</f>
        <v>0</v>
      </c>
      <c r="DW241">
        <f>IF(ISNA(DX241),NA(),DW159)</f>
        <v>0</v>
      </c>
      <c r="DX241">
        <f>IF(OR(DX159="",AND(DX159=DX158,DX159=DX160)),NA(), DX159)</f>
        <v>0</v>
      </c>
      <c r="DY241">
        <f>IF(ISNA(DZ241),NA(),DY159)</f>
        <v>0</v>
      </c>
      <c r="DZ241">
        <f>IF(OR(DZ159="",AND(DZ159=DZ158,DZ159=DZ160)),NA(), DZ159)</f>
        <v>0</v>
      </c>
      <c r="EA241">
        <f>IF(ISNA(EB241),NA(),EA159)</f>
        <v>0</v>
      </c>
      <c r="EB241">
        <f>IF(OR(EB159="",AND(EB159=EB158,EB159=EB160)),NA(), EB159)</f>
        <v>0</v>
      </c>
      <c r="EC241">
        <f>IF(ISNA(ED241),NA(),EC159)</f>
        <v>0</v>
      </c>
      <c r="ED241">
        <f>IF(OR(ED159="",AND(ED159=ED158,ED159=ED160)),NA(), ED159)</f>
        <v>0</v>
      </c>
    </row>
    <row r="242" spans="5:134">
      <c r="E242">
        <f>IF(ISNA(F242),NA(),E160)</f>
        <v>0</v>
      </c>
      <c r="F242">
        <f>IF(OR(F160="",AND(F160=F159,F160=F161)),NA(), F160)</f>
        <v>0</v>
      </c>
      <c r="G242">
        <f>IF(ISNA(H242),NA(),G160)</f>
        <v>0</v>
      </c>
      <c r="H242">
        <f>IF(OR(H160="",AND(H160=H159,H160=H161)),NA(), H160)</f>
        <v>0</v>
      </c>
      <c r="I242">
        <f>IF(ISNA(J242),NA(),I160)</f>
        <v>0</v>
      </c>
      <c r="J242">
        <f>IF(OR(J160="",AND(J160=J159,J160=J161)),NA(), J160)</f>
        <v>0</v>
      </c>
      <c r="K242">
        <f>IF(ISNA(L242),NA(),K160)</f>
        <v>0</v>
      </c>
      <c r="L242">
        <f>IF(OR(L160="",AND(L160=L159,L160=L161)),NA(), L160)</f>
        <v>0</v>
      </c>
      <c r="M242">
        <f>IF(ISNA(N242),NA(),M160)</f>
        <v>0</v>
      </c>
      <c r="N242">
        <f>IF(OR(N160="",AND(N160=N159,N160=N161)),NA(), N160)</f>
        <v>0</v>
      </c>
      <c r="O242">
        <f>IF(ISNA(P242),NA(),O160)</f>
        <v>0</v>
      </c>
      <c r="P242">
        <f>IF(OR(P160="",AND(P160=P159,P160=P161)),NA(), P160)</f>
        <v>0</v>
      </c>
      <c r="Q242">
        <f>IF(ISNA(R242),NA(),Q160)</f>
        <v>0</v>
      </c>
      <c r="R242">
        <f>IF(OR(R160="",AND(R160=R159,R160=R161)),NA(), R160)</f>
        <v>0</v>
      </c>
      <c r="S242">
        <f>IF(ISNA(T242),NA(),S160)</f>
        <v>0</v>
      </c>
      <c r="T242">
        <f>IF(OR(T160="",AND(T160=T159,T160=T161)),NA(), T160)</f>
        <v>0</v>
      </c>
      <c r="U242">
        <f>IF(ISNA(V242),NA(),U160)</f>
        <v>0</v>
      </c>
      <c r="V242">
        <f>IF(OR(V160="",AND(V160=V159,V160=V161)),NA(), V160)</f>
        <v>0</v>
      </c>
      <c r="W242">
        <f>IF(ISNA(X242),NA(),W160)</f>
        <v>0</v>
      </c>
      <c r="X242">
        <f>IF(OR(X160="",AND(X160=X159,X160=X161)),NA(), X160)</f>
        <v>0</v>
      </c>
      <c r="Y242">
        <f>IF(ISNA(Z242),NA(),Y160)</f>
        <v>0</v>
      </c>
      <c r="Z242">
        <f>IF(OR(Z160="",AND(Z160=Z159,Z160=Z161)),NA(), Z160)</f>
        <v>0</v>
      </c>
      <c r="AA242">
        <f>IF(ISNA(AB242),NA(),AA160)</f>
        <v>0</v>
      </c>
      <c r="AB242">
        <f>IF(OR(AB160="",AND(AB160=AB159,AB160=AB161)),NA(), AB160)</f>
        <v>0</v>
      </c>
      <c r="AC242">
        <f>IF(ISNA(AD242),NA(),AC160)</f>
        <v>0</v>
      </c>
      <c r="AD242">
        <f>IF(OR(AD160="",AND(AD160=AD159,AD160=AD161)),NA(), AD160)</f>
        <v>0</v>
      </c>
      <c r="AE242">
        <f>IF(ISNA(AF242),NA(),AE160)</f>
        <v>0</v>
      </c>
      <c r="AF242">
        <f>IF(OR(AF160="",AND(AF160=AF159,AF160=AF161)),NA(), AF160)</f>
        <v>0</v>
      </c>
      <c r="AG242">
        <f>IF(ISNA(AH242),NA(),AG160)</f>
        <v>0</v>
      </c>
      <c r="AH242">
        <f>IF(OR(AH160="",AND(AH160=AH159,AH160=AH161)),NA(), AH160)</f>
        <v>0</v>
      </c>
      <c r="AI242">
        <f>IF(ISNA(AJ242),NA(),AI160)</f>
        <v>0</v>
      </c>
      <c r="AJ242">
        <f>IF(OR(AJ160="",AND(AJ160=AJ159,AJ160=AJ161)),NA(), AJ160)</f>
        <v>0</v>
      </c>
      <c r="AK242">
        <f>IF(ISNA(AL242),NA(),AK160)</f>
        <v>0</v>
      </c>
      <c r="AL242">
        <f>IF(OR(AL160="",AND(AL160=AL159,AL160=AL161)),NA(), AL160)</f>
        <v>0</v>
      </c>
      <c r="AM242">
        <f>IF(ISNA(AN242),NA(),AM160)</f>
        <v>0</v>
      </c>
      <c r="AN242">
        <f>IF(OR(AN160="",AND(AN160=AN159,AN160=AN161)),NA(), AN160)</f>
        <v>0</v>
      </c>
      <c r="AO242">
        <f>IF(ISNA(AP242),NA(),AO160)</f>
        <v>0</v>
      </c>
      <c r="AP242">
        <f>IF(OR(AP160="",AND(AP160=AP159,AP160=AP161)),NA(), AP160)</f>
        <v>0</v>
      </c>
      <c r="AQ242">
        <f>IF(ISNA(AR242),NA(),AQ160)</f>
        <v>0</v>
      </c>
      <c r="AR242">
        <f>IF(OR(AR160="",AND(AR160=AR159,AR160=AR161)),NA(), AR160)</f>
        <v>0</v>
      </c>
      <c r="AS242">
        <f>IF(ISNA(AT242),NA(),AS160)</f>
        <v>0</v>
      </c>
      <c r="AT242">
        <f>IF(OR(AT160="",AND(AT160=AT159,AT160=AT161)),NA(), AT160)</f>
        <v>0</v>
      </c>
      <c r="AU242">
        <f>IF(ISNA(AV242),NA(),AU160)</f>
        <v>0</v>
      </c>
      <c r="AV242">
        <f>IF(OR(AV160="",AND(AV160=AV159,AV160=AV161)),NA(), AV160)</f>
        <v>0</v>
      </c>
      <c r="AW242">
        <f>IF(ISNA(AX242),NA(),AW160)</f>
        <v>0</v>
      </c>
      <c r="AX242">
        <f>IF(OR(AX160="",AND(AX160=AX159,AX160=AX161)),NA(), AX160)</f>
        <v>0</v>
      </c>
      <c r="AY242">
        <f>IF(ISNA(AZ242),NA(),AY160)</f>
        <v>0</v>
      </c>
      <c r="AZ242">
        <f>IF(OR(AZ160="",AND(AZ160=AZ159,AZ160=AZ161)),NA(), AZ160)</f>
        <v>0</v>
      </c>
      <c r="BA242">
        <f>IF(ISNA(BB242),NA(),BA160)</f>
        <v>0</v>
      </c>
      <c r="BB242">
        <f>IF(OR(BB160="",AND(BB160=BB159,BB160=BB161)),NA(), BB160)</f>
        <v>0</v>
      </c>
      <c r="BC242">
        <f>IF(ISNA(BD242),NA(),BC160)</f>
        <v>0</v>
      </c>
      <c r="BD242">
        <f>IF(OR(BD160="",AND(BD160=BD159,BD160=BD161)),NA(), BD160)</f>
        <v>0</v>
      </c>
      <c r="BE242">
        <f>IF(ISNA(BF242),NA(),BE160)</f>
        <v>0</v>
      </c>
      <c r="BF242">
        <f>IF(OR(BF160="",AND(BF160=BF159,BF160=BF161)),NA(), BF160)</f>
        <v>0</v>
      </c>
      <c r="BG242">
        <f>IF(ISNA(BH242),NA(),BG160)</f>
        <v>0</v>
      </c>
      <c r="BH242">
        <f>IF(OR(BH160="",AND(BH160=BH159,BH160=BH161)),NA(), BH160)</f>
        <v>0</v>
      </c>
      <c r="BI242">
        <f>IF(ISNA(BJ242),NA(),BI160)</f>
        <v>0</v>
      </c>
      <c r="BJ242">
        <f>IF(OR(BJ160="",AND(BJ160=BJ159,BJ160=BJ161)),NA(), BJ160)</f>
        <v>0</v>
      </c>
      <c r="BK242">
        <f>IF(ISNA(BL242),NA(),BK160)</f>
        <v>0</v>
      </c>
      <c r="BL242">
        <f>IF(OR(BL160="",AND(BL160=BL159,BL160=BL161)),NA(), BL160)</f>
        <v>0</v>
      </c>
      <c r="BM242">
        <f>IF(ISNA(BN242),NA(),BM160)</f>
        <v>0</v>
      </c>
      <c r="BN242">
        <f>IF(OR(BN160="",AND(BN160=BN159,BN160=BN161)),NA(), BN160)</f>
        <v>0</v>
      </c>
      <c r="BO242">
        <f>IF(ISNA(BP242),NA(),BO160)</f>
        <v>0</v>
      </c>
      <c r="BP242">
        <f>IF(OR(BP160="",AND(BP160=BP159,BP160=BP161)),NA(), BP160)</f>
        <v>0</v>
      </c>
      <c r="BS242">
        <f>IF(ISNA(BT242),NA(),BS160)</f>
        <v>0</v>
      </c>
      <c r="BT242">
        <f>IF(OR(BT160="",AND(BT160=BT159,BT160=BT161)),NA(), BT160)</f>
        <v>0</v>
      </c>
      <c r="BU242">
        <f>IF(ISNA(BV242),NA(),BU160)</f>
        <v>0</v>
      </c>
      <c r="BV242">
        <f>IF(OR(BV160="",AND(BV160=BV159,BV160=BV161)),NA(), BV160)</f>
        <v>0</v>
      </c>
      <c r="BW242">
        <f>IF(ISNA(BX242),NA(),BW160)</f>
        <v>0</v>
      </c>
      <c r="BX242">
        <f>IF(OR(BX160="",AND(BX160=BX159,BX160=BX161)),NA(), BX160)</f>
        <v>0</v>
      </c>
      <c r="BY242">
        <f>IF(ISNA(BZ242),NA(),BY160)</f>
        <v>0</v>
      </c>
      <c r="BZ242">
        <f>IF(OR(BZ160="",AND(BZ160=BZ159,BZ160=BZ161)),NA(), BZ160)</f>
        <v>0</v>
      </c>
      <c r="CA242">
        <f>IF(ISNA(CB242),NA(),CA160)</f>
        <v>0</v>
      </c>
      <c r="CB242">
        <f>IF(OR(CB160="",AND(CB160=CB159,CB160=CB161)),NA(), CB160)</f>
        <v>0</v>
      </c>
      <c r="CC242">
        <f>IF(ISNA(CD242),NA(),CC160)</f>
        <v>0</v>
      </c>
      <c r="CD242">
        <f>IF(OR(CD160="",AND(CD160=CD159,CD160=CD161)),NA(), CD160)</f>
        <v>0</v>
      </c>
      <c r="CE242">
        <f>IF(ISNA(CF242),NA(),CE160)</f>
        <v>0</v>
      </c>
      <c r="CF242">
        <f>IF(OR(CF160="",AND(CF160=CF159,CF160=CF161)),NA(), CF160)</f>
        <v>0</v>
      </c>
      <c r="CG242">
        <f>IF(ISNA(CH242),NA(),CG160)</f>
        <v>0</v>
      </c>
      <c r="CH242">
        <f>IF(OR(CH160="",AND(CH160=CH159,CH160=CH161)),NA(), CH160)</f>
        <v>0</v>
      </c>
      <c r="CI242">
        <f>IF(ISNA(CJ242),NA(),CI160)</f>
        <v>0</v>
      </c>
      <c r="CJ242">
        <f>IF(OR(CJ160="",AND(CJ160=CJ159,CJ160=CJ161)),NA(), CJ160)</f>
        <v>0</v>
      </c>
      <c r="CK242">
        <f>IF(ISNA(CL242),NA(),CK160)</f>
        <v>0</v>
      </c>
      <c r="CL242">
        <f>IF(OR(CL160="",AND(CL160=CL159,CL160=CL161)),NA(), CL160)</f>
        <v>0</v>
      </c>
      <c r="CM242">
        <f>IF(ISNA(CN242),NA(),CM160)</f>
        <v>0</v>
      </c>
      <c r="CN242">
        <f>IF(OR(CN160="",AND(CN160=CN159,CN160=CN161)),NA(), CN160)</f>
        <v>0</v>
      </c>
      <c r="CO242">
        <f>IF(ISNA(CP242),NA(),CO160)</f>
        <v>0</v>
      </c>
      <c r="CP242">
        <f>IF(OR(CP160="",AND(CP160=CP159,CP160=CP161)),NA(), CP160)</f>
        <v>0</v>
      </c>
      <c r="CQ242">
        <f>IF(ISNA(CR242),NA(),CQ160)</f>
        <v>0</v>
      </c>
      <c r="CR242">
        <f>IF(OR(CR160="",AND(CR160=CR159,CR160=CR161)),NA(), CR160)</f>
        <v>0</v>
      </c>
      <c r="CS242">
        <f>IF(ISNA(CT242),NA(),CS160)</f>
        <v>0</v>
      </c>
      <c r="CT242">
        <f>IF(OR(CT160="",AND(CT160=CT159,CT160=CT161)),NA(), CT160)</f>
        <v>0</v>
      </c>
      <c r="CU242">
        <f>IF(ISNA(CV242),NA(),CU160)</f>
        <v>0</v>
      </c>
      <c r="CV242">
        <f>IF(OR(CV160="",AND(CV160=CV159,CV160=CV161)),NA(), CV160)</f>
        <v>0</v>
      </c>
      <c r="CW242">
        <f>IF(ISNA(CX242),NA(),CW160)</f>
        <v>0</v>
      </c>
      <c r="CX242">
        <f>IF(OR(CX160="",AND(CX160=CX159,CX160=CX161)),NA(), CX160)</f>
        <v>0</v>
      </c>
      <c r="CY242">
        <f>IF(ISNA(CZ242),NA(),CY160)</f>
        <v>0</v>
      </c>
      <c r="CZ242">
        <f>IF(OR(CZ160="",AND(CZ160=CZ159,CZ160=CZ161)),NA(), CZ160)</f>
        <v>0</v>
      </c>
      <c r="DA242">
        <f>IF(ISNA(DB242),NA(),DA160)</f>
        <v>0</v>
      </c>
      <c r="DB242">
        <f>IF(OR(DB160="",AND(DB160=DB159,DB160=DB161)),NA(), DB160)</f>
        <v>0</v>
      </c>
      <c r="DC242">
        <f>IF(ISNA(DD242),NA(),DC160)</f>
        <v>0</v>
      </c>
      <c r="DD242">
        <f>IF(OR(DD160="",AND(DD160=DD159,DD160=DD161)),NA(), DD160)</f>
        <v>0</v>
      </c>
      <c r="DE242">
        <f>IF(ISNA(DF242),NA(),DE160)</f>
        <v>0</v>
      </c>
      <c r="DF242">
        <f>IF(OR(DF160="",AND(DF160=DF159,DF160=DF161)),NA(), DF160)</f>
        <v>0</v>
      </c>
      <c r="DG242">
        <f>IF(ISNA(DH242),NA(),DG160)</f>
        <v>0</v>
      </c>
      <c r="DH242">
        <f>IF(OR(DH160="",AND(DH160=DH159,DH160=DH161)),NA(), DH160)</f>
        <v>0</v>
      </c>
      <c r="DI242">
        <f>IF(ISNA(DJ242),NA(),DI160)</f>
        <v>0</v>
      </c>
      <c r="DJ242">
        <f>IF(OR(DJ160="",AND(DJ160=DJ159,DJ160=DJ161)),NA(), DJ160)</f>
        <v>0</v>
      </c>
      <c r="DK242">
        <f>IF(ISNA(DL242),NA(),DK160)</f>
        <v>0</v>
      </c>
      <c r="DL242">
        <f>IF(OR(DL160="",AND(DL160=DL159,DL160=DL161)),NA(), DL160)</f>
        <v>0</v>
      </c>
      <c r="DM242">
        <f>IF(ISNA(DN242),NA(),DM160)</f>
        <v>0</v>
      </c>
      <c r="DN242">
        <f>IF(OR(DN160="",AND(DN160=DN159,DN160=DN161)),NA(), DN160)</f>
        <v>0</v>
      </c>
      <c r="DO242">
        <f>IF(ISNA(DP242),NA(),DO160)</f>
        <v>0</v>
      </c>
      <c r="DP242">
        <f>IF(OR(DP160="",AND(DP160=DP159,DP160=DP161)),NA(), DP160)</f>
        <v>0</v>
      </c>
      <c r="DQ242">
        <f>IF(ISNA(DR242),NA(),DQ160)</f>
        <v>0</v>
      </c>
      <c r="DR242">
        <f>IF(OR(DR160="",AND(DR160=DR159,DR160=DR161)),NA(), DR160)</f>
        <v>0</v>
      </c>
      <c r="DS242">
        <f>IF(ISNA(DT242),NA(),DS160)</f>
        <v>0</v>
      </c>
      <c r="DT242">
        <f>IF(OR(DT160="",AND(DT160=DT159,DT160=DT161)),NA(), DT160)</f>
        <v>0</v>
      </c>
      <c r="DU242">
        <f>IF(ISNA(DV242),NA(),DU160)</f>
        <v>0</v>
      </c>
      <c r="DV242">
        <f>IF(OR(DV160="",AND(DV160=DV159,DV160=DV161)),NA(), DV160)</f>
        <v>0</v>
      </c>
      <c r="DW242">
        <f>IF(ISNA(DX242),NA(),DW160)</f>
        <v>0</v>
      </c>
      <c r="DX242">
        <f>IF(OR(DX160="",AND(DX160=DX159,DX160=DX161)),NA(), DX160)</f>
        <v>0</v>
      </c>
      <c r="DY242">
        <f>IF(ISNA(DZ242),NA(),DY160)</f>
        <v>0</v>
      </c>
      <c r="DZ242">
        <f>IF(OR(DZ160="",AND(DZ160=DZ159,DZ160=DZ161)),NA(), DZ160)</f>
        <v>0</v>
      </c>
      <c r="EA242">
        <f>IF(ISNA(EB242),NA(),EA160)</f>
        <v>0</v>
      </c>
      <c r="EB242">
        <f>IF(OR(EB160="",AND(EB160=EB159,EB160=EB161)),NA(), EB160)</f>
        <v>0</v>
      </c>
      <c r="EC242">
        <f>IF(ISNA(ED242),NA(),EC160)</f>
        <v>0</v>
      </c>
      <c r="ED242">
        <f>IF(OR(ED160="",AND(ED160=ED159,ED160=ED161)),NA(), ED160)</f>
        <v>0</v>
      </c>
    </row>
    <row r="243" spans="5:134">
      <c r="E243">
        <f>IF(ISNA(F243),NA(),E161)</f>
        <v>0</v>
      </c>
      <c r="F243">
        <f>IF(OR(F161="",AND(F161=F160,F161=F162)),NA(), F161)</f>
        <v>0</v>
      </c>
      <c r="G243">
        <f>IF(ISNA(H243),NA(),G161)</f>
        <v>0</v>
      </c>
      <c r="H243">
        <f>IF(OR(H161="",AND(H161=H160,H161=H162)),NA(), H161)</f>
        <v>0</v>
      </c>
      <c r="I243">
        <f>IF(ISNA(J243),NA(),I161)</f>
        <v>0</v>
      </c>
      <c r="J243">
        <f>IF(OR(J161="",AND(J161=J160,J161=J162)),NA(), J161)</f>
        <v>0</v>
      </c>
      <c r="K243">
        <f>IF(ISNA(L243),NA(),K161)</f>
        <v>0</v>
      </c>
      <c r="L243">
        <f>IF(OR(L161="",AND(L161=L160,L161=L162)),NA(), L161)</f>
        <v>0</v>
      </c>
      <c r="M243">
        <f>IF(ISNA(N243),NA(),M161)</f>
        <v>0</v>
      </c>
      <c r="N243">
        <f>IF(OR(N161="",AND(N161=N160,N161=N162)),NA(), N161)</f>
        <v>0</v>
      </c>
      <c r="O243">
        <f>IF(ISNA(P243),NA(),O161)</f>
        <v>0</v>
      </c>
      <c r="P243">
        <f>IF(OR(P161="",AND(P161=P160,P161=P162)),NA(), P161)</f>
        <v>0</v>
      </c>
      <c r="Q243">
        <f>IF(ISNA(R243),NA(),Q161)</f>
        <v>0</v>
      </c>
      <c r="R243">
        <f>IF(OR(R161="",AND(R161=R160,R161=R162)),NA(), R161)</f>
        <v>0</v>
      </c>
      <c r="S243">
        <f>IF(ISNA(T243),NA(),S161)</f>
        <v>0</v>
      </c>
      <c r="T243">
        <f>IF(OR(T161="",AND(T161=T160,T161=T162)),NA(), T161)</f>
        <v>0</v>
      </c>
      <c r="U243">
        <f>IF(ISNA(V243),NA(),U161)</f>
        <v>0</v>
      </c>
      <c r="V243">
        <f>IF(OR(V161="",AND(V161=V160,V161=V162)),NA(), V161)</f>
        <v>0</v>
      </c>
      <c r="W243">
        <f>IF(ISNA(X243),NA(),W161)</f>
        <v>0</v>
      </c>
      <c r="X243">
        <f>IF(OR(X161="",AND(X161=X160,X161=X162)),NA(), X161)</f>
        <v>0</v>
      </c>
      <c r="Y243">
        <f>IF(ISNA(Z243),NA(),Y161)</f>
        <v>0</v>
      </c>
      <c r="Z243">
        <f>IF(OR(Z161="",AND(Z161=Z160,Z161=Z162)),NA(), Z161)</f>
        <v>0</v>
      </c>
      <c r="AA243">
        <f>IF(ISNA(AB243),NA(),AA161)</f>
        <v>0</v>
      </c>
      <c r="AB243">
        <f>IF(OR(AB161="",AND(AB161=AB160,AB161=AB162)),NA(), AB161)</f>
        <v>0</v>
      </c>
      <c r="AC243">
        <f>IF(ISNA(AD243),NA(),AC161)</f>
        <v>0</v>
      </c>
      <c r="AD243">
        <f>IF(OR(AD161="",AND(AD161=AD160,AD161=AD162)),NA(), AD161)</f>
        <v>0</v>
      </c>
      <c r="AE243">
        <f>IF(ISNA(AF243),NA(),AE161)</f>
        <v>0</v>
      </c>
      <c r="AF243">
        <f>IF(OR(AF161="",AND(AF161=AF160,AF161=AF162)),NA(), AF161)</f>
        <v>0</v>
      </c>
      <c r="AG243">
        <f>IF(ISNA(AH243),NA(),AG161)</f>
        <v>0</v>
      </c>
      <c r="AH243">
        <f>IF(OR(AH161="",AND(AH161=AH160,AH161=AH162)),NA(), AH161)</f>
        <v>0</v>
      </c>
      <c r="AI243">
        <f>IF(ISNA(AJ243),NA(),AI161)</f>
        <v>0</v>
      </c>
      <c r="AJ243">
        <f>IF(OR(AJ161="",AND(AJ161=AJ160,AJ161=AJ162)),NA(), AJ161)</f>
        <v>0</v>
      </c>
      <c r="AK243">
        <f>IF(ISNA(AL243),NA(),AK161)</f>
        <v>0</v>
      </c>
      <c r="AL243">
        <f>IF(OR(AL161="",AND(AL161=AL160,AL161=AL162)),NA(), AL161)</f>
        <v>0</v>
      </c>
      <c r="AM243">
        <f>IF(ISNA(AN243),NA(),AM161)</f>
        <v>0</v>
      </c>
      <c r="AN243">
        <f>IF(OR(AN161="",AND(AN161=AN160,AN161=AN162)),NA(), AN161)</f>
        <v>0</v>
      </c>
      <c r="AO243">
        <f>IF(ISNA(AP243),NA(),AO161)</f>
        <v>0</v>
      </c>
      <c r="AP243">
        <f>IF(OR(AP161="",AND(AP161=AP160,AP161=AP162)),NA(), AP161)</f>
        <v>0</v>
      </c>
      <c r="AQ243">
        <f>IF(ISNA(AR243),NA(),AQ161)</f>
        <v>0</v>
      </c>
      <c r="AR243">
        <f>IF(OR(AR161="",AND(AR161=AR160,AR161=AR162)),NA(), AR161)</f>
        <v>0</v>
      </c>
      <c r="AS243">
        <f>IF(ISNA(AT243),NA(),AS161)</f>
        <v>0</v>
      </c>
      <c r="AT243">
        <f>IF(OR(AT161="",AND(AT161=AT160,AT161=AT162)),NA(), AT161)</f>
        <v>0</v>
      </c>
      <c r="AU243">
        <f>IF(ISNA(AV243),NA(),AU161)</f>
        <v>0</v>
      </c>
      <c r="AV243">
        <f>IF(OR(AV161="",AND(AV161=AV160,AV161=AV162)),NA(), AV161)</f>
        <v>0</v>
      </c>
      <c r="AW243">
        <f>IF(ISNA(AX243),NA(),AW161)</f>
        <v>0</v>
      </c>
      <c r="AX243">
        <f>IF(OR(AX161="",AND(AX161=AX160,AX161=AX162)),NA(), AX161)</f>
        <v>0</v>
      </c>
      <c r="AY243">
        <f>IF(ISNA(AZ243),NA(),AY161)</f>
        <v>0</v>
      </c>
      <c r="AZ243">
        <f>IF(OR(AZ161="",AND(AZ161=AZ160,AZ161=AZ162)),NA(), AZ161)</f>
        <v>0</v>
      </c>
      <c r="BA243">
        <f>IF(ISNA(BB243),NA(),BA161)</f>
        <v>0</v>
      </c>
      <c r="BB243">
        <f>IF(OR(BB161="",AND(BB161=BB160,BB161=BB162)),NA(), BB161)</f>
        <v>0</v>
      </c>
      <c r="BC243">
        <f>IF(ISNA(BD243),NA(),BC161)</f>
        <v>0</v>
      </c>
      <c r="BD243">
        <f>IF(OR(BD161="",AND(BD161=BD160,BD161=BD162)),NA(), BD161)</f>
        <v>0</v>
      </c>
      <c r="BE243">
        <f>IF(ISNA(BF243),NA(),BE161)</f>
        <v>0</v>
      </c>
      <c r="BF243">
        <f>IF(OR(BF161="",AND(BF161=BF160,BF161=BF162)),NA(), BF161)</f>
        <v>0</v>
      </c>
      <c r="BG243">
        <f>IF(ISNA(BH243),NA(),BG161)</f>
        <v>0</v>
      </c>
      <c r="BH243">
        <f>IF(OR(BH161="",AND(BH161=BH160,BH161=BH162)),NA(), BH161)</f>
        <v>0</v>
      </c>
      <c r="BI243">
        <f>IF(ISNA(BJ243),NA(),BI161)</f>
        <v>0</v>
      </c>
      <c r="BJ243">
        <f>IF(OR(BJ161="",AND(BJ161=BJ160,BJ161=BJ162)),NA(), BJ161)</f>
        <v>0</v>
      </c>
      <c r="BK243">
        <f>IF(ISNA(BL243),NA(),BK161)</f>
        <v>0</v>
      </c>
      <c r="BL243">
        <f>IF(OR(BL161="",AND(BL161=BL160,BL161=BL162)),NA(), BL161)</f>
        <v>0</v>
      </c>
      <c r="BM243">
        <f>IF(ISNA(BN243),NA(),BM161)</f>
        <v>0</v>
      </c>
      <c r="BN243">
        <f>IF(OR(BN161="",AND(BN161=BN160,BN161=BN162)),NA(), BN161)</f>
        <v>0</v>
      </c>
      <c r="BO243">
        <f>IF(ISNA(BP243),NA(),BO161)</f>
        <v>0</v>
      </c>
      <c r="BP243">
        <f>IF(OR(BP161="",AND(BP161=BP160,BP161=BP162)),NA(), BP161)</f>
        <v>0</v>
      </c>
      <c r="BS243">
        <f>IF(ISNA(BT243),NA(),BS161)</f>
        <v>0</v>
      </c>
      <c r="BT243">
        <f>IF(OR(BT161="",AND(BT161=BT160,BT161=BT162)),NA(), BT161)</f>
        <v>0</v>
      </c>
      <c r="BU243">
        <f>IF(ISNA(BV243),NA(),BU161)</f>
        <v>0</v>
      </c>
      <c r="BV243">
        <f>IF(OR(BV161="",AND(BV161=BV160,BV161=BV162)),NA(), BV161)</f>
        <v>0</v>
      </c>
      <c r="BW243">
        <f>IF(ISNA(BX243),NA(),BW161)</f>
        <v>0</v>
      </c>
      <c r="BX243">
        <f>IF(OR(BX161="",AND(BX161=BX160,BX161=BX162)),NA(), BX161)</f>
        <v>0</v>
      </c>
      <c r="BY243">
        <f>IF(ISNA(BZ243),NA(),BY161)</f>
        <v>0</v>
      </c>
      <c r="BZ243">
        <f>IF(OR(BZ161="",AND(BZ161=BZ160,BZ161=BZ162)),NA(), BZ161)</f>
        <v>0</v>
      </c>
      <c r="CA243">
        <f>IF(ISNA(CB243),NA(),CA161)</f>
        <v>0</v>
      </c>
      <c r="CB243">
        <f>IF(OR(CB161="",AND(CB161=CB160,CB161=CB162)),NA(), CB161)</f>
        <v>0</v>
      </c>
      <c r="CC243">
        <f>IF(ISNA(CD243),NA(),CC161)</f>
        <v>0</v>
      </c>
      <c r="CD243">
        <f>IF(OR(CD161="",AND(CD161=CD160,CD161=CD162)),NA(), CD161)</f>
        <v>0</v>
      </c>
      <c r="CE243">
        <f>IF(ISNA(CF243),NA(),CE161)</f>
        <v>0</v>
      </c>
      <c r="CF243">
        <f>IF(OR(CF161="",AND(CF161=CF160,CF161=CF162)),NA(), CF161)</f>
        <v>0</v>
      </c>
      <c r="CG243">
        <f>IF(ISNA(CH243),NA(),CG161)</f>
        <v>0</v>
      </c>
      <c r="CH243">
        <f>IF(OR(CH161="",AND(CH161=CH160,CH161=CH162)),NA(), CH161)</f>
        <v>0</v>
      </c>
      <c r="CI243">
        <f>IF(ISNA(CJ243),NA(),CI161)</f>
        <v>0</v>
      </c>
      <c r="CJ243">
        <f>IF(OR(CJ161="",AND(CJ161=CJ160,CJ161=CJ162)),NA(), CJ161)</f>
        <v>0</v>
      </c>
      <c r="CK243">
        <f>IF(ISNA(CL243),NA(),CK161)</f>
        <v>0</v>
      </c>
      <c r="CL243">
        <f>IF(OR(CL161="",AND(CL161=CL160,CL161=CL162)),NA(), CL161)</f>
        <v>0</v>
      </c>
      <c r="CM243">
        <f>IF(ISNA(CN243),NA(),CM161)</f>
        <v>0</v>
      </c>
      <c r="CN243">
        <f>IF(OR(CN161="",AND(CN161=CN160,CN161=CN162)),NA(), CN161)</f>
        <v>0</v>
      </c>
      <c r="CO243">
        <f>IF(ISNA(CP243),NA(),CO161)</f>
        <v>0</v>
      </c>
      <c r="CP243">
        <f>IF(OR(CP161="",AND(CP161=CP160,CP161=CP162)),NA(), CP161)</f>
        <v>0</v>
      </c>
      <c r="CQ243">
        <f>IF(ISNA(CR243),NA(),CQ161)</f>
        <v>0</v>
      </c>
      <c r="CR243">
        <f>IF(OR(CR161="",AND(CR161=CR160,CR161=CR162)),NA(), CR161)</f>
        <v>0</v>
      </c>
      <c r="CS243">
        <f>IF(ISNA(CT243),NA(),CS161)</f>
        <v>0</v>
      </c>
      <c r="CT243">
        <f>IF(OR(CT161="",AND(CT161=CT160,CT161=CT162)),NA(), CT161)</f>
        <v>0</v>
      </c>
      <c r="CU243">
        <f>IF(ISNA(CV243),NA(),CU161)</f>
        <v>0</v>
      </c>
      <c r="CV243">
        <f>IF(OR(CV161="",AND(CV161=CV160,CV161=CV162)),NA(), CV161)</f>
        <v>0</v>
      </c>
      <c r="CW243">
        <f>IF(ISNA(CX243),NA(),CW161)</f>
        <v>0</v>
      </c>
      <c r="CX243">
        <f>IF(OR(CX161="",AND(CX161=CX160,CX161=CX162)),NA(), CX161)</f>
        <v>0</v>
      </c>
      <c r="CY243">
        <f>IF(ISNA(CZ243),NA(),CY161)</f>
        <v>0</v>
      </c>
      <c r="CZ243">
        <f>IF(OR(CZ161="",AND(CZ161=CZ160,CZ161=CZ162)),NA(), CZ161)</f>
        <v>0</v>
      </c>
      <c r="DA243">
        <f>IF(ISNA(DB243),NA(),DA161)</f>
        <v>0</v>
      </c>
      <c r="DB243">
        <f>IF(OR(DB161="",AND(DB161=DB160,DB161=DB162)),NA(), DB161)</f>
        <v>0</v>
      </c>
      <c r="DC243">
        <f>IF(ISNA(DD243),NA(),DC161)</f>
        <v>0</v>
      </c>
      <c r="DD243">
        <f>IF(OR(DD161="",AND(DD161=DD160,DD161=DD162)),NA(), DD161)</f>
        <v>0</v>
      </c>
      <c r="DE243">
        <f>IF(ISNA(DF243),NA(),DE161)</f>
        <v>0</v>
      </c>
      <c r="DF243">
        <f>IF(OR(DF161="",AND(DF161=DF160,DF161=DF162)),NA(), DF161)</f>
        <v>0</v>
      </c>
      <c r="DG243">
        <f>IF(ISNA(DH243),NA(),DG161)</f>
        <v>0</v>
      </c>
      <c r="DH243">
        <f>IF(OR(DH161="",AND(DH161=DH160,DH161=DH162)),NA(), DH161)</f>
        <v>0</v>
      </c>
      <c r="DI243">
        <f>IF(ISNA(DJ243),NA(),DI161)</f>
        <v>0</v>
      </c>
      <c r="DJ243">
        <f>IF(OR(DJ161="",AND(DJ161=DJ160,DJ161=DJ162)),NA(), DJ161)</f>
        <v>0</v>
      </c>
      <c r="DK243">
        <f>IF(ISNA(DL243),NA(),DK161)</f>
        <v>0</v>
      </c>
      <c r="DL243">
        <f>IF(OR(DL161="",AND(DL161=DL160,DL161=DL162)),NA(), DL161)</f>
        <v>0</v>
      </c>
      <c r="DM243">
        <f>IF(ISNA(DN243),NA(),DM161)</f>
        <v>0</v>
      </c>
      <c r="DN243">
        <f>IF(OR(DN161="",AND(DN161=DN160,DN161=DN162)),NA(), DN161)</f>
        <v>0</v>
      </c>
      <c r="DO243">
        <f>IF(ISNA(DP243),NA(),DO161)</f>
        <v>0</v>
      </c>
      <c r="DP243">
        <f>IF(OR(DP161="",AND(DP161=DP160,DP161=DP162)),NA(), DP161)</f>
        <v>0</v>
      </c>
      <c r="DQ243">
        <f>IF(ISNA(DR243),NA(),DQ161)</f>
        <v>0</v>
      </c>
      <c r="DR243">
        <f>IF(OR(DR161="",AND(DR161=DR160,DR161=DR162)),NA(), DR161)</f>
        <v>0</v>
      </c>
      <c r="DS243">
        <f>IF(ISNA(DT243),NA(),DS161)</f>
        <v>0</v>
      </c>
      <c r="DT243">
        <f>IF(OR(DT161="",AND(DT161=DT160,DT161=DT162)),NA(), DT161)</f>
        <v>0</v>
      </c>
      <c r="DU243">
        <f>IF(ISNA(DV243),NA(),DU161)</f>
        <v>0</v>
      </c>
      <c r="DV243">
        <f>IF(OR(DV161="",AND(DV161=DV160,DV161=DV162)),NA(), DV161)</f>
        <v>0</v>
      </c>
      <c r="DW243">
        <f>IF(ISNA(DX243),NA(),DW161)</f>
        <v>0</v>
      </c>
      <c r="DX243">
        <f>IF(OR(DX161="",AND(DX161=DX160,DX161=DX162)),NA(), DX161)</f>
        <v>0</v>
      </c>
      <c r="DY243">
        <f>IF(ISNA(DZ243),NA(),DY161)</f>
        <v>0</v>
      </c>
      <c r="DZ243">
        <f>IF(OR(DZ161="",AND(DZ161=DZ160,DZ161=DZ162)),NA(), DZ161)</f>
        <v>0</v>
      </c>
      <c r="EA243">
        <f>IF(ISNA(EB243),NA(),EA161)</f>
        <v>0</v>
      </c>
      <c r="EB243">
        <f>IF(OR(EB161="",AND(EB161=EB160,EB161=EB162)),NA(), EB161)</f>
        <v>0</v>
      </c>
      <c r="EC243">
        <f>IF(ISNA(ED243),NA(),EC161)</f>
        <v>0</v>
      </c>
      <c r="ED243">
        <f>IF(OR(ED161="",AND(ED161=ED160,ED161=ED162)),NA(), ED161)</f>
        <v>0</v>
      </c>
    </row>
    <row r="244" spans="5:134">
      <c r="E244">
        <f>IF(ISNA(F244),NA(),E162)</f>
        <v>0</v>
      </c>
      <c r="F244">
        <f>IF(OR(F162="",AND(F162=F161,F162=F163)),NA(), F162)</f>
        <v>0</v>
      </c>
      <c r="G244">
        <f>IF(ISNA(H244),NA(),G162)</f>
        <v>0</v>
      </c>
      <c r="H244">
        <f>IF(OR(H162="",AND(H162=H161,H162=H163)),NA(), H162)</f>
        <v>0</v>
      </c>
      <c r="I244">
        <f>IF(ISNA(J244),NA(),I162)</f>
        <v>0</v>
      </c>
      <c r="J244">
        <f>IF(OR(J162="",AND(J162=J161,J162=J163)),NA(), J162)</f>
        <v>0</v>
      </c>
      <c r="K244">
        <f>IF(ISNA(L244),NA(),K162)</f>
        <v>0</v>
      </c>
      <c r="L244">
        <f>IF(OR(L162="",AND(L162=L161,L162=L163)),NA(), L162)</f>
        <v>0</v>
      </c>
      <c r="M244">
        <f>IF(ISNA(N244),NA(),M162)</f>
        <v>0</v>
      </c>
      <c r="N244">
        <f>IF(OR(N162="",AND(N162=N161,N162=N163)),NA(), N162)</f>
        <v>0</v>
      </c>
      <c r="O244">
        <f>IF(ISNA(P244),NA(),O162)</f>
        <v>0</v>
      </c>
      <c r="P244">
        <f>IF(OR(P162="",AND(P162=P161,P162=P163)),NA(), P162)</f>
        <v>0</v>
      </c>
      <c r="Q244">
        <f>IF(ISNA(R244),NA(),Q162)</f>
        <v>0</v>
      </c>
      <c r="R244">
        <f>IF(OR(R162="",AND(R162=R161,R162=R163)),NA(), R162)</f>
        <v>0</v>
      </c>
      <c r="S244">
        <f>IF(ISNA(T244),NA(),S162)</f>
        <v>0</v>
      </c>
      <c r="T244">
        <f>IF(OR(T162="",AND(T162=T161,T162=T163)),NA(), T162)</f>
        <v>0</v>
      </c>
      <c r="U244">
        <f>IF(ISNA(V244),NA(),U162)</f>
        <v>0</v>
      </c>
      <c r="V244">
        <f>IF(OR(V162="",AND(V162=V161,V162=V163)),NA(), V162)</f>
        <v>0</v>
      </c>
      <c r="W244">
        <f>IF(ISNA(X244),NA(),W162)</f>
        <v>0</v>
      </c>
      <c r="X244">
        <f>IF(OR(X162="",AND(X162=X161,X162=X163)),NA(), X162)</f>
        <v>0</v>
      </c>
      <c r="Y244">
        <f>IF(ISNA(Z244),NA(),Y162)</f>
        <v>0</v>
      </c>
      <c r="Z244">
        <f>IF(OR(Z162="",AND(Z162=Z161,Z162=Z163)),NA(), Z162)</f>
        <v>0</v>
      </c>
      <c r="AA244">
        <f>IF(ISNA(AB244),NA(),AA162)</f>
        <v>0</v>
      </c>
      <c r="AB244">
        <f>IF(OR(AB162="",AND(AB162=AB161,AB162=AB163)),NA(), AB162)</f>
        <v>0</v>
      </c>
      <c r="AC244">
        <f>IF(ISNA(AD244),NA(),AC162)</f>
        <v>0</v>
      </c>
      <c r="AD244">
        <f>IF(OR(AD162="",AND(AD162=AD161,AD162=AD163)),NA(), AD162)</f>
        <v>0</v>
      </c>
      <c r="AE244">
        <f>IF(ISNA(AF244),NA(),AE162)</f>
        <v>0</v>
      </c>
      <c r="AF244">
        <f>IF(OR(AF162="",AND(AF162=AF161,AF162=AF163)),NA(), AF162)</f>
        <v>0</v>
      </c>
      <c r="AG244">
        <f>IF(ISNA(AH244),NA(),AG162)</f>
        <v>0</v>
      </c>
      <c r="AH244">
        <f>IF(OR(AH162="",AND(AH162=AH161,AH162=AH163)),NA(), AH162)</f>
        <v>0</v>
      </c>
      <c r="AI244">
        <f>IF(ISNA(AJ244),NA(),AI162)</f>
        <v>0</v>
      </c>
      <c r="AJ244">
        <f>IF(OR(AJ162="",AND(AJ162=AJ161,AJ162=AJ163)),NA(), AJ162)</f>
        <v>0</v>
      </c>
      <c r="AK244">
        <f>IF(ISNA(AL244),NA(),AK162)</f>
        <v>0</v>
      </c>
      <c r="AL244">
        <f>IF(OR(AL162="",AND(AL162=AL161,AL162=AL163)),NA(), AL162)</f>
        <v>0</v>
      </c>
      <c r="AM244">
        <f>IF(ISNA(AN244),NA(),AM162)</f>
        <v>0</v>
      </c>
      <c r="AN244">
        <f>IF(OR(AN162="",AND(AN162=AN161,AN162=AN163)),NA(), AN162)</f>
        <v>0</v>
      </c>
      <c r="AO244">
        <f>IF(ISNA(AP244),NA(),AO162)</f>
        <v>0</v>
      </c>
      <c r="AP244">
        <f>IF(OR(AP162="",AND(AP162=AP161,AP162=AP163)),NA(), AP162)</f>
        <v>0</v>
      </c>
      <c r="AQ244">
        <f>IF(ISNA(AR244),NA(),AQ162)</f>
        <v>0</v>
      </c>
      <c r="AR244">
        <f>IF(OR(AR162="",AND(AR162=AR161,AR162=AR163)),NA(), AR162)</f>
        <v>0</v>
      </c>
      <c r="AS244">
        <f>IF(ISNA(AT244),NA(),AS162)</f>
        <v>0</v>
      </c>
      <c r="AT244">
        <f>IF(OR(AT162="",AND(AT162=AT161,AT162=AT163)),NA(), AT162)</f>
        <v>0</v>
      </c>
      <c r="AU244">
        <f>IF(ISNA(AV244),NA(),AU162)</f>
        <v>0</v>
      </c>
      <c r="AV244">
        <f>IF(OR(AV162="",AND(AV162=AV161,AV162=AV163)),NA(), AV162)</f>
        <v>0</v>
      </c>
      <c r="AW244">
        <f>IF(ISNA(AX244),NA(),AW162)</f>
        <v>0</v>
      </c>
      <c r="AX244">
        <f>IF(OR(AX162="",AND(AX162=AX161,AX162=AX163)),NA(), AX162)</f>
        <v>0</v>
      </c>
      <c r="AY244">
        <f>IF(ISNA(AZ244),NA(),AY162)</f>
        <v>0</v>
      </c>
      <c r="AZ244">
        <f>IF(OR(AZ162="",AND(AZ162=AZ161,AZ162=AZ163)),NA(), AZ162)</f>
        <v>0</v>
      </c>
      <c r="BA244">
        <f>IF(ISNA(BB244),NA(),BA162)</f>
        <v>0</v>
      </c>
      <c r="BB244">
        <f>IF(OR(BB162="",AND(BB162=BB161,BB162=BB163)),NA(), BB162)</f>
        <v>0</v>
      </c>
      <c r="BC244">
        <f>IF(ISNA(BD244),NA(),BC162)</f>
        <v>0</v>
      </c>
      <c r="BD244">
        <f>IF(OR(BD162="",AND(BD162=BD161,BD162=BD163)),NA(), BD162)</f>
        <v>0</v>
      </c>
      <c r="BE244">
        <f>IF(ISNA(BF244),NA(),BE162)</f>
        <v>0</v>
      </c>
      <c r="BF244">
        <f>IF(OR(BF162="",AND(BF162=BF161,BF162=BF163)),NA(), BF162)</f>
        <v>0</v>
      </c>
      <c r="BG244">
        <f>IF(ISNA(BH244),NA(),BG162)</f>
        <v>0</v>
      </c>
      <c r="BH244">
        <f>IF(OR(BH162="",AND(BH162=BH161,BH162=BH163)),NA(), BH162)</f>
        <v>0</v>
      </c>
      <c r="BI244">
        <f>IF(ISNA(BJ244),NA(),BI162)</f>
        <v>0</v>
      </c>
      <c r="BJ244">
        <f>IF(OR(BJ162="",AND(BJ162=BJ161,BJ162=BJ163)),NA(), BJ162)</f>
        <v>0</v>
      </c>
      <c r="BK244">
        <f>IF(ISNA(BL244),NA(),BK162)</f>
        <v>0</v>
      </c>
      <c r="BL244">
        <f>IF(OR(BL162="",AND(BL162=BL161,BL162=BL163)),NA(), BL162)</f>
        <v>0</v>
      </c>
      <c r="BM244">
        <f>IF(ISNA(BN244),NA(),BM162)</f>
        <v>0</v>
      </c>
      <c r="BN244">
        <f>IF(OR(BN162="",AND(BN162=BN161,BN162=BN163)),NA(), BN162)</f>
        <v>0</v>
      </c>
      <c r="BO244">
        <f>IF(ISNA(BP244),NA(),BO162)</f>
        <v>0</v>
      </c>
      <c r="BP244">
        <f>IF(OR(BP162="",AND(BP162=BP161,BP162=BP163)),NA(), BP162)</f>
        <v>0</v>
      </c>
      <c r="BS244">
        <f>IF(ISNA(BT244),NA(),BS162)</f>
        <v>0</v>
      </c>
      <c r="BT244">
        <f>IF(OR(BT162="",AND(BT162=BT161,BT162=BT163)),NA(), BT162)</f>
        <v>0</v>
      </c>
      <c r="BU244">
        <f>IF(ISNA(BV244),NA(),BU162)</f>
        <v>0</v>
      </c>
      <c r="BV244">
        <f>IF(OR(BV162="",AND(BV162=BV161,BV162=BV163)),NA(), BV162)</f>
        <v>0</v>
      </c>
      <c r="BW244">
        <f>IF(ISNA(BX244),NA(),BW162)</f>
        <v>0</v>
      </c>
      <c r="BX244">
        <f>IF(OR(BX162="",AND(BX162=BX161,BX162=BX163)),NA(), BX162)</f>
        <v>0</v>
      </c>
      <c r="BY244">
        <f>IF(ISNA(BZ244),NA(),BY162)</f>
        <v>0</v>
      </c>
      <c r="BZ244">
        <f>IF(OR(BZ162="",AND(BZ162=BZ161,BZ162=BZ163)),NA(), BZ162)</f>
        <v>0</v>
      </c>
      <c r="CA244">
        <f>IF(ISNA(CB244),NA(),CA162)</f>
        <v>0</v>
      </c>
      <c r="CB244">
        <f>IF(OR(CB162="",AND(CB162=CB161,CB162=CB163)),NA(), CB162)</f>
        <v>0</v>
      </c>
      <c r="CC244">
        <f>IF(ISNA(CD244),NA(),CC162)</f>
        <v>0</v>
      </c>
      <c r="CD244">
        <f>IF(OR(CD162="",AND(CD162=CD161,CD162=CD163)),NA(), CD162)</f>
        <v>0</v>
      </c>
      <c r="CE244">
        <f>IF(ISNA(CF244),NA(),CE162)</f>
        <v>0</v>
      </c>
      <c r="CF244">
        <f>IF(OR(CF162="",AND(CF162=CF161,CF162=CF163)),NA(), CF162)</f>
        <v>0</v>
      </c>
      <c r="CG244">
        <f>IF(ISNA(CH244),NA(),CG162)</f>
        <v>0</v>
      </c>
      <c r="CH244">
        <f>IF(OR(CH162="",AND(CH162=CH161,CH162=CH163)),NA(), CH162)</f>
        <v>0</v>
      </c>
      <c r="CI244">
        <f>IF(ISNA(CJ244),NA(),CI162)</f>
        <v>0</v>
      </c>
      <c r="CJ244">
        <f>IF(OR(CJ162="",AND(CJ162=CJ161,CJ162=CJ163)),NA(), CJ162)</f>
        <v>0</v>
      </c>
      <c r="CK244">
        <f>IF(ISNA(CL244),NA(),CK162)</f>
        <v>0</v>
      </c>
      <c r="CL244">
        <f>IF(OR(CL162="",AND(CL162=CL161,CL162=CL163)),NA(), CL162)</f>
        <v>0</v>
      </c>
      <c r="CM244">
        <f>IF(ISNA(CN244),NA(),CM162)</f>
        <v>0</v>
      </c>
      <c r="CN244">
        <f>IF(OR(CN162="",AND(CN162=CN161,CN162=CN163)),NA(), CN162)</f>
        <v>0</v>
      </c>
      <c r="CO244">
        <f>IF(ISNA(CP244),NA(),CO162)</f>
        <v>0</v>
      </c>
      <c r="CP244">
        <f>IF(OR(CP162="",AND(CP162=CP161,CP162=CP163)),NA(), CP162)</f>
        <v>0</v>
      </c>
      <c r="CQ244">
        <f>IF(ISNA(CR244),NA(),CQ162)</f>
        <v>0</v>
      </c>
      <c r="CR244">
        <f>IF(OR(CR162="",AND(CR162=CR161,CR162=CR163)),NA(), CR162)</f>
        <v>0</v>
      </c>
      <c r="CS244">
        <f>IF(ISNA(CT244),NA(),CS162)</f>
        <v>0</v>
      </c>
      <c r="CT244">
        <f>IF(OR(CT162="",AND(CT162=CT161,CT162=CT163)),NA(), CT162)</f>
        <v>0</v>
      </c>
      <c r="CU244">
        <f>IF(ISNA(CV244),NA(),CU162)</f>
        <v>0</v>
      </c>
      <c r="CV244">
        <f>IF(OR(CV162="",AND(CV162=CV161,CV162=CV163)),NA(), CV162)</f>
        <v>0</v>
      </c>
      <c r="CW244">
        <f>IF(ISNA(CX244),NA(),CW162)</f>
        <v>0</v>
      </c>
      <c r="CX244">
        <f>IF(OR(CX162="",AND(CX162=CX161,CX162=CX163)),NA(), CX162)</f>
        <v>0</v>
      </c>
      <c r="CY244">
        <f>IF(ISNA(CZ244),NA(),CY162)</f>
        <v>0</v>
      </c>
      <c r="CZ244">
        <f>IF(OR(CZ162="",AND(CZ162=CZ161,CZ162=CZ163)),NA(), CZ162)</f>
        <v>0</v>
      </c>
      <c r="DA244">
        <f>IF(ISNA(DB244),NA(),DA162)</f>
        <v>0</v>
      </c>
      <c r="DB244">
        <f>IF(OR(DB162="",AND(DB162=DB161,DB162=DB163)),NA(), DB162)</f>
        <v>0</v>
      </c>
      <c r="DC244">
        <f>IF(ISNA(DD244),NA(),DC162)</f>
        <v>0</v>
      </c>
      <c r="DD244">
        <f>IF(OR(DD162="",AND(DD162=DD161,DD162=DD163)),NA(), DD162)</f>
        <v>0</v>
      </c>
      <c r="DE244">
        <f>IF(ISNA(DF244),NA(),DE162)</f>
        <v>0</v>
      </c>
      <c r="DF244">
        <f>IF(OR(DF162="",AND(DF162=DF161,DF162=DF163)),NA(), DF162)</f>
        <v>0</v>
      </c>
      <c r="DG244">
        <f>IF(ISNA(DH244),NA(),DG162)</f>
        <v>0</v>
      </c>
      <c r="DH244">
        <f>IF(OR(DH162="",AND(DH162=DH161,DH162=DH163)),NA(), DH162)</f>
        <v>0</v>
      </c>
      <c r="DI244">
        <f>IF(ISNA(DJ244),NA(),DI162)</f>
        <v>0</v>
      </c>
      <c r="DJ244">
        <f>IF(OR(DJ162="",AND(DJ162=DJ161,DJ162=DJ163)),NA(), DJ162)</f>
        <v>0</v>
      </c>
      <c r="DK244">
        <f>IF(ISNA(DL244),NA(),DK162)</f>
        <v>0</v>
      </c>
      <c r="DL244">
        <f>IF(OR(DL162="",AND(DL162=DL161,DL162=DL163)),NA(), DL162)</f>
        <v>0</v>
      </c>
      <c r="DM244">
        <f>IF(ISNA(DN244),NA(),DM162)</f>
        <v>0</v>
      </c>
      <c r="DN244">
        <f>IF(OR(DN162="",AND(DN162=DN161,DN162=DN163)),NA(), DN162)</f>
        <v>0</v>
      </c>
      <c r="DO244">
        <f>IF(ISNA(DP244),NA(),DO162)</f>
        <v>0</v>
      </c>
      <c r="DP244">
        <f>IF(OR(DP162="",AND(DP162=DP161,DP162=DP163)),NA(), DP162)</f>
        <v>0</v>
      </c>
      <c r="DQ244">
        <f>IF(ISNA(DR244),NA(),DQ162)</f>
        <v>0</v>
      </c>
      <c r="DR244">
        <f>IF(OR(DR162="",AND(DR162=DR161,DR162=DR163)),NA(), DR162)</f>
        <v>0</v>
      </c>
      <c r="DS244">
        <f>IF(ISNA(DT244),NA(),DS162)</f>
        <v>0</v>
      </c>
      <c r="DT244">
        <f>IF(OR(DT162="",AND(DT162=DT161,DT162=DT163)),NA(), DT162)</f>
        <v>0</v>
      </c>
      <c r="DU244">
        <f>IF(ISNA(DV244),NA(),DU162)</f>
        <v>0</v>
      </c>
      <c r="DV244">
        <f>IF(OR(DV162="",AND(DV162=DV161,DV162=DV163)),NA(), DV162)</f>
        <v>0</v>
      </c>
      <c r="DW244">
        <f>IF(ISNA(DX244),NA(),DW162)</f>
        <v>0</v>
      </c>
      <c r="DX244">
        <f>IF(OR(DX162="",AND(DX162=DX161,DX162=DX163)),NA(), DX162)</f>
        <v>0</v>
      </c>
      <c r="DY244">
        <f>IF(ISNA(DZ244),NA(),DY162)</f>
        <v>0</v>
      </c>
      <c r="DZ244">
        <f>IF(OR(DZ162="",AND(DZ162=DZ161,DZ162=DZ163)),NA(), DZ162)</f>
        <v>0</v>
      </c>
      <c r="EA244">
        <f>IF(ISNA(EB244),NA(),EA162)</f>
        <v>0</v>
      </c>
      <c r="EB244">
        <f>IF(OR(EB162="",AND(EB162=EB161,EB162=EB163)),NA(), EB162)</f>
        <v>0</v>
      </c>
      <c r="EC244">
        <f>IF(ISNA(ED244),NA(),EC162)</f>
        <v>0</v>
      </c>
      <c r="ED244">
        <f>IF(OR(ED162="",AND(ED162=ED161,ED162=ED163)),NA(), ED162)</f>
        <v>0</v>
      </c>
    </row>
    <row r="245" spans="5:134">
      <c r="E245">
        <f>IF(ISNA(F245),NA(),E163)</f>
        <v>0</v>
      </c>
      <c r="F245">
        <f>IF(OR(F163="",AND(F163=F162,F163=F164)),NA(), F163)</f>
        <v>0</v>
      </c>
      <c r="G245">
        <f>IF(ISNA(H245),NA(),G163)</f>
        <v>0</v>
      </c>
      <c r="H245">
        <f>IF(OR(H163="",AND(H163=H162,H163=H164)),NA(), H163)</f>
        <v>0</v>
      </c>
      <c r="I245">
        <f>IF(ISNA(J245),NA(),I163)</f>
        <v>0</v>
      </c>
      <c r="J245">
        <f>IF(OR(J163="",AND(J163=J162,J163=J164)),NA(), J163)</f>
        <v>0</v>
      </c>
      <c r="K245">
        <f>IF(ISNA(L245),NA(),K163)</f>
        <v>0</v>
      </c>
      <c r="L245">
        <f>IF(OR(L163="",AND(L163=L162,L163=L164)),NA(), L163)</f>
        <v>0</v>
      </c>
      <c r="M245">
        <f>IF(ISNA(N245),NA(),M163)</f>
        <v>0</v>
      </c>
      <c r="N245">
        <f>IF(OR(N163="",AND(N163=N162,N163=N164)),NA(), N163)</f>
        <v>0</v>
      </c>
      <c r="O245">
        <f>IF(ISNA(P245),NA(),O163)</f>
        <v>0</v>
      </c>
      <c r="P245">
        <f>IF(OR(P163="",AND(P163=P162,P163=P164)),NA(), P163)</f>
        <v>0</v>
      </c>
      <c r="Q245">
        <f>IF(ISNA(R245),NA(),Q163)</f>
        <v>0</v>
      </c>
      <c r="R245">
        <f>IF(OR(R163="",AND(R163=R162,R163=R164)),NA(), R163)</f>
        <v>0</v>
      </c>
      <c r="S245">
        <f>IF(ISNA(T245),NA(),S163)</f>
        <v>0</v>
      </c>
      <c r="T245">
        <f>IF(OR(T163="",AND(T163=T162,T163=T164)),NA(), T163)</f>
        <v>0</v>
      </c>
      <c r="U245">
        <f>IF(ISNA(V245),NA(),U163)</f>
        <v>0</v>
      </c>
      <c r="V245">
        <f>IF(OR(V163="",AND(V163=V162,V163=V164)),NA(), V163)</f>
        <v>0</v>
      </c>
      <c r="W245">
        <f>IF(ISNA(X245),NA(),W163)</f>
        <v>0</v>
      </c>
      <c r="X245">
        <f>IF(OR(X163="",AND(X163=X162,X163=X164)),NA(), X163)</f>
        <v>0</v>
      </c>
      <c r="Y245">
        <f>IF(ISNA(Z245),NA(),Y163)</f>
        <v>0</v>
      </c>
      <c r="Z245">
        <f>IF(OR(Z163="",AND(Z163=Z162,Z163=Z164)),NA(), Z163)</f>
        <v>0</v>
      </c>
      <c r="AA245">
        <f>IF(ISNA(AB245),NA(),AA163)</f>
        <v>0</v>
      </c>
      <c r="AB245">
        <f>IF(OR(AB163="",AND(AB163=AB162,AB163=AB164)),NA(), AB163)</f>
        <v>0</v>
      </c>
      <c r="AC245">
        <f>IF(ISNA(AD245),NA(),AC163)</f>
        <v>0</v>
      </c>
      <c r="AD245">
        <f>IF(OR(AD163="",AND(AD163=AD162,AD163=AD164)),NA(), AD163)</f>
        <v>0</v>
      </c>
      <c r="AE245">
        <f>IF(ISNA(AF245),NA(),AE163)</f>
        <v>0</v>
      </c>
      <c r="AF245">
        <f>IF(OR(AF163="",AND(AF163=AF162,AF163=AF164)),NA(), AF163)</f>
        <v>0</v>
      </c>
      <c r="AG245">
        <f>IF(ISNA(AH245),NA(),AG163)</f>
        <v>0</v>
      </c>
      <c r="AH245">
        <f>IF(OR(AH163="",AND(AH163=AH162,AH163=AH164)),NA(), AH163)</f>
        <v>0</v>
      </c>
      <c r="AI245">
        <f>IF(ISNA(AJ245),NA(),AI163)</f>
        <v>0</v>
      </c>
      <c r="AJ245">
        <f>IF(OR(AJ163="",AND(AJ163=AJ162,AJ163=AJ164)),NA(), AJ163)</f>
        <v>0</v>
      </c>
      <c r="AK245">
        <f>IF(ISNA(AL245),NA(),AK163)</f>
        <v>0</v>
      </c>
      <c r="AL245">
        <f>IF(OR(AL163="",AND(AL163=AL162,AL163=AL164)),NA(), AL163)</f>
        <v>0</v>
      </c>
      <c r="AM245">
        <f>IF(ISNA(AN245),NA(),AM163)</f>
        <v>0</v>
      </c>
      <c r="AN245">
        <f>IF(OR(AN163="",AND(AN163=AN162,AN163=AN164)),NA(), AN163)</f>
        <v>0</v>
      </c>
      <c r="AO245">
        <f>IF(ISNA(AP245),NA(),AO163)</f>
        <v>0</v>
      </c>
      <c r="AP245">
        <f>IF(OR(AP163="",AND(AP163=AP162,AP163=AP164)),NA(), AP163)</f>
        <v>0</v>
      </c>
      <c r="AQ245">
        <f>IF(ISNA(AR245),NA(),AQ163)</f>
        <v>0</v>
      </c>
      <c r="AR245">
        <f>IF(OR(AR163="",AND(AR163=AR162,AR163=AR164)),NA(), AR163)</f>
        <v>0</v>
      </c>
      <c r="AS245">
        <f>IF(ISNA(AT245),NA(),AS163)</f>
        <v>0</v>
      </c>
      <c r="AT245">
        <f>IF(OR(AT163="",AND(AT163=AT162,AT163=AT164)),NA(), AT163)</f>
        <v>0</v>
      </c>
      <c r="AU245">
        <f>IF(ISNA(AV245),NA(),AU163)</f>
        <v>0</v>
      </c>
      <c r="AV245">
        <f>IF(OR(AV163="",AND(AV163=AV162,AV163=AV164)),NA(), AV163)</f>
        <v>0</v>
      </c>
      <c r="AW245">
        <f>IF(ISNA(AX245),NA(),AW163)</f>
        <v>0</v>
      </c>
      <c r="AX245">
        <f>IF(OR(AX163="",AND(AX163=AX162,AX163=AX164)),NA(), AX163)</f>
        <v>0</v>
      </c>
      <c r="AY245">
        <f>IF(ISNA(AZ245),NA(),AY163)</f>
        <v>0</v>
      </c>
      <c r="AZ245">
        <f>IF(OR(AZ163="",AND(AZ163=AZ162,AZ163=AZ164)),NA(), AZ163)</f>
        <v>0</v>
      </c>
      <c r="BA245">
        <f>IF(ISNA(BB245),NA(),BA163)</f>
        <v>0</v>
      </c>
      <c r="BB245">
        <f>IF(OR(BB163="",AND(BB163=BB162,BB163=BB164)),NA(), BB163)</f>
        <v>0</v>
      </c>
      <c r="BC245">
        <f>IF(ISNA(BD245),NA(),BC163)</f>
        <v>0</v>
      </c>
      <c r="BD245">
        <f>IF(OR(BD163="",AND(BD163=BD162,BD163=BD164)),NA(), BD163)</f>
        <v>0</v>
      </c>
      <c r="BE245">
        <f>IF(ISNA(BF245),NA(),BE163)</f>
        <v>0</v>
      </c>
      <c r="BF245">
        <f>IF(OR(BF163="",AND(BF163=BF162,BF163=BF164)),NA(), BF163)</f>
        <v>0</v>
      </c>
      <c r="BG245">
        <f>IF(ISNA(BH245),NA(),BG163)</f>
        <v>0</v>
      </c>
      <c r="BH245">
        <f>IF(OR(BH163="",AND(BH163=BH162,BH163=BH164)),NA(), BH163)</f>
        <v>0</v>
      </c>
      <c r="BI245">
        <f>IF(ISNA(BJ245),NA(),BI163)</f>
        <v>0</v>
      </c>
      <c r="BJ245">
        <f>IF(OR(BJ163="",AND(BJ163=BJ162,BJ163=BJ164)),NA(), BJ163)</f>
        <v>0</v>
      </c>
      <c r="BK245">
        <f>IF(ISNA(BL245),NA(),BK163)</f>
        <v>0</v>
      </c>
      <c r="BL245">
        <f>IF(OR(BL163="",AND(BL163=BL162,BL163=BL164)),NA(), BL163)</f>
        <v>0</v>
      </c>
      <c r="BM245">
        <f>IF(ISNA(BN245),NA(),BM163)</f>
        <v>0</v>
      </c>
      <c r="BN245">
        <f>IF(OR(BN163="",AND(BN163=BN162,BN163=BN164)),NA(), BN163)</f>
        <v>0</v>
      </c>
      <c r="BO245">
        <f>IF(ISNA(BP245),NA(),BO163)</f>
        <v>0</v>
      </c>
      <c r="BP245">
        <f>IF(OR(BP163="",AND(BP163=BP162,BP163=BP164)),NA(), BP163)</f>
        <v>0</v>
      </c>
      <c r="BS245">
        <f>IF(ISNA(BT245),NA(),BS163)</f>
        <v>0</v>
      </c>
      <c r="BT245">
        <f>IF(OR(BT163="",AND(BT163=BT162,BT163=BT164)),NA(), BT163)</f>
        <v>0</v>
      </c>
      <c r="BU245">
        <f>IF(ISNA(BV245),NA(),BU163)</f>
        <v>0</v>
      </c>
      <c r="BV245">
        <f>IF(OR(BV163="",AND(BV163=BV162,BV163=BV164)),NA(), BV163)</f>
        <v>0</v>
      </c>
      <c r="BW245">
        <f>IF(ISNA(BX245),NA(),BW163)</f>
        <v>0</v>
      </c>
      <c r="BX245">
        <f>IF(OR(BX163="",AND(BX163=BX162,BX163=BX164)),NA(), BX163)</f>
        <v>0</v>
      </c>
      <c r="BY245">
        <f>IF(ISNA(BZ245),NA(),BY163)</f>
        <v>0</v>
      </c>
      <c r="BZ245">
        <f>IF(OR(BZ163="",AND(BZ163=BZ162,BZ163=BZ164)),NA(), BZ163)</f>
        <v>0</v>
      </c>
      <c r="CA245">
        <f>IF(ISNA(CB245),NA(),CA163)</f>
        <v>0</v>
      </c>
      <c r="CB245">
        <f>IF(OR(CB163="",AND(CB163=CB162,CB163=CB164)),NA(), CB163)</f>
        <v>0</v>
      </c>
      <c r="CC245">
        <f>IF(ISNA(CD245),NA(),CC163)</f>
        <v>0</v>
      </c>
      <c r="CD245">
        <f>IF(OR(CD163="",AND(CD163=CD162,CD163=CD164)),NA(), CD163)</f>
        <v>0</v>
      </c>
      <c r="CE245">
        <f>IF(ISNA(CF245),NA(),CE163)</f>
        <v>0</v>
      </c>
      <c r="CF245">
        <f>IF(OR(CF163="",AND(CF163=CF162,CF163=CF164)),NA(), CF163)</f>
        <v>0</v>
      </c>
      <c r="CG245">
        <f>IF(ISNA(CH245),NA(),CG163)</f>
        <v>0</v>
      </c>
      <c r="CH245">
        <f>IF(OR(CH163="",AND(CH163=CH162,CH163=CH164)),NA(), CH163)</f>
        <v>0</v>
      </c>
      <c r="CI245">
        <f>IF(ISNA(CJ245),NA(),CI163)</f>
        <v>0</v>
      </c>
      <c r="CJ245">
        <f>IF(OR(CJ163="",AND(CJ163=CJ162,CJ163=CJ164)),NA(), CJ163)</f>
        <v>0</v>
      </c>
      <c r="CK245">
        <f>IF(ISNA(CL245),NA(),CK163)</f>
        <v>0</v>
      </c>
      <c r="CL245">
        <f>IF(OR(CL163="",AND(CL163=CL162,CL163=CL164)),NA(), CL163)</f>
        <v>0</v>
      </c>
      <c r="CM245">
        <f>IF(ISNA(CN245),NA(),CM163)</f>
        <v>0</v>
      </c>
      <c r="CN245">
        <f>IF(OR(CN163="",AND(CN163=CN162,CN163=CN164)),NA(), CN163)</f>
        <v>0</v>
      </c>
      <c r="CO245">
        <f>IF(ISNA(CP245),NA(),CO163)</f>
        <v>0</v>
      </c>
      <c r="CP245">
        <f>IF(OR(CP163="",AND(CP163=CP162,CP163=CP164)),NA(), CP163)</f>
        <v>0</v>
      </c>
      <c r="CQ245">
        <f>IF(ISNA(CR245),NA(),CQ163)</f>
        <v>0</v>
      </c>
      <c r="CR245">
        <f>IF(OR(CR163="",AND(CR163=CR162,CR163=CR164)),NA(), CR163)</f>
        <v>0</v>
      </c>
      <c r="CS245">
        <f>IF(ISNA(CT245),NA(),CS163)</f>
        <v>0</v>
      </c>
      <c r="CT245">
        <f>IF(OR(CT163="",AND(CT163=CT162,CT163=CT164)),NA(), CT163)</f>
        <v>0</v>
      </c>
      <c r="CU245">
        <f>IF(ISNA(CV245),NA(),CU163)</f>
        <v>0</v>
      </c>
      <c r="CV245">
        <f>IF(OR(CV163="",AND(CV163=CV162,CV163=CV164)),NA(), CV163)</f>
        <v>0</v>
      </c>
      <c r="CW245">
        <f>IF(ISNA(CX245),NA(),CW163)</f>
        <v>0</v>
      </c>
      <c r="CX245">
        <f>IF(OR(CX163="",AND(CX163=CX162,CX163=CX164)),NA(), CX163)</f>
        <v>0</v>
      </c>
      <c r="CY245">
        <f>IF(ISNA(CZ245),NA(),CY163)</f>
        <v>0</v>
      </c>
      <c r="CZ245">
        <f>IF(OR(CZ163="",AND(CZ163=CZ162,CZ163=CZ164)),NA(), CZ163)</f>
        <v>0</v>
      </c>
      <c r="DA245">
        <f>IF(ISNA(DB245),NA(),DA163)</f>
        <v>0</v>
      </c>
      <c r="DB245">
        <f>IF(OR(DB163="",AND(DB163=DB162,DB163=DB164)),NA(), DB163)</f>
        <v>0</v>
      </c>
      <c r="DC245">
        <f>IF(ISNA(DD245),NA(),DC163)</f>
        <v>0</v>
      </c>
      <c r="DD245">
        <f>IF(OR(DD163="",AND(DD163=DD162,DD163=DD164)),NA(), DD163)</f>
        <v>0</v>
      </c>
      <c r="DE245">
        <f>IF(ISNA(DF245),NA(),DE163)</f>
        <v>0</v>
      </c>
      <c r="DF245">
        <f>IF(OR(DF163="",AND(DF163=DF162,DF163=DF164)),NA(), DF163)</f>
        <v>0</v>
      </c>
      <c r="DG245">
        <f>IF(ISNA(DH245),NA(),DG163)</f>
        <v>0</v>
      </c>
      <c r="DH245">
        <f>IF(OR(DH163="",AND(DH163=DH162,DH163=DH164)),NA(), DH163)</f>
        <v>0</v>
      </c>
      <c r="DI245">
        <f>IF(ISNA(DJ245),NA(),DI163)</f>
        <v>0</v>
      </c>
      <c r="DJ245">
        <f>IF(OR(DJ163="",AND(DJ163=DJ162,DJ163=DJ164)),NA(), DJ163)</f>
        <v>0</v>
      </c>
      <c r="DK245">
        <f>IF(ISNA(DL245),NA(),DK163)</f>
        <v>0</v>
      </c>
      <c r="DL245">
        <f>IF(OR(DL163="",AND(DL163=DL162,DL163=DL164)),NA(), DL163)</f>
        <v>0</v>
      </c>
      <c r="DM245">
        <f>IF(ISNA(DN245),NA(),DM163)</f>
        <v>0</v>
      </c>
      <c r="DN245">
        <f>IF(OR(DN163="",AND(DN163=DN162,DN163=DN164)),NA(), DN163)</f>
        <v>0</v>
      </c>
      <c r="DO245">
        <f>IF(ISNA(DP245),NA(),DO163)</f>
        <v>0</v>
      </c>
      <c r="DP245">
        <f>IF(OR(DP163="",AND(DP163=DP162,DP163=DP164)),NA(), DP163)</f>
        <v>0</v>
      </c>
      <c r="DQ245">
        <f>IF(ISNA(DR245),NA(),DQ163)</f>
        <v>0</v>
      </c>
      <c r="DR245">
        <f>IF(OR(DR163="",AND(DR163=DR162,DR163=DR164)),NA(), DR163)</f>
        <v>0</v>
      </c>
      <c r="DS245">
        <f>IF(ISNA(DT245),NA(),DS163)</f>
        <v>0</v>
      </c>
      <c r="DT245">
        <f>IF(OR(DT163="",AND(DT163=DT162,DT163=DT164)),NA(), DT163)</f>
        <v>0</v>
      </c>
      <c r="DU245">
        <f>IF(ISNA(DV245),NA(),DU163)</f>
        <v>0</v>
      </c>
      <c r="DV245">
        <f>IF(OR(DV163="",AND(DV163=DV162,DV163=DV164)),NA(), DV163)</f>
        <v>0</v>
      </c>
      <c r="DW245">
        <f>IF(ISNA(DX245),NA(),DW163)</f>
        <v>0</v>
      </c>
      <c r="DX245">
        <f>IF(OR(DX163="",AND(DX163=DX162,DX163=DX164)),NA(), DX163)</f>
        <v>0</v>
      </c>
      <c r="DY245">
        <f>IF(ISNA(DZ245),NA(),DY163)</f>
        <v>0</v>
      </c>
      <c r="DZ245">
        <f>IF(OR(DZ163="",AND(DZ163=DZ162,DZ163=DZ164)),NA(), DZ163)</f>
        <v>0</v>
      </c>
      <c r="EA245">
        <f>IF(ISNA(EB245),NA(),EA163)</f>
        <v>0</v>
      </c>
      <c r="EB245">
        <f>IF(OR(EB163="",AND(EB163=EB162,EB163=EB164)),NA(), EB163)</f>
        <v>0</v>
      </c>
      <c r="EC245">
        <f>IF(ISNA(ED245),NA(),EC163)</f>
        <v>0</v>
      </c>
      <c r="ED245">
        <f>IF(OR(ED163="",AND(ED163=ED162,ED163=ED164)),NA(), ED163)</f>
        <v>0</v>
      </c>
    </row>
    <row r="246" spans="5:134">
      <c r="E246">
        <f>IF(ISNA(F246),NA(),E164)</f>
        <v>0</v>
      </c>
      <c r="F246">
        <f>IF(OR(F164="",AND(F164=F163,F164=F165)),NA(), F164)</f>
        <v>0</v>
      </c>
      <c r="G246">
        <f>IF(ISNA(H246),NA(),G164)</f>
        <v>0</v>
      </c>
      <c r="H246">
        <f>IF(OR(H164="",AND(H164=H163,H164=H165)),NA(), H164)</f>
        <v>0</v>
      </c>
      <c r="I246">
        <f>IF(ISNA(J246),NA(),I164)</f>
        <v>0</v>
      </c>
      <c r="J246">
        <f>IF(OR(J164="",AND(J164=J163,J164=J165)),NA(), J164)</f>
        <v>0</v>
      </c>
      <c r="K246">
        <f>IF(ISNA(L246),NA(),K164)</f>
        <v>0</v>
      </c>
      <c r="L246">
        <f>IF(OR(L164="",AND(L164=L163,L164=L165)),NA(), L164)</f>
        <v>0</v>
      </c>
      <c r="M246">
        <f>IF(ISNA(N246),NA(),M164)</f>
        <v>0</v>
      </c>
      <c r="N246">
        <f>IF(OR(N164="",AND(N164=N163,N164=N165)),NA(), N164)</f>
        <v>0</v>
      </c>
      <c r="O246">
        <f>IF(ISNA(P246),NA(),O164)</f>
        <v>0</v>
      </c>
      <c r="P246">
        <f>IF(OR(P164="",AND(P164=P163,P164=P165)),NA(), P164)</f>
        <v>0</v>
      </c>
      <c r="Q246">
        <f>IF(ISNA(R246),NA(),Q164)</f>
        <v>0</v>
      </c>
      <c r="R246">
        <f>IF(OR(R164="",AND(R164=R163,R164=R165)),NA(), R164)</f>
        <v>0</v>
      </c>
      <c r="S246">
        <f>IF(ISNA(T246),NA(),S164)</f>
        <v>0</v>
      </c>
      <c r="T246">
        <f>IF(OR(T164="",AND(T164=T163,T164=T165)),NA(), T164)</f>
        <v>0</v>
      </c>
      <c r="U246">
        <f>IF(ISNA(V246),NA(),U164)</f>
        <v>0</v>
      </c>
      <c r="V246">
        <f>IF(OR(V164="",AND(V164=V163,V164=V165)),NA(), V164)</f>
        <v>0</v>
      </c>
      <c r="W246">
        <f>IF(ISNA(X246),NA(),W164)</f>
        <v>0</v>
      </c>
      <c r="X246">
        <f>IF(OR(X164="",AND(X164=X163,X164=X165)),NA(), X164)</f>
        <v>0</v>
      </c>
      <c r="Y246">
        <f>IF(ISNA(Z246),NA(),Y164)</f>
        <v>0</v>
      </c>
      <c r="Z246">
        <f>IF(OR(Z164="",AND(Z164=Z163,Z164=Z165)),NA(), Z164)</f>
        <v>0</v>
      </c>
      <c r="AA246">
        <f>IF(ISNA(AB246),NA(),AA164)</f>
        <v>0</v>
      </c>
      <c r="AB246">
        <f>IF(OR(AB164="",AND(AB164=AB163,AB164=AB165)),NA(), AB164)</f>
        <v>0</v>
      </c>
      <c r="AC246">
        <f>IF(ISNA(AD246),NA(),AC164)</f>
        <v>0</v>
      </c>
      <c r="AD246">
        <f>IF(OR(AD164="",AND(AD164=AD163,AD164=AD165)),NA(), AD164)</f>
        <v>0</v>
      </c>
      <c r="AE246">
        <f>IF(ISNA(AF246),NA(),AE164)</f>
        <v>0</v>
      </c>
      <c r="AF246">
        <f>IF(OR(AF164="",AND(AF164=AF163,AF164=AF165)),NA(), AF164)</f>
        <v>0</v>
      </c>
      <c r="AG246">
        <f>IF(ISNA(AH246),NA(),AG164)</f>
        <v>0</v>
      </c>
      <c r="AH246">
        <f>IF(OR(AH164="",AND(AH164=AH163,AH164=AH165)),NA(), AH164)</f>
        <v>0</v>
      </c>
      <c r="AI246">
        <f>IF(ISNA(AJ246),NA(),AI164)</f>
        <v>0</v>
      </c>
      <c r="AJ246">
        <f>IF(OR(AJ164="",AND(AJ164=AJ163,AJ164=AJ165)),NA(), AJ164)</f>
        <v>0</v>
      </c>
      <c r="AK246">
        <f>IF(ISNA(AL246),NA(),AK164)</f>
        <v>0</v>
      </c>
      <c r="AL246">
        <f>IF(OR(AL164="",AND(AL164=AL163,AL164=AL165)),NA(), AL164)</f>
        <v>0</v>
      </c>
      <c r="AM246">
        <f>IF(ISNA(AN246),NA(),AM164)</f>
        <v>0</v>
      </c>
      <c r="AN246">
        <f>IF(OR(AN164="",AND(AN164=AN163,AN164=AN165)),NA(), AN164)</f>
        <v>0</v>
      </c>
      <c r="AO246">
        <f>IF(ISNA(AP246),NA(),AO164)</f>
        <v>0</v>
      </c>
      <c r="AP246">
        <f>IF(OR(AP164="",AND(AP164=AP163,AP164=AP165)),NA(), AP164)</f>
        <v>0</v>
      </c>
      <c r="AQ246">
        <f>IF(ISNA(AR246),NA(),AQ164)</f>
        <v>0</v>
      </c>
      <c r="AR246">
        <f>IF(OR(AR164="",AND(AR164=AR163,AR164=AR165)),NA(), AR164)</f>
        <v>0</v>
      </c>
      <c r="AS246">
        <f>IF(ISNA(AT246),NA(),AS164)</f>
        <v>0</v>
      </c>
      <c r="AT246">
        <f>IF(OR(AT164="",AND(AT164=AT163,AT164=AT165)),NA(), AT164)</f>
        <v>0</v>
      </c>
      <c r="AU246">
        <f>IF(ISNA(AV246),NA(),AU164)</f>
        <v>0</v>
      </c>
      <c r="AV246">
        <f>IF(OR(AV164="",AND(AV164=AV163,AV164=AV165)),NA(), AV164)</f>
        <v>0</v>
      </c>
      <c r="AW246">
        <f>IF(ISNA(AX246),NA(),AW164)</f>
        <v>0</v>
      </c>
      <c r="AX246">
        <f>IF(OR(AX164="",AND(AX164=AX163,AX164=AX165)),NA(), AX164)</f>
        <v>0</v>
      </c>
      <c r="AY246">
        <f>IF(ISNA(AZ246),NA(),AY164)</f>
        <v>0</v>
      </c>
      <c r="AZ246">
        <f>IF(OR(AZ164="",AND(AZ164=AZ163,AZ164=AZ165)),NA(), AZ164)</f>
        <v>0</v>
      </c>
      <c r="BA246">
        <f>IF(ISNA(BB246),NA(),BA164)</f>
        <v>0</v>
      </c>
      <c r="BB246">
        <f>IF(OR(BB164="",AND(BB164=BB163,BB164=BB165)),NA(), BB164)</f>
        <v>0</v>
      </c>
      <c r="BC246">
        <f>IF(ISNA(BD246),NA(),BC164)</f>
        <v>0</v>
      </c>
      <c r="BD246">
        <f>IF(OR(BD164="",AND(BD164=BD163,BD164=BD165)),NA(), BD164)</f>
        <v>0</v>
      </c>
      <c r="BE246">
        <f>IF(ISNA(BF246),NA(),BE164)</f>
        <v>0</v>
      </c>
      <c r="BF246">
        <f>IF(OR(BF164="",AND(BF164=BF163,BF164=BF165)),NA(), BF164)</f>
        <v>0</v>
      </c>
      <c r="BG246">
        <f>IF(ISNA(BH246),NA(),BG164)</f>
        <v>0</v>
      </c>
      <c r="BH246">
        <f>IF(OR(BH164="",AND(BH164=BH163,BH164=BH165)),NA(), BH164)</f>
        <v>0</v>
      </c>
      <c r="BI246">
        <f>IF(ISNA(BJ246),NA(),BI164)</f>
        <v>0</v>
      </c>
      <c r="BJ246">
        <f>IF(OR(BJ164="",AND(BJ164=BJ163,BJ164=BJ165)),NA(), BJ164)</f>
        <v>0</v>
      </c>
      <c r="BK246">
        <f>IF(ISNA(BL246),NA(),BK164)</f>
        <v>0</v>
      </c>
      <c r="BL246">
        <f>IF(OR(BL164="",AND(BL164=BL163,BL164=BL165)),NA(), BL164)</f>
        <v>0</v>
      </c>
      <c r="BM246">
        <f>IF(ISNA(BN246),NA(),BM164)</f>
        <v>0</v>
      </c>
      <c r="BN246">
        <f>IF(OR(BN164="",AND(BN164=BN163,BN164=BN165)),NA(), BN164)</f>
        <v>0</v>
      </c>
      <c r="BO246">
        <f>IF(ISNA(BP246),NA(),BO164)</f>
        <v>0</v>
      </c>
      <c r="BP246">
        <f>IF(OR(BP164="",AND(BP164=BP163,BP164=BP165)),NA(), BP164)</f>
        <v>0</v>
      </c>
      <c r="BS246">
        <f>IF(ISNA(BT246),NA(),BS164)</f>
        <v>0</v>
      </c>
      <c r="BT246">
        <f>IF(OR(BT164="",AND(BT164=BT163,BT164=BT165)),NA(), BT164)</f>
        <v>0</v>
      </c>
      <c r="BU246">
        <f>IF(ISNA(BV246),NA(),BU164)</f>
        <v>0</v>
      </c>
      <c r="BV246">
        <f>IF(OR(BV164="",AND(BV164=BV163,BV164=BV165)),NA(), BV164)</f>
        <v>0</v>
      </c>
      <c r="BW246">
        <f>IF(ISNA(BX246),NA(),BW164)</f>
        <v>0</v>
      </c>
      <c r="BX246">
        <f>IF(OR(BX164="",AND(BX164=BX163,BX164=BX165)),NA(), BX164)</f>
        <v>0</v>
      </c>
      <c r="BY246">
        <f>IF(ISNA(BZ246),NA(),BY164)</f>
        <v>0</v>
      </c>
      <c r="BZ246">
        <f>IF(OR(BZ164="",AND(BZ164=BZ163,BZ164=BZ165)),NA(), BZ164)</f>
        <v>0</v>
      </c>
      <c r="CA246">
        <f>IF(ISNA(CB246),NA(),CA164)</f>
        <v>0</v>
      </c>
      <c r="CB246">
        <f>IF(OR(CB164="",AND(CB164=CB163,CB164=CB165)),NA(), CB164)</f>
        <v>0</v>
      </c>
      <c r="CC246">
        <f>IF(ISNA(CD246),NA(),CC164)</f>
        <v>0</v>
      </c>
      <c r="CD246">
        <f>IF(OR(CD164="",AND(CD164=CD163,CD164=CD165)),NA(), CD164)</f>
        <v>0</v>
      </c>
      <c r="CE246">
        <f>IF(ISNA(CF246),NA(),CE164)</f>
        <v>0</v>
      </c>
      <c r="CF246">
        <f>IF(OR(CF164="",AND(CF164=CF163,CF164=CF165)),NA(), CF164)</f>
        <v>0</v>
      </c>
      <c r="CG246">
        <f>IF(ISNA(CH246),NA(),CG164)</f>
        <v>0</v>
      </c>
      <c r="CH246">
        <f>IF(OR(CH164="",AND(CH164=CH163,CH164=CH165)),NA(), CH164)</f>
        <v>0</v>
      </c>
      <c r="CI246">
        <f>IF(ISNA(CJ246),NA(),CI164)</f>
        <v>0</v>
      </c>
      <c r="CJ246">
        <f>IF(OR(CJ164="",AND(CJ164=CJ163,CJ164=CJ165)),NA(), CJ164)</f>
        <v>0</v>
      </c>
      <c r="CK246">
        <f>IF(ISNA(CL246),NA(),CK164)</f>
        <v>0</v>
      </c>
      <c r="CL246">
        <f>IF(OR(CL164="",AND(CL164=CL163,CL164=CL165)),NA(), CL164)</f>
        <v>0</v>
      </c>
      <c r="CM246">
        <f>IF(ISNA(CN246),NA(),CM164)</f>
        <v>0</v>
      </c>
      <c r="CN246">
        <f>IF(OR(CN164="",AND(CN164=CN163,CN164=CN165)),NA(), CN164)</f>
        <v>0</v>
      </c>
      <c r="CO246">
        <f>IF(ISNA(CP246),NA(),CO164)</f>
        <v>0</v>
      </c>
      <c r="CP246">
        <f>IF(OR(CP164="",AND(CP164=CP163,CP164=CP165)),NA(), CP164)</f>
        <v>0</v>
      </c>
      <c r="CQ246">
        <f>IF(ISNA(CR246),NA(),CQ164)</f>
        <v>0</v>
      </c>
      <c r="CR246">
        <f>IF(OR(CR164="",AND(CR164=CR163,CR164=CR165)),NA(), CR164)</f>
        <v>0</v>
      </c>
      <c r="CS246">
        <f>IF(ISNA(CT246),NA(),CS164)</f>
        <v>0</v>
      </c>
      <c r="CT246">
        <f>IF(OR(CT164="",AND(CT164=CT163,CT164=CT165)),NA(), CT164)</f>
        <v>0</v>
      </c>
      <c r="CU246">
        <f>IF(ISNA(CV246),NA(),CU164)</f>
        <v>0</v>
      </c>
      <c r="CV246">
        <f>IF(OR(CV164="",AND(CV164=CV163,CV164=CV165)),NA(), CV164)</f>
        <v>0</v>
      </c>
      <c r="CW246">
        <f>IF(ISNA(CX246),NA(),CW164)</f>
        <v>0</v>
      </c>
      <c r="CX246">
        <f>IF(OR(CX164="",AND(CX164=CX163,CX164=CX165)),NA(), CX164)</f>
        <v>0</v>
      </c>
      <c r="CY246">
        <f>IF(ISNA(CZ246),NA(),CY164)</f>
        <v>0</v>
      </c>
      <c r="CZ246">
        <f>IF(OR(CZ164="",AND(CZ164=CZ163,CZ164=CZ165)),NA(), CZ164)</f>
        <v>0</v>
      </c>
      <c r="DA246">
        <f>IF(ISNA(DB246),NA(),DA164)</f>
        <v>0</v>
      </c>
      <c r="DB246">
        <f>IF(OR(DB164="",AND(DB164=DB163,DB164=DB165)),NA(), DB164)</f>
        <v>0</v>
      </c>
      <c r="DC246">
        <f>IF(ISNA(DD246),NA(),DC164)</f>
        <v>0</v>
      </c>
      <c r="DD246">
        <f>IF(OR(DD164="",AND(DD164=DD163,DD164=DD165)),NA(), DD164)</f>
        <v>0</v>
      </c>
      <c r="DE246">
        <f>IF(ISNA(DF246),NA(),DE164)</f>
        <v>0</v>
      </c>
      <c r="DF246">
        <f>IF(OR(DF164="",AND(DF164=DF163,DF164=DF165)),NA(), DF164)</f>
        <v>0</v>
      </c>
      <c r="DG246">
        <f>IF(ISNA(DH246),NA(),DG164)</f>
        <v>0</v>
      </c>
      <c r="DH246">
        <f>IF(OR(DH164="",AND(DH164=DH163,DH164=DH165)),NA(), DH164)</f>
        <v>0</v>
      </c>
      <c r="DI246">
        <f>IF(ISNA(DJ246),NA(),DI164)</f>
        <v>0</v>
      </c>
      <c r="DJ246">
        <f>IF(OR(DJ164="",AND(DJ164=DJ163,DJ164=DJ165)),NA(), DJ164)</f>
        <v>0</v>
      </c>
      <c r="DK246">
        <f>IF(ISNA(DL246),NA(),DK164)</f>
        <v>0</v>
      </c>
      <c r="DL246">
        <f>IF(OR(DL164="",AND(DL164=DL163,DL164=DL165)),NA(), DL164)</f>
        <v>0</v>
      </c>
      <c r="DM246">
        <f>IF(ISNA(DN246),NA(),DM164)</f>
        <v>0</v>
      </c>
      <c r="DN246">
        <f>IF(OR(DN164="",AND(DN164=DN163,DN164=DN165)),NA(), DN164)</f>
        <v>0</v>
      </c>
      <c r="DO246">
        <f>IF(ISNA(DP246),NA(),DO164)</f>
        <v>0</v>
      </c>
      <c r="DP246">
        <f>IF(OR(DP164="",AND(DP164=DP163,DP164=DP165)),NA(), DP164)</f>
        <v>0</v>
      </c>
      <c r="DQ246">
        <f>IF(ISNA(DR246),NA(),DQ164)</f>
        <v>0</v>
      </c>
      <c r="DR246">
        <f>IF(OR(DR164="",AND(DR164=DR163,DR164=DR165)),NA(), DR164)</f>
        <v>0</v>
      </c>
      <c r="DS246">
        <f>IF(ISNA(DT246),NA(),DS164)</f>
        <v>0</v>
      </c>
      <c r="DT246">
        <f>IF(OR(DT164="",AND(DT164=DT163,DT164=DT165)),NA(), DT164)</f>
        <v>0</v>
      </c>
      <c r="DU246">
        <f>IF(ISNA(DV246),NA(),DU164)</f>
        <v>0</v>
      </c>
      <c r="DV246">
        <f>IF(OR(DV164="",AND(DV164=DV163,DV164=DV165)),NA(), DV164)</f>
        <v>0</v>
      </c>
      <c r="DW246">
        <f>IF(ISNA(DX246),NA(),DW164)</f>
        <v>0</v>
      </c>
      <c r="DX246">
        <f>IF(OR(DX164="",AND(DX164=DX163,DX164=DX165)),NA(), DX164)</f>
        <v>0</v>
      </c>
      <c r="DY246">
        <f>IF(ISNA(DZ246),NA(),DY164)</f>
        <v>0</v>
      </c>
      <c r="DZ246">
        <f>IF(OR(DZ164="",AND(DZ164=DZ163,DZ164=DZ165)),NA(), DZ164)</f>
        <v>0</v>
      </c>
      <c r="EA246">
        <f>IF(ISNA(EB246),NA(),EA164)</f>
        <v>0</v>
      </c>
      <c r="EB246">
        <f>IF(OR(EB164="",AND(EB164=EB163,EB164=EB165)),NA(), EB164)</f>
        <v>0</v>
      </c>
      <c r="EC246">
        <f>IF(ISNA(ED246),NA(),EC164)</f>
        <v>0</v>
      </c>
      <c r="ED246">
        <f>IF(OR(ED164="",AND(ED164=ED163,ED164=ED165)),NA(), ED164)</f>
        <v>0</v>
      </c>
    </row>
    <row r="247" spans="5:134">
      <c r="E247">
        <f>IF(ISNA(F247),NA(),E165)</f>
        <v>0</v>
      </c>
      <c r="F247">
        <f>IF(OR(F165="",AND(F165=F164,F165=F166)),NA(), F165)</f>
        <v>0</v>
      </c>
      <c r="G247">
        <f>IF(ISNA(H247),NA(),G165)</f>
        <v>0</v>
      </c>
      <c r="H247">
        <f>IF(OR(H165="",AND(H165=H164,H165=H166)),NA(), H165)</f>
        <v>0</v>
      </c>
      <c r="I247">
        <f>IF(ISNA(J247),NA(),I165)</f>
        <v>0</v>
      </c>
      <c r="J247">
        <f>IF(OR(J165="",AND(J165=J164,J165=J166)),NA(), J165)</f>
        <v>0</v>
      </c>
      <c r="K247">
        <f>IF(ISNA(L247),NA(),K165)</f>
        <v>0</v>
      </c>
      <c r="L247">
        <f>IF(OR(L165="",AND(L165=L164,L165=L166)),NA(), L165)</f>
        <v>0</v>
      </c>
      <c r="M247">
        <f>IF(ISNA(N247),NA(),M165)</f>
        <v>0</v>
      </c>
      <c r="N247">
        <f>IF(OR(N165="",AND(N165=N164,N165=N166)),NA(), N165)</f>
        <v>0</v>
      </c>
      <c r="O247">
        <f>IF(ISNA(P247),NA(),O165)</f>
        <v>0</v>
      </c>
      <c r="P247">
        <f>IF(OR(P165="",AND(P165=P164,P165=P166)),NA(), P165)</f>
        <v>0</v>
      </c>
      <c r="Q247">
        <f>IF(ISNA(R247),NA(),Q165)</f>
        <v>0</v>
      </c>
      <c r="R247">
        <f>IF(OR(R165="",AND(R165=R164,R165=R166)),NA(), R165)</f>
        <v>0</v>
      </c>
      <c r="S247">
        <f>IF(ISNA(T247),NA(),S165)</f>
        <v>0</v>
      </c>
      <c r="T247">
        <f>IF(OR(T165="",AND(T165=T164,T165=T166)),NA(), T165)</f>
        <v>0</v>
      </c>
      <c r="U247">
        <f>IF(ISNA(V247),NA(),U165)</f>
        <v>0</v>
      </c>
      <c r="V247">
        <f>IF(OR(V165="",AND(V165=V164,V165=V166)),NA(), V165)</f>
        <v>0</v>
      </c>
      <c r="W247">
        <f>IF(ISNA(X247),NA(),W165)</f>
        <v>0</v>
      </c>
      <c r="X247">
        <f>IF(OR(X165="",AND(X165=X164,X165=X166)),NA(), X165)</f>
        <v>0</v>
      </c>
      <c r="Y247">
        <f>IF(ISNA(Z247),NA(),Y165)</f>
        <v>0</v>
      </c>
      <c r="Z247">
        <f>IF(OR(Z165="",AND(Z165=Z164,Z165=Z166)),NA(), Z165)</f>
        <v>0</v>
      </c>
      <c r="AA247">
        <f>IF(ISNA(AB247),NA(),AA165)</f>
        <v>0</v>
      </c>
      <c r="AB247">
        <f>IF(OR(AB165="",AND(AB165=AB164,AB165=AB166)),NA(), AB165)</f>
        <v>0</v>
      </c>
      <c r="AC247">
        <f>IF(ISNA(AD247),NA(),AC165)</f>
        <v>0</v>
      </c>
      <c r="AD247">
        <f>IF(OR(AD165="",AND(AD165=AD164,AD165=AD166)),NA(), AD165)</f>
        <v>0</v>
      </c>
      <c r="AE247">
        <f>IF(ISNA(AF247),NA(),AE165)</f>
        <v>0</v>
      </c>
      <c r="AF247">
        <f>IF(OR(AF165="",AND(AF165=AF164,AF165=AF166)),NA(), AF165)</f>
        <v>0</v>
      </c>
      <c r="AG247">
        <f>IF(ISNA(AH247),NA(),AG165)</f>
        <v>0</v>
      </c>
      <c r="AH247">
        <f>IF(OR(AH165="",AND(AH165=AH164,AH165=AH166)),NA(), AH165)</f>
        <v>0</v>
      </c>
      <c r="AI247">
        <f>IF(ISNA(AJ247),NA(),AI165)</f>
        <v>0</v>
      </c>
      <c r="AJ247">
        <f>IF(OR(AJ165="",AND(AJ165=AJ164,AJ165=AJ166)),NA(), AJ165)</f>
        <v>0</v>
      </c>
      <c r="AK247">
        <f>IF(ISNA(AL247),NA(),AK165)</f>
        <v>0</v>
      </c>
      <c r="AL247">
        <f>IF(OR(AL165="",AND(AL165=AL164,AL165=AL166)),NA(), AL165)</f>
        <v>0</v>
      </c>
      <c r="AM247">
        <f>IF(ISNA(AN247),NA(),AM165)</f>
        <v>0</v>
      </c>
      <c r="AN247">
        <f>IF(OR(AN165="",AND(AN165=AN164,AN165=AN166)),NA(), AN165)</f>
        <v>0</v>
      </c>
      <c r="AO247">
        <f>IF(ISNA(AP247),NA(),AO165)</f>
        <v>0</v>
      </c>
      <c r="AP247">
        <f>IF(OR(AP165="",AND(AP165=AP164,AP165=AP166)),NA(), AP165)</f>
        <v>0</v>
      </c>
      <c r="AQ247">
        <f>IF(ISNA(AR247),NA(),AQ165)</f>
        <v>0</v>
      </c>
      <c r="AR247">
        <f>IF(OR(AR165="",AND(AR165=AR164,AR165=AR166)),NA(), AR165)</f>
        <v>0</v>
      </c>
      <c r="AS247">
        <f>IF(ISNA(AT247),NA(),AS165)</f>
        <v>0</v>
      </c>
      <c r="AT247">
        <f>IF(OR(AT165="",AND(AT165=AT164,AT165=AT166)),NA(), AT165)</f>
        <v>0</v>
      </c>
      <c r="AU247">
        <f>IF(ISNA(AV247),NA(),AU165)</f>
        <v>0</v>
      </c>
      <c r="AV247">
        <f>IF(OR(AV165="",AND(AV165=AV164,AV165=AV166)),NA(), AV165)</f>
        <v>0</v>
      </c>
      <c r="AW247">
        <f>IF(ISNA(AX247),NA(),AW165)</f>
        <v>0</v>
      </c>
      <c r="AX247">
        <f>IF(OR(AX165="",AND(AX165=AX164,AX165=AX166)),NA(), AX165)</f>
        <v>0</v>
      </c>
      <c r="AY247">
        <f>IF(ISNA(AZ247),NA(),AY165)</f>
        <v>0</v>
      </c>
      <c r="AZ247">
        <f>IF(OR(AZ165="",AND(AZ165=AZ164,AZ165=AZ166)),NA(), AZ165)</f>
        <v>0</v>
      </c>
      <c r="BA247">
        <f>IF(ISNA(BB247),NA(),BA165)</f>
        <v>0</v>
      </c>
      <c r="BB247">
        <f>IF(OR(BB165="",AND(BB165=BB164,BB165=BB166)),NA(), BB165)</f>
        <v>0</v>
      </c>
      <c r="BC247">
        <f>IF(ISNA(BD247),NA(),BC165)</f>
        <v>0</v>
      </c>
      <c r="BD247">
        <f>IF(OR(BD165="",AND(BD165=BD164,BD165=BD166)),NA(), BD165)</f>
        <v>0</v>
      </c>
      <c r="BE247">
        <f>IF(ISNA(BF247),NA(),BE165)</f>
        <v>0</v>
      </c>
      <c r="BF247">
        <f>IF(OR(BF165="",AND(BF165=BF164,BF165=BF166)),NA(), BF165)</f>
        <v>0</v>
      </c>
      <c r="BG247">
        <f>IF(ISNA(BH247),NA(),BG165)</f>
        <v>0</v>
      </c>
      <c r="BH247">
        <f>IF(OR(BH165="",AND(BH165=BH164,BH165=BH166)),NA(), BH165)</f>
        <v>0</v>
      </c>
      <c r="BI247">
        <f>IF(ISNA(BJ247),NA(),BI165)</f>
        <v>0</v>
      </c>
      <c r="BJ247">
        <f>IF(OR(BJ165="",AND(BJ165=BJ164,BJ165=BJ166)),NA(), BJ165)</f>
        <v>0</v>
      </c>
      <c r="BK247">
        <f>IF(ISNA(BL247),NA(),BK165)</f>
        <v>0</v>
      </c>
      <c r="BL247">
        <f>IF(OR(BL165="",AND(BL165=BL164,BL165=BL166)),NA(), BL165)</f>
        <v>0</v>
      </c>
      <c r="BM247">
        <f>IF(ISNA(BN247),NA(),BM165)</f>
        <v>0</v>
      </c>
      <c r="BN247">
        <f>IF(OR(BN165="",AND(BN165=BN164,BN165=BN166)),NA(), BN165)</f>
        <v>0</v>
      </c>
      <c r="BO247">
        <f>IF(ISNA(BP247),NA(),BO165)</f>
        <v>0</v>
      </c>
      <c r="BP247">
        <f>IF(OR(BP165="",AND(BP165=BP164,BP165=BP166)),NA(), BP165)</f>
        <v>0</v>
      </c>
      <c r="BS247">
        <f>IF(ISNA(BT247),NA(),BS165)</f>
        <v>0</v>
      </c>
      <c r="BT247">
        <f>IF(OR(BT165="",AND(BT165=BT164,BT165=BT166)),NA(), BT165)</f>
        <v>0</v>
      </c>
      <c r="BU247">
        <f>IF(ISNA(BV247),NA(),BU165)</f>
        <v>0</v>
      </c>
      <c r="BV247">
        <f>IF(OR(BV165="",AND(BV165=BV164,BV165=BV166)),NA(), BV165)</f>
        <v>0</v>
      </c>
      <c r="BW247">
        <f>IF(ISNA(BX247),NA(),BW165)</f>
        <v>0</v>
      </c>
      <c r="BX247">
        <f>IF(OR(BX165="",AND(BX165=BX164,BX165=BX166)),NA(), BX165)</f>
        <v>0</v>
      </c>
      <c r="BY247">
        <f>IF(ISNA(BZ247),NA(),BY165)</f>
        <v>0</v>
      </c>
      <c r="BZ247">
        <f>IF(OR(BZ165="",AND(BZ165=BZ164,BZ165=BZ166)),NA(), BZ165)</f>
        <v>0</v>
      </c>
      <c r="CA247">
        <f>IF(ISNA(CB247),NA(),CA165)</f>
        <v>0</v>
      </c>
      <c r="CB247">
        <f>IF(OR(CB165="",AND(CB165=CB164,CB165=CB166)),NA(), CB165)</f>
        <v>0</v>
      </c>
      <c r="CC247">
        <f>IF(ISNA(CD247),NA(),CC165)</f>
        <v>0</v>
      </c>
      <c r="CD247">
        <f>IF(OR(CD165="",AND(CD165=CD164,CD165=CD166)),NA(), CD165)</f>
        <v>0</v>
      </c>
      <c r="CE247">
        <f>IF(ISNA(CF247),NA(),CE165)</f>
        <v>0</v>
      </c>
      <c r="CF247">
        <f>IF(OR(CF165="",AND(CF165=CF164,CF165=CF166)),NA(), CF165)</f>
        <v>0</v>
      </c>
      <c r="CG247">
        <f>IF(ISNA(CH247),NA(),CG165)</f>
        <v>0</v>
      </c>
      <c r="CH247">
        <f>IF(OR(CH165="",AND(CH165=CH164,CH165=CH166)),NA(), CH165)</f>
        <v>0</v>
      </c>
      <c r="CI247">
        <f>IF(ISNA(CJ247),NA(),CI165)</f>
        <v>0</v>
      </c>
      <c r="CJ247">
        <f>IF(OR(CJ165="",AND(CJ165=CJ164,CJ165=CJ166)),NA(), CJ165)</f>
        <v>0</v>
      </c>
      <c r="CK247">
        <f>IF(ISNA(CL247),NA(),CK165)</f>
        <v>0</v>
      </c>
      <c r="CL247">
        <f>IF(OR(CL165="",AND(CL165=CL164,CL165=CL166)),NA(), CL165)</f>
        <v>0</v>
      </c>
      <c r="CM247">
        <f>IF(ISNA(CN247),NA(),CM165)</f>
        <v>0</v>
      </c>
      <c r="CN247">
        <f>IF(OR(CN165="",AND(CN165=CN164,CN165=CN166)),NA(), CN165)</f>
        <v>0</v>
      </c>
      <c r="CO247">
        <f>IF(ISNA(CP247),NA(),CO165)</f>
        <v>0</v>
      </c>
      <c r="CP247">
        <f>IF(OR(CP165="",AND(CP165=CP164,CP165=CP166)),NA(), CP165)</f>
        <v>0</v>
      </c>
      <c r="CQ247">
        <f>IF(ISNA(CR247),NA(),CQ165)</f>
        <v>0</v>
      </c>
      <c r="CR247">
        <f>IF(OR(CR165="",AND(CR165=CR164,CR165=CR166)),NA(), CR165)</f>
        <v>0</v>
      </c>
      <c r="CS247">
        <f>IF(ISNA(CT247),NA(),CS165)</f>
        <v>0</v>
      </c>
      <c r="CT247">
        <f>IF(OR(CT165="",AND(CT165=CT164,CT165=CT166)),NA(), CT165)</f>
        <v>0</v>
      </c>
      <c r="CU247">
        <f>IF(ISNA(CV247),NA(),CU165)</f>
        <v>0</v>
      </c>
      <c r="CV247">
        <f>IF(OR(CV165="",AND(CV165=CV164,CV165=CV166)),NA(), CV165)</f>
        <v>0</v>
      </c>
      <c r="CW247">
        <f>IF(ISNA(CX247),NA(),CW165)</f>
        <v>0</v>
      </c>
      <c r="CX247">
        <f>IF(OR(CX165="",AND(CX165=CX164,CX165=CX166)),NA(), CX165)</f>
        <v>0</v>
      </c>
      <c r="CY247">
        <f>IF(ISNA(CZ247),NA(),CY165)</f>
        <v>0</v>
      </c>
      <c r="CZ247">
        <f>IF(OR(CZ165="",AND(CZ165=CZ164,CZ165=CZ166)),NA(), CZ165)</f>
        <v>0</v>
      </c>
      <c r="DA247">
        <f>IF(ISNA(DB247),NA(),DA165)</f>
        <v>0</v>
      </c>
      <c r="DB247">
        <f>IF(OR(DB165="",AND(DB165=DB164,DB165=DB166)),NA(), DB165)</f>
        <v>0</v>
      </c>
      <c r="DC247">
        <f>IF(ISNA(DD247),NA(),DC165)</f>
        <v>0</v>
      </c>
      <c r="DD247">
        <f>IF(OR(DD165="",AND(DD165=DD164,DD165=DD166)),NA(), DD165)</f>
        <v>0</v>
      </c>
      <c r="DE247">
        <f>IF(ISNA(DF247),NA(),DE165)</f>
        <v>0</v>
      </c>
      <c r="DF247">
        <f>IF(OR(DF165="",AND(DF165=DF164,DF165=DF166)),NA(), DF165)</f>
        <v>0</v>
      </c>
      <c r="DG247">
        <f>IF(ISNA(DH247),NA(),DG165)</f>
        <v>0</v>
      </c>
      <c r="DH247">
        <f>IF(OR(DH165="",AND(DH165=DH164,DH165=DH166)),NA(), DH165)</f>
        <v>0</v>
      </c>
      <c r="DI247">
        <f>IF(ISNA(DJ247),NA(),DI165)</f>
        <v>0</v>
      </c>
      <c r="DJ247">
        <f>IF(OR(DJ165="",AND(DJ165=DJ164,DJ165=DJ166)),NA(), DJ165)</f>
        <v>0</v>
      </c>
      <c r="DK247">
        <f>IF(ISNA(DL247),NA(),DK165)</f>
        <v>0</v>
      </c>
      <c r="DL247">
        <f>IF(OR(DL165="",AND(DL165=DL164,DL165=DL166)),NA(), DL165)</f>
        <v>0</v>
      </c>
      <c r="DM247">
        <f>IF(ISNA(DN247),NA(),DM165)</f>
        <v>0</v>
      </c>
      <c r="DN247">
        <f>IF(OR(DN165="",AND(DN165=DN164,DN165=DN166)),NA(), DN165)</f>
        <v>0</v>
      </c>
      <c r="DO247">
        <f>IF(ISNA(DP247),NA(),DO165)</f>
        <v>0</v>
      </c>
      <c r="DP247">
        <f>IF(OR(DP165="",AND(DP165=DP164,DP165=DP166)),NA(), DP165)</f>
        <v>0</v>
      </c>
      <c r="DQ247">
        <f>IF(ISNA(DR247),NA(),DQ165)</f>
        <v>0</v>
      </c>
      <c r="DR247">
        <f>IF(OR(DR165="",AND(DR165=DR164,DR165=DR166)),NA(), DR165)</f>
        <v>0</v>
      </c>
      <c r="DS247">
        <f>IF(ISNA(DT247),NA(),DS165)</f>
        <v>0</v>
      </c>
      <c r="DT247">
        <f>IF(OR(DT165="",AND(DT165=DT164,DT165=DT166)),NA(), DT165)</f>
        <v>0</v>
      </c>
      <c r="DU247">
        <f>IF(ISNA(DV247),NA(),DU165)</f>
        <v>0</v>
      </c>
      <c r="DV247">
        <f>IF(OR(DV165="",AND(DV165=DV164,DV165=DV166)),NA(), DV165)</f>
        <v>0</v>
      </c>
      <c r="DW247">
        <f>IF(ISNA(DX247),NA(),DW165)</f>
        <v>0</v>
      </c>
      <c r="DX247">
        <f>IF(OR(DX165="",AND(DX165=DX164,DX165=DX166)),NA(), DX165)</f>
        <v>0</v>
      </c>
      <c r="DY247">
        <f>IF(ISNA(DZ247),NA(),DY165)</f>
        <v>0</v>
      </c>
      <c r="DZ247">
        <f>IF(OR(DZ165="",AND(DZ165=DZ164,DZ165=DZ166)),NA(), DZ165)</f>
        <v>0</v>
      </c>
      <c r="EA247">
        <f>IF(ISNA(EB247),NA(),EA165)</f>
        <v>0</v>
      </c>
      <c r="EB247">
        <f>IF(OR(EB165="",AND(EB165=EB164,EB165=EB166)),NA(), EB165)</f>
        <v>0</v>
      </c>
      <c r="EC247">
        <f>IF(ISNA(ED247),NA(),EC165)</f>
        <v>0</v>
      </c>
      <c r="ED247">
        <f>IF(OR(ED165="",AND(ED165=ED164,ED165=ED166)),NA(), ED165)</f>
        <v>0</v>
      </c>
    </row>
    <row r="248" spans="5:134">
      <c r="E248">
        <f>IF(ISNA(F248),NA(),E166)</f>
        <v>0</v>
      </c>
      <c r="F248">
        <f>IF(OR(F166="",AND(F166=F165,F166=F167)),NA(), F166)</f>
        <v>0</v>
      </c>
      <c r="G248">
        <f>IF(ISNA(H248),NA(),G166)</f>
        <v>0</v>
      </c>
      <c r="H248">
        <f>IF(OR(H166="",AND(H166=H165,H166=H167)),NA(), H166)</f>
        <v>0</v>
      </c>
      <c r="I248">
        <f>IF(ISNA(J248),NA(),I166)</f>
        <v>0</v>
      </c>
      <c r="J248">
        <f>IF(OR(J166="",AND(J166=J165,J166=J167)),NA(), J166)</f>
        <v>0</v>
      </c>
      <c r="K248">
        <f>IF(ISNA(L248),NA(),K166)</f>
        <v>0</v>
      </c>
      <c r="L248">
        <f>IF(OR(L166="",AND(L166=L165,L166=L167)),NA(), L166)</f>
        <v>0</v>
      </c>
      <c r="M248">
        <f>IF(ISNA(N248),NA(),M166)</f>
        <v>0</v>
      </c>
      <c r="N248">
        <f>IF(OR(N166="",AND(N166=N165,N166=N167)),NA(), N166)</f>
        <v>0</v>
      </c>
      <c r="O248">
        <f>IF(ISNA(P248),NA(),O166)</f>
        <v>0</v>
      </c>
      <c r="P248">
        <f>IF(OR(P166="",AND(P166=P165,P166=P167)),NA(), P166)</f>
        <v>0</v>
      </c>
      <c r="Q248">
        <f>IF(ISNA(R248),NA(),Q166)</f>
        <v>0</v>
      </c>
      <c r="R248">
        <f>IF(OR(R166="",AND(R166=R165,R166=R167)),NA(), R166)</f>
        <v>0</v>
      </c>
      <c r="S248">
        <f>IF(ISNA(T248),NA(),S166)</f>
        <v>0</v>
      </c>
      <c r="T248">
        <f>IF(OR(T166="",AND(T166=T165,T166=T167)),NA(), T166)</f>
        <v>0</v>
      </c>
      <c r="U248">
        <f>IF(ISNA(V248),NA(),U166)</f>
        <v>0</v>
      </c>
      <c r="V248">
        <f>IF(OR(V166="",AND(V166=V165,V166=V167)),NA(), V166)</f>
        <v>0</v>
      </c>
      <c r="W248">
        <f>IF(ISNA(X248),NA(),W166)</f>
        <v>0</v>
      </c>
      <c r="X248">
        <f>IF(OR(X166="",AND(X166=X165,X166=X167)),NA(), X166)</f>
        <v>0</v>
      </c>
      <c r="Y248">
        <f>IF(ISNA(Z248),NA(),Y166)</f>
        <v>0</v>
      </c>
      <c r="Z248">
        <f>IF(OR(Z166="",AND(Z166=Z165,Z166=Z167)),NA(), Z166)</f>
        <v>0</v>
      </c>
      <c r="AA248">
        <f>IF(ISNA(AB248),NA(),AA166)</f>
        <v>0</v>
      </c>
      <c r="AB248">
        <f>IF(OR(AB166="",AND(AB166=AB165,AB166=AB167)),NA(), AB166)</f>
        <v>0</v>
      </c>
      <c r="AC248">
        <f>IF(ISNA(AD248),NA(),AC166)</f>
        <v>0</v>
      </c>
      <c r="AD248">
        <f>IF(OR(AD166="",AND(AD166=AD165,AD166=AD167)),NA(), AD166)</f>
        <v>0</v>
      </c>
      <c r="AE248">
        <f>IF(ISNA(AF248),NA(),AE166)</f>
        <v>0</v>
      </c>
      <c r="AF248">
        <f>IF(OR(AF166="",AND(AF166=AF165,AF166=AF167)),NA(), AF166)</f>
        <v>0</v>
      </c>
      <c r="AG248">
        <f>IF(ISNA(AH248),NA(),AG166)</f>
        <v>0</v>
      </c>
      <c r="AH248">
        <f>IF(OR(AH166="",AND(AH166=AH165,AH166=AH167)),NA(), AH166)</f>
        <v>0</v>
      </c>
      <c r="AI248">
        <f>IF(ISNA(AJ248),NA(),AI166)</f>
        <v>0</v>
      </c>
      <c r="AJ248">
        <f>IF(OR(AJ166="",AND(AJ166=AJ165,AJ166=AJ167)),NA(), AJ166)</f>
        <v>0</v>
      </c>
      <c r="AK248">
        <f>IF(ISNA(AL248),NA(),AK166)</f>
        <v>0</v>
      </c>
      <c r="AL248">
        <f>IF(OR(AL166="",AND(AL166=AL165,AL166=AL167)),NA(), AL166)</f>
        <v>0</v>
      </c>
      <c r="AM248">
        <f>IF(ISNA(AN248),NA(),AM166)</f>
        <v>0</v>
      </c>
      <c r="AN248">
        <f>IF(OR(AN166="",AND(AN166=AN165,AN166=AN167)),NA(), AN166)</f>
        <v>0</v>
      </c>
      <c r="AO248">
        <f>IF(ISNA(AP248),NA(),AO166)</f>
        <v>0</v>
      </c>
      <c r="AP248">
        <f>IF(OR(AP166="",AND(AP166=AP165,AP166=AP167)),NA(), AP166)</f>
        <v>0</v>
      </c>
      <c r="AQ248">
        <f>IF(ISNA(AR248),NA(),AQ166)</f>
        <v>0</v>
      </c>
      <c r="AR248">
        <f>IF(OR(AR166="",AND(AR166=AR165,AR166=AR167)),NA(), AR166)</f>
        <v>0</v>
      </c>
      <c r="AS248">
        <f>IF(ISNA(AT248),NA(),AS166)</f>
        <v>0</v>
      </c>
      <c r="AT248">
        <f>IF(OR(AT166="",AND(AT166=AT165,AT166=AT167)),NA(), AT166)</f>
        <v>0</v>
      </c>
      <c r="AU248">
        <f>IF(ISNA(AV248),NA(),AU166)</f>
        <v>0</v>
      </c>
      <c r="AV248">
        <f>IF(OR(AV166="",AND(AV166=AV165,AV166=AV167)),NA(), AV166)</f>
        <v>0</v>
      </c>
      <c r="AW248">
        <f>IF(ISNA(AX248),NA(),AW166)</f>
        <v>0</v>
      </c>
      <c r="AX248">
        <f>IF(OR(AX166="",AND(AX166=AX165,AX166=AX167)),NA(), AX166)</f>
        <v>0</v>
      </c>
      <c r="AY248">
        <f>IF(ISNA(AZ248),NA(),AY166)</f>
        <v>0</v>
      </c>
      <c r="AZ248">
        <f>IF(OR(AZ166="",AND(AZ166=AZ165,AZ166=AZ167)),NA(), AZ166)</f>
        <v>0</v>
      </c>
      <c r="BA248">
        <f>IF(ISNA(BB248),NA(),BA166)</f>
        <v>0</v>
      </c>
      <c r="BB248">
        <f>IF(OR(BB166="",AND(BB166=BB165,BB166=BB167)),NA(), BB166)</f>
        <v>0</v>
      </c>
      <c r="BC248">
        <f>IF(ISNA(BD248),NA(),BC166)</f>
        <v>0</v>
      </c>
      <c r="BD248">
        <f>IF(OR(BD166="",AND(BD166=BD165,BD166=BD167)),NA(), BD166)</f>
        <v>0</v>
      </c>
      <c r="BE248">
        <f>IF(ISNA(BF248),NA(),BE166)</f>
        <v>0</v>
      </c>
      <c r="BF248">
        <f>IF(OR(BF166="",AND(BF166=BF165,BF166=BF167)),NA(), BF166)</f>
        <v>0</v>
      </c>
      <c r="BG248">
        <f>IF(ISNA(BH248),NA(),BG166)</f>
        <v>0</v>
      </c>
      <c r="BH248">
        <f>IF(OR(BH166="",AND(BH166=BH165,BH166=BH167)),NA(), BH166)</f>
        <v>0</v>
      </c>
      <c r="BI248">
        <f>IF(ISNA(BJ248),NA(),BI166)</f>
        <v>0</v>
      </c>
      <c r="BJ248">
        <f>IF(OR(BJ166="",AND(BJ166=BJ165,BJ166=BJ167)),NA(), BJ166)</f>
        <v>0</v>
      </c>
      <c r="BK248">
        <f>IF(ISNA(BL248),NA(),BK166)</f>
        <v>0</v>
      </c>
      <c r="BL248">
        <f>IF(OR(BL166="",AND(BL166=BL165,BL166=BL167)),NA(), BL166)</f>
        <v>0</v>
      </c>
      <c r="BM248">
        <f>IF(ISNA(BN248),NA(),BM166)</f>
        <v>0</v>
      </c>
      <c r="BN248">
        <f>IF(OR(BN166="",AND(BN166=BN165,BN166=BN167)),NA(), BN166)</f>
        <v>0</v>
      </c>
      <c r="BO248">
        <f>IF(ISNA(BP248),NA(),BO166)</f>
        <v>0</v>
      </c>
      <c r="BP248">
        <f>IF(OR(BP166="",AND(BP166=BP165,BP166=BP167)),NA(), BP166)</f>
        <v>0</v>
      </c>
      <c r="BS248">
        <f>IF(ISNA(BT248),NA(),BS166)</f>
        <v>0</v>
      </c>
      <c r="BT248">
        <f>IF(OR(BT166="",AND(BT166=BT165,BT166=BT167)),NA(), BT166)</f>
        <v>0</v>
      </c>
      <c r="BU248">
        <f>IF(ISNA(BV248),NA(),BU166)</f>
        <v>0</v>
      </c>
      <c r="BV248">
        <f>IF(OR(BV166="",AND(BV166=BV165,BV166=BV167)),NA(), BV166)</f>
        <v>0</v>
      </c>
      <c r="BW248">
        <f>IF(ISNA(BX248),NA(),BW166)</f>
        <v>0</v>
      </c>
      <c r="BX248">
        <f>IF(OR(BX166="",AND(BX166=BX165,BX166=BX167)),NA(), BX166)</f>
        <v>0</v>
      </c>
      <c r="BY248">
        <f>IF(ISNA(BZ248),NA(),BY166)</f>
        <v>0</v>
      </c>
      <c r="BZ248">
        <f>IF(OR(BZ166="",AND(BZ166=BZ165,BZ166=BZ167)),NA(), BZ166)</f>
        <v>0</v>
      </c>
      <c r="CA248">
        <f>IF(ISNA(CB248),NA(),CA166)</f>
        <v>0</v>
      </c>
      <c r="CB248">
        <f>IF(OR(CB166="",AND(CB166=CB165,CB166=CB167)),NA(), CB166)</f>
        <v>0</v>
      </c>
      <c r="CC248">
        <f>IF(ISNA(CD248),NA(),CC166)</f>
        <v>0</v>
      </c>
      <c r="CD248">
        <f>IF(OR(CD166="",AND(CD166=CD165,CD166=CD167)),NA(), CD166)</f>
        <v>0</v>
      </c>
      <c r="CE248">
        <f>IF(ISNA(CF248),NA(),CE166)</f>
        <v>0</v>
      </c>
      <c r="CF248">
        <f>IF(OR(CF166="",AND(CF166=CF165,CF166=CF167)),NA(), CF166)</f>
        <v>0</v>
      </c>
      <c r="CG248">
        <f>IF(ISNA(CH248),NA(),CG166)</f>
        <v>0</v>
      </c>
      <c r="CH248">
        <f>IF(OR(CH166="",AND(CH166=CH165,CH166=CH167)),NA(), CH166)</f>
        <v>0</v>
      </c>
      <c r="CI248">
        <f>IF(ISNA(CJ248),NA(),CI166)</f>
        <v>0</v>
      </c>
      <c r="CJ248">
        <f>IF(OR(CJ166="",AND(CJ166=CJ165,CJ166=CJ167)),NA(), CJ166)</f>
        <v>0</v>
      </c>
      <c r="CK248">
        <f>IF(ISNA(CL248),NA(),CK166)</f>
        <v>0</v>
      </c>
      <c r="CL248">
        <f>IF(OR(CL166="",AND(CL166=CL165,CL166=CL167)),NA(), CL166)</f>
        <v>0</v>
      </c>
      <c r="CM248">
        <f>IF(ISNA(CN248),NA(),CM166)</f>
        <v>0</v>
      </c>
      <c r="CN248">
        <f>IF(OR(CN166="",AND(CN166=CN165,CN166=CN167)),NA(), CN166)</f>
        <v>0</v>
      </c>
      <c r="CO248">
        <f>IF(ISNA(CP248),NA(),CO166)</f>
        <v>0</v>
      </c>
      <c r="CP248">
        <f>IF(OR(CP166="",AND(CP166=CP165,CP166=CP167)),NA(), CP166)</f>
        <v>0</v>
      </c>
      <c r="CQ248">
        <f>IF(ISNA(CR248),NA(),CQ166)</f>
        <v>0</v>
      </c>
      <c r="CR248">
        <f>IF(OR(CR166="",AND(CR166=CR165,CR166=CR167)),NA(), CR166)</f>
        <v>0</v>
      </c>
      <c r="CS248">
        <f>IF(ISNA(CT248),NA(),CS166)</f>
        <v>0</v>
      </c>
      <c r="CT248">
        <f>IF(OR(CT166="",AND(CT166=CT165,CT166=CT167)),NA(), CT166)</f>
        <v>0</v>
      </c>
      <c r="CU248">
        <f>IF(ISNA(CV248),NA(),CU166)</f>
        <v>0</v>
      </c>
      <c r="CV248">
        <f>IF(OR(CV166="",AND(CV166=CV165,CV166=CV167)),NA(), CV166)</f>
        <v>0</v>
      </c>
      <c r="CW248">
        <f>IF(ISNA(CX248),NA(),CW166)</f>
        <v>0</v>
      </c>
      <c r="CX248">
        <f>IF(OR(CX166="",AND(CX166=CX165,CX166=CX167)),NA(), CX166)</f>
        <v>0</v>
      </c>
      <c r="CY248">
        <f>IF(ISNA(CZ248),NA(),CY166)</f>
        <v>0</v>
      </c>
      <c r="CZ248">
        <f>IF(OR(CZ166="",AND(CZ166=CZ165,CZ166=CZ167)),NA(), CZ166)</f>
        <v>0</v>
      </c>
      <c r="DA248">
        <f>IF(ISNA(DB248),NA(),DA166)</f>
        <v>0</v>
      </c>
      <c r="DB248">
        <f>IF(OR(DB166="",AND(DB166=DB165,DB166=DB167)),NA(), DB166)</f>
        <v>0</v>
      </c>
      <c r="DC248">
        <f>IF(ISNA(DD248),NA(),DC166)</f>
        <v>0</v>
      </c>
      <c r="DD248">
        <f>IF(OR(DD166="",AND(DD166=DD165,DD166=DD167)),NA(), DD166)</f>
        <v>0</v>
      </c>
      <c r="DE248">
        <f>IF(ISNA(DF248),NA(),DE166)</f>
        <v>0</v>
      </c>
      <c r="DF248">
        <f>IF(OR(DF166="",AND(DF166=DF165,DF166=DF167)),NA(), DF166)</f>
        <v>0</v>
      </c>
      <c r="DG248">
        <f>IF(ISNA(DH248),NA(),DG166)</f>
        <v>0</v>
      </c>
      <c r="DH248">
        <f>IF(OR(DH166="",AND(DH166=DH165,DH166=DH167)),NA(), DH166)</f>
        <v>0</v>
      </c>
      <c r="DI248">
        <f>IF(ISNA(DJ248),NA(),DI166)</f>
        <v>0</v>
      </c>
      <c r="DJ248">
        <f>IF(OR(DJ166="",AND(DJ166=DJ165,DJ166=DJ167)),NA(), DJ166)</f>
        <v>0</v>
      </c>
      <c r="DK248">
        <f>IF(ISNA(DL248),NA(),DK166)</f>
        <v>0</v>
      </c>
      <c r="DL248">
        <f>IF(OR(DL166="",AND(DL166=DL165,DL166=DL167)),NA(), DL166)</f>
        <v>0</v>
      </c>
      <c r="DM248">
        <f>IF(ISNA(DN248),NA(),DM166)</f>
        <v>0</v>
      </c>
      <c r="DN248">
        <f>IF(OR(DN166="",AND(DN166=DN165,DN166=DN167)),NA(), DN166)</f>
        <v>0</v>
      </c>
      <c r="DO248">
        <f>IF(ISNA(DP248),NA(),DO166)</f>
        <v>0</v>
      </c>
      <c r="DP248">
        <f>IF(OR(DP166="",AND(DP166=DP165,DP166=DP167)),NA(), DP166)</f>
        <v>0</v>
      </c>
      <c r="DQ248">
        <f>IF(ISNA(DR248),NA(),DQ166)</f>
        <v>0</v>
      </c>
      <c r="DR248">
        <f>IF(OR(DR166="",AND(DR166=DR165,DR166=DR167)),NA(), DR166)</f>
        <v>0</v>
      </c>
      <c r="DS248">
        <f>IF(ISNA(DT248),NA(),DS166)</f>
        <v>0</v>
      </c>
      <c r="DT248">
        <f>IF(OR(DT166="",AND(DT166=DT165,DT166=DT167)),NA(), DT166)</f>
        <v>0</v>
      </c>
      <c r="DU248">
        <f>IF(ISNA(DV248),NA(),DU166)</f>
        <v>0</v>
      </c>
      <c r="DV248">
        <f>IF(OR(DV166="",AND(DV166=DV165,DV166=DV167)),NA(), DV166)</f>
        <v>0</v>
      </c>
      <c r="DW248">
        <f>IF(ISNA(DX248),NA(),DW166)</f>
        <v>0</v>
      </c>
      <c r="DX248">
        <f>IF(OR(DX166="",AND(DX166=DX165,DX166=DX167)),NA(), DX166)</f>
        <v>0</v>
      </c>
      <c r="DY248">
        <f>IF(ISNA(DZ248),NA(),DY166)</f>
        <v>0</v>
      </c>
      <c r="DZ248">
        <f>IF(OR(DZ166="",AND(DZ166=DZ165,DZ166=DZ167)),NA(), DZ166)</f>
        <v>0</v>
      </c>
      <c r="EA248">
        <f>IF(ISNA(EB248),NA(),EA166)</f>
        <v>0</v>
      </c>
      <c r="EB248">
        <f>IF(OR(EB166="",AND(EB166=EB165,EB166=EB167)),NA(), EB166)</f>
        <v>0</v>
      </c>
      <c r="EC248">
        <f>IF(ISNA(ED248),NA(),EC166)</f>
        <v>0</v>
      </c>
      <c r="ED248">
        <f>IF(OR(ED166="",AND(ED166=ED165,ED166=ED167)),NA(), ED166)</f>
        <v>0</v>
      </c>
    </row>
    <row r="249" spans="5:134">
      <c r="E249">
        <f>IF(ISNA(F249),NA(),E167)</f>
        <v>0</v>
      </c>
      <c r="F249">
        <f>IF(OR(F167="",AND(F167=F166,F167=F168)),NA(), F167)</f>
        <v>0</v>
      </c>
      <c r="G249">
        <f>IF(ISNA(H249),NA(),G167)</f>
        <v>0</v>
      </c>
      <c r="H249">
        <f>IF(OR(H167="",AND(H167=H166,H167=H168)),NA(), H167)</f>
        <v>0</v>
      </c>
      <c r="I249">
        <f>IF(ISNA(J249),NA(),I167)</f>
        <v>0</v>
      </c>
      <c r="J249">
        <f>IF(OR(J167="",AND(J167=J166,J167=J168)),NA(), J167)</f>
        <v>0</v>
      </c>
      <c r="K249">
        <f>IF(ISNA(L249),NA(),K167)</f>
        <v>0</v>
      </c>
      <c r="L249">
        <f>IF(OR(L167="",AND(L167=L166,L167=L168)),NA(), L167)</f>
        <v>0</v>
      </c>
      <c r="M249">
        <f>IF(ISNA(N249),NA(),M167)</f>
        <v>0</v>
      </c>
      <c r="N249">
        <f>IF(OR(N167="",AND(N167=N166,N167=N168)),NA(), N167)</f>
        <v>0</v>
      </c>
      <c r="O249">
        <f>IF(ISNA(P249),NA(),O167)</f>
        <v>0</v>
      </c>
      <c r="P249">
        <f>IF(OR(P167="",AND(P167=P166,P167=P168)),NA(), P167)</f>
        <v>0</v>
      </c>
      <c r="Q249">
        <f>IF(ISNA(R249),NA(),Q167)</f>
        <v>0</v>
      </c>
      <c r="R249">
        <f>IF(OR(R167="",AND(R167=R166,R167=R168)),NA(), R167)</f>
        <v>0</v>
      </c>
      <c r="S249">
        <f>IF(ISNA(T249),NA(),S167)</f>
        <v>0</v>
      </c>
      <c r="T249">
        <f>IF(OR(T167="",AND(T167=T166,T167=T168)),NA(), T167)</f>
        <v>0</v>
      </c>
      <c r="U249">
        <f>IF(ISNA(V249),NA(),U167)</f>
        <v>0</v>
      </c>
      <c r="V249">
        <f>IF(OR(V167="",AND(V167=V166,V167=V168)),NA(), V167)</f>
        <v>0</v>
      </c>
      <c r="W249">
        <f>IF(ISNA(X249),NA(),W167)</f>
        <v>0</v>
      </c>
      <c r="X249">
        <f>IF(OR(X167="",AND(X167=X166,X167=X168)),NA(), X167)</f>
        <v>0</v>
      </c>
      <c r="Y249">
        <f>IF(ISNA(Z249),NA(),Y167)</f>
        <v>0</v>
      </c>
      <c r="Z249">
        <f>IF(OR(Z167="",AND(Z167=Z166,Z167=Z168)),NA(), Z167)</f>
        <v>0</v>
      </c>
      <c r="AA249">
        <f>IF(ISNA(AB249),NA(),AA167)</f>
        <v>0</v>
      </c>
      <c r="AB249">
        <f>IF(OR(AB167="",AND(AB167=AB166,AB167=AB168)),NA(), AB167)</f>
        <v>0</v>
      </c>
      <c r="AC249">
        <f>IF(ISNA(AD249),NA(),AC167)</f>
        <v>0</v>
      </c>
      <c r="AD249">
        <f>IF(OR(AD167="",AND(AD167=AD166,AD167=AD168)),NA(), AD167)</f>
        <v>0</v>
      </c>
      <c r="AE249">
        <f>IF(ISNA(AF249),NA(),AE167)</f>
        <v>0</v>
      </c>
      <c r="AF249">
        <f>IF(OR(AF167="",AND(AF167=AF166,AF167=AF168)),NA(), AF167)</f>
        <v>0</v>
      </c>
      <c r="AG249">
        <f>IF(ISNA(AH249),NA(),AG167)</f>
        <v>0</v>
      </c>
      <c r="AH249">
        <f>IF(OR(AH167="",AND(AH167=AH166,AH167=AH168)),NA(), AH167)</f>
        <v>0</v>
      </c>
      <c r="AI249">
        <f>IF(ISNA(AJ249),NA(),AI167)</f>
        <v>0</v>
      </c>
      <c r="AJ249">
        <f>IF(OR(AJ167="",AND(AJ167=AJ166,AJ167=AJ168)),NA(), AJ167)</f>
        <v>0</v>
      </c>
      <c r="AK249">
        <f>IF(ISNA(AL249),NA(),AK167)</f>
        <v>0</v>
      </c>
      <c r="AL249">
        <f>IF(OR(AL167="",AND(AL167=AL166,AL167=AL168)),NA(), AL167)</f>
        <v>0</v>
      </c>
      <c r="AM249">
        <f>IF(ISNA(AN249),NA(),AM167)</f>
        <v>0</v>
      </c>
      <c r="AN249">
        <f>IF(OR(AN167="",AND(AN167=AN166,AN167=AN168)),NA(), AN167)</f>
        <v>0</v>
      </c>
      <c r="AO249">
        <f>IF(ISNA(AP249),NA(),AO167)</f>
        <v>0</v>
      </c>
      <c r="AP249">
        <f>IF(OR(AP167="",AND(AP167=AP166,AP167=AP168)),NA(), AP167)</f>
        <v>0</v>
      </c>
      <c r="AQ249">
        <f>IF(ISNA(AR249),NA(),AQ167)</f>
        <v>0</v>
      </c>
      <c r="AR249">
        <f>IF(OR(AR167="",AND(AR167=AR166,AR167=AR168)),NA(), AR167)</f>
        <v>0</v>
      </c>
      <c r="AS249">
        <f>IF(ISNA(AT249),NA(),AS167)</f>
        <v>0</v>
      </c>
      <c r="AT249">
        <f>IF(OR(AT167="",AND(AT167=AT166,AT167=AT168)),NA(), AT167)</f>
        <v>0</v>
      </c>
      <c r="AU249">
        <f>IF(ISNA(AV249),NA(),AU167)</f>
        <v>0</v>
      </c>
      <c r="AV249">
        <f>IF(OR(AV167="",AND(AV167=AV166,AV167=AV168)),NA(), AV167)</f>
        <v>0</v>
      </c>
      <c r="AW249">
        <f>IF(ISNA(AX249),NA(),AW167)</f>
        <v>0</v>
      </c>
      <c r="AX249">
        <f>IF(OR(AX167="",AND(AX167=AX166,AX167=AX168)),NA(), AX167)</f>
        <v>0</v>
      </c>
      <c r="AY249">
        <f>IF(ISNA(AZ249),NA(),AY167)</f>
        <v>0</v>
      </c>
      <c r="AZ249">
        <f>IF(OR(AZ167="",AND(AZ167=AZ166,AZ167=AZ168)),NA(), AZ167)</f>
        <v>0</v>
      </c>
      <c r="BA249">
        <f>IF(ISNA(BB249),NA(),BA167)</f>
        <v>0</v>
      </c>
      <c r="BB249">
        <f>IF(OR(BB167="",AND(BB167=BB166,BB167=BB168)),NA(), BB167)</f>
        <v>0</v>
      </c>
      <c r="BC249">
        <f>IF(ISNA(BD249),NA(),BC167)</f>
        <v>0</v>
      </c>
      <c r="BD249">
        <f>IF(OR(BD167="",AND(BD167=BD166,BD167=BD168)),NA(), BD167)</f>
        <v>0</v>
      </c>
      <c r="BE249">
        <f>IF(ISNA(BF249),NA(),BE167)</f>
        <v>0</v>
      </c>
      <c r="BF249">
        <f>IF(OR(BF167="",AND(BF167=BF166,BF167=BF168)),NA(), BF167)</f>
        <v>0</v>
      </c>
      <c r="BG249">
        <f>IF(ISNA(BH249),NA(),BG167)</f>
        <v>0</v>
      </c>
      <c r="BH249">
        <f>IF(OR(BH167="",AND(BH167=BH166,BH167=BH168)),NA(), BH167)</f>
        <v>0</v>
      </c>
      <c r="BI249">
        <f>IF(ISNA(BJ249),NA(),BI167)</f>
        <v>0</v>
      </c>
      <c r="BJ249">
        <f>IF(OR(BJ167="",AND(BJ167=BJ166,BJ167=BJ168)),NA(), BJ167)</f>
        <v>0</v>
      </c>
      <c r="BK249">
        <f>IF(ISNA(BL249),NA(),BK167)</f>
        <v>0</v>
      </c>
      <c r="BL249">
        <f>IF(OR(BL167="",AND(BL167=BL166,BL167=BL168)),NA(), BL167)</f>
        <v>0</v>
      </c>
      <c r="BM249">
        <f>IF(ISNA(BN249),NA(),BM167)</f>
        <v>0</v>
      </c>
      <c r="BN249">
        <f>IF(OR(BN167="",AND(BN167=BN166,BN167=BN168)),NA(), BN167)</f>
        <v>0</v>
      </c>
      <c r="BO249">
        <f>IF(ISNA(BP249),NA(),BO167)</f>
        <v>0</v>
      </c>
      <c r="BP249">
        <f>IF(OR(BP167="",AND(BP167=BP166,BP167=BP168)),NA(), BP167)</f>
        <v>0</v>
      </c>
      <c r="BS249">
        <f>IF(ISNA(BT249),NA(),BS167)</f>
        <v>0</v>
      </c>
      <c r="BT249">
        <f>IF(OR(BT167="",AND(BT167=BT166,BT167=BT168)),NA(), BT167)</f>
        <v>0</v>
      </c>
      <c r="BU249">
        <f>IF(ISNA(BV249),NA(),BU167)</f>
        <v>0</v>
      </c>
      <c r="BV249">
        <f>IF(OR(BV167="",AND(BV167=BV166,BV167=BV168)),NA(), BV167)</f>
        <v>0</v>
      </c>
      <c r="BW249">
        <f>IF(ISNA(BX249),NA(),BW167)</f>
        <v>0</v>
      </c>
      <c r="BX249">
        <f>IF(OR(BX167="",AND(BX167=BX166,BX167=BX168)),NA(), BX167)</f>
        <v>0</v>
      </c>
      <c r="BY249">
        <f>IF(ISNA(BZ249),NA(),BY167)</f>
        <v>0</v>
      </c>
      <c r="BZ249">
        <f>IF(OR(BZ167="",AND(BZ167=BZ166,BZ167=BZ168)),NA(), BZ167)</f>
        <v>0</v>
      </c>
      <c r="CA249">
        <f>IF(ISNA(CB249),NA(),CA167)</f>
        <v>0</v>
      </c>
      <c r="CB249">
        <f>IF(OR(CB167="",AND(CB167=CB166,CB167=CB168)),NA(), CB167)</f>
        <v>0</v>
      </c>
      <c r="CC249">
        <f>IF(ISNA(CD249),NA(),CC167)</f>
        <v>0</v>
      </c>
      <c r="CD249">
        <f>IF(OR(CD167="",AND(CD167=CD166,CD167=CD168)),NA(), CD167)</f>
        <v>0</v>
      </c>
      <c r="CE249">
        <f>IF(ISNA(CF249),NA(),CE167)</f>
        <v>0</v>
      </c>
      <c r="CF249">
        <f>IF(OR(CF167="",AND(CF167=CF166,CF167=CF168)),NA(), CF167)</f>
        <v>0</v>
      </c>
      <c r="CG249">
        <f>IF(ISNA(CH249),NA(),CG167)</f>
        <v>0</v>
      </c>
      <c r="CH249">
        <f>IF(OR(CH167="",AND(CH167=CH166,CH167=CH168)),NA(), CH167)</f>
        <v>0</v>
      </c>
      <c r="CI249">
        <f>IF(ISNA(CJ249),NA(),CI167)</f>
        <v>0</v>
      </c>
      <c r="CJ249">
        <f>IF(OR(CJ167="",AND(CJ167=CJ166,CJ167=CJ168)),NA(), CJ167)</f>
        <v>0</v>
      </c>
      <c r="CK249">
        <f>IF(ISNA(CL249),NA(),CK167)</f>
        <v>0</v>
      </c>
      <c r="CL249">
        <f>IF(OR(CL167="",AND(CL167=CL166,CL167=CL168)),NA(), CL167)</f>
        <v>0</v>
      </c>
      <c r="CM249">
        <f>IF(ISNA(CN249),NA(),CM167)</f>
        <v>0</v>
      </c>
      <c r="CN249">
        <f>IF(OR(CN167="",AND(CN167=CN166,CN167=CN168)),NA(), CN167)</f>
        <v>0</v>
      </c>
      <c r="CO249">
        <f>IF(ISNA(CP249),NA(),CO167)</f>
        <v>0</v>
      </c>
      <c r="CP249">
        <f>IF(OR(CP167="",AND(CP167=CP166,CP167=CP168)),NA(), CP167)</f>
        <v>0</v>
      </c>
      <c r="CQ249">
        <f>IF(ISNA(CR249),NA(),CQ167)</f>
        <v>0</v>
      </c>
      <c r="CR249">
        <f>IF(OR(CR167="",AND(CR167=CR166,CR167=CR168)),NA(), CR167)</f>
        <v>0</v>
      </c>
      <c r="CS249">
        <f>IF(ISNA(CT249),NA(),CS167)</f>
        <v>0</v>
      </c>
      <c r="CT249">
        <f>IF(OR(CT167="",AND(CT167=CT166,CT167=CT168)),NA(), CT167)</f>
        <v>0</v>
      </c>
      <c r="CU249">
        <f>IF(ISNA(CV249),NA(),CU167)</f>
        <v>0</v>
      </c>
      <c r="CV249">
        <f>IF(OR(CV167="",AND(CV167=CV166,CV167=CV168)),NA(), CV167)</f>
        <v>0</v>
      </c>
      <c r="CW249">
        <f>IF(ISNA(CX249),NA(),CW167)</f>
        <v>0</v>
      </c>
      <c r="CX249">
        <f>IF(OR(CX167="",AND(CX167=CX166,CX167=CX168)),NA(), CX167)</f>
        <v>0</v>
      </c>
      <c r="CY249">
        <f>IF(ISNA(CZ249),NA(),CY167)</f>
        <v>0</v>
      </c>
      <c r="CZ249">
        <f>IF(OR(CZ167="",AND(CZ167=CZ166,CZ167=CZ168)),NA(), CZ167)</f>
        <v>0</v>
      </c>
      <c r="DA249">
        <f>IF(ISNA(DB249),NA(),DA167)</f>
        <v>0</v>
      </c>
      <c r="DB249">
        <f>IF(OR(DB167="",AND(DB167=DB166,DB167=DB168)),NA(), DB167)</f>
        <v>0</v>
      </c>
      <c r="DC249">
        <f>IF(ISNA(DD249),NA(),DC167)</f>
        <v>0</v>
      </c>
      <c r="DD249">
        <f>IF(OR(DD167="",AND(DD167=DD166,DD167=DD168)),NA(), DD167)</f>
        <v>0</v>
      </c>
      <c r="DE249">
        <f>IF(ISNA(DF249),NA(),DE167)</f>
        <v>0</v>
      </c>
      <c r="DF249">
        <f>IF(OR(DF167="",AND(DF167=DF166,DF167=DF168)),NA(), DF167)</f>
        <v>0</v>
      </c>
      <c r="DG249">
        <f>IF(ISNA(DH249),NA(),DG167)</f>
        <v>0</v>
      </c>
      <c r="DH249">
        <f>IF(OR(DH167="",AND(DH167=DH166,DH167=DH168)),NA(), DH167)</f>
        <v>0</v>
      </c>
      <c r="DI249">
        <f>IF(ISNA(DJ249),NA(),DI167)</f>
        <v>0</v>
      </c>
      <c r="DJ249">
        <f>IF(OR(DJ167="",AND(DJ167=DJ166,DJ167=DJ168)),NA(), DJ167)</f>
        <v>0</v>
      </c>
      <c r="DK249">
        <f>IF(ISNA(DL249),NA(),DK167)</f>
        <v>0</v>
      </c>
      <c r="DL249">
        <f>IF(OR(DL167="",AND(DL167=DL166,DL167=DL168)),NA(), DL167)</f>
        <v>0</v>
      </c>
      <c r="DM249">
        <f>IF(ISNA(DN249),NA(),DM167)</f>
        <v>0</v>
      </c>
      <c r="DN249">
        <f>IF(OR(DN167="",AND(DN167=DN166,DN167=DN168)),NA(), DN167)</f>
        <v>0</v>
      </c>
      <c r="DO249">
        <f>IF(ISNA(DP249),NA(),DO167)</f>
        <v>0</v>
      </c>
      <c r="DP249">
        <f>IF(OR(DP167="",AND(DP167=DP166,DP167=DP168)),NA(), DP167)</f>
        <v>0</v>
      </c>
      <c r="DQ249">
        <f>IF(ISNA(DR249),NA(),DQ167)</f>
        <v>0</v>
      </c>
      <c r="DR249">
        <f>IF(OR(DR167="",AND(DR167=DR166,DR167=DR168)),NA(), DR167)</f>
        <v>0</v>
      </c>
      <c r="DS249">
        <f>IF(ISNA(DT249),NA(),DS167)</f>
        <v>0</v>
      </c>
      <c r="DT249">
        <f>IF(OR(DT167="",AND(DT167=DT166,DT167=DT168)),NA(), DT167)</f>
        <v>0</v>
      </c>
      <c r="DU249">
        <f>IF(ISNA(DV249),NA(),DU167)</f>
        <v>0</v>
      </c>
      <c r="DV249">
        <f>IF(OR(DV167="",AND(DV167=DV166,DV167=DV168)),NA(), DV167)</f>
        <v>0</v>
      </c>
      <c r="DW249">
        <f>IF(ISNA(DX249),NA(),DW167)</f>
        <v>0</v>
      </c>
      <c r="DX249">
        <f>IF(OR(DX167="",AND(DX167=DX166,DX167=DX168)),NA(), DX167)</f>
        <v>0</v>
      </c>
      <c r="DY249">
        <f>IF(ISNA(DZ249),NA(),DY167)</f>
        <v>0</v>
      </c>
      <c r="DZ249">
        <f>IF(OR(DZ167="",AND(DZ167=DZ166,DZ167=DZ168)),NA(), DZ167)</f>
        <v>0</v>
      </c>
      <c r="EA249">
        <f>IF(ISNA(EB249),NA(),EA167)</f>
        <v>0</v>
      </c>
      <c r="EB249">
        <f>IF(OR(EB167="",AND(EB167=EB166,EB167=EB168)),NA(), EB167)</f>
        <v>0</v>
      </c>
      <c r="EC249">
        <f>IF(ISNA(ED249),NA(),EC167)</f>
        <v>0</v>
      </c>
      <c r="ED249">
        <f>IF(OR(ED167="",AND(ED167=ED166,ED167=ED168)),NA(), ED167)</f>
        <v>0</v>
      </c>
    </row>
    <row r="250" spans="5:134">
      <c r="E250">
        <f>IF(ISNA(F250),NA(),E168)</f>
        <v>0</v>
      </c>
      <c r="F250">
        <f>IF(OR(F168="",AND(F168=F167,F168=F169)),NA(), F168)</f>
        <v>0</v>
      </c>
      <c r="G250">
        <f>IF(ISNA(H250),NA(),G168)</f>
        <v>0</v>
      </c>
      <c r="H250">
        <f>IF(OR(H168="",AND(H168=H167,H168=H169)),NA(), H168)</f>
        <v>0</v>
      </c>
      <c r="I250">
        <f>IF(ISNA(J250),NA(),I168)</f>
        <v>0</v>
      </c>
      <c r="J250">
        <f>IF(OR(J168="",AND(J168=J167,J168=J169)),NA(), J168)</f>
        <v>0</v>
      </c>
      <c r="K250">
        <f>IF(ISNA(L250),NA(),K168)</f>
        <v>0</v>
      </c>
      <c r="L250">
        <f>IF(OR(L168="",AND(L168=L167,L168=L169)),NA(), L168)</f>
        <v>0</v>
      </c>
      <c r="M250">
        <f>IF(ISNA(N250),NA(),M168)</f>
        <v>0</v>
      </c>
      <c r="N250">
        <f>IF(OR(N168="",AND(N168=N167,N168=N169)),NA(), N168)</f>
        <v>0</v>
      </c>
      <c r="O250">
        <f>IF(ISNA(P250),NA(),O168)</f>
        <v>0</v>
      </c>
      <c r="P250">
        <f>IF(OR(P168="",AND(P168=P167,P168=P169)),NA(), P168)</f>
        <v>0</v>
      </c>
      <c r="Q250">
        <f>IF(ISNA(R250),NA(),Q168)</f>
        <v>0</v>
      </c>
      <c r="R250">
        <f>IF(OR(R168="",AND(R168=R167,R168=R169)),NA(), R168)</f>
        <v>0</v>
      </c>
      <c r="S250">
        <f>IF(ISNA(T250),NA(),S168)</f>
        <v>0</v>
      </c>
      <c r="T250">
        <f>IF(OR(T168="",AND(T168=T167,T168=T169)),NA(), T168)</f>
        <v>0</v>
      </c>
      <c r="U250">
        <f>IF(ISNA(V250),NA(),U168)</f>
        <v>0</v>
      </c>
      <c r="V250">
        <f>IF(OR(V168="",AND(V168=V167,V168=V169)),NA(), V168)</f>
        <v>0</v>
      </c>
      <c r="W250">
        <f>IF(ISNA(X250),NA(),W168)</f>
        <v>0</v>
      </c>
      <c r="X250">
        <f>IF(OR(X168="",AND(X168=X167,X168=X169)),NA(), X168)</f>
        <v>0</v>
      </c>
      <c r="Y250">
        <f>IF(ISNA(Z250),NA(),Y168)</f>
        <v>0</v>
      </c>
      <c r="Z250">
        <f>IF(OR(Z168="",AND(Z168=Z167,Z168=Z169)),NA(), Z168)</f>
        <v>0</v>
      </c>
      <c r="AA250">
        <f>IF(ISNA(AB250),NA(),AA168)</f>
        <v>0</v>
      </c>
      <c r="AB250">
        <f>IF(OR(AB168="",AND(AB168=AB167,AB168=AB169)),NA(), AB168)</f>
        <v>0</v>
      </c>
      <c r="AC250">
        <f>IF(ISNA(AD250),NA(),AC168)</f>
        <v>0</v>
      </c>
      <c r="AD250">
        <f>IF(OR(AD168="",AND(AD168=AD167,AD168=AD169)),NA(), AD168)</f>
        <v>0</v>
      </c>
      <c r="AE250">
        <f>IF(ISNA(AF250),NA(),AE168)</f>
        <v>0</v>
      </c>
      <c r="AF250">
        <f>IF(OR(AF168="",AND(AF168=AF167,AF168=AF169)),NA(), AF168)</f>
        <v>0</v>
      </c>
      <c r="AG250">
        <f>IF(ISNA(AH250),NA(),AG168)</f>
        <v>0</v>
      </c>
      <c r="AH250">
        <f>IF(OR(AH168="",AND(AH168=AH167,AH168=AH169)),NA(), AH168)</f>
        <v>0</v>
      </c>
      <c r="AI250">
        <f>IF(ISNA(AJ250),NA(),AI168)</f>
        <v>0</v>
      </c>
      <c r="AJ250">
        <f>IF(OR(AJ168="",AND(AJ168=AJ167,AJ168=AJ169)),NA(), AJ168)</f>
        <v>0</v>
      </c>
      <c r="AK250">
        <f>IF(ISNA(AL250),NA(),AK168)</f>
        <v>0</v>
      </c>
      <c r="AL250">
        <f>IF(OR(AL168="",AND(AL168=AL167,AL168=AL169)),NA(), AL168)</f>
        <v>0</v>
      </c>
      <c r="AM250">
        <f>IF(ISNA(AN250),NA(),AM168)</f>
        <v>0</v>
      </c>
      <c r="AN250">
        <f>IF(OR(AN168="",AND(AN168=AN167,AN168=AN169)),NA(), AN168)</f>
        <v>0</v>
      </c>
      <c r="AO250">
        <f>IF(ISNA(AP250),NA(),AO168)</f>
        <v>0</v>
      </c>
      <c r="AP250">
        <f>IF(OR(AP168="",AND(AP168=AP167,AP168=AP169)),NA(), AP168)</f>
        <v>0</v>
      </c>
      <c r="AQ250">
        <f>IF(ISNA(AR250),NA(),AQ168)</f>
        <v>0</v>
      </c>
      <c r="AR250">
        <f>IF(OR(AR168="",AND(AR168=AR167,AR168=AR169)),NA(), AR168)</f>
        <v>0</v>
      </c>
      <c r="AS250">
        <f>IF(ISNA(AT250),NA(),AS168)</f>
        <v>0</v>
      </c>
      <c r="AT250">
        <f>IF(OR(AT168="",AND(AT168=AT167,AT168=AT169)),NA(), AT168)</f>
        <v>0</v>
      </c>
      <c r="AU250">
        <f>IF(ISNA(AV250),NA(),AU168)</f>
        <v>0</v>
      </c>
      <c r="AV250">
        <f>IF(OR(AV168="",AND(AV168=AV167,AV168=AV169)),NA(), AV168)</f>
        <v>0</v>
      </c>
      <c r="AW250">
        <f>IF(ISNA(AX250),NA(),AW168)</f>
        <v>0</v>
      </c>
      <c r="AX250">
        <f>IF(OR(AX168="",AND(AX168=AX167,AX168=AX169)),NA(), AX168)</f>
        <v>0</v>
      </c>
      <c r="AY250">
        <f>IF(ISNA(AZ250),NA(),AY168)</f>
        <v>0</v>
      </c>
      <c r="AZ250">
        <f>IF(OR(AZ168="",AND(AZ168=AZ167,AZ168=AZ169)),NA(), AZ168)</f>
        <v>0</v>
      </c>
      <c r="BA250">
        <f>IF(ISNA(BB250),NA(),BA168)</f>
        <v>0</v>
      </c>
      <c r="BB250">
        <f>IF(OR(BB168="",AND(BB168=BB167,BB168=BB169)),NA(), BB168)</f>
        <v>0</v>
      </c>
      <c r="BC250">
        <f>IF(ISNA(BD250),NA(),BC168)</f>
        <v>0</v>
      </c>
      <c r="BD250">
        <f>IF(OR(BD168="",AND(BD168=BD167,BD168=BD169)),NA(), BD168)</f>
        <v>0</v>
      </c>
      <c r="BE250">
        <f>IF(ISNA(BF250),NA(),BE168)</f>
        <v>0</v>
      </c>
      <c r="BF250">
        <f>IF(OR(BF168="",AND(BF168=BF167,BF168=BF169)),NA(), BF168)</f>
        <v>0</v>
      </c>
      <c r="BG250">
        <f>IF(ISNA(BH250),NA(),BG168)</f>
        <v>0</v>
      </c>
      <c r="BH250">
        <f>IF(OR(BH168="",AND(BH168=BH167,BH168=BH169)),NA(), BH168)</f>
        <v>0</v>
      </c>
      <c r="BI250">
        <f>IF(ISNA(BJ250),NA(),BI168)</f>
        <v>0</v>
      </c>
      <c r="BJ250">
        <f>IF(OR(BJ168="",AND(BJ168=BJ167,BJ168=BJ169)),NA(), BJ168)</f>
        <v>0</v>
      </c>
      <c r="BK250">
        <f>IF(ISNA(BL250),NA(),BK168)</f>
        <v>0</v>
      </c>
      <c r="BL250">
        <f>IF(OR(BL168="",AND(BL168=BL167,BL168=BL169)),NA(), BL168)</f>
        <v>0</v>
      </c>
      <c r="BM250">
        <f>IF(ISNA(BN250),NA(),BM168)</f>
        <v>0</v>
      </c>
      <c r="BN250">
        <f>IF(OR(BN168="",AND(BN168=BN167,BN168=BN169)),NA(), BN168)</f>
        <v>0</v>
      </c>
      <c r="BO250">
        <f>IF(ISNA(BP250),NA(),BO168)</f>
        <v>0</v>
      </c>
      <c r="BP250">
        <f>IF(OR(BP168="",AND(BP168=BP167,BP168=BP169)),NA(), BP168)</f>
        <v>0</v>
      </c>
      <c r="BS250">
        <f>IF(ISNA(BT250),NA(),BS168)</f>
        <v>0</v>
      </c>
      <c r="BT250">
        <f>IF(OR(BT168="",AND(BT168=BT167,BT168=BT169)),NA(), BT168)</f>
        <v>0</v>
      </c>
      <c r="BU250">
        <f>IF(ISNA(BV250),NA(),BU168)</f>
        <v>0</v>
      </c>
      <c r="BV250">
        <f>IF(OR(BV168="",AND(BV168=BV167,BV168=BV169)),NA(), BV168)</f>
        <v>0</v>
      </c>
      <c r="BW250">
        <f>IF(ISNA(BX250),NA(),BW168)</f>
        <v>0</v>
      </c>
      <c r="BX250">
        <f>IF(OR(BX168="",AND(BX168=BX167,BX168=BX169)),NA(), BX168)</f>
        <v>0</v>
      </c>
      <c r="BY250">
        <f>IF(ISNA(BZ250),NA(),BY168)</f>
        <v>0</v>
      </c>
      <c r="BZ250">
        <f>IF(OR(BZ168="",AND(BZ168=BZ167,BZ168=BZ169)),NA(), BZ168)</f>
        <v>0</v>
      </c>
      <c r="CA250">
        <f>IF(ISNA(CB250),NA(),CA168)</f>
        <v>0</v>
      </c>
      <c r="CB250">
        <f>IF(OR(CB168="",AND(CB168=CB167,CB168=CB169)),NA(), CB168)</f>
        <v>0</v>
      </c>
      <c r="CC250">
        <f>IF(ISNA(CD250),NA(),CC168)</f>
        <v>0</v>
      </c>
      <c r="CD250">
        <f>IF(OR(CD168="",AND(CD168=CD167,CD168=CD169)),NA(), CD168)</f>
        <v>0</v>
      </c>
      <c r="CE250">
        <f>IF(ISNA(CF250),NA(),CE168)</f>
        <v>0</v>
      </c>
      <c r="CF250">
        <f>IF(OR(CF168="",AND(CF168=CF167,CF168=CF169)),NA(), CF168)</f>
        <v>0</v>
      </c>
      <c r="CG250">
        <f>IF(ISNA(CH250),NA(),CG168)</f>
        <v>0</v>
      </c>
      <c r="CH250">
        <f>IF(OR(CH168="",AND(CH168=CH167,CH168=CH169)),NA(), CH168)</f>
        <v>0</v>
      </c>
      <c r="CI250">
        <f>IF(ISNA(CJ250),NA(),CI168)</f>
        <v>0</v>
      </c>
      <c r="CJ250">
        <f>IF(OR(CJ168="",AND(CJ168=CJ167,CJ168=CJ169)),NA(), CJ168)</f>
        <v>0</v>
      </c>
      <c r="CK250">
        <f>IF(ISNA(CL250),NA(),CK168)</f>
        <v>0</v>
      </c>
      <c r="CL250">
        <f>IF(OR(CL168="",AND(CL168=CL167,CL168=CL169)),NA(), CL168)</f>
        <v>0</v>
      </c>
      <c r="CM250">
        <f>IF(ISNA(CN250),NA(),CM168)</f>
        <v>0</v>
      </c>
      <c r="CN250">
        <f>IF(OR(CN168="",AND(CN168=CN167,CN168=CN169)),NA(), CN168)</f>
        <v>0</v>
      </c>
      <c r="CO250">
        <f>IF(ISNA(CP250),NA(),CO168)</f>
        <v>0</v>
      </c>
      <c r="CP250">
        <f>IF(OR(CP168="",AND(CP168=CP167,CP168=CP169)),NA(), CP168)</f>
        <v>0</v>
      </c>
      <c r="CQ250">
        <f>IF(ISNA(CR250),NA(),CQ168)</f>
        <v>0</v>
      </c>
      <c r="CR250">
        <f>IF(OR(CR168="",AND(CR168=CR167,CR168=CR169)),NA(), CR168)</f>
        <v>0</v>
      </c>
      <c r="CS250">
        <f>IF(ISNA(CT250),NA(),CS168)</f>
        <v>0</v>
      </c>
      <c r="CT250">
        <f>IF(OR(CT168="",AND(CT168=CT167,CT168=CT169)),NA(), CT168)</f>
        <v>0</v>
      </c>
      <c r="CU250">
        <f>IF(ISNA(CV250),NA(),CU168)</f>
        <v>0</v>
      </c>
      <c r="CV250">
        <f>IF(OR(CV168="",AND(CV168=CV167,CV168=CV169)),NA(), CV168)</f>
        <v>0</v>
      </c>
      <c r="CW250">
        <f>IF(ISNA(CX250),NA(),CW168)</f>
        <v>0</v>
      </c>
      <c r="CX250">
        <f>IF(OR(CX168="",AND(CX168=CX167,CX168=CX169)),NA(), CX168)</f>
        <v>0</v>
      </c>
      <c r="CY250">
        <f>IF(ISNA(CZ250),NA(),CY168)</f>
        <v>0</v>
      </c>
      <c r="CZ250">
        <f>IF(OR(CZ168="",AND(CZ168=CZ167,CZ168=CZ169)),NA(), CZ168)</f>
        <v>0</v>
      </c>
      <c r="DA250">
        <f>IF(ISNA(DB250),NA(),DA168)</f>
        <v>0</v>
      </c>
      <c r="DB250">
        <f>IF(OR(DB168="",AND(DB168=DB167,DB168=DB169)),NA(), DB168)</f>
        <v>0</v>
      </c>
      <c r="DC250">
        <f>IF(ISNA(DD250),NA(),DC168)</f>
        <v>0</v>
      </c>
      <c r="DD250">
        <f>IF(OR(DD168="",AND(DD168=DD167,DD168=DD169)),NA(), DD168)</f>
        <v>0</v>
      </c>
      <c r="DE250">
        <f>IF(ISNA(DF250),NA(),DE168)</f>
        <v>0</v>
      </c>
      <c r="DF250">
        <f>IF(OR(DF168="",AND(DF168=DF167,DF168=DF169)),NA(), DF168)</f>
        <v>0</v>
      </c>
      <c r="DG250">
        <f>IF(ISNA(DH250),NA(),DG168)</f>
        <v>0</v>
      </c>
      <c r="DH250">
        <f>IF(OR(DH168="",AND(DH168=DH167,DH168=DH169)),NA(), DH168)</f>
        <v>0</v>
      </c>
      <c r="DI250">
        <f>IF(ISNA(DJ250),NA(),DI168)</f>
        <v>0</v>
      </c>
      <c r="DJ250">
        <f>IF(OR(DJ168="",AND(DJ168=DJ167,DJ168=DJ169)),NA(), DJ168)</f>
        <v>0</v>
      </c>
      <c r="DK250">
        <f>IF(ISNA(DL250),NA(),DK168)</f>
        <v>0</v>
      </c>
      <c r="DL250">
        <f>IF(OR(DL168="",AND(DL168=DL167,DL168=DL169)),NA(), DL168)</f>
        <v>0</v>
      </c>
      <c r="DM250">
        <f>IF(ISNA(DN250),NA(),DM168)</f>
        <v>0</v>
      </c>
      <c r="DN250">
        <f>IF(OR(DN168="",AND(DN168=DN167,DN168=DN169)),NA(), DN168)</f>
        <v>0</v>
      </c>
      <c r="DO250">
        <f>IF(ISNA(DP250),NA(),DO168)</f>
        <v>0</v>
      </c>
      <c r="DP250">
        <f>IF(OR(DP168="",AND(DP168=DP167,DP168=DP169)),NA(), DP168)</f>
        <v>0</v>
      </c>
      <c r="DQ250">
        <f>IF(ISNA(DR250),NA(),DQ168)</f>
        <v>0</v>
      </c>
      <c r="DR250">
        <f>IF(OR(DR168="",AND(DR168=DR167,DR168=DR169)),NA(), DR168)</f>
        <v>0</v>
      </c>
      <c r="DS250">
        <f>IF(ISNA(DT250),NA(),DS168)</f>
        <v>0</v>
      </c>
      <c r="DT250">
        <f>IF(OR(DT168="",AND(DT168=DT167,DT168=DT169)),NA(), DT168)</f>
        <v>0</v>
      </c>
      <c r="DU250">
        <f>IF(ISNA(DV250),NA(),DU168)</f>
        <v>0</v>
      </c>
      <c r="DV250">
        <f>IF(OR(DV168="",AND(DV168=DV167,DV168=DV169)),NA(), DV168)</f>
        <v>0</v>
      </c>
      <c r="DW250">
        <f>IF(ISNA(DX250),NA(),DW168)</f>
        <v>0</v>
      </c>
      <c r="DX250">
        <f>IF(OR(DX168="",AND(DX168=DX167,DX168=DX169)),NA(), DX168)</f>
        <v>0</v>
      </c>
      <c r="DY250">
        <f>IF(ISNA(DZ250),NA(),DY168)</f>
        <v>0</v>
      </c>
      <c r="DZ250">
        <f>IF(OR(DZ168="",AND(DZ168=DZ167,DZ168=DZ169)),NA(), DZ168)</f>
        <v>0</v>
      </c>
      <c r="EA250">
        <f>IF(ISNA(EB250),NA(),EA168)</f>
        <v>0</v>
      </c>
      <c r="EB250">
        <f>IF(OR(EB168="",AND(EB168=EB167,EB168=EB169)),NA(), EB168)</f>
        <v>0</v>
      </c>
      <c r="EC250">
        <f>IF(ISNA(ED250),NA(),EC168)</f>
        <v>0</v>
      </c>
      <c r="ED250">
        <f>IF(OR(ED168="",AND(ED168=ED167,ED168=ED169)),NA(), ED168)</f>
        <v>0</v>
      </c>
    </row>
    <row r="251" spans="5:134">
      <c r="E251">
        <f>IF(ISNA(F251),NA(),E169)</f>
        <v>0</v>
      </c>
      <c r="F251">
        <f>IF(OR(F169="",AND(F169=F168,F169=F170)),NA(), F169)</f>
        <v>0</v>
      </c>
      <c r="G251">
        <f>IF(ISNA(H251),NA(),G169)</f>
        <v>0</v>
      </c>
      <c r="H251">
        <f>IF(OR(H169="",AND(H169=H168,H169=H170)),NA(), H169)</f>
        <v>0</v>
      </c>
      <c r="I251">
        <f>IF(ISNA(J251),NA(),I169)</f>
        <v>0</v>
      </c>
      <c r="J251">
        <f>IF(OR(J169="",AND(J169=J168,J169=J170)),NA(), J169)</f>
        <v>0</v>
      </c>
      <c r="K251">
        <f>IF(ISNA(L251),NA(),K169)</f>
        <v>0</v>
      </c>
      <c r="L251">
        <f>IF(OR(L169="",AND(L169=L168,L169=L170)),NA(), L169)</f>
        <v>0</v>
      </c>
      <c r="M251">
        <f>IF(ISNA(N251),NA(),M169)</f>
        <v>0</v>
      </c>
      <c r="N251">
        <f>IF(OR(N169="",AND(N169=N168,N169=N170)),NA(), N169)</f>
        <v>0</v>
      </c>
      <c r="O251">
        <f>IF(ISNA(P251),NA(),O169)</f>
        <v>0</v>
      </c>
      <c r="P251">
        <f>IF(OR(P169="",AND(P169=P168,P169=P170)),NA(), P169)</f>
        <v>0</v>
      </c>
      <c r="Q251">
        <f>IF(ISNA(R251),NA(),Q169)</f>
        <v>0</v>
      </c>
      <c r="R251">
        <f>IF(OR(R169="",AND(R169=R168,R169=R170)),NA(), R169)</f>
        <v>0</v>
      </c>
      <c r="S251">
        <f>IF(ISNA(T251),NA(),S169)</f>
        <v>0</v>
      </c>
      <c r="T251">
        <f>IF(OR(T169="",AND(T169=T168,T169=T170)),NA(), T169)</f>
        <v>0</v>
      </c>
      <c r="U251">
        <f>IF(ISNA(V251),NA(),U169)</f>
        <v>0</v>
      </c>
      <c r="V251">
        <f>IF(OR(V169="",AND(V169=V168,V169=V170)),NA(), V169)</f>
        <v>0</v>
      </c>
      <c r="W251">
        <f>IF(ISNA(X251),NA(),W169)</f>
        <v>0</v>
      </c>
      <c r="X251">
        <f>IF(OR(X169="",AND(X169=X168,X169=X170)),NA(), X169)</f>
        <v>0</v>
      </c>
      <c r="Y251">
        <f>IF(ISNA(Z251),NA(),Y169)</f>
        <v>0</v>
      </c>
      <c r="Z251">
        <f>IF(OR(Z169="",AND(Z169=Z168,Z169=Z170)),NA(), Z169)</f>
        <v>0</v>
      </c>
      <c r="AA251">
        <f>IF(ISNA(AB251),NA(),AA169)</f>
        <v>0</v>
      </c>
      <c r="AB251">
        <f>IF(OR(AB169="",AND(AB169=AB168,AB169=AB170)),NA(), AB169)</f>
        <v>0</v>
      </c>
      <c r="AC251">
        <f>IF(ISNA(AD251),NA(),AC169)</f>
        <v>0</v>
      </c>
      <c r="AD251">
        <f>IF(OR(AD169="",AND(AD169=AD168,AD169=AD170)),NA(), AD169)</f>
        <v>0</v>
      </c>
      <c r="AE251">
        <f>IF(ISNA(AF251),NA(),AE169)</f>
        <v>0</v>
      </c>
      <c r="AF251">
        <f>IF(OR(AF169="",AND(AF169=AF168,AF169=AF170)),NA(), AF169)</f>
        <v>0</v>
      </c>
      <c r="AG251">
        <f>IF(ISNA(AH251),NA(),AG169)</f>
        <v>0</v>
      </c>
      <c r="AH251">
        <f>IF(OR(AH169="",AND(AH169=AH168,AH169=AH170)),NA(), AH169)</f>
        <v>0</v>
      </c>
      <c r="AI251">
        <f>IF(ISNA(AJ251),NA(),AI169)</f>
        <v>0</v>
      </c>
      <c r="AJ251">
        <f>IF(OR(AJ169="",AND(AJ169=AJ168,AJ169=AJ170)),NA(), AJ169)</f>
        <v>0</v>
      </c>
      <c r="AK251">
        <f>IF(ISNA(AL251),NA(),AK169)</f>
        <v>0</v>
      </c>
      <c r="AL251">
        <f>IF(OR(AL169="",AND(AL169=AL168,AL169=AL170)),NA(), AL169)</f>
        <v>0</v>
      </c>
      <c r="AM251">
        <f>IF(ISNA(AN251),NA(),AM169)</f>
        <v>0</v>
      </c>
      <c r="AN251">
        <f>IF(OR(AN169="",AND(AN169=AN168,AN169=AN170)),NA(), AN169)</f>
        <v>0</v>
      </c>
      <c r="AO251">
        <f>IF(ISNA(AP251),NA(),AO169)</f>
        <v>0</v>
      </c>
      <c r="AP251">
        <f>IF(OR(AP169="",AND(AP169=AP168,AP169=AP170)),NA(), AP169)</f>
        <v>0</v>
      </c>
      <c r="AQ251">
        <f>IF(ISNA(AR251),NA(),AQ169)</f>
        <v>0</v>
      </c>
      <c r="AR251">
        <f>IF(OR(AR169="",AND(AR169=AR168,AR169=AR170)),NA(), AR169)</f>
        <v>0</v>
      </c>
      <c r="AS251">
        <f>IF(ISNA(AT251),NA(),AS169)</f>
        <v>0</v>
      </c>
      <c r="AT251">
        <f>IF(OR(AT169="",AND(AT169=AT168,AT169=AT170)),NA(), AT169)</f>
        <v>0</v>
      </c>
      <c r="AU251">
        <f>IF(ISNA(AV251),NA(),AU169)</f>
        <v>0</v>
      </c>
      <c r="AV251">
        <f>IF(OR(AV169="",AND(AV169=AV168,AV169=AV170)),NA(), AV169)</f>
        <v>0</v>
      </c>
      <c r="AW251">
        <f>IF(ISNA(AX251),NA(),AW169)</f>
        <v>0</v>
      </c>
      <c r="AX251">
        <f>IF(OR(AX169="",AND(AX169=AX168,AX169=AX170)),NA(), AX169)</f>
        <v>0</v>
      </c>
      <c r="AY251">
        <f>IF(ISNA(AZ251),NA(),AY169)</f>
        <v>0</v>
      </c>
      <c r="AZ251">
        <f>IF(OR(AZ169="",AND(AZ169=AZ168,AZ169=AZ170)),NA(), AZ169)</f>
        <v>0</v>
      </c>
      <c r="BA251">
        <f>IF(ISNA(BB251),NA(),BA169)</f>
        <v>0</v>
      </c>
      <c r="BB251">
        <f>IF(OR(BB169="",AND(BB169=BB168,BB169=BB170)),NA(), BB169)</f>
        <v>0</v>
      </c>
      <c r="BC251">
        <f>IF(ISNA(BD251),NA(),BC169)</f>
        <v>0</v>
      </c>
      <c r="BD251">
        <f>IF(OR(BD169="",AND(BD169=BD168,BD169=BD170)),NA(), BD169)</f>
        <v>0</v>
      </c>
      <c r="BE251">
        <f>IF(ISNA(BF251),NA(),BE169)</f>
        <v>0</v>
      </c>
      <c r="BF251">
        <f>IF(OR(BF169="",AND(BF169=BF168,BF169=BF170)),NA(), BF169)</f>
        <v>0</v>
      </c>
      <c r="BG251">
        <f>IF(ISNA(BH251),NA(),BG169)</f>
        <v>0</v>
      </c>
      <c r="BH251">
        <f>IF(OR(BH169="",AND(BH169=BH168,BH169=BH170)),NA(), BH169)</f>
        <v>0</v>
      </c>
      <c r="BI251">
        <f>IF(ISNA(BJ251),NA(),BI169)</f>
        <v>0</v>
      </c>
      <c r="BJ251">
        <f>IF(OR(BJ169="",AND(BJ169=BJ168,BJ169=BJ170)),NA(), BJ169)</f>
        <v>0</v>
      </c>
      <c r="BK251">
        <f>IF(ISNA(BL251),NA(),BK169)</f>
        <v>0</v>
      </c>
      <c r="BL251">
        <f>IF(OR(BL169="",AND(BL169=BL168,BL169=BL170)),NA(), BL169)</f>
        <v>0</v>
      </c>
      <c r="BM251">
        <f>IF(ISNA(BN251),NA(),BM169)</f>
        <v>0</v>
      </c>
      <c r="BN251">
        <f>IF(OR(BN169="",AND(BN169=BN168,BN169=BN170)),NA(), BN169)</f>
        <v>0</v>
      </c>
      <c r="BO251">
        <f>IF(ISNA(BP251),NA(),BO169)</f>
        <v>0</v>
      </c>
      <c r="BP251">
        <f>IF(OR(BP169="",AND(BP169=BP168,BP169=BP170)),NA(), BP169)</f>
        <v>0</v>
      </c>
      <c r="BS251">
        <f>IF(ISNA(BT251),NA(),BS169)</f>
        <v>0</v>
      </c>
      <c r="BT251">
        <f>IF(OR(BT169="",AND(BT169=BT168,BT169=BT170)),NA(), BT169)</f>
        <v>0</v>
      </c>
      <c r="BU251">
        <f>IF(ISNA(BV251),NA(),BU169)</f>
        <v>0</v>
      </c>
      <c r="BV251">
        <f>IF(OR(BV169="",AND(BV169=BV168,BV169=BV170)),NA(), BV169)</f>
        <v>0</v>
      </c>
      <c r="BW251">
        <f>IF(ISNA(BX251),NA(),BW169)</f>
        <v>0</v>
      </c>
      <c r="BX251">
        <f>IF(OR(BX169="",AND(BX169=BX168,BX169=BX170)),NA(), BX169)</f>
        <v>0</v>
      </c>
      <c r="BY251">
        <f>IF(ISNA(BZ251),NA(),BY169)</f>
        <v>0</v>
      </c>
      <c r="BZ251">
        <f>IF(OR(BZ169="",AND(BZ169=BZ168,BZ169=BZ170)),NA(), BZ169)</f>
        <v>0</v>
      </c>
      <c r="CA251">
        <f>IF(ISNA(CB251),NA(),CA169)</f>
        <v>0</v>
      </c>
      <c r="CB251">
        <f>IF(OR(CB169="",AND(CB169=CB168,CB169=CB170)),NA(), CB169)</f>
        <v>0</v>
      </c>
      <c r="CC251">
        <f>IF(ISNA(CD251),NA(),CC169)</f>
        <v>0</v>
      </c>
      <c r="CD251">
        <f>IF(OR(CD169="",AND(CD169=CD168,CD169=CD170)),NA(), CD169)</f>
        <v>0</v>
      </c>
      <c r="CE251">
        <f>IF(ISNA(CF251),NA(),CE169)</f>
        <v>0</v>
      </c>
      <c r="CF251">
        <f>IF(OR(CF169="",AND(CF169=CF168,CF169=CF170)),NA(), CF169)</f>
        <v>0</v>
      </c>
      <c r="CG251">
        <f>IF(ISNA(CH251),NA(),CG169)</f>
        <v>0</v>
      </c>
      <c r="CH251">
        <f>IF(OR(CH169="",AND(CH169=CH168,CH169=CH170)),NA(), CH169)</f>
        <v>0</v>
      </c>
      <c r="CI251">
        <f>IF(ISNA(CJ251),NA(),CI169)</f>
        <v>0</v>
      </c>
      <c r="CJ251">
        <f>IF(OR(CJ169="",AND(CJ169=CJ168,CJ169=CJ170)),NA(), CJ169)</f>
        <v>0</v>
      </c>
      <c r="CK251">
        <f>IF(ISNA(CL251),NA(),CK169)</f>
        <v>0</v>
      </c>
      <c r="CL251">
        <f>IF(OR(CL169="",AND(CL169=CL168,CL169=CL170)),NA(), CL169)</f>
        <v>0</v>
      </c>
      <c r="CM251">
        <f>IF(ISNA(CN251),NA(),CM169)</f>
        <v>0</v>
      </c>
      <c r="CN251">
        <f>IF(OR(CN169="",AND(CN169=CN168,CN169=CN170)),NA(), CN169)</f>
        <v>0</v>
      </c>
      <c r="CO251">
        <f>IF(ISNA(CP251),NA(),CO169)</f>
        <v>0</v>
      </c>
      <c r="CP251">
        <f>IF(OR(CP169="",AND(CP169=CP168,CP169=CP170)),NA(), CP169)</f>
        <v>0</v>
      </c>
      <c r="CQ251">
        <f>IF(ISNA(CR251),NA(),CQ169)</f>
        <v>0</v>
      </c>
      <c r="CR251">
        <f>IF(OR(CR169="",AND(CR169=CR168,CR169=CR170)),NA(), CR169)</f>
        <v>0</v>
      </c>
      <c r="CS251">
        <f>IF(ISNA(CT251),NA(),CS169)</f>
        <v>0</v>
      </c>
      <c r="CT251">
        <f>IF(OR(CT169="",AND(CT169=CT168,CT169=CT170)),NA(), CT169)</f>
        <v>0</v>
      </c>
      <c r="CU251">
        <f>IF(ISNA(CV251),NA(),CU169)</f>
        <v>0</v>
      </c>
      <c r="CV251">
        <f>IF(OR(CV169="",AND(CV169=CV168,CV169=CV170)),NA(), CV169)</f>
        <v>0</v>
      </c>
      <c r="CW251">
        <f>IF(ISNA(CX251),NA(),CW169)</f>
        <v>0</v>
      </c>
      <c r="CX251">
        <f>IF(OR(CX169="",AND(CX169=CX168,CX169=CX170)),NA(), CX169)</f>
        <v>0</v>
      </c>
      <c r="CY251">
        <f>IF(ISNA(CZ251),NA(),CY169)</f>
        <v>0</v>
      </c>
      <c r="CZ251">
        <f>IF(OR(CZ169="",AND(CZ169=CZ168,CZ169=CZ170)),NA(), CZ169)</f>
        <v>0</v>
      </c>
      <c r="DA251">
        <f>IF(ISNA(DB251),NA(),DA169)</f>
        <v>0</v>
      </c>
      <c r="DB251">
        <f>IF(OR(DB169="",AND(DB169=DB168,DB169=DB170)),NA(), DB169)</f>
        <v>0</v>
      </c>
      <c r="DC251">
        <f>IF(ISNA(DD251),NA(),DC169)</f>
        <v>0</v>
      </c>
      <c r="DD251">
        <f>IF(OR(DD169="",AND(DD169=DD168,DD169=DD170)),NA(), DD169)</f>
        <v>0</v>
      </c>
      <c r="DE251">
        <f>IF(ISNA(DF251),NA(),DE169)</f>
        <v>0</v>
      </c>
      <c r="DF251">
        <f>IF(OR(DF169="",AND(DF169=DF168,DF169=DF170)),NA(), DF169)</f>
        <v>0</v>
      </c>
      <c r="DG251">
        <f>IF(ISNA(DH251),NA(),DG169)</f>
        <v>0</v>
      </c>
      <c r="DH251">
        <f>IF(OR(DH169="",AND(DH169=DH168,DH169=DH170)),NA(), DH169)</f>
        <v>0</v>
      </c>
      <c r="DI251">
        <f>IF(ISNA(DJ251),NA(),DI169)</f>
        <v>0</v>
      </c>
      <c r="DJ251">
        <f>IF(OR(DJ169="",AND(DJ169=DJ168,DJ169=DJ170)),NA(), DJ169)</f>
        <v>0</v>
      </c>
      <c r="DK251">
        <f>IF(ISNA(DL251),NA(),DK169)</f>
        <v>0</v>
      </c>
      <c r="DL251">
        <f>IF(OR(DL169="",AND(DL169=DL168,DL169=DL170)),NA(), DL169)</f>
        <v>0</v>
      </c>
      <c r="DM251">
        <f>IF(ISNA(DN251),NA(),DM169)</f>
        <v>0</v>
      </c>
      <c r="DN251">
        <f>IF(OR(DN169="",AND(DN169=DN168,DN169=DN170)),NA(), DN169)</f>
        <v>0</v>
      </c>
      <c r="DO251">
        <f>IF(ISNA(DP251),NA(),DO169)</f>
        <v>0</v>
      </c>
      <c r="DP251">
        <f>IF(OR(DP169="",AND(DP169=DP168,DP169=DP170)),NA(), DP169)</f>
        <v>0</v>
      </c>
      <c r="DQ251">
        <f>IF(ISNA(DR251),NA(),DQ169)</f>
        <v>0</v>
      </c>
      <c r="DR251">
        <f>IF(OR(DR169="",AND(DR169=DR168,DR169=DR170)),NA(), DR169)</f>
        <v>0</v>
      </c>
      <c r="DS251">
        <f>IF(ISNA(DT251),NA(),DS169)</f>
        <v>0</v>
      </c>
      <c r="DT251">
        <f>IF(OR(DT169="",AND(DT169=DT168,DT169=DT170)),NA(), DT169)</f>
        <v>0</v>
      </c>
      <c r="DU251">
        <f>IF(ISNA(DV251),NA(),DU169)</f>
        <v>0</v>
      </c>
      <c r="DV251">
        <f>IF(OR(DV169="",AND(DV169=DV168,DV169=DV170)),NA(), DV169)</f>
        <v>0</v>
      </c>
      <c r="DW251">
        <f>IF(ISNA(DX251),NA(),DW169)</f>
        <v>0</v>
      </c>
      <c r="DX251">
        <f>IF(OR(DX169="",AND(DX169=DX168,DX169=DX170)),NA(), DX169)</f>
        <v>0</v>
      </c>
      <c r="DY251">
        <f>IF(ISNA(DZ251),NA(),DY169)</f>
        <v>0</v>
      </c>
      <c r="DZ251">
        <f>IF(OR(DZ169="",AND(DZ169=DZ168,DZ169=DZ170)),NA(), DZ169)</f>
        <v>0</v>
      </c>
      <c r="EA251">
        <f>IF(ISNA(EB251),NA(),EA169)</f>
        <v>0</v>
      </c>
      <c r="EB251">
        <f>IF(OR(EB169="",AND(EB169=EB168,EB169=EB170)),NA(), EB169)</f>
        <v>0</v>
      </c>
      <c r="EC251">
        <f>IF(ISNA(ED251),NA(),EC169)</f>
        <v>0</v>
      </c>
      <c r="ED251">
        <f>IF(OR(ED169="",AND(ED169=ED168,ED169=ED170)),NA(), ED169)</f>
        <v>0</v>
      </c>
    </row>
    <row r="252" spans="5:134">
      <c r="E252">
        <f>IF(ISNA(F252),NA(),E170)</f>
        <v>0</v>
      </c>
      <c r="F252">
        <f>IF(OR(F170="",AND(F170=F169,F170=F171)),NA(), F170)</f>
        <v>0</v>
      </c>
      <c r="G252">
        <f>IF(ISNA(H252),NA(),G170)</f>
        <v>0</v>
      </c>
      <c r="H252">
        <f>IF(OR(H170="",AND(H170=H169,H170=H171)),NA(), H170)</f>
        <v>0</v>
      </c>
      <c r="I252">
        <f>IF(ISNA(J252),NA(),I170)</f>
        <v>0</v>
      </c>
      <c r="J252">
        <f>IF(OR(J170="",AND(J170=J169,J170=J171)),NA(), J170)</f>
        <v>0</v>
      </c>
      <c r="K252">
        <f>IF(ISNA(L252),NA(),K170)</f>
        <v>0</v>
      </c>
      <c r="L252">
        <f>IF(OR(L170="",AND(L170=L169,L170=L171)),NA(), L170)</f>
        <v>0</v>
      </c>
      <c r="M252">
        <f>IF(ISNA(N252),NA(),M170)</f>
        <v>0</v>
      </c>
      <c r="N252">
        <f>IF(OR(N170="",AND(N170=N169,N170=N171)),NA(), N170)</f>
        <v>0</v>
      </c>
      <c r="O252">
        <f>IF(ISNA(P252),NA(),O170)</f>
        <v>0</v>
      </c>
      <c r="P252">
        <f>IF(OR(P170="",AND(P170=P169,P170=P171)),NA(), P170)</f>
        <v>0</v>
      </c>
      <c r="Q252">
        <f>IF(ISNA(R252),NA(),Q170)</f>
        <v>0</v>
      </c>
      <c r="R252">
        <f>IF(OR(R170="",AND(R170=R169,R170=R171)),NA(), R170)</f>
        <v>0</v>
      </c>
      <c r="S252">
        <f>IF(ISNA(T252),NA(),S170)</f>
        <v>0</v>
      </c>
      <c r="T252">
        <f>IF(OR(T170="",AND(T170=T169,T170=T171)),NA(), T170)</f>
        <v>0</v>
      </c>
      <c r="U252">
        <f>IF(ISNA(V252),NA(),U170)</f>
        <v>0</v>
      </c>
      <c r="V252">
        <f>IF(OR(V170="",AND(V170=V169,V170=V171)),NA(), V170)</f>
        <v>0</v>
      </c>
      <c r="W252">
        <f>IF(ISNA(X252),NA(),W170)</f>
        <v>0</v>
      </c>
      <c r="X252">
        <f>IF(OR(X170="",AND(X170=X169,X170=X171)),NA(), X170)</f>
        <v>0</v>
      </c>
      <c r="Y252">
        <f>IF(ISNA(Z252),NA(),Y170)</f>
        <v>0</v>
      </c>
      <c r="Z252">
        <f>IF(OR(Z170="",AND(Z170=Z169,Z170=Z171)),NA(), Z170)</f>
        <v>0</v>
      </c>
      <c r="AA252">
        <f>IF(ISNA(AB252),NA(),AA170)</f>
        <v>0</v>
      </c>
      <c r="AB252">
        <f>IF(OR(AB170="",AND(AB170=AB169,AB170=AB171)),NA(), AB170)</f>
        <v>0</v>
      </c>
      <c r="AC252">
        <f>IF(ISNA(AD252),NA(),AC170)</f>
        <v>0</v>
      </c>
      <c r="AD252">
        <f>IF(OR(AD170="",AND(AD170=AD169,AD170=AD171)),NA(), AD170)</f>
        <v>0</v>
      </c>
      <c r="AE252">
        <f>IF(ISNA(AF252),NA(),AE170)</f>
        <v>0</v>
      </c>
      <c r="AF252">
        <f>IF(OR(AF170="",AND(AF170=AF169,AF170=AF171)),NA(), AF170)</f>
        <v>0</v>
      </c>
      <c r="AG252">
        <f>IF(ISNA(AH252),NA(),AG170)</f>
        <v>0</v>
      </c>
      <c r="AH252">
        <f>IF(OR(AH170="",AND(AH170=AH169,AH170=AH171)),NA(), AH170)</f>
        <v>0</v>
      </c>
      <c r="AI252">
        <f>IF(ISNA(AJ252),NA(),AI170)</f>
        <v>0</v>
      </c>
      <c r="AJ252">
        <f>IF(OR(AJ170="",AND(AJ170=AJ169,AJ170=AJ171)),NA(), AJ170)</f>
        <v>0</v>
      </c>
      <c r="AK252">
        <f>IF(ISNA(AL252),NA(),AK170)</f>
        <v>0</v>
      </c>
      <c r="AL252">
        <f>IF(OR(AL170="",AND(AL170=AL169,AL170=AL171)),NA(), AL170)</f>
        <v>0</v>
      </c>
      <c r="AM252">
        <f>IF(ISNA(AN252),NA(),AM170)</f>
        <v>0</v>
      </c>
      <c r="AN252">
        <f>IF(OR(AN170="",AND(AN170=AN169,AN170=AN171)),NA(), AN170)</f>
        <v>0</v>
      </c>
      <c r="AO252">
        <f>IF(ISNA(AP252),NA(),AO170)</f>
        <v>0</v>
      </c>
      <c r="AP252">
        <f>IF(OR(AP170="",AND(AP170=AP169,AP170=AP171)),NA(), AP170)</f>
        <v>0</v>
      </c>
      <c r="AQ252">
        <f>IF(ISNA(AR252),NA(),AQ170)</f>
        <v>0</v>
      </c>
      <c r="AR252">
        <f>IF(OR(AR170="",AND(AR170=AR169,AR170=AR171)),NA(), AR170)</f>
        <v>0</v>
      </c>
      <c r="AS252">
        <f>IF(ISNA(AT252),NA(),AS170)</f>
        <v>0</v>
      </c>
      <c r="AT252">
        <f>IF(OR(AT170="",AND(AT170=AT169,AT170=AT171)),NA(), AT170)</f>
        <v>0</v>
      </c>
      <c r="AU252">
        <f>IF(ISNA(AV252),NA(),AU170)</f>
        <v>0</v>
      </c>
      <c r="AV252">
        <f>IF(OR(AV170="",AND(AV170=AV169,AV170=AV171)),NA(), AV170)</f>
        <v>0</v>
      </c>
      <c r="AW252">
        <f>IF(ISNA(AX252),NA(),AW170)</f>
        <v>0</v>
      </c>
      <c r="AX252">
        <f>IF(OR(AX170="",AND(AX170=AX169,AX170=AX171)),NA(), AX170)</f>
        <v>0</v>
      </c>
      <c r="AY252">
        <f>IF(ISNA(AZ252),NA(),AY170)</f>
        <v>0</v>
      </c>
      <c r="AZ252">
        <f>IF(OR(AZ170="",AND(AZ170=AZ169,AZ170=AZ171)),NA(), AZ170)</f>
        <v>0</v>
      </c>
      <c r="BA252">
        <f>IF(ISNA(BB252),NA(),BA170)</f>
        <v>0</v>
      </c>
      <c r="BB252">
        <f>IF(OR(BB170="",AND(BB170=BB169,BB170=BB171)),NA(), BB170)</f>
        <v>0</v>
      </c>
      <c r="BC252">
        <f>IF(ISNA(BD252),NA(),BC170)</f>
        <v>0</v>
      </c>
      <c r="BD252">
        <f>IF(OR(BD170="",AND(BD170=BD169,BD170=BD171)),NA(), BD170)</f>
        <v>0</v>
      </c>
      <c r="BE252">
        <f>IF(ISNA(BF252),NA(),BE170)</f>
        <v>0</v>
      </c>
      <c r="BF252">
        <f>IF(OR(BF170="",AND(BF170=BF169,BF170=BF171)),NA(), BF170)</f>
        <v>0</v>
      </c>
      <c r="BG252">
        <f>IF(ISNA(BH252),NA(),BG170)</f>
        <v>0</v>
      </c>
      <c r="BH252">
        <f>IF(OR(BH170="",AND(BH170=BH169,BH170=BH171)),NA(), BH170)</f>
        <v>0</v>
      </c>
      <c r="BI252">
        <f>IF(ISNA(BJ252),NA(),BI170)</f>
        <v>0</v>
      </c>
      <c r="BJ252">
        <f>IF(OR(BJ170="",AND(BJ170=BJ169,BJ170=BJ171)),NA(), BJ170)</f>
        <v>0</v>
      </c>
      <c r="BK252">
        <f>IF(ISNA(BL252),NA(),BK170)</f>
        <v>0</v>
      </c>
      <c r="BL252">
        <f>IF(OR(BL170="",AND(BL170=BL169,BL170=BL171)),NA(), BL170)</f>
        <v>0</v>
      </c>
      <c r="BM252">
        <f>IF(ISNA(BN252),NA(),BM170)</f>
        <v>0</v>
      </c>
      <c r="BN252">
        <f>IF(OR(BN170="",AND(BN170=BN169,BN170=BN171)),NA(), BN170)</f>
        <v>0</v>
      </c>
      <c r="BO252">
        <f>IF(ISNA(BP252),NA(),BO170)</f>
        <v>0</v>
      </c>
      <c r="BP252">
        <f>IF(OR(BP170="",AND(BP170=BP169,BP170=BP171)),NA(), BP170)</f>
        <v>0</v>
      </c>
      <c r="BS252">
        <f>IF(ISNA(BT252),NA(),BS170)</f>
        <v>0</v>
      </c>
      <c r="BT252">
        <f>IF(OR(BT170="",AND(BT170=BT169,BT170=BT171)),NA(), BT170)</f>
        <v>0</v>
      </c>
      <c r="BU252">
        <f>IF(ISNA(BV252),NA(),BU170)</f>
        <v>0</v>
      </c>
      <c r="BV252">
        <f>IF(OR(BV170="",AND(BV170=BV169,BV170=BV171)),NA(), BV170)</f>
        <v>0</v>
      </c>
      <c r="BW252">
        <f>IF(ISNA(BX252),NA(),BW170)</f>
        <v>0</v>
      </c>
      <c r="BX252">
        <f>IF(OR(BX170="",AND(BX170=BX169,BX170=BX171)),NA(), BX170)</f>
        <v>0</v>
      </c>
      <c r="BY252">
        <f>IF(ISNA(BZ252),NA(),BY170)</f>
        <v>0</v>
      </c>
      <c r="BZ252">
        <f>IF(OR(BZ170="",AND(BZ170=BZ169,BZ170=BZ171)),NA(), BZ170)</f>
        <v>0</v>
      </c>
      <c r="CA252">
        <f>IF(ISNA(CB252),NA(),CA170)</f>
        <v>0</v>
      </c>
      <c r="CB252">
        <f>IF(OR(CB170="",AND(CB170=CB169,CB170=CB171)),NA(), CB170)</f>
        <v>0</v>
      </c>
      <c r="CC252">
        <f>IF(ISNA(CD252),NA(),CC170)</f>
        <v>0</v>
      </c>
      <c r="CD252">
        <f>IF(OR(CD170="",AND(CD170=CD169,CD170=CD171)),NA(), CD170)</f>
        <v>0</v>
      </c>
      <c r="CE252">
        <f>IF(ISNA(CF252),NA(),CE170)</f>
        <v>0</v>
      </c>
      <c r="CF252">
        <f>IF(OR(CF170="",AND(CF170=CF169,CF170=CF171)),NA(), CF170)</f>
        <v>0</v>
      </c>
      <c r="CG252">
        <f>IF(ISNA(CH252),NA(),CG170)</f>
        <v>0</v>
      </c>
      <c r="CH252">
        <f>IF(OR(CH170="",AND(CH170=CH169,CH170=CH171)),NA(), CH170)</f>
        <v>0</v>
      </c>
      <c r="CI252">
        <f>IF(ISNA(CJ252),NA(),CI170)</f>
        <v>0</v>
      </c>
      <c r="CJ252">
        <f>IF(OR(CJ170="",AND(CJ170=CJ169,CJ170=CJ171)),NA(), CJ170)</f>
        <v>0</v>
      </c>
      <c r="CK252">
        <f>IF(ISNA(CL252),NA(),CK170)</f>
        <v>0</v>
      </c>
      <c r="CL252">
        <f>IF(OR(CL170="",AND(CL170=CL169,CL170=CL171)),NA(), CL170)</f>
        <v>0</v>
      </c>
      <c r="CM252">
        <f>IF(ISNA(CN252),NA(),CM170)</f>
        <v>0</v>
      </c>
      <c r="CN252">
        <f>IF(OR(CN170="",AND(CN170=CN169,CN170=CN171)),NA(), CN170)</f>
        <v>0</v>
      </c>
      <c r="CO252">
        <f>IF(ISNA(CP252),NA(),CO170)</f>
        <v>0</v>
      </c>
      <c r="CP252">
        <f>IF(OR(CP170="",AND(CP170=CP169,CP170=CP171)),NA(), CP170)</f>
        <v>0</v>
      </c>
      <c r="CQ252">
        <f>IF(ISNA(CR252),NA(),CQ170)</f>
        <v>0</v>
      </c>
      <c r="CR252">
        <f>IF(OR(CR170="",AND(CR170=CR169,CR170=CR171)),NA(), CR170)</f>
        <v>0</v>
      </c>
      <c r="CS252">
        <f>IF(ISNA(CT252),NA(),CS170)</f>
        <v>0</v>
      </c>
      <c r="CT252">
        <f>IF(OR(CT170="",AND(CT170=CT169,CT170=CT171)),NA(), CT170)</f>
        <v>0</v>
      </c>
      <c r="CU252">
        <f>IF(ISNA(CV252),NA(),CU170)</f>
        <v>0</v>
      </c>
      <c r="CV252">
        <f>IF(OR(CV170="",AND(CV170=CV169,CV170=CV171)),NA(), CV170)</f>
        <v>0</v>
      </c>
      <c r="CW252">
        <f>IF(ISNA(CX252),NA(),CW170)</f>
        <v>0</v>
      </c>
      <c r="CX252">
        <f>IF(OR(CX170="",AND(CX170=CX169,CX170=CX171)),NA(), CX170)</f>
        <v>0</v>
      </c>
      <c r="CY252">
        <f>IF(ISNA(CZ252),NA(),CY170)</f>
        <v>0</v>
      </c>
      <c r="CZ252">
        <f>IF(OR(CZ170="",AND(CZ170=CZ169,CZ170=CZ171)),NA(), CZ170)</f>
        <v>0</v>
      </c>
      <c r="DA252">
        <f>IF(ISNA(DB252),NA(),DA170)</f>
        <v>0</v>
      </c>
      <c r="DB252">
        <f>IF(OR(DB170="",AND(DB170=DB169,DB170=DB171)),NA(), DB170)</f>
        <v>0</v>
      </c>
      <c r="DC252">
        <f>IF(ISNA(DD252),NA(),DC170)</f>
        <v>0</v>
      </c>
      <c r="DD252">
        <f>IF(OR(DD170="",AND(DD170=DD169,DD170=DD171)),NA(), DD170)</f>
        <v>0</v>
      </c>
      <c r="DE252">
        <f>IF(ISNA(DF252),NA(),DE170)</f>
        <v>0</v>
      </c>
      <c r="DF252">
        <f>IF(OR(DF170="",AND(DF170=DF169,DF170=DF171)),NA(), DF170)</f>
        <v>0</v>
      </c>
      <c r="DG252">
        <f>IF(ISNA(DH252),NA(),DG170)</f>
        <v>0</v>
      </c>
      <c r="DH252">
        <f>IF(OR(DH170="",AND(DH170=DH169,DH170=DH171)),NA(), DH170)</f>
        <v>0</v>
      </c>
      <c r="DI252">
        <f>IF(ISNA(DJ252),NA(),DI170)</f>
        <v>0</v>
      </c>
      <c r="DJ252">
        <f>IF(OR(DJ170="",AND(DJ170=DJ169,DJ170=DJ171)),NA(), DJ170)</f>
        <v>0</v>
      </c>
      <c r="DK252">
        <f>IF(ISNA(DL252),NA(),DK170)</f>
        <v>0</v>
      </c>
      <c r="DL252">
        <f>IF(OR(DL170="",AND(DL170=DL169,DL170=DL171)),NA(), DL170)</f>
        <v>0</v>
      </c>
      <c r="DM252">
        <f>IF(ISNA(DN252),NA(),DM170)</f>
        <v>0</v>
      </c>
      <c r="DN252">
        <f>IF(OR(DN170="",AND(DN170=DN169,DN170=DN171)),NA(), DN170)</f>
        <v>0</v>
      </c>
      <c r="DO252">
        <f>IF(ISNA(DP252),NA(),DO170)</f>
        <v>0</v>
      </c>
      <c r="DP252">
        <f>IF(OR(DP170="",AND(DP170=DP169,DP170=DP171)),NA(), DP170)</f>
        <v>0</v>
      </c>
      <c r="DQ252">
        <f>IF(ISNA(DR252),NA(),DQ170)</f>
        <v>0</v>
      </c>
      <c r="DR252">
        <f>IF(OR(DR170="",AND(DR170=DR169,DR170=DR171)),NA(), DR170)</f>
        <v>0</v>
      </c>
      <c r="DS252">
        <f>IF(ISNA(DT252),NA(),DS170)</f>
        <v>0</v>
      </c>
      <c r="DT252">
        <f>IF(OR(DT170="",AND(DT170=DT169,DT170=DT171)),NA(), DT170)</f>
        <v>0</v>
      </c>
      <c r="DU252">
        <f>IF(ISNA(DV252),NA(),DU170)</f>
        <v>0</v>
      </c>
      <c r="DV252">
        <f>IF(OR(DV170="",AND(DV170=DV169,DV170=DV171)),NA(), DV170)</f>
        <v>0</v>
      </c>
      <c r="DW252">
        <f>IF(ISNA(DX252),NA(),DW170)</f>
        <v>0</v>
      </c>
      <c r="DX252">
        <f>IF(OR(DX170="",AND(DX170=DX169,DX170=DX171)),NA(), DX170)</f>
        <v>0</v>
      </c>
      <c r="DY252">
        <f>IF(ISNA(DZ252),NA(),DY170)</f>
        <v>0</v>
      </c>
      <c r="DZ252">
        <f>IF(OR(DZ170="",AND(DZ170=DZ169,DZ170=DZ171)),NA(), DZ170)</f>
        <v>0</v>
      </c>
      <c r="EA252">
        <f>IF(ISNA(EB252),NA(),EA170)</f>
        <v>0</v>
      </c>
      <c r="EB252">
        <f>IF(OR(EB170="",AND(EB170=EB169,EB170=EB171)),NA(), EB170)</f>
        <v>0</v>
      </c>
      <c r="EC252">
        <f>IF(ISNA(ED252),NA(),EC170)</f>
        <v>0</v>
      </c>
      <c r="ED252">
        <f>IF(OR(ED170="",AND(ED170=ED169,ED170=ED171)),NA(), ED170)</f>
        <v>0</v>
      </c>
    </row>
    <row r="253" spans="5:134">
      <c r="E253">
        <f>IF(ISNA(F253),NA(),E171)</f>
        <v>0</v>
      </c>
      <c r="F253">
        <f>IF(OR(F171="",AND(F171=F170,F171=F172)),NA(), F171)</f>
        <v>0</v>
      </c>
      <c r="G253">
        <f>IF(ISNA(H253),NA(),G171)</f>
        <v>0</v>
      </c>
      <c r="H253">
        <f>IF(OR(H171="",AND(H171=H170,H171=H172)),NA(), H171)</f>
        <v>0</v>
      </c>
      <c r="I253">
        <f>IF(ISNA(J253),NA(),I171)</f>
        <v>0</v>
      </c>
      <c r="J253">
        <f>IF(OR(J171="",AND(J171=J170,J171=J172)),NA(), J171)</f>
        <v>0</v>
      </c>
      <c r="K253">
        <f>IF(ISNA(L253),NA(),K171)</f>
        <v>0</v>
      </c>
      <c r="L253">
        <f>IF(OR(L171="",AND(L171=L170,L171=L172)),NA(), L171)</f>
        <v>0</v>
      </c>
      <c r="M253">
        <f>IF(ISNA(N253),NA(),M171)</f>
        <v>0</v>
      </c>
      <c r="N253">
        <f>IF(OR(N171="",AND(N171=N170,N171=N172)),NA(), N171)</f>
        <v>0</v>
      </c>
      <c r="O253">
        <f>IF(ISNA(P253),NA(),O171)</f>
        <v>0</v>
      </c>
      <c r="P253">
        <f>IF(OR(P171="",AND(P171=P170,P171=P172)),NA(), P171)</f>
        <v>0</v>
      </c>
      <c r="Q253">
        <f>IF(ISNA(R253),NA(),Q171)</f>
        <v>0</v>
      </c>
      <c r="R253">
        <f>IF(OR(R171="",AND(R171=R170,R171=R172)),NA(), R171)</f>
        <v>0</v>
      </c>
      <c r="S253">
        <f>IF(ISNA(T253),NA(),S171)</f>
        <v>0</v>
      </c>
      <c r="T253">
        <f>IF(OR(T171="",AND(T171=T170,T171=T172)),NA(), T171)</f>
        <v>0</v>
      </c>
      <c r="U253">
        <f>IF(ISNA(V253),NA(),U171)</f>
        <v>0</v>
      </c>
      <c r="V253">
        <f>IF(OR(V171="",AND(V171=V170,V171=V172)),NA(), V171)</f>
        <v>0</v>
      </c>
      <c r="W253">
        <f>IF(ISNA(X253),NA(),W171)</f>
        <v>0</v>
      </c>
      <c r="X253">
        <f>IF(OR(X171="",AND(X171=X170,X171=X172)),NA(), X171)</f>
        <v>0</v>
      </c>
      <c r="Y253">
        <f>IF(ISNA(Z253),NA(),Y171)</f>
        <v>0</v>
      </c>
      <c r="Z253">
        <f>IF(OR(Z171="",AND(Z171=Z170,Z171=Z172)),NA(), Z171)</f>
        <v>0</v>
      </c>
      <c r="AA253">
        <f>IF(ISNA(AB253),NA(),AA171)</f>
        <v>0</v>
      </c>
      <c r="AB253">
        <f>IF(OR(AB171="",AND(AB171=AB170,AB171=AB172)),NA(), AB171)</f>
        <v>0</v>
      </c>
      <c r="AC253">
        <f>IF(ISNA(AD253),NA(),AC171)</f>
        <v>0</v>
      </c>
      <c r="AD253">
        <f>IF(OR(AD171="",AND(AD171=AD170,AD171=AD172)),NA(), AD171)</f>
        <v>0</v>
      </c>
      <c r="AE253">
        <f>IF(ISNA(AF253),NA(),AE171)</f>
        <v>0</v>
      </c>
      <c r="AF253">
        <f>IF(OR(AF171="",AND(AF171=AF170,AF171=AF172)),NA(), AF171)</f>
        <v>0</v>
      </c>
      <c r="AG253">
        <f>IF(ISNA(AH253),NA(),AG171)</f>
        <v>0</v>
      </c>
      <c r="AH253">
        <f>IF(OR(AH171="",AND(AH171=AH170,AH171=AH172)),NA(), AH171)</f>
        <v>0</v>
      </c>
      <c r="AI253">
        <f>IF(ISNA(AJ253),NA(),AI171)</f>
        <v>0</v>
      </c>
      <c r="AJ253">
        <f>IF(OR(AJ171="",AND(AJ171=AJ170,AJ171=AJ172)),NA(), AJ171)</f>
        <v>0</v>
      </c>
      <c r="AK253">
        <f>IF(ISNA(AL253),NA(),AK171)</f>
        <v>0</v>
      </c>
      <c r="AL253">
        <f>IF(OR(AL171="",AND(AL171=AL170,AL171=AL172)),NA(), AL171)</f>
        <v>0</v>
      </c>
      <c r="AM253">
        <f>IF(ISNA(AN253),NA(),AM171)</f>
        <v>0</v>
      </c>
      <c r="AN253">
        <f>IF(OR(AN171="",AND(AN171=AN170,AN171=AN172)),NA(), AN171)</f>
        <v>0</v>
      </c>
      <c r="AO253">
        <f>IF(ISNA(AP253),NA(),AO171)</f>
        <v>0</v>
      </c>
      <c r="AP253">
        <f>IF(OR(AP171="",AND(AP171=AP170,AP171=AP172)),NA(), AP171)</f>
        <v>0</v>
      </c>
      <c r="AQ253">
        <f>IF(ISNA(AR253),NA(),AQ171)</f>
        <v>0</v>
      </c>
      <c r="AR253">
        <f>IF(OR(AR171="",AND(AR171=AR170,AR171=AR172)),NA(), AR171)</f>
        <v>0</v>
      </c>
      <c r="AS253">
        <f>IF(ISNA(AT253),NA(),AS171)</f>
        <v>0</v>
      </c>
      <c r="AT253">
        <f>IF(OR(AT171="",AND(AT171=AT170,AT171=AT172)),NA(), AT171)</f>
        <v>0</v>
      </c>
      <c r="AU253">
        <f>IF(ISNA(AV253),NA(),AU171)</f>
        <v>0</v>
      </c>
      <c r="AV253">
        <f>IF(OR(AV171="",AND(AV171=AV170,AV171=AV172)),NA(), AV171)</f>
        <v>0</v>
      </c>
      <c r="AW253">
        <f>IF(ISNA(AX253),NA(),AW171)</f>
        <v>0</v>
      </c>
      <c r="AX253">
        <f>IF(OR(AX171="",AND(AX171=AX170,AX171=AX172)),NA(), AX171)</f>
        <v>0</v>
      </c>
      <c r="AY253">
        <f>IF(ISNA(AZ253),NA(),AY171)</f>
        <v>0</v>
      </c>
      <c r="AZ253">
        <f>IF(OR(AZ171="",AND(AZ171=AZ170,AZ171=AZ172)),NA(), AZ171)</f>
        <v>0</v>
      </c>
      <c r="BA253">
        <f>IF(ISNA(BB253),NA(),BA171)</f>
        <v>0</v>
      </c>
      <c r="BB253">
        <f>IF(OR(BB171="",AND(BB171=BB170,BB171=BB172)),NA(), BB171)</f>
        <v>0</v>
      </c>
      <c r="BC253">
        <f>IF(ISNA(BD253),NA(),BC171)</f>
        <v>0</v>
      </c>
      <c r="BD253">
        <f>IF(OR(BD171="",AND(BD171=BD170,BD171=BD172)),NA(), BD171)</f>
        <v>0</v>
      </c>
      <c r="BE253">
        <f>IF(ISNA(BF253),NA(),BE171)</f>
        <v>0</v>
      </c>
      <c r="BF253">
        <f>IF(OR(BF171="",AND(BF171=BF170,BF171=BF172)),NA(), BF171)</f>
        <v>0</v>
      </c>
      <c r="BG253">
        <f>IF(ISNA(BH253),NA(),BG171)</f>
        <v>0</v>
      </c>
      <c r="BH253">
        <f>IF(OR(BH171="",AND(BH171=BH170,BH171=BH172)),NA(), BH171)</f>
        <v>0</v>
      </c>
      <c r="BI253">
        <f>IF(ISNA(BJ253),NA(),BI171)</f>
        <v>0</v>
      </c>
      <c r="BJ253">
        <f>IF(OR(BJ171="",AND(BJ171=BJ170,BJ171=BJ172)),NA(), BJ171)</f>
        <v>0</v>
      </c>
      <c r="BK253">
        <f>IF(ISNA(BL253),NA(),BK171)</f>
        <v>0</v>
      </c>
      <c r="BL253">
        <f>IF(OR(BL171="",AND(BL171=BL170,BL171=BL172)),NA(), BL171)</f>
        <v>0</v>
      </c>
      <c r="BM253">
        <f>IF(ISNA(BN253),NA(),BM171)</f>
        <v>0</v>
      </c>
      <c r="BN253">
        <f>IF(OR(BN171="",AND(BN171=BN170,BN171=BN172)),NA(), BN171)</f>
        <v>0</v>
      </c>
      <c r="BO253">
        <f>IF(ISNA(BP253),NA(),BO171)</f>
        <v>0</v>
      </c>
      <c r="BP253">
        <f>IF(OR(BP171="",AND(BP171=BP170,BP171=BP172)),NA(), BP171)</f>
        <v>0</v>
      </c>
      <c r="BS253">
        <f>IF(ISNA(BT253),NA(),BS171)</f>
        <v>0</v>
      </c>
      <c r="BT253">
        <f>IF(OR(BT171="",AND(BT171=BT170,BT171=BT172)),NA(), BT171)</f>
        <v>0</v>
      </c>
      <c r="BU253">
        <f>IF(ISNA(BV253),NA(),BU171)</f>
        <v>0</v>
      </c>
      <c r="BV253">
        <f>IF(OR(BV171="",AND(BV171=BV170,BV171=BV172)),NA(), BV171)</f>
        <v>0</v>
      </c>
      <c r="BW253">
        <f>IF(ISNA(BX253),NA(),BW171)</f>
        <v>0</v>
      </c>
      <c r="BX253">
        <f>IF(OR(BX171="",AND(BX171=BX170,BX171=BX172)),NA(), BX171)</f>
        <v>0</v>
      </c>
      <c r="BY253">
        <f>IF(ISNA(BZ253),NA(),BY171)</f>
        <v>0</v>
      </c>
      <c r="BZ253">
        <f>IF(OR(BZ171="",AND(BZ171=BZ170,BZ171=BZ172)),NA(), BZ171)</f>
        <v>0</v>
      </c>
      <c r="CA253">
        <f>IF(ISNA(CB253),NA(),CA171)</f>
        <v>0</v>
      </c>
      <c r="CB253">
        <f>IF(OR(CB171="",AND(CB171=CB170,CB171=CB172)),NA(), CB171)</f>
        <v>0</v>
      </c>
      <c r="CC253">
        <f>IF(ISNA(CD253),NA(),CC171)</f>
        <v>0</v>
      </c>
      <c r="CD253">
        <f>IF(OR(CD171="",AND(CD171=CD170,CD171=CD172)),NA(), CD171)</f>
        <v>0</v>
      </c>
      <c r="CE253">
        <f>IF(ISNA(CF253),NA(),CE171)</f>
        <v>0</v>
      </c>
      <c r="CF253">
        <f>IF(OR(CF171="",AND(CF171=CF170,CF171=CF172)),NA(), CF171)</f>
        <v>0</v>
      </c>
      <c r="CG253">
        <f>IF(ISNA(CH253),NA(),CG171)</f>
        <v>0</v>
      </c>
      <c r="CH253">
        <f>IF(OR(CH171="",AND(CH171=CH170,CH171=CH172)),NA(), CH171)</f>
        <v>0</v>
      </c>
      <c r="CI253">
        <f>IF(ISNA(CJ253),NA(),CI171)</f>
        <v>0</v>
      </c>
      <c r="CJ253">
        <f>IF(OR(CJ171="",AND(CJ171=CJ170,CJ171=CJ172)),NA(), CJ171)</f>
        <v>0</v>
      </c>
      <c r="CK253">
        <f>IF(ISNA(CL253),NA(),CK171)</f>
        <v>0</v>
      </c>
      <c r="CL253">
        <f>IF(OR(CL171="",AND(CL171=CL170,CL171=CL172)),NA(), CL171)</f>
        <v>0</v>
      </c>
      <c r="CM253">
        <f>IF(ISNA(CN253),NA(),CM171)</f>
        <v>0</v>
      </c>
      <c r="CN253">
        <f>IF(OR(CN171="",AND(CN171=CN170,CN171=CN172)),NA(), CN171)</f>
        <v>0</v>
      </c>
      <c r="CO253">
        <f>IF(ISNA(CP253),NA(),CO171)</f>
        <v>0</v>
      </c>
      <c r="CP253">
        <f>IF(OR(CP171="",AND(CP171=CP170,CP171=CP172)),NA(), CP171)</f>
        <v>0</v>
      </c>
      <c r="CQ253">
        <f>IF(ISNA(CR253),NA(),CQ171)</f>
        <v>0</v>
      </c>
      <c r="CR253">
        <f>IF(OR(CR171="",AND(CR171=CR170,CR171=CR172)),NA(), CR171)</f>
        <v>0</v>
      </c>
      <c r="CS253">
        <f>IF(ISNA(CT253),NA(),CS171)</f>
        <v>0</v>
      </c>
      <c r="CT253">
        <f>IF(OR(CT171="",AND(CT171=CT170,CT171=CT172)),NA(), CT171)</f>
        <v>0</v>
      </c>
      <c r="CU253">
        <f>IF(ISNA(CV253),NA(),CU171)</f>
        <v>0</v>
      </c>
      <c r="CV253">
        <f>IF(OR(CV171="",AND(CV171=CV170,CV171=CV172)),NA(), CV171)</f>
        <v>0</v>
      </c>
      <c r="CW253">
        <f>IF(ISNA(CX253),NA(),CW171)</f>
        <v>0</v>
      </c>
      <c r="CX253">
        <f>IF(OR(CX171="",AND(CX171=CX170,CX171=CX172)),NA(), CX171)</f>
        <v>0</v>
      </c>
      <c r="CY253">
        <f>IF(ISNA(CZ253),NA(),CY171)</f>
        <v>0</v>
      </c>
      <c r="CZ253">
        <f>IF(OR(CZ171="",AND(CZ171=CZ170,CZ171=CZ172)),NA(), CZ171)</f>
        <v>0</v>
      </c>
      <c r="DA253">
        <f>IF(ISNA(DB253),NA(),DA171)</f>
        <v>0</v>
      </c>
      <c r="DB253">
        <f>IF(OR(DB171="",AND(DB171=DB170,DB171=DB172)),NA(), DB171)</f>
        <v>0</v>
      </c>
      <c r="DC253">
        <f>IF(ISNA(DD253),NA(),DC171)</f>
        <v>0</v>
      </c>
      <c r="DD253">
        <f>IF(OR(DD171="",AND(DD171=DD170,DD171=DD172)),NA(), DD171)</f>
        <v>0</v>
      </c>
      <c r="DE253">
        <f>IF(ISNA(DF253),NA(),DE171)</f>
        <v>0</v>
      </c>
      <c r="DF253">
        <f>IF(OR(DF171="",AND(DF171=DF170,DF171=DF172)),NA(), DF171)</f>
        <v>0</v>
      </c>
      <c r="DG253">
        <f>IF(ISNA(DH253),NA(),DG171)</f>
        <v>0</v>
      </c>
      <c r="DH253">
        <f>IF(OR(DH171="",AND(DH171=DH170,DH171=DH172)),NA(), DH171)</f>
        <v>0</v>
      </c>
      <c r="DI253">
        <f>IF(ISNA(DJ253),NA(),DI171)</f>
        <v>0</v>
      </c>
      <c r="DJ253">
        <f>IF(OR(DJ171="",AND(DJ171=DJ170,DJ171=DJ172)),NA(), DJ171)</f>
        <v>0</v>
      </c>
      <c r="DK253">
        <f>IF(ISNA(DL253),NA(),DK171)</f>
        <v>0</v>
      </c>
      <c r="DL253">
        <f>IF(OR(DL171="",AND(DL171=DL170,DL171=DL172)),NA(), DL171)</f>
        <v>0</v>
      </c>
      <c r="DM253">
        <f>IF(ISNA(DN253),NA(),DM171)</f>
        <v>0</v>
      </c>
      <c r="DN253">
        <f>IF(OR(DN171="",AND(DN171=DN170,DN171=DN172)),NA(), DN171)</f>
        <v>0</v>
      </c>
      <c r="DO253">
        <f>IF(ISNA(DP253),NA(),DO171)</f>
        <v>0</v>
      </c>
      <c r="DP253">
        <f>IF(OR(DP171="",AND(DP171=DP170,DP171=DP172)),NA(), DP171)</f>
        <v>0</v>
      </c>
      <c r="DQ253">
        <f>IF(ISNA(DR253),NA(),DQ171)</f>
        <v>0</v>
      </c>
      <c r="DR253">
        <f>IF(OR(DR171="",AND(DR171=DR170,DR171=DR172)),NA(), DR171)</f>
        <v>0</v>
      </c>
      <c r="DS253">
        <f>IF(ISNA(DT253),NA(),DS171)</f>
        <v>0</v>
      </c>
      <c r="DT253">
        <f>IF(OR(DT171="",AND(DT171=DT170,DT171=DT172)),NA(), DT171)</f>
        <v>0</v>
      </c>
      <c r="DU253">
        <f>IF(ISNA(DV253),NA(),DU171)</f>
        <v>0</v>
      </c>
      <c r="DV253">
        <f>IF(OR(DV171="",AND(DV171=DV170,DV171=DV172)),NA(), DV171)</f>
        <v>0</v>
      </c>
      <c r="DW253">
        <f>IF(ISNA(DX253),NA(),DW171)</f>
        <v>0</v>
      </c>
      <c r="DX253">
        <f>IF(OR(DX171="",AND(DX171=DX170,DX171=DX172)),NA(), DX171)</f>
        <v>0</v>
      </c>
      <c r="DY253">
        <f>IF(ISNA(DZ253),NA(),DY171)</f>
        <v>0</v>
      </c>
      <c r="DZ253">
        <f>IF(OR(DZ171="",AND(DZ171=DZ170,DZ171=DZ172)),NA(), DZ171)</f>
        <v>0</v>
      </c>
      <c r="EA253">
        <f>IF(ISNA(EB253),NA(),EA171)</f>
        <v>0</v>
      </c>
      <c r="EB253">
        <f>IF(OR(EB171="",AND(EB171=EB170,EB171=EB172)),NA(), EB171)</f>
        <v>0</v>
      </c>
      <c r="EC253">
        <f>IF(ISNA(ED253),NA(),EC171)</f>
        <v>0</v>
      </c>
      <c r="ED253">
        <f>IF(OR(ED171="",AND(ED171=ED170,ED171=ED172)),NA(), ED171)</f>
        <v>0</v>
      </c>
    </row>
    <row r="254" spans="5:134">
      <c r="E254">
        <f>IF(ISNA(F254),NA(),E172)</f>
        <v>0</v>
      </c>
      <c r="F254">
        <f>IF(OR(F172="",AND(F172=F171,F172=F173)),NA(), F172)</f>
        <v>0</v>
      </c>
      <c r="G254">
        <f>IF(ISNA(H254),NA(),G172)</f>
        <v>0</v>
      </c>
      <c r="H254">
        <f>IF(OR(H172="",AND(H172=H171,H172=H173)),NA(), H172)</f>
        <v>0</v>
      </c>
      <c r="I254">
        <f>IF(ISNA(J254),NA(),I172)</f>
        <v>0</v>
      </c>
      <c r="J254">
        <f>IF(OR(J172="",AND(J172=J171,J172=J173)),NA(), J172)</f>
        <v>0</v>
      </c>
      <c r="K254">
        <f>IF(ISNA(L254),NA(),K172)</f>
        <v>0</v>
      </c>
      <c r="L254">
        <f>IF(OR(L172="",AND(L172=L171,L172=L173)),NA(), L172)</f>
        <v>0</v>
      </c>
      <c r="M254">
        <f>IF(ISNA(N254),NA(),M172)</f>
        <v>0</v>
      </c>
      <c r="N254">
        <f>IF(OR(N172="",AND(N172=N171,N172=N173)),NA(), N172)</f>
        <v>0</v>
      </c>
      <c r="O254">
        <f>IF(ISNA(P254),NA(),O172)</f>
        <v>0</v>
      </c>
      <c r="P254">
        <f>IF(OR(P172="",AND(P172=P171,P172=P173)),NA(), P172)</f>
        <v>0</v>
      </c>
      <c r="Q254">
        <f>IF(ISNA(R254),NA(),Q172)</f>
        <v>0</v>
      </c>
      <c r="R254">
        <f>IF(OR(R172="",AND(R172=R171,R172=R173)),NA(), R172)</f>
        <v>0</v>
      </c>
      <c r="S254">
        <f>IF(ISNA(T254),NA(),S172)</f>
        <v>0</v>
      </c>
      <c r="T254">
        <f>IF(OR(T172="",AND(T172=T171,T172=T173)),NA(), T172)</f>
        <v>0</v>
      </c>
      <c r="U254">
        <f>IF(ISNA(V254),NA(),U172)</f>
        <v>0</v>
      </c>
      <c r="V254">
        <f>IF(OR(V172="",AND(V172=V171,V172=V173)),NA(), V172)</f>
        <v>0</v>
      </c>
      <c r="W254">
        <f>IF(ISNA(X254),NA(),W172)</f>
        <v>0</v>
      </c>
      <c r="X254">
        <f>IF(OR(X172="",AND(X172=X171,X172=X173)),NA(), X172)</f>
        <v>0</v>
      </c>
      <c r="Y254">
        <f>IF(ISNA(Z254),NA(),Y172)</f>
        <v>0</v>
      </c>
      <c r="Z254">
        <f>IF(OR(Z172="",AND(Z172=Z171,Z172=Z173)),NA(), Z172)</f>
        <v>0</v>
      </c>
      <c r="AA254">
        <f>IF(ISNA(AB254),NA(),AA172)</f>
        <v>0</v>
      </c>
      <c r="AB254">
        <f>IF(OR(AB172="",AND(AB172=AB171,AB172=AB173)),NA(), AB172)</f>
        <v>0</v>
      </c>
      <c r="AC254">
        <f>IF(ISNA(AD254),NA(),AC172)</f>
        <v>0</v>
      </c>
      <c r="AD254">
        <f>IF(OR(AD172="",AND(AD172=AD171,AD172=AD173)),NA(), AD172)</f>
        <v>0</v>
      </c>
      <c r="AE254">
        <f>IF(ISNA(AF254),NA(),AE172)</f>
        <v>0</v>
      </c>
      <c r="AF254">
        <f>IF(OR(AF172="",AND(AF172=AF171,AF172=AF173)),NA(), AF172)</f>
        <v>0</v>
      </c>
      <c r="AG254">
        <f>IF(ISNA(AH254),NA(),AG172)</f>
        <v>0</v>
      </c>
      <c r="AH254">
        <f>IF(OR(AH172="",AND(AH172=AH171,AH172=AH173)),NA(), AH172)</f>
        <v>0</v>
      </c>
      <c r="AI254">
        <f>IF(ISNA(AJ254),NA(),AI172)</f>
        <v>0</v>
      </c>
      <c r="AJ254">
        <f>IF(OR(AJ172="",AND(AJ172=AJ171,AJ172=AJ173)),NA(), AJ172)</f>
        <v>0</v>
      </c>
      <c r="AK254">
        <f>IF(ISNA(AL254),NA(),AK172)</f>
        <v>0</v>
      </c>
      <c r="AL254">
        <f>IF(OR(AL172="",AND(AL172=AL171,AL172=AL173)),NA(), AL172)</f>
        <v>0</v>
      </c>
      <c r="AM254">
        <f>IF(ISNA(AN254),NA(),AM172)</f>
        <v>0</v>
      </c>
      <c r="AN254">
        <f>IF(OR(AN172="",AND(AN172=AN171,AN172=AN173)),NA(), AN172)</f>
        <v>0</v>
      </c>
      <c r="AO254">
        <f>IF(ISNA(AP254),NA(),AO172)</f>
        <v>0</v>
      </c>
      <c r="AP254">
        <f>IF(OR(AP172="",AND(AP172=AP171,AP172=AP173)),NA(), AP172)</f>
        <v>0</v>
      </c>
      <c r="AQ254">
        <f>IF(ISNA(AR254),NA(),AQ172)</f>
        <v>0</v>
      </c>
      <c r="AR254">
        <f>IF(OR(AR172="",AND(AR172=AR171,AR172=AR173)),NA(), AR172)</f>
        <v>0</v>
      </c>
      <c r="AS254">
        <f>IF(ISNA(AT254),NA(),AS172)</f>
        <v>0</v>
      </c>
      <c r="AT254">
        <f>IF(OR(AT172="",AND(AT172=AT171,AT172=AT173)),NA(), AT172)</f>
        <v>0</v>
      </c>
      <c r="AU254">
        <f>IF(ISNA(AV254),NA(),AU172)</f>
        <v>0</v>
      </c>
      <c r="AV254">
        <f>IF(OR(AV172="",AND(AV172=AV171,AV172=AV173)),NA(), AV172)</f>
        <v>0</v>
      </c>
      <c r="AW254">
        <f>IF(ISNA(AX254),NA(),AW172)</f>
        <v>0</v>
      </c>
      <c r="AX254">
        <f>IF(OR(AX172="",AND(AX172=AX171,AX172=AX173)),NA(), AX172)</f>
        <v>0</v>
      </c>
      <c r="AY254">
        <f>IF(ISNA(AZ254),NA(),AY172)</f>
        <v>0</v>
      </c>
      <c r="AZ254">
        <f>IF(OR(AZ172="",AND(AZ172=AZ171,AZ172=AZ173)),NA(), AZ172)</f>
        <v>0</v>
      </c>
      <c r="BA254">
        <f>IF(ISNA(BB254),NA(),BA172)</f>
        <v>0</v>
      </c>
      <c r="BB254">
        <f>IF(OR(BB172="",AND(BB172=BB171,BB172=BB173)),NA(), BB172)</f>
        <v>0</v>
      </c>
      <c r="BC254">
        <f>IF(ISNA(BD254),NA(),BC172)</f>
        <v>0</v>
      </c>
      <c r="BD254">
        <f>IF(OR(BD172="",AND(BD172=BD171,BD172=BD173)),NA(), BD172)</f>
        <v>0</v>
      </c>
      <c r="BE254">
        <f>IF(ISNA(BF254),NA(),BE172)</f>
        <v>0</v>
      </c>
      <c r="BF254">
        <f>IF(OR(BF172="",AND(BF172=BF171,BF172=BF173)),NA(), BF172)</f>
        <v>0</v>
      </c>
      <c r="BG254">
        <f>IF(ISNA(BH254),NA(),BG172)</f>
        <v>0</v>
      </c>
      <c r="BH254">
        <f>IF(OR(BH172="",AND(BH172=BH171,BH172=BH173)),NA(), BH172)</f>
        <v>0</v>
      </c>
      <c r="BI254">
        <f>IF(ISNA(BJ254),NA(),BI172)</f>
        <v>0</v>
      </c>
      <c r="BJ254">
        <f>IF(OR(BJ172="",AND(BJ172=BJ171,BJ172=BJ173)),NA(), BJ172)</f>
        <v>0</v>
      </c>
      <c r="BK254">
        <f>IF(ISNA(BL254),NA(),BK172)</f>
        <v>0</v>
      </c>
      <c r="BL254">
        <f>IF(OR(BL172="",AND(BL172=BL171,BL172=BL173)),NA(), BL172)</f>
        <v>0</v>
      </c>
      <c r="BM254">
        <f>IF(ISNA(BN254),NA(),BM172)</f>
        <v>0</v>
      </c>
      <c r="BN254">
        <f>IF(OR(BN172="",AND(BN172=BN171,BN172=BN173)),NA(), BN172)</f>
        <v>0</v>
      </c>
      <c r="BO254">
        <f>IF(ISNA(BP254),NA(),BO172)</f>
        <v>0</v>
      </c>
      <c r="BP254">
        <f>IF(OR(BP172="",AND(BP172=BP171,BP172=BP173)),NA(), BP172)</f>
        <v>0</v>
      </c>
      <c r="BS254">
        <f>IF(ISNA(BT254),NA(),BS172)</f>
        <v>0</v>
      </c>
      <c r="BT254">
        <f>IF(OR(BT172="",AND(BT172=BT171,BT172=BT173)),NA(), BT172)</f>
        <v>0</v>
      </c>
      <c r="BU254">
        <f>IF(ISNA(BV254),NA(),BU172)</f>
        <v>0</v>
      </c>
      <c r="BV254">
        <f>IF(OR(BV172="",AND(BV172=BV171,BV172=BV173)),NA(), BV172)</f>
        <v>0</v>
      </c>
      <c r="BW254">
        <f>IF(ISNA(BX254),NA(),BW172)</f>
        <v>0</v>
      </c>
      <c r="BX254">
        <f>IF(OR(BX172="",AND(BX172=BX171,BX172=BX173)),NA(), BX172)</f>
        <v>0</v>
      </c>
      <c r="BY254">
        <f>IF(ISNA(BZ254),NA(),BY172)</f>
        <v>0</v>
      </c>
      <c r="BZ254">
        <f>IF(OR(BZ172="",AND(BZ172=BZ171,BZ172=BZ173)),NA(), BZ172)</f>
        <v>0</v>
      </c>
      <c r="CA254">
        <f>IF(ISNA(CB254),NA(),CA172)</f>
        <v>0</v>
      </c>
      <c r="CB254">
        <f>IF(OR(CB172="",AND(CB172=CB171,CB172=CB173)),NA(), CB172)</f>
        <v>0</v>
      </c>
      <c r="CC254">
        <f>IF(ISNA(CD254),NA(),CC172)</f>
        <v>0</v>
      </c>
      <c r="CD254">
        <f>IF(OR(CD172="",AND(CD172=CD171,CD172=CD173)),NA(), CD172)</f>
        <v>0</v>
      </c>
      <c r="CE254">
        <f>IF(ISNA(CF254),NA(),CE172)</f>
        <v>0</v>
      </c>
      <c r="CF254">
        <f>IF(OR(CF172="",AND(CF172=CF171,CF172=CF173)),NA(), CF172)</f>
        <v>0</v>
      </c>
      <c r="CG254">
        <f>IF(ISNA(CH254),NA(),CG172)</f>
        <v>0</v>
      </c>
      <c r="CH254">
        <f>IF(OR(CH172="",AND(CH172=CH171,CH172=CH173)),NA(), CH172)</f>
        <v>0</v>
      </c>
      <c r="CI254">
        <f>IF(ISNA(CJ254),NA(),CI172)</f>
        <v>0</v>
      </c>
      <c r="CJ254">
        <f>IF(OR(CJ172="",AND(CJ172=CJ171,CJ172=CJ173)),NA(), CJ172)</f>
        <v>0</v>
      </c>
      <c r="CK254">
        <f>IF(ISNA(CL254),NA(),CK172)</f>
        <v>0</v>
      </c>
      <c r="CL254">
        <f>IF(OR(CL172="",AND(CL172=CL171,CL172=CL173)),NA(), CL172)</f>
        <v>0</v>
      </c>
      <c r="CM254">
        <f>IF(ISNA(CN254),NA(),CM172)</f>
        <v>0</v>
      </c>
      <c r="CN254">
        <f>IF(OR(CN172="",AND(CN172=CN171,CN172=CN173)),NA(), CN172)</f>
        <v>0</v>
      </c>
      <c r="CO254">
        <f>IF(ISNA(CP254),NA(),CO172)</f>
        <v>0</v>
      </c>
      <c r="CP254">
        <f>IF(OR(CP172="",AND(CP172=CP171,CP172=CP173)),NA(), CP172)</f>
        <v>0</v>
      </c>
      <c r="CQ254">
        <f>IF(ISNA(CR254),NA(),CQ172)</f>
        <v>0</v>
      </c>
      <c r="CR254">
        <f>IF(OR(CR172="",AND(CR172=CR171,CR172=CR173)),NA(), CR172)</f>
        <v>0</v>
      </c>
      <c r="CS254">
        <f>IF(ISNA(CT254),NA(),CS172)</f>
        <v>0</v>
      </c>
      <c r="CT254">
        <f>IF(OR(CT172="",AND(CT172=CT171,CT172=CT173)),NA(), CT172)</f>
        <v>0</v>
      </c>
      <c r="CU254">
        <f>IF(ISNA(CV254),NA(),CU172)</f>
        <v>0</v>
      </c>
      <c r="CV254">
        <f>IF(OR(CV172="",AND(CV172=CV171,CV172=CV173)),NA(), CV172)</f>
        <v>0</v>
      </c>
      <c r="CW254">
        <f>IF(ISNA(CX254),NA(),CW172)</f>
        <v>0</v>
      </c>
      <c r="CX254">
        <f>IF(OR(CX172="",AND(CX172=CX171,CX172=CX173)),NA(), CX172)</f>
        <v>0</v>
      </c>
      <c r="CY254">
        <f>IF(ISNA(CZ254),NA(),CY172)</f>
        <v>0</v>
      </c>
      <c r="CZ254">
        <f>IF(OR(CZ172="",AND(CZ172=CZ171,CZ172=CZ173)),NA(), CZ172)</f>
        <v>0</v>
      </c>
      <c r="DA254">
        <f>IF(ISNA(DB254),NA(),DA172)</f>
        <v>0</v>
      </c>
      <c r="DB254">
        <f>IF(OR(DB172="",AND(DB172=DB171,DB172=DB173)),NA(), DB172)</f>
        <v>0</v>
      </c>
      <c r="DC254">
        <f>IF(ISNA(DD254),NA(),DC172)</f>
        <v>0</v>
      </c>
      <c r="DD254">
        <f>IF(OR(DD172="",AND(DD172=DD171,DD172=DD173)),NA(), DD172)</f>
        <v>0</v>
      </c>
      <c r="DE254">
        <f>IF(ISNA(DF254),NA(),DE172)</f>
        <v>0</v>
      </c>
      <c r="DF254">
        <f>IF(OR(DF172="",AND(DF172=DF171,DF172=DF173)),NA(), DF172)</f>
        <v>0</v>
      </c>
      <c r="DG254">
        <f>IF(ISNA(DH254),NA(),DG172)</f>
        <v>0</v>
      </c>
      <c r="DH254">
        <f>IF(OR(DH172="",AND(DH172=DH171,DH172=DH173)),NA(), DH172)</f>
        <v>0</v>
      </c>
      <c r="DI254">
        <f>IF(ISNA(DJ254),NA(),DI172)</f>
        <v>0</v>
      </c>
      <c r="DJ254">
        <f>IF(OR(DJ172="",AND(DJ172=DJ171,DJ172=DJ173)),NA(), DJ172)</f>
        <v>0</v>
      </c>
      <c r="DK254">
        <f>IF(ISNA(DL254),NA(),DK172)</f>
        <v>0</v>
      </c>
      <c r="DL254">
        <f>IF(OR(DL172="",AND(DL172=DL171,DL172=DL173)),NA(), DL172)</f>
        <v>0</v>
      </c>
      <c r="DM254">
        <f>IF(ISNA(DN254),NA(),DM172)</f>
        <v>0</v>
      </c>
      <c r="DN254">
        <f>IF(OR(DN172="",AND(DN172=DN171,DN172=DN173)),NA(), DN172)</f>
        <v>0</v>
      </c>
      <c r="DO254">
        <f>IF(ISNA(DP254),NA(),DO172)</f>
        <v>0</v>
      </c>
      <c r="DP254">
        <f>IF(OR(DP172="",AND(DP172=DP171,DP172=DP173)),NA(), DP172)</f>
        <v>0</v>
      </c>
      <c r="DQ254">
        <f>IF(ISNA(DR254),NA(),DQ172)</f>
        <v>0</v>
      </c>
      <c r="DR254">
        <f>IF(OR(DR172="",AND(DR172=DR171,DR172=DR173)),NA(), DR172)</f>
        <v>0</v>
      </c>
      <c r="DS254">
        <f>IF(ISNA(DT254),NA(),DS172)</f>
        <v>0</v>
      </c>
      <c r="DT254">
        <f>IF(OR(DT172="",AND(DT172=DT171,DT172=DT173)),NA(), DT172)</f>
        <v>0</v>
      </c>
      <c r="DU254">
        <f>IF(ISNA(DV254),NA(),DU172)</f>
        <v>0</v>
      </c>
      <c r="DV254">
        <f>IF(OR(DV172="",AND(DV172=DV171,DV172=DV173)),NA(), DV172)</f>
        <v>0</v>
      </c>
      <c r="DW254">
        <f>IF(ISNA(DX254),NA(),DW172)</f>
        <v>0</v>
      </c>
      <c r="DX254">
        <f>IF(OR(DX172="",AND(DX172=DX171,DX172=DX173)),NA(), DX172)</f>
        <v>0</v>
      </c>
      <c r="DY254">
        <f>IF(ISNA(DZ254),NA(),DY172)</f>
        <v>0</v>
      </c>
      <c r="DZ254">
        <f>IF(OR(DZ172="",AND(DZ172=DZ171,DZ172=DZ173)),NA(), DZ172)</f>
        <v>0</v>
      </c>
      <c r="EA254">
        <f>IF(ISNA(EB254),NA(),EA172)</f>
        <v>0</v>
      </c>
      <c r="EB254">
        <f>IF(OR(EB172="",AND(EB172=EB171,EB172=EB173)),NA(), EB172)</f>
        <v>0</v>
      </c>
      <c r="EC254">
        <f>IF(ISNA(ED254),NA(),EC172)</f>
        <v>0</v>
      </c>
      <c r="ED254">
        <f>IF(OR(ED172="",AND(ED172=ED171,ED172=ED173)),NA(), ED172)</f>
        <v>0</v>
      </c>
    </row>
    <row r="255" spans="5:134">
      <c r="E255">
        <f>IF(ISNA(F255),NA(),E173)</f>
        <v>0</v>
      </c>
      <c r="F255">
        <f>IF(OR(F173="",AND(F173=F172,F173=F174)),NA(), F173)</f>
        <v>0</v>
      </c>
      <c r="G255">
        <f>IF(ISNA(H255),NA(),G173)</f>
        <v>0</v>
      </c>
      <c r="H255">
        <f>IF(OR(H173="",AND(H173=H172,H173=H174)),NA(), H173)</f>
        <v>0</v>
      </c>
      <c r="I255">
        <f>IF(ISNA(J255),NA(),I173)</f>
        <v>0</v>
      </c>
      <c r="J255">
        <f>IF(OR(J173="",AND(J173=J172,J173=J174)),NA(), J173)</f>
        <v>0</v>
      </c>
      <c r="K255">
        <f>IF(ISNA(L255),NA(),K173)</f>
        <v>0</v>
      </c>
      <c r="L255">
        <f>IF(OR(L173="",AND(L173=L172,L173=L174)),NA(), L173)</f>
        <v>0</v>
      </c>
      <c r="M255">
        <f>IF(ISNA(N255),NA(),M173)</f>
        <v>0</v>
      </c>
      <c r="N255">
        <f>IF(OR(N173="",AND(N173=N172,N173=N174)),NA(), N173)</f>
        <v>0</v>
      </c>
      <c r="O255">
        <f>IF(ISNA(P255),NA(),O173)</f>
        <v>0</v>
      </c>
      <c r="P255">
        <f>IF(OR(P173="",AND(P173=P172,P173=P174)),NA(), P173)</f>
        <v>0</v>
      </c>
      <c r="Q255">
        <f>IF(ISNA(R255),NA(),Q173)</f>
        <v>0</v>
      </c>
      <c r="R255">
        <f>IF(OR(R173="",AND(R173=R172,R173=R174)),NA(), R173)</f>
        <v>0</v>
      </c>
      <c r="S255">
        <f>IF(ISNA(T255),NA(),S173)</f>
        <v>0</v>
      </c>
      <c r="T255">
        <f>IF(OR(T173="",AND(T173=T172,T173=T174)),NA(), T173)</f>
        <v>0</v>
      </c>
      <c r="U255">
        <f>IF(ISNA(V255),NA(),U173)</f>
        <v>0</v>
      </c>
      <c r="V255">
        <f>IF(OR(V173="",AND(V173=V172,V173=V174)),NA(), V173)</f>
        <v>0</v>
      </c>
      <c r="W255">
        <f>IF(ISNA(X255),NA(),W173)</f>
        <v>0</v>
      </c>
      <c r="X255">
        <f>IF(OR(X173="",AND(X173=X172,X173=X174)),NA(), X173)</f>
        <v>0</v>
      </c>
      <c r="Y255">
        <f>IF(ISNA(Z255),NA(),Y173)</f>
        <v>0</v>
      </c>
      <c r="Z255">
        <f>IF(OR(Z173="",AND(Z173=Z172,Z173=Z174)),NA(), Z173)</f>
        <v>0</v>
      </c>
      <c r="AA255">
        <f>IF(ISNA(AB255),NA(),AA173)</f>
        <v>0</v>
      </c>
      <c r="AB255">
        <f>IF(OR(AB173="",AND(AB173=AB172,AB173=AB174)),NA(), AB173)</f>
        <v>0</v>
      </c>
      <c r="AC255">
        <f>IF(ISNA(AD255),NA(),AC173)</f>
        <v>0</v>
      </c>
      <c r="AD255">
        <f>IF(OR(AD173="",AND(AD173=AD172,AD173=AD174)),NA(), AD173)</f>
        <v>0</v>
      </c>
      <c r="AE255">
        <f>IF(ISNA(AF255),NA(),AE173)</f>
        <v>0</v>
      </c>
      <c r="AF255">
        <f>IF(OR(AF173="",AND(AF173=AF172,AF173=AF174)),NA(), AF173)</f>
        <v>0</v>
      </c>
      <c r="AG255">
        <f>IF(ISNA(AH255),NA(),AG173)</f>
        <v>0</v>
      </c>
      <c r="AH255">
        <f>IF(OR(AH173="",AND(AH173=AH172,AH173=AH174)),NA(), AH173)</f>
        <v>0</v>
      </c>
      <c r="AI255">
        <f>IF(ISNA(AJ255),NA(),AI173)</f>
        <v>0</v>
      </c>
      <c r="AJ255">
        <f>IF(OR(AJ173="",AND(AJ173=AJ172,AJ173=AJ174)),NA(), AJ173)</f>
        <v>0</v>
      </c>
      <c r="AK255">
        <f>IF(ISNA(AL255),NA(),AK173)</f>
        <v>0</v>
      </c>
      <c r="AL255">
        <f>IF(OR(AL173="",AND(AL173=AL172,AL173=AL174)),NA(), AL173)</f>
        <v>0</v>
      </c>
      <c r="AM255">
        <f>IF(ISNA(AN255),NA(),AM173)</f>
        <v>0</v>
      </c>
      <c r="AN255">
        <f>IF(OR(AN173="",AND(AN173=AN172,AN173=AN174)),NA(), AN173)</f>
        <v>0</v>
      </c>
      <c r="AO255">
        <f>IF(ISNA(AP255),NA(),AO173)</f>
        <v>0</v>
      </c>
      <c r="AP255">
        <f>IF(OR(AP173="",AND(AP173=AP172,AP173=AP174)),NA(), AP173)</f>
        <v>0</v>
      </c>
      <c r="AQ255">
        <f>IF(ISNA(AR255),NA(),AQ173)</f>
        <v>0</v>
      </c>
      <c r="AR255">
        <f>IF(OR(AR173="",AND(AR173=AR172,AR173=AR174)),NA(), AR173)</f>
        <v>0</v>
      </c>
      <c r="AS255">
        <f>IF(ISNA(AT255),NA(),AS173)</f>
        <v>0</v>
      </c>
      <c r="AT255">
        <f>IF(OR(AT173="",AND(AT173=AT172,AT173=AT174)),NA(), AT173)</f>
        <v>0</v>
      </c>
      <c r="AU255">
        <f>IF(ISNA(AV255),NA(),AU173)</f>
        <v>0</v>
      </c>
      <c r="AV255">
        <f>IF(OR(AV173="",AND(AV173=AV172,AV173=AV174)),NA(), AV173)</f>
        <v>0</v>
      </c>
      <c r="AW255">
        <f>IF(ISNA(AX255),NA(),AW173)</f>
        <v>0</v>
      </c>
      <c r="AX255">
        <f>IF(OR(AX173="",AND(AX173=AX172,AX173=AX174)),NA(), AX173)</f>
        <v>0</v>
      </c>
      <c r="AY255">
        <f>IF(ISNA(AZ255),NA(),AY173)</f>
        <v>0</v>
      </c>
      <c r="AZ255">
        <f>IF(OR(AZ173="",AND(AZ173=AZ172,AZ173=AZ174)),NA(), AZ173)</f>
        <v>0</v>
      </c>
      <c r="BA255">
        <f>IF(ISNA(BB255),NA(),BA173)</f>
        <v>0</v>
      </c>
      <c r="BB255">
        <f>IF(OR(BB173="",AND(BB173=BB172,BB173=BB174)),NA(), BB173)</f>
        <v>0</v>
      </c>
      <c r="BC255">
        <f>IF(ISNA(BD255),NA(),BC173)</f>
        <v>0</v>
      </c>
      <c r="BD255">
        <f>IF(OR(BD173="",AND(BD173=BD172,BD173=BD174)),NA(), BD173)</f>
        <v>0</v>
      </c>
      <c r="BE255">
        <f>IF(ISNA(BF255),NA(),BE173)</f>
        <v>0</v>
      </c>
      <c r="BF255">
        <f>IF(OR(BF173="",AND(BF173=BF172,BF173=BF174)),NA(), BF173)</f>
        <v>0</v>
      </c>
      <c r="BG255">
        <f>IF(ISNA(BH255),NA(),BG173)</f>
        <v>0</v>
      </c>
      <c r="BH255">
        <f>IF(OR(BH173="",AND(BH173=BH172,BH173=BH174)),NA(), BH173)</f>
        <v>0</v>
      </c>
      <c r="BI255">
        <f>IF(ISNA(BJ255),NA(),BI173)</f>
        <v>0</v>
      </c>
      <c r="BJ255">
        <f>IF(OR(BJ173="",AND(BJ173=BJ172,BJ173=BJ174)),NA(), BJ173)</f>
        <v>0</v>
      </c>
      <c r="BK255">
        <f>IF(ISNA(BL255),NA(),BK173)</f>
        <v>0</v>
      </c>
      <c r="BL255">
        <f>IF(OR(BL173="",AND(BL173=BL172,BL173=BL174)),NA(), BL173)</f>
        <v>0</v>
      </c>
      <c r="BM255">
        <f>IF(ISNA(BN255),NA(),BM173)</f>
        <v>0</v>
      </c>
      <c r="BN255">
        <f>IF(OR(BN173="",AND(BN173=BN172,BN173=BN174)),NA(), BN173)</f>
        <v>0</v>
      </c>
      <c r="BO255">
        <f>IF(ISNA(BP255),NA(),BO173)</f>
        <v>0</v>
      </c>
      <c r="BP255">
        <f>IF(OR(BP173="",AND(BP173=BP172,BP173=BP174)),NA(), BP173)</f>
        <v>0</v>
      </c>
      <c r="BS255">
        <f>IF(ISNA(BT255),NA(),BS173)</f>
        <v>0</v>
      </c>
      <c r="BT255">
        <f>IF(OR(BT173="",AND(BT173=BT172,BT173=BT174)),NA(), BT173)</f>
        <v>0</v>
      </c>
      <c r="BU255">
        <f>IF(ISNA(BV255),NA(),BU173)</f>
        <v>0</v>
      </c>
      <c r="BV255">
        <f>IF(OR(BV173="",AND(BV173=BV172,BV173=BV174)),NA(), BV173)</f>
        <v>0</v>
      </c>
      <c r="BW255">
        <f>IF(ISNA(BX255),NA(),BW173)</f>
        <v>0</v>
      </c>
      <c r="BX255">
        <f>IF(OR(BX173="",AND(BX173=BX172,BX173=BX174)),NA(), BX173)</f>
        <v>0</v>
      </c>
      <c r="BY255">
        <f>IF(ISNA(BZ255),NA(),BY173)</f>
        <v>0</v>
      </c>
      <c r="BZ255">
        <f>IF(OR(BZ173="",AND(BZ173=BZ172,BZ173=BZ174)),NA(), BZ173)</f>
        <v>0</v>
      </c>
      <c r="CA255">
        <f>IF(ISNA(CB255),NA(),CA173)</f>
        <v>0</v>
      </c>
      <c r="CB255">
        <f>IF(OR(CB173="",AND(CB173=CB172,CB173=CB174)),NA(), CB173)</f>
        <v>0</v>
      </c>
      <c r="CC255">
        <f>IF(ISNA(CD255),NA(),CC173)</f>
        <v>0</v>
      </c>
      <c r="CD255">
        <f>IF(OR(CD173="",AND(CD173=CD172,CD173=CD174)),NA(), CD173)</f>
        <v>0</v>
      </c>
      <c r="CE255">
        <f>IF(ISNA(CF255),NA(),CE173)</f>
        <v>0</v>
      </c>
      <c r="CF255">
        <f>IF(OR(CF173="",AND(CF173=CF172,CF173=CF174)),NA(), CF173)</f>
        <v>0</v>
      </c>
      <c r="CG255">
        <f>IF(ISNA(CH255),NA(),CG173)</f>
        <v>0</v>
      </c>
      <c r="CH255">
        <f>IF(OR(CH173="",AND(CH173=CH172,CH173=CH174)),NA(), CH173)</f>
        <v>0</v>
      </c>
      <c r="CI255">
        <f>IF(ISNA(CJ255),NA(),CI173)</f>
        <v>0</v>
      </c>
      <c r="CJ255">
        <f>IF(OR(CJ173="",AND(CJ173=CJ172,CJ173=CJ174)),NA(), CJ173)</f>
        <v>0</v>
      </c>
      <c r="CK255">
        <f>IF(ISNA(CL255),NA(),CK173)</f>
        <v>0</v>
      </c>
      <c r="CL255">
        <f>IF(OR(CL173="",AND(CL173=CL172,CL173=CL174)),NA(), CL173)</f>
        <v>0</v>
      </c>
      <c r="CM255">
        <f>IF(ISNA(CN255),NA(),CM173)</f>
        <v>0</v>
      </c>
      <c r="CN255">
        <f>IF(OR(CN173="",AND(CN173=CN172,CN173=CN174)),NA(), CN173)</f>
        <v>0</v>
      </c>
      <c r="CO255">
        <f>IF(ISNA(CP255),NA(),CO173)</f>
        <v>0</v>
      </c>
      <c r="CP255">
        <f>IF(OR(CP173="",AND(CP173=CP172,CP173=CP174)),NA(), CP173)</f>
        <v>0</v>
      </c>
      <c r="CQ255">
        <f>IF(ISNA(CR255),NA(),CQ173)</f>
        <v>0</v>
      </c>
      <c r="CR255">
        <f>IF(OR(CR173="",AND(CR173=CR172,CR173=CR174)),NA(), CR173)</f>
        <v>0</v>
      </c>
      <c r="CS255">
        <f>IF(ISNA(CT255),NA(),CS173)</f>
        <v>0</v>
      </c>
      <c r="CT255">
        <f>IF(OR(CT173="",AND(CT173=CT172,CT173=CT174)),NA(), CT173)</f>
        <v>0</v>
      </c>
      <c r="CU255">
        <f>IF(ISNA(CV255),NA(),CU173)</f>
        <v>0</v>
      </c>
      <c r="CV255">
        <f>IF(OR(CV173="",AND(CV173=CV172,CV173=CV174)),NA(), CV173)</f>
        <v>0</v>
      </c>
      <c r="CW255">
        <f>IF(ISNA(CX255),NA(),CW173)</f>
        <v>0</v>
      </c>
      <c r="CX255">
        <f>IF(OR(CX173="",AND(CX173=CX172,CX173=CX174)),NA(), CX173)</f>
        <v>0</v>
      </c>
      <c r="CY255">
        <f>IF(ISNA(CZ255),NA(),CY173)</f>
        <v>0</v>
      </c>
      <c r="CZ255">
        <f>IF(OR(CZ173="",AND(CZ173=CZ172,CZ173=CZ174)),NA(), CZ173)</f>
        <v>0</v>
      </c>
      <c r="DA255">
        <f>IF(ISNA(DB255),NA(),DA173)</f>
        <v>0</v>
      </c>
      <c r="DB255">
        <f>IF(OR(DB173="",AND(DB173=DB172,DB173=DB174)),NA(), DB173)</f>
        <v>0</v>
      </c>
      <c r="DC255">
        <f>IF(ISNA(DD255),NA(),DC173)</f>
        <v>0</v>
      </c>
      <c r="DD255">
        <f>IF(OR(DD173="",AND(DD173=DD172,DD173=DD174)),NA(), DD173)</f>
        <v>0</v>
      </c>
      <c r="DE255">
        <f>IF(ISNA(DF255),NA(),DE173)</f>
        <v>0</v>
      </c>
      <c r="DF255">
        <f>IF(OR(DF173="",AND(DF173=DF172,DF173=DF174)),NA(), DF173)</f>
        <v>0</v>
      </c>
      <c r="DG255">
        <f>IF(ISNA(DH255),NA(),DG173)</f>
        <v>0</v>
      </c>
      <c r="DH255">
        <f>IF(OR(DH173="",AND(DH173=DH172,DH173=DH174)),NA(), DH173)</f>
        <v>0</v>
      </c>
      <c r="DI255">
        <f>IF(ISNA(DJ255),NA(),DI173)</f>
        <v>0</v>
      </c>
      <c r="DJ255">
        <f>IF(OR(DJ173="",AND(DJ173=DJ172,DJ173=DJ174)),NA(), DJ173)</f>
        <v>0</v>
      </c>
      <c r="DK255">
        <f>IF(ISNA(DL255),NA(),DK173)</f>
        <v>0</v>
      </c>
      <c r="DL255">
        <f>IF(OR(DL173="",AND(DL173=DL172,DL173=DL174)),NA(), DL173)</f>
        <v>0</v>
      </c>
      <c r="DM255">
        <f>IF(ISNA(DN255),NA(),DM173)</f>
        <v>0</v>
      </c>
      <c r="DN255">
        <f>IF(OR(DN173="",AND(DN173=DN172,DN173=DN174)),NA(), DN173)</f>
        <v>0</v>
      </c>
      <c r="DO255">
        <f>IF(ISNA(DP255),NA(),DO173)</f>
        <v>0</v>
      </c>
      <c r="DP255">
        <f>IF(OR(DP173="",AND(DP173=DP172,DP173=DP174)),NA(), DP173)</f>
        <v>0</v>
      </c>
      <c r="DQ255">
        <f>IF(ISNA(DR255),NA(),DQ173)</f>
        <v>0</v>
      </c>
      <c r="DR255">
        <f>IF(OR(DR173="",AND(DR173=DR172,DR173=DR174)),NA(), DR173)</f>
        <v>0</v>
      </c>
      <c r="DS255">
        <f>IF(ISNA(DT255),NA(),DS173)</f>
        <v>0</v>
      </c>
      <c r="DT255">
        <f>IF(OR(DT173="",AND(DT173=DT172,DT173=DT174)),NA(), DT173)</f>
        <v>0</v>
      </c>
      <c r="DU255">
        <f>IF(ISNA(DV255),NA(),DU173)</f>
        <v>0</v>
      </c>
      <c r="DV255">
        <f>IF(OR(DV173="",AND(DV173=DV172,DV173=DV174)),NA(), DV173)</f>
        <v>0</v>
      </c>
      <c r="DW255">
        <f>IF(ISNA(DX255),NA(),DW173)</f>
        <v>0</v>
      </c>
      <c r="DX255">
        <f>IF(OR(DX173="",AND(DX173=DX172,DX173=DX174)),NA(), DX173)</f>
        <v>0</v>
      </c>
      <c r="DY255">
        <f>IF(ISNA(DZ255),NA(),DY173)</f>
        <v>0</v>
      </c>
      <c r="DZ255">
        <f>IF(OR(DZ173="",AND(DZ173=DZ172,DZ173=DZ174)),NA(), DZ173)</f>
        <v>0</v>
      </c>
      <c r="EA255">
        <f>IF(ISNA(EB255),NA(),EA173)</f>
        <v>0</v>
      </c>
      <c r="EB255">
        <f>IF(OR(EB173="",AND(EB173=EB172,EB173=EB174)),NA(), EB173)</f>
        <v>0</v>
      </c>
      <c r="EC255">
        <f>IF(ISNA(ED255),NA(),EC173)</f>
        <v>0</v>
      </c>
      <c r="ED255">
        <f>IF(OR(ED173="",AND(ED173=ED172,ED173=ED174)),NA(), ED173)</f>
        <v>0</v>
      </c>
    </row>
    <row r="256" spans="5:134">
      <c r="E256">
        <f>IF(ISNA(F256),NA(),E174)</f>
        <v>0</v>
      </c>
      <c r="F256">
        <f>IF(OR(F174="",AND(F174=F173,F174=F175)),NA(), F174)</f>
        <v>0</v>
      </c>
      <c r="G256">
        <f>IF(ISNA(H256),NA(),G174)</f>
        <v>0</v>
      </c>
      <c r="H256">
        <f>IF(OR(H174="",AND(H174=H173,H174=H175)),NA(), H174)</f>
        <v>0</v>
      </c>
      <c r="I256">
        <f>IF(ISNA(J256),NA(),I174)</f>
        <v>0</v>
      </c>
      <c r="J256">
        <f>IF(OR(J174="",AND(J174=J173,J174=J175)),NA(), J174)</f>
        <v>0</v>
      </c>
      <c r="K256">
        <f>IF(ISNA(L256),NA(),K174)</f>
        <v>0</v>
      </c>
      <c r="L256">
        <f>IF(OR(L174="",AND(L174=L173,L174=L175)),NA(), L174)</f>
        <v>0</v>
      </c>
      <c r="M256">
        <f>IF(ISNA(N256),NA(),M174)</f>
        <v>0</v>
      </c>
      <c r="N256">
        <f>IF(OR(N174="",AND(N174=N173,N174=N175)),NA(), N174)</f>
        <v>0</v>
      </c>
      <c r="O256">
        <f>IF(ISNA(P256),NA(),O174)</f>
        <v>0</v>
      </c>
      <c r="P256">
        <f>IF(OR(P174="",AND(P174=P173,P174=P175)),NA(), P174)</f>
        <v>0</v>
      </c>
      <c r="Q256">
        <f>IF(ISNA(R256),NA(),Q174)</f>
        <v>0</v>
      </c>
      <c r="R256">
        <f>IF(OR(R174="",AND(R174=R173,R174=R175)),NA(), R174)</f>
        <v>0</v>
      </c>
      <c r="S256">
        <f>IF(ISNA(T256),NA(),S174)</f>
        <v>0</v>
      </c>
      <c r="T256">
        <f>IF(OR(T174="",AND(T174=T173,T174=T175)),NA(), T174)</f>
        <v>0</v>
      </c>
      <c r="U256">
        <f>IF(ISNA(V256),NA(),U174)</f>
        <v>0</v>
      </c>
      <c r="V256">
        <f>IF(OR(V174="",AND(V174=V173,V174=V175)),NA(), V174)</f>
        <v>0</v>
      </c>
      <c r="W256">
        <f>IF(ISNA(X256),NA(),W174)</f>
        <v>0</v>
      </c>
      <c r="X256">
        <f>IF(OR(X174="",AND(X174=X173,X174=X175)),NA(), X174)</f>
        <v>0</v>
      </c>
      <c r="Y256">
        <f>IF(ISNA(Z256),NA(),Y174)</f>
        <v>0</v>
      </c>
      <c r="Z256">
        <f>IF(OR(Z174="",AND(Z174=Z173,Z174=Z175)),NA(), Z174)</f>
        <v>0</v>
      </c>
      <c r="AA256">
        <f>IF(ISNA(AB256),NA(),AA174)</f>
        <v>0</v>
      </c>
      <c r="AB256">
        <f>IF(OR(AB174="",AND(AB174=AB173,AB174=AB175)),NA(), AB174)</f>
        <v>0</v>
      </c>
      <c r="AC256">
        <f>IF(ISNA(AD256),NA(),AC174)</f>
        <v>0</v>
      </c>
      <c r="AD256">
        <f>IF(OR(AD174="",AND(AD174=AD173,AD174=AD175)),NA(), AD174)</f>
        <v>0</v>
      </c>
      <c r="AE256">
        <f>IF(ISNA(AF256),NA(),AE174)</f>
        <v>0</v>
      </c>
      <c r="AF256">
        <f>IF(OR(AF174="",AND(AF174=AF173,AF174=AF175)),NA(), AF174)</f>
        <v>0</v>
      </c>
      <c r="AG256">
        <f>IF(ISNA(AH256),NA(),AG174)</f>
        <v>0</v>
      </c>
      <c r="AH256">
        <f>IF(OR(AH174="",AND(AH174=AH173,AH174=AH175)),NA(), AH174)</f>
        <v>0</v>
      </c>
      <c r="AI256">
        <f>IF(ISNA(AJ256),NA(),AI174)</f>
        <v>0</v>
      </c>
      <c r="AJ256">
        <f>IF(OR(AJ174="",AND(AJ174=AJ173,AJ174=AJ175)),NA(), AJ174)</f>
        <v>0</v>
      </c>
      <c r="AK256">
        <f>IF(ISNA(AL256),NA(),AK174)</f>
        <v>0</v>
      </c>
      <c r="AL256">
        <f>IF(OR(AL174="",AND(AL174=AL173,AL174=AL175)),NA(), AL174)</f>
        <v>0</v>
      </c>
      <c r="AM256">
        <f>IF(ISNA(AN256),NA(),AM174)</f>
        <v>0</v>
      </c>
      <c r="AN256">
        <f>IF(OR(AN174="",AND(AN174=AN173,AN174=AN175)),NA(), AN174)</f>
        <v>0</v>
      </c>
      <c r="AO256">
        <f>IF(ISNA(AP256),NA(),AO174)</f>
        <v>0</v>
      </c>
      <c r="AP256">
        <f>IF(OR(AP174="",AND(AP174=AP173,AP174=AP175)),NA(), AP174)</f>
        <v>0</v>
      </c>
      <c r="AQ256">
        <f>IF(ISNA(AR256),NA(),AQ174)</f>
        <v>0</v>
      </c>
      <c r="AR256">
        <f>IF(OR(AR174="",AND(AR174=AR173,AR174=AR175)),NA(), AR174)</f>
        <v>0</v>
      </c>
      <c r="AS256">
        <f>IF(ISNA(AT256),NA(),AS174)</f>
        <v>0</v>
      </c>
      <c r="AT256">
        <f>IF(OR(AT174="",AND(AT174=AT173,AT174=AT175)),NA(), AT174)</f>
        <v>0</v>
      </c>
      <c r="AU256">
        <f>IF(ISNA(AV256),NA(),AU174)</f>
        <v>0</v>
      </c>
      <c r="AV256">
        <f>IF(OR(AV174="",AND(AV174=AV173,AV174=AV175)),NA(), AV174)</f>
        <v>0</v>
      </c>
      <c r="AW256">
        <f>IF(ISNA(AX256),NA(),AW174)</f>
        <v>0</v>
      </c>
      <c r="AX256">
        <f>IF(OR(AX174="",AND(AX174=AX173,AX174=AX175)),NA(), AX174)</f>
        <v>0</v>
      </c>
      <c r="AY256">
        <f>IF(ISNA(AZ256),NA(),AY174)</f>
        <v>0</v>
      </c>
      <c r="AZ256">
        <f>IF(OR(AZ174="",AND(AZ174=AZ173,AZ174=AZ175)),NA(), AZ174)</f>
        <v>0</v>
      </c>
      <c r="BA256">
        <f>IF(ISNA(BB256),NA(),BA174)</f>
        <v>0</v>
      </c>
      <c r="BB256">
        <f>IF(OR(BB174="",AND(BB174=BB173,BB174=BB175)),NA(), BB174)</f>
        <v>0</v>
      </c>
      <c r="BC256">
        <f>IF(ISNA(BD256),NA(),BC174)</f>
        <v>0</v>
      </c>
      <c r="BD256">
        <f>IF(OR(BD174="",AND(BD174=BD173,BD174=BD175)),NA(), BD174)</f>
        <v>0</v>
      </c>
      <c r="BE256">
        <f>IF(ISNA(BF256),NA(),BE174)</f>
        <v>0</v>
      </c>
      <c r="BF256">
        <f>IF(OR(BF174="",AND(BF174=BF173,BF174=BF175)),NA(), BF174)</f>
        <v>0</v>
      </c>
      <c r="BG256">
        <f>IF(ISNA(BH256),NA(),BG174)</f>
        <v>0</v>
      </c>
      <c r="BH256">
        <f>IF(OR(BH174="",AND(BH174=BH173,BH174=BH175)),NA(), BH174)</f>
        <v>0</v>
      </c>
      <c r="BI256">
        <f>IF(ISNA(BJ256),NA(),BI174)</f>
        <v>0</v>
      </c>
      <c r="BJ256">
        <f>IF(OR(BJ174="",AND(BJ174=BJ173,BJ174=BJ175)),NA(), BJ174)</f>
        <v>0</v>
      </c>
      <c r="BK256">
        <f>IF(ISNA(BL256),NA(),BK174)</f>
        <v>0</v>
      </c>
      <c r="BL256">
        <f>IF(OR(BL174="",AND(BL174=BL173,BL174=BL175)),NA(), BL174)</f>
        <v>0</v>
      </c>
      <c r="BM256">
        <f>IF(ISNA(BN256),NA(),BM174)</f>
        <v>0</v>
      </c>
      <c r="BN256">
        <f>IF(OR(BN174="",AND(BN174=BN173,BN174=BN175)),NA(), BN174)</f>
        <v>0</v>
      </c>
      <c r="BO256">
        <f>IF(ISNA(BP256),NA(),BO174)</f>
        <v>0</v>
      </c>
      <c r="BP256">
        <f>IF(OR(BP174="",AND(BP174=BP173,BP174=BP175)),NA(), BP174)</f>
        <v>0</v>
      </c>
      <c r="BS256">
        <f>IF(ISNA(BT256),NA(),BS174)</f>
        <v>0</v>
      </c>
      <c r="BT256">
        <f>IF(OR(BT174="",AND(BT174=BT173,BT174=BT175)),NA(), BT174)</f>
        <v>0</v>
      </c>
      <c r="BU256">
        <f>IF(ISNA(BV256),NA(),BU174)</f>
        <v>0</v>
      </c>
      <c r="BV256">
        <f>IF(OR(BV174="",AND(BV174=BV173,BV174=BV175)),NA(), BV174)</f>
        <v>0</v>
      </c>
      <c r="BW256">
        <f>IF(ISNA(BX256),NA(),BW174)</f>
        <v>0</v>
      </c>
      <c r="BX256">
        <f>IF(OR(BX174="",AND(BX174=BX173,BX174=BX175)),NA(), BX174)</f>
        <v>0</v>
      </c>
      <c r="BY256">
        <f>IF(ISNA(BZ256),NA(),BY174)</f>
        <v>0</v>
      </c>
      <c r="BZ256">
        <f>IF(OR(BZ174="",AND(BZ174=BZ173,BZ174=BZ175)),NA(), BZ174)</f>
        <v>0</v>
      </c>
      <c r="CA256">
        <f>IF(ISNA(CB256),NA(),CA174)</f>
        <v>0</v>
      </c>
      <c r="CB256">
        <f>IF(OR(CB174="",AND(CB174=CB173,CB174=CB175)),NA(), CB174)</f>
        <v>0</v>
      </c>
      <c r="CC256">
        <f>IF(ISNA(CD256),NA(),CC174)</f>
        <v>0</v>
      </c>
      <c r="CD256">
        <f>IF(OR(CD174="",AND(CD174=CD173,CD174=CD175)),NA(), CD174)</f>
        <v>0</v>
      </c>
      <c r="CE256">
        <f>IF(ISNA(CF256),NA(),CE174)</f>
        <v>0</v>
      </c>
      <c r="CF256">
        <f>IF(OR(CF174="",AND(CF174=CF173,CF174=CF175)),NA(), CF174)</f>
        <v>0</v>
      </c>
      <c r="CG256">
        <f>IF(ISNA(CH256),NA(),CG174)</f>
        <v>0</v>
      </c>
      <c r="CH256">
        <f>IF(OR(CH174="",AND(CH174=CH173,CH174=CH175)),NA(), CH174)</f>
        <v>0</v>
      </c>
      <c r="CI256">
        <f>IF(ISNA(CJ256),NA(),CI174)</f>
        <v>0</v>
      </c>
      <c r="CJ256">
        <f>IF(OR(CJ174="",AND(CJ174=CJ173,CJ174=CJ175)),NA(), CJ174)</f>
        <v>0</v>
      </c>
      <c r="CK256">
        <f>IF(ISNA(CL256),NA(),CK174)</f>
        <v>0</v>
      </c>
      <c r="CL256">
        <f>IF(OR(CL174="",AND(CL174=CL173,CL174=CL175)),NA(), CL174)</f>
        <v>0</v>
      </c>
      <c r="CM256">
        <f>IF(ISNA(CN256),NA(),CM174)</f>
        <v>0</v>
      </c>
      <c r="CN256">
        <f>IF(OR(CN174="",AND(CN174=CN173,CN174=CN175)),NA(), CN174)</f>
        <v>0</v>
      </c>
      <c r="CO256">
        <f>IF(ISNA(CP256),NA(),CO174)</f>
        <v>0</v>
      </c>
      <c r="CP256">
        <f>IF(OR(CP174="",AND(CP174=CP173,CP174=CP175)),NA(), CP174)</f>
        <v>0</v>
      </c>
      <c r="CQ256">
        <f>IF(ISNA(CR256),NA(),CQ174)</f>
        <v>0</v>
      </c>
      <c r="CR256">
        <f>IF(OR(CR174="",AND(CR174=CR173,CR174=CR175)),NA(), CR174)</f>
        <v>0</v>
      </c>
      <c r="CS256">
        <f>IF(ISNA(CT256),NA(),CS174)</f>
        <v>0</v>
      </c>
      <c r="CT256">
        <f>IF(OR(CT174="",AND(CT174=CT173,CT174=CT175)),NA(), CT174)</f>
        <v>0</v>
      </c>
      <c r="CU256">
        <f>IF(ISNA(CV256),NA(),CU174)</f>
        <v>0</v>
      </c>
      <c r="CV256">
        <f>IF(OR(CV174="",AND(CV174=CV173,CV174=CV175)),NA(), CV174)</f>
        <v>0</v>
      </c>
      <c r="CW256">
        <f>IF(ISNA(CX256),NA(),CW174)</f>
        <v>0</v>
      </c>
      <c r="CX256">
        <f>IF(OR(CX174="",AND(CX174=CX173,CX174=CX175)),NA(), CX174)</f>
        <v>0</v>
      </c>
      <c r="CY256">
        <f>IF(ISNA(CZ256),NA(),CY174)</f>
        <v>0</v>
      </c>
      <c r="CZ256">
        <f>IF(OR(CZ174="",AND(CZ174=CZ173,CZ174=CZ175)),NA(), CZ174)</f>
        <v>0</v>
      </c>
      <c r="DA256">
        <f>IF(ISNA(DB256),NA(),DA174)</f>
        <v>0</v>
      </c>
      <c r="DB256">
        <f>IF(OR(DB174="",AND(DB174=DB173,DB174=DB175)),NA(), DB174)</f>
        <v>0</v>
      </c>
      <c r="DC256">
        <f>IF(ISNA(DD256),NA(),DC174)</f>
        <v>0</v>
      </c>
      <c r="DD256">
        <f>IF(OR(DD174="",AND(DD174=DD173,DD174=DD175)),NA(), DD174)</f>
        <v>0</v>
      </c>
      <c r="DE256">
        <f>IF(ISNA(DF256),NA(),DE174)</f>
        <v>0</v>
      </c>
      <c r="DF256">
        <f>IF(OR(DF174="",AND(DF174=DF173,DF174=DF175)),NA(), DF174)</f>
        <v>0</v>
      </c>
      <c r="DG256">
        <f>IF(ISNA(DH256),NA(),DG174)</f>
        <v>0</v>
      </c>
      <c r="DH256">
        <f>IF(OR(DH174="",AND(DH174=DH173,DH174=DH175)),NA(), DH174)</f>
        <v>0</v>
      </c>
      <c r="DI256">
        <f>IF(ISNA(DJ256),NA(),DI174)</f>
        <v>0</v>
      </c>
      <c r="DJ256">
        <f>IF(OR(DJ174="",AND(DJ174=DJ173,DJ174=DJ175)),NA(), DJ174)</f>
        <v>0</v>
      </c>
      <c r="DK256">
        <f>IF(ISNA(DL256),NA(),DK174)</f>
        <v>0</v>
      </c>
      <c r="DL256">
        <f>IF(OR(DL174="",AND(DL174=DL173,DL174=DL175)),NA(), DL174)</f>
        <v>0</v>
      </c>
      <c r="DM256">
        <f>IF(ISNA(DN256),NA(),DM174)</f>
        <v>0</v>
      </c>
      <c r="DN256">
        <f>IF(OR(DN174="",AND(DN174=DN173,DN174=DN175)),NA(), DN174)</f>
        <v>0</v>
      </c>
      <c r="DO256">
        <f>IF(ISNA(DP256),NA(),DO174)</f>
        <v>0</v>
      </c>
      <c r="DP256">
        <f>IF(OR(DP174="",AND(DP174=DP173,DP174=DP175)),NA(), DP174)</f>
        <v>0</v>
      </c>
      <c r="DQ256">
        <f>IF(ISNA(DR256),NA(),DQ174)</f>
        <v>0</v>
      </c>
      <c r="DR256">
        <f>IF(OR(DR174="",AND(DR174=DR173,DR174=DR175)),NA(), DR174)</f>
        <v>0</v>
      </c>
      <c r="DS256">
        <f>IF(ISNA(DT256),NA(),DS174)</f>
        <v>0</v>
      </c>
      <c r="DT256">
        <f>IF(OR(DT174="",AND(DT174=DT173,DT174=DT175)),NA(), DT174)</f>
        <v>0</v>
      </c>
      <c r="DU256">
        <f>IF(ISNA(DV256),NA(),DU174)</f>
        <v>0</v>
      </c>
      <c r="DV256">
        <f>IF(OR(DV174="",AND(DV174=DV173,DV174=DV175)),NA(), DV174)</f>
        <v>0</v>
      </c>
      <c r="DW256">
        <f>IF(ISNA(DX256),NA(),DW174)</f>
        <v>0</v>
      </c>
      <c r="DX256">
        <f>IF(OR(DX174="",AND(DX174=DX173,DX174=DX175)),NA(), DX174)</f>
        <v>0</v>
      </c>
      <c r="DY256">
        <f>IF(ISNA(DZ256),NA(),DY174)</f>
        <v>0</v>
      </c>
      <c r="DZ256">
        <f>IF(OR(DZ174="",AND(DZ174=DZ173,DZ174=DZ175)),NA(), DZ174)</f>
        <v>0</v>
      </c>
      <c r="EA256">
        <f>IF(ISNA(EB256),NA(),EA174)</f>
        <v>0</v>
      </c>
      <c r="EB256">
        <f>IF(OR(EB174="",AND(EB174=EB173,EB174=EB175)),NA(), EB174)</f>
        <v>0</v>
      </c>
      <c r="EC256">
        <f>IF(ISNA(ED256),NA(),EC174)</f>
        <v>0</v>
      </c>
      <c r="ED256">
        <f>IF(OR(ED174="",AND(ED174=ED173,ED174=ED175)),NA(), ED174)</f>
        <v>0</v>
      </c>
    </row>
    <row r="257" spans="5:134">
      <c r="E257">
        <f>IF(ISNA(F257),NA(),E175)</f>
        <v>0</v>
      </c>
      <c r="F257">
        <f>IF(OR(F175="",AND(F175=F174,F175=F176)),NA(), F175)</f>
        <v>0</v>
      </c>
      <c r="G257">
        <f>IF(ISNA(H257),NA(),G175)</f>
        <v>0</v>
      </c>
      <c r="H257">
        <f>IF(OR(H175="",AND(H175=H174,H175=H176)),NA(), H175)</f>
        <v>0</v>
      </c>
      <c r="I257">
        <f>IF(ISNA(J257),NA(),I175)</f>
        <v>0</v>
      </c>
      <c r="J257">
        <f>IF(OR(J175="",AND(J175=J174,J175=J176)),NA(), J175)</f>
        <v>0</v>
      </c>
      <c r="K257">
        <f>IF(ISNA(L257),NA(),K175)</f>
        <v>0</v>
      </c>
      <c r="L257">
        <f>IF(OR(L175="",AND(L175=L174,L175=L176)),NA(), L175)</f>
        <v>0</v>
      </c>
      <c r="M257">
        <f>IF(ISNA(N257),NA(),M175)</f>
        <v>0</v>
      </c>
      <c r="N257">
        <f>IF(OR(N175="",AND(N175=N174,N175=N176)),NA(), N175)</f>
        <v>0</v>
      </c>
      <c r="O257">
        <f>IF(ISNA(P257),NA(),O175)</f>
        <v>0</v>
      </c>
      <c r="P257">
        <f>IF(OR(P175="",AND(P175=P174,P175=P176)),NA(), P175)</f>
        <v>0</v>
      </c>
      <c r="Q257">
        <f>IF(ISNA(R257),NA(),Q175)</f>
        <v>0</v>
      </c>
      <c r="R257">
        <f>IF(OR(R175="",AND(R175=R174,R175=R176)),NA(), R175)</f>
        <v>0</v>
      </c>
      <c r="S257">
        <f>IF(ISNA(T257),NA(),S175)</f>
        <v>0</v>
      </c>
      <c r="T257">
        <f>IF(OR(T175="",AND(T175=T174,T175=T176)),NA(), T175)</f>
        <v>0</v>
      </c>
      <c r="U257">
        <f>IF(ISNA(V257),NA(),U175)</f>
        <v>0</v>
      </c>
      <c r="V257">
        <f>IF(OR(V175="",AND(V175=V174,V175=V176)),NA(), V175)</f>
        <v>0</v>
      </c>
      <c r="W257">
        <f>IF(ISNA(X257),NA(),W175)</f>
        <v>0</v>
      </c>
      <c r="X257">
        <f>IF(OR(X175="",AND(X175=X174,X175=X176)),NA(), X175)</f>
        <v>0</v>
      </c>
      <c r="Y257">
        <f>IF(ISNA(Z257),NA(),Y175)</f>
        <v>0</v>
      </c>
      <c r="Z257">
        <f>IF(OR(Z175="",AND(Z175=Z174,Z175=Z176)),NA(), Z175)</f>
        <v>0</v>
      </c>
      <c r="AA257">
        <f>IF(ISNA(AB257),NA(),AA175)</f>
        <v>0</v>
      </c>
      <c r="AB257">
        <f>IF(OR(AB175="",AND(AB175=AB174,AB175=AB176)),NA(), AB175)</f>
        <v>0</v>
      </c>
      <c r="AC257">
        <f>IF(ISNA(AD257),NA(),AC175)</f>
        <v>0</v>
      </c>
      <c r="AD257">
        <f>IF(OR(AD175="",AND(AD175=AD174,AD175=AD176)),NA(), AD175)</f>
        <v>0</v>
      </c>
      <c r="AE257">
        <f>IF(ISNA(AF257),NA(),AE175)</f>
        <v>0</v>
      </c>
      <c r="AF257">
        <f>IF(OR(AF175="",AND(AF175=AF174,AF175=AF176)),NA(), AF175)</f>
        <v>0</v>
      </c>
      <c r="AG257">
        <f>IF(ISNA(AH257),NA(),AG175)</f>
        <v>0</v>
      </c>
      <c r="AH257">
        <f>IF(OR(AH175="",AND(AH175=AH174,AH175=AH176)),NA(), AH175)</f>
        <v>0</v>
      </c>
      <c r="AI257">
        <f>IF(ISNA(AJ257),NA(),AI175)</f>
        <v>0</v>
      </c>
      <c r="AJ257">
        <f>IF(OR(AJ175="",AND(AJ175=AJ174,AJ175=AJ176)),NA(), AJ175)</f>
        <v>0</v>
      </c>
      <c r="AK257">
        <f>IF(ISNA(AL257),NA(),AK175)</f>
        <v>0</v>
      </c>
      <c r="AL257">
        <f>IF(OR(AL175="",AND(AL175=AL174,AL175=AL176)),NA(), AL175)</f>
        <v>0</v>
      </c>
      <c r="AM257">
        <f>IF(ISNA(AN257),NA(),AM175)</f>
        <v>0</v>
      </c>
      <c r="AN257">
        <f>IF(OR(AN175="",AND(AN175=AN174,AN175=AN176)),NA(), AN175)</f>
        <v>0</v>
      </c>
      <c r="AO257">
        <f>IF(ISNA(AP257),NA(),AO175)</f>
        <v>0</v>
      </c>
      <c r="AP257">
        <f>IF(OR(AP175="",AND(AP175=AP174,AP175=AP176)),NA(), AP175)</f>
        <v>0</v>
      </c>
      <c r="AQ257">
        <f>IF(ISNA(AR257),NA(),AQ175)</f>
        <v>0</v>
      </c>
      <c r="AR257">
        <f>IF(OR(AR175="",AND(AR175=AR174,AR175=AR176)),NA(), AR175)</f>
        <v>0</v>
      </c>
      <c r="AS257">
        <f>IF(ISNA(AT257),NA(),AS175)</f>
        <v>0</v>
      </c>
      <c r="AT257">
        <f>IF(OR(AT175="",AND(AT175=AT174,AT175=AT176)),NA(), AT175)</f>
        <v>0</v>
      </c>
      <c r="AU257">
        <f>IF(ISNA(AV257),NA(),AU175)</f>
        <v>0</v>
      </c>
      <c r="AV257">
        <f>IF(OR(AV175="",AND(AV175=AV174,AV175=AV176)),NA(), AV175)</f>
        <v>0</v>
      </c>
      <c r="AW257">
        <f>IF(ISNA(AX257),NA(),AW175)</f>
        <v>0</v>
      </c>
      <c r="AX257">
        <f>IF(OR(AX175="",AND(AX175=AX174,AX175=AX176)),NA(), AX175)</f>
        <v>0</v>
      </c>
      <c r="AY257">
        <f>IF(ISNA(AZ257),NA(),AY175)</f>
        <v>0</v>
      </c>
      <c r="AZ257">
        <f>IF(OR(AZ175="",AND(AZ175=AZ174,AZ175=AZ176)),NA(), AZ175)</f>
        <v>0</v>
      </c>
      <c r="BA257">
        <f>IF(ISNA(BB257),NA(),BA175)</f>
        <v>0</v>
      </c>
      <c r="BB257">
        <f>IF(OR(BB175="",AND(BB175=BB174,BB175=BB176)),NA(), BB175)</f>
        <v>0</v>
      </c>
      <c r="BC257">
        <f>IF(ISNA(BD257),NA(),BC175)</f>
        <v>0</v>
      </c>
      <c r="BD257">
        <f>IF(OR(BD175="",AND(BD175=BD174,BD175=BD176)),NA(), BD175)</f>
        <v>0</v>
      </c>
      <c r="BE257">
        <f>IF(ISNA(BF257),NA(),BE175)</f>
        <v>0</v>
      </c>
      <c r="BF257">
        <f>IF(OR(BF175="",AND(BF175=BF174,BF175=BF176)),NA(), BF175)</f>
        <v>0</v>
      </c>
      <c r="BG257">
        <f>IF(ISNA(BH257),NA(),BG175)</f>
        <v>0</v>
      </c>
      <c r="BH257">
        <f>IF(OR(BH175="",AND(BH175=BH174,BH175=BH176)),NA(), BH175)</f>
        <v>0</v>
      </c>
      <c r="BI257">
        <f>IF(ISNA(BJ257),NA(),BI175)</f>
        <v>0</v>
      </c>
      <c r="BJ257">
        <f>IF(OR(BJ175="",AND(BJ175=BJ174,BJ175=BJ176)),NA(), BJ175)</f>
        <v>0</v>
      </c>
      <c r="BK257">
        <f>IF(ISNA(BL257),NA(),BK175)</f>
        <v>0</v>
      </c>
      <c r="BL257">
        <f>IF(OR(BL175="",AND(BL175=BL174,BL175=BL176)),NA(), BL175)</f>
        <v>0</v>
      </c>
      <c r="BM257">
        <f>IF(ISNA(BN257),NA(),BM175)</f>
        <v>0</v>
      </c>
      <c r="BN257">
        <f>IF(OR(BN175="",AND(BN175=BN174,BN175=BN176)),NA(), BN175)</f>
        <v>0</v>
      </c>
      <c r="BO257">
        <f>IF(ISNA(BP257),NA(),BO175)</f>
        <v>0</v>
      </c>
      <c r="BP257">
        <f>IF(OR(BP175="",AND(BP175=BP174,BP175=BP176)),NA(), BP175)</f>
        <v>0</v>
      </c>
      <c r="BS257">
        <f>IF(ISNA(BT257),NA(),BS175)</f>
        <v>0</v>
      </c>
      <c r="BT257">
        <f>IF(OR(BT175="",AND(BT175=BT174,BT175=BT176)),NA(), BT175)</f>
        <v>0</v>
      </c>
      <c r="BU257">
        <f>IF(ISNA(BV257),NA(),BU175)</f>
        <v>0</v>
      </c>
      <c r="BV257">
        <f>IF(OR(BV175="",AND(BV175=BV174,BV175=BV176)),NA(), BV175)</f>
        <v>0</v>
      </c>
      <c r="BW257">
        <f>IF(ISNA(BX257),NA(),BW175)</f>
        <v>0</v>
      </c>
      <c r="BX257">
        <f>IF(OR(BX175="",AND(BX175=BX174,BX175=BX176)),NA(), BX175)</f>
        <v>0</v>
      </c>
      <c r="BY257">
        <f>IF(ISNA(BZ257),NA(),BY175)</f>
        <v>0</v>
      </c>
      <c r="BZ257">
        <f>IF(OR(BZ175="",AND(BZ175=BZ174,BZ175=BZ176)),NA(), BZ175)</f>
        <v>0</v>
      </c>
      <c r="CA257">
        <f>IF(ISNA(CB257),NA(),CA175)</f>
        <v>0</v>
      </c>
      <c r="CB257">
        <f>IF(OR(CB175="",AND(CB175=CB174,CB175=CB176)),NA(), CB175)</f>
        <v>0</v>
      </c>
      <c r="CC257">
        <f>IF(ISNA(CD257),NA(),CC175)</f>
        <v>0</v>
      </c>
      <c r="CD257">
        <f>IF(OR(CD175="",AND(CD175=CD174,CD175=CD176)),NA(), CD175)</f>
        <v>0</v>
      </c>
      <c r="CE257">
        <f>IF(ISNA(CF257),NA(),CE175)</f>
        <v>0</v>
      </c>
      <c r="CF257">
        <f>IF(OR(CF175="",AND(CF175=CF174,CF175=CF176)),NA(), CF175)</f>
        <v>0</v>
      </c>
      <c r="CG257">
        <f>IF(ISNA(CH257),NA(),CG175)</f>
        <v>0</v>
      </c>
      <c r="CH257">
        <f>IF(OR(CH175="",AND(CH175=CH174,CH175=CH176)),NA(), CH175)</f>
        <v>0</v>
      </c>
      <c r="CI257">
        <f>IF(ISNA(CJ257),NA(),CI175)</f>
        <v>0</v>
      </c>
      <c r="CJ257">
        <f>IF(OR(CJ175="",AND(CJ175=CJ174,CJ175=CJ176)),NA(), CJ175)</f>
        <v>0</v>
      </c>
      <c r="CK257">
        <f>IF(ISNA(CL257),NA(),CK175)</f>
        <v>0</v>
      </c>
      <c r="CL257">
        <f>IF(OR(CL175="",AND(CL175=CL174,CL175=CL176)),NA(), CL175)</f>
        <v>0</v>
      </c>
      <c r="CM257">
        <f>IF(ISNA(CN257),NA(),CM175)</f>
        <v>0</v>
      </c>
      <c r="CN257">
        <f>IF(OR(CN175="",AND(CN175=CN174,CN175=CN176)),NA(), CN175)</f>
        <v>0</v>
      </c>
      <c r="CO257">
        <f>IF(ISNA(CP257),NA(),CO175)</f>
        <v>0</v>
      </c>
      <c r="CP257">
        <f>IF(OR(CP175="",AND(CP175=CP174,CP175=CP176)),NA(), CP175)</f>
        <v>0</v>
      </c>
      <c r="CQ257">
        <f>IF(ISNA(CR257),NA(),CQ175)</f>
        <v>0</v>
      </c>
      <c r="CR257">
        <f>IF(OR(CR175="",AND(CR175=CR174,CR175=CR176)),NA(), CR175)</f>
        <v>0</v>
      </c>
      <c r="CS257">
        <f>IF(ISNA(CT257),NA(),CS175)</f>
        <v>0</v>
      </c>
      <c r="CT257">
        <f>IF(OR(CT175="",AND(CT175=CT174,CT175=CT176)),NA(), CT175)</f>
        <v>0</v>
      </c>
      <c r="CU257">
        <f>IF(ISNA(CV257),NA(),CU175)</f>
        <v>0</v>
      </c>
      <c r="CV257">
        <f>IF(OR(CV175="",AND(CV175=CV174,CV175=CV176)),NA(), CV175)</f>
        <v>0</v>
      </c>
      <c r="CW257">
        <f>IF(ISNA(CX257),NA(),CW175)</f>
        <v>0</v>
      </c>
      <c r="CX257">
        <f>IF(OR(CX175="",AND(CX175=CX174,CX175=CX176)),NA(), CX175)</f>
        <v>0</v>
      </c>
      <c r="CY257">
        <f>IF(ISNA(CZ257),NA(),CY175)</f>
        <v>0</v>
      </c>
      <c r="CZ257">
        <f>IF(OR(CZ175="",AND(CZ175=CZ174,CZ175=CZ176)),NA(), CZ175)</f>
        <v>0</v>
      </c>
      <c r="DA257">
        <f>IF(ISNA(DB257),NA(),DA175)</f>
        <v>0</v>
      </c>
      <c r="DB257">
        <f>IF(OR(DB175="",AND(DB175=DB174,DB175=DB176)),NA(), DB175)</f>
        <v>0</v>
      </c>
      <c r="DC257">
        <f>IF(ISNA(DD257),NA(),DC175)</f>
        <v>0</v>
      </c>
      <c r="DD257">
        <f>IF(OR(DD175="",AND(DD175=DD174,DD175=DD176)),NA(), DD175)</f>
        <v>0</v>
      </c>
      <c r="DE257">
        <f>IF(ISNA(DF257),NA(),DE175)</f>
        <v>0</v>
      </c>
      <c r="DF257">
        <f>IF(OR(DF175="",AND(DF175=DF174,DF175=DF176)),NA(), DF175)</f>
        <v>0</v>
      </c>
      <c r="DG257">
        <f>IF(ISNA(DH257),NA(),DG175)</f>
        <v>0</v>
      </c>
      <c r="DH257">
        <f>IF(OR(DH175="",AND(DH175=DH174,DH175=DH176)),NA(), DH175)</f>
        <v>0</v>
      </c>
      <c r="DI257">
        <f>IF(ISNA(DJ257),NA(),DI175)</f>
        <v>0</v>
      </c>
      <c r="DJ257">
        <f>IF(OR(DJ175="",AND(DJ175=DJ174,DJ175=DJ176)),NA(), DJ175)</f>
        <v>0</v>
      </c>
      <c r="DK257">
        <f>IF(ISNA(DL257),NA(),DK175)</f>
        <v>0</v>
      </c>
      <c r="DL257">
        <f>IF(OR(DL175="",AND(DL175=DL174,DL175=DL176)),NA(), DL175)</f>
        <v>0</v>
      </c>
      <c r="DM257">
        <f>IF(ISNA(DN257),NA(),DM175)</f>
        <v>0</v>
      </c>
      <c r="DN257">
        <f>IF(OR(DN175="",AND(DN175=DN174,DN175=DN176)),NA(), DN175)</f>
        <v>0</v>
      </c>
      <c r="DO257">
        <f>IF(ISNA(DP257),NA(),DO175)</f>
        <v>0</v>
      </c>
      <c r="DP257">
        <f>IF(OR(DP175="",AND(DP175=DP174,DP175=DP176)),NA(), DP175)</f>
        <v>0</v>
      </c>
      <c r="DQ257">
        <f>IF(ISNA(DR257),NA(),DQ175)</f>
        <v>0</v>
      </c>
      <c r="DR257">
        <f>IF(OR(DR175="",AND(DR175=DR174,DR175=DR176)),NA(), DR175)</f>
        <v>0</v>
      </c>
      <c r="DS257">
        <f>IF(ISNA(DT257),NA(),DS175)</f>
        <v>0</v>
      </c>
      <c r="DT257">
        <f>IF(OR(DT175="",AND(DT175=DT174,DT175=DT176)),NA(), DT175)</f>
        <v>0</v>
      </c>
      <c r="DU257">
        <f>IF(ISNA(DV257),NA(),DU175)</f>
        <v>0</v>
      </c>
      <c r="DV257">
        <f>IF(OR(DV175="",AND(DV175=DV174,DV175=DV176)),NA(), DV175)</f>
        <v>0</v>
      </c>
      <c r="DW257">
        <f>IF(ISNA(DX257),NA(),DW175)</f>
        <v>0</v>
      </c>
      <c r="DX257">
        <f>IF(OR(DX175="",AND(DX175=DX174,DX175=DX176)),NA(), DX175)</f>
        <v>0</v>
      </c>
      <c r="DY257">
        <f>IF(ISNA(DZ257),NA(),DY175)</f>
        <v>0</v>
      </c>
      <c r="DZ257">
        <f>IF(OR(DZ175="",AND(DZ175=DZ174,DZ175=DZ176)),NA(), DZ175)</f>
        <v>0</v>
      </c>
      <c r="EA257">
        <f>IF(ISNA(EB257),NA(),EA175)</f>
        <v>0</v>
      </c>
      <c r="EB257">
        <f>IF(OR(EB175="",AND(EB175=EB174,EB175=EB176)),NA(), EB175)</f>
        <v>0</v>
      </c>
      <c r="EC257">
        <f>IF(ISNA(ED257),NA(),EC175)</f>
        <v>0</v>
      </c>
      <c r="ED257">
        <f>IF(OR(ED175="",AND(ED175=ED174,ED175=ED176)),NA(), ED175)</f>
        <v>0</v>
      </c>
    </row>
    <row r="258" spans="5:134">
      <c r="E258">
        <f>IF(ISNA(F258),NA(),E176)</f>
        <v>0</v>
      </c>
      <c r="F258">
        <f>IF(OR(F176="",AND(F176=F175,F176=F177)),NA(), F176)</f>
        <v>0</v>
      </c>
      <c r="G258">
        <f>IF(ISNA(H258),NA(),G176)</f>
        <v>0</v>
      </c>
      <c r="H258">
        <f>IF(OR(H176="",AND(H176=H175,H176=H177)),NA(), H176)</f>
        <v>0</v>
      </c>
      <c r="I258">
        <f>IF(ISNA(J258),NA(),I176)</f>
        <v>0</v>
      </c>
      <c r="J258">
        <f>IF(OR(J176="",AND(J176=J175,J176=J177)),NA(), J176)</f>
        <v>0</v>
      </c>
      <c r="K258">
        <f>IF(ISNA(L258),NA(),K176)</f>
        <v>0</v>
      </c>
      <c r="L258">
        <f>IF(OR(L176="",AND(L176=L175,L176=L177)),NA(), L176)</f>
        <v>0</v>
      </c>
      <c r="M258">
        <f>IF(ISNA(N258),NA(),M176)</f>
        <v>0</v>
      </c>
      <c r="N258">
        <f>IF(OR(N176="",AND(N176=N175,N176=N177)),NA(), N176)</f>
        <v>0</v>
      </c>
      <c r="O258">
        <f>IF(ISNA(P258),NA(),O176)</f>
        <v>0</v>
      </c>
      <c r="P258">
        <f>IF(OR(P176="",AND(P176=P175,P176=P177)),NA(), P176)</f>
        <v>0</v>
      </c>
      <c r="Q258">
        <f>IF(ISNA(R258),NA(),Q176)</f>
        <v>0</v>
      </c>
      <c r="R258">
        <f>IF(OR(R176="",AND(R176=R175,R176=R177)),NA(), R176)</f>
        <v>0</v>
      </c>
      <c r="S258">
        <f>IF(ISNA(T258),NA(),S176)</f>
        <v>0</v>
      </c>
      <c r="T258">
        <f>IF(OR(T176="",AND(T176=T175,T176=T177)),NA(), T176)</f>
        <v>0</v>
      </c>
      <c r="U258">
        <f>IF(ISNA(V258),NA(),U176)</f>
        <v>0</v>
      </c>
      <c r="V258">
        <f>IF(OR(V176="",AND(V176=V175,V176=V177)),NA(), V176)</f>
        <v>0</v>
      </c>
      <c r="W258">
        <f>IF(ISNA(X258),NA(),W176)</f>
        <v>0</v>
      </c>
      <c r="X258">
        <f>IF(OR(X176="",AND(X176=X175,X176=X177)),NA(), X176)</f>
        <v>0</v>
      </c>
      <c r="Y258">
        <f>IF(ISNA(Z258),NA(),Y176)</f>
        <v>0</v>
      </c>
      <c r="Z258">
        <f>IF(OR(Z176="",AND(Z176=Z175,Z176=Z177)),NA(), Z176)</f>
        <v>0</v>
      </c>
      <c r="AA258">
        <f>IF(ISNA(AB258),NA(),AA176)</f>
        <v>0</v>
      </c>
      <c r="AB258">
        <f>IF(OR(AB176="",AND(AB176=AB175,AB176=AB177)),NA(), AB176)</f>
        <v>0</v>
      </c>
      <c r="AC258">
        <f>IF(ISNA(AD258),NA(),AC176)</f>
        <v>0</v>
      </c>
      <c r="AD258">
        <f>IF(OR(AD176="",AND(AD176=AD175,AD176=AD177)),NA(), AD176)</f>
        <v>0</v>
      </c>
      <c r="AE258">
        <f>IF(ISNA(AF258),NA(),AE176)</f>
        <v>0</v>
      </c>
      <c r="AF258">
        <f>IF(OR(AF176="",AND(AF176=AF175,AF176=AF177)),NA(), AF176)</f>
        <v>0</v>
      </c>
      <c r="AG258">
        <f>IF(ISNA(AH258),NA(),AG176)</f>
        <v>0</v>
      </c>
      <c r="AH258">
        <f>IF(OR(AH176="",AND(AH176=AH175,AH176=AH177)),NA(), AH176)</f>
        <v>0</v>
      </c>
      <c r="AI258">
        <f>IF(ISNA(AJ258),NA(),AI176)</f>
        <v>0</v>
      </c>
      <c r="AJ258">
        <f>IF(OR(AJ176="",AND(AJ176=AJ175,AJ176=AJ177)),NA(), AJ176)</f>
        <v>0</v>
      </c>
      <c r="AK258">
        <f>IF(ISNA(AL258),NA(),AK176)</f>
        <v>0</v>
      </c>
      <c r="AL258">
        <f>IF(OR(AL176="",AND(AL176=AL175,AL176=AL177)),NA(), AL176)</f>
        <v>0</v>
      </c>
      <c r="AM258">
        <f>IF(ISNA(AN258),NA(),AM176)</f>
        <v>0</v>
      </c>
      <c r="AN258">
        <f>IF(OR(AN176="",AND(AN176=AN175,AN176=AN177)),NA(), AN176)</f>
        <v>0</v>
      </c>
      <c r="AO258">
        <f>IF(ISNA(AP258),NA(),AO176)</f>
        <v>0</v>
      </c>
      <c r="AP258">
        <f>IF(OR(AP176="",AND(AP176=AP175,AP176=AP177)),NA(), AP176)</f>
        <v>0</v>
      </c>
      <c r="AQ258">
        <f>IF(ISNA(AR258),NA(),AQ176)</f>
        <v>0</v>
      </c>
      <c r="AR258">
        <f>IF(OR(AR176="",AND(AR176=AR175,AR176=AR177)),NA(), AR176)</f>
        <v>0</v>
      </c>
      <c r="AS258">
        <f>IF(ISNA(AT258),NA(),AS176)</f>
        <v>0</v>
      </c>
      <c r="AT258">
        <f>IF(OR(AT176="",AND(AT176=AT175,AT176=AT177)),NA(), AT176)</f>
        <v>0</v>
      </c>
      <c r="AU258">
        <f>IF(ISNA(AV258),NA(),AU176)</f>
        <v>0</v>
      </c>
      <c r="AV258">
        <f>IF(OR(AV176="",AND(AV176=AV175,AV176=AV177)),NA(), AV176)</f>
        <v>0</v>
      </c>
      <c r="AW258">
        <f>IF(ISNA(AX258),NA(),AW176)</f>
        <v>0</v>
      </c>
      <c r="AX258">
        <f>IF(OR(AX176="",AND(AX176=AX175,AX176=AX177)),NA(), AX176)</f>
        <v>0</v>
      </c>
      <c r="AY258">
        <f>IF(ISNA(AZ258),NA(),AY176)</f>
        <v>0</v>
      </c>
      <c r="AZ258">
        <f>IF(OR(AZ176="",AND(AZ176=AZ175,AZ176=AZ177)),NA(), AZ176)</f>
        <v>0</v>
      </c>
      <c r="BA258">
        <f>IF(ISNA(BB258),NA(),BA176)</f>
        <v>0</v>
      </c>
      <c r="BB258">
        <f>IF(OR(BB176="",AND(BB176=BB175,BB176=BB177)),NA(), BB176)</f>
        <v>0</v>
      </c>
      <c r="BC258">
        <f>IF(ISNA(BD258),NA(),BC176)</f>
        <v>0</v>
      </c>
      <c r="BD258">
        <f>IF(OR(BD176="",AND(BD176=BD175,BD176=BD177)),NA(), BD176)</f>
        <v>0</v>
      </c>
      <c r="BE258">
        <f>IF(ISNA(BF258),NA(),BE176)</f>
        <v>0</v>
      </c>
      <c r="BF258">
        <f>IF(OR(BF176="",AND(BF176=BF175,BF176=BF177)),NA(), BF176)</f>
        <v>0</v>
      </c>
      <c r="BG258">
        <f>IF(ISNA(BH258),NA(),BG176)</f>
        <v>0</v>
      </c>
      <c r="BH258">
        <f>IF(OR(BH176="",AND(BH176=BH175,BH176=BH177)),NA(), BH176)</f>
        <v>0</v>
      </c>
      <c r="BI258">
        <f>IF(ISNA(BJ258),NA(),BI176)</f>
        <v>0</v>
      </c>
      <c r="BJ258">
        <f>IF(OR(BJ176="",AND(BJ176=BJ175,BJ176=BJ177)),NA(), BJ176)</f>
        <v>0</v>
      </c>
      <c r="BK258">
        <f>IF(ISNA(BL258),NA(),BK176)</f>
        <v>0</v>
      </c>
      <c r="BL258">
        <f>IF(OR(BL176="",AND(BL176=BL175,BL176=BL177)),NA(), BL176)</f>
        <v>0</v>
      </c>
      <c r="BM258">
        <f>IF(ISNA(BN258),NA(),BM176)</f>
        <v>0</v>
      </c>
      <c r="BN258">
        <f>IF(OR(BN176="",AND(BN176=BN175,BN176=BN177)),NA(), BN176)</f>
        <v>0</v>
      </c>
      <c r="BO258">
        <f>IF(ISNA(BP258),NA(),BO176)</f>
        <v>0</v>
      </c>
      <c r="BP258">
        <f>IF(OR(BP176="",AND(BP176=BP175,BP176=BP177)),NA(), BP176)</f>
        <v>0</v>
      </c>
      <c r="BS258">
        <f>IF(ISNA(BT258),NA(),BS176)</f>
        <v>0</v>
      </c>
      <c r="BT258">
        <f>IF(OR(BT176="",AND(BT176=BT175,BT176=BT177)),NA(), BT176)</f>
        <v>0</v>
      </c>
      <c r="BU258">
        <f>IF(ISNA(BV258),NA(),BU176)</f>
        <v>0</v>
      </c>
      <c r="BV258">
        <f>IF(OR(BV176="",AND(BV176=BV175,BV176=BV177)),NA(), BV176)</f>
        <v>0</v>
      </c>
      <c r="BW258">
        <f>IF(ISNA(BX258),NA(),BW176)</f>
        <v>0</v>
      </c>
      <c r="BX258">
        <f>IF(OR(BX176="",AND(BX176=BX175,BX176=BX177)),NA(), BX176)</f>
        <v>0</v>
      </c>
      <c r="BY258">
        <f>IF(ISNA(BZ258),NA(),BY176)</f>
        <v>0</v>
      </c>
      <c r="BZ258">
        <f>IF(OR(BZ176="",AND(BZ176=BZ175,BZ176=BZ177)),NA(), BZ176)</f>
        <v>0</v>
      </c>
      <c r="CA258">
        <f>IF(ISNA(CB258),NA(),CA176)</f>
        <v>0</v>
      </c>
      <c r="CB258">
        <f>IF(OR(CB176="",AND(CB176=CB175,CB176=CB177)),NA(), CB176)</f>
        <v>0</v>
      </c>
      <c r="CC258">
        <f>IF(ISNA(CD258),NA(),CC176)</f>
        <v>0</v>
      </c>
      <c r="CD258">
        <f>IF(OR(CD176="",AND(CD176=CD175,CD176=CD177)),NA(), CD176)</f>
        <v>0</v>
      </c>
      <c r="CE258">
        <f>IF(ISNA(CF258),NA(),CE176)</f>
        <v>0</v>
      </c>
      <c r="CF258">
        <f>IF(OR(CF176="",AND(CF176=CF175,CF176=CF177)),NA(), CF176)</f>
        <v>0</v>
      </c>
      <c r="CG258">
        <f>IF(ISNA(CH258),NA(),CG176)</f>
        <v>0</v>
      </c>
      <c r="CH258">
        <f>IF(OR(CH176="",AND(CH176=CH175,CH176=CH177)),NA(), CH176)</f>
        <v>0</v>
      </c>
      <c r="CI258">
        <f>IF(ISNA(CJ258),NA(),CI176)</f>
        <v>0</v>
      </c>
      <c r="CJ258">
        <f>IF(OR(CJ176="",AND(CJ176=CJ175,CJ176=CJ177)),NA(), CJ176)</f>
        <v>0</v>
      </c>
      <c r="CK258">
        <f>IF(ISNA(CL258),NA(),CK176)</f>
        <v>0</v>
      </c>
      <c r="CL258">
        <f>IF(OR(CL176="",AND(CL176=CL175,CL176=CL177)),NA(), CL176)</f>
        <v>0</v>
      </c>
      <c r="CM258">
        <f>IF(ISNA(CN258),NA(),CM176)</f>
        <v>0</v>
      </c>
      <c r="CN258">
        <f>IF(OR(CN176="",AND(CN176=CN175,CN176=CN177)),NA(), CN176)</f>
        <v>0</v>
      </c>
      <c r="CO258">
        <f>IF(ISNA(CP258),NA(),CO176)</f>
        <v>0</v>
      </c>
      <c r="CP258">
        <f>IF(OR(CP176="",AND(CP176=CP175,CP176=CP177)),NA(), CP176)</f>
        <v>0</v>
      </c>
      <c r="CQ258">
        <f>IF(ISNA(CR258),NA(),CQ176)</f>
        <v>0</v>
      </c>
      <c r="CR258">
        <f>IF(OR(CR176="",AND(CR176=CR175,CR176=CR177)),NA(), CR176)</f>
        <v>0</v>
      </c>
      <c r="CS258">
        <f>IF(ISNA(CT258),NA(),CS176)</f>
        <v>0</v>
      </c>
      <c r="CT258">
        <f>IF(OR(CT176="",AND(CT176=CT175,CT176=CT177)),NA(), CT176)</f>
        <v>0</v>
      </c>
      <c r="CU258">
        <f>IF(ISNA(CV258),NA(),CU176)</f>
        <v>0</v>
      </c>
      <c r="CV258">
        <f>IF(OR(CV176="",AND(CV176=CV175,CV176=CV177)),NA(), CV176)</f>
        <v>0</v>
      </c>
      <c r="CW258">
        <f>IF(ISNA(CX258),NA(),CW176)</f>
        <v>0</v>
      </c>
      <c r="CX258">
        <f>IF(OR(CX176="",AND(CX176=CX175,CX176=CX177)),NA(), CX176)</f>
        <v>0</v>
      </c>
      <c r="CY258">
        <f>IF(ISNA(CZ258),NA(),CY176)</f>
        <v>0</v>
      </c>
      <c r="CZ258">
        <f>IF(OR(CZ176="",AND(CZ176=CZ175,CZ176=CZ177)),NA(), CZ176)</f>
        <v>0</v>
      </c>
      <c r="DA258">
        <f>IF(ISNA(DB258),NA(),DA176)</f>
        <v>0</v>
      </c>
      <c r="DB258">
        <f>IF(OR(DB176="",AND(DB176=DB175,DB176=DB177)),NA(), DB176)</f>
        <v>0</v>
      </c>
      <c r="DC258">
        <f>IF(ISNA(DD258),NA(),DC176)</f>
        <v>0</v>
      </c>
      <c r="DD258">
        <f>IF(OR(DD176="",AND(DD176=DD175,DD176=DD177)),NA(), DD176)</f>
        <v>0</v>
      </c>
      <c r="DE258">
        <f>IF(ISNA(DF258),NA(),DE176)</f>
        <v>0</v>
      </c>
      <c r="DF258">
        <f>IF(OR(DF176="",AND(DF176=DF175,DF176=DF177)),NA(), DF176)</f>
        <v>0</v>
      </c>
      <c r="DG258">
        <f>IF(ISNA(DH258),NA(),DG176)</f>
        <v>0</v>
      </c>
      <c r="DH258">
        <f>IF(OR(DH176="",AND(DH176=DH175,DH176=DH177)),NA(), DH176)</f>
        <v>0</v>
      </c>
      <c r="DI258">
        <f>IF(ISNA(DJ258),NA(),DI176)</f>
        <v>0</v>
      </c>
      <c r="DJ258">
        <f>IF(OR(DJ176="",AND(DJ176=DJ175,DJ176=DJ177)),NA(), DJ176)</f>
        <v>0</v>
      </c>
      <c r="DK258">
        <f>IF(ISNA(DL258),NA(),DK176)</f>
        <v>0</v>
      </c>
      <c r="DL258">
        <f>IF(OR(DL176="",AND(DL176=DL175,DL176=DL177)),NA(), DL176)</f>
        <v>0</v>
      </c>
      <c r="DM258">
        <f>IF(ISNA(DN258),NA(),DM176)</f>
        <v>0</v>
      </c>
      <c r="DN258">
        <f>IF(OR(DN176="",AND(DN176=DN175,DN176=DN177)),NA(), DN176)</f>
        <v>0</v>
      </c>
      <c r="DO258">
        <f>IF(ISNA(DP258),NA(),DO176)</f>
        <v>0</v>
      </c>
      <c r="DP258">
        <f>IF(OR(DP176="",AND(DP176=DP175,DP176=DP177)),NA(), DP176)</f>
        <v>0</v>
      </c>
      <c r="DQ258">
        <f>IF(ISNA(DR258),NA(),DQ176)</f>
        <v>0</v>
      </c>
      <c r="DR258">
        <f>IF(OR(DR176="",AND(DR176=DR175,DR176=DR177)),NA(), DR176)</f>
        <v>0</v>
      </c>
      <c r="DS258">
        <f>IF(ISNA(DT258),NA(),DS176)</f>
        <v>0</v>
      </c>
      <c r="DT258">
        <f>IF(OR(DT176="",AND(DT176=DT175,DT176=DT177)),NA(), DT176)</f>
        <v>0</v>
      </c>
      <c r="DU258">
        <f>IF(ISNA(DV258),NA(),DU176)</f>
        <v>0</v>
      </c>
      <c r="DV258">
        <f>IF(OR(DV176="",AND(DV176=DV175,DV176=DV177)),NA(), DV176)</f>
        <v>0</v>
      </c>
      <c r="DW258">
        <f>IF(ISNA(DX258),NA(),DW176)</f>
        <v>0</v>
      </c>
      <c r="DX258">
        <f>IF(OR(DX176="",AND(DX176=DX175,DX176=DX177)),NA(), DX176)</f>
        <v>0</v>
      </c>
      <c r="DY258">
        <f>IF(ISNA(DZ258),NA(),DY176)</f>
        <v>0</v>
      </c>
      <c r="DZ258">
        <f>IF(OR(DZ176="",AND(DZ176=DZ175,DZ176=DZ177)),NA(), DZ176)</f>
        <v>0</v>
      </c>
      <c r="EA258">
        <f>IF(ISNA(EB258),NA(),EA176)</f>
        <v>0</v>
      </c>
      <c r="EB258">
        <f>IF(OR(EB176="",AND(EB176=EB175,EB176=EB177)),NA(), EB176)</f>
        <v>0</v>
      </c>
      <c r="EC258">
        <f>IF(ISNA(ED258),NA(),EC176)</f>
        <v>0</v>
      </c>
      <c r="ED258">
        <f>IF(OR(ED176="",AND(ED176=ED175,ED176=ED177)),NA(), ED176)</f>
        <v>0</v>
      </c>
    </row>
    <row r="259" spans="5:134">
      <c r="E259">
        <f>IF(ISNA(F259),NA(),E177)</f>
        <v>0</v>
      </c>
      <c r="F259">
        <f>IF(OR(F177="",AND(F177=F176,F177=F178)),NA(), F177)</f>
        <v>0</v>
      </c>
      <c r="G259">
        <f>IF(ISNA(H259),NA(),G177)</f>
        <v>0</v>
      </c>
      <c r="H259">
        <f>IF(OR(H177="",AND(H177=H176,H177=H178)),NA(), H177)</f>
        <v>0</v>
      </c>
      <c r="I259">
        <f>IF(ISNA(J259),NA(),I177)</f>
        <v>0</v>
      </c>
      <c r="J259">
        <f>IF(OR(J177="",AND(J177=J176,J177=J178)),NA(), J177)</f>
        <v>0</v>
      </c>
      <c r="K259">
        <f>IF(ISNA(L259),NA(),K177)</f>
        <v>0</v>
      </c>
      <c r="L259">
        <f>IF(OR(L177="",AND(L177=L176,L177=L178)),NA(), L177)</f>
        <v>0</v>
      </c>
      <c r="M259">
        <f>IF(ISNA(N259),NA(),M177)</f>
        <v>0</v>
      </c>
      <c r="N259">
        <f>IF(OR(N177="",AND(N177=N176,N177=N178)),NA(), N177)</f>
        <v>0</v>
      </c>
      <c r="O259">
        <f>IF(ISNA(P259),NA(),O177)</f>
        <v>0</v>
      </c>
      <c r="P259">
        <f>IF(OR(P177="",AND(P177=P176,P177=P178)),NA(), P177)</f>
        <v>0</v>
      </c>
      <c r="Q259">
        <f>IF(ISNA(R259),NA(),Q177)</f>
        <v>0</v>
      </c>
      <c r="R259">
        <f>IF(OR(R177="",AND(R177=R176,R177=R178)),NA(), R177)</f>
        <v>0</v>
      </c>
      <c r="S259">
        <f>IF(ISNA(T259),NA(),S177)</f>
        <v>0</v>
      </c>
      <c r="T259">
        <f>IF(OR(T177="",AND(T177=T176,T177=T178)),NA(), T177)</f>
        <v>0</v>
      </c>
      <c r="U259">
        <f>IF(ISNA(V259),NA(),U177)</f>
        <v>0</v>
      </c>
      <c r="V259">
        <f>IF(OR(V177="",AND(V177=V176,V177=V178)),NA(), V177)</f>
        <v>0</v>
      </c>
      <c r="W259">
        <f>IF(ISNA(X259),NA(),W177)</f>
        <v>0</v>
      </c>
      <c r="X259">
        <f>IF(OR(X177="",AND(X177=X176,X177=X178)),NA(), X177)</f>
        <v>0</v>
      </c>
      <c r="Y259">
        <f>IF(ISNA(Z259),NA(),Y177)</f>
        <v>0</v>
      </c>
      <c r="Z259">
        <f>IF(OR(Z177="",AND(Z177=Z176,Z177=Z178)),NA(), Z177)</f>
        <v>0</v>
      </c>
      <c r="AA259">
        <f>IF(ISNA(AB259),NA(),AA177)</f>
        <v>0</v>
      </c>
      <c r="AB259">
        <f>IF(OR(AB177="",AND(AB177=AB176,AB177=AB178)),NA(), AB177)</f>
        <v>0</v>
      </c>
      <c r="AC259">
        <f>IF(ISNA(AD259),NA(),AC177)</f>
        <v>0</v>
      </c>
      <c r="AD259">
        <f>IF(OR(AD177="",AND(AD177=AD176,AD177=AD178)),NA(), AD177)</f>
        <v>0</v>
      </c>
      <c r="AE259">
        <f>IF(ISNA(AF259),NA(),AE177)</f>
        <v>0</v>
      </c>
      <c r="AF259">
        <f>IF(OR(AF177="",AND(AF177=AF176,AF177=AF178)),NA(), AF177)</f>
        <v>0</v>
      </c>
      <c r="AG259">
        <f>IF(ISNA(AH259),NA(),AG177)</f>
        <v>0</v>
      </c>
      <c r="AH259">
        <f>IF(OR(AH177="",AND(AH177=AH176,AH177=AH178)),NA(), AH177)</f>
        <v>0</v>
      </c>
      <c r="AI259">
        <f>IF(ISNA(AJ259),NA(),AI177)</f>
        <v>0</v>
      </c>
      <c r="AJ259">
        <f>IF(OR(AJ177="",AND(AJ177=AJ176,AJ177=AJ178)),NA(), AJ177)</f>
        <v>0</v>
      </c>
      <c r="AK259">
        <f>IF(ISNA(AL259),NA(),AK177)</f>
        <v>0</v>
      </c>
      <c r="AL259">
        <f>IF(OR(AL177="",AND(AL177=AL176,AL177=AL178)),NA(), AL177)</f>
        <v>0</v>
      </c>
      <c r="AM259">
        <f>IF(ISNA(AN259),NA(),AM177)</f>
        <v>0</v>
      </c>
      <c r="AN259">
        <f>IF(OR(AN177="",AND(AN177=AN176,AN177=AN178)),NA(), AN177)</f>
        <v>0</v>
      </c>
      <c r="AO259">
        <f>IF(ISNA(AP259),NA(),AO177)</f>
        <v>0</v>
      </c>
      <c r="AP259">
        <f>IF(OR(AP177="",AND(AP177=AP176,AP177=AP178)),NA(), AP177)</f>
        <v>0</v>
      </c>
      <c r="AQ259">
        <f>IF(ISNA(AR259),NA(),AQ177)</f>
        <v>0</v>
      </c>
      <c r="AR259">
        <f>IF(OR(AR177="",AND(AR177=AR176,AR177=AR178)),NA(), AR177)</f>
        <v>0</v>
      </c>
      <c r="AS259">
        <f>IF(ISNA(AT259),NA(),AS177)</f>
        <v>0</v>
      </c>
      <c r="AT259">
        <f>IF(OR(AT177="",AND(AT177=AT176,AT177=AT178)),NA(), AT177)</f>
        <v>0</v>
      </c>
      <c r="AU259">
        <f>IF(ISNA(AV259),NA(),AU177)</f>
        <v>0</v>
      </c>
      <c r="AV259">
        <f>IF(OR(AV177="",AND(AV177=AV176,AV177=AV178)),NA(), AV177)</f>
        <v>0</v>
      </c>
      <c r="AW259">
        <f>IF(ISNA(AX259),NA(),AW177)</f>
        <v>0</v>
      </c>
      <c r="AX259">
        <f>IF(OR(AX177="",AND(AX177=AX176,AX177=AX178)),NA(), AX177)</f>
        <v>0</v>
      </c>
      <c r="AY259">
        <f>IF(ISNA(AZ259),NA(),AY177)</f>
        <v>0</v>
      </c>
      <c r="AZ259">
        <f>IF(OR(AZ177="",AND(AZ177=AZ176,AZ177=AZ178)),NA(), AZ177)</f>
        <v>0</v>
      </c>
      <c r="BA259">
        <f>IF(ISNA(BB259),NA(),BA177)</f>
        <v>0</v>
      </c>
      <c r="BB259">
        <f>IF(OR(BB177="",AND(BB177=BB176,BB177=BB178)),NA(), BB177)</f>
        <v>0</v>
      </c>
      <c r="BC259">
        <f>IF(ISNA(BD259),NA(),BC177)</f>
        <v>0</v>
      </c>
      <c r="BD259">
        <f>IF(OR(BD177="",AND(BD177=BD176,BD177=BD178)),NA(), BD177)</f>
        <v>0</v>
      </c>
      <c r="BE259">
        <f>IF(ISNA(BF259),NA(),BE177)</f>
        <v>0</v>
      </c>
      <c r="BF259">
        <f>IF(OR(BF177="",AND(BF177=BF176,BF177=BF178)),NA(), BF177)</f>
        <v>0</v>
      </c>
      <c r="BG259">
        <f>IF(ISNA(BH259),NA(),BG177)</f>
        <v>0</v>
      </c>
      <c r="BH259">
        <f>IF(OR(BH177="",AND(BH177=BH176,BH177=BH178)),NA(), BH177)</f>
        <v>0</v>
      </c>
      <c r="BI259">
        <f>IF(ISNA(BJ259),NA(),BI177)</f>
        <v>0</v>
      </c>
      <c r="BJ259">
        <f>IF(OR(BJ177="",AND(BJ177=BJ176,BJ177=BJ178)),NA(), BJ177)</f>
        <v>0</v>
      </c>
      <c r="BK259">
        <f>IF(ISNA(BL259),NA(),BK177)</f>
        <v>0</v>
      </c>
      <c r="BL259">
        <f>IF(OR(BL177="",AND(BL177=BL176,BL177=BL178)),NA(), BL177)</f>
        <v>0</v>
      </c>
      <c r="BM259">
        <f>IF(ISNA(BN259),NA(),BM177)</f>
        <v>0</v>
      </c>
      <c r="BN259">
        <f>IF(OR(BN177="",AND(BN177=BN176,BN177=BN178)),NA(), BN177)</f>
        <v>0</v>
      </c>
      <c r="BO259">
        <f>IF(ISNA(BP259),NA(),BO177)</f>
        <v>0</v>
      </c>
      <c r="BP259">
        <f>IF(OR(BP177="",AND(BP177=BP176,BP177=BP178)),NA(), BP177)</f>
        <v>0</v>
      </c>
      <c r="BS259">
        <f>IF(ISNA(BT259),NA(),BS177)</f>
        <v>0</v>
      </c>
      <c r="BT259">
        <f>IF(OR(BT177="",AND(BT177=BT176,BT177=BT178)),NA(), BT177)</f>
        <v>0</v>
      </c>
      <c r="BU259">
        <f>IF(ISNA(BV259),NA(),BU177)</f>
        <v>0</v>
      </c>
      <c r="BV259">
        <f>IF(OR(BV177="",AND(BV177=BV176,BV177=BV178)),NA(), BV177)</f>
        <v>0</v>
      </c>
      <c r="BW259">
        <f>IF(ISNA(BX259),NA(),BW177)</f>
        <v>0</v>
      </c>
      <c r="BX259">
        <f>IF(OR(BX177="",AND(BX177=BX176,BX177=BX178)),NA(), BX177)</f>
        <v>0</v>
      </c>
      <c r="BY259">
        <f>IF(ISNA(BZ259),NA(),BY177)</f>
        <v>0</v>
      </c>
      <c r="BZ259">
        <f>IF(OR(BZ177="",AND(BZ177=BZ176,BZ177=BZ178)),NA(), BZ177)</f>
        <v>0</v>
      </c>
      <c r="CA259">
        <f>IF(ISNA(CB259),NA(),CA177)</f>
        <v>0</v>
      </c>
      <c r="CB259">
        <f>IF(OR(CB177="",AND(CB177=CB176,CB177=CB178)),NA(), CB177)</f>
        <v>0</v>
      </c>
      <c r="CC259">
        <f>IF(ISNA(CD259),NA(),CC177)</f>
        <v>0</v>
      </c>
      <c r="CD259">
        <f>IF(OR(CD177="",AND(CD177=CD176,CD177=CD178)),NA(), CD177)</f>
        <v>0</v>
      </c>
      <c r="CE259">
        <f>IF(ISNA(CF259),NA(),CE177)</f>
        <v>0</v>
      </c>
      <c r="CF259">
        <f>IF(OR(CF177="",AND(CF177=CF176,CF177=CF178)),NA(), CF177)</f>
        <v>0</v>
      </c>
      <c r="CG259">
        <f>IF(ISNA(CH259),NA(),CG177)</f>
        <v>0</v>
      </c>
      <c r="CH259">
        <f>IF(OR(CH177="",AND(CH177=CH176,CH177=CH178)),NA(), CH177)</f>
        <v>0</v>
      </c>
      <c r="CI259">
        <f>IF(ISNA(CJ259),NA(),CI177)</f>
        <v>0</v>
      </c>
      <c r="CJ259">
        <f>IF(OR(CJ177="",AND(CJ177=CJ176,CJ177=CJ178)),NA(), CJ177)</f>
        <v>0</v>
      </c>
      <c r="CK259">
        <f>IF(ISNA(CL259),NA(),CK177)</f>
        <v>0</v>
      </c>
      <c r="CL259">
        <f>IF(OR(CL177="",AND(CL177=CL176,CL177=CL178)),NA(), CL177)</f>
        <v>0</v>
      </c>
      <c r="CM259">
        <f>IF(ISNA(CN259),NA(),CM177)</f>
        <v>0</v>
      </c>
      <c r="CN259">
        <f>IF(OR(CN177="",AND(CN177=CN176,CN177=CN178)),NA(), CN177)</f>
        <v>0</v>
      </c>
      <c r="CO259">
        <f>IF(ISNA(CP259),NA(),CO177)</f>
        <v>0</v>
      </c>
      <c r="CP259">
        <f>IF(OR(CP177="",AND(CP177=CP176,CP177=CP178)),NA(), CP177)</f>
        <v>0</v>
      </c>
      <c r="CQ259">
        <f>IF(ISNA(CR259),NA(),CQ177)</f>
        <v>0</v>
      </c>
      <c r="CR259">
        <f>IF(OR(CR177="",AND(CR177=CR176,CR177=CR178)),NA(), CR177)</f>
        <v>0</v>
      </c>
      <c r="CS259">
        <f>IF(ISNA(CT259),NA(),CS177)</f>
        <v>0</v>
      </c>
      <c r="CT259">
        <f>IF(OR(CT177="",AND(CT177=CT176,CT177=CT178)),NA(), CT177)</f>
        <v>0</v>
      </c>
      <c r="CU259">
        <f>IF(ISNA(CV259),NA(),CU177)</f>
        <v>0</v>
      </c>
      <c r="CV259">
        <f>IF(OR(CV177="",AND(CV177=CV176,CV177=CV178)),NA(), CV177)</f>
        <v>0</v>
      </c>
      <c r="CW259">
        <f>IF(ISNA(CX259),NA(),CW177)</f>
        <v>0</v>
      </c>
      <c r="CX259">
        <f>IF(OR(CX177="",AND(CX177=CX176,CX177=CX178)),NA(), CX177)</f>
        <v>0</v>
      </c>
      <c r="CY259">
        <f>IF(ISNA(CZ259),NA(),CY177)</f>
        <v>0</v>
      </c>
      <c r="CZ259">
        <f>IF(OR(CZ177="",AND(CZ177=CZ176,CZ177=CZ178)),NA(), CZ177)</f>
        <v>0</v>
      </c>
      <c r="DA259">
        <f>IF(ISNA(DB259),NA(),DA177)</f>
        <v>0</v>
      </c>
      <c r="DB259">
        <f>IF(OR(DB177="",AND(DB177=DB176,DB177=DB178)),NA(), DB177)</f>
        <v>0</v>
      </c>
      <c r="DC259">
        <f>IF(ISNA(DD259),NA(),DC177)</f>
        <v>0</v>
      </c>
      <c r="DD259">
        <f>IF(OR(DD177="",AND(DD177=DD176,DD177=DD178)),NA(), DD177)</f>
        <v>0</v>
      </c>
      <c r="DE259">
        <f>IF(ISNA(DF259),NA(),DE177)</f>
        <v>0</v>
      </c>
      <c r="DF259">
        <f>IF(OR(DF177="",AND(DF177=DF176,DF177=DF178)),NA(), DF177)</f>
        <v>0</v>
      </c>
      <c r="DG259">
        <f>IF(ISNA(DH259),NA(),DG177)</f>
        <v>0</v>
      </c>
      <c r="DH259">
        <f>IF(OR(DH177="",AND(DH177=DH176,DH177=DH178)),NA(), DH177)</f>
        <v>0</v>
      </c>
      <c r="DI259">
        <f>IF(ISNA(DJ259),NA(),DI177)</f>
        <v>0</v>
      </c>
      <c r="DJ259">
        <f>IF(OR(DJ177="",AND(DJ177=DJ176,DJ177=DJ178)),NA(), DJ177)</f>
        <v>0</v>
      </c>
      <c r="DK259">
        <f>IF(ISNA(DL259),NA(),DK177)</f>
        <v>0</v>
      </c>
      <c r="DL259">
        <f>IF(OR(DL177="",AND(DL177=DL176,DL177=DL178)),NA(), DL177)</f>
        <v>0</v>
      </c>
      <c r="DM259">
        <f>IF(ISNA(DN259),NA(),DM177)</f>
        <v>0</v>
      </c>
      <c r="DN259">
        <f>IF(OR(DN177="",AND(DN177=DN176,DN177=DN178)),NA(), DN177)</f>
        <v>0</v>
      </c>
      <c r="DO259">
        <f>IF(ISNA(DP259),NA(),DO177)</f>
        <v>0</v>
      </c>
      <c r="DP259">
        <f>IF(OR(DP177="",AND(DP177=DP176,DP177=DP178)),NA(), DP177)</f>
        <v>0</v>
      </c>
      <c r="DQ259">
        <f>IF(ISNA(DR259),NA(),DQ177)</f>
        <v>0</v>
      </c>
      <c r="DR259">
        <f>IF(OR(DR177="",AND(DR177=DR176,DR177=DR178)),NA(), DR177)</f>
        <v>0</v>
      </c>
      <c r="DS259">
        <f>IF(ISNA(DT259),NA(),DS177)</f>
        <v>0</v>
      </c>
      <c r="DT259">
        <f>IF(OR(DT177="",AND(DT177=DT176,DT177=DT178)),NA(), DT177)</f>
        <v>0</v>
      </c>
      <c r="DU259">
        <f>IF(ISNA(DV259),NA(),DU177)</f>
        <v>0</v>
      </c>
      <c r="DV259">
        <f>IF(OR(DV177="",AND(DV177=DV176,DV177=DV178)),NA(), DV177)</f>
        <v>0</v>
      </c>
      <c r="DW259">
        <f>IF(ISNA(DX259),NA(),DW177)</f>
        <v>0</v>
      </c>
      <c r="DX259">
        <f>IF(OR(DX177="",AND(DX177=DX176,DX177=DX178)),NA(), DX177)</f>
        <v>0</v>
      </c>
      <c r="DY259">
        <f>IF(ISNA(DZ259),NA(),DY177)</f>
        <v>0</v>
      </c>
      <c r="DZ259">
        <f>IF(OR(DZ177="",AND(DZ177=DZ176,DZ177=DZ178)),NA(), DZ177)</f>
        <v>0</v>
      </c>
      <c r="EA259">
        <f>IF(ISNA(EB259),NA(),EA177)</f>
        <v>0</v>
      </c>
      <c r="EB259">
        <f>IF(OR(EB177="",AND(EB177=EB176,EB177=EB178)),NA(), EB177)</f>
        <v>0</v>
      </c>
      <c r="EC259">
        <f>IF(ISNA(ED259),NA(),EC177)</f>
        <v>0</v>
      </c>
      <c r="ED259">
        <f>IF(OR(ED177="",AND(ED177=ED176,ED177=ED178)),NA(), ED177)</f>
        <v>0</v>
      </c>
    </row>
    <row r="260" spans="5:134">
      <c r="E260">
        <f>IF(ISNA(F260),NA(),E178)</f>
        <v>0</v>
      </c>
      <c r="F260">
        <f>IF(OR(F178="",AND(F178=F177,F178=F179)),NA(), F178)</f>
        <v>0</v>
      </c>
      <c r="G260">
        <f>IF(ISNA(H260),NA(),G178)</f>
        <v>0</v>
      </c>
      <c r="H260">
        <f>IF(OR(H178="",AND(H178=H177,H178=H179)),NA(), H178)</f>
        <v>0</v>
      </c>
      <c r="I260">
        <f>IF(ISNA(J260),NA(),I178)</f>
        <v>0</v>
      </c>
      <c r="J260">
        <f>IF(OR(J178="",AND(J178=J177,J178=J179)),NA(), J178)</f>
        <v>0</v>
      </c>
      <c r="K260">
        <f>IF(ISNA(L260),NA(),K178)</f>
        <v>0</v>
      </c>
      <c r="L260">
        <f>IF(OR(L178="",AND(L178=L177,L178=L179)),NA(), L178)</f>
        <v>0</v>
      </c>
      <c r="M260">
        <f>IF(ISNA(N260),NA(),M178)</f>
        <v>0</v>
      </c>
      <c r="N260">
        <f>IF(OR(N178="",AND(N178=N177,N178=N179)),NA(), N178)</f>
        <v>0</v>
      </c>
      <c r="O260">
        <f>IF(ISNA(P260),NA(),O178)</f>
        <v>0</v>
      </c>
      <c r="P260">
        <f>IF(OR(P178="",AND(P178=P177,P178=P179)),NA(), P178)</f>
        <v>0</v>
      </c>
      <c r="Q260">
        <f>IF(ISNA(R260),NA(),Q178)</f>
        <v>0</v>
      </c>
      <c r="R260">
        <f>IF(OR(R178="",AND(R178=R177,R178=R179)),NA(), R178)</f>
        <v>0</v>
      </c>
      <c r="S260">
        <f>IF(ISNA(T260),NA(),S178)</f>
        <v>0</v>
      </c>
      <c r="T260">
        <f>IF(OR(T178="",AND(T178=T177,T178=T179)),NA(), T178)</f>
        <v>0</v>
      </c>
      <c r="U260">
        <f>IF(ISNA(V260),NA(),U178)</f>
        <v>0</v>
      </c>
      <c r="V260">
        <f>IF(OR(V178="",AND(V178=V177,V178=V179)),NA(), V178)</f>
        <v>0</v>
      </c>
      <c r="W260">
        <f>IF(ISNA(X260),NA(),W178)</f>
        <v>0</v>
      </c>
      <c r="X260">
        <f>IF(OR(X178="",AND(X178=X177,X178=X179)),NA(), X178)</f>
        <v>0</v>
      </c>
      <c r="Y260">
        <f>IF(ISNA(Z260),NA(),Y178)</f>
        <v>0</v>
      </c>
      <c r="Z260">
        <f>IF(OR(Z178="",AND(Z178=Z177,Z178=Z179)),NA(), Z178)</f>
        <v>0</v>
      </c>
      <c r="AA260">
        <f>IF(ISNA(AB260),NA(),AA178)</f>
        <v>0</v>
      </c>
      <c r="AB260">
        <f>IF(OR(AB178="",AND(AB178=AB177,AB178=AB179)),NA(), AB178)</f>
        <v>0</v>
      </c>
      <c r="AC260">
        <f>IF(ISNA(AD260),NA(),AC178)</f>
        <v>0</v>
      </c>
      <c r="AD260">
        <f>IF(OR(AD178="",AND(AD178=AD177,AD178=AD179)),NA(), AD178)</f>
        <v>0</v>
      </c>
      <c r="AE260">
        <f>IF(ISNA(AF260),NA(),AE178)</f>
        <v>0</v>
      </c>
      <c r="AF260">
        <f>IF(OR(AF178="",AND(AF178=AF177,AF178=AF179)),NA(), AF178)</f>
        <v>0</v>
      </c>
      <c r="AG260">
        <f>IF(ISNA(AH260),NA(),AG178)</f>
        <v>0</v>
      </c>
      <c r="AH260">
        <f>IF(OR(AH178="",AND(AH178=AH177,AH178=AH179)),NA(), AH178)</f>
        <v>0</v>
      </c>
      <c r="AI260">
        <f>IF(ISNA(AJ260),NA(),AI178)</f>
        <v>0</v>
      </c>
      <c r="AJ260">
        <f>IF(OR(AJ178="",AND(AJ178=AJ177,AJ178=AJ179)),NA(), AJ178)</f>
        <v>0</v>
      </c>
      <c r="AK260">
        <f>IF(ISNA(AL260),NA(),AK178)</f>
        <v>0</v>
      </c>
      <c r="AL260">
        <f>IF(OR(AL178="",AND(AL178=AL177,AL178=AL179)),NA(), AL178)</f>
        <v>0</v>
      </c>
      <c r="AM260">
        <f>IF(ISNA(AN260),NA(),AM178)</f>
        <v>0</v>
      </c>
      <c r="AN260">
        <f>IF(OR(AN178="",AND(AN178=AN177,AN178=AN179)),NA(), AN178)</f>
        <v>0</v>
      </c>
      <c r="AO260">
        <f>IF(ISNA(AP260),NA(),AO178)</f>
        <v>0</v>
      </c>
      <c r="AP260">
        <f>IF(OR(AP178="",AND(AP178=AP177,AP178=AP179)),NA(), AP178)</f>
        <v>0</v>
      </c>
      <c r="AQ260">
        <f>IF(ISNA(AR260),NA(),AQ178)</f>
        <v>0</v>
      </c>
      <c r="AR260">
        <f>IF(OR(AR178="",AND(AR178=AR177,AR178=AR179)),NA(), AR178)</f>
        <v>0</v>
      </c>
      <c r="AS260">
        <f>IF(ISNA(AT260),NA(),AS178)</f>
        <v>0</v>
      </c>
      <c r="AT260">
        <f>IF(OR(AT178="",AND(AT178=AT177,AT178=AT179)),NA(), AT178)</f>
        <v>0</v>
      </c>
      <c r="AU260">
        <f>IF(ISNA(AV260),NA(),AU178)</f>
        <v>0</v>
      </c>
      <c r="AV260">
        <f>IF(OR(AV178="",AND(AV178=AV177,AV178=AV179)),NA(), AV178)</f>
        <v>0</v>
      </c>
      <c r="AW260">
        <f>IF(ISNA(AX260),NA(),AW178)</f>
        <v>0</v>
      </c>
      <c r="AX260">
        <f>IF(OR(AX178="",AND(AX178=AX177,AX178=AX179)),NA(), AX178)</f>
        <v>0</v>
      </c>
      <c r="AY260">
        <f>IF(ISNA(AZ260),NA(),AY178)</f>
        <v>0</v>
      </c>
      <c r="AZ260">
        <f>IF(OR(AZ178="",AND(AZ178=AZ177,AZ178=AZ179)),NA(), AZ178)</f>
        <v>0</v>
      </c>
      <c r="BA260">
        <f>IF(ISNA(BB260),NA(),BA178)</f>
        <v>0</v>
      </c>
      <c r="BB260">
        <f>IF(OR(BB178="",AND(BB178=BB177,BB178=BB179)),NA(), BB178)</f>
        <v>0</v>
      </c>
      <c r="BC260">
        <f>IF(ISNA(BD260),NA(),BC178)</f>
        <v>0</v>
      </c>
      <c r="BD260">
        <f>IF(OR(BD178="",AND(BD178=BD177,BD178=BD179)),NA(), BD178)</f>
        <v>0</v>
      </c>
      <c r="BE260">
        <f>IF(ISNA(BF260),NA(),BE178)</f>
        <v>0</v>
      </c>
      <c r="BF260">
        <f>IF(OR(BF178="",AND(BF178=BF177,BF178=BF179)),NA(), BF178)</f>
        <v>0</v>
      </c>
      <c r="BG260">
        <f>IF(ISNA(BH260),NA(),BG178)</f>
        <v>0</v>
      </c>
      <c r="BH260">
        <f>IF(OR(BH178="",AND(BH178=BH177,BH178=BH179)),NA(), BH178)</f>
        <v>0</v>
      </c>
      <c r="BI260">
        <f>IF(ISNA(BJ260),NA(),BI178)</f>
        <v>0</v>
      </c>
      <c r="BJ260">
        <f>IF(OR(BJ178="",AND(BJ178=BJ177,BJ178=BJ179)),NA(), BJ178)</f>
        <v>0</v>
      </c>
      <c r="BK260">
        <f>IF(ISNA(BL260),NA(),BK178)</f>
        <v>0</v>
      </c>
      <c r="BL260">
        <f>IF(OR(BL178="",AND(BL178=BL177,BL178=BL179)),NA(), BL178)</f>
        <v>0</v>
      </c>
      <c r="BM260">
        <f>IF(ISNA(BN260),NA(),BM178)</f>
        <v>0</v>
      </c>
      <c r="BN260">
        <f>IF(OR(BN178="",AND(BN178=BN177,BN178=BN179)),NA(), BN178)</f>
        <v>0</v>
      </c>
      <c r="BO260">
        <f>IF(ISNA(BP260),NA(),BO178)</f>
        <v>0</v>
      </c>
      <c r="BP260">
        <f>IF(OR(BP178="",AND(BP178=BP177,BP178=BP179)),NA(), BP178)</f>
        <v>0</v>
      </c>
      <c r="BS260">
        <f>IF(ISNA(BT260),NA(),BS178)</f>
        <v>0</v>
      </c>
      <c r="BT260">
        <f>IF(OR(BT178="",AND(BT178=BT177,BT178=BT179)),NA(), BT178)</f>
        <v>0</v>
      </c>
      <c r="BU260">
        <f>IF(ISNA(BV260),NA(),BU178)</f>
        <v>0</v>
      </c>
      <c r="BV260">
        <f>IF(OR(BV178="",AND(BV178=BV177,BV178=BV179)),NA(), BV178)</f>
        <v>0</v>
      </c>
      <c r="BW260">
        <f>IF(ISNA(BX260),NA(),BW178)</f>
        <v>0</v>
      </c>
      <c r="BX260">
        <f>IF(OR(BX178="",AND(BX178=BX177,BX178=BX179)),NA(), BX178)</f>
        <v>0</v>
      </c>
      <c r="BY260">
        <f>IF(ISNA(BZ260),NA(),BY178)</f>
        <v>0</v>
      </c>
      <c r="BZ260">
        <f>IF(OR(BZ178="",AND(BZ178=BZ177,BZ178=BZ179)),NA(), BZ178)</f>
        <v>0</v>
      </c>
      <c r="CA260">
        <f>IF(ISNA(CB260),NA(),CA178)</f>
        <v>0</v>
      </c>
      <c r="CB260">
        <f>IF(OR(CB178="",AND(CB178=CB177,CB178=CB179)),NA(), CB178)</f>
        <v>0</v>
      </c>
      <c r="CC260">
        <f>IF(ISNA(CD260),NA(),CC178)</f>
        <v>0</v>
      </c>
      <c r="CD260">
        <f>IF(OR(CD178="",AND(CD178=CD177,CD178=CD179)),NA(), CD178)</f>
        <v>0</v>
      </c>
      <c r="CE260">
        <f>IF(ISNA(CF260),NA(),CE178)</f>
        <v>0</v>
      </c>
      <c r="CF260">
        <f>IF(OR(CF178="",AND(CF178=CF177,CF178=CF179)),NA(), CF178)</f>
        <v>0</v>
      </c>
      <c r="CG260">
        <f>IF(ISNA(CH260),NA(),CG178)</f>
        <v>0</v>
      </c>
      <c r="CH260">
        <f>IF(OR(CH178="",AND(CH178=CH177,CH178=CH179)),NA(), CH178)</f>
        <v>0</v>
      </c>
      <c r="CI260">
        <f>IF(ISNA(CJ260),NA(),CI178)</f>
        <v>0</v>
      </c>
      <c r="CJ260">
        <f>IF(OR(CJ178="",AND(CJ178=CJ177,CJ178=CJ179)),NA(), CJ178)</f>
        <v>0</v>
      </c>
      <c r="CK260">
        <f>IF(ISNA(CL260),NA(),CK178)</f>
        <v>0</v>
      </c>
      <c r="CL260">
        <f>IF(OR(CL178="",AND(CL178=CL177,CL178=CL179)),NA(), CL178)</f>
        <v>0</v>
      </c>
      <c r="CM260">
        <f>IF(ISNA(CN260),NA(),CM178)</f>
        <v>0</v>
      </c>
      <c r="CN260">
        <f>IF(OR(CN178="",AND(CN178=CN177,CN178=CN179)),NA(), CN178)</f>
        <v>0</v>
      </c>
      <c r="CO260">
        <f>IF(ISNA(CP260),NA(),CO178)</f>
        <v>0</v>
      </c>
      <c r="CP260">
        <f>IF(OR(CP178="",AND(CP178=CP177,CP178=CP179)),NA(), CP178)</f>
        <v>0</v>
      </c>
      <c r="CQ260">
        <f>IF(ISNA(CR260),NA(),CQ178)</f>
        <v>0</v>
      </c>
      <c r="CR260">
        <f>IF(OR(CR178="",AND(CR178=CR177,CR178=CR179)),NA(), CR178)</f>
        <v>0</v>
      </c>
      <c r="CS260">
        <f>IF(ISNA(CT260),NA(),CS178)</f>
        <v>0</v>
      </c>
      <c r="CT260">
        <f>IF(OR(CT178="",AND(CT178=CT177,CT178=CT179)),NA(), CT178)</f>
        <v>0</v>
      </c>
      <c r="CU260">
        <f>IF(ISNA(CV260),NA(),CU178)</f>
        <v>0</v>
      </c>
      <c r="CV260">
        <f>IF(OR(CV178="",AND(CV178=CV177,CV178=CV179)),NA(), CV178)</f>
        <v>0</v>
      </c>
      <c r="CW260">
        <f>IF(ISNA(CX260),NA(),CW178)</f>
        <v>0</v>
      </c>
      <c r="CX260">
        <f>IF(OR(CX178="",AND(CX178=CX177,CX178=CX179)),NA(), CX178)</f>
        <v>0</v>
      </c>
      <c r="CY260">
        <f>IF(ISNA(CZ260),NA(),CY178)</f>
        <v>0</v>
      </c>
      <c r="CZ260">
        <f>IF(OR(CZ178="",AND(CZ178=CZ177,CZ178=CZ179)),NA(), CZ178)</f>
        <v>0</v>
      </c>
      <c r="DA260">
        <f>IF(ISNA(DB260),NA(),DA178)</f>
        <v>0</v>
      </c>
      <c r="DB260">
        <f>IF(OR(DB178="",AND(DB178=DB177,DB178=DB179)),NA(), DB178)</f>
        <v>0</v>
      </c>
      <c r="DC260">
        <f>IF(ISNA(DD260),NA(),DC178)</f>
        <v>0</v>
      </c>
      <c r="DD260">
        <f>IF(OR(DD178="",AND(DD178=DD177,DD178=DD179)),NA(), DD178)</f>
        <v>0</v>
      </c>
      <c r="DE260">
        <f>IF(ISNA(DF260),NA(),DE178)</f>
        <v>0</v>
      </c>
      <c r="DF260">
        <f>IF(OR(DF178="",AND(DF178=DF177,DF178=DF179)),NA(), DF178)</f>
        <v>0</v>
      </c>
      <c r="DG260">
        <f>IF(ISNA(DH260),NA(),DG178)</f>
        <v>0</v>
      </c>
      <c r="DH260">
        <f>IF(OR(DH178="",AND(DH178=DH177,DH178=DH179)),NA(), DH178)</f>
        <v>0</v>
      </c>
      <c r="DI260">
        <f>IF(ISNA(DJ260),NA(),DI178)</f>
        <v>0</v>
      </c>
      <c r="DJ260">
        <f>IF(OR(DJ178="",AND(DJ178=DJ177,DJ178=DJ179)),NA(), DJ178)</f>
        <v>0</v>
      </c>
      <c r="DK260">
        <f>IF(ISNA(DL260),NA(),DK178)</f>
        <v>0</v>
      </c>
      <c r="DL260">
        <f>IF(OR(DL178="",AND(DL178=DL177,DL178=DL179)),NA(), DL178)</f>
        <v>0</v>
      </c>
      <c r="DM260">
        <f>IF(ISNA(DN260),NA(),DM178)</f>
        <v>0</v>
      </c>
      <c r="DN260">
        <f>IF(OR(DN178="",AND(DN178=DN177,DN178=DN179)),NA(), DN178)</f>
        <v>0</v>
      </c>
      <c r="DO260">
        <f>IF(ISNA(DP260),NA(),DO178)</f>
        <v>0</v>
      </c>
      <c r="DP260">
        <f>IF(OR(DP178="",AND(DP178=DP177,DP178=DP179)),NA(), DP178)</f>
        <v>0</v>
      </c>
      <c r="DQ260">
        <f>IF(ISNA(DR260),NA(),DQ178)</f>
        <v>0</v>
      </c>
      <c r="DR260">
        <f>IF(OR(DR178="",AND(DR178=DR177,DR178=DR179)),NA(), DR178)</f>
        <v>0</v>
      </c>
      <c r="DS260">
        <f>IF(ISNA(DT260),NA(),DS178)</f>
        <v>0</v>
      </c>
      <c r="DT260">
        <f>IF(OR(DT178="",AND(DT178=DT177,DT178=DT179)),NA(), DT178)</f>
        <v>0</v>
      </c>
      <c r="DU260">
        <f>IF(ISNA(DV260),NA(),DU178)</f>
        <v>0</v>
      </c>
      <c r="DV260">
        <f>IF(OR(DV178="",AND(DV178=DV177,DV178=DV179)),NA(), DV178)</f>
        <v>0</v>
      </c>
      <c r="DW260">
        <f>IF(ISNA(DX260),NA(),DW178)</f>
        <v>0</v>
      </c>
      <c r="DX260">
        <f>IF(OR(DX178="",AND(DX178=DX177,DX178=DX179)),NA(), DX178)</f>
        <v>0</v>
      </c>
      <c r="DY260">
        <f>IF(ISNA(DZ260),NA(),DY178)</f>
        <v>0</v>
      </c>
      <c r="DZ260">
        <f>IF(OR(DZ178="",AND(DZ178=DZ177,DZ178=DZ179)),NA(), DZ178)</f>
        <v>0</v>
      </c>
      <c r="EA260">
        <f>IF(ISNA(EB260),NA(),EA178)</f>
        <v>0</v>
      </c>
      <c r="EB260">
        <f>IF(OR(EB178="",AND(EB178=EB177,EB178=EB179)),NA(), EB178)</f>
        <v>0</v>
      </c>
      <c r="EC260">
        <f>IF(ISNA(ED260),NA(),EC178)</f>
        <v>0</v>
      </c>
      <c r="ED260">
        <f>IF(OR(ED178="",AND(ED178=ED177,ED178=ED179)),NA(), ED178)</f>
        <v>0</v>
      </c>
    </row>
    <row r="261" spans="5:134">
      <c r="E261">
        <f>IF(ISNA(F261),NA(),E179)</f>
        <v>0</v>
      </c>
      <c r="F261">
        <f>IF(OR(F179="",AND(F179=F178,F179=F180)),NA(), F179)</f>
        <v>0</v>
      </c>
      <c r="G261">
        <f>IF(ISNA(H261),NA(),G179)</f>
        <v>0</v>
      </c>
      <c r="H261">
        <f>IF(OR(H179="",AND(H179=H178,H179=H180)),NA(), H179)</f>
        <v>0</v>
      </c>
      <c r="I261">
        <f>IF(ISNA(J261),NA(),I179)</f>
        <v>0</v>
      </c>
      <c r="J261">
        <f>IF(OR(J179="",AND(J179=J178,J179=J180)),NA(), J179)</f>
        <v>0</v>
      </c>
      <c r="K261">
        <f>IF(ISNA(L261),NA(),K179)</f>
        <v>0</v>
      </c>
      <c r="L261">
        <f>IF(OR(L179="",AND(L179=L178,L179=L180)),NA(), L179)</f>
        <v>0</v>
      </c>
      <c r="M261">
        <f>IF(ISNA(N261),NA(),M179)</f>
        <v>0</v>
      </c>
      <c r="N261">
        <f>IF(OR(N179="",AND(N179=N178,N179=N180)),NA(), N179)</f>
        <v>0</v>
      </c>
      <c r="O261">
        <f>IF(ISNA(P261),NA(),O179)</f>
        <v>0</v>
      </c>
      <c r="P261">
        <f>IF(OR(P179="",AND(P179=P178,P179=P180)),NA(), P179)</f>
        <v>0</v>
      </c>
      <c r="Q261">
        <f>IF(ISNA(R261),NA(),Q179)</f>
        <v>0</v>
      </c>
      <c r="R261">
        <f>IF(OR(R179="",AND(R179=R178,R179=R180)),NA(), R179)</f>
        <v>0</v>
      </c>
      <c r="S261">
        <f>IF(ISNA(T261),NA(),S179)</f>
        <v>0</v>
      </c>
      <c r="T261">
        <f>IF(OR(T179="",AND(T179=T178,T179=T180)),NA(), T179)</f>
        <v>0</v>
      </c>
      <c r="U261">
        <f>IF(ISNA(V261),NA(),U179)</f>
        <v>0</v>
      </c>
      <c r="V261">
        <f>IF(OR(V179="",AND(V179=V178,V179=V180)),NA(), V179)</f>
        <v>0</v>
      </c>
      <c r="W261">
        <f>IF(ISNA(X261),NA(),W179)</f>
        <v>0</v>
      </c>
      <c r="X261">
        <f>IF(OR(X179="",AND(X179=X178,X179=X180)),NA(), X179)</f>
        <v>0</v>
      </c>
      <c r="Y261">
        <f>IF(ISNA(Z261),NA(),Y179)</f>
        <v>0</v>
      </c>
      <c r="Z261">
        <f>IF(OR(Z179="",AND(Z179=Z178,Z179=Z180)),NA(), Z179)</f>
        <v>0</v>
      </c>
      <c r="AA261">
        <f>IF(ISNA(AB261),NA(),AA179)</f>
        <v>0</v>
      </c>
      <c r="AB261">
        <f>IF(OR(AB179="",AND(AB179=AB178,AB179=AB180)),NA(), AB179)</f>
        <v>0</v>
      </c>
      <c r="AC261">
        <f>IF(ISNA(AD261),NA(),AC179)</f>
        <v>0</v>
      </c>
      <c r="AD261">
        <f>IF(OR(AD179="",AND(AD179=AD178,AD179=AD180)),NA(), AD179)</f>
        <v>0</v>
      </c>
      <c r="AE261">
        <f>IF(ISNA(AF261),NA(),AE179)</f>
        <v>0</v>
      </c>
      <c r="AF261">
        <f>IF(OR(AF179="",AND(AF179=AF178,AF179=AF180)),NA(), AF179)</f>
        <v>0</v>
      </c>
      <c r="AG261">
        <f>IF(ISNA(AH261),NA(),AG179)</f>
        <v>0</v>
      </c>
      <c r="AH261">
        <f>IF(OR(AH179="",AND(AH179=AH178,AH179=AH180)),NA(), AH179)</f>
        <v>0</v>
      </c>
      <c r="AI261">
        <f>IF(ISNA(AJ261),NA(),AI179)</f>
        <v>0</v>
      </c>
      <c r="AJ261">
        <f>IF(OR(AJ179="",AND(AJ179=AJ178,AJ179=AJ180)),NA(), AJ179)</f>
        <v>0</v>
      </c>
      <c r="AK261">
        <f>IF(ISNA(AL261),NA(),AK179)</f>
        <v>0</v>
      </c>
      <c r="AL261">
        <f>IF(OR(AL179="",AND(AL179=AL178,AL179=AL180)),NA(), AL179)</f>
        <v>0</v>
      </c>
      <c r="AM261">
        <f>IF(ISNA(AN261),NA(),AM179)</f>
        <v>0</v>
      </c>
      <c r="AN261">
        <f>IF(OR(AN179="",AND(AN179=AN178,AN179=AN180)),NA(), AN179)</f>
        <v>0</v>
      </c>
      <c r="AO261">
        <f>IF(ISNA(AP261),NA(),AO179)</f>
        <v>0</v>
      </c>
      <c r="AP261">
        <f>IF(OR(AP179="",AND(AP179=AP178,AP179=AP180)),NA(), AP179)</f>
        <v>0</v>
      </c>
      <c r="AQ261">
        <f>IF(ISNA(AR261),NA(),AQ179)</f>
        <v>0</v>
      </c>
      <c r="AR261">
        <f>IF(OR(AR179="",AND(AR179=AR178,AR179=AR180)),NA(), AR179)</f>
        <v>0</v>
      </c>
      <c r="AS261">
        <f>IF(ISNA(AT261),NA(),AS179)</f>
        <v>0</v>
      </c>
      <c r="AT261">
        <f>IF(OR(AT179="",AND(AT179=AT178,AT179=AT180)),NA(), AT179)</f>
        <v>0</v>
      </c>
      <c r="AU261">
        <f>IF(ISNA(AV261),NA(),AU179)</f>
        <v>0</v>
      </c>
      <c r="AV261">
        <f>IF(OR(AV179="",AND(AV179=AV178,AV179=AV180)),NA(), AV179)</f>
        <v>0</v>
      </c>
      <c r="AW261">
        <f>IF(ISNA(AX261),NA(),AW179)</f>
        <v>0</v>
      </c>
      <c r="AX261">
        <f>IF(OR(AX179="",AND(AX179=AX178,AX179=AX180)),NA(), AX179)</f>
        <v>0</v>
      </c>
      <c r="AY261">
        <f>IF(ISNA(AZ261),NA(),AY179)</f>
        <v>0</v>
      </c>
      <c r="AZ261">
        <f>IF(OR(AZ179="",AND(AZ179=AZ178,AZ179=AZ180)),NA(), AZ179)</f>
        <v>0</v>
      </c>
      <c r="BA261">
        <f>IF(ISNA(BB261),NA(),BA179)</f>
        <v>0</v>
      </c>
      <c r="BB261">
        <f>IF(OR(BB179="",AND(BB179=BB178,BB179=BB180)),NA(), BB179)</f>
        <v>0</v>
      </c>
      <c r="BC261">
        <f>IF(ISNA(BD261),NA(),BC179)</f>
        <v>0</v>
      </c>
      <c r="BD261">
        <f>IF(OR(BD179="",AND(BD179=BD178,BD179=BD180)),NA(), BD179)</f>
        <v>0</v>
      </c>
      <c r="BE261">
        <f>IF(ISNA(BF261),NA(),BE179)</f>
        <v>0</v>
      </c>
      <c r="BF261">
        <f>IF(OR(BF179="",AND(BF179=BF178,BF179=BF180)),NA(), BF179)</f>
        <v>0</v>
      </c>
      <c r="BG261">
        <f>IF(ISNA(BH261),NA(),BG179)</f>
        <v>0</v>
      </c>
      <c r="BH261">
        <f>IF(OR(BH179="",AND(BH179=BH178,BH179=BH180)),NA(), BH179)</f>
        <v>0</v>
      </c>
      <c r="BI261">
        <f>IF(ISNA(BJ261),NA(),BI179)</f>
        <v>0</v>
      </c>
      <c r="BJ261">
        <f>IF(OR(BJ179="",AND(BJ179=BJ178,BJ179=BJ180)),NA(), BJ179)</f>
        <v>0</v>
      </c>
      <c r="BK261">
        <f>IF(ISNA(BL261),NA(),BK179)</f>
        <v>0</v>
      </c>
      <c r="BL261">
        <f>IF(OR(BL179="",AND(BL179=BL178,BL179=BL180)),NA(), BL179)</f>
        <v>0</v>
      </c>
      <c r="BM261">
        <f>IF(ISNA(BN261),NA(),BM179)</f>
        <v>0</v>
      </c>
      <c r="BN261">
        <f>IF(OR(BN179="",AND(BN179=BN178,BN179=BN180)),NA(), BN179)</f>
        <v>0</v>
      </c>
      <c r="BO261">
        <f>IF(ISNA(BP261),NA(),BO179)</f>
        <v>0</v>
      </c>
      <c r="BP261">
        <f>IF(OR(BP179="",AND(BP179=BP178,BP179=BP180)),NA(), BP179)</f>
        <v>0</v>
      </c>
      <c r="BS261">
        <f>IF(ISNA(BT261),NA(),BS179)</f>
        <v>0</v>
      </c>
      <c r="BT261">
        <f>IF(OR(BT179="",AND(BT179=BT178,BT179=BT180)),NA(), BT179)</f>
        <v>0</v>
      </c>
      <c r="BU261">
        <f>IF(ISNA(BV261),NA(),BU179)</f>
        <v>0</v>
      </c>
      <c r="BV261">
        <f>IF(OR(BV179="",AND(BV179=BV178,BV179=BV180)),NA(), BV179)</f>
        <v>0</v>
      </c>
      <c r="BW261">
        <f>IF(ISNA(BX261),NA(),BW179)</f>
        <v>0</v>
      </c>
      <c r="BX261">
        <f>IF(OR(BX179="",AND(BX179=BX178,BX179=BX180)),NA(), BX179)</f>
        <v>0</v>
      </c>
      <c r="BY261">
        <f>IF(ISNA(BZ261),NA(),BY179)</f>
        <v>0</v>
      </c>
      <c r="BZ261">
        <f>IF(OR(BZ179="",AND(BZ179=BZ178,BZ179=BZ180)),NA(), BZ179)</f>
        <v>0</v>
      </c>
      <c r="CA261">
        <f>IF(ISNA(CB261),NA(),CA179)</f>
        <v>0</v>
      </c>
      <c r="CB261">
        <f>IF(OR(CB179="",AND(CB179=CB178,CB179=CB180)),NA(), CB179)</f>
        <v>0</v>
      </c>
      <c r="CC261">
        <f>IF(ISNA(CD261),NA(),CC179)</f>
        <v>0</v>
      </c>
      <c r="CD261">
        <f>IF(OR(CD179="",AND(CD179=CD178,CD179=CD180)),NA(), CD179)</f>
        <v>0</v>
      </c>
      <c r="CE261">
        <f>IF(ISNA(CF261),NA(),CE179)</f>
        <v>0</v>
      </c>
      <c r="CF261">
        <f>IF(OR(CF179="",AND(CF179=CF178,CF179=CF180)),NA(), CF179)</f>
        <v>0</v>
      </c>
      <c r="CG261">
        <f>IF(ISNA(CH261),NA(),CG179)</f>
        <v>0</v>
      </c>
      <c r="CH261">
        <f>IF(OR(CH179="",AND(CH179=CH178,CH179=CH180)),NA(), CH179)</f>
        <v>0</v>
      </c>
      <c r="CI261">
        <f>IF(ISNA(CJ261),NA(),CI179)</f>
        <v>0</v>
      </c>
      <c r="CJ261">
        <f>IF(OR(CJ179="",AND(CJ179=CJ178,CJ179=CJ180)),NA(), CJ179)</f>
        <v>0</v>
      </c>
      <c r="CK261">
        <f>IF(ISNA(CL261),NA(),CK179)</f>
        <v>0</v>
      </c>
      <c r="CL261">
        <f>IF(OR(CL179="",AND(CL179=CL178,CL179=CL180)),NA(), CL179)</f>
        <v>0</v>
      </c>
      <c r="CM261">
        <f>IF(ISNA(CN261),NA(),CM179)</f>
        <v>0</v>
      </c>
      <c r="CN261">
        <f>IF(OR(CN179="",AND(CN179=CN178,CN179=CN180)),NA(), CN179)</f>
        <v>0</v>
      </c>
      <c r="CO261">
        <f>IF(ISNA(CP261),NA(),CO179)</f>
        <v>0</v>
      </c>
      <c r="CP261">
        <f>IF(OR(CP179="",AND(CP179=CP178,CP179=CP180)),NA(), CP179)</f>
        <v>0</v>
      </c>
      <c r="CQ261">
        <f>IF(ISNA(CR261),NA(),CQ179)</f>
        <v>0</v>
      </c>
      <c r="CR261">
        <f>IF(OR(CR179="",AND(CR179=CR178,CR179=CR180)),NA(), CR179)</f>
        <v>0</v>
      </c>
      <c r="CS261">
        <f>IF(ISNA(CT261),NA(),CS179)</f>
        <v>0</v>
      </c>
      <c r="CT261">
        <f>IF(OR(CT179="",AND(CT179=CT178,CT179=CT180)),NA(), CT179)</f>
        <v>0</v>
      </c>
      <c r="CU261">
        <f>IF(ISNA(CV261),NA(),CU179)</f>
        <v>0</v>
      </c>
      <c r="CV261">
        <f>IF(OR(CV179="",AND(CV179=CV178,CV179=CV180)),NA(), CV179)</f>
        <v>0</v>
      </c>
      <c r="CW261">
        <f>IF(ISNA(CX261),NA(),CW179)</f>
        <v>0</v>
      </c>
      <c r="CX261">
        <f>IF(OR(CX179="",AND(CX179=CX178,CX179=CX180)),NA(), CX179)</f>
        <v>0</v>
      </c>
      <c r="CY261">
        <f>IF(ISNA(CZ261),NA(),CY179)</f>
        <v>0</v>
      </c>
      <c r="CZ261">
        <f>IF(OR(CZ179="",AND(CZ179=CZ178,CZ179=CZ180)),NA(), CZ179)</f>
        <v>0</v>
      </c>
      <c r="DA261">
        <f>IF(ISNA(DB261),NA(),DA179)</f>
        <v>0</v>
      </c>
      <c r="DB261">
        <f>IF(OR(DB179="",AND(DB179=DB178,DB179=DB180)),NA(), DB179)</f>
        <v>0</v>
      </c>
      <c r="DC261">
        <f>IF(ISNA(DD261),NA(),DC179)</f>
        <v>0</v>
      </c>
      <c r="DD261">
        <f>IF(OR(DD179="",AND(DD179=DD178,DD179=DD180)),NA(), DD179)</f>
        <v>0</v>
      </c>
      <c r="DE261">
        <f>IF(ISNA(DF261),NA(),DE179)</f>
        <v>0</v>
      </c>
      <c r="DF261">
        <f>IF(OR(DF179="",AND(DF179=DF178,DF179=DF180)),NA(), DF179)</f>
        <v>0</v>
      </c>
      <c r="DG261">
        <f>IF(ISNA(DH261),NA(),DG179)</f>
        <v>0</v>
      </c>
      <c r="DH261">
        <f>IF(OR(DH179="",AND(DH179=DH178,DH179=DH180)),NA(), DH179)</f>
        <v>0</v>
      </c>
      <c r="DI261">
        <f>IF(ISNA(DJ261),NA(),DI179)</f>
        <v>0</v>
      </c>
      <c r="DJ261">
        <f>IF(OR(DJ179="",AND(DJ179=DJ178,DJ179=DJ180)),NA(), DJ179)</f>
        <v>0</v>
      </c>
      <c r="DK261">
        <f>IF(ISNA(DL261),NA(),DK179)</f>
        <v>0</v>
      </c>
      <c r="DL261">
        <f>IF(OR(DL179="",AND(DL179=DL178,DL179=DL180)),NA(), DL179)</f>
        <v>0</v>
      </c>
      <c r="DM261">
        <f>IF(ISNA(DN261),NA(),DM179)</f>
        <v>0</v>
      </c>
      <c r="DN261">
        <f>IF(OR(DN179="",AND(DN179=DN178,DN179=DN180)),NA(), DN179)</f>
        <v>0</v>
      </c>
      <c r="DO261">
        <f>IF(ISNA(DP261),NA(),DO179)</f>
        <v>0</v>
      </c>
      <c r="DP261">
        <f>IF(OR(DP179="",AND(DP179=DP178,DP179=DP180)),NA(), DP179)</f>
        <v>0</v>
      </c>
      <c r="DQ261">
        <f>IF(ISNA(DR261),NA(),DQ179)</f>
        <v>0</v>
      </c>
      <c r="DR261">
        <f>IF(OR(DR179="",AND(DR179=DR178,DR179=DR180)),NA(), DR179)</f>
        <v>0</v>
      </c>
      <c r="DS261">
        <f>IF(ISNA(DT261),NA(),DS179)</f>
        <v>0</v>
      </c>
      <c r="DT261">
        <f>IF(OR(DT179="",AND(DT179=DT178,DT179=DT180)),NA(), DT179)</f>
        <v>0</v>
      </c>
      <c r="DU261">
        <f>IF(ISNA(DV261),NA(),DU179)</f>
        <v>0</v>
      </c>
      <c r="DV261">
        <f>IF(OR(DV179="",AND(DV179=DV178,DV179=DV180)),NA(), DV179)</f>
        <v>0</v>
      </c>
      <c r="DW261">
        <f>IF(ISNA(DX261),NA(),DW179)</f>
        <v>0</v>
      </c>
      <c r="DX261">
        <f>IF(OR(DX179="",AND(DX179=DX178,DX179=DX180)),NA(), DX179)</f>
        <v>0</v>
      </c>
      <c r="DY261">
        <f>IF(ISNA(DZ261),NA(),DY179)</f>
        <v>0</v>
      </c>
      <c r="DZ261">
        <f>IF(OR(DZ179="",AND(DZ179=DZ178,DZ179=DZ180)),NA(), DZ179)</f>
        <v>0</v>
      </c>
      <c r="EA261">
        <f>IF(ISNA(EB261),NA(),EA179)</f>
        <v>0</v>
      </c>
      <c r="EB261">
        <f>IF(OR(EB179="",AND(EB179=EB178,EB179=EB180)),NA(), EB179)</f>
        <v>0</v>
      </c>
      <c r="EC261">
        <f>IF(ISNA(ED261),NA(),EC179)</f>
        <v>0</v>
      </c>
      <c r="ED261">
        <f>IF(OR(ED179="",AND(ED179=ED178,ED179=ED180)),NA(), ED179)</f>
        <v>0</v>
      </c>
    </row>
    <row r="262" spans="5:134">
      <c r="E262">
        <f>IF(ISNA(F262),NA(),E180)</f>
        <v>0</v>
      </c>
      <c r="F262">
        <f>IF(OR(F180="",AND(F180=F179,F180=F181)),NA(), F180)</f>
        <v>0</v>
      </c>
      <c r="G262">
        <f>IF(ISNA(H262),NA(),G180)</f>
        <v>0</v>
      </c>
      <c r="H262">
        <f>IF(OR(H180="",AND(H180=H179,H180=H181)),NA(), H180)</f>
        <v>0</v>
      </c>
      <c r="I262">
        <f>IF(ISNA(J262),NA(),I180)</f>
        <v>0</v>
      </c>
      <c r="J262">
        <f>IF(OR(J180="",AND(J180=J179,J180=J181)),NA(), J180)</f>
        <v>0</v>
      </c>
      <c r="K262">
        <f>IF(ISNA(L262),NA(),K180)</f>
        <v>0</v>
      </c>
      <c r="L262">
        <f>IF(OR(L180="",AND(L180=L179,L180=L181)),NA(), L180)</f>
        <v>0</v>
      </c>
      <c r="M262">
        <f>IF(ISNA(N262),NA(),M180)</f>
        <v>0</v>
      </c>
      <c r="N262">
        <f>IF(OR(N180="",AND(N180=N179,N180=N181)),NA(), N180)</f>
        <v>0</v>
      </c>
      <c r="O262">
        <f>IF(ISNA(P262),NA(),O180)</f>
        <v>0</v>
      </c>
      <c r="P262">
        <f>IF(OR(P180="",AND(P180=P179,P180=P181)),NA(), P180)</f>
        <v>0</v>
      </c>
      <c r="Q262">
        <f>IF(ISNA(R262),NA(),Q180)</f>
        <v>0</v>
      </c>
      <c r="R262">
        <f>IF(OR(R180="",AND(R180=R179,R180=R181)),NA(), R180)</f>
        <v>0</v>
      </c>
      <c r="S262">
        <f>IF(ISNA(T262),NA(),S180)</f>
        <v>0</v>
      </c>
      <c r="T262">
        <f>IF(OR(T180="",AND(T180=T179,T180=T181)),NA(), T180)</f>
        <v>0</v>
      </c>
      <c r="U262">
        <f>IF(ISNA(V262),NA(),U180)</f>
        <v>0</v>
      </c>
      <c r="V262">
        <f>IF(OR(V180="",AND(V180=V179,V180=V181)),NA(), V180)</f>
        <v>0</v>
      </c>
      <c r="W262">
        <f>IF(ISNA(X262),NA(),W180)</f>
        <v>0</v>
      </c>
      <c r="X262">
        <f>IF(OR(X180="",AND(X180=X179,X180=X181)),NA(), X180)</f>
        <v>0</v>
      </c>
      <c r="Y262">
        <f>IF(ISNA(Z262),NA(),Y180)</f>
        <v>0</v>
      </c>
      <c r="Z262">
        <f>IF(OR(Z180="",AND(Z180=Z179,Z180=Z181)),NA(), Z180)</f>
        <v>0</v>
      </c>
      <c r="AA262">
        <f>IF(ISNA(AB262),NA(),AA180)</f>
        <v>0</v>
      </c>
      <c r="AB262">
        <f>IF(OR(AB180="",AND(AB180=AB179,AB180=AB181)),NA(), AB180)</f>
        <v>0</v>
      </c>
      <c r="AC262">
        <f>IF(ISNA(AD262),NA(),AC180)</f>
        <v>0</v>
      </c>
      <c r="AD262">
        <f>IF(OR(AD180="",AND(AD180=AD179,AD180=AD181)),NA(), AD180)</f>
        <v>0</v>
      </c>
      <c r="AE262">
        <f>IF(ISNA(AF262),NA(),AE180)</f>
        <v>0</v>
      </c>
      <c r="AF262">
        <f>IF(OR(AF180="",AND(AF180=AF179,AF180=AF181)),NA(), AF180)</f>
        <v>0</v>
      </c>
      <c r="AG262">
        <f>IF(ISNA(AH262),NA(),AG180)</f>
        <v>0</v>
      </c>
      <c r="AH262">
        <f>IF(OR(AH180="",AND(AH180=AH179,AH180=AH181)),NA(), AH180)</f>
        <v>0</v>
      </c>
      <c r="AI262">
        <f>IF(ISNA(AJ262),NA(),AI180)</f>
        <v>0</v>
      </c>
      <c r="AJ262">
        <f>IF(OR(AJ180="",AND(AJ180=AJ179,AJ180=AJ181)),NA(), AJ180)</f>
        <v>0</v>
      </c>
      <c r="AK262">
        <f>IF(ISNA(AL262),NA(),AK180)</f>
        <v>0</v>
      </c>
      <c r="AL262">
        <f>IF(OR(AL180="",AND(AL180=AL179,AL180=AL181)),NA(), AL180)</f>
        <v>0</v>
      </c>
      <c r="AM262">
        <f>IF(ISNA(AN262),NA(),AM180)</f>
        <v>0</v>
      </c>
      <c r="AN262">
        <f>IF(OR(AN180="",AND(AN180=AN179,AN180=AN181)),NA(), AN180)</f>
        <v>0</v>
      </c>
      <c r="AO262">
        <f>IF(ISNA(AP262),NA(),AO180)</f>
        <v>0</v>
      </c>
      <c r="AP262">
        <f>IF(OR(AP180="",AND(AP180=AP179,AP180=AP181)),NA(), AP180)</f>
        <v>0</v>
      </c>
      <c r="AQ262">
        <f>IF(ISNA(AR262),NA(),AQ180)</f>
        <v>0</v>
      </c>
      <c r="AR262">
        <f>IF(OR(AR180="",AND(AR180=AR179,AR180=AR181)),NA(), AR180)</f>
        <v>0</v>
      </c>
      <c r="AS262">
        <f>IF(ISNA(AT262),NA(),AS180)</f>
        <v>0</v>
      </c>
      <c r="AT262">
        <f>IF(OR(AT180="",AND(AT180=AT179,AT180=AT181)),NA(), AT180)</f>
        <v>0</v>
      </c>
      <c r="AU262">
        <f>IF(ISNA(AV262),NA(),AU180)</f>
        <v>0</v>
      </c>
      <c r="AV262">
        <f>IF(OR(AV180="",AND(AV180=AV179,AV180=AV181)),NA(), AV180)</f>
        <v>0</v>
      </c>
      <c r="AW262">
        <f>IF(ISNA(AX262),NA(),AW180)</f>
        <v>0</v>
      </c>
      <c r="AX262">
        <f>IF(OR(AX180="",AND(AX180=AX179,AX180=AX181)),NA(), AX180)</f>
        <v>0</v>
      </c>
      <c r="AY262">
        <f>IF(ISNA(AZ262),NA(),AY180)</f>
        <v>0</v>
      </c>
      <c r="AZ262">
        <f>IF(OR(AZ180="",AND(AZ180=AZ179,AZ180=AZ181)),NA(), AZ180)</f>
        <v>0</v>
      </c>
      <c r="BA262">
        <f>IF(ISNA(BB262),NA(),BA180)</f>
        <v>0</v>
      </c>
      <c r="BB262">
        <f>IF(OR(BB180="",AND(BB180=BB179,BB180=BB181)),NA(), BB180)</f>
        <v>0</v>
      </c>
      <c r="BC262">
        <f>IF(ISNA(BD262),NA(),BC180)</f>
        <v>0</v>
      </c>
      <c r="BD262">
        <f>IF(OR(BD180="",AND(BD180=BD179,BD180=BD181)),NA(), BD180)</f>
        <v>0</v>
      </c>
      <c r="BE262">
        <f>IF(ISNA(BF262),NA(),BE180)</f>
        <v>0</v>
      </c>
      <c r="BF262">
        <f>IF(OR(BF180="",AND(BF180=BF179,BF180=BF181)),NA(), BF180)</f>
        <v>0</v>
      </c>
      <c r="BG262">
        <f>IF(ISNA(BH262),NA(),BG180)</f>
        <v>0</v>
      </c>
      <c r="BH262">
        <f>IF(OR(BH180="",AND(BH180=BH179,BH180=BH181)),NA(), BH180)</f>
        <v>0</v>
      </c>
      <c r="BI262">
        <f>IF(ISNA(BJ262),NA(),BI180)</f>
        <v>0</v>
      </c>
      <c r="BJ262">
        <f>IF(OR(BJ180="",AND(BJ180=BJ179,BJ180=BJ181)),NA(), BJ180)</f>
        <v>0</v>
      </c>
      <c r="BK262">
        <f>IF(ISNA(BL262),NA(),BK180)</f>
        <v>0</v>
      </c>
      <c r="BL262">
        <f>IF(OR(BL180="",AND(BL180=BL179,BL180=BL181)),NA(), BL180)</f>
        <v>0</v>
      </c>
      <c r="BM262">
        <f>IF(ISNA(BN262),NA(),BM180)</f>
        <v>0</v>
      </c>
      <c r="BN262">
        <f>IF(OR(BN180="",AND(BN180=BN179,BN180=BN181)),NA(), BN180)</f>
        <v>0</v>
      </c>
      <c r="BO262">
        <f>IF(ISNA(BP262),NA(),BO180)</f>
        <v>0</v>
      </c>
      <c r="BP262">
        <f>IF(OR(BP180="",AND(BP180=BP179,BP180=BP181)),NA(), BP180)</f>
        <v>0</v>
      </c>
      <c r="BS262">
        <f>IF(ISNA(BT262),NA(),BS180)</f>
        <v>0</v>
      </c>
      <c r="BT262">
        <f>IF(OR(BT180="",AND(BT180=BT179,BT180=BT181)),NA(), BT180)</f>
        <v>0</v>
      </c>
      <c r="BU262">
        <f>IF(ISNA(BV262),NA(),BU180)</f>
        <v>0</v>
      </c>
      <c r="BV262">
        <f>IF(OR(BV180="",AND(BV180=BV179,BV180=BV181)),NA(), BV180)</f>
        <v>0</v>
      </c>
      <c r="BW262">
        <f>IF(ISNA(BX262),NA(),BW180)</f>
        <v>0</v>
      </c>
      <c r="BX262">
        <f>IF(OR(BX180="",AND(BX180=BX179,BX180=BX181)),NA(), BX180)</f>
        <v>0</v>
      </c>
      <c r="BY262">
        <f>IF(ISNA(BZ262),NA(),BY180)</f>
        <v>0</v>
      </c>
      <c r="BZ262">
        <f>IF(OR(BZ180="",AND(BZ180=BZ179,BZ180=BZ181)),NA(), BZ180)</f>
        <v>0</v>
      </c>
      <c r="CA262">
        <f>IF(ISNA(CB262),NA(),CA180)</f>
        <v>0</v>
      </c>
      <c r="CB262">
        <f>IF(OR(CB180="",AND(CB180=CB179,CB180=CB181)),NA(), CB180)</f>
        <v>0</v>
      </c>
      <c r="CC262">
        <f>IF(ISNA(CD262),NA(),CC180)</f>
        <v>0</v>
      </c>
      <c r="CD262">
        <f>IF(OR(CD180="",AND(CD180=CD179,CD180=CD181)),NA(), CD180)</f>
        <v>0</v>
      </c>
      <c r="CE262">
        <f>IF(ISNA(CF262),NA(),CE180)</f>
        <v>0</v>
      </c>
      <c r="CF262">
        <f>IF(OR(CF180="",AND(CF180=CF179,CF180=CF181)),NA(), CF180)</f>
        <v>0</v>
      </c>
      <c r="CG262">
        <f>IF(ISNA(CH262),NA(),CG180)</f>
        <v>0</v>
      </c>
      <c r="CH262">
        <f>IF(OR(CH180="",AND(CH180=CH179,CH180=CH181)),NA(), CH180)</f>
        <v>0</v>
      </c>
      <c r="CI262">
        <f>IF(ISNA(CJ262),NA(),CI180)</f>
        <v>0</v>
      </c>
      <c r="CJ262">
        <f>IF(OR(CJ180="",AND(CJ180=CJ179,CJ180=CJ181)),NA(), CJ180)</f>
        <v>0</v>
      </c>
      <c r="CK262">
        <f>IF(ISNA(CL262),NA(),CK180)</f>
        <v>0</v>
      </c>
      <c r="CL262">
        <f>IF(OR(CL180="",AND(CL180=CL179,CL180=CL181)),NA(), CL180)</f>
        <v>0</v>
      </c>
      <c r="CM262">
        <f>IF(ISNA(CN262),NA(),CM180)</f>
        <v>0</v>
      </c>
      <c r="CN262">
        <f>IF(OR(CN180="",AND(CN180=CN179,CN180=CN181)),NA(), CN180)</f>
        <v>0</v>
      </c>
      <c r="CO262">
        <f>IF(ISNA(CP262),NA(),CO180)</f>
        <v>0</v>
      </c>
      <c r="CP262">
        <f>IF(OR(CP180="",AND(CP180=CP179,CP180=CP181)),NA(), CP180)</f>
        <v>0</v>
      </c>
      <c r="CQ262">
        <f>IF(ISNA(CR262),NA(),CQ180)</f>
        <v>0</v>
      </c>
      <c r="CR262">
        <f>IF(OR(CR180="",AND(CR180=CR179,CR180=CR181)),NA(), CR180)</f>
        <v>0</v>
      </c>
      <c r="CS262">
        <f>IF(ISNA(CT262),NA(),CS180)</f>
        <v>0</v>
      </c>
      <c r="CT262">
        <f>IF(OR(CT180="",AND(CT180=CT179,CT180=CT181)),NA(), CT180)</f>
        <v>0</v>
      </c>
      <c r="CU262">
        <f>IF(ISNA(CV262),NA(),CU180)</f>
        <v>0</v>
      </c>
      <c r="CV262">
        <f>IF(OR(CV180="",AND(CV180=CV179,CV180=CV181)),NA(), CV180)</f>
        <v>0</v>
      </c>
      <c r="CW262">
        <f>IF(ISNA(CX262),NA(),CW180)</f>
        <v>0</v>
      </c>
      <c r="CX262">
        <f>IF(OR(CX180="",AND(CX180=CX179,CX180=CX181)),NA(), CX180)</f>
        <v>0</v>
      </c>
      <c r="CY262">
        <f>IF(ISNA(CZ262),NA(),CY180)</f>
        <v>0</v>
      </c>
      <c r="CZ262">
        <f>IF(OR(CZ180="",AND(CZ180=CZ179,CZ180=CZ181)),NA(), CZ180)</f>
        <v>0</v>
      </c>
      <c r="DA262">
        <f>IF(ISNA(DB262),NA(),DA180)</f>
        <v>0</v>
      </c>
      <c r="DB262">
        <f>IF(OR(DB180="",AND(DB180=DB179,DB180=DB181)),NA(), DB180)</f>
        <v>0</v>
      </c>
      <c r="DC262">
        <f>IF(ISNA(DD262),NA(),DC180)</f>
        <v>0</v>
      </c>
      <c r="DD262">
        <f>IF(OR(DD180="",AND(DD180=DD179,DD180=DD181)),NA(), DD180)</f>
        <v>0</v>
      </c>
      <c r="DE262">
        <f>IF(ISNA(DF262),NA(),DE180)</f>
        <v>0</v>
      </c>
      <c r="DF262">
        <f>IF(OR(DF180="",AND(DF180=DF179,DF180=DF181)),NA(), DF180)</f>
        <v>0</v>
      </c>
      <c r="DG262">
        <f>IF(ISNA(DH262),NA(),DG180)</f>
        <v>0</v>
      </c>
      <c r="DH262">
        <f>IF(OR(DH180="",AND(DH180=DH179,DH180=DH181)),NA(), DH180)</f>
        <v>0</v>
      </c>
      <c r="DI262">
        <f>IF(ISNA(DJ262),NA(),DI180)</f>
        <v>0</v>
      </c>
      <c r="DJ262">
        <f>IF(OR(DJ180="",AND(DJ180=DJ179,DJ180=DJ181)),NA(), DJ180)</f>
        <v>0</v>
      </c>
      <c r="DK262">
        <f>IF(ISNA(DL262),NA(),DK180)</f>
        <v>0</v>
      </c>
      <c r="DL262">
        <f>IF(OR(DL180="",AND(DL180=DL179,DL180=DL181)),NA(), DL180)</f>
        <v>0</v>
      </c>
      <c r="DM262">
        <f>IF(ISNA(DN262),NA(),DM180)</f>
        <v>0</v>
      </c>
      <c r="DN262">
        <f>IF(OR(DN180="",AND(DN180=DN179,DN180=DN181)),NA(), DN180)</f>
        <v>0</v>
      </c>
      <c r="DO262">
        <f>IF(ISNA(DP262),NA(),DO180)</f>
        <v>0</v>
      </c>
      <c r="DP262">
        <f>IF(OR(DP180="",AND(DP180=DP179,DP180=DP181)),NA(), DP180)</f>
        <v>0</v>
      </c>
      <c r="DQ262">
        <f>IF(ISNA(DR262),NA(),DQ180)</f>
        <v>0</v>
      </c>
      <c r="DR262">
        <f>IF(OR(DR180="",AND(DR180=DR179,DR180=DR181)),NA(), DR180)</f>
        <v>0</v>
      </c>
      <c r="DS262">
        <f>IF(ISNA(DT262),NA(),DS180)</f>
        <v>0</v>
      </c>
      <c r="DT262">
        <f>IF(OR(DT180="",AND(DT180=DT179,DT180=DT181)),NA(), DT180)</f>
        <v>0</v>
      </c>
      <c r="DU262">
        <f>IF(ISNA(DV262),NA(),DU180)</f>
        <v>0</v>
      </c>
      <c r="DV262">
        <f>IF(OR(DV180="",AND(DV180=DV179,DV180=DV181)),NA(), DV180)</f>
        <v>0</v>
      </c>
      <c r="DW262">
        <f>IF(ISNA(DX262),NA(),DW180)</f>
        <v>0</v>
      </c>
      <c r="DX262">
        <f>IF(OR(DX180="",AND(DX180=DX179,DX180=DX181)),NA(), DX180)</f>
        <v>0</v>
      </c>
      <c r="DY262">
        <f>IF(ISNA(DZ262),NA(),DY180)</f>
        <v>0</v>
      </c>
      <c r="DZ262">
        <f>IF(OR(DZ180="",AND(DZ180=DZ179,DZ180=DZ181)),NA(), DZ180)</f>
        <v>0</v>
      </c>
      <c r="EA262">
        <f>IF(ISNA(EB262),NA(),EA180)</f>
        <v>0</v>
      </c>
      <c r="EB262">
        <f>IF(OR(EB180="",AND(EB180=EB179,EB180=EB181)),NA(), EB180)</f>
        <v>0</v>
      </c>
      <c r="EC262">
        <f>IF(ISNA(ED262),NA(),EC180)</f>
        <v>0</v>
      </c>
      <c r="ED262">
        <f>IF(OR(ED180="",AND(ED180=ED179,ED180=ED181)),NA(), ED180)</f>
        <v>0</v>
      </c>
    </row>
    <row r="263" spans="5:134">
      <c r="E263">
        <f>IF(ISNA(F263),NA(),E181)</f>
        <v>0</v>
      </c>
      <c r="F263">
        <f>IF(OR(F181="",AND(F181=F180,F181=F182)),NA(), F181)</f>
        <v>0</v>
      </c>
      <c r="G263">
        <f>IF(ISNA(H263),NA(),G181)</f>
        <v>0</v>
      </c>
      <c r="H263">
        <f>IF(OR(H181="",AND(H181=H180,H181=H182)),NA(), H181)</f>
        <v>0</v>
      </c>
      <c r="I263">
        <f>IF(ISNA(J263),NA(),I181)</f>
        <v>0</v>
      </c>
      <c r="J263">
        <f>IF(OR(J181="",AND(J181=J180,J181=J182)),NA(), J181)</f>
        <v>0</v>
      </c>
      <c r="K263">
        <f>IF(ISNA(L263),NA(),K181)</f>
        <v>0</v>
      </c>
      <c r="L263">
        <f>IF(OR(L181="",AND(L181=L180,L181=L182)),NA(), L181)</f>
        <v>0</v>
      </c>
      <c r="M263">
        <f>IF(ISNA(N263),NA(),M181)</f>
        <v>0</v>
      </c>
      <c r="N263">
        <f>IF(OR(N181="",AND(N181=N180,N181=N182)),NA(), N181)</f>
        <v>0</v>
      </c>
      <c r="O263">
        <f>IF(ISNA(P263),NA(),O181)</f>
        <v>0</v>
      </c>
      <c r="P263">
        <f>IF(OR(P181="",AND(P181=P180,P181=P182)),NA(), P181)</f>
        <v>0</v>
      </c>
      <c r="Q263">
        <f>IF(ISNA(R263),NA(),Q181)</f>
        <v>0</v>
      </c>
      <c r="R263">
        <f>IF(OR(R181="",AND(R181=R180,R181=R182)),NA(), R181)</f>
        <v>0</v>
      </c>
      <c r="S263">
        <f>IF(ISNA(T263),NA(),S181)</f>
        <v>0</v>
      </c>
      <c r="T263">
        <f>IF(OR(T181="",AND(T181=T180,T181=T182)),NA(), T181)</f>
        <v>0</v>
      </c>
      <c r="U263">
        <f>IF(ISNA(V263),NA(),U181)</f>
        <v>0</v>
      </c>
      <c r="V263">
        <f>IF(OR(V181="",AND(V181=V180,V181=V182)),NA(), V181)</f>
        <v>0</v>
      </c>
      <c r="W263">
        <f>IF(ISNA(X263),NA(),W181)</f>
        <v>0</v>
      </c>
      <c r="X263">
        <f>IF(OR(X181="",AND(X181=X180,X181=X182)),NA(), X181)</f>
        <v>0</v>
      </c>
      <c r="Y263">
        <f>IF(ISNA(Z263),NA(),Y181)</f>
        <v>0</v>
      </c>
      <c r="Z263">
        <f>IF(OR(Z181="",AND(Z181=Z180,Z181=Z182)),NA(), Z181)</f>
        <v>0</v>
      </c>
      <c r="AA263">
        <f>IF(ISNA(AB263),NA(),AA181)</f>
        <v>0</v>
      </c>
      <c r="AB263">
        <f>IF(OR(AB181="",AND(AB181=AB180,AB181=AB182)),NA(), AB181)</f>
        <v>0</v>
      </c>
      <c r="AC263">
        <f>IF(ISNA(AD263),NA(),AC181)</f>
        <v>0</v>
      </c>
      <c r="AD263">
        <f>IF(OR(AD181="",AND(AD181=AD180,AD181=AD182)),NA(), AD181)</f>
        <v>0</v>
      </c>
      <c r="AE263">
        <f>IF(ISNA(AF263),NA(),AE181)</f>
        <v>0</v>
      </c>
      <c r="AF263">
        <f>IF(OR(AF181="",AND(AF181=AF180,AF181=AF182)),NA(), AF181)</f>
        <v>0</v>
      </c>
      <c r="AG263">
        <f>IF(ISNA(AH263),NA(),AG181)</f>
        <v>0</v>
      </c>
      <c r="AH263">
        <f>IF(OR(AH181="",AND(AH181=AH180,AH181=AH182)),NA(), AH181)</f>
        <v>0</v>
      </c>
      <c r="AI263">
        <f>IF(ISNA(AJ263),NA(),AI181)</f>
        <v>0</v>
      </c>
      <c r="AJ263">
        <f>IF(OR(AJ181="",AND(AJ181=AJ180,AJ181=AJ182)),NA(), AJ181)</f>
        <v>0</v>
      </c>
      <c r="AK263">
        <f>IF(ISNA(AL263),NA(),AK181)</f>
        <v>0</v>
      </c>
      <c r="AL263">
        <f>IF(OR(AL181="",AND(AL181=AL180,AL181=AL182)),NA(), AL181)</f>
        <v>0</v>
      </c>
      <c r="AM263">
        <f>IF(ISNA(AN263),NA(),AM181)</f>
        <v>0</v>
      </c>
      <c r="AN263">
        <f>IF(OR(AN181="",AND(AN181=AN180,AN181=AN182)),NA(), AN181)</f>
        <v>0</v>
      </c>
      <c r="AO263">
        <f>IF(ISNA(AP263),NA(),AO181)</f>
        <v>0</v>
      </c>
      <c r="AP263">
        <f>IF(OR(AP181="",AND(AP181=AP180,AP181=AP182)),NA(), AP181)</f>
        <v>0</v>
      </c>
      <c r="AQ263">
        <f>IF(ISNA(AR263),NA(),AQ181)</f>
        <v>0</v>
      </c>
      <c r="AR263">
        <f>IF(OR(AR181="",AND(AR181=AR180,AR181=AR182)),NA(), AR181)</f>
        <v>0</v>
      </c>
      <c r="AS263">
        <f>IF(ISNA(AT263),NA(),AS181)</f>
        <v>0</v>
      </c>
      <c r="AT263">
        <f>IF(OR(AT181="",AND(AT181=AT180,AT181=AT182)),NA(), AT181)</f>
        <v>0</v>
      </c>
      <c r="AU263">
        <f>IF(ISNA(AV263),NA(),AU181)</f>
        <v>0</v>
      </c>
      <c r="AV263">
        <f>IF(OR(AV181="",AND(AV181=AV180,AV181=AV182)),NA(), AV181)</f>
        <v>0</v>
      </c>
      <c r="AW263">
        <f>IF(ISNA(AX263),NA(),AW181)</f>
        <v>0</v>
      </c>
      <c r="AX263">
        <f>IF(OR(AX181="",AND(AX181=AX180,AX181=AX182)),NA(), AX181)</f>
        <v>0</v>
      </c>
      <c r="AY263">
        <f>IF(ISNA(AZ263),NA(),AY181)</f>
        <v>0</v>
      </c>
      <c r="AZ263">
        <f>IF(OR(AZ181="",AND(AZ181=AZ180,AZ181=AZ182)),NA(), AZ181)</f>
        <v>0</v>
      </c>
      <c r="BA263">
        <f>IF(ISNA(BB263),NA(),BA181)</f>
        <v>0</v>
      </c>
      <c r="BB263">
        <f>IF(OR(BB181="",AND(BB181=BB180,BB181=BB182)),NA(), BB181)</f>
        <v>0</v>
      </c>
      <c r="BC263">
        <f>IF(ISNA(BD263),NA(),BC181)</f>
        <v>0</v>
      </c>
      <c r="BD263">
        <f>IF(OR(BD181="",AND(BD181=BD180,BD181=BD182)),NA(), BD181)</f>
        <v>0</v>
      </c>
      <c r="BE263">
        <f>IF(ISNA(BF263),NA(),BE181)</f>
        <v>0</v>
      </c>
      <c r="BF263">
        <f>IF(OR(BF181="",AND(BF181=BF180,BF181=BF182)),NA(), BF181)</f>
        <v>0</v>
      </c>
      <c r="BG263">
        <f>IF(ISNA(BH263),NA(),BG181)</f>
        <v>0</v>
      </c>
      <c r="BH263">
        <f>IF(OR(BH181="",AND(BH181=BH180,BH181=BH182)),NA(), BH181)</f>
        <v>0</v>
      </c>
      <c r="BI263">
        <f>IF(ISNA(BJ263),NA(),BI181)</f>
        <v>0</v>
      </c>
      <c r="BJ263">
        <f>IF(OR(BJ181="",AND(BJ181=BJ180,BJ181=BJ182)),NA(), BJ181)</f>
        <v>0</v>
      </c>
      <c r="BK263">
        <f>IF(ISNA(BL263),NA(),BK181)</f>
        <v>0</v>
      </c>
      <c r="BL263">
        <f>IF(OR(BL181="",AND(BL181=BL180,BL181=BL182)),NA(), BL181)</f>
        <v>0</v>
      </c>
      <c r="BM263">
        <f>IF(ISNA(BN263),NA(),BM181)</f>
        <v>0</v>
      </c>
      <c r="BN263">
        <f>IF(OR(BN181="",AND(BN181=BN180,BN181=BN182)),NA(), BN181)</f>
        <v>0</v>
      </c>
      <c r="BO263">
        <f>IF(ISNA(BP263),NA(),BO181)</f>
        <v>0</v>
      </c>
      <c r="BP263">
        <f>IF(OR(BP181="",AND(BP181=BP180,BP181=BP182)),NA(), BP181)</f>
        <v>0</v>
      </c>
      <c r="BS263">
        <f>IF(ISNA(BT263),NA(),BS181)</f>
        <v>0</v>
      </c>
      <c r="BT263">
        <f>IF(OR(BT181="",AND(BT181=BT180,BT181=BT182)),NA(), BT181)</f>
        <v>0</v>
      </c>
      <c r="BU263">
        <f>IF(ISNA(BV263),NA(),BU181)</f>
        <v>0</v>
      </c>
      <c r="BV263">
        <f>IF(OR(BV181="",AND(BV181=BV180,BV181=BV182)),NA(), BV181)</f>
        <v>0</v>
      </c>
      <c r="BW263">
        <f>IF(ISNA(BX263),NA(),BW181)</f>
        <v>0</v>
      </c>
      <c r="BX263">
        <f>IF(OR(BX181="",AND(BX181=BX180,BX181=BX182)),NA(), BX181)</f>
        <v>0</v>
      </c>
      <c r="BY263">
        <f>IF(ISNA(BZ263),NA(),BY181)</f>
        <v>0</v>
      </c>
      <c r="BZ263">
        <f>IF(OR(BZ181="",AND(BZ181=BZ180,BZ181=BZ182)),NA(), BZ181)</f>
        <v>0</v>
      </c>
      <c r="CA263">
        <f>IF(ISNA(CB263),NA(),CA181)</f>
        <v>0</v>
      </c>
      <c r="CB263">
        <f>IF(OR(CB181="",AND(CB181=CB180,CB181=CB182)),NA(), CB181)</f>
        <v>0</v>
      </c>
      <c r="CC263">
        <f>IF(ISNA(CD263),NA(),CC181)</f>
        <v>0</v>
      </c>
      <c r="CD263">
        <f>IF(OR(CD181="",AND(CD181=CD180,CD181=CD182)),NA(), CD181)</f>
        <v>0</v>
      </c>
      <c r="CE263">
        <f>IF(ISNA(CF263),NA(),CE181)</f>
        <v>0</v>
      </c>
      <c r="CF263">
        <f>IF(OR(CF181="",AND(CF181=CF180,CF181=CF182)),NA(), CF181)</f>
        <v>0</v>
      </c>
      <c r="CG263">
        <f>IF(ISNA(CH263),NA(),CG181)</f>
        <v>0</v>
      </c>
      <c r="CH263">
        <f>IF(OR(CH181="",AND(CH181=CH180,CH181=CH182)),NA(), CH181)</f>
        <v>0</v>
      </c>
      <c r="CI263">
        <f>IF(ISNA(CJ263),NA(),CI181)</f>
        <v>0</v>
      </c>
      <c r="CJ263">
        <f>IF(OR(CJ181="",AND(CJ181=CJ180,CJ181=CJ182)),NA(), CJ181)</f>
        <v>0</v>
      </c>
      <c r="CK263">
        <f>IF(ISNA(CL263),NA(),CK181)</f>
        <v>0</v>
      </c>
      <c r="CL263">
        <f>IF(OR(CL181="",AND(CL181=CL180,CL181=CL182)),NA(), CL181)</f>
        <v>0</v>
      </c>
      <c r="CM263">
        <f>IF(ISNA(CN263),NA(),CM181)</f>
        <v>0</v>
      </c>
      <c r="CN263">
        <f>IF(OR(CN181="",AND(CN181=CN180,CN181=CN182)),NA(), CN181)</f>
        <v>0</v>
      </c>
      <c r="CO263">
        <f>IF(ISNA(CP263),NA(),CO181)</f>
        <v>0</v>
      </c>
      <c r="CP263">
        <f>IF(OR(CP181="",AND(CP181=CP180,CP181=CP182)),NA(), CP181)</f>
        <v>0</v>
      </c>
      <c r="CQ263">
        <f>IF(ISNA(CR263),NA(),CQ181)</f>
        <v>0</v>
      </c>
      <c r="CR263">
        <f>IF(OR(CR181="",AND(CR181=CR180,CR181=CR182)),NA(), CR181)</f>
        <v>0</v>
      </c>
      <c r="CS263">
        <f>IF(ISNA(CT263),NA(),CS181)</f>
        <v>0</v>
      </c>
      <c r="CT263">
        <f>IF(OR(CT181="",AND(CT181=CT180,CT181=CT182)),NA(), CT181)</f>
        <v>0</v>
      </c>
      <c r="CU263">
        <f>IF(ISNA(CV263),NA(),CU181)</f>
        <v>0</v>
      </c>
      <c r="CV263">
        <f>IF(OR(CV181="",AND(CV181=CV180,CV181=CV182)),NA(), CV181)</f>
        <v>0</v>
      </c>
      <c r="CW263">
        <f>IF(ISNA(CX263),NA(),CW181)</f>
        <v>0</v>
      </c>
      <c r="CX263">
        <f>IF(OR(CX181="",AND(CX181=CX180,CX181=CX182)),NA(), CX181)</f>
        <v>0</v>
      </c>
      <c r="CY263">
        <f>IF(ISNA(CZ263),NA(),CY181)</f>
        <v>0</v>
      </c>
      <c r="CZ263">
        <f>IF(OR(CZ181="",AND(CZ181=CZ180,CZ181=CZ182)),NA(), CZ181)</f>
        <v>0</v>
      </c>
      <c r="DA263">
        <f>IF(ISNA(DB263),NA(),DA181)</f>
        <v>0</v>
      </c>
      <c r="DB263">
        <f>IF(OR(DB181="",AND(DB181=DB180,DB181=DB182)),NA(), DB181)</f>
        <v>0</v>
      </c>
      <c r="DC263">
        <f>IF(ISNA(DD263),NA(),DC181)</f>
        <v>0</v>
      </c>
      <c r="DD263">
        <f>IF(OR(DD181="",AND(DD181=DD180,DD181=DD182)),NA(), DD181)</f>
        <v>0</v>
      </c>
      <c r="DE263">
        <f>IF(ISNA(DF263),NA(),DE181)</f>
        <v>0</v>
      </c>
      <c r="DF263">
        <f>IF(OR(DF181="",AND(DF181=DF180,DF181=DF182)),NA(), DF181)</f>
        <v>0</v>
      </c>
      <c r="DG263">
        <f>IF(ISNA(DH263),NA(),DG181)</f>
        <v>0</v>
      </c>
      <c r="DH263">
        <f>IF(OR(DH181="",AND(DH181=DH180,DH181=DH182)),NA(), DH181)</f>
        <v>0</v>
      </c>
      <c r="DI263">
        <f>IF(ISNA(DJ263),NA(),DI181)</f>
        <v>0</v>
      </c>
      <c r="DJ263">
        <f>IF(OR(DJ181="",AND(DJ181=DJ180,DJ181=DJ182)),NA(), DJ181)</f>
        <v>0</v>
      </c>
      <c r="DK263">
        <f>IF(ISNA(DL263),NA(),DK181)</f>
        <v>0</v>
      </c>
      <c r="DL263">
        <f>IF(OR(DL181="",AND(DL181=DL180,DL181=DL182)),NA(), DL181)</f>
        <v>0</v>
      </c>
      <c r="DM263">
        <f>IF(ISNA(DN263),NA(),DM181)</f>
        <v>0</v>
      </c>
      <c r="DN263">
        <f>IF(OR(DN181="",AND(DN181=DN180,DN181=DN182)),NA(), DN181)</f>
        <v>0</v>
      </c>
      <c r="DO263">
        <f>IF(ISNA(DP263),NA(),DO181)</f>
        <v>0</v>
      </c>
      <c r="DP263">
        <f>IF(OR(DP181="",AND(DP181=DP180,DP181=DP182)),NA(), DP181)</f>
        <v>0</v>
      </c>
      <c r="DQ263">
        <f>IF(ISNA(DR263),NA(),DQ181)</f>
        <v>0</v>
      </c>
      <c r="DR263">
        <f>IF(OR(DR181="",AND(DR181=DR180,DR181=DR182)),NA(), DR181)</f>
        <v>0</v>
      </c>
      <c r="DS263">
        <f>IF(ISNA(DT263),NA(),DS181)</f>
        <v>0</v>
      </c>
      <c r="DT263">
        <f>IF(OR(DT181="",AND(DT181=DT180,DT181=DT182)),NA(), DT181)</f>
        <v>0</v>
      </c>
      <c r="DU263">
        <f>IF(ISNA(DV263),NA(),DU181)</f>
        <v>0</v>
      </c>
      <c r="DV263">
        <f>IF(OR(DV181="",AND(DV181=DV180,DV181=DV182)),NA(), DV181)</f>
        <v>0</v>
      </c>
      <c r="DW263">
        <f>IF(ISNA(DX263),NA(),DW181)</f>
        <v>0</v>
      </c>
      <c r="DX263">
        <f>IF(OR(DX181="",AND(DX181=DX180,DX181=DX182)),NA(), DX181)</f>
        <v>0</v>
      </c>
      <c r="DY263">
        <f>IF(ISNA(DZ263),NA(),DY181)</f>
        <v>0</v>
      </c>
      <c r="DZ263">
        <f>IF(OR(DZ181="",AND(DZ181=DZ180,DZ181=DZ182)),NA(), DZ181)</f>
        <v>0</v>
      </c>
      <c r="EA263">
        <f>IF(ISNA(EB263),NA(),EA181)</f>
        <v>0</v>
      </c>
      <c r="EB263">
        <f>IF(OR(EB181="",AND(EB181=EB180,EB181=EB182)),NA(), EB181)</f>
        <v>0</v>
      </c>
      <c r="EC263">
        <f>IF(ISNA(ED263),NA(),EC181)</f>
        <v>0</v>
      </c>
      <c r="ED263">
        <f>IF(OR(ED181="",AND(ED181=ED180,ED181=ED182)),NA(), ED181)</f>
        <v>0</v>
      </c>
    </row>
    <row r="264" spans="5:134">
      <c r="E264">
        <f>IF(ISNA(F264),NA(),E182)</f>
        <v>0</v>
      </c>
      <c r="F264">
        <f>IF(OR(F182="",AND(F182=F181,F182=F183)),NA(), F182)</f>
        <v>0</v>
      </c>
      <c r="G264">
        <f>IF(ISNA(H264),NA(),G182)</f>
        <v>0</v>
      </c>
      <c r="H264">
        <f>IF(OR(H182="",AND(H182=H181,H182=H183)),NA(), H182)</f>
        <v>0</v>
      </c>
      <c r="I264">
        <f>IF(ISNA(J264),NA(),I182)</f>
        <v>0</v>
      </c>
      <c r="J264">
        <f>IF(OR(J182="",AND(J182=J181,J182=J183)),NA(), J182)</f>
        <v>0</v>
      </c>
      <c r="K264">
        <f>IF(ISNA(L264),NA(),K182)</f>
        <v>0</v>
      </c>
      <c r="L264">
        <f>IF(OR(L182="",AND(L182=L181,L182=L183)),NA(), L182)</f>
        <v>0</v>
      </c>
      <c r="M264">
        <f>IF(ISNA(N264),NA(),M182)</f>
        <v>0</v>
      </c>
      <c r="N264">
        <f>IF(OR(N182="",AND(N182=N181,N182=N183)),NA(), N182)</f>
        <v>0</v>
      </c>
      <c r="O264">
        <f>IF(ISNA(P264),NA(),O182)</f>
        <v>0</v>
      </c>
      <c r="P264">
        <f>IF(OR(P182="",AND(P182=P181,P182=P183)),NA(), P182)</f>
        <v>0</v>
      </c>
      <c r="Q264">
        <f>IF(ISNA(R264),NA(),Q182)</f>
        <v>0</v>
      </c>
      <c r="R264">
        <f>IF(OR(R182="",AND(R182=R181,R182=R183)),NA(), R182)</f>
        <v>0</v>
      </c>
      <c r="S264">
        <f>IF(ISNA(T264),NA(),S182)</f>
        <v>0</v>
      </c>
      <c r="T264">
        <f>IF(OR(T182="",AND(T182=T181,T182=T183)),NA(), T182)</f>
        <v>0</v>
      </c>
      <c r="U264">
        <f>IF(ISNA(V264),NA(),U182)</f>
        <v>0</v>
      </c>
      <c r="V264">
        <f>IF(OR(V182="",AND(V182=V181,V182=V183)),NA(), V182)</f>
        <v>0</v>
      </c>
      <c r="W264">
        <f>IF(ISNA(X264),NA(),W182)</f>
        <v>0</v>
      </c>
      <c r="X264">
        <f>IF(OR(X182="",AND(X182=X181,X182=X183)),NA(), X182)</f>
        <v>0</v>
      </c>
      <c r="Y264">
        <f>IF(ISNA(Z264),NA(),Y182)</f>
        <v>0</v>
      </c>
      <c r="Z264">
        <f>IF(OR(Z182="",AND(Z182=Z181,Z182=Z183)),NA(), Z182)</f>
        <v>0</v>
      </c>
      <c r="AA264">
        <f>IF(ISNA(AB264),NA(),AA182)</f>
        <v>0</v>
      </c>
      <c r="AB264">
        <f>IF(OR(AB182="",AND(AB182=AB181,AB182=AB183)),NA(), AB182)</f>
        <v>0</v>
      </c>
      <c r="AC264">
        <f>IF(ISNA(AD264),NA(),AC182)</f>
        <v>0</v>
      </c>
      <c r="AD264">
        <f>IF(OR(AD182="",AND(AD182=AD181,AD182=AD183)),NA(), AD182)</f>
        <v>0</v>
      </c>
      <c r="AE264">
        <f>IF(ISNA(AF264),NA(),AE182)</f>
        <v>0</v>
      </c>
      <c r="AF264">
        <f>IF(OR(AF182="",AND(AF182=AF181,AF182=AF183)),NA(), AF182)</f>
        <v>0</v>
      </c>
      <c r="AG264">
        <f>IF(ISNA(AH264),NA(),AG182)</f>
        <v>0</v>
      </c>
      <c r="AH264">
        <f>IF(OR(AH182="",AND(AH182=AH181,AH182=AH183)),NA(), AH182)</f>
        <v>0</v>
      </c>
      <c r="AI264">
        <f>IF(ISNA(AJ264),NA(),AI182)</f>
        <v>0</v>
      </c>
      <c r="AJ264">
        <f>IF(OR(AJ182="",AND(AJ182=AJ181,AJ182=AJ183)),NA(), AJ182)</f>
        <v>0</v>
      </c>
      <c r="AK264">
        <f>IF(ISNA(AL264),NA(),AK182)</f>
        <v>0</v>
      </c>
      <c r="AL264">
        <f>IF(OR(AL182="",AND(AL182=AL181,AL182=AL183)),NA(), AL182)</f>
        <v>0</v>
      </c>
      <c r="AM264">
        <f>IF(ISNA(AN264),NA(),AM182)</f>
        <v>0</v>
      </c>
      <c r="AN264">
        <f>IF(OR(AN182="",AND(AN182=AN181,AN182=AN183)),NA(), AN182)</f>
        <v>0</v>
      </c>
      <c r="AO264">
        <f>IF(ISNA(AP264),NA(),AO182)</f>
        <v>0</v>
      </c>
      <c r="AP264">
        <f>IF(OR(AP182="",AND(AP182=AP181,AP182=AP183)),NA(), AP182)</f>
        <v>0</v>
      </c>
      <c r="AQ264">
        <f>IF(ISNA(AR264),NA(),AQ182)</f>
        <v>0</v>
      </c>
      <c r="AR264">
        <f>IF(OR(AR182="",AND(AR182=AR181,AR182=AR183)),NA(), AR182)</f>
        <v>0</v>
      </c>
      <c r="AS264">
        <f>IF(ISNA(AT264),NA(),AS182)</f>
        <v>0</v>
      </c>
      <c r="AT264">
        <f>IF(OR(AT182="",AND(AT182=AT181,AT182=AT183)),NA(), AT182)</f>
        <v>0</v>
      </c>
      <c r="AU264">
        <f>IF(ISNA(AV264),NA(),AU182)</f>
        <v>0</v>
      </c>
      <c r="AV264">
        <f>IF(OR(AV182="",AND(AV182=AV181,AV182=AV183)),NA(), AV182)</f>
        <v>0</v>
      </c>
      <c r="AW264">
        <f>IF(ISNA(AX264),NA(),AW182)</f>
        <v>0</v>
      </c>
      <c r="AX264">
        <f>IF(OR(AX182="",AND(AX182=AX181,AX182=AX183)),NA(), AX182)</f>
        <v>0</v>
      </c>
      <c r="AY264">
        <f>IF(ISNA(AZ264),NA(),AY182)</f>
        <v>0</v>
      </c>
      <c r="AZ264">
        <f>IF(OR(AZ182="",AND(AZ182=AZ181,AZ182=AZ183)),NA(), AZ182)</f>
        <v>0</v>
      </c>
      <c r="BA264">
        <f>IF(ISNA(BB264),NA(),BA182)</f>
        <v>0</v>
      </c>
      <c r="BB264">
        <f>IF(OR(BB182="",AND(BB182=BB181,BB182=BB183)),NA(), BB182)</f>
        <v>0</v>
      </c>
      <c r="BC264">
        <f>IF(ISNA(BD264),NA(),BC182)</f>
        <v>0</v>
      </c>
      <c r="BD264">
        <f>IF(OR(BD182="",AND(BD182=BD181,BD182=BD183)),NA(), BD182)</f>
        <v>0</v>
      </c>
      <c r="BE264">
        <f>IF(ISNA(BF264),NA(),BE182)</f>
        <v>0</v>
      </c>
      <c r="BF264">
        <f>IF(OR(BF182="",AND(BF182=BF181,BF182=BF183)),NA(), BF182)</f>
        <v>0</v>
      </c>
      <c r="BG264">
        <f>IF(ISNA(BH264),NA(),BG182)</f>
        <v>0</v>
      </c>
      <c r="BH264">
        <f>IF(OR(BH182="",AND(BH182=BH181,BH182=BH183)),NA(), BH182)</f>
        <v>0</v>
      </c>
      <c r="BI264">
        <f>IF(ISNA(BJ264),NA(),BI182)</f>
        <v>0</v>
      </c>
      <c r="BJ264">
        <f>IF(OR(BJ182="",AND(BJ182=BJ181,BJ182=BJ183)),NA(), BJ182)</f>
        <v>0</v>
      </c>
      <c r="BK264">
        <f>IF(ISNA(BL264),NA(),BK182)</f>
        <v>0</v>
      </c>
      <c r="BL264">
        <f>IF(OR(BL182="",AND(BL182=BL181,BL182=BL183)),NA(), BL182)</f>
        <v>0</v>
      </c>
      <c r="BM264">
        <f>IF(ISNA(BN264),NA(),BM182)</f>
        <v>0</v>
      </c>
      <c r="BN264">
        <f>IF(OR(BN182="",AND(BN182=BN181,BN182=BN183)),NA(), BN182)</f>
        <v>0</v>
      </c>
      <c r="BO264">
        <f>IF(ISNA(BP264),NA(),BO182)</f>
        <v>0</v>
      </c>
      <c r="BP264">
        <f>IF(OR(BP182="",AND(BP182=BP181,BP182=BP183)),NA(), BP182)</f>
        <v>0</v>
      </c>
      <c r="BS264">
        <f>IF(ISNA(BT264),NA(),BS182)</f>
        <v>0</v>
      </c>
      <c r="BT264">
        <f>IF(OR(BT182="",AND(BT182=BT181,BT182=BT183)),NA(), BT182)</f>
        <v>0</v>
      </c>
      <c r="BU264">
        <f>IF(ISNA(BV264),NA(),BU182)</f>
        <v>0</v>
      </c>
      <c r="BV264">
        <f>IF(OR(BV182="",AND(BV182=BV181,BV182=BV183)),NA(), BV182)</f>
        <v>0</v>
      </c>
      <c r="BW264">
        <f>IF(ISNA(BX264),NA(),BW182)</f>
        <v>0</v>
      </c>
      <c r="BX264">
        <f>IF(OR(BX182="",AND(BX182=BX181,BX182=BX183)),NA(), BX182)</f>
        <v>0</v>
      </c>
      <c r="BY264">
        <f>IF(ISNA(BZ264),NA(),BY182)</f>
        <v>0</v>
      </c>
      <c r="BZ264">
        <f>IF(OR(BZ182="",AND(BZ182=BZ181,BZ182=BZ183)),NA(), BZ182)</f>
        <v>0</v>
      </c>
      <c r="CA264">
        <f>IF(ISNA(CB264),NA(),CA182)</f>
        <v>0</v>
      </c>
      <c r="CB264">
        <f>IF(OR(CB182="",AND(CB182=CB181,CB182=CB183)),NA(), CB182)</f>
        <v>0</v>
      </c>
      <c r="CC264">
        <f>IF(ISNA(CD264),NA(),CC182)</f>
        <v>0</v>
      </c>
      <c r="CD264">
        <f>IF(OR(CD182="",AND(CD182=CD181,CD182=CD183)),NA(), CD182)</f>
        <v>0</v>
      </c>
      <c r="CE264">
        <f>IF(ISNA(CF264),NA(),CE182)</f>
        <v>0</v>
      </c>
      <c r="CF264">
        <f>IF(OR(CF182="",AND(CF182=CF181,CF182=CF183)),NA(), CF182)</f>
        <v>0</v>
      </c>
      <c r="CG264">
        <f>IF(ISNA(CH264),NA(),CG182)</f>
        <v>0</v>
      </c>
      <c r="CH264">
        <f>IF(OR(CH182="",AND(CH182=CH181,CH182=CH183)),NA(), CH182)</f>
        <v>0</v>
      </c>
      <c r="CI264">
        <f>IF(ISNA(CJ264),NA(),CI182)</f>
        <v>0</v>
      </c>
      <c r="CJ264">
        <f>IF(OR(CJ182="",AND(CJ182=CJ181,CJ182=CJ183)),NA(), CJ182)</f>
        <v>0</v>
      </c>
      <c r="CK264">
        <f>IF(ISNA(CL264),NA(),CK182)</f>
        <v>0</v>
      </c>
      <c r="CL264">
        <f>IF(OR(CL182="",AND(CL182=CL181,CL182=CL183)),NA(), CL182)</f>
        <v>0</v>
      </c>
      <c r="CM264">
        <f>IF(ISNA(CN264),NA(),CM182)</f>
        <v>0</v>
      </c>
      <c r="CN264">
        <f>IF(OR(CN182="",AND(CN182=CN181,CN182=CN183)),NA(), CN182)</f>
        <v>0</v>
      </c>
      <c r="CO264">
        <f>IF(ISNA(CP264),NA(),CO182)</f>
        <v>0</v>
      </c>
      <c r="CP264">
        <f>IF(OR(CP182="",AND(CP182=CP181,CP182=CP183)),NA(), CP182)</f>
        <v>0</v>
      </c>
      <c r="CQ264">
        <f>IF(ISNA(CR264),NA(),CQ182)</f>
        <v>0</v>
      </c>
      <c r="CR264">
        <f>IF(OR(CR182="",AND(CR182=CR181,CR182=CR183)),NA(), CR182)</f>
        <v>0</v>
      </c>
      <c r="CS264">
        <f>IF(ISNA(CT264),NA(),CS182)</f>
        <v>0</v>
      </c>
      <c r="CT264">
        <f>IF(OR(CT182="",AND(CT182=CT181,CT182=CT183)),NA(), CT182)</f>
        <v>0</v>
      </c>
      <c r="CU264">
        <f>IF(ISNA(CV264),NA(),CU182)</f>
        <v>0</v>
      </c>
      <c r="CV264">
        <f>IF(OR(CV182="",AND(CV182=CV181,CV182=CV183)),NA(), CV182)</f>
        <v>0</v>
      </c>
      <c r="CW264">
        <f>IF(ISNA(CX264),NA(),CW182)</f>
        <v>0</v>
      </c>
      <c r="CX264">
        <f>IF(OR(CX182="",AND(CX182=CX181,CX182=CX183)),NA(), CX182)</f>
        <v>0</v>
      </c>
      <c r="CY264">
        <f>IF(ISNA(CZ264),NA(),CY182)</f>
        <v>0</v>
      </c>
      <c r="CZ264">
        <f>IF(OR(CZ182="",AND(CZ182=CZ181,CZ182=CZ183)),NA(), CZ182)</f>
        <v>0</v>
      </c>
      <c r="DA264">
        <f>IF(ISNA(DB264),NA(),DA182)</f>
        <v>0</v>
      </c>
      <c r="DB264">
        <f>IF(OR(DB182="",AND(DB182=DB181,DB182=DB183)),NA(), DB182)</f>
        <v>0</v>
      </c>
      <c r="DC264">
        <f>IF(ISNA(DD264),NA(),DC182)</f>
        <v>0</v>
      </c>
      <c r="DD264">
        <f>IF(OR(DD182="",AND(DD182=DD181,DD182=DD183)),NA(), DD182)</f>
        <v>0</v>
      </c>
      <c r="DE264">
        <f>IF(ISNA(DF264),NA(),DE182)</f>
        <v>0</v>
      </c>
      <c r="DF264">
        <f>IF(OR(DF182="",AND(DF182=DF181,DF182=DF183)),NA(), DF182)</f>
        <v>0</v>
      </c>
      <c r="DG264">
        <f>IF(ISNA(DH264),NA(),DG182)</f>
        <v>0</v>
      </c>
      <c r="DH264">
        <f>IF(OR(DH182="",AND(DH182=DH181,DH182=DH183)),NA(), DH182)</f>
        <v>0</v>
      </c>
      <c r="DI264">
        <f>IF(ISNA(DJ264),NA(),DI182)</f>
        <v>0</v>
      </c>
      <c r="DJ264">
        <f>IF(OR(DJ182="",AND(DJ182=DJ181,DJ182=DJ183)),NA(), DJ182)</f>
        <v>0</v>
      </c>
      <c r="DK264">
        <f>IF(ISNA(DL264),NA(),DK182)</f>
        <v>0</v>
      </c>
      <c r="DL264">
        <f>IF(OR(DL182="",AND(DL182=DL181,DL182=DL183)),NA(), DL182)</f>
        <v>0</v>
      </c>
      <c r="DM264">
        <f>IF(ISNA(DN264),NA(),DM182)</f>
        <v>0</v>
      </c>
      <c r="DN264">
        <f>IF(OR(DN182="",AND(DN182=DN181,DN182=DN183)),NA(), DN182)</f>
        <v>0</v>
      </c>
      <c r="DO264">
        <f>IF(ISNA(DP264),NA(),DO182)</f>
        <v>0</v>
      </c>
      <c r="DP264">
        <f>IF(OR(DP182="",AND(DP182=DP181,DP182=DP183)),NA(), DP182)</f>
        <v>0</v>
      </c>
      <c r="DQ264">
        <f>IF(ISNA(DR264),NA(),DQ182)</f>
        <v>0</v>
      </c>
      <c r="DR264">
        <f>IF(OR(DR182="",AND(DR182=DR181,DR182=DR183)),NA(), DR182)</f>
        <v>0</v>
      </c>
      <c r="DS264">
        <f>IF(ISNA(DT264),NA(),DS182)</f>
        <v>0</v>
      </c>
      <c r="DT264">
        <f>IF(OR(DT182="",AND(DT182=DT181,DT182=DT183)),NA(), DT182)</f>
        <v>0</v>
      </c>
      <c r="DU264">
        <f>IF(ISNA(DV264),NA(),DU182)</f>
        <v>0</v>
      </c>
      <c r="DV264">
        <f>IF(OR(DV182="",AND(DV182=DV181,DV182=DV183)),NA(), DV182)</f>
        <v>0</v>
      </c>
      <c r="DW264">
        <f>IF(ISNA(DX264),NA(),DW182)</f>
        <v>0</v>
      </c>
      <c r="DX264">
        <f>IF(OR(DX182="",AND(DX182=DX181,DX182=DX183)),NA(), DX182)</f>
        <v>0</v>
      </c>
      <c r="DY264">
        <f>IF(ISNA(DZ264),NA(),DY182)</f>
        <v>0</v>
      </c>
      <c r="DZ264">
        <f>IF(OR(DZ182="",AND(DZ182=DZ181,DZ182=DZ183)),NA(), DZ182)</f>
        <v>0</v>
      </c>
      <c r="EA264">
        <f>IF(ISNA(EB264),NA(),EA182)</f>
        <v>0</v>
      </c>
      <c r="EB264">
        <f>IF(OR(EB182="",AND(EB182=EB181,EB182=EB183)),NA(), EB182)</f>
        <v>0</v>
      </c>
      <c r="EC264">
        <f>IF(ISNA(ED264),NA(),EC182)</f>
        <v>0</v>
      </c>
      <c r="ED264">
        <f>IF(OR(ED182="",AND(ED182=ED181,ED182=ED183)),NA(), ED182)</f>
        <v>0</v>
      </c>
    </row>
    <row r="265" spans="5:134">
      <c r="E265">
        <f>IF(ISNA(F265),NA(),E183)</f>
        <v>0</v>
      </c>
      <c r="F265">
        <f>IF(OR(F183="",AND(F183=F182,F183=F184)),NA(), F183)</f>
        <v>0</v>
      </c>
      <c r="G265">
        <f>IF(ISNA(H265),NA(),G183)</f>
        <v>0</v>
      </c>
      <c r="H265">
        <f>IF(OR(H183="",AND(H183=H182,H183=H184)),NA(), H183)</f>
        <v>0</v>
      </c>
      <c r="I265">
        <f>IF(ISNA(J265),NA(),I183)</f>
        <v>0</v>
      </c>
      <c r="J265">
        <f>IF(OR(J183="",AND(J183=J182,J183=J184)),NA(), J183)</f>
        <v>0</v>
      </c>
      <c r="K265">
        <f>IF(ISNA(L265),NA(),K183)</f>
        <v>0</v>
      </c>
      <c r="L265">
        <f>IF(OR(L183="",AND(L183=L182,L183=L184)),NA(), L183)</f>
        <v>0</v>
      </c>
      <c r="M265">
        <f>IF(ISNA(N265),NA(),M183)</f>
        <v>0</v>
      </c>
      <c r="N265">
        <f>IF(OR(N183="",AND(N183=N182,N183=N184)),NA(), N183)</f>
        <v>0</v>
      </c>
      <c r="O265">
        <f>IF(ISNA(P265),NA(),O183)</f>
        <v>0</v>
      </c>
      <c r="P265">
        <f>IF(OR(P183="",AND(P183=P182,P183=P184)),NA(), P183)</f>
        <v>0</v>
      </c>
      <c r="Q265">
        <f>IF(ISNA(R265),NA(),Q183)</f>
        <v>0</v>
      </c>
      <c r="R265">
        <f>IF(OR(R183="",AND(R183=R182,R183=R184)),NA(), R183)</f>
        <v>0</v>
      </c>
      <c r="S265">
        <f>IF(ISNA(T265),NA(),S183)</f>
        <v>0</v>
      </c>
      <c r="T265">
        <f>IF(OR(T183="",AND(T183=T182,T183=T184)),NA(), T183)</f>
        <v>0</v>
      </c>
      <c r="U265">
        <f>IF(ISNA(V265),NA(),U183)</f>
        <v>0</v>
      </c>
      <c r="V265">
        <f>IF(OR(V183="",AND(V183=V182,V183=V184)),NA(), V183)</f>
        <v>0</v>
      </c>
      <c r="W265">
        <f>IF(ISNA(X265),NA(),W183)</f>
        <v>0</v>
      </c>
      <c r="X265">
        <f>IF(OR(X183="",AND(X183=X182,X183=X184)),NA(), X183)</f>
        <v>0</v>
      </c>
      <c r="Y265">
        <f>IF(ISNA(Z265),NA(),Y183)</f>
        <v>0</v>
      </c>
      <c r="Z265">
        <f>IF(OR(Z183="",AND(Z183=Z182,Z183=Z184)),NA(), Z183)</f>
        <v>0</v>
      </c>
      <c r="AA265">
        <f>IF(ISNA(AB265),NA(),AA183)</f>
        <v>0</v>
      </c>
      <c r="AB265">
        <f>IF(OR(AB183="",AND(AB183=AB182,AB183=AB184)),NA(), AB183)</f>
        <v>0</v>
      </c>
      <c r="AC265">
        <f>IF(ISNA(AD265),NA(),AC183)</f>
        <v>0</v>
      </c>
      <c r="AD265">
        <f>IF(OR(AD183="",AND(AD183=AD182,AD183=AD184)),NA(), AD183)</f>
        <v>0</v>
      </c>
      <c r="AE265">
        <f>IF(ISNA(AF265),NA(),AE183)</f>
        <v>0</v>
      </c>
      <c r="AF265">
        <f>IF(OR(AF183="",AND(AF183=AF182,AF183=AF184)),NA(), AF183)</f>
        <v>0</v>
      </c>
      <c r="AG265">
        <f>IF(ISNA(AH265),NA(),AG183)</f>
        <v>0</v>
      </c>
      <c r="AH265">
        <f>IF(OR(AH183="",AND(AH183=AH182,AH183=AH184)),NA(), AH183)</f>
        <v>0</v>
      </c>
      <c r="AI265">
        <f>IF(ISNA(AJ265),NA(),AI183)</f>
        <v>0</v>
      </c>
      <c r="AJ265">
        <f>IF(OR(AJ183="",AND(AJ183=AJ182,AJ183=AJ184)),NA(), AJ183)</f>
        <v>0</v>
      </c>
      <c r="AK265">
        <f>IF(ISNA(AL265),NA(),AK183)</f>
        <v>0</v>
      </c>
      <c r="AL265">
        <f>IF(OR(AL183="",AND(AL183=AL182,AL183=AL184)),NA(), AL183)</f>
        <v>0</v>
      </c>
      <c r="AM265">
        <f>IF(ISNA(AN265),NA(),AM183)</f>
        <v>0</v>
      </c>
      <c r="AN265">
        <f>IF(OR(AN183="",AND(AN183=AN182,AN183=AN184)),NA(), AN183)</f>
        <v>0</v>
      </c>
      <c r="AO265">
        <f>IF(ISNA(AP265),NA(),AO183)</f>
        <v>0</v>
      </c>
      <c r="AP265">
        <f>IF(OR(AP183="",AND(AP183=AP182,AP183=AP184)),NA(), AP183)</f>
        <v>0</v>
      </c>
      <c r="AQ265">
        <f>IF(ISNA(AR265),NA(),AQ183)</f>
        <v>0</v>
      </c>
      <c r="AR265">
        <f>IF(OR(AR183="",AND(AR183=AR182,AR183=AR184)),NA(), AR183)</f>
        <v>0</v>
      </c>
      <c r="AS265">
        <f>IF(ISNA(AT265),NA(),AS183)</f>
        <v>0</v>
      </c>
      <c r="AT265">
        <f>IF(OR(AT183="",AND(AT183=AT182,AT183=AT184)),NA(), AT183)</f>
        <v>0</v>
      </c>
      <c r="AU265">
        <f>IF(ISNA(AV265),NA(),AU183)</f>
        <v>0</v>
      </c>
      <c r="AV265">
        <f>IF(OR(AV183="",AND(AV183=AV182,AV183=AV184)),NA(), AV183)</f>
        <v>0</v>
      </c>
      <c r="AW265">
        <f>IF(ISNA(AX265),NA(),AW183)</f>
        <v>0</v>
      </c>
      <c r="AX265">
        <f>IF(OR(AX183="",AND(AX183=AX182,AX183=AX184)),NA(), AX183)</f>
        <v>0</v>
      </c>
      <c r="AY265">
        <f>IF(ISNA(AZ265),NA(),AY183)</f>
        <v>0</v>
      </c>
      <c r="AZ265">
        <f>IF(OR(AZ183="",AND(AZ183=AZ182,AZ183=AZ184)),NA(), AZ183)</f>
        <v>0</v>
      </c>
      <c r="BA265">
        <f>IF(ISNA(BB265),NA(),BA183)</f>
        <v>0</v>
      </c>
      <c r="BB265">
        <f>IF(OR(BB183="",AND(BB183=BB182,BB183=BB184)),NA(), BB183)</f>
        <v>0</v>
      </c>
      <c r="BC265">
        <f>IF(ISNA(BD265),NA(),BC183)</f>
        <v>0</v>
      </c>
      <c r="BD265">
        <f>IF(OR(BD183="",AND(BD183=BD182,BD183=BD184)),NA(), BD183)</f>
        <v>0</v>
      </c>
      <c r="BE265">
        <f>IF(ISNA(BF265),NA(),BE183)</f>
        <v>0</v>
      </c>
      <c r="BF265">
        <f>IF(OR(BF183="",AND(BF183=BF182,BF183=BF184)),NA(), BF183)</f>
        <v>0</v>
      </c>
      <c r="BG265">
        <f>IF(ISNA(BH265),NA(),BG183)</f>
        <v>0</v>
      </c>
      <c r="BH265">
        <f>IF(OR(BH183="",AND(BH183=BH182,BH183=BH184)),NA(), BH183)</f>
        <v>0</v>
      </c>
      <c r="BI265">
        <f>IF(ISNA(BJ265),NA(),BI183)</f>
        <v>0</v>
      </c>
      <c r="BJ265">
        <f>IF(OR(BJ183="",AND(BJ183=BJ182,BJ183=BJ184)),NA(), BJ183)</f>
        <v>0</v>
      </c>
      <c r="BK265">
        <f>IF(ISNA(BL265),NA(),BK183)</f>
        <v>0</v>
      </c>
      <c r="BL265">
        <f>IF(OR(BL183="",AND(BL183=BL182,BL183=BL184)),NA(), BL183)</f>
        <v>0</v>
      </c>
      <c r="BM265">
        <f>IF(ISNA(BN265),NA(),BM183)</f>
        <v>0</v>
      </c>
      <c r="BN265">
        <f>IF(OR(BN183="",AND(BN183=BN182,BN183=BN184)),NA(), BN183)</f>
        <v>0</v>
      </c>
      <c r="BO265">
        <f>IF(ISNA(BP265),NA(),BO183)</f>
        <v>0</v>
      </c>
      <c r="BP265">
        <f>IF(OR(BP183="",AND(BP183=BP182,BP183=BP184)),NA(), BP183)</f>
        <v>0</v>
      </c>
      <c r="BS265">
        <f>IF(ISNA(BT265),NA(),BS183)</f>
        <v>0</v>
      </c>
      <c r="BT265">
        <f>IF(OR(BT183="",AND(BT183=BT182,BT183=BT184)),NA(), BT183)</f>
        <v>0</v>
      </c>
      <c r="BU265">
        <f>IF(ISNA(BV265),NA(),BU183)</f>
        <v>0</v>
      </c>
      <c r="BV265">
        <f>IF(OR(BV183="",AND(BV183=BV182,BV183=BV184)),NA(), BV183)</f>
        <v>0</v>
      </c>
      <c r="BW265">
        <f>IF(ISNA(BX265),NA(),BW183)</f>
        <v>0</v>
      </c>
      <c r="BX265">
        <f>IF(OR(BX183="",AND(BX183=BX182,BX183=BX184)),NA(), BX183)</f>
        <v>0</v>
      </c>
      <c r="BY265">
        <f>IF(ISNA(BZ265),NA(),BY183)</f>
        <v>0</v>
      </c>
      <c r="BZ265">
        <f>IF(OR(BZ183="",AND(BZ183=BZ182,BZ183=BZ184)),NA(), BZ183)</f>
        <v>0</v>
      </c>
      <c r="CA265">
        <f>IF(ISNA(CB265),NA(),CA183)</f>
        <v>0</v>
      </c>
      <c r="CB265">
        <f>IF(OR(CB183="",AND(CB183=CB182,CB183=CB184)),NA(), CB183)</f>
        <v>0</v>
      </c>
      <c r="CC265">
        <f>IF(ISNA(CD265),NA(),CC183)</f>
        <v>0</v>
      </c>
      <c r="CD265">
        <f>IF(OR(CD183="",AND(CD183=CD182,CD183=CD184)),NA(), CD183)</f>
        <v>0</v>
      </c>
      <c r="CE265">
        <f>IF(ISNA(CF265),NA(),CE183)</f>
        <v>0</v>
      </c>
      <c r="CF265">
        <f>IF(OR(CF183="",AND(CF183=CF182,CF183=CF184)),NA(), CF183)</f>
        <v>0</v>
      </c>
      <c r="CG265">
        <f>IF(ISNA(CH265),NA(),CG183)</f>
        <v>0</v>
      </c>
      <c r="CH265">
        <f>IF(OR(CH183="",AND(CH183=CH182,CH183=CH184)),NA(), CH183)</f>
        <v>0</v>
      </c>
      <c r="CI265">
        <f>IF(ISNA(CJ265),NA(),CI183)</f>
        <v>0</v>
      </c>
      <c r="CJ265">
        <f>IF(OR(CJ183="",AND(CJ183=CJ182,CJ183=CJ184)),NA(), CJ183)</f>
        <v>0</v>
      </c>
      <c r="CK265">
        <f>IF(ISNA(CL265),NA(),CK183)</f>
        <v>0</v>
      </c>
      <c r="CL265">
        <f>IF(OR(CL183="",AND(CL183=CL182,CL183=CL184)),NA(), CL183)</f>
        <v>0</v>
      </c>
      <c r="CM265">
        <f>IF(ISNA(CN265),NA(),CM183)</f>
        <v>0</v>
      </c>
      <c r="CN265">
        <f>IF(OR(CN183="",AND(CN183=CN182,CN183=CN184)),NA(), CN183)</f>
        <v>0</v>
      </c>
      <c r="CO265">
        <f>IF(ISNA(CP265),NA(),CO183)</f>
        <v>0</v>
      </c>
      <c r="CP265">
        <f>IF(OR(CP183="",AND(CP183=CP182,CP183=CP184)),NA(), CP183)</f>
        <v>0</v>
      </c>
      <c r="CQ265">
        <f>IF(ISNA(CR265),NA(),CQ183)</f>
        <v>0</v>
      </c>
      <c r="CR265">
        <f>IF(OR(CR183="",AND(CR183=CR182,CR183=CR184)),NA(), CR183)</f>
        <v>0</v>
      </c>
      <c r="CS265">
        <f>IF(ISNA(CT265),NA(),CS183)</f>
        <v>0</v>
      </c>
      <c r="CT265">
        <f>IF(OR(CT183="",AND(CT183=CT182,CT183=CT184)),NA(), CT183)</f>
        <v>0</v>
      </c>
      <c r="CU265">
        <f>IF(ISNA(CV265),NA(),CU183)</f>
        <v>0</v>
      </c>
      <c r="CV265">
        <f>IF(OR(CV183="",AND(CV183=CV182,CV183=CV184)),NA(), CV183)</f>
        <v>0</v>
      </c>
      <c r="CW265">
        <f>IF(ISNA(CX265),NA(),CW183)</f>
        <v>0</v>
      </c>
      <c r="CX265">
        <f>IF(OR(CX183="",AND(CX183=CX182,CX183=CX184)),NA(), CX183)</f>
        <v>0</v>
      </c>
      <c r="CY265">
        <f>IF(ISNA(CZ265),NA(),CY183)</f>
        <v>0</v>
      </c>
      <c r="CZ265">
        <f>IF(OR(CZ183="",AND(CZ183=CZ182,CZ183=CZ184)),NA(), CZ183)</f>
        <v>0</v>
      </c>
      <c r="DA265">
        <f>IF(ISNA(DB265),NA(),DA183)</f>
        <v>0</v>
      </c>
      <c r="DB265">
        <f>IF(OR(DB183="",AND(DB183=DB182,DB183=DB184)),NA(), DB183)</f>
        <v>0</v>
      </c>
      <c r="DC265">
        <f>IF(ISNA(DD265),NA(),DC183)</f>
        <v>0</v>
      </c>
      <c r="DD265">
        <f>IF(OR(DD183="",AND(DD183=DD182,DD183=DD184)),NA(), DD183)</f>
        <v>0</v>
      </c>
      <c r="DE265">
        <f>IF(ISNA(DF265),NA(),DE183)</f>
        <v>0</v>
      </c>
      <c r="DF265">
        <f>IF(OR(DF183="",AND(DF183=DF182,DF183=DF184)),NA(), DF183)</f>
        <v>0</v>
      </c>
      <c r="DG265">
        <f>IF(ISNA(DH265),NA(),DG183)</f>
        <v>0</v>
      </c>
      <c r="DH265">
        <f>IF(OR(DH183="",AND(DH183=DH182,DH183=DH184)),NA(), DH183)</f>
        <v>0</v>
      </c>
      <c r="DI265">
        <f>IF(ISNA(DJ265),NA(),DI183)</f>
        <v>0</v>
      </c>
      <c r="DJ265">
        <f>IF(OR(DJ183="",AND(DJ183=DJ182,DJ183=DJ184)),NA(), DJ183)</f>
        <v>0</v>
      </c>
      <c r="DK265">
        <f>IF(ISNA(DL265),NA(),DK183)</f>
        <v>0</v>
      </c>
      <c r="DL265">
        <f>IF(OR(DL183="",AND(DL183=DL182,DL183=DL184)),NA(), DL183)</f>
        <v>0</v>
      </c>
      <c r="DM265">
        <f>IF(ISNA(DN265),NA(),DM183)</f>
        <v>0</v>
      </c>
      <c r="DN265">
        <f>IF(OR(DN183="",AND(DN183=DN182,DN183=DN184)),NA(), DN183)</f>
        <v>0</v>
      </c>
      <c r="DO265">
        <f>IF(ISNA(DP265),NA(),DO183)</f>
        <v>0</v>
      </c>
      <c r="DP265">
        <f>IF(OR(DP183="",AND(DP183=DP182,DP183=DP184)),NA(), DP183)</f>
        <v>0</v>
      </c>
      <c r="DQ265">
        <f>IF(ISNA(DR265),NA(),DQ183)</f>
        <v>0</v>
      </c>
      <c r="DR265">
        <f>IF(OR(DR183="",AND(DR183=DR182,DR183=DR184)),NA(), DR183)</f>
        <v>0</v>
      </c>
      <c r="DS265">
        <f>IF(ISNA(DT265),NA(),DS183)</f>
        <v>0</v>
      </c>
      <c r="DT265">
        <f>IF(OR(DT183="",AND(DT183=DT182,DT183=DT184)),NA(), DT183)</f>
        <v>0</v>
      </c>
      <c r="DU265">
        <f>IF(ISNA(DV265),NA(),DU183)</f>
        <v>0</v>
      </c>
      <c r="DV265">
        <f>IF(OR(DV183="",AND(DV183=DV182,DV183=DV184)),NA(), DV183)</f>
        <v>0</v>
      </c>
      <c r="DW265">
        <f>IF(ISNA(DX265),NA(),DW183)</f>
        <v>0</v>
      </c>
      <c r="DX265">
        <f>IF(OR(DX183="",AND(DX183=DX182,DX183=DX184)),NA(), DX183)</f>
        <v>0</v>
      </c>
      <c r="DY265">
        <f>IF(ISNA(DZ265),NA(),DY183)</f>
        <v>0</v>
      </c>
      <c r="DZ265">
        <f>IF(OR(DZ183="",AND(DZ183=DZ182,DZ183=DZ184)),NA(), DZ183)</f>
        <v>0</v>
      </c>
      <c r="EA265">
        <f>IF(ISNA(EB265),NA(),EA183)</f>
        <v>0</v>
      </c>
      <c r="EB265">
        <f>IF(OR(EB183="",AND(EB183=EB182,EB183=EB184)),NA(), EB183)</f>
        <v>0</v>
      </c>
      <c r="EC265">
        <f>IF(ISNA(ED265),NA(),EC183)</f>
        <v>0</v>
      </c>
      <c r="ED265">
        <f>IF(OR(ED183="",AND(ED183=ED182,ED183=ED184)),NA(), ED183)</f>
        <v>0</v>
      </c>
    </row>
    <row r="266" spans="5:134">
      <c r="E266">
        <f>IF(ISNA(F266),NA(),E184)</f>
        <v>0</v>
      </c>
      <c r="F266">
        <f>IF(OR(F184="",AND(F184=F183,F184=F185)),NA(), F184)</f>
        <v>0</v>
      </c>
      <c r="G266">
        <f>IF(ISNA(H266),NA(),G184)</f>
        <v>0</v>
      </c>
      <c r="H266">
        <f>IF(OR(H184="",AND(H184=H183,H184=H185)),NA(), H184)</f>
        <v>0</v>
      </c>
      <c r="I266">
        <f>IF(ISNA(J266),NA(),I184)</f>
        <v>0</v>
      </c>
      <c r="J266">
        <f>IF(OR(J184="",AND(J184=J183,J184=J185)),NA(), J184)</f>
        <v>0</v>
      </c>
      <c r="K266">
        <f>IF(ISNA(L266),NA(),K184)</f>
        <v>0</v>
      </c>
      <c r="L266">
        <f>IF(OR(L184="",AND(L184=L183,L184=L185)),NA(), L184)</f>
        <v>0</v>
      </c>
      <c r="M266">
        <f>IF(ISNA(N266),NA(),M184)</f>
        <v>0</v>
      </c>
      <c r="N266">
        <f>IF(OR(N184="",AND(N184=N183,N184=N185)),NA(), N184)</f>
        <v>0</v>
      </c>
      <c r="O266">
        <f>IF(ISNA(P266),NA(),O184)</f>
        <v>0</v>
      </c>
      <c r="P266">
        <f>IF(OR(P184="",AND(P184=P183,P184=P185)),NA(), P184)</f>
        <v>0</v>
      </c>
      <c r="Q266">
        <f>IF(ISNA(R266),NA(),Q184)</f>
        <v>0</v>
      </c>
      <c r="R266">
        <f>IF(OR(R184="",AND(R184=R183,R184=R185)),NA(), R184)</f>
        <v>0</v>
      </c>
      <c r="S266">
        <f>IF(ISNA(T266),NA(),S184)</f>
        <v>0</v>
      </c>
      <c r="T266">
        <f>IF(OR(T184="",AND(T184=T183,T184=T185)),NA(), T184)</f>
        <v>0</v>
      </c>
      <c r="U266">
        <f>IF(ISNA(V266),NA(),U184)</f>
        <v>0</v>
      </c>
      <c r="V266">
        <f>IF(OR(V184="",AND(V184=V183,V184=V185)),NA(), V184)</f>
        <v>0</v>
      </c>
      <c r="W266">
        <f>IF(ISNA(X266),NA(),W184)</f>
        <v>0</v>
      </c>
      <c r="X266">
        <f>IF(OR(X184="",AND(X184=X183,X184=X185)),NA(), X184)</f>
        <v>0</v>
      </c>
      <c r="Y266">
        <f>IF(ISNA(Z266),NA(),Y184)</f>
        <v>0</v>
      </c>
      <c r="Z266">
        <f>IF(OR(Z184="",AND(Z184=Z183,Z184=Z185)),NA(), Z184)</f>
        <v>0</v>
      </c>
      <c r="AA266">
        <f>IF(ISNA(AB266),NA(),AA184)</f>
        <v>0</v>
      </c>
      <c r="AB266">
        <f>IF(OR(AB184="",AND(AB184=AB183,AB184=AB185)),NA(), AB184)</f>
        <v>0</v>
      </c>
      <c r="AC266">
        <f>IF(ISNA(AD266),NA(),AC184)</f>
        <v>0</v>
      </c>
      <c r="AD266">
        <f>IF(OR(AD184="",AND(AD184=AD183,AD184=AD185)),NA(), AD184)</f>
        <v>0</v>
      </c>
      <c r="AE266">
        <f>IF(ISNA(AF266),NA(),AE184)</f>
        <v>0</v>
      </c>
      <c r="AF266">
        <f>IF(OR(AF184="",AND(AF184=AF183,AF184=AF185)),NA(), AF184)</f>
        <v>0</v>
      </c>
      <c r="AG266">
        <f>IF(ISNA(AH266),NA(),AG184)</f>
        <v>0</v>
      </c>
      <c r="AH266">
        <f>IF(OR(AH184="",AND(AH184=AH183,AH184=AH185)),NA(), AH184)</f>
        <v>0</v>
      </c>
      <c r="AI266">
        <f>IF(ISNA(AJ266),NA(),AI184)</f>
        <v>0</v>
      </c>
      <c r="AJ266">
        <f>IF(OR(AJ184="",AND(AJ184=AJ183,AJ184=AJ185)),NA(), AJ184)</f>
        <v>0</v>
      </c>
      <c r="AK266">
        <f>IF(ISNA(AL266),NA(),AK184)</f>
        <v>0</v>
      </c>
      <c r="AL266">
        <f>IF(OR(AL184="",AND(AL184=AL183,AL184=AL185)),NA(), AL184)</f>
        <v>0</v>
      </c>
      <c r="AM266">
        <f>IF(ISNA(AN266),NA(),AM184)</f>
        <v>0</v>
      </c>
      <c r="AN266">
        <f>IF(OR(AN184="",AND(AN184=AN183,AN184=AN185)),NA(), AN184)</f>
        <v>0</v>
      </c>
      <c r="AO266">
        <f>IF(ISNA(AP266),NA(),AO184)</f>
        <v>0</v>
      </c>
      <c r="AP266">
        <f>IF(OR(AP184="",AND(AP184=AP183,AP184=AP185)),NA(), AP184)</f>
        <v>0</v>
      </c>
      <c r="AQ266">
        <f>IF(ISNA(AR266),NA(),AQ184)</f>
        <v>0</v>
      </c>
      <c r="AR266">
        <f>IF(OR(AR184="",AND(AR184=AR183,AR184=AR185)),NA(), AR184)</f>
        <v>0</v>
      </c>
      <c r="AS266">
        <f>IF(ISNA(AT266),NA(),AS184)</f>
        <v>0</v>
      </c>
      <c r="AT266">
        <f>IF(OR(AT184="",AND(AT184=AT183,AT184=AT185)),NA(), AT184)</f>
        <v>0</v>
      </c>
      <c r="AU266">
        <f>IF(ISNA(AV266),NA(),AU184)</f>
        <v>0</v>
      </c>
      <c r="AV266">
        <f>IF(OR(AV184="",AND(AV184=AV183,AV184=AV185)),NA(), AV184)</f>
        <v>0</v>
      </c>
      <c r="AW266">
        <f>IF(ISNA(AX266),NA(),AW184)</f>
        <v>0</v>
      </c>
      <c r="AX266">
        <f>IF(OR(AX184="",AND(AX184=AX183,AX184=AX185)),NA(), AX184)</f>
        <v>0</v>
      </c>
      <c r="AY266">
        <f>IF(ISNA(AZ266),NA(),AY184)</f>
        <v>0</v>
      </c>
      <c r="AZ266">
        <f>IF(OR(AZ184="",AND(AZ184=AZ183,AZ184=AZ185)),NA(), AZ184)</f>
        <v>0</v>
      </c>
      <c r="BA266">
        <f>IF(ISNA(BB266),NA(),BA184)</f>
        <v>0</v>
      </c>
      <c r="BB266">
        <f>IF(OR(BB184="",AND(BB184=BB183,BB184=BB185)),NA(), BB184)</f>
        <v>0</v>
      </c>
      <c r="BC266">
        <f>IF(ISNA(BD266),NA(),BC184)</f>
        <v>0</v>
      </c>
      <c r="BD266">
        <f>IF(OR(BD184="",AND(BD184=BD183,BD184=BD185)),NA(), BD184)</f>
        <v>0</v>
      </c>
      <c r="BE266">
        <f>IF(ISNA(BF266),NA(),BE184)</f>
        <v>0</v>
      </c>
      <c r="BF266">
        <f>IF(OR(BF184="",AND(BF184=BF183,BF184=BF185)),NA(), BF184)</f>
        <v>0</v>
      </c>
      <c r="BG266">
        <f>IF(ISNA(BH266),NA(),BG184)</f>
        <v>0</v>
      </c>
      <c r="BH266">
        <f>IF(OR(BH184="",AND(BH184=BH183,BH184=BH185)),NA(), BH184)</f>
        <v>0</v>
      </c>
      <c r="BI266">
        <f>IF(ISNA(BJ266),NA(),BI184)</f>
        <v>0</v>
      </c>
      <c r="BJ266">
        <f>IF(OR(BJ184="",AND(BJ184=BJ183,BJ184=BJ185)),NA(), BJ184)</f>
        <v>0</v>
      </c>
      <c r="BK266">
        <f>IF(ISNA(BL266),NA(),BK184)</f>
        <v>0</v>
      </c>
      <c r="BL266">
        <f>IF(OR(BL184="",AND(BL184=BL183,BL184=BL185)),NA(), BL184)</f>
        <v>0</v>
      </c>
      <c r="BM266">
        <f>IF(ISNA(BN266),NA(),BM184)</f>
        <v>0</v>
      </c>
      <c r="BN266">
        <f>IF(OR(BN184="",AND(BN184=BN183,BN184=BN185)),NA(), BN184)</f>
        <v>0</v>
      </c>
      <c r="BO266">
        <f>IF(ISNA(BP266),NA(),BO184)</f>
        <v>0</v>
      </c>
      <c r="BP266">
        <f>IF(OR(BP184="",AND(BP184=BP183,BP184=BP185)),NA(), BP184)</f>
        <v>0</v>
      </c>
      <c r="BS266">
        <f>IF(ISNA(BT266),NA(),BS184)</f>
        <v>0</v>
      </c>
      <c r="BT266">
        <f>IF(OR(BT184="",AND(BT184=BT183,BT184=BT185)),NA(), BT184)</f>
        <v>0</v>
      </c>
      <c r="BU266">
        <f>IF(ISNA(BV266),NA(),BU184)</f>
        <v>0</v>
      </c>
      <c r="BV266">
        <f>IF(OR(BV184="",AND(BV184=BV183,BV184=BV185)),NA(), BV184)</f>
        <v>0</v>
      </c>
      <c r="BW266">
        <f>IF(ISNA(BX266),NA(),BW184)</f>
        <v>0</v>
      </c>
      <c r="BX266">
        <f>IF(OR(BX184="",AND(BX184=BX183,BX184=BX185)),NA(), BX184)</f>
        <v>0</v>
      </c>
      <c r="BY266">
        <f>IF(ISNA(BZ266),NA(),BY184)</f>
        <v>0</v>
      </c>
      <c r="BZ266">
        <f>IF(OR(BZ184="",AND(BZ184=BZ183,BZ184=BZ185)),NA(), BZ184)</f>
        <v>0</v>
      </c>
      <c r="CA266">
        <f>IF(ISNA(CB266),NA(),CA184)</f>
        <v>0</v>
      </c>
      <c r="CB266">
        <f>IF(OR(CB184="",AND(CB184=CB183,CB184=CB185)),NA(), CB184)</f>
        <v>0</v>
      </c>
      <c r="CC266">
        <f>IF(ISNA(CD266),NA(),CC184)</f>
        <v>0</v>
      </c>
      <c r="CD266">
        <f>IF(OR(CD184="",AND(CD184=CD183,CD184=CD185)),NA(), CD184)</f>
        <v>0</v>
      </c>
      <c r="CE266">
        <f>IF(ISNA(CF266),NA(),CE184)</f>
        <v>0</v>
      </c>
      <c r="CF266">
        <f>IF(OR(CF184="",AND(CF184=CF183,CF184=CF185)),NA(), CF184)</f>
        <v>0</v>
      </c>
      <c r="CG266">
        <f>IF(ISNA(CH266),NA(),CG184)</f>
        <v>0</v>
      </c>
      <c r="CH266">
        <f>IF(OR(CH184="",AND(CH184=CH183,CH184=CH185)),NA(), CH184)</f>
        <v>0</v>
      </c>
      <c r="CI266">
        <f>IF(ISNA(CJ266),NA(),CI184)</f>
        <v>0</v>
      </c>
      <c r="CJ266">
        <f>IF(OR(CJ184="",AND(CJ184=CJ183,CJ184=CJ185)),NA(), CJ184)</f>
        <v>0</v>
      </c>
      <c r="CK266">
        <f>IF(ISNA(CL266),NA(),CK184)</f>
        <v>0</v>
      </c>
      <c r="CL266">
        <f>IF(OR(CL184="",AND(CL184=CL183,CL184=CL185)),NA(), CL184)</f>
        <v>0</v>
      </c>
      <c r="CM266">
        <f>IF(ISNA(CN266),NA(),CM184)</f>
        <v>0</v>
      </c>
      <c r="CN266">
        <f>IF(OR(CN184="",AND(CN184=CN183,CN184=CN185)),NA(), CN184)</f>
        <v>0</v>
      </c>
      <c r="CO266">
        <f>IF(ISNA(CP266),NA(),CO184)</f>
        <v>0</v>
      </c>
      <c r="CP266">
        <f>IF(OR(CP184="",AND(CP184=CP183,CP184=CP185)),NA(), CP184)</f>
        <v>0</v>
      </c>
      <c r="CQ266">
        <f>IF(ISNA(CR266),NA(),CQ184)</f>
        <v>0</v>
      </c>
      <c r="CR266">
        <f>IF(OR(CR184="",AND(CR184=CR183,CR184=CR185)),NA(), CR184)</f>
        <v>0</v>
      </c>
      <c r="CS266">
        <f>IF(ISNA(CT266),NA(),CS184)</f>
        <v>0</v>
      </c>
      <c r="CT266">
        <f>IF(OR(CT184="",AND(CT184=CT183,CT184=CT185)),NA(), CT184)</f>
        <v>0</v>
      </c>
      <c r="CU266">
        <f>IF(ISNA(CV266),NA(),CU184)</f>
        <v>0</v>
      </c>
      <c r="CV266">
        <f>IF(OR(CV184="",AND(CV184=CV183,CV184=CV185)),NA(), CV184)</f>
        <v>0</v>
      </c>
      <c r="CW266">
        <f>IF(ISNA(CX266),NA(),CW184)</f>
        <v>0</v>
      </c>
      <c r="CX266">
        <f>IF(OR(CX184="",AND(CX184=CX183,CX184=CX185)),NA(), CX184)</f>
        <v>0</v>
      </c>
      <c r="CY266">
        <f>IF(ISNA(CZ266),NA(),CY184)</f>
        <v>0</v>
      </c>
      <c r="CZ266">
        <f>IF(OR(CZ184="",AND(CZ184=CZ183,CZ184=CZ185)),NA(), CZ184)</f>
        <v>0</v>
      </c>
      <c r="DA266">
        <f>IF(ISNA(DB266),NA(),DA184)</f>
        <v>0</v>
      </c>
      <c r="DB266">
        <f>IF(OR(DB184="",AND(DB184=DB183,DB184=DB185)),NA(), DB184)</f>
        <v>0</v>
      </c>
      <c r="DC266">
        <f>IF(ISNA(DD266),NA(),DC184)</f>
        <v>0</v>
      </c>
      <c r="DD266">
        <f>IF(OR(DD184="",AND(DD184=DD183,DD184=DD185)),NA(), DD184)</f>
        <v>0</v>
      </c>
      <c r="DE266">
        <f>IF(ISNA(DF266),NA(),DE184)</f>
        <v>0</v>
      </c>
      <c r="DF266">
        <f>IF(OR(DF184="",AND(DF184=DF183,DF184=DF185)),NA(), DF184)</f>
        <v>0</v>
      </c>
      <c r="DG266">
        <f>IF(ISNA(DH266),NA(),DG184)</f>
        <v>0</v>
      </c>
      <c r="DH266">
        <f>IF(OR(DH184="",AND(DH184=DH183,DH184=DH185)),NA(), DH184)</f>
        <v>0</v>
      </c>
      <c r="DI266">
        <f>IF(ISNA(DJ266),NA(),DI184)</f>
        <v>0</v>
      </c>
      <c r="DJ266">
        <f>IF(OR(DJ184="",AND(DJ184=DJ183,DJ184=DJ185)),NA(), DJ184)</f>
        <v>0</v>
      </c>
      <c r="DK266">
        <f>IF(ISNA(DL266),NA(),DK184)</f>
        <v>0</v>
      </c>
      <c r="DL266">
        <f>IF(OR(DL184="",AND(DL184=DL183,DL184=DL185)),NA(), DL184)</f>
        <v>0</v>
      </c>
      <c r="DM266">
        <f>IF(ISNA(DN266),NA(),DM184)</f>
        <v>0</v>
      </c>
      <c r="DN266">
        <f>IF(OR(DN184="",AND(DN184=DN183,DN184=DN185)),NA(), DN184)</f>
        <v>0</v>
      </c>
      <c r="DO266">
        <f>IF(ISNA(DP266),NA(),DO184)</f>
        <v>0</v>
      </c>
      <c r="DP266">
        <f>IF(OR(DP184="",AND(DP184=DP183,DP184=DP185)),NA(), DP184)</f>
        <v>0</v>
      </c>
      <c r="DQ266">
        <f>IF(ISNA(DR266),NA(),DQ184)</f>
        <v>0</v>
      </c>
      <c r="DR266">
        <f>IF(OR(DR184="",AND(DR184=DR183,DR184=DR185)),NA(), DR184)</f>
        <v>0</v>
      </c>
      <c r="DS266">
        <f>IF(ISNA(DT266),NA(),DS184)</f>
        <v>0</v>
      </c>
      <c r="DT266">
        <f>IF(OR(DT184="",AND(DT184=DT183,DT184=DT185)),NA(), DT184)</f>
        <v>0</v>
      </c>
      <c r="DU266">
        <f>IF(ISNA(DV266),NA(),DU184)</f>
        <v>0</v>
      </c>
      <c r="DV266">
        <f>IF(OR(DV184="",AND(DV184=DV183,DV184=DV185)),NA(), DV184)</f>
        <v>0</v>
      </c>
      <c r="DW266">
        <f>IF(ISNA(DX266),NA(),DW184)</f>
        <v>0</v>
      </c>
      <c r="DX266">
        <f>IF(OR(DX184="",AND(DX184=DX183,DX184=DX185)),NA(), DX184)</f>
        <v>0</v>
      </c>
      <c r="DY266">
        <f>IF(ISNA(DZ266),NA(),DY184)</f>
        <v>0</v>
      </c>
      <c r="DZ266">
        <f>IF(OR(DZ184="",AND(DZ184=DZ183,DZ184=DZ185)),NA(), DZ184)</f>
        <v>0</v>
      </c>
      <c r="EA266">
        <f>IF(ISNA(EB266),NA(),EA184)</f>
        <v>0</v>
      </c>
      <c r="EB266">
        <f>IF(OR(EB184="",AND(EB184=EB183,EB184=EB185)),NA(), EB184)</f>
        <v>0</v>
      </c>
      <c r="EC266">
        <f>IF(ISNA(ED266),NA(),EC184)</f>
        <v>0</v>
      </c>
      <c r="ED266">
        <f>IF(OR(ED184="",AND(ED184=ED183,ED184=ED185)),NA(), ED184)</f>
        <v>0</v>
      </c>
    </row>
    <row r="267" spans="5:134">
      <c r="E267">
        <f>IF(ISNA(F267),NA(),E185)</f>
        <v>0</v>
      </c>
      <c r="F267">
        <f>IF(OR(F185="",AND(F185=F184,F185=F186)),NA(), F185)</f>
        <v>0</v>
      </c>
      <c r="G267">
        <f>IF(ISNA(H267),NA(),G185)</f>
        <v>0</v>
      </c>
      <c r="H267">
        <f>IF(OR(H185="",AND(H185=H184,H185=H186)),NA(), H185)</f>
        <v>0</v>
      </c>
      <c r="I267">
        <f>IF(ISNA(J267),NA(),I185)</f>
        <v>0</v>
      </c>
      <c r="J267">
        <f>IF(OR(J185="",AND(J185=J184,J185=J186)),NA(), J185)</f>
        <v>0</v>
      </c>
      <c r="K267">
        <f>IF(ISNA(L267),NA(),K185)</f>
        <v>0</v>
      </c>
      <c r="L267">
        <f>IF(OR(L185="",AND(L185=L184,L185=L186)),NA(), L185)</f>
        <v>0</v>
      </c>
      <c r="M267">
        <f>IF(ISNA(N267),NA(),M185)</f>
        <v>0</v>
      </c>
      <c r="N267">
        <f>IF(OR(N185="",AND(N185=N184,N185=N186)),NA(), N185)</f>
        <v>0</v>
      </c>
      <c r="O267">
        <f>IF(ISNA(P267),NA(),O185)</f>
        <v>0</v>
      </c>
      <c r="P267">
        <f>IF(OR(P185="",AND(P185=P184,P185=P186)),NA(), P185)</f>
        <v>0</v>
      </c>
      <c r="Q267">
        <f>IF(ISNA(R267),NA(),Q185)</f>
        <v>0</v>
      </c>
      <c r="R267">
        <f>IF(OR(R185="",AND(R185=R184,R185=R186)),NA(), R185)</f>
        <v>0</v>
      </c>
      <c r="S267">
        <f>IF(ISNA(T267),NA(),S185)</f>
        <v>0</v>
      </c>
      <c r="T267">
        <f>IF(OR(T185="",AND(T185=T184,T185=T186)),NA(), T185)</f>
        <v>0</v>
      </c>
      <c r="U267">
        <f>IF(ISNA(V267),NA(),U185)</f>
        <v>0</v>
      </c>
      <c r="V267">
        <f>IF(OR(V185="",AND(V185=V184,V185=V186)),NA(), V185)</f>
        <v>0</v>
      </c>
      <c r="W267">
        <f>IF(ISNA(X267),NA(),W185)</f>
        <v>0</v>
      </c>
      <c r="X267">
        <f>IF(OR(X185="",AND(X185=X184,X185=X186)),NA(), X185)</f>
        <v>0</v>
      </c>
      <c r="Y267">
        <f>IF(ISNA(Z267),NA(),Y185)</f>
        <v>0</v>
      </c>
      <c r="Z267">
        <f>IF(OR(Z185="",AND(Z185=Z184,Z185=Z186)),NA(), Z185)</f>
        <v>0</v>
      </c>
      <c r="AA267">
        <f>IF(ISNA(AB267),NA(),AA185)</f>
        <v>0</v>
      </c>
      <c r="AB267">
        <f>IF(OR(AB185="",AND(AB185=AB184,AB185=AB186)),NA(), AB185)</f>
        <v>0</v>
      </c>
      <c r="AC267">
        <f>IF(ISNA(AD267),NA(),AC185)</f>
        <v>0</v>
      </c>
      <c r="AD267">
        <f>IF(OR(AD185="",AND(AD185=AD184,AD185=AD186)),NA(), AD185)</f>
        <v>0</v>
      </c>
      <c r="AE267">
        <f>IF(ISNA(AF267),NA(),AE185)</f>
        <v>0</v>
      </c>
      <c r="AF267">
        <f>IF(OR(AF185="",AND(AF185=AF184,AF185=AF186)),NA(), AF185)</f>
        <v>0</v>
      </c>
      <c r="AG267">
        <f>IF(ISNA(AH267),NA(),AG185)</f>
        <v>0</v>
      </c>
      <c r="AH267">
        <f>IF(OR(AH185="",AND(AH185=AH184,AH185=AH186)),NA(), AH185)</f>
        <v>0</v>
      </c>
      <c r="AI267">
        <f>IF(ISNA(AJ267),NA(),AI185)</f>
        <v>0</v>
      </c>
      <c r="AJ267">
        <f>IF(OR(AJ185="",AND(AJ185=AJ184,AJ185=AJ186)),NA(), AJ185)</f>
        <v>0</v>
      </c>
      <c r="AK267">
        <f>IF(ISNA(AL267),NA(),AK185)</f>
        <v>0</v>
      </c>
      <c r="AL267">
        <f>IF(OR(AL185="",AND(AL185=AL184,AL185=AL186)),NA(), AL185)</f>
        <v>0</v>
      </c>
      <c r="AM267">
        <f>IF(ISNA(AN267),NA(),AM185)</f>
        <v>0</v>
      </c>
      <c r="AN267">
        <f>IF(OR(AN185="",AND(AN185=AN184,AN185=AN186)),NA(), AN185)</f>
        <v>0</v>
      </c>
      <c r="AO267">
        <f>IF(ISNA(AP267),NA(),AO185)</f>
        <v>0</v>
      </c>
      <c r="AP267">
        <f>IF(OR(AP185="",AND(AP185=AP184,AP185=AP186)),NA(), AP185)</f>
        <v>0</v>
      </c>
      <c r="AQ267">
        <f>IF(ISNA(AR267),NA(),AQ185)</f>
        <v>0</v>
      </c>
      <c r="AR267">
        <f>IF(OR(AR185="",AND(AR185=AR184,AR185=AR186)),NA(), AR185)</f>
        <v>0</v>
      </c>
      <c r="AS267">
        <f>IF(ISNA(AT267),NA(),AS185)</f>
        <v>0</v>
      </c>
      <c r="AT267">
        <f>IF(OR(AT185="",AND(AT185=AT184,AT185=AT186)),NA(), AT185)</f>
        <v>0</v>
      </c>
      <c r="AU267">
        <f>IF(ISNA(AV267),NA(),AU185)</f>
        <v>0</v>
      </c>
      <c r="AV267">
        <f>IF(OR(AV185="",AND(AV185=AV184,AV185=AV186)),NA(), AV185)</f>
        <v>0</v>
      </c>
      <c r="AW267">
        <f>IF(ISNA(AX267),NA(),AW185)</f>
        <v>0</v>
      </c>
      <c r="AX267">
        <f>IF(OR(AX185="",AND(AX185=AX184,AX185=AX186)),NA(), AX185)</f>
        <v>0</v>
      </c>
      <c r="AY267">
        <f>IF(ISNA(AZ267),NA(),AY185)</f>
        <v>0</v>
      </c>
      <c r="AZ267">
        <f>IF(OR(AZ185="",AND(AZ185=AZ184,AZ185=AZ186)),NA(), AZ185)</f>
        <v>0</v>
      </c>
      <c r="BA267">
        <f>IF(ISNA(BB267),NA(),BA185)</f>
        <v>0</v>
      </c>
      <c r="BB267">
        <f>IF(OR(BB185="",AND(BB185=BB184,BB185=BB186)),NA(), BB185)</f>
        <v>0</v>
      </c>
      <c r="BC267">
        <f>IF(ISNA(BD267),NA(),BC185)</f>
        <v>0</v>
      </c>
      <c r="BD267">
        <f>IF(OR(BD185="",AND(BD185=BD184,BD185=BD186)),NA(), BD185)</f>
        <v>0</v>
      </c>
      <c r="BE267">
        <f>IF(ISNA(BF267),NA(),BE185)</f>
        <v>0</v>
      </c>
      <c r="BF267">
        <f>IF(OR(BF185="",AND(BF185=BF184,BF185=BF186)),NA(), BF185)</f>
        <v>0</v>
      </c>
      <c r="BG267">
        <f>IF(ISNA(BH267),NA(),BG185)</f>
        <v>0</v>
      </c>
      <c r="BH267">
        <f>IF(OR(BH185="",AND(BH185=BH184,BH185=BH186)),NA(), BH185)</f>
        <v>0</v>
      </c>
      <c r="BI267">
        <f>IF(ISNA(BJ267),NA(),BI185)</f>
        <v>0</v>
      </c>
      <c r="BJ267">
        <f>IF(OR(BJ185="",AND(BJ185=BJ184,BJ185=BJ186)),NA(), BJ185)</f>
        <v>0</v>
      </c>
      <c r="BK267">
        <f>IF(ISNA(BL267),NA(),BK185)</f>
        <v>0</v>
      </c>
      <c r="BL267">
        <f>IF(OR(BL185="",AND(BL185=BL184,BL185=BL186)),NA(), BL185)</f>
        <v>0</v>
      </c>
      <c r="BM267">
        <f>IF(ISNA(BN267),NA(),BM185)</f>
        <v>0</v>
      </c>
      <c r="BN267">
        <f>IF(OR(BN185="",AND(BN185=BN184,BN185=BN186)),NA(), BN185)</f>
        <v>0</v>
      </c>
      <c r="BO267">
        <f>IF(ISNA(BP267),NA(),BO185)</f>
        <v>0</v>
      </c>
      <c r="BP267">
        <f>IF(OR(BP185="",AND(BP185=BP184,BP185=BP186)),NA(), BP185)</f>
        <v>0</v>
      </c>
      <c r="BS267">
        <f>IF(ISNA(BT267),NA(),BS185)</f>
        <v>0</v>
      </c>
      <c r="BT267">
        <f>IF(OR(BT185="",AND(BT185=BT184,BT185=BT186)),NA(), BT185)</f>
        <v>0</v>
      </c>
      <c r="BU267">
        <f>IF(ISNA(BV267),NA(),BU185)</f>
        <v>0</v>
      </c>
      <c r="BV267">
        <f>IF(OR(BV185="",AND(BV185=BV184,BV185=BV186)),NA(), BV185)</f>
        <v>0</v>
      </c>
      <c r="BW267">
        <f>IF(ISNA(BX267),NA(),BW185)</f>
        <v>0</v>
      </c>
      <c r="BX267">
        <f>IF(OR(BX185="",AND(BX185=BX184,BX185=BX186)),NA(), BX185)</f>
        <v>0</v>
      </c>
      <c r="BY267">
        <f>IF(ISNA(BZ267),NA(),BY185)</f>
        <v>0</v>
      </c>
      <c r="BZ267">
        <f>IF(OR(BZ185="",AND(BZ185=BZ184,BZ185=BZ186)),NA(), BZ185)</f>
        <v>0</v>
      </c>
      <c r="CA267">
        <f>IF(ISNA(CB267),NA(),CA185)</f>
        <v>0</v>
      </c>
      <c r="CB267">
        <f>IF(OR(CB185="",AND(CB185=CB184,CB185=CB186)),NA(), CB185)</f>
        <v>0</v>
      </c>
      <c r="CC267">
        <f>IF(ISNA(CD267),NA(),CC185)</f>
        <v>0</v>
      </c>
      <c r="CD267">
        <f>IF(OR(CD185="",AND(CD185=CD184,CD185=CD186)),NA(), CD185)</f>
        <v>0</v>
      </c>
      <c r="CE267">
        <f>IF(ISNA(CF267),NA(),CE185)</f>
        <v>0</v>
      </c>
      <c r="CF267">
        <f>IF(OR(CF185="",AND(CF185=CF184,CF185=CF186)),NA(), CF185)</f>
        <v>0</v>
      </c>
      <c r="CG267">
        <f>IF(ISNA(CH267),NA(),CG185)</f>
        <v>0</v>
      </c>
      <c r="CH267">
        <f>IF(OR(CH185="",AND(CH185=CH184,CH185=CH186)),NA(), CH185)</f>
        <v>0</v>
      </c>
      <c r="CI267">
        <f>IF(ISNA(CJ267),NA(),CI185)</f>
        <v>0</v>
      </c>
      <c r="CJ267">
        <f>IF(OR(CJ185="",AND(CJ185=CJ184,CJ185=CJ186)),NA(), CJ185)</f>
        <v>0</v>
      </c>
      <c r="CK267">
        <f>IF(ISNA(CL267),NA(),CK185)</f>
        <v>0</v>
      </c>
      <c r="CL267">
        <f>IF(OR(CL185="",AND(CL185=CL184,CL185=CL186)),NA(), CL185)</f>
        <v>0</v>
      </c>
      <c r="CM267">
        <f>IF(ISNA(CN267),NA(),CM185)</f>
        <v>0</v>
      </c>
      <c r="CN267">
        <f>IF(OR(CN185="",AND(CN185=CN184,CN185=CN186)),NA(), CN185)</f>
        <v>0</v>
      </c>
      <c r="CO267">
        <f>IF(ISNA(CP267),NA(),CO185)</f>
        <v>0</v>
      </c>
      <c r="CP267">
        <f>IF(OR(CP185="",AND(CP185=CP184,CP185=CP186)),NA(), CP185)</f>
        <v>0</v>
      </c>
      <c r="CQ267">
        <f>IF(ISNA(CR267),NA(),CQ185)</f>
        <v>0</v>
      </c>
      <c r="CR267">
        <f>IF(OR(CR185="",AND(CR185=CR184,CR185=CR186)),NA(), CR185)</f>
        <v>0</v>
      </c>
      <c r="CS267">
        <f>IF(ISNA(CT267),NA(),CS185)</f>
        <v>0</v>
      </c>
      <c r="CT267">
        <f>IF(OR(CT185="",AND(CT185=CT184,CT185=CT186)),NA(), CT185)</f>
        <v>0</v>
      </c>
      <c r="CU267">
        <f>IF(ISNA(CV267),NA(),CU185)</f>
        <v>0</v>
      </c>
      <c r="CV267">
        <f>IF(OR(CV185="",AND(CV185=CV184,CV185=CV186)),NA(), CV185)</f>
        <v>0</v>
      </c>
      <c r="CW267">
        <f>IF(ISNA(CX267),NA(),CW185)</f>
        <v>0</v>
      </c>
      <c r="CX267">
        <f>IF(OR(CX185="",AND(CX185=CX184,CX185=CX186)),NA(), CX185)</f>
        <v>0</v>
      </c>
      <c r="CY267">
        <f>IF(ISNA(CZ267),NA(),CY185)</f>
        <v>0</v>
      </c>
      <c r="CZ267">
        <f>IF(OR(CZ185="",AND(CZ185=CZ184,CZ185=CZ186)),NA(), CZ185)</f>
        <v>0</v>
      </c>
      <c r="DA267">
        <f>IF(ISNA(DB267),NA(),DA185)</f>
        <v>0</v>
      </c>
      <c r="DB267">
        <f>IF(OR(DB185="",AND(DB185=DB184,DB185=DB186)),NA(), DB185)</f>
        <v>0</v>
      </c>
      <c r="DC267">
        <f>IF(ISNA(DD267),NA(),DC185)</f>
        <v>0</v>
      </c>
      <c r="DD267">
        <f>IF(OR(DD185="",AND(DD185=DD184,DD185=DD186)),NA(), DD185)</f>
        <v>0</v>
      </c>
      <c r="DE267">
        <f>IF(ISNA(DF267),NA(),DE185)</f>
        <v>0</v>
      </c>
      <c r="DF267">
        <f>IF(OR(DF185="",AND(DF185=DF184,DF185=DF186)),NA(), DF185)</f>
        <v>0</v>
      </c>
      <c r="DG267">
        <f>IF(ISNA(DH267),NA(),DG185)</f>
        <v>0</v>
      </c>
      <c r="DH267">
        <f>IF(OR(DH185="",AND(DH185=DH184,DH185=DH186)),NA(), DH185)</f>
        <v>0</v>
      </c>
      <c r="DI267">
        <f>IF(ISNA(DJ267),NA(),DI185)</f>
        <v>0</v>
      </c>
      <c r="DJ267">
        <f>IF(OR(DJ185="",AND(DJ185=DJ184,DJ185=DJ186)),NA(), DJ185)</f>
        <v>0</v>
      </c>
      <c r="DK267">
        <f>IF(ISNA(DL267),NA(),DK185)</f>
        <v>0</v>
      </c>
      <c r="DL267">
        <f>IF(OR(DL185="",AND(DL185=DL184,DL185=DL186)),NA(), DL185)</f>
        <v>0</v>
      </c>
      <c r="DM267">
        <f>IF(ISNA(DN267),NA(),DM185)</f>
        <v>0</v>
      </c>
      <c r="DN267">
        <f>IF(OR(DN185="",AND(DN185=DN184,DN185=DN186)),NA(), DN185)</f>
        <v>0</v>
      </c>
      <c r="DO267">
        <f>IF(ISNA(DP267),NA(),DO185)</f>
        <v>0</v>
      </c>
      <c r="DP267">
        <f>IF(OR(DP185="",AND(DP185=DP184,DP185=DP186)),NA(), DP185)</f>
        <v>0</v>
      </c>
      <c r="DQ267">
        <f>IF(ISNA(DR267),NA(),DQ185)</f>
        <v>0</v>
      </c>
      <c r="DR267">
        <f>IF(OR(DR185="",AND(DR185=DR184,DR185=DR186)),NA(), DR185)</f>
        <v>0</v>
      </c>
      <c r="DS267">
        <f>IF(ISNA(DT267),NA(),DS185)</f>
        <v>0</v>
      </c>
      <c r="DT267">
        <f>IF(OR(DT185="",AND(DT185=DT184,DT185=DT186)),NA(), DT185)</f>
        <v>0</v>
      </c>
      <c r="DU267">
        <f>IF(ISNA(DV267),NA(),DU185)</f>
        <v>0</v>
      </c>
      <c r="DV267">
        <f>IF(OR(DV185="",AND(DV185=DV184,DV185=DV186)),NA(), DV185)</f>
        <v>0</v>
      </c>
      <c r="DW267">
        <f>IF(ISNA(DX267),NA(),DW185)</f>
        <v>0</v>
      </c>
      <c r="DX267">
        <f>IF(OR(DX185="",AND(DX185=DX184,DX185=DX186)),NA(), DX185)</f>
        <v>0</v>
      </c>
      <c r="DY267">
        <f>IF(ISNA(DZ267),NA(),DY185)</f>
        <v>0</v>
      </c>
      <c r="DZ267">
        <f>IF(OR(DZ185="",AND(DZ185=DZ184,DZ185=DZ186)),NA(), DZ185)</f>
        <v>0</v>
      </c>
      <c r="EA267">
        <f>IF(ISNA(EB267),NA(),EA185)</f>
        <v>0</v>
      </c>
      <c r="EB267">
        <f>IF(OR(EB185="",AND(EB185=EB184,EB185=EB186)),NA(), EB185)</f>
        <v>0</v>
      </c>
      <c r="EC267">
        <f>IF(ISNA(ED267),NA(),EC185)</f>
        <v>0</v>
      </c>
      <c r="ED267">
        <f>IF(OR(ED185="",AND(ED185=ED184,ED185=ED186)),NA(), ED185)</f>
        <v>0</v>
      </c>
    </row>
    <row r="268" spans="5:134">
      <c r="E268">
        <f>IF(ISNA(F268),NA(),E186)</f>
        <v>0</v>
      </c>
      <c r="F268">
        <f>IF(OR(F186="",AND(F186=F185,F186=F187)),NA(), F186)</f>
        <v>0</v>
      </c>
      <c r="G268">
        <f>IF(ISNA(H268),NA(),G186)</f>
        <v>0</v>
      </c>
      <c r="H268">
        <f>IF(OR(H186="",AND(H186=H185,H186=H187)),NA(), H186)</f>
        <v>0</v>
      </c>
      <c r="I268">
        <f>IF(ISNA(J268),NA(),I186)</f>
        <v>0</v>
      </c>
      <c r="J268">
        <f>IF(OR(J186="",AND(J186=J185,J186=J187)),NA(), J186)</f>
        <v>0</v>
      </c>
      <c r="K268">
        <f>IF(ISNA(L268),NA(),K186)</f>
        <v>0</v>
      </c>
      <c r="L268">
        <f>IF(OR(L186="",AND(L186=L185,L186=L187)),NA(), L186)</f>
        <v>0</v>
      </c>
      <c r="M268">
        <f>IF(ISNA(N268),NA(),M186)</f>
        <v>0</v>
      </c>
      <c r="N268">
        <f>IF(OR(N186="",AND(N186=N185,N186=N187)),NA(), N186)</f>
        <v>0</v>
      </c>
      <c r="O268">
        <f>IF(ISNA(P268),NA(),O186)</f>
        <v>0</v>
      </c>
      <c r="P268">
        <f>IF(OR(P186="",AND(P186=P185,P186=P187)),NA(), P186)</f>
        <v>0</v>
      </c>
      <c r="Q268">
        <f>IF(ISNA(R268),NA(),Q186)</f>
        <v>0</v>
      </c>
      <c r="R268">
        <f>IF(OR(R186="",AND(R186=R185,R186=R187)),NA(), R186)</f>
        <v>0</v>
      </c>
      <c r="S268">
        <f>IF(ISNA(T268),NA(),S186)</f>
        <v>0</v>
      </c>
      <c r="T268">
        <f>IF(OR(T186="",AND(T186=T185,T186=T187)),NA(), T186)</f>
        <v>0</v>
      </c>
      <c r="U268">
        <f>IF(ISNA(V268),NA(),U186)</f>
        <v>0</v>
      </c>
      <c r="V268">
        <f>IF(OR(V186="",AND(V186=V185,V186=V187)),NA(), V186)</f>
        <v>0</v>
      </c>
      <c r="W268">
        <f>IF(ISNA(X268),NA(),W186)</f>
        <v>0</v>
      </c>
      <c r="X268">
        <f>IF(OR(X186="",AND(X186=X185,X186=X187)),NA(), X186)</f>
        <v>0</v>
      </c>
      <c r="Y268">
        <f>IF(ISNA(Z268),NA(),Y186)</f>
        <v>0</v>
      </c>
      <c r="Z268">
        <f>IF(OR(Z186="",AND(Z186=Z185,Z186=Z187)),NA(), Z186)</f>
        <v>0</v>
      </c>
      <c r="AA268">
        <f>IF(ISNA(AB268),NA(),AA186)</f>
        <v>0</v>
      </c>
      <c r="AB268">
        <f>IF(OR(AB186="",AND(AB186=AB185,AB186=AB187)),NA(), AB186)</f>
        <v>0</v>
      </c>
      <c r="AC268">
        <f>IF(ISNA(AD268),NA(),AC186)</f>
        <v>0</v>
      </c>
      <c r="AD268">
        <f>IF(OR(AD186="",AND(AD186=AD185,AD186=AD187)),NA(), AD186)</f>
        <v>0</v>
      </c>
      <c r="AE268">
        <f>IF(ISNA(AF268),NA(),AE186)</f>
        <v>0</v>
      </c>
      <c r="AF268">
        <f>IF(OR(AF186="",AND(AF186=AF185,AF186=AF187)),NA(), AF186)</f>
        <v>0</v>
      </c>
      <c r="AG268">
        <f>IF(ISNA(AH268),NA(),AG186)</f>
        <v>0</v>
      </c>
      <c r="AH268">
        <f>IF(OR(AH186="",AND(AH186=AH185,AH186=AH187)),NA(), AH186)</f>
        <v>0</v>
      </c>
      <c r="AI268">
        <f>IF(ISNA(AJ268),NA(),AI186)</f>
        <v>0</v>
      </c>
      <c r="AJ268">
        <f>IF(OR(AJ186="",AND(AJ186=AJ185,AJ186=AJ187)),NA(), AJ186)</f>
        <v>0</v>
      </c>
      <c r="AK268">
        <f>IF(ISNA(AL268),NA(),AK186)</f>
        <v>0</v>
      </c>
      <c r="AL268">
        <f>IF(OR(AL186="",AND(AL186=AL185,AL186=AL187)),NA(), AL186)</f>
        <v>0</v>
      </c>
      <c r="AM268">
        <f>IF(ISNA(AN268),NA(),AM186)</f>
        <v>0</v>
      </c>
      <c r="AN268">
        <f>IF(OR(AN186="",AND(AN186=AN185,AN186=AN187)),NA(), AN186)</f>
        <v>0</v>
      </c>
      <c r="AO268">
        <f>IF(ISNA(AP268),NA(),AO186)</f>
        <v>0</v>
      </c>
      <c r="AP268">
        <f>IF(OR(AP186="",AND(AP186=AP185,AP186=AP187)),NA(), AP186)</f>
        <v>0</v>
      </c>
      <c r="AQ268">
        <f>IF(ISNA(AR268),NA(),AQ186)</f>
        <v>0</v>
      </c>
      <c r="AR268">
        <f>IF(OR(AR186="",AND(AR186=AR185,AR186=AR187)),NA(), AR186)</f>
        <v>0</v>
      </c>
      <c r="AS268">
        <f>IF(ISNA(AT268),NA(),AS186)</f>
        <v>0</v>
      </c>
      <c r="AT268">
        <f>IF(OR(AT186="",AND(AT186=AT185,AT186=AT187)),NA(), AT186)</f>
        <v>0</v>
      </c>
      <c r="AU268">
        <f>IF(ISNA(AV268),NA(),AU186)</f>
        <v>0</v>
      </c>
      <c r="AV268">
        <f>IF(OR(AV186="",AND(AV186=AV185,AV186=AV187)),NA(), AV186)</f>
        <v>0</v>
      </c>
      <c r="AW268">
        <f>IF(ISNA(AX268),NA(),AW186)</f>
        <v>0</v>
      </c>
      <c r="AX268">
        <f>IF(OR(AX186="",AND(AX186=AX185,AX186=AX187)),NA(), AX186)</f>
        <v>0</v>
      </c>
      <c r="AY268">
        <f>IF(ISNA(AZ268),NA(),AY186)</f>
        <v>0</v>
      </c>
      <c r="AZ268">
        <f>IF(OR(AZ186="",AND(AZ186=AZ185,AZ186=AZ187)),NA(), AZ186)</f>
        <v>0</v>
      </c>
      <c r="BA268">
        <f>IF(ISNA(BB268),NA(),BA186)</f>
        <v>0</v>
      </c>
      <c r="BB268">
        <f>IF(OR(BB186="",AND(BB186=BB185,BB186=BB187)),NA(), BB186)</f>
        <v>0</v>
      </c>
      <c r="BC268">
        <f>IF(ISNA(BD268),NA(),BC186)</f>
        <v>0</v>
      </c>
      <c r="BD268">
        <f>IF(OR(BD186="",AND(BD186=BD185,BD186=BD187)),NA(), BD186)</f>
        <v>0</v>
      </c>
      <c r="BE268">
        <f>IF(ISNA(BF268),NA(),BE186)</f>
        <v>0</v>
      </c>
      <c r="BF268">
        <f>IF(OR(BF186="",AND(BF186=BF185,BF186=BF187)),NA(), BF186)</f>
        <v>0</v>
      </c>
      <c r="BG268">
        <f>IF(ISNA(BH268),NA(),BG186)</f>
        <v>0</v>
      </c>
      <c r="BH268">
        <f>IF(OR(BH186="",AND(BH186=BH185,BH186=BH187)),NA(), BH186)</f>
        <v>0</v>
      </c>
      <c r="BI268">
        <f>IF(ISNA(BJ268),NA(),BI186)</f>
        <v>0</v>
      </c>
      <c r="BJ268">
        <f>IF(OR(BJ186="",AND(BJ186=BJ185,BJ186=BJ187)),NA(), BJ186)</f>
        <v>0</v>
      </c>
      <c r="BK268">
        <f>IF(ISNA(BL268),NA(),BK186)</f>
        <v>0</v>
      </c>
      <c r="BL268">
        <f>IF(OR(BL186="",AND(BL186=BL185,BL186=BL187)),NA(), BL186)</f>
        <v>0</v>
      </c>
      <c r="BM268">
        <f>IF(ISNA(BN268),NA(),BM186)</f>
        <v>0</v>
      </c>
      <c r="BN268">
        <f>IF(OR(BN186="",AND(BN186=BN185,BN186=BN187)),NA(), BN186)</f>
        <v>0</v>
      </c>
      <c r="BO268">
        <f>IF(ISNA(BP268),NA(),BO186)</f>
        <v>0</v>
      </c>
      <c r="BP268">
        <f>IF(OR(BP186="",AND(BP186=BP185,BP186=BP187)),NA(), BP186)</f>
        <v>0</v>
      </c>
      <c r="BS268">
        <f>IF(ISNA(BT268),NA(),BS186)</f>
        <v>0</v>
      </c>
      <c r="BT268">
        <f>IF(OR(BT186="",AND(BT186=BT185,BT186=BT187)),NA(), BT186)</f>
        <v>0</v>
      </c>
      <c r="BU268">
        <f>IF(ISNA(BV268),NA(),BU186)</f>
        <v>0</v>
      </c>
      <c r="BV268">
        <f>IF(OR(BV186="",AND(BV186=BV185,BV186=BV187)),NA(), BV186)</f>
        <v>0</v>
      </c>
      <c r="BW268">
        <f>IF(ISNA(BX268),NA(),BW186)</f>
        <v>0</v>
      </c>
      <c r="BX268">
        <f>IF(OR(BX186="",AND(BX186=BX185,BX186=BX187)),NA(), BX186)</f>
        <v>0</v>
      </c>
      <c r="BY268">
        <f>IF(ISNA(BZ268),NA(),BY186)</f>
        <v>0</v>
      </c>
      <c r="BZ268">
        <f>IF(OR(BZ186="",AND(BZ186=BZ185,BZ186=BZ187)),NA(), BZ186)</f>
        <v>0</v>
      </c>
      <c r="CA268">
        <f>IF(ISNA(CB268),NA(),CA186)</f>
        <v>0</v>
      </c>
      <c r="CB268">
        <f>IF(OR(CB186="",AND(CB186=CB185,CB186=CB187)),NA(), CB186)</f>
        <v>0</v>
      </c>
      <c r="CC268">
        <f>IF(ISNA(CD268),NA(),CC186)</f>
        <v>0</v>
      </c>
      <c r="CD268">
        <f>IF(OR(CD186="",AND(CD186=CD185,CD186=CD187)),NA(), CD186)</f>
        <v>0</v>
      </c>
      <c r="CE268">
        <f>IF(ISNA(CF268),NA(),CE186)</f>
        <v>0</v>
      </c>
      <c r="CF268">
        <f>IF(OR(CF186="",AND(CF186=CF185,CF186=CF187)),NA(), CF186)</f>
        <v>0</v>
      </c>
      <c r="CG268">
        <f>IF(ISNA(CH268),NA(),CG186)</f>
        <v>0</v>
      </c>
      <c r="CH268">
        <f>IF(OR(CH186="",AND(CH186=CH185,CH186=CH187)),NA(), CH186)</f>
        <v>0</v>
      </c>
      <c r="CI268">
        <f>IF(ISNA(CJ268),NA(),CI186)</f>
        <v>0</v>
      </c>
      <c r="CJ268">
        <f>IF(OR(CJ186="",AND(CJ186=CJ185,CJ186=CJ187)),NA(), CJ186)</f>
        <v>0</v>
      </c>
      <c r="CK268">
        <f>IF(ISNA(CL268),NA(),CK186)</f>
        <v>0</v>
      </c>
      <c r="CL268">
        <f>IF(OR(CL186="",AND(CL186=CL185,CL186=CL187)),NA(), CL186)</f>
        <v>0</v>
      </c>
      <c r="CM268">
        <f>IF(ISNA(CN268),NA(),CM186)</f>
        <v>0</v>
      </c>
      <c r="CN268">
        <f>IF(OR(CN186="",AND(CN186=CN185,CN186=CN187)),NA(), CN186)</f>
        <v>0</v>
      </c>
      <c r="CO268">
        <f>IF(ISNA(CP268),NA(),CO186)</f>
        <v>0</v>
      </c>
      <c r="CP268">
        <f>IF(OR(CP186="",AND(CP186=CP185,CP186=CP187)),NA(), CP186)</f>
        <v>0</v>
      </c>
      <c r="CQ268">
        <f>IF(ISNA(CR268),NA(),CQ186)</f>
        <v>0</v>
      </c>
      <c r="CR268">
        <f>IF(OR(CR186="",AND(CR186=CR185,CR186=CR187)),NA(), CR186)</f>
        <v>0</v>
      </c>
      <c r="CS268">
        <f>IF(ISNA(CT268),NA(),CS186)</f>
        <v>0</v>
      </c>
      <c r="CT268">
        <f>IF(OR(CT186="",AND(CT186=CT185,CT186=CT187)),NA(), CT186)</f>
        <v>0</v>
      </c>
      <c r="CU268">
        <f>IF(ISNA(CV268),NA(),CU186)</f>
        <v>0</v>
      </c>
      <c r="CV268">
        <f>IF(OR(CV186="",AND(CV186=CV185,CV186=CV187)),NA(), CV186)</f>
        <v>0</v>
      </c>
      <c r="CW268">
        <f>IF(ISNA(CX268),NA(),CW186)</f>
        <v>0</v>
      </c>
      <c r="CX268">
        <f>IF(OR(CX186="",AND(CX186=CX185,CX186=CX187)),NA(), CX186)</f>
        <v>0</v>
      </c>
      <c r="CY268">
        <f>IF(ISNA(CZ268),NA(),CY186)</f>
        <v>0</v>
      </c>
      <c r="CZ268">
        <f>IF(OR(CZ186="",AND(CZ186=CZ185,CZ186=CZ187)),NA(), CZ186)</f>
        <v>0</v>
      </c>
      <c r="DA268">
        <f>IF(ISNA(DB268),NA(),DA186)</f>
        <v>0</v>
      </c>
      <c r="DB268">
        <f>IF(OR(DB186="",AND(DB186=DB185,DB186=DB187)),NA(), DB186)</f>
        <v>0</v>
      </c>
      <c r="DC268">
        <f>IF(ISNA(DD268),NA(),DC186)</f>
        <v>0</v>
      </c>
      <c r="DD268">
        <f>IF(OR(DD186="",AND(DD186=DD185,DD186=DD187)),NA(), DD186)</f>
        <v>0</v>
      </c>
      <c r="DE268">
        <f>IF(ISNA(DF268),NA(),DE186)</f>
        <v>0</v>
      </c>
      <c r="DF268">
        <f>IF(OR(DF186="",AND(DF186=DF185,DF186=DF187)),NA(), DF186)</f>
        <v>0</v>
      </c>
      <c r="DG268">
        <f>IF(ISNA(DH268),NA(),DG186)</f>
        <v>0</v>
      </c>
      <c r="DH268">
        <f>IF(OR(DH186="",AND(DH186=DH185,DH186=DH187)),NA(), DH186)</f>
        <v>0</v>
      </c>
      <c r="DI268">
        <f>IF(ISNA(DJ268),NA(),DI186)</f>
        <v>0</v>
      </c>
      <c r="DJ268">
        <f>IF(OR(DJ186="",AND(DJ186=DJ185,DJ186=DJ187)),NA(), DJ186)</f>
        <v>0</v>
      </c>
      <c r="DK268">
        <f>IF(ISNA(DL268),NA(),DK186)</f>
        <v>0</v>
      </c>
      <c r="DL268">
        <f>IF(OR(DL186="",AND(DL186=DL185,DL186=DL187)),NA(), DL186)</f>
        <v>0</v>
      </c>
      <c r="DM268">
        <f>IF(ISNA(DN268),NA(),DM186)</f>
        <v>0</v>
      </c>
      <c r="DN268">
        <f>IF(OR(DN186="",AND(DN186=DN185,DN186=DN187)),NA(), DN186)</f>
        <v>0</v>
      </c>
      <c r="DO268">
        <f>IF(ISNA(DP268),NA(),DO186)</f>
        <v>0</v>
      </c>
      <c r="DP268">
        <f>IF(OR(DP186="",AND(DP186=DP185,DP186=DP187)),NA(), DP186)</f>
        <v>0</v>
      </c>
      <c r="DQ268">
        <f>IF(ISNA(DR268),NA(),DQ186)</f>
        <v>0</v>
      </c>
      <c r="DR268">
        <f>IF(OR(DR186="",AND(DR186=DR185,DR186=DR187)),NA(), DR186)</f>
        <v>0</v>
      </c>
      <c r="DS268">
        <f>IF(ISNA(DT268),NA(),DS186)</f>
        <v>0</v>
      </c>
      <c r="DT268">
        <f>IF(OR(DT186="",AND(DT186=DT185,DT186=DT187)),NA(), DT186)</f>
        <v>0</v>
      </c>
      <c r="DU268">
        <f>IF(ISNA(DV268),NA(),DU186)</f>
        <v>0</v>
      </c>
      <c r="DV268">
        <f>IF(OR(DV186="",AND(DV186=DV185,DV186=DV187)),NA(), DV186)</f>
        <v>0</v>
      </c>
      <c r="DW268">
        <f>IF(ISNA(DX268),NA(),DW186)</f>
        <v>0</v>
      </c>
      <c r="DX268">
        <f>IF(OR(DX186="",AND(DX186=DX185,DX186=DX187)),NA(), DX186)</f>
        <v>0</v>
      </c>
      <c r="DY268">
        <f>IF(ISNA(DZ268),NA(),DY186)</f>
        <v>0</v>
      </c>
      <c r="DZ268">
        <f>IF(OR(DZ186="",AND(DZ186=DZ185,DZ186=DZ187)),NA(), DZ186)</f>
        <v>0</v>
      </c>
      <c r="EA268">
        <f>IF(ISNA(EB268),NA(),EA186)</f>
        <v>0</v>
      </c>
      <c r="EB268">
        <f>IF(OR(EB186="",AND(EB186=EB185,EB186=EB187)),NA(), EB186)</f>
        <v>0</v>
      </c>
      <c r="EC268">
        <f>IF(ISNA(ED268),NA(),EC186)</f>
        <v>0</v>
      </c>
      <c r="ED268">
        <f>IF(OR(ED186="",AND(ED186=ED185,ED186=ED187)),NA(), ED186)</f>
        <v>0</v>
      </c>
    </row>
    <row r="269" spans="5:134">
      <c r="E269">
        <f>IF(ISNA(F269),NA(),E187)</f>
        <v>0</v>
      </c>
      <c r="F269">
        <f>IF(OR(F187="",AND(F187=F186,F187=F188)),NA(), F187)</f>
        <v>0</v>
      </c>
      <c r="G269">
        <f>IF(ISNA(H269),NA(),G187)</f>
        <v>0</v>
      </c>
      <c r="H269">
        <f>IF(OR(H187="",AND(H187=H186,H187=H188)),NA(), H187)</f>
        <v>0</v>
      </c>
      <c r="I269">
        <f>IF(ISNA(J269),NA(),I187)</f>
        <v>0</v>
      </c>
      <c r="J269">
        <f>IF(OR(J187="",AND(J187=J186,J187=J188)),NA(), J187)</f>
        <v>0</v>
      </c>
      <c r="K269">
        <f>IF(ISNA(L269),NA(),K187)</f>
        <v>0</v>
      </c>
      <c r="L269">
        <f>IF(OR(L187="",AND(L187=L186,L187=L188)),NA(), L187)</f>
        <v>0</v>
      </c>
      <c r="M269">
        <f>IF(ISNA(N269),NA(),M187)</f>
        <v>0</v>
      </c>
      <c r="N269">
        <f>IF(OR(N187="",AND(N187=N186,N187=N188)),NA(), N187)</f>
        <v>0</v>
      </c>
      <c r="O269">
        <f>IF(ISNA(P269),NA(),O187)</f>
        <v>0</v>
      </c>
      <c r="P269">
        <f>IF(OR(P187="",AND(P187=P186,P187=P188)),NA(), P187)</f>
        <v>0</v>
      </c>
      <c r="Q269">
        <f>IF(ISNA(R269),NA(),Q187)</f>
        <v>0</v>
      </c>
      <c r="R269">
        <f>IF(OR(R187="",AND(R187=R186,R187=R188)),NA(), R187)</f>
        <v>0</v>
      </c>
      <c r="S269">
        <f>IF(ISNA(T269),NA(),S187)</f>
        <v>0</v>
      </c>
      <c r="T269">
        <f>IF(OR(T187="",AND(T187=T186,T187=T188)),NA(), T187)</f>
        <v>0</v>
      </c>
      <c r="U269">
        <f>IF(ISNA(V269),NA(),U187)</f>
        <v>0</v>
      </c>
      <c r="V269">
        <f>IF(OR(V187="",AND(V187=V186,V187=V188)),NA(), V187)</f>
        <v>0</v>
      </c>
      <c r="W269">
        <f>IF(ISNA(X269),NA(),W187)</f>
        <v>0</v>
      </c>
      <c r="X269">
        <f>IF(OR(X187="",AND(X187=X186,X187=X188)),NA(), X187)</f>
        <v>0</v>
      </c>
      <c r="Y269">
        <f>IF(ISNA(Z269),NA(),Y187)</f>
        <v>0</v>
      </c>
      <c r="Z269">
        <f>IF(OR(Z187="",AND(Z187=Z186,Z187=Z188)),NA(), Z187)</f>
        <v>0</v>
      </c>
      <c r="AA269">
        <f>IF(ISNA(AB269),NA(),AA187)</f>
        <v>0</v>
      </c>
      <c r="AB269">
        <f>IF(OR(AB187="",AND(AB187=AB186,AB187=AB188)),NA(), AB187)</f>
        <v>0</v>
      </c>
      <c r="AC269">
        <f>IF(ISNA(AD269),NA(),AC187)</f>
        <v>0</v>
      </c>
      <c r="AD269">
        <f>IF(OR(AD187="",AND(AD187=AD186,AD187=AD188)),NA(), AD187)</f>
        <v>0</v>
      </c>
      <c r="AE269">
        <f>IF(ISNA(AF269),NA(),AE187)</f>
        <v>0</v>
      </c>
      <c r="AF269">
        <f>IF(OR(AF187="",AND(AF187=AF186,AF187=AF188)),NA(), AF187)</f>
        <v>0</v>
      </c>
      <c r="AG269">
        <f>IF(ISNA(AH269),NA(),AG187)</f>
        <v>0</v>
      </c>
      <c r="AH269">
        <f>IF(OR(AH187="",AND(AH187=AH186,AH187=AH188)),NA(), AH187)</f>
        <v>0</v>
      </c>
      <c r="AI269">
        <f>IF(ISNA(AJ269),NA(),AI187)</f>
        <v>0</v>
      </c>
      <c r="AJ269">
        <f>IF(OR(AJ187="",AND(AJ187=AJ186,AJ187=AJ188)),NA(), AJ187)</f>
        <v>0</v>
      </c>
      <c r="AK269">
        <f>IF(ISNA(AL269),NA(),AK187)</f>
        <v>0</v>
      </c>
      <c r="AL269">
        <f>IF(OR(AL187="",AND(AL187=AL186,AL187=AL188)),NA(), AL187)</f>
        <v>0</v>
      </c>
      <c r="AM269">
        <f>IF(ISNA(AN269),NA(),AM187)</f>
        <v>0</v>
      </c>
      <c r="AN269">
        <f>IF(OR(AN187="",AND(AN187=AN186,AN187=AN188)),NA(), AN187)</f>
        <v>0</v>
      </c>
      <c r="AO269">
        <f>IF(ISNA(AP269),NA(),AO187)</f>
        <v>0</v>
      </c>
      <c r="AP269">
        <f>IF(OR(AP187="",AND(AP187=AP186,AP187=AP188)),NA(), AP187)</f>
        <v>0</v>
      </c>
      <c r="AQ269">
        <f>IF(ISNA(AR269),NA(),AQ187)</f>
        <v>0</v>
      </c>
      <c r="AR269">
        <f>IF(OR(AR187="",AND(AR187=AR186,AR187=AR188)),NA(), AR187)</f>
        <v>0</v>
      </c>
      <c r="AS269">
        <f>IF(ISNA(AT269),NA(),AS187)</f>
        <v>0</v>
      </c>
      <c r="AT269">
        <f>IF(OR(AT187="",AND(AT187=AT186,AT187=AT188)),NA(), AT187)</f>
        <v>0</v>
      </c>
      <c r="AU269">
        <f>IF(ISNA(AV269),NA(),AU187)</f>
        <v>0</v>
      </c>
      <c r="AV269">
        <f>IF(OR(AV187="",AND(AV187=AV186,AV187=AV188)),NA(), AV187)</f>
        <v>0</v>
      </c>
      <c r="AW269">
        <f>IF(ISNA(AX269),NA(),AW187)</f>
        <v>0</v>
      </c>
      <c r="AX269">
        <f>IF(OR(AX187="",AND(AX187=AX186,AX187=AX188)),NA(), AX187)</f>
        <v>0</v>
      </c>
      <c r="AY269">
        <f>IF(ISNA(AZ269),NA(),AY187)</f>
        <v>0</v>
      </c>
      <c r="AZ269">
        <f>IF(OR(AZ187="",AND(AZ187=AZ186,AZ187=AZ188)),NA(), AZ187)</f>
        <v>0</v>
      </c>
      <c r="BA269">
        <f>IF(ISNA(BB269),NA(),BA187)</f>
        <v>0</v>
      </c>
      <c r="BB269">
        <f>IF(OR(BB187="",AND(BB187=BB186,BB187=BB188)),NA(), BB187)</f>
        <v>0</v>
      </c>
      <c r="BC269">
        <f>IF(ISNA(BD269),NA(),BC187)</f>
        <v>0</v>
      </c>
      <c r="BD269">
        <f>IF(OR(BD187="",AND(BD187=BD186,BD187=BD188)),NA(), BD187)</f>
        <v>0</v>
      </c>
      <c r="BE269">
        <f>IF(ISNA(BF269),NA(),BE187)</f>
        <v>0</v>
      </c>
      <c r="BF269">
        <f>IF(OR(BF187="",AND(BF187=BF186,BF187=BF188)),NA(), BF187)</f>
        <v>0</v>
      </c>
      <c r="BG269">
        <f>IF(ISNA(BH269),NA(),BG187)</f>
        <v>0</v>
      </c>
      <c r="BH269">
        <f>IF(OR(BH187="",AND(BH187=BH186,BH187=BH188)),NA(), BH187)</f>
        <v>0</v>
      </c>
      <c r="BI269">
        <f>IF(ISNA(BJ269),NA(),BI187)</f>
        <v>0</v>
      </c>
      <c r="BJ269">
        <f>IF(OR(BJ187="",AND(BJ187=BJ186,BJ187=BJ188)),NA(), BJ187)</f>
        <v>0</v>
      </c>
      <c r="BK269">
        <f>IF(ISNA(BL269),NA(),BK187)</f>
        <v>0</v>
      </c>
      <c r="BL269">
        <f>IF(OR(BL187="",AND(BL187=BL186,BL187=BL188)),NA(), BL187)</f>
        <v>0</v>
      </c>
      <c r="BM269">
        <f>IF(ISNA(BN269),NA(),BM187)</f>
        <v>0</v>
      </c>
      <c r="BN269">
        <f>IF(OR(BN187="",AND(BN187=BN186,BN187=BN188)),NA(), BN187)</f>
        <v>0</v>
      </c>
      <c r="BO269">
        <f>IF(ISNA(BP269),NA(),BO187)</f>
        <v>0</v>
      </c>
      <c r="BP269">
        <f>IF(OR(BP187="",AND(BP187=BP186,BP187=BP188)),NA(), BP187)</f>
        <v>0</v>
      </c>
      <c r="BS269">
        <f>IF(ISNA(BT269),NA(),BS187)</f>
        <v>0</v>
      </c>
      <c r="BT269">
        <f>IF(OR(BT187="",AND(BT187=BT186,BT187=BT188)),NA(), BT187)</f>
        <v>0</v>
      </c>
      <c r="BU269">
        <f>IF(ISNA(BV269),NA(),BU187)</f>
        <v>0</v>
      </c>
      <c r="BV269">
        <f>IF(OR(BV187="",AND(BV187=BV186,BV187=BV188)),NA(), BV187)</f>
        <v>0</v>
      </c>
      <c r="BW269">
        <f>IF(ISNA(BX269),NA(),BW187)</f>
        <v>0</v>
      </c>
      <c r="BX269">
        <f>IF(OR(BX187="",AND(BX187=BX186,BX187=BX188)),NA(), BX187)</f>
        <v>0</v>
      </c>
      <c r="BY269">
        <f>IF(ISNA(BZ269),NA(),BY187)</f>
        <v>0</v>
      </c>
      <c r="BZ269">
        <f>IF(OR(BZ187="",AND(BZ187=BZ186,BZ187=BZ188)),NA(), BZ187)</f>
        <v>0</v>
      </c>
      <c r="CA269">
        <f>IF(ISNA(CB269),NA(),CA187)</f>
        <v>0</v>
      </c>
      <c r="CB269">
        <f>IF(OR(CB187="",AND(CB187=CB186,CB187=CB188)),NA(), CB187)</f>
        <v>0</v>
      </c>
      <c r="CC269">
        <f>IF(ISNA(CD269),NA(),CC187)</f>
        <v>0</v>
      </c>
      <c r="CD269">
        <f>IF(OR(CD187="",AND(CD187=CD186,CD187=CD188)),NA(), CD187)</f>
        <v>0</v>
      </c>
      <c r="CE269">
        <f>IF(ISNA(CF269),NA(),CE187)</f>
        <v>0</v>
      </c>
      <c r="CF269">
        <f>IF(OR(CF187="",AND(CF187=CF186,CF187=CF188)),NA(), CF187)</f>
        <v>0</v>
      </c>
      <c r="CG269">
        <f>IF(ISNA(CH269),NA(),CG187)</f>
        <v>0</v>
      </c>
      <c r="CH269">
        <f>IF(OR(CH187="",AND(CH187=CH186,CH187=CH188)),NA(), CH187)</f>
        <v>0</v>
      </c>
      <c r="CI269">
        <f>IF(ISNA(CJ269),NA(),CI187)</f>
        <v>0</v>
      </c>
      <c r="CJ269">
        <f>IF(OR(CJ187="",AND(CJ187=CJ186,CJ187=CJ188)),NA(), CJ187)</f>
        <v>0</v>
      </c>
      <c r="CK269">
        <f>IF(ISNA(CL269),NA(),CK187)</f>
        <v>0</v>
      </c>
      <c r="CL269">
        <f>IF(OR(CL187="",AND(CL187=CL186,CL187=CL188)),NA(), CL187)</f>
        <v>0</v>
      </c>
      <c r="CM269">
        <f>IF(ISNA(CN269),NA(),CM187)</f>
        <v>0</v>
      </c>
      <c r="CN269">
        <f>IF(OR(CN187="",AND(CN187=CN186,CN187=CN188)),NA(), CN187)</f>
        <v>0</v>
      </c>
      <c r="CO269">
        <f>IF(ISNA(CP269),NA(),CO187)</f>
        <v>0</v>
      </c>
      <c r="CP269">
        <f>IF(OR(CP187="",AND(CP187=CP186,CP187=CP188)),NA(), CP187)</f>
        <v>0</v>
      </c>
      <c r="CQ269">
        <f>IF(ISNA(CR269),NA(),CQ187)</f>
        <v>0</v>
      </c>
      <c r="CR269">
        <f>IF(OR(CR187="",AND(CR187=CR186,CR187=CR188)),NA(), CR187)</f>
        <v>0</v>
      </c>
      <c r="CS269">
        <f>IF(ISNA(CT269),NA(),CS187)</f>
        <v>0</v>
      </c>
      <c r="CT269">
        <f>IF(OR(CT187="",AND(CT187=CT186,CT187=CT188)),NA(), CT187)</f>
        <v>0</v>
      </c>
      <c r="CU269">
        <f>IF(ISNA(CV269),NA(),CU187)</f>
        <v>0</v>
      </c>
      <c r="CV269">
        <f>IF(OR(CV187="",AND(CV187=CV186,CV187=CV188)),NA(), CV187)</f>
        <v>0</v>
      </c>
      <c r="CW269">
        <f>IF(ISNA(CX269),NA(),CW187)</f>
        <v>0</v>
      </c>
      <c r="CX269">
        <f>IF(OR(CX187="",AND(CX187=CX186,CX187=CX188)),NA(), CX187)</f>
        <v>0</v>
      </c>
      <c r="CY269">
        <f>IF(ISNA(CZ269),NA(),CY187)</f>
        <v>0</v>
      </c>
      <c r="CZ269">
        <f>IF(OR(CZ187="",AND(CZ187=CZ186,CZ187=CZ188)),NA(), CZ187)</f>
        <v>0</v>
      </c>
      <c r="DA269">
        <f>IF(ISNA(DB269),NA(),DA187)</f>
        <v>0</v>
      </c>
      <c r="DB269">
        <f>IF(OR(DB187="",AND(DB187=DB186,DB187=DB188)),NA(), DB187)</f>
        <v>0</v>
      </c>
      <c r="DC269">
        <f>IF(ISNA(DD269),NA(),DC187)</f>
        <v>0</v>
      </c>
      <c r="DD269">
        <f>IF(OR(DD187="",AND(DD187=DD186,DD187=DD188)),NA(), DD187)</f>
        <v>0</v>
      </c>
      <c r="DE269">
        <f>IF(ISNA(DF269),NA(),DE187)</f>
        <v>0</v>
      </c>
      <c r="DF269">
        <f>IF(OR(DF187="",AND(DF187=DF186,DF187=DF188)),NA(), DF187)</f>
        <v>0</v>
      </c>
      <c r="DG269">
        <f>IF(ISNA(DH269),NA(),DG187)</f>
        <v>0</v>
      </c>
      <c r="DH269">
        <f>IF(OR(DH187="",AND(DH187=DH186,DH187=DH188)),NA(), DH187)</f>
        <v>0</v>
      </c>
      <c r="DI269">
        <f>IF(ISNA(DJ269),NA(),DI187)</f>
        <v>0</v>
      </c>
      <c r="DJ269">
        <f>IF(OR(DJ187="",AND(DJ187=DJ186,DJ187=DJ188)),NA(), DJ187)</f>
        <v>0</v>
      </c>
      <c r="DK269">
        <f>IF(ISNA(DL269),NA(),DK187)</f>
        <v>0</v>
      </c>
      <c r="DL269">
        <f>IF(OR(DL187="",AND(DL187=DL186,DL187=DL188)),NA(), DL187)</f>
        <v>0</v>
      </c>
      <c r="DM269">
        <f>IF(ISNA(DN269),NA(),DM187)</f>
        <v>0</v>
      </c>
      <c r="DN269">
        <f>IF(OR(DN187="",AND(DN187=DN186,DN187=DN188)),NA(), DN187)</f>
        <v>0</v>
      </c>
      <c r="DO269">
        <f>IF(ISNA(DP269),NA(),DO187)</f>
        <v>0</v>
      </c>
      <c r="DP269">
        <f>IF(OR(DP187="",AND(DP187=DP186,DP187=DP188)),NA(), DP187)</f>
        <v>0</v>
      </c>
      <c r="DQ269">
        <f>IF(ISNA(DR269),NA(),DQ187)</f>
        <v>0</v>
      </c>
      <c r="DR269">
        <f>IF(OR(DR187="",AND(DR187=DR186,DR187=DR188)),NA(), DR187)</f>
        <v>0</v>
      </c>
      <c r="DS269">
        <f>IF(ISNA(DT269),NA(),DS187)</f>
        <v>0</v>
      </c>
      <c r="DT269">
        <f>IF(OR(DT187="",AND(DT187=DT186,DT187=DT188)),NA(), DT187)</f>
        <v>0</v>
      </c>
      <c r="DU269">
        <f>IF(ISNA(DV269),NA(),DU187)</f>
        <v>0</v>
      </c>
      <c r="DV269">
        <f>IF(OR(DV187="",AND(DV187=DV186,DV187=DV188)),NA(), DV187)</f>
        <v>0</v>
      </c>
      <c r="DW269">
        <f>IF(ISNA(DX269),NA(),DW187)</f>
        <v>0</v>
      </c>
      <c r="DX269">
        <f>IF(OR(DX187="",AND(DX187=DX186,DX187=DX188)),NA(), DX187)</f>
        <v>0</v>
      </c>
      <c r="DY269">
        <f>IF(ISNA(DZ269),NA(),DY187)</f>
        <v>0</v>
      </c>
      <c r="DZ269">
        <f>IF(OR(DZ187="",AND(DZ187=DZ186,DZ187=DZ188)),NA(), DZ187)</f>
        <v>0</v>
      </c>
      <c r="EA269">
        <f>IF(ISNA(EB269),NA(),EA187)</f>
        <v>0</v>
      </c>
      <c r="EB269">
        <f>IF(OR(EB187="",AND(EB187=EB186,EB187=EB188)),NA(), EB187)</f>
        <v>0</v>
      </c>
      <c r="EC269">
        <f>IF(ISNA(ED269),NA(),EC187)</f>
        <v>0</v>
      </c>
      <c r="ED269">
        <f>IF(OR(ED187="",AND(ED187=ED186,ED187=ED188)),NA(), ED187)</f>
        <v>0</v>
      </c>
    </row>
    <row r="270" spans="5:134">
      <c r="E270">
        <f>IF(ISNA(F270),NA(),E188)</f>
        <v>0</v>
      </c>
      <c r="F270">
        <f>IF(OR(F188="",AND(F188=F187,F188=F189)),NA(), F188)</f>
        <v>0</v>
      </c>
      <c r="G270">
        <f>IF(ISNA(H270),NA(),G188)</f>
        <v>0</v>
      </c>
      <c r="H270">
        <f>IF(OR(H188="",AND(H188=H187,H188=H189)),NA(), H188)</f>
        <v>0</v>
      </c>
      <c r="I270">
        <f>IF(ISNA(J270),NA(),I188)</f>
        <v>0</v>
      </c>
      <c r="J270">
        <f>IF(OR(J188="",AND(J188=J187,J188=J189)),NA(), J188)</f>
        <v>0</v>
      </c>
      <c r="K270">
        <f>IF(ISNA(L270),NA(),K188)</f>
        <v>0</v>
      </c>
      <c r="L270">
        <f>IF(OR(L188="",AND(L188=L187,L188=L189)),NA(), L188)</f>
        <v>0</v>
      </c>
      <c r="M270">
        <f>IF(ISNA(N270),NA(),M188)</f>
        <v>0</v>
      </c>
      <c r="N270">
        <f>IF(OR(N188="",AND(N188=N187,N188=N189)),NA(), N188)</f>
        <v>0</v>
      </c>
      <c r="O270">
        <f>IF(ISNA(P270),NA(),O188)</f>
        <v>0</v>
      </c>
      <c r="P270">
        <f>IF(OR(P188="",AND(P188=P187,P188=P189)),NA(), P188)</f>
        <v>0</v>
      </c>
      <c r="Q270">
        <f>IF(ISNA(R270),NA(),Q188)</f>
        <v>0</v>
      </c>
      <c r="R270">
        <f>IF(OR(R188="",AND(R188=R187,R188=R189)),NA(), R188)</f>
        <v>0</v>
      </c>
      <c r="S270">
        <f>IF(ISNA(T270),NA(),S188)</f>
        <v>0</v>
      </c>
      <c r="T270">
        <f>IF(OR(T188="",AND(T188=T187,T188=T189)),NA(), T188)</f>
        <v>0</v>
      </c>
      <c r="U270">
        <f>IF(ISNA(V270),NA(),U188)</f>
        <v>0</v>
      </c>
      <c r="V270">
        <f>IF(OR(V188="",AND(V188=V187,V188=V189)),NA(), V188)</f>
        <v>0</v>
      </c>
      <c r="W270">
        <f>IF(ISNA(X270),NA(),W188)</f>
        <v>0</v>
      </c>
      <c r="X270">
        <f>IF(OR(X188="",AND(X188=X187,X188=X189)),NA(), X188)</f>
        <v>0</v>
      </c>
      <c r="Y270">
        <f>IF(ISNA(Z270),NA(),Y188)</f>
        <v>0</v>
      </c>
      <c r="Z270">
        <f>IF(OR(Z188="",AND(Z188=Z187,Z188=Z189)),NA(), Z188)</f>
        <v>0</v>
      </c>
      <c r="AA270">
        <f>IF(ISNA(AB270),NA(),AA188)</f>
        <v>0</v>
      </c>
      <c r="AB270">
        <f>IF(OR(AB188="",AND(AB188=AB187,AB188=AB189)),NA(), AB188)</f>
        <v>0</v>
      </c>
      <c r="AC270">
        <f>IF(ISNA(AD270),NA(),AC188)</f>
        <v>0</v>
      </c>
      <c r="AD270">
        <f>IF(OR(AD188="",AND(AD188=AD187,AD188=AD189)),NA(), AD188)</f>
        <v>0</v>
      </c>
      <c r="AE270">
        <f>IF(ISNA(AF270),NA(),AE188)</f>
        <v>0</v>
      </c>
      <c r="AF270">
        <f>IF(OR(AF188="",AND(AF188=AF187,AF188=AF189)),NA(), AF188)</f>
        <v>0</v>
      </c>
      <c r="AG270">
        <f>IF(ISNA(AH270),NA(),AG188)</f>
        <v>0</v>
      </c>
      <c r="AH270">
        <f>IF(OR(AH188="",AND(AH188=AH187,AH188=AH189)),NA(), AH188)</f>
        <v>0</v>
      </c>
      <c r="AI270">
        <f>IF(ISNA(AJ270),NA(),AI188)</f>
        <v>0</v>
      </c>
      <c r="AJ270">
        <f>IF(OR(AJ188="",AND(AJ188=AJ187,AJ188=AJ189)),NA(), AJ188)</f>
        <v>0</v>
      </c>
      <c r="AK270">
        <f>IF(ISNA(AL270),NA(),AK188)</f>
        <v>0</v>
      </c>
      <c r="AL270">
        <f>IF(OR(AL188="",AND(AL188=AL187,AL188=AL189)),NA(), AL188)</f>
        <v>0</v>
      </c>
      <c r="AM270">
        <f>IF(ISNA(AN270),NA(),AM188)</f>
        <v>0</v>
      </c>
      <c r="AN270">
        <f>IF(OR(AN188="",AND(AN188=AN187,AN188=AN189)),NA(), AN188)</f>
        <v>0</v>
      </c>
      <c r="AO270">
        <f>IF(ISNA(AP270),NA(),AO188)</f>
        <v>0</v>
      </c>
      <c r="AP270">
        <f>IF(OR(AP188="",AND(AP188=AP187,AP188=AP189)),NA(), AP188)</f>
        <v>0</v>
      </c>
      <c r="AQ270">
        <f>IF(ISNA(AR270),NA(),AQ188)</f>
        <v>0</v>
      </c>
      <c r="AR270">
        <f>IF(OR(AR188="",AND(AR188=AR187,AR188=AR189)),NA(), AR188)</f>
        <v>0</v>
      </c>
      <c r="AS270">
        <f>IF(ISNA(AT270),NA(),AS188)</f>
        <v>0</v>
      </c>
      <c r="AT270">
        <f>IF(OR(AT188="",AND(AT188=AT187,AT188=AT189)),NA(), AT188)</f>
        <v>0</v>
      </c>
      <c r="AU270">
        <f>IF(ISNA(AV270),NA(),AU188)</f>
        <v>0</v>
      </c>
      <c r="AV270">
        <f>IF(OR(AV188="",AND(AV188=AV187,AV188=AV189)),NA(), AV188)</f>
        <v>0</v>
      </c>
      <c r="AW270">
        <f>IF(ISNA(AX270),NA(),AW188)</f>
        <v>0</v>
      </c>
      <c r="AX270">
        <f>IF(OR(AX188="",AND(AX188=AX187,AX188=AX189)),NA(), AX188)</f>
        <v>0</v>
      </c>
      <c r="AY270">
        <f>IF(ISNA(AZ270),NA(),AY188)</f>
        <v>0</v>
      </c>
      <c r="AZ270">
        <f>IF(OR(AZ188="",AND(AZ188=AZ187,AZ188=AZ189)),NA(), AZ188)</f>
        <v>0</v>
      </c>
      <c r="BA270">
        <f>IF(ISNA(BB270),NA(),BA188)</f>
        <v>0</v>
      </c>
      <c r="BB270">
        <f>IF(OR(BB188="",AND(BB188=BB187,BB188=BB189)),NA(), BB188)</f>
        <v>0</v>
      </c>
      <c r="BC270">
        <f>IF(ISNA(BD270),NA(),BC188)</f>
        <v>0</v>
      </c>
      <c r="BD270">
        <f>IF(OR(BD188="",AND(BD188=BD187,BD188=BD189)),NA(), BD188)</f>
        <v>0</v>
      </c>
      <c r="BE270">
        <f>IF(ISNA(BF270),NA(),BE188)</f>
        <v>0</v>
      </c>
      <c r="BF270">
        <f>IF(OR(BF188="",AND(BF188=BF187,BF188=BF189)),NA(), BF188)</f>
        <v>0</v>
      </c>
      <c r="BG270">
        <f>IF(ISNA(BH270),NA(),BG188)</f>
        <v>0</v>
      </c>
      <c r="BH270">
        <f>IF(OR(BH188="",AND(BH188=BH187,BH188=BH189)),NA(), BH188)</f>
        <v>0</v>
      </c>
      <c r="BI270">
        <f>IF(ISNA(BJ270),NA(),BI188)</f>
        <v>0</v>
      </c>
      <c r="BJ270">
        <f>IF(OR(BJ188="",AND(BJ188=BJ187,BJ188=BJ189)),NA(), BJ188)</f>
        <v>0</v>
      </c>
      <c r="BK270">
        <f>IF(ISNA(BL270),NA(),BK188)</f>
        <v>0</v>
      </c>
      <c r="BL270">
        <f>IF(OR(BL188="",AND(BL188=BL187,BL188=BL189)),NA(), BL188)</f>
        <v>0</v>
      </c>
      <c r="BM270">
        <f>IF(ISNA(BN270),NA(),BM188)</f>
        <v>0</v>
      </c>
      <c r="BN270">
        <f>IF(OR(BN188="",AND(BN188=BN187,BN188=BN189)),NA(), BN188)</f>
        <v>0</v>
      </c>
      <c r="BO270">
        <f>IF(ISNA(BP270),NA(),BO188)</f>
        <v>0</v>
      </c>
      <c r="BP270">
        <f>IF(OR(BP188="",AND(BP188=BP187,BP188=BP189)),NA(), BP188)</f>
        <v>0</v>
      </c>
      <c r="BS270">
        <f>IF(ISNA(BT270),NA(),BS188)</f>
        <v>0</v>
      </c>
      <c r="BT270">
        <f>IF(OR(BT188="",AND(BT188=BT187,BT188=BT189)),NA(), BT188)</f>
        <v>0</v>
      </c>
      <c r="BU270">
        <f>IF(ISNA(BV270),NA(),BU188)</f>
        <v>0</v>
      </c>
      <c r="BV270">
        <f>IF(OR(BV188="",AND(BV188=BV187,BV188=BV189)),NA(), BV188)</f>
        <v>0</v>
      </c>
      <c r="BW270">
        <f>IF(ISNA(BX270),NA(),BW188)</f>
        <v>0</v>
      </c>
      <c r="BX270">
        <f>IF(OR(BX188="",AND(BX188=BX187,BX188=BX189)),NA(), BX188)</f>
        <v>0</v>
      </c>
      <c r="BY270">
        <f>IF(ISNA(BZ270),NA(),BY188)</f>
        <v>0</v>
      </c>
      <c r="BZ270">
        <f>IF(OR(BZ188="",AND(BZ188=BZ187,BZ188=BZ189)),NA(), BZ188)</f>
        <v>0</v>
      </c>
      <c r="CA270">
        <f>IF(ISNA(CB270),NA(),CA188)</f>
        <v>0</v>
      </c>
      <c r="CB270">
        <f>IF(OR(CB188="",AND(CB188=CB187,CB188=CB189)),NA(), CB188)</f>
        <v>0</v>
      </c>
      <c r="CC270">
        <f>IF(ISNA(CD270),NA(),CC188)</f>
        <v>0</v>
      </c>
      <c r="CD270">
        <f>IF(OR(CD188="",AND(CD188=CD187,CD188=CD189)),NA(), CD188)</f>
        <v>0</v>
      </c>
      <c r="CE270">
        <f>IF(ISNA(CF270),NA(),CE188)</f>
        <v>0</v>
      </c>
      <c r="CF270">
        <f>IF(OR(CF188="",AND(CF188=CF187,CF188=CF189)),NA(), CF188)</f>
        <v>0</v>
      </c>
      <c r="CG270">
        <f>IF(ISNA(CH270),NA(),CG188)</f>
        <v>0</v>
      </c>
      <c r="CH270">
        <f>IF(OR(CH188="",AND(CH188=CH187,CH188=CH189)),NA(), CH188)</f>
        <v>0</v>
      </c>
      <c r="CI270">
        <f>IF(ISNA(CJ270),NA(),CI188)</f>
        <v>0</v>
      </c>
      <c r="CJ270">
        <f>IF(OR(CJ188="",AND(CJ188=CJ187,CJ188=CJ189)),NA(), CJ188)</f>
        <v>0</v>
      </c>
      <c r="CK270">
        <f>IF(ISNA(CL270),NA(),CK188)</f>
        <v>0</v>
      </c>
      <c r="CL270">
        <f>IF(OR(CL188="",AND(CL188=CL187,CL188=CL189)),NA(), CL188)</f>
        <v>0</v>
      </c>
      <c r="CM270">
        <f>IF(ISNA(CN270),NA(),CM188)</f>
        <v>0</v>
      </c>
      <c r="CN270">
        <f>IF(OR(CN188="",AND(CN188=CN187,CN188=CN189)),NA(), CN188)</f>
        <v>0</v>
      </c>
      <c r="CO270">
        <f>IF(ISNA(CP270),NA(),CO188)</f>
        <v>0</v>
      </c>
      <c r="CP270">
        <f>IF(OR(CP188="",AND(CP188=CP187,CP188=CP189)),NA(), CP188)</f>
        <v>0</v>
      </c>
      <c r="CQ270">
        <f>IF(ISNA(CR270),NA(),CQ188)</f>
        <v>0</v>
      </c>
      <c r="CR270">
        <f>IF(OR(CR188="",AND(CR188=CR187,CR188=CR189)),NA(), CR188)</f>
        <v>0</v>
      </c>
      <c r="CS270">
        <f>IF(ISNA(CT270),NA(),CS188)</f>
        <v>0</v>
      </c>
      <c r="CT270">
        <f>IF(OR(CT188="",AND(CT188=CT187,CT188=CT189)),NA(), CT188)</f>
        <v>0</v>
      </c>
      <c r="CU270">
        <f>IF(ISNA(CV270),NA(),CU188)</f>
        <v>0</v>
      </c>
      <c r="CV270">
        <f>IF(OR(CV188="",AND(CV188=CV187,CV188=CV189)),NA(), CV188)</f>
        <v>0</v>
      </c>
      <c r="CW270">
        <f>IF(ISNA(CX270),NA(),CW188)</f>
        <v>0</v>
      </c>
      <c r="CX270">
        <f>IF(OR(CX188="",AND(CX188=CX187,CX188=CX189)),NA(), CX188)</f>
        <v>0</v>
      </c>
      <c r="CY270">
        <f>IF(ISNA(CZ270),NA(),CY188)</f>
        <v>0</v>
      </c>
      <c r="CZ270">
        <f>IF(OR(CZ188="",AND(CZ188=CZ187,CZ188=CZ189)),NA(), CZ188)</f>
        <v>0</v>
      </c>
      <c r="DA270">
        <f>IF(ISNA(DB270),NA(),DA188)</f>
        <v>0</v>
      </c>
      <c r="DB270">
        <f>IF(OR(DB188="",AND(DB188=DB187,DB188=DB189)),NA(), DB188)</f>
        <v>0</v>
      </c>
      <c r="DC270">
        <f>IF(ISNA(DD270),NA(),DC188)</f>
        <v>0</v>
      </c>
      <c r="DD270">
        <f>IF(OR(DD188="",AND(DD188=DD187,DD188=DD189)),NA(), DD188)</f>
        <v>0</v>
      </c>
      <c r="DE270">
        <f>IF(ISNA(DF270),NA(),DE188)</f>
        <v>0</v>
      </c>
      <c r="DF270">
        <f>IF(OR(DF188="",AND(DF188=DF187,DF188=DF189)),NA(), DF188)</f>
        <v>0</v>
      </c>
      <c r="DG270">
        <f>IF(ISNA(DH270),NA(),DG188)</f>
        <v>0</v>
      </c>
      <c r="DH270">
        <f>IF(OR(DH188="",AND(DH188=DH187,DH188=DH189)),NA(), DH188)</f>
        <v>0</v>
      </c>
      <c r="DI270">
        <f>IF(ISNA(DJ270),NA(),DI188)</f>
        <v>0</v>
      </c>
      <c r="DJ270">
        <f>IF(OR(DJ188="",AND(DJ188=DJ187,DJ188=DJ189)),NA(), DJ188)</f>
        <v>0</v>
      </c>
      <c r="DK270">
        <f>IF(ISNA(DL270),NA(),DK188)</f>
        <v>0</v>
      </c>
      <c r="DL270">
        <f>IF(OR(DL188="",AND(DL188=DL187,DL188=DL189)),NA(), DL188)</f>
        <v>0</v>
      </c>
      <c r="DM270">
        <f>IF(ISNA(DN270),NA(),DM188)</f>
        <v>0</v>
      </c>
      <c r="DN270">
        <f>IF(OR(DN188="",AND(DN188=DN187,DN188=DN189)),NA(), DN188)</f>
        <v>0</v>
      </c>
      <c r="DO270">
        <f>IF(ISNA(DP270),NA(),DO188)</f>
        <v>0</v>
      </c>
      <c r="DP270">
        <f>IF(OR(DP188="",AND(DP188=DP187,DP188=DP189)),NA(), DP188)</f>
        <v>0</v>
      </c>
      <c r="DQ270">
        <f>IF(ISNA(DR270),NA(),DQ188)</f>
        <v>0</v>
      </c>
      <c r="DR270">
        <f>IF(OR(DR188="",AND(DR188=DR187,DR188=DR189)),NA(), DR188)</f>
        <v>0</v>
      </c>
      <c r="DS270">
        <f>IF(ISNA(DT270),NA(),DS188)</f>
        <v>0</v>
      </c>
      <c r="DT270">
        <f>IF(OR(DT188="",AND(DT188=DT187,DT188=DT189)),NA(), DT188)</f>
        <v>0</v>
      </c>
      <c r="DU270">
        <f>IF(ISNA(DV270),NA(),DU188)</f>
        <v>0</v>
      </c>
      <c r="DV270">
        <f>IF(OR(DV188="",AND(DV188=DV187,DV188=DV189)),NA(), DV188)</f>
        <v>0</v>
      </c>
      <c r="DW270">
        <f>IF(ISNA(DX270),NA(),DW188)</f>
        <v>0</v>
      </c>
      <c r="DX270">
        <f>IF(OR(DX188="",AND(DX188=DX187,DX188=DX189)),NA(), DX188)</f>
        <v>0</v>
      </c>
      <c r="DY270">
        <f>IF(ISNA(DZ270),NA(),DY188)</f>
        <v>0</v>
      </c>
      <c r="DZ270">
        <f>IF(OR(DZ188="",AND(DZ188=DZ187,DZ188=DZ189)),NA(), DZ188)</f>
        <v>0</v>
      </c>
      <c r="EA270">
        <f>IF(ISNA(EB270),NA(),EA188)</f>
        <v>0</v>
      </c>
      <c r="EB270">
        <f>IF(OR(EB188="",AND(EB188=EB187,EB188=EB189)),NA(), EB188)</f>
        <v>0</v>
      </c>
      <c r="EC270">
        <f>IF(ISNA(ED270),NA(),EC188)</f>
        <v>0</v>
      </c>
      <c r="ED270">
        <f>IF(OR(ED188="",AND(ED188=ED187,ED188=ED189)),NA(), ED188)</f>
        <v>0</v>
      </c>
    </row>
    <row r="271" spans="5:134">
      <c r="E271">
        <f>IF(ISNA(F271),NA(),E189)</f>
        <v>0</v>
      </c>
      <c r="F271">
        <f>IF(OR(F189="",AND(F189=F188,F189=F190)),NA(), F189)</f>
        <v>0</v>
      </c>
      <c r="G271">
        <f>IF(ISNA(H271),NA(),G189)</f>
        <v>0</v>
      </c>
      <c r="H271">
        <f>IF(OR(H189="",AND(H189=H188,H189=H190)),NA(), H189)</f>
        <v>0</v>
      </c>
      <c r="I271">
        <f>IF(ISNA(J271),NA(),I189)</f>
        <v>0</v>
      </c>
      <c r="J271">
        <f>IF(OR(J189="",AND(J189=J188,J189=J190)),NA(), J189)</f>
        <v>0</v>
      </c>
      <c r="K271">
        <f>IF(ISNA(L271),NA(),K189)</f>
        <v>0</v>
      </c>
      <c r="L271">
        <f>IF(OR(L189="",AND(L189=L188,L189=L190)),NA(), L189)</f>
        <v>0</v>
      </c>
      <c r="M271">
        <f>IF(ISNA(N271),NA(),M189)</f>
        <v>0</v>
      </c>
      <c r="N271">
        <f>IF(OR(N189="",AND(N189=N188,N189=N190)),NA(), N189)</f>
        <v>0</v>
      </c>
      <c r="O271">
        <f>IF(ISNA(P271),NA(),O189)</f>
        <v>0</v>
      </c>
      <c r="P271">
        <f>IF(OR(P189="",AND(P189=P188,P189=P190)),NA(), P189)</f>
        <v>0</v>
      </c>
      <c r="Q271">
        <f>IF(ISNA(R271),NA(),Q189)</f>
        <v>0</v>
      </c>
      <c r="R271">
        <f>IF(OR(R189="",AND(R189=R188,R189=R190)),NA(), R189)</f>
        <v>0</v>
      </c>
      <c r="S271">
        <f>IF(ISNA(T271),NA(),S189)</f>
        <v>0</v>
      </c>
      <c r="T271">
        <f>IF(OR(T189="",AND(T189=T188,T189=T190)),NA(), T189)</f>
        <v>0</v>
      </c>
      <c r="U271">
        <f>IF(ISNA(V271),NA(),U189)</f>
        <v>0</v>
      </c>
      <c r="V271">
        <f>IF(OR(V189="",AND(V189=V188,V189=V190)),NA(), V189)</f>
        <v>0</v>
      </c>
      <c r="W271">
        <f>IF(ISNA(X271),NA(),W189)</f>
        <v>0</v>
      </c>
      <c r="X271">
        <f>IF(OR(X189="",AND(X189=X188,X189=X190)),NA(), X189)</f>
        <v>0</v>
      </c>
      <c r="Y271">
        <f>IF(ISNA(Z271),NA(),Y189)</f>
        <v>0</v>
      </c>
      <c r="Z271">
        <f>IF(OR(Z189="",AND(Z189=Z188,Z189=Z190)),NA(), Z189)</f>
        <v>0</v>
      </c>
      <c r="AA271">
        <f>IF(ISNA(AB271),NA(),AA189)</f>
        <v>0</v>
      </c>
      <c r="AB271">
        <f>IF(OR(AB189="",AND(AB189=AB188,AB189=AB190)),NA(), AB189)</f>
        <v>0</v>
      </c>
      <c r="AC271">
        <f>IF(ISNA(AD271),NA(),AC189)</f>
        <v>0</v>
      </c>
      <c r="AD271">
        <f>IF(OR(AD189="",AND(AD189=AD188,AD189=AD190)),NA(), AD189)</f>
        <v>0</v>
      </c>
      <c r="AE271">
        <f>IF(ISNA(AF271),NA(),AE189)</f>
        <v>0</v>
      </c>
      <c r="AF271">
        <f>IF(OR(AF189="",AND(AF189=AF188,AF189=AF190)),NA(), AF189)</f>
        <v>0</v>
      </c>
      <c r="AG271">
        <f>IF(ISNA(AH271),NA(),AG189)</f>
        <v>0</v>
      </c>
      <c r="AH271">
        <f>IF(OR(AH189="",AND(AH189=AH188,AH189=AH190)),NA(), AH189)</f>
        <v>0</v>
      </c>
      <c r="AI271">
        <f>IF(ISNA(AJ271),NA(),AI189)</f>
        <v>0</v>
      </c>
      <c r="AJ271">
        <f>IF(OR(AJ189="",AND(AJ189=AJ188,AJ189=AJ190)),NA(), AJ189)</f>
        <v>0</v>
      </c>
      <c r="AK271">
        <f>IF(ISNA(AL271),NA(),AK189)</f>
        <v>0</v>
      </c>
      <c r="AL271">
        <f>IF(OR(AL189="",AND(AL189=AL188,AL189=AL190)),NA(), AL189)</f>
        <v>0</v>
      </c>
      <c r="AM271">
        <f>IF(ISNA(AN271),NA(),AM189)</f>
        <v>0</v>
      </c>
      <c r="AN271">
        <f>IF(OR(AN189="",AND(AN189=AN188,AN189=AN190)),NA(), AN189)</f>
        <v>0</v>
      </c>
      <c r="AO271">
        <f>IF(ISNA(AP271),NA(),AO189)</f>
        <v>0</v>
      </c>
      <c r="AP271">
        <f>IF(OR(AP189="",AND(AP189=AP188,AP189=AP190)),NA(), AP189)</f>
        <v>0</v>
      </c>
      <c r="AQ271">
        <f>IF(ISNA(AR271),NA(),AQ189)</f>
        <v>0</v>
      </c>
      <c r="AR271">
        <f>IF(OR(AR189="",AND(AR189=AR188,AR189=AR190)),NA(), AR189)</f>
        <v>0</v>
      </c>
      <c r="AS271">
        <f>IF(ISNA(AT271),NA(),AS189)</f>
        <v>0</v>
      </c>
      <c r="AT271">
        <f>IF(OR(AT189="",AND(AT189=AT188,AT189=AT190)),NA(), AT189)</f>
        <v>0</v>
      </c>
      <c r="AU271">
        <f>IF(ISNA(AV271),NA(),AU189)</f>
        <v>0</v>
      </c>
      <c r="AV271">
        <f>IF(OR(AV189="",AND(AV189=AV188,AV189=AV190)),NA(), AV189)</f>
        <v>0</v>
      </c>
      <c r="AW271">
        <f>IF(ISNA(AX271),NA(),AW189)</f>
        <v>0</v>
      </c>
      <c r="AX271">
        <f>IF(OR(AX189="",AND(AX189=AX188,AX189=AX190)),NA(), AX189)</f>
        <v>0</v>
      </c>
      <c r="AY271">
        <f>IF(ISNA(AZ271),NA(),AY189)</f>
        <v>0</v>
      </c>
      <c r="AZ271">
        <f>IF(OR(AZ189="",AND(AZ189=AZ188,AZ189=AZ190)),NA(), AZ189)</f>
        <v>0</v>
      </c>
      <c r="BA271">
        <f>IF(ISNA(BB271),NA(),BA189)</f>
        <v>0</v>
      </c>
      <c r="BB271">
        <f>IF(OR(BB189="",AND(BB189=BB188,BB189=BB190)),NA(), BB189)</f>
        <v>0</v>
      </c>
      <c r="BC271">
        <f>IF(ISNA(BD271),NA(),BC189)</f>
        <v>0</v>
      </c>
      <c r="BD271">
        <f>IF(OR(BD189="",AND(BD189=BD188,BD189=BD190)),NA(), BD189)</f>
        <v>0</v>
      </c>
      <c r="BE271">
        <f>IF(ISNA(BF271),NA(),BE189)</f>
        <v>0</v>
      </c>
      <c r="BF271">
        <f>IF(OR(BF189="",AND(BF189=BF188,BF189=BF190)),NA(), BF189)</f>
        <v>0</v>
      </c>
      <c r="BG271">
        <f>IF(ISNA(BH271),NA(),BG189)</f>
        <v>0</v>
      </c>
      <c r="BH271">
        <f>IF(OR(BH189="",AND(BH189=BH188,BH189=BH190)),NA(), BH189)</f>
        <v>0</v>
      </c>
      <c r="BI271">
        <f>IF(ISNA(BJ271),NA(),BI189)</f>
        <v>0</v>
      </c>
      <c r="BJ271">
        <f>IF(OR(BJ189="",AND(BJ189=BJ188,BJ189=BJ190)),NA(), BJ189)</f>
        <v>0</v>
      </c>
      <c r="BK271">
        <f>IF(ISNA(BL271),NA(),BK189)</f>
        <v>0</v>
      </c>
      <c r="BL271">
        <f>IF(OR(BL189="",AND(BL189=BL188,BL189=BL190)),NA(), BL189)</f>
        <v>0</v>
      </c>
      <c r="BM271">
        <f>IF(ISNA(BN271),NA(),BM189)</f>
        <v>0</v>
      </c>
      <c r="BN271">
        <f>IF(OR(BN189="",AND(BN189=BN188,BN189=BN190)),NA(), BN189)</f>
        <v>0</v>
      </c>
      <c r="BO271">
        <f>IF(ISNA(BP271),NA(),BO189)</f>
        <v>0</v>
      </c>
      <c r="BP271">
        <f>IF(OR(BP189="",AND(BP189=BP188,BP189=BP190)),NA(), BP189)</f>
        <v>0</v>
      </c>
      <c r="BS271">
        <f>IF(ISNA(BT271),NA(),BS189)</f>
        <v>0</v>
      </c>
      <c r="BT271">
        <f>IF(OR(BT189="",AND(BT189=BT188,BT189=BT190)),NA(), BT189)</f>
        <v>0</v>
      </c>
      <c r="BU271">
        <f>IF(ISNA(BV271),NA(),BU189)</f>
        <v>0</v>
      </c>
      <c r="BV271">
        <f>IF(OR(BV189="",AND(BV189=BV188,BV189=BV190)),NA(), BV189)</f>
        <v>0</v>
      </c>
      <c r="BW271">
        <f>IF(ISNA(BX271),NA(),BW189)</f>
        <v>0</v>
      </c>
      <c r="BX271">
        <f>IF(OR(BX189="",AND(BX189=BX188,BX189=BX190)),NA(), BX189)</f>
        <v>0</v>
      </c>
      <c r="BY271">
        <f>IF(ISNA(BZ271),NA(),BY189)</f>
        <v>0</v>
      </c>
      <c r="BZ271">
        <f>IF(OR(BZ189="",AND(BZ189=BZ188,BZ189=BZ190)),NA(), BZ189)</f>
        <v>0</v>
      </c>
      <c r="CA271">
        <f>IF(ISNA(CB271),NA(),CA189)</f>
        <v>0</v>
      </c>
      <c r="CB271">
        <f>IF(OR(CB189="",AND(CB189=CB188,CB189=CB190)),NA(), CB189)</f>
        <v>0</v>
      </c>
      <c r="CC271">
        <f>IF(ISNA(CD271),NA(),CC189)</f>
        <v>0</v>
      </c>
      <c r="CD271">
        <f>IF(OR(CD189="",AND(CD189=CD188,CD189=CD190)),NA(), CD189)</f>
        <v>0</v>
      </c>
      <c r="CE271">
        <f>IF(ISNA(CF271),NA(),CE189)</f>
        <v>0</v>
      </c>
      <c r="CF271">
        <f>IF(OR(CF189="",AND(CF189=CF188,CF189=CF190)),NA(), CF189)</f>
        <v>0</v>
      </c>
      <c r="CG271">
        <f>IF(ISNA(CH271),NA(),CG189)</f>
        <v>0</v>
      </c>
      <c r="CH271">
        <f>IF(OR(CH189="",AND(CH189=CH188,CH189=CH190)),NA(), CH189)</f>
        <v>0</v>
      </c>
      <c r="CI271">
        <f>IF(ISNA(CJ271),NA(),CI189)</f>
        <v>0</v>
      </c>
      <c r="CJ271">
        <f>IF(OR(CJ189="",AND(CJ189=CJ188,CJ189=CJ190)),NA(), CJ189)</f>
        <v>0</v>
      </c>
      <c r="CK271">
        <f>IF(ISNA(CL271),NA(),CK189)</f>
        <v>0</v>
      </c>
      <c r="CL271">
        <f>IF(OR(CL189="",AND(CL189=CL188,CL189=CL190)),NA(), CL189)</f>
        <v>0</v>
      </c>
      <c r="CM271">
        <f>IF(ISNA(CN271),NA(),CM189)</f>
        <v>0</v>
      </c>
      <c r="CN271">
        <f>IF(OR(CN189="",AND(CN189=CN188,CN189=CN190)),NA(), CN189)</f>
        <v>0</v>
      </c>
      <c r="CO271">
        <f>IF(ISNA(CP271),NA(),CO189)</f>
        <v>0</v>
      </c>
      <c r="CP271">
        <f>IF(OR(CP189="",AND(CP189=CP188,CP189=CP190)),NA(), CP189)</f>
        <v>0</v>
      </c>
      <c r="CQ271">
        <f>IF(ISNA(CR271),NA(),CQ189)</f>
        <v>0</v>
      </c>
      <c r="CR271">
        <f>IF(OR(CR189="",AND(CR189=CR188,CR189=CR190)),NA(), CR189)</f>
        <v>0</v>
      </c>
      <c r="CS271">
        <f>IF(ISNA(CT271),NA(),CS189)</f>
        <v>0</v>
      </c>
      <c r="CT271">
        <f>IF(OR(CT189="",AND(CT189=CT188,CT189=CT190)),NA(), CT189)</f>
        <v>0</v>
      </c>
      <c r="CU271">
        <f>IF(ISNA(CV271),NA(),CU189)</f>
        <v>0</v>
      </c>
      <c r="CV271">
        <f>IF(OR(CV189="",AND(CV189=CV188,CV189=CV190)),NA(), CV189)</f>
        <v>0</v>
      </c>
      <c r="CW271">
        <f>IF(ISNA(CX271),NA(),CW189)</f>
        <v>0</v>
      </c>
      <c r="CX271">
        <f>IF(OR(CX189="",AND(CX189=CX188,CX189=CX190)),NA(), CX189)</f>
        <v>0</v>
      </c>
      <c r="CY271">
        <f>IF(ISNA(CZ271),NA(),CY189)</f>
        <v>0</v>
      </c>
      <c r="CZ271">
        <f>IF(OR(CZ189="",AND(CZ189=CZ188,CZ189=CZ190)),NA(), CZ189)</f>
        <v>0</v>
      </c>
      <c r="DA271">
        <f>IF(ISNA(DB271),NA(),DA189)</f>
        <v>0</v>
      </c>
      <c r="DB271">
        <f>IF(OR(DB189="",AND(DB189=DB188,DB189=DB190)),NA(), DB189)</f>
        <v>0</v>
      </c>
      <c r="DC271">
        <f>IF(ISNA(DD271),NA(),DC189)</f>
        <v>0</v>
      </c>
      <c r="DD271">
        <f>IF(OR(DD189="",AND(DD189=DD188,DD189=DD190)),NA(), DD189)</f>
        <v>0</v>
      </c>
      <c r="DE271">
        <f>IF(ISNA(DF271),NA(),DE189)</f>
        <v>0</v>
      </c>
      <c r="DF271">
        <f>IF(OR(DF189="",AND(DF189=DF188,DF189=DF190)),NA(), DF189)</f>
        <v>0</v>
      </c>
      <c r="DG271">
        <f>IF(ISNA(DH271),NA(),DG189)</f>
        <v>0</v>
      </c>
      <c r="DH271">
        <f>IF(OR(DH189="",AND(DH189=DH188,DH189=DH190)),NA(), DH189)</f>
        <v>0</v>
      </c>
      <c r="DI271">
        <f>IF(ISNA(DJ271),NA(),DI189)</f>
        <v>0</v>
      </c>
      <c r="DJ271">
        <f>IF(OR(DJ189="",AND(DJ189=DJ188,DJ189=DJ190)),NA(), DJ189)</f>
        <v>0</v>
      </c>
      <c r="DK271">
        <f>IF(ISNA(DL271),NA(),DK189)</f>
        <v>0</v>
      </c>
      <c r="DL271">
        <f>IF(OR(DL189="",AND(DL189=DL188,DL189=DL190)),NA(), DL189)</f>
        <v>0</v>
      </c>
      <c r="DM271">
        <f>IF(ISNA(DN271),NA(),DM189)</f>
        <v>0</v>
      </c>
      <c r="DN271">
        <f>IF(OR(DN189="",AND(DN189=DN188,DN189=DN190)),NA(), DN189)</f>
        <v>0</v>
      </c>
      <c r="DO271">
        <f>IF(ISNA(DP271),NA(),DO189)</f>
        <v>0</v>
      </c>
      <c r="DP271">
        <f>IF(OR(DP189="",AND(DP189=DP188,DP189=DP190)),NA(), DP189)</f>
        <v>0</v>
      </c>
      <c r="DQ271">
        <f>IF(ISNA(DR271),NA(),DQ189)</f>
        <v>0</v>
      </c>
      <c r="DR271">
        <f>IF(OR(DR189="",AND(DR189=DR188,DR189=DR190)),NA(), DR189)</f>
        <v>0</v>
      </c>
      <c r="DS271">
        <f>IF(ISNA(DT271),NA(),DS189)</f>
        <v>0</v>
      </c>
      <c r="DT271">
        <f>IF(OR(DT189="",AND(DT189=DT188,DT189=DT190)),NA(), DT189)</f>
        <v>0</v>
      </c>
      <c r="DU271">
        <f>IF(ISNA(DV271),NA(),DU189)</f>
        <v>0</v>
      </c>
      <c r="DV271">
        <f>IF(OR(DV189="",AND(DV189=DV188,DV189=DV190)),NA(), DV189)</f>
        <v>0</v>
      </c>
      <c r="DW271">
        <f>IF(ISNA(DX271),NA(),DW189)</f>
        <v>0</v>
      </c>
      <c r="DX271">
        <f>IF(OR(DX189="",AND(DX189=DX188,DX189=DX190)),NA(), DX189)</f>
        <v>0</v>
      </c>
      <c r="DY271">
        <f>IF(ISNA(DZ271),NA(),DY189)</f>
        <v>0</v>
      </c>
      <c r="DZ271">
        <f>IF(OR(DZ189="",AND(DZ189=DZ188,DZ189=DZ190)),NA(), DZ189)</f>
        <v>0</v>
      </c>
      <c r="EA271">
        <f>IF(ISNA(EB271),NA(),EA189)</f>
        <v>0</v>
      </c>
      <c r="EB271">
        <f>IF(OR(EB189="",AND(EB189=EB188,EB189=EB190)),NA(), EB189)</f>
        <v>0</v>
      </c>
      <c r="EC271">
        <f>IF(ISNA(ED271),NA(),EC189)</f>
        <v>0</v>
      </c>
      <c r="ED271">
        <f>IF(OR(ED189="",AND(ED189=ED188,ED189=ED190)),NA(), ED189)</f>
        <v>0</v>
      </c>
    </row>
    <row r="272" spans="5:134">
      <c r="E272">
        <f>IF(ISNA(F272),NA(),E190)</f>
        <v>0</v>
      </c>
      <c r="F272">
        <f>IF(OR(F190="",AND(F190=F189,F190=F191)),NA(), F190)</f>
        <v>0</v>
      </c>
      <c r="G272">
        <f>IF(ISNA(H272),NA(),G190)</f>
        <v>0</v>
      </c>
      <c r="H272">
        <f>IF(OR(H190="",AND(H190=H189,H190=H191)),NA(), H190)</f>
        <v>0</v>
      </c>
      <c r="I272">
        <f>IF(ISNA(J272),NA(),I190)</f>
        <v>0</v>
      </c>
      <c r="J272">
        <f>IF(OR(J190="",AND(J190=J189,J190=J191)),NA(), J190)</f>
        <v>0</v>
      </c>
      <c r="K272">
        <f>IF(ISNA(L272),NA(),K190)</f>
        <v>0</v>
      </c>
      <c r="L272">
        <f>IF(OR(L190="",AND(L190=L189,L190=L191)),NA(), L190)</f>
        <v>0</v>
      </c>
      <c r="M272">
        <f>IF(ISNA(N272),NA(),M190)</f>
        <v>0</v>
      </c>
      <c r="N272">
        <f>IF(OR(N190="",AND(N190=N189,N190=N191)),NA(), N190)</f>
        <v>0</v>
      </c>
      <c r="O272">
        <f>IF(ISNA(P272),NA(),O190)</f>
        <v>0</v>
      </c>
      <c r="P272">
        <f>IF(OR(P190="",AND(P190=P189,P190=P191)),NA(), P190)</f>
        <v>0</v>
      </c>
      <c r="Q272">
        <f>IF(ISNA(R272),NA(),Q190)</f>
        <v>0</v>
      </c>
      <c r="R272">
        <f>IF(OR(R190="",AND(R190=R189,R190=R191)),NA(), R190)</f>
        <v>0</v>
      </c>
      <c r="S272">
        <f>IF(ISNA(T272),NA(),S190)</f>
        <v>0</v>
      </c>
      <c r="T272">
        <f>IF(OR(T190="",AND(T190=T189,T190=T191)),NA(), T190)</f>
        <v>0</v>
      </c>
      <c r="U272">
        <f>IF(ISNA(V272),NA(),U190)</f>
        <v>0</v>
      </c>
      <c r="V272">
        <f>IF(OR(V190="",AND(V190=V189,V190=V191)),NA(), V190)</f>
        <v>0</v>
      </c>
      <c r="W272">
        <f>IF(ISNA(X272),NA(),W190)</f>
        <v>0</v>
      </c>
      <c r="X272">
        <f>IF(OR(X190="",AND(X190=X189,X190=X191)),NA(), X190)</f>
        <v>0</v>
      </c>
      <c r="Y272">
        <f>IF(ISNA(Z272),NA(),Y190)</f>
        <v>0</v>
      </c>
      <c r="Z272">
        <f>IF(OR(Z190="",AND(Z190=Z189,Z190=Z191)),NA(), Z190)</f>
        <v>0</v>
      </c>
      <c r="AA272">
        <f>IF(ISNA(AB272),NA(),AA190)</f>
        <v>0</v>
      </c>
      <c r="AB272">
        <f>IF(OR(AB190="",AND(AB190=AB189,AB190=AB191)),NA(), AB190)</f>
        <v>0</v>
      </c>
      <c r="AC272">
        <f>IF(ISNA(AD272),NA(),AC190)</f>
        <v>0</v>
      </c>
      <c r="AD272">
        <f>IF(OR(AD190="",AND(AD190=AD189,AD190=AD191)),NA(), AD190)</f>
        <v>0</v>
      </c>
      <c r="AE272">
        <f>IF(ISNA(AF272),NA(),AE190)</f>
        <v>0</v>
      </c>
      <c r="AF272">
        <f>IF(OR(AF190="",AND(AF190=AF189,AF190=AF191)),NA(), AF190)</f>
        <v>0</v>
      </c>
      <c r="AG272">
        <f>IF(ISNA(AH272),NA(),AG190)</f>
        <v>0</v>
      </c>
      <c r="AH272">
        <f>IF(OR(AH190="",AND(AH190=AH189,AH190=AH191)),NA(), AH190)</f>
        <v>0</v>
      </c>
      <c r="AI272">
        <f>IF(ISNA(AJ272),NA(),AI190)</f>
        <v>0</v>
      </c>
      <c r="AJ272">
        <f>IF(OR(AJ190="",AND(AJ190=AJ189,AJ190=AJ191)),NA(), AJ190)</f>
        <v>0</v>
      </c>
      <c r="AK272">
        <f>IF(ISNA(AL272),NA(),AK190)</f>
        <v>0</v>
      </c>
      <c r="AL272">
        <f>IF(OR(AL190="",AND(AL190=AL189,AL190=AL191)),NA(), AL190)</f>
        <v>0</v>
      </c>
      <c r="AM272">
        <f>IF(ISNA(AN272),NA(),AM190)</f>
        <v>0</v>
      </c>
      <c r="AN272">
        <f>IF(OR(AN190="",AND(AN190=AN189,AN190=AN191)),NA(), AN190)</f>
        <v>0</v>
      </c>
      <c r="AO272">
        <f>IF(ISNA(AP272),NA(),AO190)</f>
        <v>0</v>
      </c>
      <c r="AP272">
        <f>IF(OR(AP190="",AND(AP190=AP189,AP190=AP191)),NA(), AP190)</f>
        <v>0</v>
      </c>
      <c r="AQ272">
        <f>IF(ISNA(AR272),NA(),AQ190)</f>
        <v>0</v>
      </c>
      <c r="AR272">
        <f>IF(OR(AR190="",AND(AR190=AR189,AR190=AR191)),NA(), AR190)</f>
        <v>0</v>
      </c>
      <c r="AS272">
        <f>IF(ISNA(AT272),NA(),AS190)</f>
        <v>0</v>
      </c>
      <c r="AT272">
        <f>IF(OR(AT190="",AND(AT190=AT189,AT190=AT191)),NA(), AT190)</f>
        <v>0</v>
      </c>
      <c r="AU272">
        <f>IF(ISNA(AV272),NA(),AU190)</f>
        <v>0</v>
      </c>
      <c r="AV272">
        <f>IF(OR(AV190="",AND(AV190=AV189,AV190=AV191)),NA(), AV190)</f>
        <v>0</v>
      </c>
      <c r="AW272">
        <f>IF(ISNA(AX272),NA(),AW190)</f>
        <v>0</v>
      </c>
      <c r="AX272">
        <f>IF(OR(AX190="",AND(AX190=AX189,AX190=AX191)),NA(), AX190)</f>
        <v>0</v>
      </c>
      <c r="AY272">
        <f>IF(ISNA(AZ272),NA(),AY190)</f>
        <v>0</v>
      </c>
      <c r="AZ272">
        <f>IF(OR(AZ190="",AND(AZ190=AZ189,AZ190=AZ191)),NA(), AZ190)</f>
        <v>0</v>
      </c>
      <c r="BA272">
        <f>IF(ISNA(BB272),NA(),BA190)</f>
        <v>0</v>
      </c>
      <c r="BB272">
        <f>IF(OR(BB190="",AND(BB190=BB189,BB190=BB191)),NA(), BB190)</f>
        <v>0</v>
      </c>
      <c r="BC272">
        <f>IF(ISNA(BD272),NA(),BC190)</f>
        <v>0</v>
      </c>
      <c r="BD272">
        <f>IF(OR(BD190="",AND(BD190=BD189,BD190=BD191)),NA(), BD190)</f>
        <v>0</v>
      </c>
      <c r="BE272">
        <f>IF(ISNA(BF272),NA(),BE190)</f>
        <v>0</v>
      </c>
      <c r="BF272">
        <f>IF(OR(BF190="",AND(BF190=BF189,BF190=BF191)),NA(), BF190)</f>
        <v>0</v>
      </c>
      <c r="BG272">
        <f>IF(ISNA(BH272),NA(),BG190)</f>
        <v>0</v>
      </c>
      <c r="BH272">
        <f>IF(OR(BH190="",AND(BH190=BH189,BH190=BH191)),NA(), BH190)</f>
        <v>0</v>
      </c>
      <c r="BI272">
        <f>IF(ISNA(BJ272),NA(),BI190)</f>
        <v>0</v>
      </c>
      <c r="BJ272">
        <f>IF(OR(BJ190="",AND(BJ190=BJ189,BJ190=BJ191)),NA(), BJ190)</f>
        <v>0</v>
      </c>
      <c r="BK272">
        <f>IF(ISNA(BL272),NA(),BK190)</f>
        <v>0</v>
      </c>
      <c r="BL272">
        <f>IF(OR(BL190="",AND(BL190=BL189,BL190=BL191)),NA(), BL190)</f>
        <v>0</v>
      </c>
      <c r="BM272">
        <f>IF(ISNA(BN272),NA(),BM190)</f>
        <v>0</v>
      </c>
      <c r="BN272">
        <f>IF(OR(BN190="",AND(BN190=BN189,BN190=BN191)),NA(), BN190)</f>
        <v>0</v>
      </c>
      <c r="BO272">
        <f>IF(ISNA(BP272),NA(),BO190)</f>
        <v>0</v>
      </c>
      <c r="BP272">
        <f>IF(OR(BP190="",AND(BP190=BP189,BP190=BP191)),NA(), BP190)</f>
        <v>0</v>
      </c>
      <c r="BS272">
        <f>IF(ISNA(BT272),NA(),BS190)</f>
        <v>0</v>
      </c>
      <c r="BT272">
        <f>IF(OR(BT190="",AND(BT190=BT189,BT190=BT191)),NA(), BT190)</f>
        <v>0</v>
      </c>
      <c r="BU272">
        <f>IF(ISNA(BV272),NA(),BU190)</f>
        <v>0</v>
      </c>
      <c r="BV272">
        <f>IF(OR(BV190="",AND(BV190=BV189,BV190=BV191)),NA(), BV190)</f>
        <v>0</v>
      </c>
      <c r="BW272">
        <f>IF(ISNA(BX272),NA(),BW190)</f>
        <v>0</v>
      </c>
      <c r="BX272">
        <f>IF(OR(BX190="",AND(BX190=BX189,BX190=BX191)),NA(), BX190)</f>
        <v>0</v>
      </c>
      <c r="BY272">
        <f>IF(ISNA(BZ272),NA(),BY190)</f>
        <v>0</v>
      </c>
      <c r="BZ272">
        <f>IF(OR(BZ190="",AND(BZ190=BZ189,BZ190=BZ191)),NA(), BZ190)</f>
        <v>0</v>
      </c>
      <c r="CA272">
        <f>IF(ISNA(CB272),NA(),CA190)</f>
        <v>0</v>
      </c>
      <c r="CB272">
        <f>IF(OR(CB190="",AND(CB190=CB189,CB190=CB191)),NA(), CB190)</f>
        <v>0</v>
      </c>
      <c r="CC272">
        <f>IF(ISNA(CD272),NA(),CC190)</f>
        <v>0</v>
      </c>
      <c r="CD272">
        <f>IF(OR(CD190="",AND(CD190=CD189,CD190=CD191)),NA(), CD190)</f>
        <v>0</v>
      </c>
      <c r="CE272">
        <f>IF(ISNA(CF272),NA(),CE190)</f>
        <v>0</v>
      </c>
      <c r="CF272">
        <f>IF(OR(CF190="",AND(CF190=CF189,CF190=CF191)),NA(), CF190)</f>
        <v>0</v>
      </c>
      <c r="CG272">
        <f>IF(ISNA(CH272),NA(),CG190)</f>
        <v>0</v>
      </c>
      <c r="CH272">
        <f>IF(OR(CH190="",AND(CH190=CH189,CH190=CH191)),NA(), CH190)</f>
        <v>0</v>
      </c>
      <c r="CI272">
        <f>IF(ISNA(CJ272),NA(),CI190)</f>
        <v>0</v>
      </c>
      <c r="CJ272">
        <f>IF(OR(CJ190="",AND(CJ190=CJ189,CJ190=CJ191)),NA(), CJ190)</f>
        <v>0</v>
      </c>
      <c r="CK272">
        <f>IF(ISNA(CL272),NA(),CK190)</f>
        <v>0</v>
      </c>
      <c r="CL272">
        <f>IF(OR(CL190="",AND(CL190=CL189,CL190=CL191)),NA(), CL190)</f>
        <v>0</v>
      </c>
      <c r="CM272">
        <f>IF(ISNA(CN272),NA(),CM190)</f>
        <v>0</v>
      </c>
      <c r="CN272">
        <f>IF(OR(CN190="",AND(CN190=CN189,CN190=CN191)),NA(), CN190)</f>
        <v>0</v>
      </c>
      <c r="CO272">
        <f>IF(ISNA(CP272),NA(),CO190)</f>
        <v>0</v>
      </c>
      <c r="CP272">
        <f>IF(OR(CP190="",AND(CP190=CP189,CP190=CP191)),NA(), CP190)</f>
        <v>0</v>
      </c>
      <c r="CQ272">
        <f>IF(ISNA(CR272),NA(),CQ190)</f>
        <v>0</v>
      </c>
      <c r="CR272">
        <f>IF(OR(CR190="",AND(CR190=CR189,CR190=CR191)),NA(), CR190)</f>
        <v>0</v>
      </c>
      <c r="CS272">
        <f>IF(ISNA(CT272),NA(),CS190)</f>
        <v>0</v>
      </c>
      <c r="CT272">
        <f>IF(OR(CT190="",AND(CT190=CT189,CT190=CT191)),NA(), CT190)</f>
        <v>0</v>
      </c>
      <c r="CU272">
        <f>IF(ISNA(CV272),NA(),CU190)</f>
        <v>0</v>
      </c>
      <c r="CV272">
        <f>IF(OR(CV190="",AND(CV190=CV189,CV190=CV191)),NA(), CV190)</f>
        <v>0</v>
      </c>
      <c r="CW272">
        <f>IF(ISNA(CX272),NA(),CW190)</f>
        <v>0</v>
      </c>
      <c r="CX272">
        <f>IF(OR(CX190="",AND(CX190=CX189,CX190=CX191)),NA(), CX190)</f>
        <v>0</v>
      </c>
      <c r="CY272">
        <f>IF(ISNA(CZ272),NA(),CY190)</f>
        <v>0</v>
      </c>
      <c r="CZ272">
        <f>IF(OR(CZ190="",AND(CZ190=CZ189,CZ190=CZ191)),NA(), CZ190)</f>
        <v>0</v>
      </c>
      <c r="DA272">
        <f>IF(ISNA(DB272),NA(),DA190)</f>
        <v>0</v>
      </c>
      <c r="DB272">
        <f>IF(OR(DB190="",AND(DB190=DB189,DB190=DB191)),NA(), DB190)</f>
        <v>0</v>
      </c>
      <c r="DC272">
        <f>IF(ISNA(DD272),NA(),DC190)</f>
        <v>0</v>
      </c>
      <c r="DD272">
        <f>IF(OR(DD190="",AND(DD190=DD189,DD190=DD191)),NA(), DD190)</f>
        <v>0</v>
      </c>
      <c r="DE272">
        <f>IF(ISNA(DF272),NA(),DE190)</f>
        <v>0</v>
      </c>
      <c r="DF272">
        <f>IF(OR(DF190="",AND(DF190=DF189,DF190=DF191)),NA(), DF190)</f>
        <v>0</v>
      </c>
      <c r="DG272">
        <f>IF(ISNA(DH272),NA(),DG190)</f>
        <v>0</v>
      </c>
      <c r="DH272">
        <f>IF(OR(DH190="",AND(DH190=DH189,DH190=DH191)),NA(), DH190)</f>
        <v>0</v>
      </c>
      <c r="DI272">
        <f>IF(ISNA(DJ272),NA(),DI190)</f>
        <v>0</v>
      </c>
      <c r="DJ272">
        <f>IF(OR(DJ190="",AND(DJ190=DJ189,DJ190=DJ191)),NA(), DJ190)</f>
        <v>0</v>
      </c>
      <c r="DK272">
        <f>IF(ISNA(DL272),NA(),DK190)</f>
        <v>0</v>
      </c>
      <c r="DL272">
        <f>IF(OR(DL190="",AND(DL190=DL189,DL190=DL191)),NA(), DL190)</f>
        <v>0</v>
      </c>
      <c r="DM272">
        <f>IF(ISNA(DN272),NA(),DM190)</f>
        <v>0</v>
      </c>
      <c r="DN272">
        <f>IF(OR(DN190="",AND(DN190=DN189,DN190=DN191)),NA(), DN190)</f>
        <v>0</v>
      </c>
      <c r="DO272">
        <f>IF(ISNA(DP272),NA(),DO190)</f>
        <v>0</v>
      </c>
      <c r="DP272">
        <f>IF(OR(DP190="",AND(DP190=DP189,DP190=DP191)),NA(), DP190)</f>
        <v>0</v>
      </c>
      <c r="DQ272">
        <f>IF(ISNA(DR272),NA(),DQ190)</f>
        <v>0</v>
      </c>
      <c r="DR272">
        <f>IF(OR(DR190="",AND(DR190=DR189,DR190=DR191)),NA(), DR190)</f>
        <v>0</v>
      </c>
      <c r="DS272">
        <f>IF(ISNA(DT272),NA(),DS190)</f>
        <v>0</v>
      </c>
      <c r="DT272">
        <f>IF(OR(DT190="",AND(DT190=DT189,DT190=DT191)),NA(), DT190)</f>
        <v>0</v>
      </c>
      <c r="DU272">
        <f>IF(ISNA(DV272),NA(),DU190)</f>
        <v>0</v>
      </c>
      <c r="DV272">
        <f>IF(OR(DV190="",AND(DV190=DV189,DV190=DV191)),NA(), DV190)</f>
        <v>0</v>
      </c>
      <c r="DW272">
        <f>IF(ISNA(DX272),NA(),DW190)</f>
        <v>0</v>
      </c>
      <c r="DX272">
        <f>IF(OR(DX190="",AND(DX190=DX189,DX190=DX191)),NA(), DX190)</f>
        <v>0</v>
      </c>
      <c r="DY272">
        <f>IF(ISNA(DZ272),NA(),DY190)</f>
        <v>0</v>
      </c>
      <c r="DZ272">
        <f>IF(OR(DZ190="",AND(DZ190=DZ189,DZ190=DZ191)),NA(), DZ190)</f>
        <v>0</v>
      </c>
      <c r="EA272">
        <f>IF(ISNA(EB272),NA(),EA190)</f>
        <v>0</v>
      </c>
      <c r="EB272">
        <f>IF(OR(EB190="",AND(EB190=EB189,EB190=EB191)),NA(), EB190)</f>
        <v>0</v>
      </c>
      <c r="EC272">
        <f>IF(ISNA(ED272),NA(),EC190)</f>
        <v>0</v>
      </c>
      <c r="ED272">
        <f>IF(OR(ED190="",AND(ED190=ED189,ED190=ED191)),NA(), ED190)</f>
        <v>0</v>
      </c>
    </row>
    <row r="273" spans="5:134">
      <c r="E273">
        <f>IF(ISNA(F273),NA(),E191)</f>
        <v>0</v>
      </c>
      <c r="F273">
        <f>IF(OR(F191="",AND(F191=F190,F191=F192)),NA(), F191)</f>
        <v>0</v>
      </c>
      <c r="G273">
        <f>IF(ISNA(H273),NA(),G191)</f>
        <v>0</v>
      </c>
      <c r="H273">
        <f>IF(OR(H191="",AND(H191=H190,H191=H192)),NA(), H191)</f>
        <v>0</v>
      </c>
      <c r="I273">
        <f>IF(ISNA(J273),NA(),I191)</f>
        <v>0</v>
      </c>
      <c r="J273">
        <f>IF(OR(J191="",AND(J191=J190,J191=J192)),NA(), J191)</f>
        <v>0</v>
      </c>
      <c r="K273">
        <f>IF(ISNA(L273),NA(),K191)</f>
        <v>0</v>
      </c>
      <c r="L273">
        <f>IF(OR(L191="",AND(L191=L190,L191=L192)),NA(), L191)</f>
        <v>0</v>
      </c>
      <c r="M273">
        <f>IF(ISNA(N273),NA(),M191)</f>
        <v>0</v>
      </c>
      <c r="N273">
        <f>IF(OR(N191="",AND(N191=N190,N191=N192)),NA(), N191)</f>
        <v>0</v>
      </c>
      <c r="O273">
        <f>IF(ISNA(P273),NA(),O191)</f>
        <v>0</v>
      </c>
      <c r="P273">
        <f>IF(OR(P191="",AND(P191=P190,P191=P192)),NA(), P191)</f>
        <v>0</v>
      </c>
      <c r="Q273">
        <f>IF(ISNA(R273),NA(),Q191)</f>
        <v>0</v>
      </c>
      <c r="R273">
        <f>IF(OR(R191="",AND(R191=R190,R191=R192)),NA(), R191)</f>
        <v>0</v>
      </c>
      <c r="S273">
        <f>IF(ISNA(T273),NA(),S191)</f>
        <v>0</v>
      </c>
      <c r="T273">
        <f>IF(OR(T191="",AND(T191=T190,T191=T192)),NA(), T191)</f>
        <v>0</v>
      </c>
      <c r="U273">
        <f>IF(ISNA(V273),NA(),U191)</f>
        <v>0</v>
      </c>
      <c r="V273">
        <f>IF(OR(V191="",AND(V191=V190,V191=V192)),NA(), V191)</f>
        <v>0</v>
      </c>
      <c r="W273">
        <f>IF(ISNA(X273),NA(),W191)</f>
        <v>0</v>
      </c>
      <c r="X273">
        <f>IF(OR(X191="",AND(X191=X190,X191=X192)),NA(), X191)</f>
        <v>0</v>
      </c>
      <c r="Y273">
        <f>IF(ISNA(Z273),NA(),Y191)</f>
        <v>0</v>
      </c>
      <c r="Z273">
        <f>IF(OR(Z191="",AND(Z191=Z190,Z191=Z192)),NA(), Z191)</f>
        <v>0</v>
      </c>
      <c r="AA273">
        <f>IF(ISNA(AB273),NA(),AA191)</f>
        <v>0</v>
      </c>
      <c r="AB273">
        <f>IF(OR(AB191="",AND(AB191=AB190,AB191=AB192)),NA(), AB191)</f>
        <v>0</v>
      </c>
      <c r="AC273">
        <f>IF(ISNA(AD273),NA(),AC191)</f>
        <v>0</v>
      </c>
      <c r="AD273">
        <f>IF(OR(AD191="",AND(AD191=AD190,AD191=AD192)),NA(), AD191)</f>
        <v>0</v>
      </c>
      <c r="AE273">
        <f>IF(ISNA(AF273),NA(),AE191)</f>
        <v>0</v>
      </c>
      <c r="AF273">
        <f>IF(OR(AF191="",AND(AF191=AF190,AF191=AF192)),NA(), AF191)</f>
        <v>0</v>
      </c>
      <c r="AG273">
        <f>IF(ISNA(AH273),NA(),AG191)</f>
        <v>0</v>
      </c>
      <c r="AH273">
        <f>IF(OR(AH191="",AND(AH191=AH190,AH191=AH192)),NA(), AH191)</f>
        <v>0</v>
      </c>
      <c r="AI273">
        <f>IF(ISNA(AJ273),NA(),AI191)</f>
        <v>0</v>
      </c>
      <c r="AJ273">
        <f>IF(OR(AJ191="",AND(AJ191=AJ190,AJ191=AJ192)),NA(), AJ191)</f>
        <v>0</v>
      </c>
      <c r="AK273">
        <f>IF(ISNA(AL273),NA(),AK191)</f>
        <v>0</v>
      </c>
      <c r="AL273">
        <f>IF(OR(AL191="",AND(AL191=AL190,AL191=AL192)),NA(), AL191)</f>
        <v>0</v>
      </c>
      <c r="AM273">
        <f>IF(ISNA(AN273),NA(),AM191)</f>
        <v>0</v>
      </c>
      <c r="AN273">
        <f>IF(OR(AN191="",AND(AN191=AN190,AN191=AN192)),NA(), AN191)</f>
        <v>0</v>
      </c>
      <c r="AO273">
        <f>IF(ISNA(AP273),NA(),AO191)</f>
        <v>0</v>
      </c>
      <c r="AP273">
        <f>IF(OR(AP191="",AND(AP191=AP190,AP191=AP192)),NA(), AP191)</f>
        <v>0</v>
      </c>
      <c r="AQ273">
        <f>IF(ISNA(AR273),NA(),AQ191)</f>
        <v>0</v>
      </c>
      <c r="AR273">
        <f>IF(OR(AR191="",AND(AR191=AR190,AR191=AR192)),NA(), AR191)</f>
        <v>0</v>
      </c>
      <c r="AS273">
        <f>IF(ISNA(AT273),NA(),AS191)</f>
        <v>0</v>
      </c>
      <c r="AT273">
        <f>IF(OR(AT191="",AND(AT191=AT190,AT191=AT192)),NA(), AT191)</f>
        <v>0</v>
      </c>
      <c r="AU273">
        <f>IF(ISNA(AV273),NA(),AU191)</f>
        <v>0</v>
      </c>
      <c r="AV273">
        <f>IF(OR(AV191="",AND(AV191=AV190,AV191=AV192)),NA(), AV191)</f>
        <v>0</v>
      </c>
      <c r="AW273">
        <f>IF(ISNA(AX273),NA(),AW191)</f>
        <v>0</v>
      </c>
      <c r="AX273">
        <f>IF(OR(AX191="",AND(AX191=AX190,AX191=AX192)),NA(), AX191)</f>
        <v>0</v>
      </c>
      <c r="AY273">
        <f>IF(ISNA(AZ273),NA(),AY191)</f>
        <v>0</v>
      </c>
      <c r="AZ273">
        <f>IF(OR(AZ191="",AND(AZ191=AZ190,AZ191=AZ192)),NA(), AZ191)</f>
        <v>0</v>
      </c>
      <c r="BA273">
        <f>IF(ISNA(BB273),NA(),BA191)</f>
        <v>0</v>
      </c>
      <c r="BB273">
        <f>IF(OR(BB191="",AND(BB191=BB190,BB191=BB192)),NA(), BB191)</f>
        <v>0</v>
      </c>
      <c r="BC273">
        <f>IF(ISNA(BD273),NA(),BC191)</f>
        <v>0</v>
      </c>
      <c r="BD273">
        <f>IF(OR(BD191="",AND(BD191=BD190,BD191=BD192)),NA(), BD191)</f>
        <v>0</v>
      </c>
      <c r="BE273">
        <f>IF(ISNA(BF273),NA(),BE191)</f>
        <v>0</v>
      </c>
      <c r="BF273">
        <f>IF(OR(BF191="",AND(BF191=BF190,BF191=BF192)),NA(), BF191)</f>
        <v>0</v>
      </c>
      <c r="BG273">
        <f>IF(ISNA(BH273),NA(),BG191)</f>
        <v>0</v>
      </c>
      <c r="BH273">
        <f>IF(OR(BH191="",AND(BH191=BH190,BH191=BH192)),NA(), BH191)</f>
        <v>0</v>
      </c>
      <c r="BI273">
        <f>IF(ISNA(BJ273),NA(),BI191)</f>
        <v>0</v>
      </c>
      <c r="BJ273">
        <f>IF(OR(BJ191="",AND(BJ191=BJ190,BJ191=BJ192)),NA(), BJ191)</f>
        <v>0</v>
      </c>
      <c r="BK273">
        <f>IF(ISNA(BL273),NA(),BK191)</f>
        <v>0</v>
      </c>
      <c r="BL273">
        <f>IF(OR(BL191="",AND(BL191=BL190,BL191=BL192)),NA(), BL191)</f>
        <v>0</v>
      </c>
      <c r="BM273">
        <f>IF(ISNA(BN273),NA(),BM191)</f>
        <v>0</v>
      </c>
      <c r="BN273">
        <f>IF(OR(BN191="",AND(BN191=BN190,BN191=BN192)),NA(), BN191)</f>
        <v>0</v>
      </c>
      <c r="BO273">
        <f>IF(ISNA(BP273),NA(),BO191)</f>
        <v>0</v>
      </c>
      <c r="BP273">
        <f>IF(OR(BP191="",AND(BP191=BP190,BP191=BP192)),NA(), BP191)</f>
        <v>0</v>
      </c>
      <c r="BS273">
        <f>IF(ISNA(BT273),NA(),BS191)</f>
        <v>0</v>
      </c>
      <c r="BT273">
        <f>IF(OR(BT191="",AND(BT191=BT190,BT191=BT192)),NA(), BT191)</f>
        <v>0</v>
      </c>
      <c r="BU273">
        <f>IF(ISNA(BV273),NA(),BU191)</f>
        <v>0</v>
      </c>
      <c r="BV273">
        <f>IF(OR(BV191="",AND(BV191=BV190,BV191=BV192)),NA(), BV191)</f>
        <v>0</v>
      </c>
      <c r="BW273">
        <f>IF(ISNA(BX273),NA(),BW191)</f>
        <v>0</v>
      </c>
      <c r="BX273">
        <f>IF(OR(BX191="",AND(BX191=BX190,BX191=BX192)),NA(), BX191)</f>
        <v>0</v>
      </c>
      <c r="BY273">
        <f>IF(ISNA(BZ273),NA(),BY191)</f>
        <v>0</v>
      </c>
      <c r="BZ273">
        <f>IF(OR(BZ191="",AND(BZ191=BZ190,BZ191=BZ192)),NA(), BZ191)</f>
        <v>0</v>
      </c>
      <c r="CA273">
        <f>IF(ISNA(CB273),NA(),CA191)</f>
        <v>0</v>
      </c>
      <c r="CB273">
        <f>IF(OR(CB191="",AND(CB191=CB190,CB191=CB192)),NA(), CB191)</f>
        <v>0</v>
      </c>
      <c r="CC273">
        <f>IF(ISNA(CD273),NA(),CC191)</f>
        <v>0</v>
      </c>
      <c r="CD273">
        <f>IF(OR(CD191="",AND(CD191=CD190,CD191=CD192)),NA(), CD191)</f>
        <v>0</v>
      </c>
      <c r="CE273">
        <f>IF(ISNA(CF273),NA(),CE191)</f>
        <v>0</v>
      </c>
      <c r="CF273">
        <f>IF(OR(CF191="",AND(CF191=CF190,CF191=CF192)),NA(), CF191)</f>
        <v>0</v>
      </c>
      <c r="CG273">
        <f>IF(ISNA(CH273),NA(),CG191)</f>
        <v>0</v>
      </c>
      <c r="CH273">
        <f>IF(OR(CH191="",AND(CH191=CH190,CH191=CH192)),NA(), CH191)</f>
        <v>0</v>
      </c>
      <c r="CI273">
        <f>IF(ISNA(CJ273),NA(),CI191)</f>
        <v>0</v>
      </c>
      <c r="CJ273">
        <f>IF(OR(CJ191="",AND(CJ191=CJ190,CJ191=CJ192)),NA(), CJ191)</f>
        <v>0</v>
      </c>
      <c r="CK273">
        <f>IF(ISNA(CL273),NA(),CK191)</f>
        <v>0</v>
      </c>
      <c r="CL273">
        <f>IF(OR(CL191="",AND(CL191=CL190,CL191=CL192)),NA(), CL191)</f>
        <v>0</v>
      </c>
      <c r="CM273">
        <f>IF(ISNA(CN273),NA(),CM191)</f>
        <v>0</v>
      </c>
      <c r="CN273">
        <f>IF(OR(CN191="",AND(CN191=CN190,CN191=CN192)),NA(), CN191)</f>
        <v>0</v>
      </c>
      <c r="CO273">
        <f>IF(ISNA(CP273),NA(),CO191)</f>
        <v>0</v>
      </c>
      <c r="CP273">
        <f>IF(OR(CP191="",AND(CP191=CP190,CP191=CP192)),NA(), CP191)</f>
        <v>0</v>
      </c>
      <c r="CQ273">
        <f>IF(ISNA(CR273),NA(),CQ191)</f>
        <v>0</v>
      </c>
      <c r="CR273">
        <f>IF(OR(CR191="",AND(CR191=CR190,CR191=CR192)),NA(), CR191)</f>
        <v>0</v>
      </c>
      <c r="CS273">
        <f>IF(ISNA(CT273),NA(),CS191)</f>
        <v>0</v>
      </c>
      <c r="CT273">
        <f>IF(OR(CT191="",AND(CT191=CT190,CT191=CT192)),NA(), CT191)</f>
        <v>0</v>
      </c>
      <c r="CU273">
        <f>IF(ISNA(CV273),NA(),CU191)</f>
        <v>0</v>
      </c>
      <c r="CV273">
        <f>IF(OR(CV191="",AND(CV191=CV190,CV191=CV192)),NA(), CV191)</f>
        <v>0</v>
      </c>
      <c r="CW273">
        <f>IF(ISNA(CX273),NA(),CW191)</f>
        <v>0</v>
      </c>
      <c r="CX273">
        <f>IF(OR(CX191="",AND(CX191=CX190,CX191=CX192)),NA(), CX191)</f>
        <v>0</v>
      </c>
      <c r="CY273">
        <f>IF(ISNA(CZ273),NA(),CY191)</f>
        <v>0</v>
      </c>
      <c r="CZ273">
        <f>IF(OR(CZ191="",AND(CZ191=CZ190,CZ191=CZ192)),NA(), CZ191)</f>
        <v>0</v>
      </c>
      <c r="DA273">
        <f>IF(ISNA(DB273),NA(),DA191)</f>
        <v>0</v>
      </c>
      <c r="DB273">
        <f>IF(OR(DB191="",AND(DB191=DB190,DB191=DB192)),NA(), DB191)</f>
        <v>0</v>
      </c>
      <c r="DC273">
        <f>IF(ISNA(DD273),NA(),DC191)</f>
        <v>0</v>
      </c>
      <c r="DD273">
        <f>IF(OR(DD191="",AND(DD191=DD190,DD191=DD192)),NA(), DD191)</f>
        <v>0</v>
      </c>
      <c r="DE273">
        <f>IF(ISNA(DF273),NA(),DE191)</f>
        <v>0</v>
      </c>
      <c r="DF273">
        <f>IF(OR(DF191="",AND(DF191=DF190,DF191=DF192)),NA(), DF191)</f>
        <v>0</v>
      </c>
      <c r="DG273">
        <f>IF(ISNA(DH273),NA(),DG191)</f>
        <v>0</v>
      </c>
      <c r="DH273">
        <f>IF(OR(DH191="",AND(DH191=DH190,DH191=DH192)),NA(), DH191)</f>
        <v>0</v>
      </c>
      <c r="DI273">
        <f>IF(ISNA(DJ273),NA(),DI191)</f>
        <v>0</v>
      </c>
      <c r="DJ273">
        <f>IF(OR(DJ191="",AND(DJ191=DJ190,DJ191=DJ192)),NA(), DJ191)</f>
        <v>0</v>
      </c>
      <c r="DK273">
        <f>IF(ISNA(DL273),NA(),DK191)</f>
        <v>0</v>
      </c>
      <c r="DL273">
        <f>IF(OR(DL191="",AND(DL191=DL190,DL191=DL192)),NA(), DL191)</f>
        <v>0</v>
      </c>
      <c r="DM273">
        <f>IF(ISNA(DN273),NA(),DM191)</f>
        <v>0</v>
      </c>
      <c r="DN273">
        <f>IF(OR(DN191="",AND(DN191=DN190,DN191=DN192)),NA(), DN191)</f>
        <v>0</v>
      </c>
      <c r="DO273">
        <f>IF(ISNA(DP273),NA(),DO191)</f>
        <v>0</v>
      </c>
      <c r="DP273">
        <f>IF(OR(DP191="",AND(DP191=DP190,DP191=DP192)),NA(), DP191)</f>
        <v>0</v>
      </c>
      <c r="DQ273">
        <f>IF(ISNA(DR273),NA(),DQ191)</f>
        <v>0</v>
      </c>
      <c r="DR273">
        <f>IF(OR(DR191="",AND(DR191=DR190,DR191=DR192)),NA(), DR191)</f>
        <v>0</v>
      </c>
      <c r="DS273">
        <f>IF(ISNA(DT273),NA(),DS191)</f>
        <v>0</v>
      </c>
      <c r="DT273">
        <f>IF(OR(DT191="",AND(DT191=DT190,DT191=DT192)),NA(), DT191)</f>
        <v>0</v>
      </c>
      <c r="DU273">
        <f>IF(ISNA(DV273),NA(),DU191)</f>
        <v>0</v>
      </c>
      <c r="DV273">
        <f>IF(OR(DV191="",AND(DV191=DV190,DV191=DV192)),NA(), DV191)</f>
        <v>0</v>
      </c>
      <c r="DW273">
        <f>IF(ISNA(DX273),NA(),DW191)</f>
        <v>0</v>
      </c>
      <c r="DX273">
        <f>IF(OR(DX191="",AND(DX191=DX190,DX191=DX192)),NA(), DX191)</f>
        <v>0</v>
      </c>
      <c r="DY273">
        <f>IF(ISNA(DZ273),NA(),DY191)</f>
        <v>0</v>
      </c>
      <c r="DZ273">
        <f>IF(OR(DZ191="",AND(DZ191=DZ190,DZ191=DZ192)),NA(), DZ191)</f>
        <v>0</v>
      </c>
      <c r="EA273">
        <f>IF(ISNA(EB273),NA(),EA191)</f>
        <v>0</v>
      </c>
      <c r="EB273">
        <f>IF(OR(EB191="",AND(EB191=EB190,EB191=EB192)),NA(), EB191)</f>
        <v>0</v>
      </c>
      <c r="EC273">
        <f>IF(ISNA(ED273),NA(),EC191)</f>
        <v>0</v>
      </c>
      <c r="ED273">
        <f>IF(OR(ED191="",AND(ED191=ED190,ED191=ED192)),NA(), ED191)</f>
        <v>0</v>
      </c>
    </row>
    <row r="274" spans="5:134">
      <c r="E274">
        <f>IF(ISNA(F274),NA(),E192)</f>
        <v>0</v>
      </c>
      <c r="F274">
        <f>IF(OR(F192="",AND(F192=F191,F192=F193)),NA(), F192)</f>
        <v>0</v>
      </c>
      <c r="G274">
        <f>IF(ISNA(H274),NA(),G192)</f>
        <v>0</v>
      </c>
      <c r="H274">
        <f>IF(OR(H192="",AND(H192=H191,H192=H193)),NA(), H192)</f>
        <v>0</v>
      </c>
      <c r="I274">
        <f>IF(ISNA(J274),NA(),I192)</f>
        <v>0</v>
      </c>
      <c r="J274">
        <f>IF(OR(J192="",AND(J192=J191,J192=J193)),NA(), J192)</f>
        <v>0</v>
      </c>
      <c r="K274">
        <f>IF(ISNA(L274),NA(),K192)</f>
        <v>0</v>
      </c>
      <c r="L274">
        <f>IF(OR(L192="",AND(L192=L191,L192=L193)),NA(), L192)</f>
        <v>0</v>
      </c>
      <c r="M274">
        <f>IF(ISNA(N274),NA(),M192)</f>
        <v>0</v>
      </c>
      <c r="N274">
        <f>IF(OR(N192="",AND(N192=N191,N192=N193)),NA(), N192)</f>
        <v>0</v>
      </c>
      <c r="O274">
        <f>IF(ISNA(P274),NA(),O192)</f>
        <v>0</v>
      </c>
      <c r="P274">
        <f>IF(OR(P192="",AND(P192=P191,P192=P193)),NA(), P192)</f>
        <v>0</v>
      </c>
      <c r="Q274">
        <f>IF(ISNA(R274),NA(),Q192)</f>
        <v>0</v>
      </c>
      <c r="R274">
        <f>IF(OR(R192="",AND(R192=R191,R192=R193)),NA(), R192)</f>
        <v>0</v>
      </c>
      <c r="S274">
        <f>IF(ISNA(T274),NA(),S192)</f>
        <v>0</v>
      </c>
      <c r="T274">
        <f>IF(OR(T192="",AND(T192=T191,T192=T193)),NA(), T192)</f>
        <v>0</v>
      </c>
      <c r="U274">
        <f>IF(ISNA(V274),NA(),U192)</f>
        <v>0</v>
      </c>
      <c r="V274">
        <f>IF(OR(V192="",AND(V192=V191,V192=V193)),NA(), V192)</f>
        <v>0</v>
      </c>
      <c r="W274">
        <f>IF(ISNA(X274),NA(),W192)</f>
        <v>0</v>
      </c>
      <c r="X274">
        <f>IF(OR(X192="",AND(X192=X191,X192=X193)),NA(), X192)</f>
        <v>0</v>
      </c>
      <c r="Y274">
        <f>IF(ISNA(Z274),NA(),Y192)</f>
        <v>0</v>
      </c>
      <c r="Z274">
        <f>IF(OR(Z192="",AND(Z192=Z191,Z192=Z193)),NA(), Z192)</f>
        <v>0</v>
      </c>
      <c r="AA274">
        <f>IF(ISNA(AB274),NA(),AA192)</f>
        <v>0</v>
      </c>
      <c r="AB274">
        <f>IF(OR(AB192="",AND(AB192=AB191,AB192=AB193)),NA(), AB192)</f>
        <v>0</v>
      </c>
      <c r="AC274">
        <f>IF(ISNA(AD274),NA(),AC192)</f>
        <v>0</v>
      </c>
      <c r="AD274">
        <f>IF(OR(AD192="",AND(AD192=AD191,AD192=AD193)),NA(), AD192)</f>
        <v>0</v>
      </c>
      <c r="AE274">
        <f>IF(ISNA(AF274),NA(),AE192)</f>
        <v>0</v>
      </c>
      <c r="AF274">
        <f>IF(OR(AF192="",AND(AF192=AF191,AF192=AF193)),NA(), AF192)</f>
        <v>0</v>
      </c>
      <c r="AG274">
        <f>IF(ISNA(AH274),NA(),AG192)</f>
        <v>0</v>
      </c>
      <c r="AH274">
        <f>IF(OR(AH192="",AND(AH192=AH191,AH192=AH193)),NA(), AH192)</f>
        <v>0</v>
      </c>
      <c r="AI274">
        <f>IF(ISNA(AJ274),NA(),AI192)</f>
        <v>0</v>
      </c>
      <c r="AJ274">
        <f>IF(OR(AJ192="",AND(AJ192=AJ191,AJ192=AJ193)),NA(), AJ192)</f>
        <v>0</v>
      </c>
      <c r="AK274">
        <f>IF(ISNA(AL274),NA(),AK192)</f>
        <v>0</v>
      </c>
      <c r="AL274">
        <f>IF(OR(AL192="",AND(AL192=AL191,AL192=AL193)),NA(), AL192)</f>
        <v>0</v>
      </c>
      <c r="AM274">
        <f>IF(ISNA(AN274),NA(),AM192)</f>
        <v>0</v>
      </c>
      <c r="AN274">
        <f>IF(OR(AN192="",AND(AN192=AN191,AN192=AN193)),NA(), AN192)</f>
        <v>0</v>
      </c>
      <c r="AO274">
        <f>IF(ISNA(AP274),NA(),AO192)</f>
        <v>0</v>
      </c>
      <c r="AP274">
        <f>IF(OR(AP192="",AND(AP192=AP191,AP192=AP193)),NA(), AP192)</f>
        <v>0</v>
      </c>
      <c r="AQ274">
        <f>IF(ISNA(AR274),NA(),AQ192)</f>
        <v>0</v>
      </c>
      <c r="AR274">
        <f>IF(OR(AR192="",AND(AR192=AR191,AR192=AR193)),NA(), AR192)</f>
        <v>0</v>
      </c>
      <c r="AS274">
        <f>IF(ISNA(AT274),NA(),AS192)</f>
        <v>0</v>
      </c>
      <c r="AT274">
        <f>IF(OR(AT192="",AND(AT192=AT191,AT192=AT193)),NA(), AT192)</f>
        <v>0</v>
      </c>
      <c r="AU274">
        <f>IF(ISNA(AV274),NA(),AU192)</f>
        <v>0</v>
      </c>
      <c r="AV274">
        <f>IF(OR(AV192="",AND(AV192=AV191,AV192=AV193)),NA(), AV192)</f>
        <v>0</v>
      </c>
      <c r="AW274">
        <f>IF(ISNA(AX274),NA(),AW192)</f>
        <v>0</v>
      </c>
      <c r="AX274">
        <f>IF(OR(AX192="",AND(AX192=AX191,AX192=AX193)),NA(), AX192)</f>
        <v>0</v>
      </c>
      <c r="AY274">
        <f>IF(ISNA(AZ274),NA(),AY192)</f>
        <v>0</v>
      </c>
      <c r="AZ274">
        <f>IF(OR(AZ192="",AND(AZ192=AZ191,AZ192=AZ193)),NA(), AZ192)</f>
        <v>0</v>
      </c>
      <c r="BA274">
        <f>IF(ISNA(BB274),NA(),BA192)</f>
        <v>0</v>
      </c>
      <c r="BB274">
        <f>IF(OR(BB192="",AND(BB192=BB191,BB192=BB193)),NA(), BB192)</f>
        <v>0</v>
      </c>
      <c r="BC274">
        <f>IF(ISNA(BD274),NA(),BC192)</f>
        <v>0</v>
      </c>
      <c r="BD274">
        <f>IF(OR(BD192="",AND(BD192=BD191,BD192=BD193)),NA(), BD192)</f>
        <v>0</v>
      </c>
      <c r="BE274">
        <f>IF(ISNA(BF274),NA(),BE192)</f>
        <v>0</v>
      </c>
      <c r="BF274">
        <f>IF(OR(BF192="",AND(BF192=BF191,BF192=BF193)),NA(), BF192)</f>
        <v>0</v>
      </c>
      <c r="BG274">
        <f>IF(ISNA(BH274),NA(),BG192)</f>
        <v>0</v>
      </c>
      <c r="BH274">
        <f>IF(OR(BH192="",AND(BH192=BH191,BH192=BH193)),NA(), BH192)</f>
        <v>0</v>
      </c>
      <c r="BI274">
        <f>IF(ISNA(BJ274),NA(),BI192)</f>
        <v>0</v>
      </c>
      <c r="BJ274">
        <f>IF(OR(BJ192="",AND(BJ192=BJ191,BJ192=BJ193)),NA(), BJ192)</f>
        <v>0</v>
      </c>
      <c r="BK274">
        <f>IF(ISNA(BL274),NA(),BK192)</f>
        <v>0</v>
      </c>
      <c r="BL274">
        <f>IF(OR(BL192="",AND(BL192=BL191,BL192=BL193)),NA(), BL192)</f>
        <v>0</v>
      </c>
      <c r="BM274">
        <f>IF(ISNA(BN274),NA(),BM192)</f>
        <v>0</v>
      </c>
      <c r="BN274">
        <f>IF(OR(BN192="",AND(BN192=BN191,BN192=BN193)),NA(), BN192)</f>
        <v>0</v>
      </c>
      <c r="BO274">
        <f>IF(ISNA(BP274),NA(),BO192)</f>
        <v>0</v>
      </c>
      <c r="BP274">
        <f>IF(OR(BP192="",AND(BP192=BP191,BP192=BP193)),NA(), BP192)</f>
        <v>0</v>
      </c>
      <c r="BS274">
        <f>IF(ISNA(BT274),NA(),BS192)</f>
        <v>0</v>
      </c>
      <c r="BT274">
        <f>IF(OR(BT192="",AND(BT192=BT191,BT192=BT193)),NA(), BT192)</f>
        <v>0</v>
      </c>
      <c r="BU274">
        <f>IF(ISNA(BV274),NA(),BU192)</f>
        <v>0</v>
      </c>
      <c r="BV274">
        <f>IF(OR(BV192="",AND(BV192=BV191,BV192=BV193)),NA(), BV192)</f>
        <v>0</v>
      </c>
      <c r="BW274">
        <f>IF(ISNA(BX274),NA(),BW192)</f>
        <v>0</v>
      </c>
      <c r="BX274">
        <f>IF(OR(BX192="",AND(BX192=BX191,BX192=BX193)),NA(), BX192)</f>
        <v>0</v>
      </c>
      <c r="BY274">
        <f>IF(ISNA(BZ274),NA(),BY192)</f>
        <v>0</v>
      </c>
      <c r="BZ274">
        <f>IF(OR(BZ192="",AND(BZ192=BZ191,BZ192=BZ193)),NA(), BZ192)</f>
        <v>0</v>
      </c>
      <c r="CA274">
        <f>IF(ISNA(CB274),NA(),CA192)</f>
        <v>0</v>
      </c>
      <c r="CB274">
        <f>IF(OR(CB192="",AND(CB192=CB191,CB192=CB193)),NA(), CB192)</f>
        <v>0</v>
      </c>
      <c r="CC274">
        <f>IF(ISNA(CD274),NA(),CC192)</f>
        <v>0</v>
      </c>
      <c r="CD274">
        <f>IF(OR(CD192="",AND(CD192=CD191,CD192=CD193)),NA(), CD192)</f>
        <v>0</v>
      </c>
      <c r="CE274">
        <f>IF(ISNA(CF274),NA(),CE192)</f>
        <v>0</v>
      </c>
      <c r="CF274">
        <f>IF(OR(CF192="",AND(CF192=CF191,CF192=CF193)),NA(), CF192)</f>
        <v>0</v>
      </c>
      <c r="CG274">
        <f>IF(ISNA(CH274),NA(),CG192)</f>
        <v>0</v>
      </c>
      <c r="CH274">
        <f>IF(OR(CH192="",AND(CH192=CH191,CH192=CH193)),NA(), CH192)</f>
        <v>0</v>
      </c>
      <c r="CI274">
        <f>IF(ISNA(CJ274),NA(),CI192)</f>
        <v>0</v>
      </c>
      <c r="CJ274">
        <f>IF(OR(CJ192="",AND(CJ192=CJ191,CJ192=CJ193)),NA(), CJ192)</f>
        <v>0</v>
      </c>
      <c r="CK274">
        <f>IF(ISNA(CL274),NA(),CK192)</f>
        <v>0</v>
      </c>
      <c r="CL274">
        <f>IF(OR(CL192="",AND(CL192=CL191,CL192=CL193)),NA(), CL192)</f>
        <v>0</v>
      </c>
      <c r="CM274">
        <f>IF(ISNA(CN274),NA(),CM192)</f>
        <v>0</v>
      </c>
      <c r="CN274">
        <f>IF(OR(CN192="",AND(CN192=CN191,CN192=CN193)),NA(), CN192)</f>
        <v>0</v>
      </c>
      <c r="CO274">
        <f>IF(ISNA(CP274),NA(),CO192)</f>
        <v>0</v>
      </c>
      <c r="CP274">
        <f>IF(OR(CP192="",AND(CP192=CP191,CP192=CP193)),NA(), CP192)</f>
        <v>0</v>
      </c>
      <c r="CQ274">
        <f>IF(ISNA(CR274),NA(),CQ192)</f>
        <v>0</v>
      </c>
      <c r="CR274">
        <f>IF(OR(CR192="",AND(CR192=CR191,CR192=CR193)),NA(), CR192)</f>
        <v>0</v>
      </c>
      <c r="CS274">
        <f>IF(ISNA(CT274),NA(),CS192)</f>
        <v>0</v>
      </c>
      <c r="CT274">
        <f>IF(OR(CT192="",AND(CT192=CT191,CT192=CT193)),NA(), CT192)</f>
        <v>0</v>
      </c>
      <c r="CU274">
        <f>IF(ISNA(CV274),NA(),CU192)</f>
        <v>0</v>
      </c>
      <c r="CV274">
        <f>IF(OR(CV192="",AND(CV192=CV191,CV192=CV193)),NA(), CV192)</f>
        <v>0</v>
      </c>
      <c r="CW274">
        <f>IF(ISNA(CX274),NA(),CW192)</f>
        <v>0</v>
      </c>
      <c r="CX274">
        <f>IF(OR(CX192="",AND(CX192=CX191,CX192=CX193)),NA(), CX192)</f>
        <v>0</v>
      </c>
      <c r="CY274">
        <f>IF(ISNA(CZ274),NA(),CY192)</f>
        <v>0</v>
      </c>
      <c r="CZ274">
        <f>IF(OR(CZ192="",AND(CZ192=CZ191,CZ192=CZ193)),NA(), CZ192)</f>
        <v>0</v>
      </c>
      <c r="DA274">
        <f>IF(ISNA(DB274),NA(),DA192)</f>
        <v>0</v>
      </c>
      <c r="DB274">
        <f>IF(OR(DB192="",AND(DB192=DB191,DB192=DB193)),NA(), DB192)</f>
        <v>0</v>
      </c>
      <c r="DC274">
        <f>IF(ISNA(DD274),NA(),DC192)</f>
        <v>0</v>
      </c>
      <c r="DD274">
        <f>IF(OR(DD192="",AND(DD192=DD191,DD192=DD193)),NA(), DD192)</f>
        <v>0</v>
      </c>
      <c r="DE274">
        <f>IF(ISNA(DF274),NA(),DE192)</f>
        <v>0</v>
      </c>
      <c r="DF274">
        <f>IF(OR(DF192="",AND(DF192=DF191,DF192=DF193)),NA(), DF192)</f>
        <v>0</v>
      </c>
      <c r="DG274">
        <f>IF(ISNA(DH274),NA(),DG192)</f>
        <v>0</v>
      </c>
      <c r="DH274">
        <f>IF(OR(DH192="",AND(DH192=DH191,DH192=DH193)),NA(), DH192)</f>
        <v>0</v>
      </c>
      <c r="DI274">
        <f>IF(ISNA(DJ274),NA(),DI192)</f>
        <v>0</v>
      </c>
      <c r="DJ274">
        <f>IF(OR(DJ192="",AND(DJ192=DJ191,DJ192=DJ193)),NA(), DJ192)</f>
        <v>0</v>
      </c>
      <c r="DK274">
        <f>IF(ISNA(DL274),NA(),DK192)</f>
        <v>0</v>
      </c>
      <c r="DL274">
        <f>IF(OR(DL192="",AND(DL192=DL191,DL192=DL193)),NA(), DL192)</f>
        <v>0</v>
      </c>
      <c r="DM274">
        <f>IF(ISNA(DN274),NA(),DM192)</f>
        <v>0</v>
      </c>
      <c r="DN274">
        <f>IF(OR(DN192="",AND(DN192=DN191,DN192=DN193)),NA(), DN192)</f>
        <v>0</v>
      </c>
      <c r="DO274">
        <f>IF(ISNA(DP274),NA(),DO192)</f>
        <v>0</v>
      </c>
      <c r="DP274">
        <f>IF(OR(DP192="",AND(DP192=DP191,DP192=DP193)),NA(), DP192)</f>
        <v>0</v>
      </c>
      <c r="DQ274">
        <f>IF(ISNA(DR274),NA(),DQ192)</f>
        <v>0</v>
      </c>
      <c r="DR274">
        <f>IF(OR(DR192="",AND(DR192=DR191,DR192=DR193)),NA(), DR192)</f>
        <v>0</v>
      </c>
      <c r="DS274">
        <f>IF(ISNA(DT274),NA(),DS192)</f>
        <v>0</v>
      </c>
      <c r="DT274">
        <f>IF(OR(DT192="",AND(DT192=DT191,DT192=DT193)),NA(), DT192)</f>
        <v>0</v>
      </c>
      <c r="DU274">
        <f>IF(ISNA(DV274),NA(),DU192)</f>
        <v>0</v>
      </c>
      <c r="DV274">
        <f>IF(OR(DV192="",AND(DV192=DV191,DV192=DV193)),NA(), DV192)</f>
        <v>0</v>
      </c>
      <c r="DW274">
        <f>IF(ISNA(DX274),NA(),DW192)</f>
        <v>0</v>
      </c>
      <c r="DX274">
        <f>IF(OR(DX192="",AND(DX192=DX191,DX192=DX193)),NA(), DX192)</f>
        <v>0</v>
      </c>
      <c r="DY274">
        <f>IF(ISNA(DZ274),NA(),DY192)</f>
        <v>0</v>
      </c>
      <c r="DZ274">
        <f>IF(OR(DZ192="",AND(DZ192=DZ191,DZ192=DZ193)),NA(), DZ192)</f>
        <v>0</v>
      </c>
      <c r="EA274">
        <f>IF(ISNA(EB274),NA(),EA192)</f>
        <v>0</v>
      </c>
      <c r="EB274">
        <f>IF(OR(EB192="",AND(EB192=EB191,EB192=EB193)),NA(), EB192)</f>
        <v>0</v>
      </c>
      <c r="EC274">
        <f>IF(ISNA(ED274),NA(),EC192)</f>
        <v>0</v>
      </c>
      <c r="ED274">
        <f>IF(OR(ED192="",AND(ED192=ED191,ED192=ED193)),NA(), ED192)</f>
        <v>0</v>
      </c>
    </row>
    <row r="275" spans="5:134">
      <c r="E275">
        <f>IF(ISNA(F275),NA(),E193)</f>
        <v>0</v>
      </c>
      <c r="F275">
        <f>IF(OR(F193="",AND(F193=F192,F193=F194)),NA(), F193)</f>
        <v>0</v>
      </c>
      <c r="G275">
        <f>IF(ISNA(H275),NA(),G193)</f>
        <v>0</v>
      </c>
      <c r="H275">
        <f>IF(OR(H193="",AND(H193=H192,H193=H194)),NA(), H193)</f>
        <v>0</v>
      </c>
      <c r="I275">
        <f>IF(ISNA(J275),NA(),I193)</f>
        <v>0</v>
      </c>
      <c r="J275">
        <f>IF(OR(J193="",AND(J193=J192,J193=J194)),NA(), J193)</f>
        <v>0</v>
      </c>
      <c r="K275">
        <f>IF(ISNA(L275),NA(),K193)</f>
        <v>0</v>
      </c>
      <c r="L275">
        <f>IF(OR(L193="",AND(L193=L192,L193=L194)),NA(), L193)</f>
        <v>0</v>
      </c>
      <c r="M275">
        <f>IF(ISNA(N275),NA(),M193)</f>
        <v>0</v>
      </c>
      <c r="N275">
        <f>IF(OR(N193="",AND(N193=N192,N193=N194)),NA(), N193)</f>
        <v>0</v>
      </c>
      <c r="O275">
        <f>IF(ISNA(P275),NA(),O193)</f>
        <v>0</v>
      </c>
      <c r="P275">
        <f>IF(OR(P193="",AND(P193=P192,P193=P194)),NA(), P193)</f>
        <v>0</v>
      </c>
      <c r="Q275">
        <f>IF(ISNA(R275),NA(),Q193)</f>
        <v>0</v>
      </c>
      <c r="R275">
        <f>IF(OR(R193="",AND(R193=R192,R193=R194)),NA(), R193)</f>
        <v>0</v>
      </c>
      <c r="S275">
        <f>IF(ISNA(T275),NA(),S193)</f>
        <v>0</v>
      </c>
      <c r="T275">
        <f>IF(OR(T193="",AND(T193=T192,T193=T194)),NA(), T193)</f>
        <v>0</v>
      </c>
      <c r="U275">
        <f>IF(ISNA(V275),NA(),U193)</f>
        <v>0</v>
      </c>
      <c r="V275">
        <f>IF(OR(V193="",AND(V193=V192,V193=V194)),NA(), V193)</f>
        <v>0</v>
      </c>
      <c r="W275">
        <f>IF(ISNA(X275),NA(),W193)</f>
        <v>0</v>
      </c>
      <c r="X275">
        <f>IF(OR(X193="",AND(X193=X192,X193=X194)),NA(), X193)</f>
        <v>0</v>
      </c>
      <c r="Y275">
        <f>IF(ISNA(Z275),NA(),Y193)</f>
        <v>0</v>
      </c>
      <c r="Z275">
        <f>IF(OR(Z193="",AND(Z193=Z192,Z193=Z194)),NA(), Z193)</f>
        <v>0</v>
      </c>
      <c r="AA275">
        <f>IF(ISNA(AB275),NA(),AA193)</f>
        <v>0</v>
      </c>
      <c r="AB275">
        <f>IF(OR(AB193="",AND(AB193=AB192,AB193=AB194)),NA(), AB193)</f>
        <v>0</v>
      </c>
      <c r="AC275">
        <f>IF(ISNA(AD275),NA(),AC193)</f>
        <v>0</v>
      </c>
      <c r="AD275">
        <f>IF(OR(AD193="",AND(AD193=AD192,AD193=AD194)),NA(), AD193)</f>
        <v>0</v>
      </c>
      <c r="AE275">
        <f>IF(ISNA(AF275),NA(),AE193)</f>
        <v>0</v>
      </c>
      <c r="AF275">
        <f>IF(OR(AF193="",AND(AF193=AF192,AF193=AF194)),NA(), AF193)</f>
        <v>0</v>
      </c>
      <c r="AG275">
        <f>IF(ISNA(AH275),NA(),AG193)</f>
        <v>0</v>
      </c>
      <c r="AH275">
        <f>IF(OR(AH193="",AND(AH193=AH192,AH193=AH194)),NA(), AH193)</f>
        <v>0</v>
      </c>
      <c r="AI275">
        <f>IF(ISNA(AJ275),NA(),AI193)</f>
        <v>0</v>
      </c>
      <c r="AJ275">
        <f>IF(OR(AJ193="",AND(AJ193=AJ192,AJ193=AJ194)),NA(), AJ193)</f>
        <v>0</v>
      </c>
      <c r="AK275">
        <f>IF(ISNA(AL275),NA(),AK193)</f>
        <v>0</v>
      </c>
      <c r="AL275">
        <f>IF(OR(AL193="",AND(AL193=AL192,AL193=AL194)),NA(), AL193)</f>
        <v>0</v>
      </c>
      <c r="AM275">
        <f>IF(ISNA(AN275),NA(),AM193)</f>
        <v>0</v>
      </c>
      <c r="AN275">
        <f>IF(OR(AN193="",AND(AN193=AN192,AN193=AN194)),NA(), AN193)</f>
        <v>0</v>
      </c>
      <c r="AO275">
        <f>IF(ISNA(AP275),NA(),AO193)</f>
        <v>0</v>
      </c>
      <c r="AP275">
        <f>IF(OR(AP193="",AND(AP193=AP192,AP193=AP194)),NA(), AP193)</f>
        <v>0</v>
      </c>
      <c r="AQ275">
        <f>IF(ISNA(AR275),NA(),AQ193)</f>
        <v>0</v>
      </c>
      <c r="AR275">
        <f>IF(OR(AR193="",AND(AR193=AR192,AR193=AR194)),NA(), AR193)</f>
        <v>0</v>
      </c>
      <c r="AS275">
        <f>IF(ISNA(AT275),NA(),AS193)</f>
        <v>0</v>
      </c>
      <c r="AT275">
        <f>IF(OR(AT193="",AND(AT193=AT192,AT193=AT194)),NA(), AT193)</f>
        <v>0</v>
      </c>
      <c r="AU275">
        <f>IF(ISNA(AV275),NA(),AU193)</f>
        <v>0</v>
      </c>
      <c r="AV275">
        <f>IF(OR(AV193="",AND(AV193=AV192,AV193=AV194)),NA(), AV193)</f>
        <v>0</v>
      </c>
      <c r="AW275">
        <f>IF(ISNA(AX275),NA(),AW193)</f>
        <v>0</v>
      </c>
      <c r="AX275">
        <f>IF(OR(AX193="",AND(AX193=AX192,AX193=AX194)),NA(), AX193)</f>
        <v>0</v>
      </c>
      <c r="AY275">
        <f>IF(ISNA(AZ275),NA(),AY193)</f>
        <v>0</v>
      </c>
      <c r="AZ275">
        <f>IF(OR(AZ193="",AND(AZ193=AZ192,AZ193=AZ194)),NA(), AZ193)</f>
        <v>0</v>
      </c>
      <c r="BA275">
        <f>IF(ISNA(BB275),NA(),BA193)</f>
        <v>0</v>
      </c>
      <c r="BB275">
        <f>IF(OR(BB193="",AND(BB193=BB192,BB193=BB194)),NA(), BB193)</f>
        <v>0</v>
      </c>
      <c r="BC275">
        <f>IF(ISNA(BD275),NA(),BC193)</f>
        <v>0</v>
      </c>
      <c r="BD275">
        <f>IF(OR(BD193="",AND(BD193=BD192,BD193=BD194)),NA(), BD193)</f>
        <v>0</v>
      </c>
      <c r="BE275">
        <f>IF(ISNA(BF275),NA(),BE193)</f>
        <v>0</v>
      </c>
      <c r="BF275">
        <f>IF(OR(BF193="",AND(BF193=BF192,BF193=BF194)),NA(), BF193)</f>
        <v>0</v>
      </c>
      <c r="BG275">
        <f>IF(ISNA(BH275),NA(),BG193)</f>
        <v>0</v>
      </c>
      <c r="BH275">
        <f>IF(OR(BH193="",AND(BH193=BH192,BH193=BH194)),NA(), BH193)</f>
        <v>0</v>
      </c>
      <c r="BI275">
        <f>IF(ISNA(BJ275),NA(),BI193)</f>
        <v>0</v>
      </c>
      <c r="BJ275">
        <f>IF(OR(BJ193="",AND(BJ193=BJ192,BJ193=BJ194)),NA(), BJ193)</f>
        <v>0</v>
      </c>
      <c r="BK275">
        <f>IF(ISNA(BL275),NA(),BK193)</f>
        <v>0</v>
      </c>
      <c r="BL275">
        <f>IF(OR(BL193="",AND(BL193=BL192,BL193=BL194)),NA(), BL193)</f>
        <v>0</v>
      </c>
      <c r="BM275">
        <f>IF(ISNA(BN275),NA(),BM193)</f>
        <v>0</v>
      </c>
      <c r="BN275">
        <f>IF(OR(BN193="",AND(BN193=BN192,BN193=BN194)),NA(), BN193)</f>
        <v>0</v>
      </c>
      <c r="BO275">
        <f>IF(ISNA(BP275),NA(),BO193)</f>
        <v>0</v>
      </c>
      <c r="BP275">
        <f>IF(OR(BP193="",AND(BP193=BP192,BP193=BP194)),NA(), BP193)</f>
        <v>0</v>
      </c>
      <c r="BS275">
        <f>IF(ISNA(BT275),NA(),BS193)</f>
        <v>0</v>
      </c>
      <c r="BT275">
        <f>IF(OR(BT193="",AND(BT193=BT192,BT193=BT194)),NA(), BT193)</f>
        <v>0</v>
      </c>
      <c r="BU275">
        <f>IF(ISNA(BV275),NA(),BU193)</f>
        <v>0</v>
      </c>
      <c r="BV275">
        <f>IF(OR(BV193="",AND(BV193=BV192,BV193=BV194)),NA(), BV193)</f>
        <v>0</v>
      </c>
      <c r="BW275">
        <f>IF(ISNA(BX275),NA(),BW193)</f>
        <v>0</v>
      </c>
      <c r="BX275">
        <f>IF(OR(BX193="",AND(BX193=BX192,BX193=BX194)),NA(), BX193)</f>
        <v>0</v>
      </c>
      <c r="BY275">
        <f>IF(ISNA(BZ275),NA(),BY193)</f>
        <v>0</v>
      </c>
      <c r="BZ275">
        <f>IF(OR(BZ193="",AND(BZ193=BZ192,BZ193=BZ194)),NA(), BZ193)</f>
        <v>0</v>
      </c>
      <c r="CA275">
        <f>IF(ISNA(CB275),NA(),CA193)</f>
        <v>0</v>
      </c>
      <c r="CB275">
        <f>IF(OR(CB193="",AND(CB193=CB192,CB193=CB194)),NA(), CB193)</f>
        <v>0</v>
      </c>
      <c r="CC275">
        <f>IF(ISNA(CD275),NA(),CC193)</f>
        <v>0</v>
      </c>
      <c r="CD275">
        <f>IF(OR(CD193="",AND(CD193=CD192,CD193=CD194)),NA(), CD193)</f>
        <v>0</v>
      </c>
      <c r="CE275">
        <f>IF(ISNA(CF275),NA(),CE193)</f>
        <v>0</v>
      </c>
      <c r="CF275">
        <f>IF(OR(CF193="",AND(CF193=CF192,CF193=CF194)),NA(), CF193)</f>
        <v>0</v>
      </c>
      <c r="CG275">
        <f>IF(ISNA(CH275),NA(),CG193)</f>
        <v>0</v>
      </c>
      <c r="CH275">
        <f>IF(OR(CH193="",AND(CH193=CH192,CH193=CH194)),NA(), CH193)</f>
        <v>0</v>
      </c>
      <c r="CI275">
        <f>IF(ISNA(CJ275),NA(),CI193)</f>
        <v>0</v>
      </c>
      <c r="CJ275">
        <f>IF(OR(CJ193="",AND(CJ193=CJ192,CJ193=CJ194)),NA(), CJ193)</f>
        <v>0</v>
      </c>
      <c r="CK275">
        <f>IF(ISNA(CL275),NA(),CK193)</f>
        <v>0</v>
      </c>
      <c r="CL275">
        <f>IF(OR(CL193="",AND(CL193=CL192,CL193=CL194)),NA(), CL193)</f>
        <v>0</v>
      </c>
      <c r="CM275">
        <f>IF(ISNA(CN275),NA(),CM193)</f>
        <v>0</v>
      </c>
      <c r="CN275">
        <f>IF(OR(CN193="",AND(CN193=CN192,CN193=CN194)),NA(), CN193)</f>
        <v>0</v>
      </c>
      <c r="CO275">
        <f>IF(ISNA(CP275),NA(),CO193)</f>
        <v>0</v>
      </c>
      <c r="CP275">
        <f>IF(OR(CP193="",AND(CP193=CP192,CP193=CP194)),NA(), CP193)</f>
        <v>0</v>
      </c>
      <c r="CQ275">
        <f>IF(ISNA(CR275),NA(),CQ193)</f>
        <v>0</v>
      </c>
      <c r="CR275">
        <f>IF(OR(CR193="",AND(CR193=CR192,CR193=CR194)),NA(), CR193)</f>
        <v>0</v>
      </c>
      <c r="CS275">
        <f>IF(ISNA(CT275),NA(),CS193)</f>
        <v>0</v>
      </c>
      <c r="CT275">
        <f>IF(OR(CT193="",AND(CT193=CT192,CT193=CT194)),NA(), CT193)</f>
        <v>0</v>
      </c>
      <c r="CU275">
        <f>IF(ISNA(CV275),NA(),CU193)</f>
        <v>0</v>
      </c>
      <c r="CV275">
        <f>IF(OR(CV193="",AND(CV193=CV192,CV193=CV194)),NA(), CV193)</f>
        <v>0</v>
      </c>
      <c r="CW275">
        <f>IF(ISNA(CX275),NA(),CW193)</f>
        <v>0</v>
      </c>
      <c r="CX275">
        <f>IF(OR(CX193="",AND(CX193=CX192,CX193=CX194)),NA(), CX193)</f>
        <v>0</v>
      </c>
      <c r="CY275">
        <f>IF(ISNA(CZ275),NA(),CY193)</f>
        <v>0</v>
      </c>
      <c r="CZ275">
        <f>IF(OR(CZ193="",AND(CZ193=CZ192,CZ193=CZ194)),NA(), CZ193)</f>
        <v>0</v>
      </c>
      <c r="DA275">
        <f>IF(ISNA(DB275),NA(),DA193)</f>
        <v>0</v>
      </c>
      <c r="DB275">
        <f>IF(OR(DB193="",AND(DB193=DB192,DB193=DB194)),NA(), DB193)</f>
        <v>0</v>
      </c>
      <c r="DC275">
        <f>IF(ISNA(DD275),NA(),DC193)</f>
        <v>0</v>
      </c>
      <c r="DD275">
        <f>IF(OR(DD193="",AND(DD193=DD192,DD193=DD194)),NA(), DD193)</f>
        <v>0</v>
      </c>
      <c r="DE275">
        <f>IF(ISNA(DF275),NA(),DE193)</f>
        <v>0</v>
      </c>
      <c r="DF275">
        <f>IF(OR(DF193="",AND(DF193=DF192,DF193=DF194)),NA(), DF193)</f>
        <v>0</v>
      </c>
      <c r="DG275">
        <f>IF(ISNA(DH275),NA(),DG193)</f>
        <v>0</v>
      </c>
      <c r="DH275">
        <f>IF(OR(DH193="",AND(DH193=DH192,DH193=DH194)),NA(), DH193)</f>
        <v>0</v>
      </c>
      <c r="DI275">
        <f>IF(ISNA(DJ275),NA(),DI193)</f>
        <v>0</v>
      </c>
      <c r="DJ275">
        <f>IF(OR(DJ193="",AND(DJ193=DJ192,DJ193=DJ194)),NA(), DJ193)</f>
        <v>0</v>
      </c>
      <c r="DK275">
        <f>IF(ISNA(DL275),NA(),DK193)</f>
        <v>0</v>
      </c>
      <c r="DL275">
        <f>IF(OR(DL193="",AND(DL193=DL192,DL193=DL194)),NA(), DL193)</f>
        <v>0</v>
      </c>
      <c r="DM275">
        <f>IF(ISNA(DN275),NA(),DM193)</f>
        <v>0</v>
      </c>
      <c r="DN275">
        <f>IF(OR(DN193="",AND(DN193=DN192,DN193=DN194)),NA(), DN193)</f>
        <v>0</v>
      </c>
      <c r="DO275">
        <f>IF(ISNA(DP275),NA(),DO193)</f>
        <v>0</v>
      </c>
      <c r="DP275">
        <f>IF(OR(DP193="",AND(DP193=DP192,DP193=DP194)),NA(), DP193)</f>
        <v>0</v>
      </c>
      <c r="DQ275">
        <f>IF(ISNA(DR275),NA(),DQ193)</f>
        <v>0</v>
      </c>
      <c r="DR275">
        <f>IF(OR(DR193="",AND(DR193=DR192,DR193=DR194)),NA(), DR193)</f>
        <v>0</v>
      </c>
      <c r="DS275">
        <f>IF(ISNA(DT275),NA(),DS193)</f>
        <v>0</v>
      </c>
      <c r="DT275">
        <f>IF(OR(DT193="",AND(DT193=DT192,DT193=DT194)),NA(), DT193)</f>
        <v>0</v>
      </c>
      <c r="DU275">
        <f>IF(ISNA(DV275),NA(),DU193)</f>
        <v>0</v>
      </c>
      <c r="DV275">
        <f>IF(OR(DV193="",AND(DV193=DV192,DV193=DV194)),NA(), DV193)</f>
        <v>0</v>
      </c>
      <c r="DW275">
        <f>IF(ISNA(DX275),NA(),DW193)</f>
        <v>0</v>
      </c>
      <c r="DX275">
        <f>IF(OR(DX193="",AND(DX193=DX192,DX193=DX194)),NA(), DX193)</f>
        <v>0</v>
      </c>
      <c r="DY275">
        <f>IF(ISNA(DZ275),NA(),DY193)</f>
        <v>0</v>
      </c>
      <c r="DZ275">
        <f>IF(OR(DZ193="",AND(DZ193=DZ192,DZ193=DZ194)),NA(), DZ193)</f>
        <v>0</v>
      </c>
      <c r="EA275">
        <f>IF(ISNA(EB275),NA(),EA193)</f>
        <v>0</v>
      </c>
      <c r="EB275">
        <f>IF(OR(EB193="",AND(EB193=EB192,EB193=EB194)),NA(), EB193)</f>
        <v>0</v>
      </c>
      <c r="EC275">
        <f>IF(ISNA(ED275),NA(),EC193)</f>
        <v>0</v>
      </c>
      <c r="ED275">
        <f>IF(OR(ED193="",AND(ED193=ED192,ED193=ED194)),NA(), ED193)</f>
        <v>0</v>
      </c>
    </row>
    <row r="276" spans="5:134">
      <c r="E276">
        <f>IF(ISNA(F276),NA(),E194)</f>
        <v>0</v>
      </c>
      <c r="F276">
        <f>IF(OR(F194="",AND(F194=F193,F194=F195)),NA(), F194)</f>
        <v>0</v>
      </c>
      <c r="G276">
        <f>IF(ISNA(H276),NA(),G194)</f>
        <v>0</v>
      </c>
      <c r="H276">
        <f>IF(OR(H194="",AND(H194=H193,H194=H195)),NA(), H194)</f>
        <v>0</v>
      </c>
      <c r="I276">
        <f>IF(ISNA(J276),NA(),I194)</f>
        <v>0</v>
      </c>
      <c r="J276">
        <f>IF(OR(J194="",AND(J194=J193,J194=J195)),NA(), J194)</f>
        <v>0</v>
      </c>
      <c r="K276">
        <f>IF(ISNA(L276),NA(),K194)</f>
        <v>0</v>
      </c>
      <c r="L276">
        <f>IF(OR(L194="",AND(L194=L193,L194=L195)),NA(), L194)</f>
        <v>0</v>
      </c>
      <c r="M276">
        <f>IF(ISNA(N276),NA(),M194)</f>
        <v>0</v>
      </c>
      <c r="N276">
        <f>IF(OR(N194="",AND(N194=N193,N194=N195)),NA(), N194)</f>
        <v>0</v>
      </c>
      <c r="O276">
        <f>IF(ISNA(P276),NA(),O194)</f>
        <v>0</v>
      </c>
      <c r="P276">
        <f>IF(OR(P194="",AND(P194=P193,P194=P195)),NA(), P194)</f>
        <v>0</v>
      </c>
      <c r="Q276">
        <f>IF(ISNA(R276),NA(),Q194)</f>
        <v>0</v>
      </c>
      <c r="R276">
        <f>IF(OR(R194="",AND(R194=R193,R194=R195)),NA(), R194)</f>
        <v>0</v>
      </c>
      <c r="S276">
        <f>IF(ISNA(T276),NA(),S194)</f>
        <v>0</v>
      </c>
      <c r="T276">
        <f>IF(OR(T194="",AND(T194=T193,T194=T195)),NA(), T194)</f>
        <v>0</v>
      </c>
      <c r="U276">
        <f>IF(ISNA(V276),NA(),U194)</f>
        <v>0</v>
      </c>
      <c r="V276">
        <f>IF(OR(V194="",AND(V194=V193,V194=V195)),NA(), V194)</f>
        <v>0</v>
      </c>
      <c r="W276">
        <f>IF(ISNA(X276),NA(),W194)</f>
        <v>0</v>
      </c>
      <c r="X276">
        <f>IF(OR(X194="",AND(X194=X193,X194=X195)),NA(), X194)</f>
        <v>0</v>
      </c>
      <c r="Y276">
        <f>IF(ISNA(Z276),NA(),Y194)</f>
        <v>0</v>
      </c>
      <c r="Z276">
        <f>IF(OR(Z194="",AND(Z194=Z193,Z194=Z195)),NA(), Z194)</f>
        <v>0</v>
      </c>
      <c r="AA276">
        <f>IF(ISNA(AB276),NA(),AA194)</f>
        <v>0</v>
      </c>
      <c r="AB276">
        <f>IF(OR(AB194="",AND(AB194=AB193,AB194=AB195)),NA(), AB194)</f>
        <v>0</v>
      </c>
      <c r="AC276">
        <f>IF(ISNA(AD276),NA(),AC194)</f>
        <v>0</v>
      </c>
      <c r="AD276">
        <f>IF(OR(AD194="",AND(AD194=AD193,AD194=AD195)),NA(), AD194)</f>
        <v>0</v>
      </c>
      <c r="AE276">
        <f>IF(ISNA(AF276),NA(),AE194)</f>
        <v>0</v>
      </c>
      <c r="AF276">
        <f>IF(OR(AF194="",AND(AF194=AF193,AF194=AF195)),NA(), AF194)</f>
        <v>0</v>
      </c>
      <c r="AG276">
        <f>IF(ISNA(AH276),NA(),AG194)</f>
        <v>0</v>
      </c>
      <c r="AH276">
        <f>IF(OR(AH194="",AND(AH194=AH193,AH194=AH195)),NA(), AH194)</f>
        <v>0</v>
      </c>
      <c r="AI276">
        <f>IF(ISNA(AJ276),NA(),AI194)</f>
        <v>0</v>
      </c>
      <c r="AJ276">
        <f>IF(OR(AJ194="",AND(AJ194=AJ193,AJ194=AJ195)),NA(), AJ194)</f>
        <v>0</v>
      </c>
      <c r="AK276">
        <f>IF(ISNA(AL276),NA(),AK194)</f>
        <v>0</v>
      </c>
      <c r="AL276">
        <f>IF(OR(AL194="",AND(AL194=AL193,AL194=AL195)),NA(), AL194)</f>
        <v>0</v>
      </c>
      <c r="AM276">
        <f>IF(ISNA(AN276),NA(),AM194)</f>
        <v>0</v>
      </c>
      <c r="AN276">
        <f>IF(OR(AN194="",AND(AN194=AN193,AN194=AN195)),NA(), AN194)</f>
        <v>0</v>
      </c>
      <c r="AO276">
        <f>IF(ISNA(AP276),NA(),AO194)</f>
        <v>0</v>
      </c>
      <c r="AP276">
        <f>IF(OR(AP194="",AND(AP194=AP193,AP194=AP195)),NA(), AP194)</f>
        <v>0</v>
      </c>
      <c r="AQ276">
        <f>IF(ISNA(AR276),NA(),AQ194)</f>
        <v>0</v>
      </c>
      <c r="AR276">
        <f>IF(OR(AR194="",AND(AR194=AR193,AR194=AR195)),NA(), AR194)</f>
        <v>0</v>
      </c>
      <c r="AS276">
        <f>IF(ISNA(AT276),NA(),AS194)</f>
        <v>0</v>
      </c>
      <c r="AT276">
        <f>IF(OR(AT194="",AND(AT194=AT193,AT194=AT195)),NA(), AT194)</f>
        <v>0</v>
      </c>
      <c r="AU276">
        <f>IF(ISNA(AV276),NA(),AU194)</f>
        <v>0</v>
      </c>
      <c r="AV276">
        <f>IF(OR(AV194="",AND(AV194=AV193,AV194=AV195)),NA(), AV194)</f>
        <v>0</v>
      </c>
      <c r="AW276">
        <f>IF(ISNA(AX276),NA(),AW194)</f>
        <v>0</v>
      </c>
      <c r="AX276">
        <f>IF(OR(AX194="",AND(AX194=AX193,AX194=AX195)),NA(), AX194)</f>
        <v>0</v>
      </c>
      <c r="AY276">
        <f>IF(ISNA(AZ276),NA(),AY194)</f>
        <v>0</v>
      </c>
      <c r="AZ276">
        <f>IF(OR(AZ194="",AND(AZ194=AZ193,AZ194=AZ195)),NA(), AZ194)</f>
        <v>0</v>
      </c>
      <c r="BA276">
        <f>IF(ISNA(BB276),NA(),BA194)</f>
        <v>0</v>
      </c>
      <c r="BB276">
        <f>IF(OR(BB194="",AND(BB194=BB193,BB194=BB195)),NA(), BB194)</f>
        <v>0</v>
      </c>
      <c r="BC276">
        <f>IF(ISNA(BD276),NA(),BC194)</f>
        <v>0</v>
      </c>
      <c r="BD276">
        <f>IF(OR(BD194="",AND(BD194=BD193,BD194=BD195)),NA(), BD194)</f>
        <v>0</v>
      </c>
      <c r="BE276">
        <f>IF(ISNA(BF276),NA(),BE194)</f>
        <v>0</v>
      </c>
      <c r="BF276">
        <f>IF(OR(BF194="",AND(BF194=BF193,BF194=BF195)),NA(), BF194)</f>
        <v>0</v>
      </c>
      <c r="BG276">
        <f>IF(ISNA(BH276),NA(),BG194)</f>
        <v>0</v>
      </c>
      <c r="BH276">
        <f>IF(OR(BH194="",AND(BH194=BH193,BH194=BH195)),NA(), BH194)</f>
        <v>0</v>
      </c>
      <c r="BI276">
        <f>IF(ISNA(BJ276),NA(),BI194)</f>
        <v>0</v>
      </c>
      <c r="BJ276">
        <f>IF(OR(BJ194="",AND(BJ194=BJ193,BJ194=BJ195)),NA(), BJ194)</f>
        <v>0</v>
      </c>
      <c r="BK276">
        <f>IF(ISNA(BL276),NA(),BK194)</f>
        <v>0</v>
      </c>
      <c r="BL276">
        <f>IF(OR(BL194="",AND(BL194=BL193,BL194=BL195)),NA(), BL194)</f>
        <v>0</v>
      </c>
      <c r="BM276">
        <f>IF(ISNA(BN276),NA(),BM194)</f>
        <v>0</v>
      </c>
      <c r="BN276">
        <f>IF(OR(BN194="",AND(BN194=BN193,BN194=BN195)),NA(), BN194)</f>
        <v>0</v>
      </c>
      <c r="BO276">
        <f>IF(ISNA(BP276),NA(),BO194)</f>
        <v>0</v>
      </c>
      <c r="BP276">
        <f>IF(OR(BP194="",AND(BP194=BP193,BP194=BP195)),NA(), BP194)</f>
        <v>0</v>
      </c>
      <c r="BS276">
        <f>IF(ISNA(BT276),NA(),BS194)</f>
        <v>0</v>
      </c>
      <c r="BT276">
        <f>IF(OR(BT194="",AND(BT194=BT193,BT194=BT195)),NA(), BT194)</f>
        <v>0</v>
      </c>
      <c r="BU276">
        <f>IF(ISNA(BV276),NA(),BU194)</f>
        <v>0</v>
      </c>
      <c r="BV276">
        <f>IF(OR(BV194="",AND(BV194=BV193,BV194=BV195)),NA(), BV194)</f>
        <v>0</v>
      </c>
      <c r="BW276">
        <f>IF(ISNA(BX276),NA(),BW194)</f>
        <v>0</v>
      </c>
      <c r="BX276">
        <f>IF(OR(BX194="",AND(BX194=BX193,BX194=BX195)),NA(), BX194)</f>
        <v>0</v>
      </c>
      <c r="BY276">
        <f>IF(ISNA(BZ276),NA(),BY194)</f>
        <v>0</v>
      </c>
      <c r="BZ276">
        <f>IF(OR(BZ194="",AND(BZ194=BZ193,BZ194=BZ195)),NA(), BZ194)</f>
        <v>0</v>
      </c>
      <c r="CA276">
        <f>IF(ISNA(CB276),NA(),CA194)</f>
        <v>0</v>
      </c>
      <c r="CB276">
        <f>IF(OR(CB194="",AND(CB194=CB193,CB194=CB195)),NA(), CB194)</f>
        <v>0</v>
      </c>
      <c r="CC276">
        <f>IF(ISNA(CD276),NA(),CC194)</f>
        <v>0</v>
      </c>
      <c r="CD276">
        <f>IF(OR(CD194="",AND(CD194=CD193,CD194=CD195)),NA(), CD194)</f>
        <v>0</v>
      </c>
      <c r="CE276">
        <f>IF(ISNA(CF276),NA(),CE194)</f>
        <v>0</v>
      </c>
      <c r="CF276">
        <f>IF(OR(CF194="",AND(CF194=CF193,CF194=CF195)),NA(), CF194)</f>
        <v>0</v>
      </c>
      <c r="CG276">
        <f>IF(ISNA(CH276),NA(),CG194)</f>
        <v>0</v>
      </c>
      <c r="CH276">
        <f>IF(OR(CH194="",AND(CH194=CH193,CH194=CH195)),NA(), CH194)</f>
        <v>0</v>
      </c>
      <c r="CI276">
        <f>IF(ISNA(CJ276),NA(),CI194)</f>
        <v>0</v>
      </c>
      <c r="CJ276">
        <f>IF(OR(CJ194="",AND(CJ194=CJ193,CJ194=CJ195)),NA(), CJ194)</f>
        <v>0</v>
      </c>
      <c r="CK276">
        <f>IF(ISNA(CL276),NA(),CK194)</f>
        <v>0</v>
      </c>
      <c r="CL276">
        <f>IF(OR(CL194="",AND(CL194=CL193,CL194=CL195)),NA(), CL194)</f>
        <v>0</v>
      </c>
      <c r="CM276">
        <f>IF(ISNA(CN276),NA(),CM194)</f>
        <v>0</v>
      </c>
      <c r="CN276">
        <f>IF(OR(CN194="",AND(CN194=CN193,CN194=CN195)),NA(), CN194)</f>
        <v>0</v>
      </c>
      <c r="CO276">
        <f>IF(ISNA(CP276),NA(),CO194)</f>
        <v>0</v>
      </c>
      <c r="CP276">
        <f>IF(OR(CP194="",AND(CP194=CP193,CP194=CP195)),NA(), CP194)</f>
        <v>0</v>
      </c>
      <c r="CQ276">
        <f>IF(ISNA(CR276),NA(),CQ194)</f>
        <v>0</v>
      </c>
      <c r="CR276">
        <f>IF(OR(CR194="",AND(CR194=CR193,CR194=CR195)),NA(), CR194)</f>
        <v>0</v>
      </c>
      <c r="CS276">
        <f>IF(ISNA(CT276),NA(),CS194)</f>
        <v>0</v>
      </c>
      <c r="CT276">
        <f>IF(OR(CT194="",AND(CT194=CT193,CT194=CT195)),NA(), CT194)</f>
        <v>0</v>
      </c>
      <c r="CU276">
        <f>IF(ISNA(CV276),NA(),CU194)</f>
        <v>0</v>
      </c>
      <c r="CV276">
        <f>IF(OR(CV194="",AND(CV194=CV193,CV194=CV195)),NA(), CV194)</f>
        <v>0</v>
      </c>
      <c r="CW276">
        <f>IF(ISNA(CX276),NA(),CW194)</f>
        <v>0</v>
      </c>
      <c r="CX276">
        <f>IF(OR(CX194="",AND(CX194=CX193,CX194=CX195)),NA(), CX194)</f>
        <v>0</v>
      </c>
      <c r="CY276">
        <f>IF(ISNA(CZ276),NA(),CY194)</f>
        <v>0</v>
      </c>
      <c r="CZ276">
        <f>IF(OR(CZ194="",AND(CZ194=CZ193,CZ194=CZ195)),NA(), CZ194)</f>
        <v>0</v>
      </c>
      <c r="DA276">
        <f>IF(ISNA(DB276),NA(),DA194)</f>
        <v>0</v>
      </c>
      <c r="DB276">
        <f>IF(OR(DB194="",AND(DB194=DB193,DB194=DB195)),NA(), DB194)</f>
        <v>0</v>
      </c>
      <c r="DC276">
        <f>IF(ISNA(DD276),NA(),DC194)</f>
        <v>0</v>
      </c>
      <c r="DD276">
        <f>IF(OR(DD194="",AND(DD194=DD193,DD194=DD195)),NA(), DD194)</f>
        <v>0</v>
      </c>
      <c r="DE276">
        <f>IF(ISNA(DF276),NA(),DE194)</f>
        <v>0</v>
      </c>
      <c r="DF276">
        <f>IF(OR(DF194="",AND(DF194=DF193,DF194=DF195)),NA(), DF194)</f>
        <v>0</v>
      </c>
      <c r="DG276">
        <f>IF(ISNA(DH276),NA(),DG194)</f>
        <v>0</v>
      </c>
      <c r="DH276">
        <f>IF(OR(DH194="",AND(DH194=DH193,DH194=DH195)),NA(), DH194)</f>
        <v>0</v>
      </c>
      <c r="DI276">
        <f>IF(ISNA(DJ276),NA(),DI194)</f>
        <v>0</v>
      </c>
      <c r="DJ276">
        <f>IF(OR(DJ194="",AND(DJ194=DJ193,DJ194=DJ195)),NA(), DJ194)</f>
        <v>0</v>
      </c>
      <c r="DK276">
        <f>IF(ISNA(DL276),NA(),DK194)</f>
        <v>0</v>
      </c>
      <c r="DL276">
        <f>IF(OR(DL194="",AND(DL194=DL193,DL194=DL195)),NA(), DL194)</f>
        <v>0</v>
      </c>
      <c r="DM276">
        <f>IF(ISNA(DN276),NA(),DM194)</f>
        <v>0</v>
      </c>
      <c r="DN276">
        <f>IF(OR(DN194="",AND(DN194=DN193,DN194=DN195)),NA(), DN194)</f>
        <v>0</v>
      </c>
      <c r="DO276">
        <f>IF(ISNA(DP276),NA(),DO194)</f>
        <v>0</v>
      </c>
      <c r="DP276">
        <f>IF(OR(DP194="",AND(DP194=DP193,DP194=DP195)),NA(), DP194)</f>
        <v>0</v>
      </c>
      <c r="DQ276">
        <f>IF(ISNA(DR276),NA(),DQ194)</f>
        <v>0</v>
      </c>
      <c r="DR276">
        <f>IF(OR(DR194="",AND(DR194=DR193,DR194=DR195)),NA(), DR194)</f>
        <v>0</v>
      </c>
      <c r="DS276">
        <f>IF(ISNA(DT276),NA(),DS194)</f>
        <v>0</v>
      </c>
      <c r="DT276">
        <f>IF(OR(DT194="",AND(DT194=DT193,DT194=DT195)),NA(), DT194)</f>
        <v>0</v>
      </c>
      <c r="DU276">
        <f>IF(ISNA(DV276),NA(),DU194)</f>
        <v>0</v>
      </c>
      <c r="DV276">
        <f>IF(OR(DV194="",AND(DV194=DV193,DV194=DV195)),NA(), DV194)</f>
        <v>0</v>
      </c>
      <c r="DW276">
        <f>IF(ISNA(DX276),NA(),DW194)</f>
        <v>0</v>
      </c>
      <c r="DX276">
        <f>IF(OR(DX194="",AND(DX194=DX193,DX194=DX195)),NA(), DX194)</f>
        <v>0</v>
      </c>
      <c r="DY276">
        <f>IF(ISNA(DZ276),NA(),DY194)</f>
        <v>0</v>
      </c>
      <c r="DZ276">
        <f>IF(OR(DZ194="",AND(DZ194=DZ193,DZ194=DZ195)),NA(), DZ194)</f>
        <v>0</v>
      </c>
      <c r="EA276">
        <f>IF(ISNA(EB276),NA(),EA194)</f>
        <v>0</v>
      </c>
      <c r="EB276">
        <f>IF(OR(EB194="",AND(EB194=EB193,EB194=EB195)),NA(), EB194)</f>
        <v>0</v>
      </c>
      <c r="EC276">
        <f>IF(ISNA(ED276),NA(),EC194)</f>
        <v>0</v>
      </c>
      <c r="ED276">
        <f>IF(OR(ED194="",AND(ED194=ED193,ED194=ED195)),NA(), ED194)</f>
        <v>0</v>
      </c>
    </row>
    <row r="277" spans="5:134">
      <c r="E277">
        <f>IF(ISNA(F277),NA(),E195)</f>
        <v>0</v>
      </c>
      <c r="F277">
        <f>IF(OR(F195="",AND(F195=F194,F195=F196)),NA(), F195)</f>
        <v>0</v>
      </c>
      <c r="G277">
        <f>IF(ISNA(H277),NA(),G195)</f>
        <v>0</v>
      </c>
      <c r="H277">
        <f>IF(OR(H195="",AND(H195=H194,H195=H196)),NA(), H195)</f>
        <v>0</v>
      </c>
      <c r="I277">
        <f>IF(ISNA(J277),NA(),I195)</f>
        <v>0</v>
      </c>
      <c r="J277">
        <f>IF(OR(J195="",AND(J195=J194,J195=J196)),NA(), J195)</f>
        <v>0</v>
      </c>
      <c r="K277">
        <f>IF(ISNA(L277),NA(),K195)</f>
        <v>0</v>
      </c>
      <c r="L277">
        <f>IF(OR(L195="",AND(L195=L194,L195=L196)),NA(), L195)</f>
        <v>0</v>
      </c>
      <c r="M277">
        <f>IF(ISNA(N277),NA(),M195)</f>
        <v>0</v>
      </c>
      <c r="N277">
        <f>IF(OR(N195="",AND(N195=N194,N195=N196)),NA(), N195)</f>
        <v>0</v>
      </c>
      <c r="O277">
        <f>IF(ISNA(P277),NA(),O195)</f>
        <v>0</v>
      </c>
      <c r="P277">
        <f>IF(OR(P195="",AND(P195=P194,P195=P196)),NA(), P195)</f>
        <v>0</v>
      </c>
      <c r="Q277">
        <f>IF(ISNA(R277),NA(),Q195)</f>
        <v>0</v>
      </c>
      <c r="R277">
        <f>IF(OR(R195="",AND(R195=R194,R195=R196)),NA(), R195)</f>
        <v>0</v>
      </c>
      <c r="S277">
        <f>IF(ISNA(T277),NA(),S195)</f>
        <v>0</v>
      </c>
      <c r="T277">
        <f>IF(OR(T195="",AND(T195=T194,T195=T196)),NA(), T195)</f>
        <v>0</v>
      </c>
      <c r="U277">
        <f>IF(ISNA(V277),NA(),U195)</f>
        <v>0</v>
      </c>
      <c r="V277">
        <f>IF(OR(V195="",AND(V195=V194,V195=V196)),NA(), V195)</f>
        <v>0</v>
      </c>
      <c r="W277">
        <f>IF(ISNA(X277),NA(),W195)</f>
        <v>0</v>
      </c>
      <c r="X277">
        <f>IF(OR(X195="",AND(X195=X194,X195=X196)),NA(), X195)</f>
        <v>0</v>
      </c>
      <c r="Y277">
        <f>IF(ISNA(Z277),NA(),Y195)</f>
        <v>0</v>
      </c>
      <c r="Z277">
        <f>IF(OR(Z195="",AND(Z195=Z194,Z195=Z196)),NA(), Z195)</f>
        <v>0</v>
      </c>
      <c r="AA277">
        <f>IF(ISNA(AB277),NA(),AA195)</f>
        <v>0</v>
      </c>
      <c r="AB277">
        <f>IF(OR(AB195="",AND(AB195=AB194,AB195=AB196)),NA(), AB195)</f>
        <v>0</v>
      </c>
      <c r="AC277">
        <f>IF(ISNA(AD277),NA(),AC195)</f>
        <v>0</v>
      </c>
      <c r="AD277">
        <f>IF(OR(AD195="",AND(AD195=AD194,AD195=AD196)),NA(), AD195)</f>
        <v>0</v>
      </c>
      <c r="AE277">
        <f>IF(ISNA(AF277),NA(),AE195)</f>
        <v>0</v>
      </c>
      <c r="AF277">
        <f>IF(OR(AF195="",AND(AF195=AF194,AF195=AF196)),NA(), AF195)</f>
        <v>0</v>
      </c>
      <c r="AG277">
        <f>IF(ISNA(AH277),NA(),AG195)</f>
        <v>0</v>
      </c>
      <c r="AH277">
        <f>IF(OR(AH195="",AND(AH195=AH194,AH195=AH196)),NA(), AH195)</f>
        <v>0</v>
      </c>
      <c r="AI277">
        <f>IF(ISNA(AJ277),NA(),AI195)</f>
        <v>0</v>
      </c>
      <c r="AJ277">
        <f>IF(OR(AJ195="",AND(AJ195=AJ194,AJ195=AJ196)),NA(), AJ195)</f>
        <v>0</v>
      </c>
      <c r="AK277">
        <f>IF(ISNA(AL277),NA(),AK195)</f>
        <v>0</v>
      </c>
      <c r="AL277">
        <f>IF(OR(AL195="",AND(AL195=AL194,AL195=AL196)),NA(), AL195)</f>
        <v>0</v>
      </c>
      <c r="AM277">
        <f>IF(ISNA(AN277),NA(),AM195)</f>
        <v>0</v>
      </c>
      <c r="AN277">
        <f>IF(OR(AN195="",AND(AN195=AN194,AN195=AN196)),NA(), AN195)</f>
        <v>0</v>
      </c>
      <c r="AO277">
        <f>IF(ISNA(AP277),NA(),AO195)</f>
        <v>0</v>
      </c>
      <c r="AP277">
        <f>IF(OR(AP195="",AND(AP195=AP194,AP195=AP196)),NA(), AP195)</f>
        <v>0</v>
      </c>
      <c r="AQ277">
        <f>IF(ISNA(AR277),NA(),AQ195)</f>
        <v>0</v>
      </c>
      <c r="AR277">
        <f>IF(OR(AR195="",AND(AR195=AR194,AR195=AR196)),NA(), AR195)</f>
        <v>0</v>
      </c>
      <c r="AS277">
        <f>IF(ISNA(AT277),NA(),AS195)</f>
        <v>0</v>
      </c>
      <c r="AT277">
        <f>IF(OR(AT195="",AND(AT195=AT194,AT195=AT196)),NA(), AT195)</f>
        <v>0</v>
      </c>
      <c r="AU277">
        <f>IF(ISNA(AV277),NA(),AU195)</f>
        <v>0</v>
      </c>
      <c r="AV277">
        <f>IF(OR(AV195="",AND(AV195=AV194,AV195=AV196)),NA(), AV195)</f>
        <v>0</v>
      </c>
      <c r="AW277">
        <f>IF(ISNA(AX277),NA(),AW195)</f>
        <v>0</v>
      </c>
      <c r="AX277">
        <f>IF(OR(AX195="",AND(AX195=AX194,AX195=AX196)),NA(), AX195)</f>
        <v>0</v>
      </c>
      <c r="AY277">
        <f>IF(ISNA(AZ277),NA(),AY195)</f>
        <v>0</v>
      </c>
      <c r="AZ277">
        <f>IF(OR(AZ195="",AND(AZ195=AZ194,AZ195=AZ196)),NA(), AZ195)</f>
        <v>0</v>
      </c>
      <c r="BA277">
        <f>IF(ISNA(BB277),NA(),BA195)</f>
        <v>0</v>
      </c>
      <c r="BB277">
        <f>IF(OR(BB195="",AND(BB195=BB194,BB195=BB196)),NA(), BB195)</f>
        <v>0</v>
      </c>
      <c r="BC277">
        <f>IF(ISNA(BD277),NA(),BC195)</f>
        <v>0</v>
      </c>
      <c r="BD277">
        <f>IF(OR(BD195="",AND(BD195=BD194,BD195=BD196)),NA(), BD195)</f>
        <v>0</v>
      </c>
      <c r="BE277">
        <f>IF(ISNA(BF277),NA(),BE195)</f>
        <v>0</v>
      </c>
      <c r="BF277">
        <f>IF(OR(BF195="",AND(BF195=BF194,BF195=BF196)),NA(), BF195)</f>
        <v>0</v>
      </c>
      <c r="BG277">
        <f>IF(ISNA(BH277),NA(),BG195)</f>
        <v>0</v>
      </c>
      <c r="BH277">
        <f>IF(OR(BH195="",AND(BH195=BH194,BH195=BH196)),NA(), BH195)</f>
        <v>0</v>
      </c>
      <c r="BI277">
        <f>IF(ISNA(BJ277),NA(),BI195)</f>
        <v>0</v>
      </c>
      <c r="BJ277">
        <f>IF(OR(BJ195="",AND(BJ195=BJ194,BJ195=BJ196)),NA(), BJ195)</f>
        <v>0</v>
      </c>
      <c r="BK277">
        <f>IF(ISNA(BL277),NA(),BK195)</f>
        <v>0</v>
      </c>
      <c r="BL277">
        <f>IF(OR(BL195="",AND(BL195=BL194,BL195=BL196)),NA(), BL195)</f>
        <v>0</v>
      </c>
      <c r="BM277">
        <f>IF(ISNA(BN277),NA(),BM195)</f>
        <v>0</v>
      </c>
      <c r="BN277">
        <f>IF(OR(BN195="",AND(BN195=BN194,BN195=BN196)),NA(), BN195)</f>
        <v>0</v>
      </c>
      <c r="BO277">
        <f>IF(ISNA(BP277),NA(),BO195)</f>
        <v>0</v>
      </c>
      <c r="BP277">
        <f>IF(OR(BP195="",AND(BP195=BP194,BP195=BP196)),NA(), BP195)</f>
        <v>0</v>
      </c>
      <c r="BS277">
        <f>IF(ISNA(BT277),NA(),BS195)</f>
        <v>0</v>
      </c>
      <c r="BT277">
        <f>IF(OR(BT195="",AND(BT195=BT194,BT195=BT196)),NA(), BT195)</f>
        <v>0</v>
      </c>
      <c r="BU277">
        <f>IF(ISNA(BV277),NA(),BU195)</f>
        <v>0</v>
      </c>
      <c r="BV277">
        <f>IF(OR(BV195="",AND(BV195=BV194,BV195=BV196)),NA(), BV195)</f>
        <v>0</v>
      </c>
      <c r="BW277">
        <f>IF(ISNA(BX277),NA(),BW195)</f>
        <v>0</v>
      </c>
      <c r="BX277">
        <f>IF(OR(BX195="",AND(BX195=BX194,BX195=BX196)),NA(), BX195)</f>
        <v>0</v>
      </c>
      <c r="BY277">
        <f>IF(ISNA(BZ277),NA(),BY195)</f>
        <v>0</v>
      </c>
      <c r="BZ277">
        <f>IF(OR(BZ195="",AND(BZ195=BZ194,BZ195=BZ196)),NA(), BZ195)</f>
        <v>0</v>
      </c>
      <c r="CA277">
        <f>IF(ISNA(CB277),NA(),CA195)</f>
        <v>0</v>
      </c>
      <c r="CB277">
        <f>IF(OR(CB195="",AND(CB195=CB194,CB195=CB196)),NA(), CB195)</f>
        <v>0</v>
      </c>
      <c r="CC277">
        <f>IF(ISNA(CD277),NA(),CC195)</f>
        <v>0</v>
      </c>
      <c r="CD277">
        <f>IF(OR(CD195="",AND(CD195=CD194,CD195=CD196)),NA(), CD195)</f>
        <v>0</v>
      </c>
      <c r="CE277">
        <f>IF(ISNA(CF277),NA(),CE195)</f>
        <v>0</v>
      </c>
      <c r="CF277">
        <f>IF(OR(CF195="",AND(CF195=CF194,CF195=CF196)),NA(), CF195)</f>
        <v>0</v>
      </c>
      <c r="CG277">
        <f>IF(ISNA(CH277),NA(),CG195)</f>
        <v>0</v>
      </c>
      <c r="CH277">
        <f>IF(OR(CH195="",AND(CH195=CH194,CH195=CH196)),NA(), CH195)</f>
        <v>0</v>
      </c>
      <c r="CI277">
        <f>IF(ISNA(CJ277),NA(),CI195)</f>
        <v>0</v>
      </c>
      <c r="CJ277">
        <f>IF(OR(CJ195="",AND(CJ195=CJ194,CJ195=CJ196)),NA(), CJ195)</f>
        <v>0</v>
      </c>
      <c r="CK277">
        <f>IF(ISNA(CL277),NA(),CK195)</f>
        <v>0</v>
      </c>
      <c r="CL277">
        <f>IF(OR(CL195="",AND(CL195=CL194,CL195=CL196)),NA(), CL195)</f>
        <v>0</v>
      </c>
      <c r="CM277">
        <f>IF(ISNA(CN277),NA(),CM195)</f>
        <v>0</v>
      </c>
      <c r="CN277">
        <f>IF(OR(CN195="",AND(CN195=CN194,CN195=CN196)),NA(), CN195)</f>
        <v>0</v>
      </c>
      <c r="CO277">
        <f>IF(ISNA(CP277),NA(),CO195)</f>
        <v>0</v>
      </c>
      <c r="CP277">
        <f>IF(OR(CP195="",AND(CP195=CP194,CP195=CP196)),NA(), CP195)</f>
        <v>0</v>
      </c>
      <c r="CQ277">
        <f>IF(ISNA(CR277),NA(),CQ195)</f>
        <v>0</v>
      </c>
      <c r="CR277">
        <f>IF(OR(CR195="",AND(CR195=CR194,CR195=CR196)),NA(), CR195)</f>
        <v>0</v>
      </c>
      <c r="CS277">
        <f>IF(ISNA(CT277),NA(),CS195)</f>
        <v>0</v>
      </c>
      <c r="CT277">
        <f>IF(OR(CT195="",AND(CT195=CT194,CT195=CT196)),NA(), CT195)</f>
        <v>0</v>
      </c>
      <c r="CU277">
        <f>IF(ISNA(CV277),NA(),CU195)</f>
        <v>0</v>
      </c>
      <c r="CV277">
        <f>IF(OR(CV195="",AND(CV195=CV194,CV195=CV196)),NA(), CV195)</f>
        <v>0</v>
      </c>
      <c r="CW277">
        <f>IF(ISNA(CX277),NA(),CW195)</f>
        <v>0</v>
      </c>
      <c r="CX277">
        <f>IF(OR(CX195="",AND(CX195=CX194,CX195=CX196)),NA(), CX195)</f>
        <v>0</v>
      </c>
      <c r="CY277">
        <f>IF(ISNA(CZ277),NA(),CY195)</f>
        <v>0</v>
      </c>
      <c r="CZ277">
        <f>IF(OR(CZ195="",AND(CZ195=CZ194,CZ195=CZ196)),NA(), CZ195)</f>
        <v>0</v>
      </c>
      <c r="DA277">
        <f>IF(ISNA(DB277),NA(),DA195)</f>
        <v>0</v>
      </c>
      <c r="DB277">
        <f>IF(OR(DB195="",AND(DB195=DB194,DB195=DB196)),NA(), DB195)</f>
        <v>0</v>
      </c>
      <c r="DC277">
        <f>IF(ISNA(DD277),NA(),DC195)</f>
        <v>0</v>
      </c>
      <c r="DD277">
        <f>IF(OR(DD195="",AND(DD195=DD194,DD195=DD196)),NA(), DD195)</f>
        <v>0</v>
      </c>
      <c r="DE277">
        <f>IF(ISNA(DF277),NA(),DE195)</f>
        <v>0</v>
      </c>
      <c r="DF277">
        <f>IF(OR(DF195="",AND(DF195=DF194,DF195=DF196)),NA(), DF195)</f>
        <v>0</v>
      </c>
      <c r="DG277">
        <f>IF(ISNA(DH277),NA(),DG195)</f>
        <v>0</v>
      </c>
      <c r="DH277">
        <f>IF(OR(DH195="",AND(DH195=DH194,DH195=DH196)),NA(), DH195)</f>
        <v>0</v>
      </c>
      <c r="DI277">
        <f>IF(ISNA(DJ277),NA(),DI195)</f>
        <v>0</v>
      </c>
      <c r="DJ277">
        <f>IF(OR(DJ195="",AND(DJ195=DJ194,DJ195=DJ196)),NA(), DJ195)</f>
        <v>0</v>
      </c>
      <c r="DK277">
        <f>IF(ISNA(DL277),NA(),DK195)</f>
        <v>0</v>
      </c>
      <c r="DL277">
        <f>IF(OR(DL195="",AND(DL195=DL194,DL195=DL196)),NA(), DL195)</f>
        <v>0</v>
      </c>
      <c r="DM277">
        <f>IF(ISNA(DN277),NA(),DM195)</f>
        <v>0</v>
      </c>
      <c r="DN277">
        <f>IF(OR(DN195="",AND(DN195=DN194,DN195=DN196)),NA(), DN195)</f>
        <v>0</v>
      </c>
      <c r="DO277">
        <f>IF(ISNA(DP277),NA(),DO195)</f>
        <v>0</v>
      </c>
      <c r="DP277">
        <f>IF(OR(DP195="",AND(DP195=DP194,DP195=DP196)),NA(), DP195)</f>
        <v>0</v>
      </c>
      <c r="DQ277">
        <f>IF(ISNA(DR277),NA(),DQ195)</f>
        <v>0</v>
      </c>
      <c r="DR277">
        <f>IF(OR(DR195="",AND(DR195=DR194,DR195=DR196)),NA(), DR195)</f>
        <v>0</v>
      </c>
      <c r="DS277">
        <f>IF(ISNA(DT277),NA(),DS195)</f>
        <v>0</v>
      </c>
      <c r="DT277">
        <f>IF(OR(DT195="",AND(DT195=DT194,DT195=DT196)),NA(), DT195)</f>
        <v>0</v>
      </c>
      <c r="DU277">
        <f>IF(ISNA(DV277),NA(),DU195)</f>
        <v>0</v>
      </c>
      <c r="DV277">
        <f>IF(OR(DV195="",AND(DV195=DV194,DV195=DV196)),NA(), DV195)</f>
        <v>0</v>
      </c>
      <c r="DW277">
        <f>IF(ISNA(DX277),NA(),DW195)</f>
        <v>0</v>
      </c>
      <c r="DX277">
        <f>IF(OR(DX195="",AND(DX195=DX194,DX195=DX196)),NA(), DX195)</f>
        <v>0</v>
      </c>
      <c r="DY277">
        <f>IF(ISNA(DZ277),NA(),DY195)</f>
        <v>0</v>
      </c>
      <c r="DZ277">
        <f>IF(OR(DZ195="",AND(DZ195=DZ194,DZ195=DZ196)),NA(), DZ195)</f>
        <v>0</v>
      </c>
      <c r="EA277">
        <f>IF(ISNA(EB277),NA(),EA195)</f>
        <v>0</v>
      </c>
      <c r="EB277">
        <f>IF(OR(EB195="",AND(EB195=EB194,EB195=EB196)),NA(), EB195)</f>
        <v>0</v>
      </c>
      <c r="EC277">
        <f>IF(ISNA(ED277),NA(),EC195)</f>
        <v>0</v>
      </c>
      <c r="ED277">
        <f>IF(OR(ED195="",AND(ED195=ED194,ED195=ED196)),NA(), ED195)</f>
        <v>0</v>
      </c>
    </row>
    <row r="278" spans="5:134">
      <c r="E278">
        <f>IF(ISNA(F278),NA(),E196)</f>
        <v>0</v>
      </c>
      <c r="F278">
        <f>IF(OR(F196="",AND(F196=F195,F196=F197)),NA(), F196)</f>
        <v>0</v>
      </c>
      <c r="G278">
        <f>IF(ISNA(H278),NA(),G196)</f>
        <v>0</v>
      </c>
      <c r="H278">
        <f>IF(OR(H196="",AND(H196=H195,H196=H197)),NA(), H196)</f>
        <v>0</v>
      </c>
      <c r="I278">
        <f>IF(ISNA(J278),NA(),I196)</f>
        <v>0</v>
      </c>
      <c r="J278">
        <f>IF(OR(J196="",AND(J196=J195,J196=J197)),NA(), J196)</f>
        <v>0</v>
      </c>
      <c r="K278">
        <f>IF(ISNA(L278),NA(),K196)</f>
        <v>0</v>
      </c>
      <c r="L278">
        <f>IF(OR(L196="",AND(L196=L195,L196=L197)),NA(), L196)</f>
        <v>0</v>
      </c>
      <c r="M278">
        <f>IF(ISNA(N278),NA(),M196)</f>
        <v>0</v>
      </c>
      <c r="N278">
        <f>IF(OR(N196="",AND(N196=N195,N196=N197)),NA(), N196)</f>
        <v>0</v>
      </c>
      <c r="O278">
        <f>IF(ISNA(P278),NA(),O196)</f>
        <v>0</v>
      </c>
      <c r="P278">
        <f>IF(OR(P196="",AND(P196=P195,P196=P197)),NA(), P196)</f>
        <v>0</v>
      </c>
      <c r="Q278">
        <f>IF(ISNA(R278),NA(),Q196)</f>
        <v>0</v>
      </c>
      <c r="R278">
        <f>IF(OR(R196="",AND(R196=R195,R196=R197)),NA(), R196)</f>
        <v>0</v>
      </c>
      <c r="S278">
        <f>IF(ISNA(T278),NA(),S196)</f>
        <v>0</v>
      </c>
      <c r="T278">
        <f>IF(OR(T196="",AND(T196=T195,T196=T197)),NA(), T196)</f>
        <v>0</v>
      </c>
      <c r="U278">
        <f>IF(ISNA(V278),NA(),U196)</f>
        <v>0</v>
      </c>
      <c r="V278">
        <f>IF(OR(V196="",AND(V196=V195,V196=V197)),NA(), V196)</f>
        <v>0</v>
      </c>
      <c r="W278">
        <f>IF(ISNA(X278),NA(),W196)</f>
        <v>0</v>
      </c>
      <c r="X278">
        <f>IF(OR(X196="",AND(X196=X195,X196=X197)),NA(), X196)</f>
        <v>0</v>
      </c>
      <c r="Y278">
        <f>IF(ISNA(Z278),NA(),Y196)</f>
        <v>0</v>
      </c>
      <c r="Z278">
        <f>IF(OR(Z196="",AND(Z196=Z195,Z196=Z197)),NA(), Z196)</f>
        <v>0</v>
      </c>
      <c r="AA278">
        <f>IF(ISNA(AB278),NA(),AA196)</f>
        <v>0</v>
      </c>
      <c r="AB278">
        <f>IF(OR(AB196="",AND(AB196=AB195,AB196=AB197)),NA(), AB196)</f>
        <v>0</v>
      </c>
      <c r="AC278">
        <f>IF(ISNA(AD278),NA(),AC196)</f>
        <v>0</v>
      </c>
      <c r="AD278">
        <f>IF(OR(AD196="",AND(AD196=AD195,AD196=AD197)),NA(), AD196)</f>
        <v>0</v>
      </c>
      <c r="AE278">
        <f>IF(ISNA(AF278),NA(),AE196)</f>
        <v>0</v>
      </c>
      <c r="AF278">
        <f>IF(OR(AF196="",AND(AF196=AF195,AF196=AF197)),NA(), AF196)</f>
        <v>0</v>
      </c>
      <c r="AG278">
        <f>IF(ISNA(AH278),NA(),AG196)</f>
        <v>0</v>
      </c>
      <c r="AH278">
        <f>IF(OR(AH196="",AND(AH196=AH195,AH196=AH197)),NA(), AH196)</f>
        <v>0</v>
      </c>
      <c r="AI278">
        <f>IF(ISNA(AJ278),NA(),AI196)</f>
        <v>0</v>
      </c>
      <c r="AJ278">
        <f>IF(OR(AJ196="",AND(AJ196=AJ195,AJ196=AJ197)),NA(), AJ196)</f>
        <v>0</v>
      </c>
      <c r="AK278">
        <f>IF(ISNA(AL278),NA(),AK196)</f>
        <v>0</v>
      </c>
      <c r="AL278">
        <f>IF(OR(AL196="",AND(AL196=AL195,AL196=AL197)),NA(), AL196)</f>
        <v>0</v>
      </c>
      <c r="AM278">
        <f>IF(ISNA(AN278),NA(),AM196)</f>
        <v>0</v>
      </c>
      <c r="AN278">
        <f>IF(OR(AN196="",AND(AN196=AN195,AN196=AN197)),NA(), AN196)</f>
        <v>0</v>
      </c>
      <c r="AO278">
        <f>IF(ISNA(AP278),NA(),AO196)</f>
        <v>0</v>
      </c>
      <c r="AP278">
        <f>IF(OR(AP196="",AND(AP196=AP195,AP196=AP197)),NA(), AP196)</f>
        <v>0</v>
      </c>
      <c r="AQ278">
        <f>IF(ISNA(AR278),NA(),AQ196)</f>
        <v>0</v>
      </c>
      <c r="AR278">
        <f>IF(OR(AR196="",AND(AR196=AR195,AR196=AR197)),NA(), AR196)</f>
        <v>0</v>
      </c>
      <c r="AS278">
        <f>IF(ISNA(AT278),NA(),AS196)</f>
        <v>0</v>
      </c>
      <c r="AT278">
        <f>IF(OR(AT196="",AND(AT196=AT195,AT196=AT197)),NA(), AT196)</f>
        <v>0</v>
      </c>
      <c r="AU278">
        <f>IF(ISNA(AV278),NA(),AU196)</f>
        <v>0</v>
      </c>
      <c r="AV278">
        <f>IF(OR(AV196="",AND(AV196=AV195,AV196=AV197)),NA(), AV196)</f>
        <v>0</v>
      </c>
      <c r="AW278">
        <f>IF(ISNA(AX278),NA(),AW196)</f>
        <v>0</v>
      </c>
      <c r="AX278">
        <f>IF(OR(AX196="",AND(AX196=AX195,AX196=AX197)),NA(), AX196)</f>
        <v>0</v>
      </c>
      <c r="AY278">
        <f>IF(ISNA(AZ278),NA(),AY196)</f>
        <v>0</v>
      </c>
      <c r="AZ278">
        <f>IF(OR(AZ196="",AND(AZ196=AZ195,AZ196=AZ197)),NA(), AZ196)</f>
        <v>0</v>
      </c>
      <c r="BA278">
        <f>IF(ISNA(BB278),NA(),BA196)</f>
        <v>0</v>
      </c>
      <c r="BB278">
        <f>IF(OR(BB196="",AND(BB196=BB195,BB196=BB197)),NA(), BB196)</f>
        <v>0</v>
      </c>
      <c r="BC278">
        <f>IF(ISNA(BD278),NA(),BC196)</f>
        <v>0</v>
      </c>
      <c r="BD278">
        <f>IF(OR(BD196="",AND(BD196=BD195,BD196=BD197)),NA(), BD196)</f>
        <v>0</v>
      </c>
      <c r="BE278">
        <f>IF(ISNA(BF278),NA(),BE196)</f>
        <v>0</v>
      </c>
      <c r="BF278">
        <f>IF(OR(BF196="",AND(BF196=BF195,BF196=BF197)),NA(), BF196)</f>
        <v>0</v>
      </c>
      <c r="BG278">
        <f>IF(ISNA(BH278),NA(),BG196)</f>
        <v>0</v>
      </c>
      <c r="BH278">
        <f>IF(OR(BH196="",AND(BH196=BH195,BH196=BH197)),NA(), BH196)</f>
        <v>0</v>
      </c>
      <c r="BI278">
        <f>IF(ISNA(BJ278),NA(),BI196)</f>
        <v>0</v>
      </c>
      <c r="BJ278">
        <f>IF(OR(BJ196="",AND(BJ196=BJ195,BJ196=BJ197)),NA(), BJ196)</f>
        <v>0</v>
      </c>
      <c r="BK278">
        <f>IF(ISNA(BL278),NA(),BK196)</f>
        <v>0</v>
      </c>
      <c r="BL278">
        <f>IF(OR(BL196="",AND(BL196=BL195,BL196=BL197)),NA(), BL196)</f>
        <v>0</v>
      </c>
      <c r="BM278">
        <f>IF(ISNA(BN278),NA(),BM196)</f>
        <v>0</v>
      </c>
      <c r="BN278">
        <f>IF(OR(BN196="",AND(BN196=BN195,BN196=BN197)),NA(), BN196)</f>
        <v>0</v>
      </c>
      <c r="BO278">
        <f>IF(ISNA(BP278),NA(),BO196)</f>
        <v>0</v>
      </c>
      <c r="BP278">
        <f>IF(OR(BP196="",AND(BP196=BP195,BP196=BP197)),NA(), BP196)</f>
        <v>0</v>
      </c>
      <c r="BS278">
        <f>IF(ISNA(BT278),NA(),BS196)</f>
        <v>0</v>
      </c>
      <c r="BT278">
        <f>IF(OR(BT196="",AND(BT196=BT195,BT196=BT197)),NA(), BT196)</f>
        <v>0</v>
      </c>
      <c r="BU278">
        <f>IF(ISNA(BV278),NA(),BU196)</f>
        <v>0</v>
      </c>
      <c r="BV278">
        <f>IF(OR(BV196="",AND(BV196=BV195,BV196=BV197)),NA(), BV196)</f>
        <v>0</v>
      </c>
      <c r="BW278">
        <f>IF(ISNA(BX278),NA(),BW196)</f>
        <v>0</v>
      </c>
      <c r="BX278">
        <f>IF(OR(BX196="",AND(BX196=BX195,BX196=BX197)),NA(), BX196)</f>
        <v>0</v>
      </c>
      <c r="BY278">
        <f>IF(ISNA(BZ278),NA(),BY196)</f>
        <v>0</v>
      </c>
      <c r="BZ278">
        <f>IF(OR(BZ196="",AND(BZ196=BZ195,BZ196=BZ197)),NA(), BZ196)</f>
        <v>0</v>
      </c>
      <c r="CA278">
        <f>IF(ISNA(CB278),NA(),CA196)</f>
        <v>0</v>
      </c>
      <c r="CB278">
        <f>IF(OR(CB196="",AND(CB196=CB195,CB196=CB197)),NA(), CB196)</f>
        <v>0</v>
      </c>
      <c r="CC278">
        <f>IF(ISNA(CD278),NA(),CC196)</f>
        <v>0</v>
      </c>
      <c r="CD278">
        <f>IF(OR(CD196="",AND(CD196=CD195,CD196=CD197)),NA(), CD196)</f>
        <v>0</v>
      </c>
      <c r="CE278">
        <f>IF(ISNA(CF278),NA(),CE196)</f>
        <v>0</v>
      </c>
      <c r="CF278">
        <f>IF(OR(CF196="",AND(CF196=CF195,CF196=CF197)),NA(), CF196)</f>
        <v>0</v>
      </c>
      <c r="CG278">
        <f>IF(ISNA(CH278),NA(),CG196)</f>
        <v>0</v>
      </c>
      <c r="CH278">
        <f>IF(OR(CH196="",AND(CH196=CH195,CH196=CH197)),NA(), CH196)</f>
        <v>0</v>
      </c>
      <c r="CI278">
        <f>IF(ISNA(CJ278),NA(),CI196)</f>
        <v>0</v>
      </c>
      <c r="CJ278">
        <f>IF(OR(CJ196="",AND(CJ196=CJ195,CJ196=CJ197)),NA(), CJ196)</f>
        <v>0</v>
      </c>
      <c r="CK278">
        <f>IF(ISNA(CL278),NA(),CK196)</f>
        <v>0</v>
      </c>
      <c r="CL278">
        <f>IF(OR(CL196="",AND(CL196=CL195,CL196=CL197)),NA(), CL196)</f>
        <v>0</v>
      </c>
      <c r="CM278">
        <f>IF(ISNA(CN278),NA(),CM196)</f>
        <v>0</v>
      </c>
      <c r="CN278">
        <f>IF(OR(CN196="",AND(CN196=CN195,CN196=CN197)),NA(), CN196)</f>
        <v>0</v>
      </c>
      <c r="CO278">
        <f>IF(ISNA(CP278),NA(),CO196)</f>
        <v>0</v>
      </c>
      <c r="CP278">
        <f>IF(OR(CP196="",AND(CP196=CP195,CP196=CP197)),NA(), CP196)</f>
        <v>0</v>
      </c>
      <c r="CQ278">
        <f>IF(ISNA(CR278),NA(),CQ196)</f>
        <v>0</v>
      </c>
      <c r="CR278">
        <f>IF(OR(CR196="",AND(CR196=CR195,CR196=CR197)),NA(), CR196)</f>
        <v>0</v>
      </c>
      <c r="CS278">
        <f>IF(ISNA(CT278),NA(),CS196)</f>
        <v>0</v>
      </c>
      <c r="CT278">
        <f>IF(OR(CT196="",AND(CT196=CT195,CT196=CT197)),NA(), CT196)</f>
        <v>0</v>
      </c>
      <c r="CU278">
        <f>IF(ISNA(CV278),NA(),CU196)</f>
        <v>0</v>
      </c>
      <c r="CV278">
        <f>IF(OR(CV196="",AND(CV196=CV195,CV196=CV197)),NA(), CV196)</f>
        <v>0</v>
      </c>
      <c r="CW278">
        <f>IF(ISNA(CX278),NA(),CW196)</f>
        <v>0</v>
      </c>
      <c r="CX278">
        <f>IF(OR(CX196="",AND(CX196=CX195,CX196=CX197)),NA(), CX196)</f>
        <v>0</v>
      </c>
      <c r="CY278">
        <f>IF(ISNA(CZ278),NA(),CY196)</f>
        <v>0</v>
      </c>
      <c r="CZ278">
        <f>IF(OR(CZ196="",AND(CZ196=CZ195,CZ196=CZ197)),NA(), CZ196)</f>
        <v>0</v>
      </c>
      <c r="DA278">
        <f>IF(ISNA(DB278),NA(),DA196)</f>
        <v>0</v>
      </c>
      <c r="DB278">
        <f>IF(OR(DB196="",AND(DB196=DB195,DB196=DB197)),NA(), DB196)</f>
        <v>0</v>
      </c>
      <c r="DC278">
        <f>IF(ISNA(DD278),NA(),DC196)</f>
        <v>0</v>
      </c>
      <c r="DD278">
        <f>IF(OR(DD196="",AND(DD196=DD195,DD196=DD197)),NA(), DD196)</f>
        <v>0</v>
      </c>
      <c r="DE278">
        <f>IF(ISNA(DF278),NA(),DE196)</f>
        <v>0</v>
      </c>
      <c r="DF278">
        <f>IF(OR(DF196="",AND(DF196=DF195,DF196=DF197)),NA(), DF196)</f>
        <v>0</v>
      </c>
      <c r="DG278">
        <f>IF(ISNA(DH278),NA(),DG196)</f>
        <v>0</v>
      </c>
      <c r="DH278">
        <f>IF(OR(DH196="",AND(DH196=DH195,DH196=DH197)),NA(), DH196)</f>
        <v>0</v>
      </c>
      <c r="DI278">
        <f>IF(ISNA(DJ278),NA(),DI196)</f>
        <v>0</v>
      </c>
      <c r="DJ278">
        <f>IF(OR(DJ196="",AND(DJ196=DJ195,DJ196=DJ197)),NA(), DJ196)</f>
        <v>0</v>
      </c>
      <c r="DK278">
        <f>IF(ISNA(DL278),NA(),DK196)</f>
        <v>0</v>
      </c>
      <c r="DL278">
        <f>IF(OR(DL196="",AND(DL196=DL195,DL196=DL197)),NA(), DL196)</f>
        <v>0</v>
      </c>
      <c r="DM278">
        <f>IF(ISNA(DN278),NA(),DM196)</f>
        <v>0</v>
      </c>
      <c r="DN278">
        <f>IF(OR(DN196="",AND(DN196=DN195,DN196=DN197)),NA(), DN196)</f>
        <v>0</v>
      </c>
      <c r="DO278">
        <f>IF(ISNA(DP278),NA(),DO196)</f>
        <v>0</v>
      </c>
      <c r="DP278">
        <f>IF(OR(DP196="",AND(DP196=DP195,DP196=DP197)),NA(), DP196)</f>
        <v>0</v>
      </c>
      <c r="DQ278">
        <f>IF(ISNA(DR278),NA(),DQ196)</f>
        <v>0</v>
      </c>
      <c r="DR278">
        <f>IF(OR(DR196="",AND(DR196=DR195,DR196=DR197)),NA(), DR196)</f>
        <v>0</v>
      </c>
      <c r="DS278">
        <f>IF(ISNA(DT278),NA(),DS196)</f>
        <v>0</v>
      </c>
      <c r="DT278">
        <f>IF(OR(DT196="",AND(DT196=DT195,DT196=DT197)),NA(), DT196)</f>
        <v>0</v>
      </c>
      <c r="DU278">
        <f>IF(ISNA(DV278),NA(),DU196)</f>
        <v>0</v>
      </c>
      <c r="DV278">
        <f>IF(OR(DV196="",AND(DV196=DV195,DV196=DV197)),NA(), DV196)</f>
        <v>0</v>
      </c>
      <c r="DW278">
        <f>IF(ISNA(DX278),NA(),DW196)</f>
        <v>0</v>
      </c>
      <c r="DX278">
        <f>IF(OR(DX196="",AND(DX196=DX195,DX196=DX197)),NA(), DX196)</f>
        <v>0</v>
      </c>
      <c r="DY278">
        <f>IF(ISNA(DZ278),NA(),DY196)</f>
        <v>0</v>
      </c>
      <c r="DZ278">
        <f>IF(OR(DZ196="",AND(DZ196=DZ195,DZ196=DZ197)),NA(), DZ196)</f>
        <v>0</v>
      </c>
      <c r="EA278">
        <f>IF(ISNA(EB278),NA(),EA196)</f>
        <v>0</v>
      </c>
      <c r="EB278">
        <f>IF(OR(EB196="",AND(EB196=EB195,EB196=EB197)),NA(), EB196)</f>
        <v>0</v>
      </c>
      <c r="EC278">
        <f>IF(ISNA(ED278),NA(),EC196)</f>
        <v>0</v>
      </c>
      <c r="ED278">
        <f>IF(OR(ED196="",AND(ED196=ED195,ED196=ED197)),NA(), ED196)</f>
        <v>0</v>
      </c>
    </row>
    <row r="279" spans="5:134">
      <c r="E279">
        <f>IF(ISNA(F279),NA(),E197)</f>
        <v>0</v>
      </c>
      <c r="F279">
        <f>IF(OR(F197="",AND(F197=F196,F197=F198)),NA(), F197)</f>
        <v>0</v>
      </c>
      <c r="G279">
        <f>IF(ISNA(H279),NA(),G197)</f>
        <v>0</v>
      </c>
      <c r="H279">
        <f>IF(OR(H197="",AND(H197=H196,H197=H198)),NA(), H197)</f>
        <v>0</v>
      </c>
      <c r="I279">
        <f>IF(ISNA(J279),NA(),I197)</f>
        <v>0</v>
      </c>
      <c r="J279">
        <f>IF(OR(J197="",AND(J197=J196,J197=J198)),NA(), J197)</f>
        <v>0</v>
      </c>
      <c r="K279">
        <f>IF(ISNA(L279),NA(),K197)</f>
        <v>0</v>
      </c>
      <c r="L279">
        <f>IF(OR(L197="",AND(L197=L196,L197=L198)),NA(), L197)</f>
        <v>0</v>
      </c>
      <c r="M279">
        <f>IF(ISNA(N279),NA(),M197)</f>
        <v>0</v>
      </c>
      <c r="N279">
        <f>IF(OR(N197="",AND(N197=N196,N197=N198)),NA(), N197)</f>
        <v>0</v>
      </c>
      <c r="O279">
        <f>IF(ISNA(P279),NA(),O197)</f>
        <v>0</v>
      </c>
      <c r="P279">
        <f>IF(OR(P197="",AND(P197=P196,P197=P198)),NA(), P197)</f>
        <v>0</v>
      </c>
      <c r="Q279">
        <f>IF(ISNA(R279),NA(),Q197)</f>
        <v>0</v>
      </c>
      <c r="R279">
        <f>IF(OR(R197="",AND(R197=R196,R197=R198)),NA(), R197)</f>
        <v>0</v>
      </c>
      <c r="S279">
        <f>IF(ISNA(T279),NA(),S197)</f>
        <v>0</v>
      </c>
      <c r="T279">
        <f>IF(OR(T197="",AND(T197=T196,T197=T198)),NA(), T197)</f>
        <v>0</v>
      </c>
      <c r="U279">
        <f>IF(ISNA(V279),NA(),U197)</f>
        <v>0</v>
      </c>
      <c r="V279">
        <f>IF(OR(V197="",AND(V197=V196,V197=V198)),NA(), V197)</f>
        <v>0</v>
      </c>
      <c r="W279">
        <f>IF(ISNA(X279),NA(),W197)</f>
        <v>0</v>
      </c>
      <c r="X279">
        <f>IF(OR(X197="",AND(X197=X196,X197=X198)),NA(), X197)</f>
        <v>0</v>
      </c>
      <c r="Y279">
        <f>IF(ISNA(Z279),NA(),Y197)</f>
        <v>0</v>
      </c>
      <c r="Z279">
        <f>IF(OR(Z197="",AND(Z197=Z196,Z197=Z198)),NA(), Z197)</f>
        <v>0</v>
      </c>
      <c r="AA279">
        <f>IF(ISNA(AB279),NA(),AA197)</f>
        <v>0</v>
      </c>
      <c r="AB279">
        <f>IF(OR(AB197="",AND(AB197=AB196,AB197=AB198)),NA(), AB197)</f>
        <v>0</v>
      </c>
      <c r="AC279">
        <f>IF(ISNA(AD279),NA(),AC197)</f>
        <v>0</v>
      </c>
      <c r="AD279">
        <f>IF(OR(AD197="",AND(AD197=AD196,AD197=AD198)),NA(), AD197)</f>
        <v>0</v>
      </c>
      <c r="AE279">
        <f>IF(ISNA(AF279),NA(),AE197)</f>
        <v>0</v>
      </c>
      <c r="AF279">
        <f>IF(OR(AF197="",AND(AF197=AF196,AF197=AF198)),NA(), AF197)</f>
        <v>0</v>
      </c>
      <c r="AG279">
        <f>IF(ISNA(AH279),NA(),AG197)</f>
        <v>0</v>
      </c>
      <c r="AH279">
        <f>IF(OR(AH197="",AND(AH197=AH196,AH197=AH198)),NA(), AH197)</f>
        <v>0</v>
      </c>
      <c r="AI279">
        <f>IF(ISNA(AJ279),NA(),AI197)</f>
        <v>0</v>
      </c>
      <c r="AJ279">
        <f>IF(OR(AJ197="",AND(AJ197=AJ196,AJ197=AJ198)),NA(), AJ197)</f>
        <v>0</v>
      </c>
      <c r="AK279">
        <f>IF(ISNA(AL279),NA(),AK197)</f>
        <v>0</v>
      </c>
      <c r="AL279">
        <f>IF(OR(AL197="",AND(AL197=AL196,AL197=AL198)),NA(), AL197)</f>
        <v>0</v>
      </c>
      <c r="AM279">
        <f>IF(ISNA(AN279),NA(),AM197)</f>
        <v>0</v>
      </c>
      <c r="AN279">
        <f>IF(OR(AN197="",AND(AN197=AN196,AN197=AN198)),NA(), AN197)</f>
        <v>0</v>
      </c>
      <c r="AO279">
        <f>IF(ISNA(AP279),NA(),AO197)</f>
        <v>0</v>
      </c>
      <c r="AP279">
        <f>IF(OR(AP197="",AND(AP197=AP196,AP197=AP198)),NA(), AP197)</f>
        <v>0</v>
      </c>
      <c r="AQ279">
        <f>IF(ISNA(AR279),NA(),AQ197)</f>
        <v>0</v>
      </c>
      <c r="AR279">
        <f>IF(OR(AR197="",AND(AR197=AR196,AR197=AR198)),NA(), AR197)</f>
        <v>0</v>
      </c>
      <c r="AS279">
        <f>IF(ISNA(AT279),NA(),AS197)</f>
        <v>0</v>
      </c>
      <c r="AT279">
        <f>IF(OR(AT197="",AND(AT197=AT196,AT197=AT198)),NA(), AT197)</f>
        <v>0</v>
      </c>
      <c r="AU279">
        <f>IF(ISNA(AV279),NA(),AU197)</f>
        <v>0</v>
      </c>
      <c r="AV279">
        <f>IF(OR(AV197="",AND(AV197=AV196,AV197=AV198)),NA(), AV197)</f>
        <v>0</v>
      </c>
      <c r="AW279">
        <f>IF(ISNA(AX279),NA(),AW197)</f>
        <v>0</v>
      </c>
      <c r="AX279">
        <f>IF(OR(AX197="",AND(AX197=AX196,AX197=AX198)),NA(), AX197)</f>
        <v>0</v>
      </c>
      <c r="AY279">
        <f>IF(ISNA(AZ279),NA(),AY197)</f>
        <v>0</v>
      </c>
      <c r="AZ279">
        <f>IF(OR(AZ197="",AND(AZ197=AZ196,AZ197=AZ198)),NA(), AZ197)</f>
        <v>0</v>
      </c>
      <c r="BA279">
        <f>IF(ISNA(BB279),NA(),BA197)</f>
        <v>0</v>
      </c>
      <c r="BB279">
        <f>IF(OR(BB197="",AND(BB197=BB196,BB197=BB198)),NA(), BB197)</f>
        <v>0</v>
      </c>
      <c r="BC279">
        <f>IF(ISNA(BD279),NA(),BC197)</f>
        <v>0</v>
      </c>
      <c r="BD279">
        <f>IF(OR(BD197="",AND(BD197=BD196,BD197=BD198)),NA(), BD197)</f>
        <v>0</v>
      </c>
      <c r="BE279">
        <f>IF(ISNA(BF279),NA(),BE197)</f>
        <v>0</v>
      </c>
      <c r="BF279">
        <f>IF(OR(BF197="",AND(BF197=BF196,BF197=BF198)),NA(), BF197)</f>
        <v>0</v>
      </c>
      <c r="BG279">
        <f>IF(ISNA(BH279),NA(),BG197)</f>
        <v>0</v>
      </c>
      <c r="BH279">
        <f>IF(OR(BH197="",AND(BH197=BH196,BH197=BH198)),NA(), BH197)</f>
        <v>0</v>
      </c>
      <c r="BI279">
        <f>IF(ISNA(BJ279),NA(),BI197)</f>
        <v>0</v>
      </c>
      <c r="BJ279">
        <f>IF(OR(BJ197="",AND(BJ197=BJ196,BJ197=BJ198)),NA(), BJ197)</f>
        <v>0</v>
      </c>
      <c r="BK279">
        <f>IF(ISNA(BL279),NA(),BK197)</f>
        <v>0</v>
      </c>
      <c r="BL279">
        <f>IF(OR(BL197="",AND(BL197=BL196,BL197=BL198)),NA(), BL197)</f>
        <v>0</v>
      </c>
      <c r="BM279">
        <f>IF(ISNA(BN279),NA(),BM197)</f>
        <v>0</v>
      </c>
      <c r="BN279">
        <f>IF(OR(BN197="",AND(BN197=BN196,BN197=BN198)),NA(), BN197)</f>
        <v>0</v>
      </c>
      <c r="BO279">
        <f>IF(ISNA(BP279),NA(),BO197)</f>
        <v>0</v>
      </c>
      <c r="BP279">
        <f>IF(OR(BP197="",AND(BP197=BP196,BP197=BP198)),NA(), BP197)</f>
        <v>0</v>
      </c>
      <c r="BS279">
        <f>IF(ISNA(BT279),NA(),BS197)</f>
        <v>0</v>
      </c>
      <c r="BT279">
        <f>IF(OR(BT197="",AND(BT197=BT196,BT197=BT198)),NA(), BT197)</f>
        <v>0</v>
      </c>
      <c r="BU279">
        <f>IF(ISNA(BV279),NA(),BU197)</f>
        <v>0</v>
      </c>
      <c r="BV279">
        <f>IF(OR(BV197="",AND(BV197=BV196,BV197=BV198)),NA(), BV197)</f>
        <v>0</v>
      </c>
      <c r="BW279">
        <f>IF(ISNA(BX279),NA(),BW197)</f>
        <v>0</v>
      </c>
      <c r="BX279">
        <f>IF(OR(BX197="",AND(BX197=BX196,BX197=BX198)),NA(), BX197)</f>
        <v>0</v>
      </c>
      <c r="BY279">
        <f>IF(ISNA(BZ279),NA(),BY197)</f>
        <v>0</v>
      </c>
      <c r="BZ279">
        <f>IF(OR(BZ197="",AND(BZ197=BZ196,BZ197=BZ198)),NA(), BZ197)</f>
        <v>0</v>
      </c>
      <c r="CA279">
        <f>IF(ISNA(CB279),NA(),CA197)</f>
        <v>0</v>
      </c>
      <c r="CB279">
        <f>IF(OR(CB197="",AND(CB197=CB196,CB197=CB198)),NA(), CB197)</f>
        <v>0</v>
      </c>
      <c r="CC279">
        <f>IF(ISNA(CD279),NA(),CC197)</f>
        <v>0</v>
      </c>
      <c r="CD279">
        <f>IF(OR(CD197="",AND(CD197=CD196,CD197=CD198)),NA(), CD197)</f>
        <v>0</v>
      </c>
      <c r="CE279">
        <f>IF(ISNA(CF279),NA(),CE197)</f>
        <v>0</v>
      </c>
      <c r="CF279">
        <f>IF(OR(CF197="",AND(CF197=CF196,CF197=CF198)),NA(), CF197)</f>
        <v>0</v>
      </c>
      <c r="CG279">
        <f>IF(ISNA(CH279),NA(),CG197)</f>
        <v>0</v>
      </c>
      <c r="CH279">
        <f>IF(OR(CH197="",AND(CH197=CH196,CH197=CH198)),NA(), CH197)</f>
        <v>0</v>
      </c>
      <c r="CI279">
        <f>IF(ISNA(CJ279),NA(),CI197)</f>
        <v>0</v>
      </c>
      <c r="CJ279">
        <f>IF(OR(CJ197="",AND(CJ197=CJ196,CJ197=CJ198)),NA(), CJ197)</f>
        <v>0</v>
      </c>
      <c r="CK279">
        <f>IF(ISNA(CL279),NA(),CK197)</f>
        <v>0</v>
      </c>
      <c r="CL279">
        <f>IF(OR(CL197="",AND(CL197=CL196,CL197=CL198)),NA(), CL197)</f>
        <v>0</v>
      </c>
      <c r="CM279">
        <f>IF(ISNA(CN279),NA(),CM197)</f>
        <v>0</v>
      </c>
      <c r="CN279">
        <f>IF(OR(CN197="",AND(CN197=CN196,CN197=CN198)),NA(), CN197)</f>
        <v>0</v>
      </c>
      <c r="CO279">
        <f>IF(ISNA(CP279),NA(),CO197)</f>
        <v>0</v>
      </c>
      <c r="CP279">
        <f>IF(OR(CP197="",AND(CP197=CP196,CP197=CP198)),NA(), CP197)</f>
        <v>0</v>
      </c>
      <c r="CQ279">
        <f>IF(ISNA(CR279),NA(),CQ197)</f>
        <v>0</v>
      </c>
      <c r="CR279">
        <f>IF(OR(CR197="",AND(CR197=CR196,CR197=CR198)),NA(), CR197)</f>
        <v>0</v>
      </c>
      <c r="CS279">
        <f>IF(ISNA(CT279),NA(),CS197)</f>
        <v>0</v>
      </c>
      <c r="CT279">
        <f>IF(OR(CT197="",AND(CT197=CT196,CT197=CT198)),NA(), CT197)</f>
        <v>0</v>
      </c>
      <c r="CU279">
        <f>IF(ISNA(CV279),NA(),CU197)</f>
        <v>0</v>
      </c>
      <c r="CV279">
        <f>IF(OR(CV197="",AND(CV197=CV196,CV197=CV198)),NA(), CV197)</f>
        <v>0</v>
      </c>
      <c r="CW279">
        <f>IF(ISNA(CX279),NA(),CW197)</f>
        <v>0</v>
      </c>
      <c r="CX279">
        <f>IF(OR(CX197="",AND(CX197=CX196,CX197=CX198)),NA(), CX197)</f>
        <v>0</v>
      </c>
      <c r="CY279">
        <f>IF(ISNA(CZ279),NA(),CY197)</f>
        <v>0</v>
      </c>
      <c r="CZ279">
        <f>IF(OR(CZ197="",AND(CZ197=CZ196,CZ197=CZ198)),NA(), CZ197)</f>
        <v>0</v>
      </c>
      <c r="DA279">
        <f>IF(ISNA(DB279),NA(),DA197)</f>
        <v>0</v>
      </c>
      <c r="DB279">
        <f>IF(OR(DB197="",AND(DB197=DB196,DB197=DB198)),NA(), DB197)</f>
        <v>0</v>
      </c>
      <c r="DC279">
        <f>IF(ISNA(DD279),NA(),DC197)</f>
        <v>0</v>
      </c>
      <c r="DD279">
        <f>IF(OR(DD197="",AND(DD197=DD196,DD197=DD198)),NA(), DD197)</f>
        <v>0</v>
      </c>
      <c r="DE279">
        <f>IF(ISNA(DF279),NA(),DE197)</f>
        <v>0</v>
      </c>
      <c r="DF279">
        <f>IF(OR(DF197="",AND(DF197=DF196,DF197=DF198)),NA(), DF197)</f>
        <v>0</v>
      </c>
      <c r="DG279">
        <f>IF(ISNA(DH279),NA(),DG197)</f>
        <v>0</v>
      </c>
      <c r="DH279">
        <f>IF(OR(DH197="",AND(DH197=DH196,DH197=DH198)),NA(), DH197)</f>
        <v>0</v>
      </c>
      <c r="DI279">
        <f>IF(ISNA(DJ279),NA(),DI197)</f>
        <v>0</v>
      </c>
      <c r="DJ279">
        <f>IF(OR(DJ197="",AND(DJ197=DJ196,DJ197=DJ198)),NA(), DJ197)</f>
        <v>0</v>
      </c>
      <c r="DK279">
        <f>IF(ISNA(DL279),NA(),DK197)</f>
        <v>0</v>
      </c>
      <c r="DL279">
        <f>IF(OR(DL197="",AND(DL197=DL196,DL197=DL198)),NA(), DL197)</f>
        <v>0</v>
      </c>
      <c r="DM279">
        <f>IF(ISNA(DN279),NA(),DM197)</f>
        <v>0</v>
      </c>
      <c r="DN279">
        <f>IF(OR(DN197="",AND(DN197=DN196,DN197=DN198)),NA(), DN197)</f>
        <v>0</v>
      </c>
      <c r="DO279">
        <f>IF(ISNA(DP279),NA(),DO197)</f>
        <v>0</v>
      </c>
      <c r="DP279">
        <f>IF(OR(DP197="",AND(DP197=DP196,DP197=DP198)),NA(), DP197)</f>
        <v>0</v>
      </c>
      <c r="DQ279">
        <f>IF(ISNA(DR279),NA(),DQ197)</f>
        <v>0</v>
      </c>
      <c r="DR279">
        <f>IF(OR(DR197="",AND(DR197=DR196,DR197=DR198)),NA(), DR197)</f>
        <v>0</v>
      </c>
      <c r="DS279">
        <f>IF(ISNA(DT279),NA(),DS197)</f>
        <v>0</v>
      </c>
      <c r="DT279">
        <f>IF(OR(DT197="",AND(DT197=DT196,DT197=DT198)),NA(), DT197)</f>
        <v>0</v>
      </c>
      <c r="DU279">
        <f>IF(ISNA(DV279),NA(),DU197)</f>
        <v>0</v>
      </c>
      <c r="DV279">
        <f>IF(OR(DV197="",AND(DV197=DV196,DV197=DV198)),NA(), DV197)</f>
        <v>0</v>
      </c>
      <c r="DW279">
        <f>IF(ISNA(DX279),NA(),DW197)</f>
        <v>0</v>
      </c>
      <c r="DX279">
        <f>IF(OR(DX197="",AND(DX197=DX196,DX197=DX198)),NA(), DX197)</f>
        <v>0</v>
      </c>
      <c r="DY279">
        <f>IF(ISNA(DZ279),NA(),DY197)</f>
        <v>0</v>
      </c>
      <c r="DZ279">
        <f>IF(OR(DZ197="",AND(DZ197=DZ196,DZ197=DZ198)),NA(), DZ197)</f>
        <v>0</v>
      </c>
      <c r="EA279">
        <f>IF(ISNA(EB279),NA(),EA197)</f>
        <v>0</v>
      </c>
      <c r="EB279">
        <f>IF(OR(EB197="",AND(EB197=EB196,EB197=EB198)),NA(), EB197)</f>
        <v>0</v>
      </c>
      <c r="EC279">
        <f>IF(ISNA(ED279),NA(),EC197)</f>
        <v>0</v>
      </c>
      <c r="ED279">
        <f>IF(OR(ED197="",AND(ED197=ED196,ED197=ED198)),NA(), ED197)</f>
        <v>0</v>
      </c>
    </row>
    <row r="280" spans="5:134">
      <c r="E280">
        <f>IF(ISNA(F280),NA(),E198)</f>
        <v>0</v>
      </c>
      <c r="F280">
        <f>IF(OR(F198="",AND(F198=F197,F198=F199)),NA(), F198)</f>
        <v>0</v>
      </c>
      <c r="G280">
        <f>IF(ISNA(H280),NA(),G198)</f>
        <v>0</v>
      </c>
      <c r="H280">
        <f>IF(OR(H198="",AND(H198=H197,H198=H199)),NA(), H198)</f>
        <v>0</v>
      </c>
      <c r="I280">
        <f>IF(ISNA(J280),NA(),I198)</f>
        <v>0</v>
      </c>
      <c r="J280">
        <f>IF(OR(J198="",AND(J198=J197,J198=J199)),NA(), J198)</f>
        <v>0</v>
      </c>
      <c r="K280">
        <f>IF(ISNA(L280),NA(),K198)</f>
        <v>0</v>
      </c>
      <c r="L280">
        <f>IF(OR(L198="",AND(L198=L197,L198=L199)),NA(), L198)</f>
        <v>0</v>
      </c>
      <c r="M280">
        <f>IF(ISNA(N280),NA(),M198)</f>
        <v>0</v>
      </c>
      <c r="N280">
        <f>IF(OR(N198="",AND(N198=N197,N198=N199)),NA(), N198)</f>
        <v>0</v>
      </c>
      <c r="O280">
        <f>IF(ISNA(P280),NA(),O198)</f>
        <v>0</v>
      </c>
      <c r="P280">
        <f>IF(OR(P198="",AND(P198=P197,P198=P199)),NA(), P198)</f>
        <v>0</v>
      </c>
      <c r="Q280">
        <f>IF(ISNA(R280),NA(),Q198)</f>
        <v>0</v>
      </c>
      <c r="R280">
        <f>IF(OR(R198="",AND(R198=R197,R198=R199)),NA(), R198)</f>
        <v>0</v>
      </c>
      <c r="S280">
        <f>IF(ISNA(T280),NA(),S198)</f>
        <v>0</v>
      </c>
      <c r="T280">
        <f>IF(OR(T198="",AND(T198=T197,T198=T199)),NA(), T198)</f>
        <v>0</v>
      </c>
      <c r="U280">
        <f>IF(ISNA(V280),NA(),U198)</f>
        <v>0</v>
      </c>
      <c r="V280">
        <f>IF(OR(V198="",AND(V198=V197,V198=V199)),NA(), V198)</f>
        <v>0</v>
      </c>
      <c r="W280">
        <f>IF(ISNA(X280),NA(),W198)</f>
        <v>0</v>
      </c>
      <c r="X280">
        <f>IF(OR(X198="",AND(X198=X197,X198=X199)),NA(), X198)</f>
        <v>0</v>
      </c>
      <c r="Y280">
        <f>IF(ISNA(Z280),NA(),Y198)</f>
        <v>0</v>
      </c>
      <c r="Z280">
        <f>IF(OR(Z198="",AND(Z198=Z197,Z198=Z199)),NA(), Z198)</f>
        <v>0</v>
      </c>
      <c r="AA280">
        <f>IF(ISNA(AB280),NA(),AA198)</f>
        <v>0</v>
      </c>
      <c r="AB280">
        <f>IF(OR(AB198="",AND(AB198=AB197,AB198=AB199)),NA(), AB198)</f>
        <v>0</v>
      </c>
      <c r="AC280">
        <f>IF(ISNA(AD280),NA(),AC198)</f>
        <v>0</v>
      </c>
      <c r="AD280">
        <f>IF(OR(AD198="",AND(AD198=AD197,AD198=AD199)),NA(), AD198)</f>
        <v>0</v>
      </c>
      <c r="AE280">
        <f>IF(ISNA(AF280),NA(),AE198)</f>
        <v>0</v>
      </c>
      <c r="AF280">
        <f>IF(OR(AF198="",AND(AF198=AF197,AF198=AF199)),NA(), AF198)</f>
        <v>0</v>
      </c>
      <c r="AG280">
        <f>IF(ISNA(AH280),NA(),AG198)</f>
        <v>0</v>
      </c>
      <c r="AH280">
        <f>IF(OR(AH198="",AND(AH198=AH197,AH198=AH199)),NA(), AH198)</f>
        <v>0</v>
      </c>
      <c r="AI280">
        <f>IF(ISNA(AJ280),NA(),AI198)</f>
        <v>0</v>
      </c>
      <c r="AJ280">
        <f>IF(OR(AJ198="",AND(AJ198=AJ197,AJ198=AJ199)),NA(), AJ198)</f>
        <v>0</v>
      </c>
      <c r="AK280">
        <f>IF(ISNA(AL280),NA(),AK198)</f>
        <v>0</v>
      </c>
      <c r="AL280">
        <f>IF(OR(AL198="",AND(AL198=AL197,AL198=AL199)),NA(), AL198)</f>
        <v>0</v>
      </c>
      <c r="AM280">
        <f>IF(ISNA(AN280),NA(),AM198)</f>
        <v>0</v>
      </c>
      <c r="AN280">
        <f>IF(OR(AN198="",AND(AN198=AN197,AN198=AN199)),NA(), AN198)</f>
        <v>0</v>
      </c>
      <c r="AO280">
        <f>IF(ISNA(AP280),NA(),AO198)</f>
        <v>0</v>
      </c>
      <c r="AP280">
        <f>IF(OR(AP198="",AND(AP198=AP197,AP198=AP199)),NA(), AP198)</f>
        <v>0</v>
      </c>
      <c r="AQ280">
        <f>IF(ISNA(AR280),NA(),AQ198)</f>
        <v>0</v>
      </c>
      <c r="AR280">
        <f>IF(OR(AR198="",AND(AR198=AR197,AR198=AR199)),NA(), AR198)</f>
        <v>0</v>
      </c>
      <c r="AS280">
        <f>IF(ISNA(AT280),NA(),AS198)</f>
        <v>0</v>
      </c>
      <c r="AT280">
        <f>IF(OR(AT198="",AND(AT198=AT197,AT198=AT199)),NA(), AT198)</f>
        <v>0</v>
      </c>
      <c r="AU280">
        <f>IF(ISNA(AV280),NA(),AU198)</f>
        <v>0</v>
      </c>
      <c r="AV280">
        <f>IF(OR(AV198="",AND(AV198=AV197,AV198=AV199)),NA(), AV198)</f>
        <v>0</v>
      </c>
      <c r="AW280">
        <f>IF(ISNA(AX280),NA(),AW198)</f>
        <v>0</v>
      </c>
      <c r="AX280">
        <f>IF(OR(AX198="",AND(AX198=AX197,AX198=AX199)),NA(), AX198)</f>
        <v>0</v>
      </c>
      <c r="AY280">
        <f>IF(ISNA(AZ280),NA(),AY198)</f>
        <v>0</v>
      </c>
      <c r="AZ280">
        <f>IF(OR(AZ198="",AND(AZ198=AZ197,AZ198=AZ199)),NA(), AZ198)</f>
        <v>0</v>
      </c>
      <c r="BA280">
        <f>IF(ISNA(BB280),NA(),BA198)</f>
        <v>0</v>
      </c>
      <c r="BB280">
        <f>IF(OR(BB198="",AND(BB198=BB197,BB198=BB199)),NA(), BB198)</f>
        <v>0</v>
      </c>
      <c r="BC280">
        <f>IF(ISNA(BD280),NA(),BC198)</f>
        <v>0</v>
      </c>
      <c r="BD280">
        <f>IF(OR(BD198="",AND(BD198=BD197,BD198=BD199)),NA(), BD198)</f>
        <v>0</v>
      </c>
      <c r="BE280">
        <f>IF(ISNA(BF280),NA(),BE198)</f>
        <v>0</v>
      </c>
      <c r="BF280">
        <f>IF(OR(BF198="",AND(BF198=BF197,BF198=BF199)),NA(), BF198)</f>
        <v>0</v>
      </c>
      <c r="BG280">
        <f>IF(ISNA(BH280),NA(),BG198)</f>
        <v>0</v>
      </c>
      <c r="BH280">
        <f>IF(OR(BH198="",AND(BH198=BH197,BH198=BH199)),NA(), BH198)</f>
        <v>0</v>
      </c>
      <c r="BI280">
        <f>IF(ISNA(BJ280),NA(),BI198)</f>
        <v>0</v>
      </c>
      <c r="BJ280">
        <f>IF(OR(BJ198="",AND(BJ198=BJ197,BJ198=BJ199)),NA(), BJ198)</f>
        <v>0</v>
      </c>
      <c r="BK280">
        <f>IF(ISNA(BL280),NA(),BK198)</f>
        <v>0</v>
      </c>
      <c r="BL280">
        <f>IF(OR(BL198="",AND(BL198=BL197,BL198=BL199)),NA(), BL198)</f>
        <v>0</v>
      </c>
      <c r="BM280">
        <f>IF(ISNA(BN280),NA(),BM198)</f>
        <v>0</v>
      </c>
      <c r="BN280">
        <f>IF(OR(BN198="",AND(BN198=BN197,BN198=BN199)),NA(), BN198)</f>
        <v>0</v>
      </c>
      <c r="BO280">
        <f>IF(ISNA(BP280),NA(),BO198)</f>
        <v>0</v>
      </c>
      <c r="BP280">
        <f>IF(OR(BP198="",AND(BP198=BP197,BP198=BP199)),NA(), BP198)</f>
        <v>0</v>
      </c>
      <c r="BS280">
        <f>IF(ISNA(BT280),NA(),BS198)</f>
        <v>0</v>
      </c>
      <c r="BT280">
        <f>IF(OR(BT198="",AND(BT198=BT197,BT198=BT199)),NA(), BT198)</f>
        <v>0</v>
      </c>
      <c r="BU280">
        <f>IF(ISNA(BV280),NA(),BU198)</f>
        <v>0</v>
      </c>
      <c r="BV280">
        <f>IF(OR(BV198="",AND(BV198=BV197,BV198=BV199)),NA(), BV198)</f>
        <v>0</v>
      </c>
      <c r="BW280">
        <f>IF(ISNA(BX280),NA(),BW198)</f>
        <v>0</v>
      </c>
      <c r="BX280">
        <f>IF(OR(BX198="",AND(BX198=BX197,BX198=BX199)),NA(), BX198)</f>
        <v>0</v>
      </c>
      <c r="BY280">
        <f>IF(ISNA(BZ280),NA(),BY198)</f>
        <v>0</v>
      </c>
      <c r="BZ280">
        <f>IF(OR(BZ198="",AND(BZ198=BZ197,BZ198=BZ199)),NA(), BZ198)</f>
        <v>0</v>
      </c>
      <c r="CA280">
        <f>IF(ISNA(CB280),NA(),CA198)</f>
        <v>0</v>
      </c>
      <c r="CB280">
        <f>IF(OR(CB198="",AND(CB198=CB197,CB198=CB199)),NA(), CB198)</f>
        <v>0</v>
      </c>
      <c r="CC280">
        <f>IF(ISNA(CD280),NA(),CC198)</f>
        <v>0</v>
      </c>
      <c r="CD280">
        <f>IF(OR(CD198="",AND(CD198=CD197,CD198=CD199)),NA(), CD198)</f>
        <v>0</v>
      </c>
      <c r="CE280">
        <f>IF(ISNA(CF280),NA(),CE198)</f>
        <v>0</v>
      </c>
      <c r="CF280">
        <f>IF(OR(CF198="",AND(CF198=CF197,CF198=CF199)),NA(), CF198)</f>
        <v>0</v>
      </c>
      <c r="CG280">
        <f>IF(ISNA(CH280),NA(),CG198)</f>
        <v>0</v>
      </c>
      <c r="CH280">
        <f>IF(OR(CH198="",AND(CH198=CH197,CH198=CH199)),NA(), CH198)</f>
        <v>0</v>
      </c>
      <c r="CI280">
        <f>IF(ISNA(CJ280),NA(),CI198)</f>
        <v>0</v>
      </c>
      <c r="CJ280">
        <f>IF(OR(CJ198="",AND(CJ198=CJ197,CJ198=CJ199)),NA(), CJ198)</f>
        <v>0</v>
      </c>
      <c r="CK280">
        <f>IF(ISNA(CL280),NA(),CK198)</f>
        <v>0</v>
      </c>
      <c r="CL280">
        <f>IF(OR(CL198="",AND(CL198=CL197,CL198=CL199)),NA(), CL198)</f>
        <v>0</v>
      </c>
      <c r="CM280">
        <f>IF(ISNA(CN280),NA(),CM198)</f>
        <v>0</v>
      </c>
      <c r="CN280">
        <f>IF(OR(CN198="",AND(CN198=CN197,CN198=CN199)),NA(), CN198)</f>
        <v>0</v>
      </c>
      <c r="CO280">
        <f>IF(ISNA(CP280),NA(),CO198)</f>
        <v>0</v>
      </c>
      <c r="CP280">
        <f>IF(OR(CP198="",AND(CP198=CP197,CP198=CP199)),NA(), CP198)</f>
        <v>0</v>
      </c>
      <c r="CQ280">
        <f>IF(ISNA(CR280),NA(),CQ198)</f>
        <v>0</v>
      </c>
      <c r="CR280">
        <f>IF(OR(CR198="",AND(CR198=CR197,CR198=CR199)),NA(), CR198)</f>
        <v>0</v>
      </c>
      <c r="CS280">
        <f>IF(ISNA(CT280),NA(),CS198)</f>
        <v>0</v>
      </c>
      <c r="CT280">
        <f>IF(OR(CT198="",AND(CT198=CT197,CT198=CT199)),NA(), CT198)</f>
        <v>0</v>
      </c>
      <c r="CU280">
        <f>IF(ISNA(CV280),NA(),CU198)</f>
        <v>0</v>
      </c>
      <c r="CV280">
        <f>IF(OR(CV198="",AND(CV198=CV197,CV198=CV199)),NA(), CV198)</f>
        <v>0</v>
      </c>
      <c r="CW280">
        <f>IF(ISNA(CX280),NA(),CW198)</f>
        <v>0</v>
      </c>
      <c r="CX280">
        <f>IF(OR(CX198="",AND(CX198=CX197,CX198=CX199)),NA(), CX198)</f>
        <v>0</v>
      </c>
      <c r="CY280">
        <f>IF(ISNA(CZ280),NA(),CY198)</f>
        <v>0</v>
      </c>
      <c r="CZ280">
        <f>IF(OR(CZ198="",AND(CZ198=CZ197,CZ198=CZ199)),NA(), CZ198)</f>
        <v>0</v>
      </c>
      <c r="DA280">
        <f>IF(ISNA(DB280),NA(),DA198)</f>
        <v>0</v>
      </c>
      <c r="DB280">
        <f>IF(OR(DB198="",AND(DB198=DB197,DB198=DB199)),NA(), DB198)</f>
        <v>0</v>
      </c>
      <c r="DC280">
        <f>IF(ISNA(DD280),NA(),DC198)</f>
        <v>0</v>
      </c>
      <c r="DD280">
        <f>IF(OR(DD198="",AND(DD198=DD197,DD198=DD199)),NA(), DD198)</f>
        <v>0</v>
      </c>
      <c r="DE280">
        <f>IF(ISNA(DF280),NA(),DE198)</f>
        <v>0</v>
      </c>
      <c r="DF280">
        <f>IF(OR(DF198="",AND(DF198=DF197,DF198=DF199)),NA(), DF198)</f>
        <v>0</v>
      </c>
      <c r="DG280">
        <f>IF(ISNA(DH280),NA(),DG198)</f>
        <v>0</v>
      </c>
      <c r="DH280">
        <f>IF(OR(DH198="",AND(DH198=DH197,DH198=DH199)),NA(), DH198)</f>
        <v>0</v>
      </c>
      <c r="DI280">
        <f>IF(ISNA(DJ280),NA(),DI198)</f>
        <v>0</v>
      </c>
      <c r="DJ280">
        <f>IF(OR(DJ198="",AND(DJ198=DJ197,DJ198=DJ199)),NA(), DJ198)</f>
        <v>0</v>
      </c>
      <c r="DK280">
        <f>IF(ISNA(DL280),NA(),DK198)</f>
        <v>0</v>
      </c>
      <c r="DL280">
        <f>IF(OR(DL198="",AND(DL198=DL197,DL198=DL199)),NA(), DL198)</f>
        <v>0</v>
      </c>
      <c r="DM280">
        <f>IF(ISNA(DN280),NA(),DM198)</f>
        <v>0</v>
      </c>
      <c r="DN280">
        <f>IF(OR(DN198="",AND(DN198=DN197,DN198=DN199)),NA(), DN198)</f>
        <v>0</v>
      </c>
      <c r="DO280">
        <f>IF(ISNA(DP280),NA(),DO198)</f>
        <v>0</v>
      </c>
      <c r="DP280">
        <f>IF(OR(DP198="",AND(DP198=DP197,DP198=DP199)),NA(), DP198)</f>
        <v>0</v>
      </c>
      <c r="DQ280">
        <f>IF(ISNA(DR280),NA(),DQ198)</f>
        <v>0</v>
      </c>
      <c r="DR280">
        <f>IF(OR(DR198="",AND(DR198=DR197,DR198=DR199)),NA(), DR198)</f>
        <v>0</v>
      </c>
      <c r="DS280">
        <f>IF(ISNA(DT280),NA(),DS198)</f>
        <v>0</v>
      </c>
      <c r="DT280">
        <f>IF(OR(DT198="",AND(DT198=DT197,DT198=DT199)),NA(), DT198)</f>
        <v>0</v>
      </c>
      <c r="DU280">
        <f>IF(ISNA(DV280),NA(),DU198)</f>
        <v>0</v>
      </c>
      <c r="DV280">
        <f>IF(OR(DV198="",AND(DV198=DV197,DV198=DV199)),NA(), DV198)</f>
        <v>0</v>
      </c>
      <c r="DW280">
        <f>IF(ISNA(DX280),NA(),DW198)</f>
        <v>0</v>
      </c>
      <c r="DX280">
        <f>IF(OR(DX198="",AND(DX198=DX197,DX198=DX199)),NA(), DX198)</f>
        <v>0</v>
      </c>
      <c r="DY280">
        <f>IF(ISNA(DZ280),NA(),DY198)</f>
        <v>0</v>
      </c>
      <c r="DZ280">
        <f>IF(OR(DZ198="",AND(DZ198=DZ197,DZ198=DZ199)),NA(), DZ198)</f>
        <v>0</v>
      </c>
      <c r="EA280">
        <f>IF(ISNA(EB280),NA(),EA198)</f>
        <v>0</v>
      </c>
      <c r="EB280">
        <f>IF(OR(EB198="",AND(EB198=EB197,EB198=EB199)),NA(), EB198)</f>
        <v>0</v>
      </c>
      <c r="EC280">
        <f>IF(ISNA(ED280),NA(),EC198)</f>
        <v>0</v>
      </c>
      <c r="ED280">
        <f>IF(OR(ED198="",AND(ED198=ED197,ED198=ED199)),NA(), ED198)</f>
        <v>0</v>
      </c>
    </row>
    <row r="281" spans="5:134">
      <c r="E281">
        <f>IF(ISNA(F281),NA(),E199)</f>
        <v>0</v>
      </c>
      <c r="F281">
        <f>IF(OR(F199="",AND(F199=F198,F199=F200)),NA(), F199)</f>
        <v>0</v>
      </c>
      <c r="G281">
        <f>IF(ISNA(H281),NA(),G199)</f>
        <v>0</v>
      </c>
      <c r="H281">
        <f>IF(OR(H199="",AND(H199=H198,H199=H200)),NA(), H199)</f>
        <v>0</v>
      </c>
      <c r="I281">
        <f>IF(ISNA(J281),NA(),I199)</f>
        <v>0</v>
      </c>
      <c r="J281">
        <f>IF(OR(J199="",AND(J199=J198,J199=J200)),NA(), J199)</f>
        <v>0</v>
      </c>
      <c r="K281">
        <f>IF(ISNA(L281),NA(),K199)</f>
        <v>0</v>
      </c>
      <c r="L281">
        <f>IF(OR(L199="",AND(L199=L198,L199=L200)),NA(), L199)</f>
        <v>0</v>
      </c>
      <c r="M281">
        <f>IF(ISNA(N281),NA(),M199)</f>
        <v>0</v>
      </c>
      <c r="N281">
        <f>IF(OR(N199="",AND(N199=N198,N199=N200)),NA(), N199)</f>
        <v>0</v>
      </c>
      <c r="O281">
        <f>IF(ISNA(P281),NA(),O199)</f>
        <v>0</v>
      </c>
      <c r="P281">
        <f>IF(OR(P199="",AND(P199=P198,P199=P200)),NA(), P199)</f>
        <v>0</v>
      </c>
      <c r="Q281">
        <f>IF(ISNA(R281),NA(),Q199)</f>
        <v>0</v>
      </c>
      <c r="R281">
        <f>IF(OR(R199="",AND(R199=R198,R199=R200)),NA(), R199)</f>
        <v>0</v>
      </c>
      <c r="S281">
        <f>IF(ISNA(T281),NA(),S199)</f>
        <v>0</v>
      </c>
      <c r="T281">
        <f>IF(OR(T199="",AND(T199=T198,T199=T200)),NA(), T199)</f>
        <v>0</v>
      </c>
      <c r="U281">
        <f>IF(ISNA(V281),NA(),U199)</f>
        <v>0</v>
      </c>
      <c r="V281">
        <f>IF(OR(V199="",AND(V199=V198,V199=V200)),NA(), V199)</f>
        <v>0</v>
      </c>
      <c r="W281">
        <f>IF(ISNA(X281),NA(),W199)</f>
        <v>0</v>
      </c>
      <c r="X281">
        <f>IF(OR(X199="",AND(X199=X198,X199=X200)),NA(), X199)</f>
        <v>0</v>
      </c>
      <c r="Y281">
        <f>IF(ISNA(Z281),NA(),Y199)</f>
        <v>0</v>
      </c>
      <c r="Z281">
        <f>IF(OR(Z199="",AND(Z199=Z198,Z199=Z200)),NA(), Z199)</f>
        <v>0</v>
      </c>
      <c r="AA281">
        <f>IF(ISNA(AB281),NA(),AA199)</f>
        <v>0</v>
      </c>
      <c r="AB281">
        <f>IF(OR(AB199="",AND(AB199=AB198,AB199=AB200)),NA(), AB199)</f>
        <v>0</v>
      </c>
      <c r="AC281">
        <f>IF(ISNA(AD281),NA(),AC199)</f>
        <v>0</v>
      </c>
      <c r="AD281">
        <f>IF(OR(AD199="",AND(AD199=AD198,AD199=AD200)),NA(), AD199)</f>
        <v>0</v>
      </c>
      <c r="AE281">
        <f>IF(ISNA(AF281),NA(),AE199)</f>
        <v>0</v>
      </c>
      <c r="AF281">
        <f>IF(OR(AF199="",AND(AF199=AF198,AF199=AF200)),NA(), AF199)</f>
        <v>0</v>
      </c>
      <c r="AG281">
        <f>IF(ISNA(AH281),NA(),AG199)</f>
        <v>0</v>
      </c>
      <c r="AH281">
        <f>IF(OR(AH199="",AND(AH199=AH198,AH199=AH200)),NA(), AH199)</f>
        <v>0</v>
      </c>
      <c r="AI281">
        <f>IF(ISNA(AJ281),NA(),AI199)</f>
        <v>0</v>
      </c>
      <c r="AJ281">
        <f>IF(OR(AJ199="",AND(AJ199=AJ198,AJ199=AJ200)),NA(), AJ199)</f>
        <v>0</v>
      </c>
      <c r="AK281">
        <f>IF(ISNA(AL281),NA(),AK199)</f>
        <v>0</v>
      </c>
      <c r="AL281">
        <f>IF(OR(AL199="",AND(AL199=AL198,AL199=AL200)),NA(), AL199)</f>
        <v>0</v>
      </c>
      <c r="AM281">
        <f>IF(ISNA(AN281),NA(),AM199)</f>
        <v>0</v>
      </c>
      <c r="AN281">
        <f>IF(OR(AN199="",AND(AN199=AN198,AN199=AN200)),NA(), AN199)</f>
        <v>0</v>
      </c>
      <c r="AO281">
        <f>IF(ISNA(AP281),NA(),AO199)</f>
        <v>0</v>
      </c>
      <c r="AP281">
        <f>IF(OR(AP199="",AND(AP199=AP198,AP199=AP200)),NA(), AP199)</f>
        <v>0</v>
      </c>
      <c r="AQ281">
        <f>IF(ISNA(AR281),NA(),AQ199)</f>
        <v>0</v>
      </c>
      <c r="AR281">
        <f>IF(OR(AR199="",AND(AR199=AR198,AR199=AR200)),NA(), AR199)</f>
        <v>0</v>
      </c>
      <c r="AS281">
        <f>IF(ISNA(AT281),NA(),AS199)</f>
        <v>0</v>
      </c>
      <c r="AT281">
        <f>IF(OR(AT199="",AND(AT199=AT198,AT199=AT200)),NA(), AT199)</f>
        <v>0</v>
      </c>
      <c r="AU281">
        <f>IF(ISNA(AV281),NA(),AU199)</f>
        <v>0</v>
      </c>
      <c r="AV281">
        <f>IF(OR(AV199="",AND(AV199=AV198,AV199=AV200)),NA(), AV199)</f>
        <v>0</v>
      </c>
      <c r="AW281">
        <f>IF(ISNA(AX281),NA(),AW199)</f>
        <v>0</v>
      </c>
      <c r="AX281">
        <f>IF(OR(AX199="",AND(AX199=AX198,AX199=AX200)),NA(), AX199)</f>
        <v>0</v>
      </c>
      <c r="AY281">
        <f>IF(ISNA(AZ281),NA(),AY199)</f>
        <v>0</v>
      </c>
      <c r="AZ281">
        <f>IF(OR(AZ199="",AND(AZ199=AZ198,AZ199=AZ200)),NA(), AZ199)</f>
        <v>0</v>
      </c>
      <c r="BA281">
        <f>IF(ISNA(BB281),NA(),BA199)</f>
        <v>0</v>
      </c>
      <c r="BB281">
        <f>IF(OR(BB199="",AND(BB199=BB198,BB199=BB200)),NA(), BB199)</f>
        <v>0</v>
      </c>
      <c r="BC281">
        <f>IF(ISNA(BD281),NA(),BC199)</f>
        <v>0</v>
      </c>
      <c r="BD281">
        <f>IF(OR(BD199="",AND(BD199=BD198,BD199=BD200)),NA(), BD199)</f>
        <v>0</v>
      </c>
      <c r="BE281">
        <f>IF(ISNA(BF281),NA(),BE199)</f>
        <v>0</v>
      </c>
      <c r="BF281">
        <f>IF(OR(BF199="",AND(BF199=BF198,BF199=BF200)),NA(), BF199)</f>
        <v>0</v>
      </c>
      <c r="BG281">
        <f>IF(ISNA(BH281),NA(),BG199)</f>
        <v>0</v>
      </c>
      <c r="BH281">
        <f>IF(OR(BH199="",AND(BH199=BH198,BH199=BH200)),NA(), BH199)</f>
        <v>0</v>
      </c>
      <c r="BI281">
        <f>IF(ISNA(BJ281),NA(),BI199)</f>
        <v>0</v>
      </c>
      <c r="BJ281">
        <f>IF(OR(BJ199="",AND(BJ199=BJ198,BJ199=BJ200)),NA(), BJ199)</f>
        <v>0</v>
      </c>
      <c r="BK281">
        <f>IF(ISNA(BL281),NA(),BK199)</f>
        <v>0</v>
      </c>
      <c r="BL281">
        <f>IF(OR(BL199="",AND(BL199=BL198,BL199=BL200)),NA(), BL199)</f>
        <v>0</v>
      </c>
      <c r="BM281">
        <f>IF(ISNA(BN281),NA(),BM199)</f>
        <v>0</v>
      </c>
      <c r="BN281">
        <f>IF(OR(BN199="",AND(BN199=BN198,BN199=BN200)),NA(), BN199)</f>
        <v>0</v>
      </c>
      <c r="BO281">
        <f>IF(ISNA(BP281),NA(),BO199)</f>
        <v>0</v>
      </c>
      <c r="BP281">
        <f>IF(OR(BP199="",AND(BP199=BP198,BP199=BP200)),NA(), BP199)</f>
        <v>0</v>
      </c>
      <c r="BS281">
        <f>IF(ISNA(BT281),NA(),BS199)</f>
        <v>0</v>
      </c>
      <c r="BT281">
        <f>IF(OR(BT199="",AND(BT199=BT198,BT199=BT200)),NA(), BT199)</f>
        <v>0</v>
      </c>
      <c r="BU281">
        <f>IF(ISNA(BV281),NA(),BU199)</f>
        <v>0</v>
      </c>
      <c r="BV281">
        <f>IF(OR(BV199="",AND(BV199=BV198,BV199=BV200)),NA(), BV199)</f>
        <v>0</v>
      </c>
      <c r="BW281">
        <f>IF(ISNA(BX281),NA(),BW199)</f>
        <v>0</v>
      </c>
      <c r="BX281">
        <f>IF(OR(BX199="",AND(BX199=BX198,BX199=BX200)),NA(), BX199)</f>
        <v>0</v>
      </c>
      <c r="BY281">
        <f>IF(ISNA(BZ281),NA(),BY199)</f>
        <v>0</v>
      </c>
      <c r="BZ281">
        <f>IF(OR(BZ199="",AND(BZ199=BZ198,BZ199=BZ200)),NA(), BZ199)</f>
        <v>0</v>
      </c>
      <c r="CA281">
        <f>IF(ISNA(CB281),NA(),CA199)</f>
        <v>0</v>
      </c>
      <c r="CB281">
        <f>IF(OR(CB199="",AND(CB199=CB198,CB199=CB200)),NA(), CB199)</f>
        <v>0</v>
      </c>
      <c r="CC281">
        <f>IF(ISNA(CD281),NA(),CC199)</f>
        <v>0</v>
      </c>
      <c r="CD281">
        <f>IF(OR(CD199="",AND(CD199=CD198,CD199=CD200)),NA(), CD199)</f>
        <v>0</v>
      </c>
      <c r="CE281">
        <f>IF(ISNA(CF281),NA(),CE199)</f>
        <v>0</v>
      </c>
      <c r="CF281">
        <f>IF(OR(CF199="",AND(CF199=CF198,CF199=CF200)),NA(), CF199)</f>
        <v>0</v>
      </c>
      <c r="CG281">
        <f>IF(ISNA(CH281),NA(),CG199)</f>
        <v>0</v>
      </c>
      <c r="CH281">
        <f>IF(OR(CH199="",AND(CH199=CH198,CH199=CH200)),NA(), CH199)</f>
        <v>0</v>
      </c>
      <c r="CI281">
        <f>IF(ISNA(CJ281),NA(),CI199)</f>
        <v>0</v>
      </c>
      <c r="CJ281">
        <f>IF(OR(CJ199="",AND(CJ199=CJ198,CJ199=CJ200)),NA(), CJ199)</f>
        <v>0</v>
      </c>
      <c r="CK281">
        <f>IF(ISNA(CL281),NA(),CK199)</f>
        <v>0</v>
      </c>
      <c r="CL281">
        <f>IF(OR(CL199="",AND(CL199=CL198,CL199=CL200)),NA(), CL199)</f>
        <v>0</v>
      </c>
      <c r="CM281">
        <f>IF(ISNA(CN281),NA(),CM199)</f>
        <v>0</v>
      </c>
      <c r="CN281">
        <f>IF(OR(CN199="",AND(CN199=CN198,CN199=CN200)),NA(), CN199)</f>
        <v>0</v>
      </c>
      <c r="CO281">
        <f>IF(ISNA(CP281),NA(),CO199)</f>
        <v>0</v>
      </c>
      <c r="CP281">
        <f>IF(OR(CP199="",AND(CP199=CP198,CP199=CP200)),NA(), CP199)</f>
        <v>0</v>
      </c>
      <c r="CQ281">
        <f>IF(ISNA(CR281),NA(),CQ199)</f>
        <v>0</v>
      </c>
      <c r="CR281">
        <f>IF(OR(CR199="",AND(CR199=CR198,CR199=CR200)),NA(), CR199)</f>
        <v>0</v>
      </c>
      <c r="CS281">
        <f>IF(ISNA(CT281),NA(),CS199)</f>
        <v>0</v>
      </c>
      <c r="CT281">
        <f>IF(OR(CT199="",AND(CT199=CT198,CT199=CT200)),NA(), CT199)</f>
        <v>0</v>
      </c>
      <c r="CU281">
        <f>IF(ISNA(CV281),NA(),CU199)</f>
        <v>0</v>
      </c>
      <c r="CV281">
        <f>IF(OR(CV199="",AND(CV199=CV198,CV199=CV200)),NA(), CV199)</f>
        <v>0</v>
      </c>
      <c r="CW281">
        <f>IF(ISNA(CX281),NA(),CW199)</f>
        <v>0</v>
      </c>
      <c r="CX281">
        <f>IF(OR(CX199="",AND(CX199=CX198,CX199=CX200)),NA(), CX199)</f>
        <v>0</v>
      </c>
      <c r="CY281">
        <f>IF(ISNA(CZ281),NA(),CY199)</f>
        <v>0</v>
      </c>
      <c r="CZ281">
        <f>IF(OR(CZ199="",AND(CZ199=CZ198,CZ199=CZ200)),NA(), CZ199)</f>
        <v>0</v>
      </c>
      <c r="DA281">
        <f>IF(ISNA(DB281),NA(),DA199)</f>
        <v>0</v>
      </c>
      <c r="DB281">
        <f>IF(OR(DB199="",AND(DB199=DB198,DB199=DB200)),NA(), DB199)</f>
        <v>0</v>
      </c>
      <c r="DC281">
        <f>IF(ISNA(DD281),NA(),DC199)</f>
        <v>0</v>
      </c>
      <c r="DD281">
        <f>IF(OR(DD199="",AND(DD199=DD198,DD199=DD200)),NA(), DD199)</f>
        <v>0</v>
      </c>
      <c r="DE281">
        <f>IF(ISNA(DF281),NA(),DE199)</f>
        <v>0</v>
      </c>
      <c r="DF281">
        <f>IF(OR(DF199="",AND(DF199=DF198,DF199=DF200)),NA(), DF199)</f>
        <v>0</v>
      </c>
      <c r="DG281">
        <f>IF(ISNA(DH281),NA(),DG199)</f>
        <v>0</v>
      </c>
      <c r="DH281">
        <f>IF(OR(DH199="",AND(DH199=DH198,DH199=DH200)),NA(), DH199)</f>
        <v>0</v>
      </c>
      <c r="DI281">
        <f>IF(ISNA(DJ281),NA(),DI199)</f>
        <v>0</v>
      </c>
      <c r="DJ281">
        <f>IF(OR(DJ199="",AND(DJ199=DJ198,DJ199=DJ200)),NA(), DJ199)</f>
        <v>0</v>
      </c>
      <c r="DK281">
        <f>IF(ISNA(DL281),NA(),DK199)</f>
        <v>0</v>
      </c>
      <c r="DL281">
        <f>IF(OR(DL199="",AND(DL199=DL198,DL199=DL200)),NA(), DL199)</f>
        <v>0</v>
      </c>
      <c r="DM281">
        <f>IF(ISNA(DN281),NA(),DM199)</f>
        <v>0</v>
      </c>
      <c r="DN281">
        <f>IF(OR(DN199="",AND(DN199=DN198,DN199=DN200)),NA(), DN199)</f>
        <v>0</v>
      </c>
      <c r="DO281">
        <f>IF(ISNA(DP281),NA(),DO199)</f>
        <v>0</v>
      </c>
      <c r="DP281">
        <f>IF(OR(DP199="",AND(DP199=DP198,DP199=DP200)),NA(), DP199)</f>
        <v>0</v>
      </c>
      <c r="DQ281">
        <f>IF(ISNA(DR281),NA(),DQ199)</f>
        <v>0</v>
      </c>
      <c r="DR281">
        <f>IF(OR(DR199="",AND(DR199=DR198,DR199=DR200)),NA(), DR199)</f>
        <v>0</v>
      </c>
      <c r="DS281">
        <f>IF(ISNA(DT281),NA(),DS199)</f>
        <v>0</v>
      </c>
      <c r="DT281">
        <f>IF(OR(DT199="",AND(DT199=DT198,DT199=DT200)),NA(), DT199)</f>
        <v>0</v>
      </c>
      <c r="DU281">
        <f>IF(ISNA(DV281),NA(),DU199)</f>
        <v>0</v>
      </c>
      <c r="DV281">
        <f>IF(OR(DV199="",AND(DV199=DV198,DV199=DV200)),NA(), DV199)</f>
        <v>0</v>
      </c>
      <c r="DW281">
        <f>IF(ISNA(DX281),NA(),DW199)</f>
        <v>0</v>
      </c>
      <c r="DX281">
        <f>IF(OR(DX199="",AND(DX199=DX198,DX199=DX200)),NA(), DX199)</f>
        <v>0</v>
      </c>
      <c r="DY281">
        <f>IF(ISNA(DZ281),NA(),DY199)</f>
        <v>0</v>
      </c>
      <c r="DZ281">
        <f>IF(OR(DZ199="",AND(DZ199=DZ198,DZ199=DZ200)),NA(), DZ199)</f>
        <v>0</v>
      </c>
      <c r="EA281">
        <f>IF(ISNA(EB281),NA(),EA199)</f>
        <v>0</v>
      </c>
      <c r="EB281">
        <f>IF(OR(EB199="",AND(EB199=EB198,EB199=EB200)),NA(), EB199)</f>
        <v>0</v>
      </c>
      <c r="EC281">
        <f>IF(ISNA(ED281),NA(),EC199)</f>
        <v>0</v>
      </c>
      <c r="ED281">
        <f>IF(OR(ED199="",AND(ED199=ED198,ED199=ED200)),NA(), ED199)</f>
        <v>0</v>
      </c>
    </row>
    <row r="282" spans="5:134">
      <c r="E282">
        <f>IF(ISNA(F282),NA(),E200)</f>
        <v>0</v>
      </c>
      <c r="F282">
        <f>IF(OR(F200="",AND(F200=F199,F200=F201)),NA(), F200)</f>
        <v>0</v>
      </c>
      <c r="G282">
        <f>IF(ISNA(H282),NA(),G200)</f>
        <v>0</v>
      </c>
      <c r="H282">
        <f>IF(OR(H200="",AND(H200=H199,H200=H201)),NA(), H200)</f>
        <v>0</v>
      </c>
      <c r="I282">
        <f>IF(ISNA(J282),NA(),I200)</f>
        <v>0</v>
      </c>
      <c r="J282">
        <f>IF(OR(J200="",AND(J200=J199,J200=J201)),NA(), J200)</f>
        <v>0</v>
      </c>
      <c r="K282">
        <f>IF(ISNA(L282),NA(),K200)</f>
        <v>0</v>
      </c>
      <c r="L282">
        <f>IF(OR(L200="",AND(L200=L199,L200=L201)),NA(), L200)</f>
        <v>0</v>
      </c>
      <c r="M282">
        <f>IF(ISNA(N282),NA(),M200)</f>
        <v>0</v>
      </c>
      <c r="N282">
        <f>IF(OR(N200="",AND(N200=N199,N200=N201)),NA(), N200)</f>
        <v>0</v>
      </c>
      <c r="O282">
        <f>IF(ISNA(P282),NA(),O200)</f>
        <v>0</v>
      </c>
      <c r="P282">
        <f>IF(OR(P200="",AND(P200=P199,P200=P201)),NA(), P200)</f>
        <v>0</v>
      </c>
      <c r="Q282">
        <f>IF(ISNA(R282),NA(),Q200)</f>
        <v>0</v>
      </c>
      <c r="R282">
        <f>IF(OR(R200="",AND(R200=R199,R200=R201)),NA(), R200)</f>
        <v>0</v>
      </c>
      <c r="S282">
        <f>IF(ISNA(T282),NA(),S200)</f>
        <v>0</v>
      </c>
      <c r="T282">
        <f>IF(OR(T200="",AND(T200=T199,T200=T201)),NA(), T200)</f>
        <v>0</v>
      </c>
      <c r="U282">
        <f>IF(ISNA(V282),NA(),U200)</f>
        <v>0</v>
      </c>
      <c r="V282">
        <f>IF(OR(V200="",AND(V200=V199,V200=V201)),NA(), V200)</f>
        <v>0</v>
      </c>
      <c r="W282">
        <f>IF(ISNA(X282),NA(),W200)</f>
        <v>0</v>
      </c>
      <c r="X282">
        <f>IF(OR(X200="",AND(X200=X199,X200=X201)),NA(), X200)</f>
        <v>0</v>
      </c>
      <c r="Y282">
        <f>IF(ISNA(Z282),NA(),Y200)</f>
        <v>0</v>
      </c>
      <c r="Z282">
        <f>IF(OR(Z200="",AND(Z200=Z199,Z200=Z201)),NA(), Z200)</f>
        <v>0</v>
      </c>
      <c r="AA282">
        <f>IF(ISNA(AB282),NA(),AA200)</f>
        <v>0</v>
      </c>
      <c r="AB282">
        <f>IF(OR(AB200="",AND(AB200=AB199,AB200=AB201)),NA(), AB200)</f>
        <v>0</v>
      </c>
      <c r="AC282">
        <f>IF(ISNA(AD282),NA(),AC200)</f>
        <v>0</v>
      </c>
      <c r="AD282">
        <f>IF(OR(AD200="",AND(AD200=AD199,AD200=AD201)),NA(), AD200)</f>
        <v>0</v>
      </c>
      <c r="AE282">
        <f>IF(ISNA(AF282),NA(),AE200)</f>
        <v>0</v>
      </c>
      <c r="AF282">
        <f>IF(OR(AF200="",AND(AF200=AF199,AF200=AF201)),NA(), AF200)</f>
        <v>0</v>
      </c>
      <c r="AG282">
        <f>IF(ISNA(AH282),NA(),AG200)</f>
        <v>0</v>
      </c>
      <c r="AH282">
        <f>IF(OR(AH200="",AND(AH200=AH199,AH200=AH201)),NA(), AH200)</f>
        <v>0</v>
      </c>
      <c r="AI282">
        <f>IF(ISNA(AJ282),NA(),AI200)</f>
        <v>0</v>
      </c>
      <c r="AJ282">
        <f>IF(OR(AJ200="",AND(AJ200=AJ199,AJ200=AJ201)),NA(), AJ200)</f>
        <v>0</v>
      </c>
      <c r="AK282">
        <f>IF(ISNA(AL282),NA(),AK200)</f>
        <v>0</v>
      </c>
      <c r="AL282">
        <f>IF(OR(AL200="",AND(AL200=AL199,AL200=AL201)),NA(), AL200)</f>
        <v>0</v>
      </c>
      <c r="AM282">
        <f>IF(ISNA(AN282),NA(),AM200)</f>
        <v>0</v>
      </c>
      <c r="AN282">
        <f>IF(OR(AN200="",AND(AN200=AN199,AN200=AN201)),NA(), AN200)</f>
        <v>0</v>
      </c>
      <c r="AO282">
        <f>IF(ISNA(AP282),NA(),AO200)</f>
        <v>0</v>
      </c>
      <c r="AP282">
        <f>IF(OR(AP200="",AND(AP200=AP199,AP200=AP201)),NA(), AP200)</f>
        <v>0</v>
      </c>
      <c r="AQ282">
        <f>IF(ISNA(AR282),NA(),AQ200)</f>
        <v>0</v>
      </c>
      <c r="AR282">
        <f>IF(OR(AR200="",AND(AR200=AR199,AR200=AR201)),NA(), AR200)</f>
        <v>0</v>
      </c>
      <c r="AS282">
        <f>IF(ISNA(AT282),NA(),AS200)</f>
        <v>0</v>
      </c>
      <c r="AT282">
        <f>IF(OR(AT200="",AND(AT200=AT199,AT200=AT201)),NA(), AT200)</f>
        <v>0</v>
      </c>
      <c r="AU282">
        <f>IF(ISNA(AV282),NA(),AU200)</f>
        <v>0</v>
      </c>
      <c r="AV282">
        <f>IF(OR(AV200="",AND(AV200=AV199,AV200=AV201)),NA(), AV200)</f>
        <v>0</v>
      </c>
      <c r="AW282">
        <f>IF(ISNA(AX282),NA(),AW200)</f>
        <v>0</v>
      </c>
      <c r="AX282">
        <f>IF(OR(AX200="",AND(AX200=AX199,AX200=AX201)),NA(), AX200)</f>
        <v>0</v>
      </c>
      <c r="AY282">
        <f>IF(ISNA(AZ282),NA(),AY200)</f>
        <v>0</v>
      </c>
      <c r="AZ282">
        <f>IF(OR(AZ200="",AND(AZ200=AZ199,AZ200=AZ201)),NA(), AZ200)</f>
        <v>0</v>
      </c>
      <c r="BA282">
        <f>IF(ISNA(BB282),NA(),BA200)</f>
        <v>0</v>
      </c>
      <c r="BB282">
        <f>IF(OR(BB200="",AND(BB200=BB199,BB200=BB201)),NA(), BB200)</f>
        <v>0</v>
      </c>
      <c r="BC282">
        <f>IF(ISNA(BD282),NA(),BC200)</f>
        <v>0</v>
      </c>
      <c r="BD282">
        <f>IF(OR(BD200="",AND(BD200=BD199,BD200=BD201)),NA(), BD200)</f>
        <v>0</v>
      </c>
      <c r="BE282">
        <f>IF(ISNA(BF282),NA(),BE200)</f>
        <v>0</v>
      </c>
      <c r="BF282">
        <f>IF(OR(BF200="",AND(BF200=BF199,BF200=BF201)),NA(), BF200)</f>
        <v>0</v>
      </c>
      <c r="BG282">
        <f>IF(ISNA(BH282),NA(),BG200)</f>
        <v>0</v>
      </c>
      <c r="BH282">
        <f>IF(OR(BH200="",AND(BH200=BH199,BH200=BH201)),NA(), BH200)</f>
        <v>0</v>
      </c>
      <c r="BI282">
        <f>IF(ISNA(BJ282),NA(),BI200)</f>
        <v>0</v>
      </c>
      <c r="BJ282">
        <f>IF(OR(BJ200="",AND(BJ200=BJ199,BJ200=BJ201)),NA(), BJ200)</f>
        <v>0</v>
      </c>
      <c r="BK282">
        <f>IF(ISNA(BL282),NA(),BK200)</f>
        <v>0</v>
      </c>
      <c r="BL282">
        <f>IF(OR(BL200="",AND(BL200=BL199,BL200=BL201)),NA(), BL200)</f>
        <v>0</v>
      </c>
      <c r="BM282">
        <f>IF(ISNA(BN282),NA(),BM200)</f>
        <v>0</v>
      </c>
      <c r="BN282">
        <f>IF(OR(BN200="",AND(BN200=BN199,BN200=BN201)),NA(), BN200)</f>
        <v>0</v>
      </c>
      <c r="BO282">
        <f>IF(ISNA(BP282),NA(),BO200)</f>
        <v>0</v>
      </c>
      <c r="BP282">
        <f>IF(OR(BP200="",AND(BP200=BP199,BP200=BP201)),NA(), BP200)</f>
        <v>0</v>
      </c>
      <c r="BS282">
        <f>IF(ISNA(BT282),NA(),BS200)</f>
        <v>0</v>
      </c>
      <c r="BT282">
        <f>IF(OR(BT200="",AND(BT200=BT199,BT200=BT201)),NA(), BT200)</f>
        <v>0</v>
      </c>
      <c r="BU282">
        <f>IF(ISNA(BV282),NA(),BU200)</f>
        <v>0</v>
      </c>
      <c r="BV282">
        <f>IF(OR(BV200="",AND(BV200=BV199,BV200=BV201)),NA(), BV200)</f>
        <v>0</v>
      </c>
      <c r="BW282">
        <f>IF(ISNA(BX282),NA(),BW200)</f>
        <v>0</v>
      </c>
      <c r="BX282">
        <f>IF(OR(BX200="",AND(BX200=BX199,BX200=BX201)),NA(), BX200)</f>
        <v>0</v>
      </c>
      <c r="BY282">
        <f>IF(ISNA(BZ282),NA(),BY200)</f>
        <v>0</v>
      </c>
      <c r="BZ282">
        <f>IF(OR(BZ200="",AND(BZ200=BZ199,BZ200=BZ201)),NA(), BZ200)</f>
        <v>0</v>
      </c>
      <c r="CA282">
        <f>IF(ISNA(CB282),NA(),CA200)</f>
        <v>0</v>
      </c>
      <c r="CB282">
        <f>IF(OR(CB200="",AND(CB200=CB199,CB200=CB201)),NA(), CB200)</f>
        <v>0</v>
      </c>
      <c r="CC282">
        <f>IF(ISNA(CD282),NA(),CC200)</f>
        <v>0</v>
      </c>
      <c r="CD282">
        <f>IF(OR(CD200="",AND(CD200=CD199,CD200=CD201)),NA(), CD200)</f>
        <v>0</v>
      </c>
      <c r="CE282">
        <f>IF(ISNA(CF282),NA(),CE200)</f>
        <v>0</v>
      </c>
      <c r="CF282">
        <f>IF(OR(CF200="",AND(CF200=CF199,CF200=CF201)),NA(), CF200)</f>
        <v>0</v>
      </c>
      <c r="CG282">
        <f>IF(ISNA(CH282),NA(),CG200)</f>
        <v>0</v>
      </c>
      <c r="CH282">
        <f>IF(OR(CH200="",AND(CH200=CH199,CH200=CH201)),NA(), CH200)</f>
        <v>0</v>
      </c>
      <c r="CI282">
        <f>IF(ISNA(CJ282),NA(),CI200)</f>
        <v>0</v>
      </c>
      <c r="CJ282">
        <f>IF(OR(CJ200="",AND(CJ200=CJ199,CJ200=CJ201)),NA(), CJ200)</f>
        <v>0</v>
      </c>
      <c r="CK282">
        <f>IF(ISNA(CL282),NA(),CK200)</f>
        <v>0</v>
      </c>
      <c r="CL282">
        <f>IF(OR(CL200="",AND(CL200=CL199,CL200=CL201)),NA(), CL200)</f>
        <v>0</v>
      </c>
      <c r="CM282">
        <f>IF(ISNA(CN282),NA(),CM200)</f>
        <v>0</v>
      </c>
      <c r="CN282">
        <f>IF(OR(CN200="",AND(CN200=CN199,CN200=CN201)),NA(), CN200)</f>
        <v>0</v>
      </c>
      <c r="CO282">
        <f>IF(ISNA(CP282),NA(),CO200)</f>
        <v>0</v>
      </c>
      <c r="CP282">
        <f>IF(OR(CP200="",AND(CP200=CP199,CP200=CP201)),NA(), CP200)</f>
        <v>0</v>
      </c>
      <c r="CQ282">
        <f>IF(ISNA(CR282),NA(),CQ200)</f>
        <v>0</v>
      </c>
      <c r="CR282">
        <f>IF(OR(CR200="",AND(CR200=CR199,CR200=CR201)),NA(), CR200)</f>
        <v>0</v>
      </c>
      <c r="CS282">
        <f>IF(ISNA(CT282),NA(),CS200)</f>
        <v>0</v>
      </c>
      <c r="CT282">
        <f>IF(OR(CT200="",AND(CT200=CT199,CT200=CT201)),NA(), CT200)</f>
        <v>0</v>
      </c>
      <c r="CU282">
        <f>IF(ISNA(CV282),NA(),CU200)</f>
        <v>0</v>
      </c>
      <c r="CV282">
        <f>IF(OR(CV200="",AND(CV200=CV199,CV200=CV201)),NA(), CV200)</f>
        <v>0</v>
      </c>
      <c r="CW282">
        <f>IF(ISNA(CX282),NA(),CW200)</f>
        <v>0</v>
      </c>
      <c r="CX282">
        <f>IF(OR(CX200="",AND(CX200=CX199,CX200=CX201)),NA(), CX200)</f>
        <v>0</v>
      </c>
      <c r="CY282">
        <f>IF(ISNA(CZ282),NA(),CY200)</f>
        <v>0</v>
      </c>
      <c r="CZ282">
        <f>IF(OR(CZ200="",AND(CZ200=CZ199,CZ200=CZ201)),NA(), CZ200)</f>
        <v>0</v>
      </c>
      <c r="DA282">
        <f>IF(ISNA(DB282),NA(),DA200)</f>
        <v>0</v>
      </c>
      <c r="DB282">
        <f>IF(OR(DB200="",AND(DB200=DB199,DB200=DB201)),NA(), DB200)</f>
        <v>0</v>
      </c>
      <c r="DC282">
        <f>IF(ISNA(DD282),NA(),DC200)</f>
        <v>0</v>
      </c>
      <c r="DD282">
        <f>IF(OR(DD200="",AND(DD200=DD199,DD200=DD201)),NA(), DD200)</f>
        <v>0</v>
      </c>
      <c r="DE282">
        <f>IF(ISNA(DF282),NA(),DE200)</f>
        <v>0</v>
      </c>
      <c r="DF282">
        <f>IF(OR(DF200="",AND(DF200=DF199,DF200=DF201)),NA(), DF200)</f>
        <v>0</v>
      </c>
      <c r="DG282">
        <f>IF(ISNA(DH282),NA(),DG200)</f>
        <v>0</v>
      </c>
      <c r="DH282">
        <f>IF(OR(DH200="",AND(DH200=DH199,DH200=DH201)),NA(), DH200)</f>
        <v>0</v>
      </c>
      <c r="DI282">
        <f>IF(ISNA(DJ282),NA(),DI200)</f>
        <v>0</v>
      </c>
      <c r="DJ282">
        <f>IF(OR(DJ200="",AND(DJ200=DJ199,DJ200=DJ201)),NA(), DJ200)</f>
        <v>0</v>
      </c>
      <c r="DK282">
        <f>IF(ISNA(DL282),NA(),DK200)</f>
        <v>0</v>
      </c>
      <c r="DL282">
        <f>IF(OR(DL200="",AND(DL200=DL199,DL200=DL201)),NA(), DL200)</f>
        <v>0</v>
      </c>
      <c r="DM282">
        <f>IF(ISNA(DN282),NA(),DM200)</f>
        <v>0</v>
      </c>
      <c r="DN282">
        <f>IF(OR(DN200="",AND(DN200=DN199,DN200=DN201)),NA(), DN200)</f>
        <v>0</v>
      </c>
      <c r="DO282">
        <f>IF(ISNA(DP282),NA(),DO200)</f>
        <v>0</v>
      </c>
      <c r="DP282">
        <f>IF(OR(DP200="",AND(DP200=DP199,DP200=DP201)),NA(), DP200)</f>
        <v>0</v>
      </c>
      <c r="DQ282">
        <f>IF(ISNA(DR282),NA(),DQ200)</f>
        <v>0</v>
      </c>
      <c r="DR282">
        <f>IF(OR(DR200="",AND(DR200=DR199,DR200=DR201)),NA(), DR200)</f>
        <v>0</v>
      </c>
      <c r="DS282">
        <f>IF(ISNA(DT282),NA(),DS200)</f>
        <v>0</v>
      </c>
      <c r="DT282">
        <f>IF(OR(DT200="",AND(DT200=DT199,DT200=DT201)),NA(), DT200)</f>
        <v>0</v>
      </c>
      <c r="DU282">
        <f>IF(ISNA(DV282),NA(),DU200)</f>
        <v>0</v>
      </c>
      <c r="DV282">
        <f>IF(OR(DV200="",AND(DV200=DV199,DV200=DV201)),NA(), DV200)</f>
        <v>0</v>
      </c>
      <c r="DW282">
        <f>IF(ISNA(DX282),NA(),DW200)</f>
        <v>0</v>
      </c>
      <c r="DX282">
        <f>IF(OR(DX200="",AND(DX200=DX199,DX200=DX201)),NA(), DX200)</f>
        <v>0</v>
      </c>
      <c r="DY282">
        <f>IF(ISNA(DZ282),NA(),DY200)</f>
        <v>0</v>
      </c>
      <c r="DZ282">
        <f>IF(OR(DZ200="",AND(DZ200=DZ199,DZ200=DZ201)),NA(), DZ200)</f>
        <v>0</v>
      </c>
      <c r="EA282">
        <f>IF(ISNA(EB282),NA(),EA200)</f>
        <v>0</v>
      </c>
      <c r="EB282">
        <f>IF(OR(EB200="",AND(EB200=EB199,EB200=EB201)),NA(), EB200)</f>
        <v>0</v>
      </c>
      <c r="EC282">
        <f>IF(ISNA(ED282),NA(),EC200)</f>
        <v>0</v>
      </c>
      <c r="ED282">
        <f>IF(OR(ED200="",AND(ED200=ED199,ED200=ED201)),NA(), ED200)</f>
        <v>0</v>
      </c>
    </row>
    <row r="283" spans="5:134">
      <c r="E283">
        <f>IF(ISNA(F283),NA(),E201)</f>
        <v>0</v>
      </c>
      <c r="F283">
        <f>IF(OR(F201="",AND(F201=F200,F201=F202)),NA(), F201)</f>
        <v>0</v>
      </c>
      <c r="G283">
        <f>IF(ISNA(H283),NA(),G201)</f>
        <v>0</v>
      </c>
      <c r="H283">
        <f>IF(OR(H201="",AND(H201=H200,H201=H202)),NA(), H201)</f>
        <v>0</v>
      </c>
      <c r="I283">
        <f>IF(ISNA(J283),NA(),I201)</f>
        <v>0</v>
      </c>
      <c r="J283">
        <f>IF(OR(J201="",AND(J201=J200,J201=J202)),NA(), J201)</f>
        <v>0</v>
      </c>
      <c r="K283">
        <f>IF(ISNA(L283),NA(),K201)</f>
        <v>0</v>
      </c>
      <c r="L283">
        <f>IF(OR(L201="",AND(L201=L200,L201=L202)),NA(), L201)</f>
        <v>0</v>
      </c>
      <c r="M283">
        <f>IF(ISNA(N283),NA(),M201)</f>
        <v>0</v>
      </c>
      <c r="N283">
        <f>IF(OR(N201="",AND(N201=N200,N201=N202)),NA(), N201)</f>
        <v>0</v>
      </c>
      <c r="O283">
        <f>IF(ISNA(P283),NA(),O201)</f>
        <v>0</v>
      </c>
      <c r="P283">
        <f>IF(OR(P201="",AND(P201=P200,P201=P202)),NA(), P201)</f>
        <v>0</v>
      </c>
      <c r="Q283">
        <f>IF(ISNA(R283),NA(),Q201)</f>
        <v>0</v>
      </c>
      <c r="R283">
        <f>IF(OR(R201="",AND(R201=R200,R201=R202)),NA(), R201)</f>
        <v>0</v>
      </c>
      <c r="S283">
        <f>IF(ISNA(T283),NA(),S201)</f>
        <v>0</v>
      </c>
      <c r="T283">
        <f>IF(OR(T201="",AND(T201=T200,T201=T202)),NA(), T201)</f>
        <v>0</v>
      </c>
      <c r="U283">
        <f>IF(ISNA(V283),NA(),U201)</f>
        <v>0</v>
      </c>
      <c r="V283">
        <f>IF(OR(V201="",AND(V201=V200,V201=V202)),NA(), V201)</f>
        <v>0</v>
      </c>
      <c r="W283">
        <f>IF(ISNA(X283),NA(),W201)</f>
        <v>0</v>
      </c>
      <c r="X283">
        <f>IF(OR(X201="",AND(X201=X200,X201=X202)),NA(), X201)</f>
        <v>0</v>
      </c>
      <c r="Y283">
        <f>IF(ISNA(Z283),NA(),Y201)</f>
        <v>0</v>
      </c>
      <c r="Z283">
        <f>IF(OR(Z201="",AND(Z201=Z200,Z201=Z202)),NA(), Z201)</f>
        <v>0</v>
      </c>
      <c r="AA283">
        <f>IF(ISNA(AB283),NA(),AA201)</f>
        <v>0</v>
      </c>
      <c r="AB283">
        <f>IF(OR(AB201="",AND(AB201=AB200,AB201=AB202)),NA(), AB201)</f>
        <v>0</v>
      </c>
      <c r="AC283">
        <f>IF(ISNA(AD283),NA(),AC201)</f>
        <v>0</v>
      </c>
      <c r="AD283">
        <f>IF(OR(AD201="",AND(AD201=AD200,AD201=AD202)),NA(), AD201)</f>
        <v>0</v>
      </c>
      <c r="AE283">
        <f>IF(ISNA(AF283),NA(),AE201)</f>
        <v>0</v>
      </c>
      <c r="AF283">
        <f>IF(OR(AF201="",AND(AF201=AF200,AF201=AF202)),NA(), AF201)</f>
        <v>0</v>
      </c>
      <c r="AG283">
        <f>IF(ISNA(AH283),NA(),AG201)</f>
        <v>0</v>
      </c>
      <c r="AH283">
        <f>IF(OR(AH201="",AND(AH201=AH200,AH201=AH202)),NA(), AH201)</f>
        <v>0</v>
      </c>
      <c r="AI283">
        <f>IF(ISNA(AJ283),NA(),AI201)</f>
        <v>0</v>
      </c>
      <c r="AJ283">
        <f>IF(OR(AJ201="",AND(AJ201=AJ200,AJ201=AJ202)),NA(), AJ201)</f>
        <v>0</v>
      </c>
      <c r="AK283">
        <f>IF(ISNA(AL283),NA(),AK201)</f>
        <v>0</v>
      </c>
      <c r="AL283">
        <f>IF(OR(AL201="",AND(AL201=AL200,AL201=AL202)),NA(), AL201)</f>
        <v>0</v>
      </c>
      <c r="AM283">
        <f>IF(ISNA(AN283),NA(),AM201)</f>
        <v>0</v>
      </c>
      <c r="AN283">
        <f>IF(OR(AN201="",AND(AN201=AN200,AN201=AN202)),NA(), AN201)</f>
        <v>0</v>
      </c>
      <c r="AO283">
        <f>IF(ISNA(AP283),NA(),AO201)</f>
        <v>0</v>
      </c>
      <c r="AP283">
        <f>IF(OR(AP201="",AND(AP201=AP200,AP201=AP202)),NA(), AP201)</f>
        <v>0</v>
      </c>
      <c r="AQ283">
        <f>IF(ISNA(AR283),NA(),AQ201)</f>
        <v>0</v>
      </c>
      <c r="AR283">
        <f>IF(OR(AR201="",AND(AR201=AR200,AR201=AR202)),NA(), AR201)</f>
        <v>0</v>
      </c>
      <c r="AS283">
        <f>IF(ISNA(AT283),NA(),AS201)</f>
        <v>0</v>
      </c>
      <c r="AT283">
        <f>IF(OR(AT201="",AND(AT201=AT200,AT201=AT202)),NA(), AT201)</f>
        <v>0</v>
      </c>
      <c r="AU283">
        <f>IF(ISNA(AV283),NA(),AU201)</f>
        <v>0</v>
      </c>
      <c r="AV283">
        <f>IF(OR(AV201="",AND(AV201=AV200,AV201=AV202)),NA(), AV201)</f>
        <v>0</v>
      </c>
      <c r="AW283">
        <f>IF(ISNA(AX283),NA(),AW201)</f>
        <v>0</v>
      </c>
      <c r="AX283">
        <f>IF(OR(AX201="",AND(AX201=AX200,AX201=AX202)),NA(), AX201)</f>
        <v>0</v>
      </c>
      <c r="AY283">
        <f>IF(ISNA(AZ283),NA(),AY201)</f>
        <v>0</v>
      </c>
      <c r="AZ283">
        <f>IF(OR(AZ201="",AND(AZ201=AZ200,AZ201=AZ202)),NA(), AZ201)</f>
        <v>0</v>
      </c>
      <c r="BA283">
        <f>IF(ISNA(BB283),NA(),BA201)</f>
        <v>0</v>
      </c>
      <c r="BB283">
        <f>IF(OR(BB201="",AND(BB201=BB200,BB201=BB202)),NA(), BB201)</f>
        <v>0</v>
      </c>
      <c r="BC283">
        <f>IF(ISNA(BD283),NA(),BC201)</f>
        <v>0</v>
      </c>
      <c r="BD283">
        <f>IF(OR(BD201="",AND(BD201=BD200,BD201=BD202)),NA(), BD201)</f>
        <v>0</v>
      </c>
      <c r="BE283">
        <f>IF(ISNA(BF283),NA(),BE201)</f>
        <v>0</v>
      </c>
      <c r="BF283">
        <f>IF(OR(BF201="",AND(BF201=BF200,BF201=BF202)),NA(), BF201)</f>
        <v>0</v>
      </c>
      <c r="BG283">
        <f>IF(ISNA(BH283),NA(),BG201)</f>
        <v>0</v>
      </c>
      <c r="BH283">
        <f>IF(OR(BH201="",AND(BH201=BH200,BH201=BH202)),NA(), BH201)</f>
        <v>0</v>
      </c>
      <c r="BI283">
        <f>IF(ISNA(BJ283),NA(),BI201)</f>
        <v>0</v>
      </c>
      <c r="BJ283">
        <f>IF(OR(BJ201="",AND(BJ201=BJ200,BJ201=BJ202)),NA(), BJ201)</f>
        <v>0</v>
      </c>
      <c r="BK283">
        <f>IF(ISNA(BL283),NA(),BK201)</f>
        <v>0</v>
      </c>
      <c r="BL283">
        <f>IF(OR(BL201="",AND(BL201=BL200,BL201=BL202)),NA(), BL201)</f>
        <v>0</v>
      </c>
      <c r="BM283">
        <f>IF(ISNA(BN283),NA(),BM201)</f>
        <v>0</v>
      </c>
      <c r="BN283">
        <f>IF(OR(BN201="",AND(BN201=BN200,BN201=BN202)),NA(), BN201)</f>
        <v>0</v>
      </c>
      <c r="BO283">
        <f>IF(ISNA(BP283),NA(),BO201)</f>
        <v>0</v>
      </c>
      <c r="BP283">
        <f>IF(OR(BP201="",AND(BP201=BP200,BP201=BP202)),NA(), BP201)</f>
        <v>0</v>
      </c>
      <c r="BS283">
        <f>IF(ISNA(BT283),NA(),BS201)</f>
        <v>0</v>
      </c>
      <c r="BT283">
        <f>IF(OR(BT201="",AND(BT201=BT200,BT201=BT202)),NA(), BT201)</f>
        <v>0</v>
      </c>
      <c r="BU283">
        <f>IF(ISNA(BV283),NA(),BU201)</f>
        <v>0</v>
      </c>
      <c r="BV283">
        <f>IF(OR(BV201="",AND(BV201=BV200,BV201=BV202)),NA(), BV201)</f>
        <v>0</v>
      </c>
      <c r="BW283">
        <f>IF(ISNA(BX283),NA(),BW201)</f>
        <v>0</v>
      </c>
      <c r="BX283">
        <f>IF(OR(BX201="",AND(BX201=BX200,BX201=BX202)),NA(), BX201)</f>
        <v>0</v>
      </c>
      <c r="BY283">
        <f>IF(ISNA(BZ283),NA(),BY201)</f>
        <v>0</v>
      </c>
      <c r="BZ283">
        <f>IF(OR(BZ201="",AND(BZ201=BZ200,BZ201=BZ202)),NA(), BZ201)</f>
        <v>0</v>
      </c>
      <c r="CA283">
        <f>IF(ISNA(CB283),NA(),CA201)</f>
        <v>0</v>
      </c>
      <c r="CB283">
        <f>IF(OR(CB201="",AND(CB201=CB200,CB201=CB202)),NA(), CB201)</f>
        <v>0</v>
      </c>
      <c r="CC283">
        <f>IF(ISNA(CD283),NA(),CC201)</f>
        <v>0</v>
      </c>
      <c r="CD283">
        <f>IF(OR(CD201="",AND(CD201=CD200,CD201=CD202)),NA(), CD201)</f>
        <v>0</v>
      </c>
      <c r="CE283">
        <f>IF(ISNA(CF283),NA(),CE201)</f>
        <v>0</v>
      </c>
      <c r="CF283">
        <f>IF(OR(CF201="",AND(CF201=CF200,CF201=CF202)),NA(), CF201)</f>
        <v>0</v>
      </c>
      <c r="CG283">
        <f>IF(ISNA(CH283),NA(),CG201)</f>
        <v>0</v>
      </c>
      <c r="CH283">
        <f>IF(OR(CH201="",AND(CH201=CH200,CH201=CH202)),NA(), CH201)</f>
        <v>0</v>
      </c>
      <c r="CI283">
        <f>IF(ISNA(CJ283),NA(),CI201)</f>
        <v>0</v>
      </c>
      <c r="CJ283">
        <f>IF(OR(CJ201="",AND(CJ201=CJ200,CJ201=CJ202)),NA(), CJ201)</f>
        <v>0</v>
      </c>
      <c r="CK283">
        <f>IF(ISNA(CL283),NA(),CK201)</f>
        <v>0</v>
      </c>
      <c r="CL283">
        <f>IF(OR(CL201="",AND(CL201=CL200,CL201=CL202)),NA(), CL201)</f>
        <v>0</v>
      </c>
      <c r="CM283">
        <f>IF(ISNA(CN283),NA(),CM201)</f>
        <v>0</v>
      </c>
      <c r="CN283">
        <f>IF(OR(CN201="",AND(CN201=CN200,CN201=CN202)),NA(), CN201)</f>
        <v>0</v>
      </c>
      <c r="CO283">
        <f>IF(ISNA(CP283),NA(),CO201)</f>
        <v>0</v>
      </c>
      <c r="CP283">
        <f>IF(OR(CP201="",AND(CP201=CP200,CP201=CP202)),NA(), CP201)</f>
        <v>0</v>
      </c>
      <c r="CQ283">
        <f>IF(ISNA(CR283),NA(),CQ201)</f>
        <v>0</v>
      </c>
      <c r="CR283">
        <f>IF(OR(CR201="",AND(CR201=CR200,CR201=CR202)),NA(), CR201)</f>
        <v>0</v>
      </c>
      <c r="CS283">
        <f>IF(ISNA(CT283),NA(),CS201)</f>
        <v>0</v>
      </c>
      <c r="CT283">
        <f>IF(OR(CT201="",AND(CT201=CT200,CT201=CT202)),NA(), CT201)</f>
        <v>0</v>
      </c>
      <c r="CU283">
        <f>IF(ISNA(CV283),NA(),CU201)</f>
        <v>0</v>
      </c>
      <c r="CV283">
        <f>IF(OR(CV201="",AND(CV201=CV200,CV201=CV202)),NA(), CV201)</f>
        <v>0</v>
      </c>
      <c r="CW283">
        <f>IF(ISNA(CX283),NA(),CW201)</f>
        <v>0</v>
      </c>
      <c r="CX283">
        <f>IF(OR(CX201="",AND(CX201=CX200,CX201=CX202)),NA(), CX201)</f>
        <v>0</v>
      </c>
      <c r="CY283">
        <f>IF(ISNA(CZ283),NA(),CY201)</f>
        <v>0</v>
      </c>
      <c r="CZ283">
        <f>IF(OR(CZ201="",AND(CZ201=CZ200,CZ201=CZ202)),NA(), CZ201)</f>
        <v>0</v>
      </c>
      <c r="DA283">
        <f>IF(ISNA(DB283),NA(),DA201)</f>
        <v>0</v>
      </c>
      <c r="DB283">
        <f>IF(OR(DB201="",AND(DB201=DB200,DB201=DB202)),NA(), DB201)</f>
        <v>0</v>
      </c>
      <c r="DC283">
        <f>IF(ISNA(DD283),NA(),DC201)</f>
        <v>0</v>
      </c>
      <c r="DD283">
        <f>IF(OR(DD201="",AND(DD201=DD200,DD201=DD202)),NA(), DD201)</f>
        <v>0</v>
      </c>
      <c r="DE283">
        <f>IF(ISNA(DF283),NA(),DE201)</f>
        <v>0</v>
      </c>
      <c r="DF283">
        <f>IF(OR(DF201="",AND(DF201=DF200,DF201=DF202)),NA(), DF201)</f>
        <v>0</v>
      </c>
      <c r="DG283">
        <f>IF(ISNA(DH283),NA(),DG201)</f>
        <v>0</v>
      </c>
      <c r="DH283">
        <f>IF(OR(DH201="",AND(DH201=DH200,DH201=DH202)),NA(), DH201)</f>
        <v>0</v>
      </c>
      <c r="DI283">
        <f>IF(ISNA(DJ283),NA(),DI201)</f>
        <v>0</v>
      </c>
      <c r="DJ283">
        <f>IF(OR(DJ201="",AND(DJ201=DJ200,DJ201=DJ202)),NA(), DJ201)</f>
        <v>0</v>
      </c>
      <c r="DK283">
        <f>IF(ISNA(DL283),NA(),DK201)</f>
        <v>0</v>
      </c>
      <c r="DL283">
        <f>IF(OR(DL201="",AND(DL201=DL200,DL201=DL202)),NA(), DL201)</f>
        <v>0</v>
      </c>
      <c r="DM283">
        <f>IF(ISNA(DN283),NA(),DM201)</f>
        <v>0</v>
      </c>
      <c r="DN283">
        <f>IF(OR(DN201="",AND(DN201=DN200,DN201=DN202)),NA(), DN201)</f>
        <v>0</v>
      </c>
      <c r="DO283">
        <f>IF(ISNA(DP283),NA(),DO201)</f>
        <v>0</v>
      </c>
      <c r="DP283">
        <f>IF(OR(DP201="",AND(DP201=DP200,DP201=DP202)),NA(), DP201)</f>
        <v>0</v>
      </c>
      <c r="DQ283">
        <f>IF(ISNA(DR283),NA(),DQ201)</f>
        <v>0</v>
      </c>
      <c r="DR283">
        <f>IF(OR(DR201="",AND(DR201=DR200,DR201=DR202)),NA(), DR201)</f>
        <v>0</v>
      </c>
      <c r="DS283">
        <f>IF(ISNA(DT283),NA(),DS201)</f>
        <v>0</v>
      </c>
      <c r="DT283">
        <f>IF(OR(DT201="",AND(DT201=DT200,DT201=DT202)),NA(), DT201)</f>
        <v>0</v>
      </c>
      <c r="DU283">
        <f>IF(ISNA(DV283),NA(),DU201)</f>
        <v>0</v>
      </c>
      <c r="DV283">
        <f>IF(OR(DV201="",AND(DV201=DV200,DV201=DV202)),NA(), DV201)</f>
        <v>0</v>
      </c>
      <c r="DW283">
        <f>IF(ISNA(DX283),NA(),DW201)</f>
        <v>0</v>
      </c>
      <c r="DX283">
        <f>IF(OR(DX201="",AND(DX201=DX200,DX201=DX202)),NA(), DX201)</f>
        <v>0</v>
      </c>
      <c r="DY283">
        <f>IF(ISNA(DZ283),NA(),DY201)</f>
        <v>0</v>
      </c>
      <c r="DZ283">
        <f>IF(OR(DZ201="",AND(DZ201=DZ200,DZ201=DZ202)),NA(), DZ201)</f>
        <v>0</v>
      </c>
      <c r="EA283">
        <f>IF(ISNA(EB283),NA(),EA201)</f>
        <v>0</v>
      </c>
      <c r="EB283">
        <f>IF(OR(EB201="",AND(EB201=EB200,EB201=EB202)),NA(), EB201)</f>
        <v>0</v>
      </c>
      <c r="EC283">
        <f>IF(ISNA(ED283),NA(),EC201)</f>
        <v>0</v>
      </c>
      <c r="ED283">
        <f>IF(OR(ED201="",AND(ED201=ED200,ED201=ED202)),NA(), ED201)</f>
        <v>0</v>
      </c>
    </row>
    <row r="284" spans="5:134">
      <c r="E284">
        <f>IF(ISNA(F284),NA(),E202)</f>
        <v>0</v>
      </c>
      <c r="F284">
        <f>IF(OR(F202="",AND(F202=F201,F202=F203)),NA(), F202)</f>
        <v>0</v>
      </c>
      <c r="G284">
        <f>IF(ISNA(H284),NA(),G202)</f>
        <v>0</v>
      </c>
      <c r="H284">
        <f>IF(OR(H202="",AND(H202=H201,H202=H203)),NA(), H202)</f>
        <v>0</v>
      </c>
      <c r="I284">
        <f>IF(ISNA(J284),NA(),I202)</f>
        <v>0</v>
      </c>
      <c r="J284">
        <f>IF(OR(J202="",AND(J202=J201,J202=J203)),NA(), J202)</f>
        <v>0</v>
      </c>
      <c r="K284">
        <f>IF(ISNA(L284),NA(),K202)</f>
        <v>0</v>
      </c>
      <c r="L284">
        <f>IF(OR(L202="",AND(L202=L201,L202=L203)),NA(), L202)</f>
        <v>0</v>
      </c>
      <c r="M284">
        <f>IF(ISNA(N284),NA(),M202)</f>
        <v>0</v>
      </c>
      <c r="N284">
        <f>IF(OR(N202="",AND(N202=N201,N202=N203)),NA(), N202)</f>
        <v>0</v>
      </c>
      <c r="O284">
        <f>IF(ISNA(P284),NA(),O202)</f>
        <v>0</v>
      </c>
      <c r="P284">
        <f>IF(OR(P202="",AND(P202=P201,P202=P203)),NA(), P202)</f>
        <v>0</v>
      </c>
      <c r="Q284">
        <f>IF(ISNA(R284),NA(),Q202)</f>
        <v>0</v>
      </c>
      <c r="R284">
        <f>IF(OR(R202="",AND(R202=R201,R202=R203)),NA(), R202)</f>
        <v>0</v>
      </c>
      <c r="S284">
        <f>IF(ISNA(T284),NA(),S202)</f>
        <v>0</v>
      </c>
      <c r="T284">
        <f>IF(OR(T202="",AND(T202=T201,T202=T203)),NA(), T202)</f>
        <v>0</v>
      </c>
      <c r="U284">
        <f>IF(ISNA(V284),NA(),U202)</f>
        <v>0</v>
      </c>
      <c r="V284">
        <f>IF(OR(V202="",AND(V202=V201,V202=V203)),NA(), V202)</f>
        <v>0</v>
      </c>
      <c r="W284">
        <f>IF(ISNA(X284),NA(),W202)</f>
        <v>0</v>
      </c>
      <c r="X284">
        <f>IF(OR(X202="",AND(X202=X201,X202=X203)),NA(), X202)</f>
        <v>0</v>
      </c>
      <c r="Y284">
        <f>IF(ISNA(Z284),NA(),Y202)</f>
        <v>0</v>
      </c>
      <c r="Z284">
        <f>IF(OR(Z202="",AND(Z202=Z201,Z202=Z203)),NA(), Z202)</f>
        <v>0</v>
      </c>
      <c r="AA284">
        <f>IF(ISNA(AB284),NA(),AA202)</f>
        <v>0</v>
      </c>
      <c r="AB284">
        <f>IF(OR(AB202="",AND(AB202=AB201,AB202=AB203)),NA(), AB202)</f>
        <v>0</v>
      </c>
      <c r="AC284">
        <f>IF(ISNA(AD284),NA(),AC202)</f>
        <v>0</v>
      </c>
      <c r="AD284">
        <f>IF(OR(AD202="",AND(AD202=AD201,AD202=AD203)),NA(), AD202)</f>
        <v>0</v>
      </c>
      <c r="AE284">
        <f>IF(ISNA(AF284),NA(),AE202)</f>
        <v>0</v>
      </c>
      <c r="AF284">
        <f>IF(OR(AF202="",AND(AF202=AF201,AF202=AF203)),NA(), AF202)</f>
        <v>0</v>
      </c>
      <c r="AG284">
        <f>IF(ISNA(AH284),NA(),AG202)</f>
        <v>0</v>
      </c>
      <c r="AH284">
        <f>IF(OR(AH202="",AND(AH202=AH201,AH202=AH203)),NA(), AH202)</f>
        <v>0</v>
      </c>
      <c r="AI284">
        <f>IF(ISNA(AJ284),NA(),AI202)</f>
        <v>0</v>
      </c>
      <c r="AJ284">
        <f>IF(OR(AJ202="",AND(AJ202=AJ201,AJ202=AJ203)),NA(), AJ202)</f>
        <v>0</v>
      </c>
      <c r="AK284">
        <f>IF(ISNA(AL284),NA(),AK202)</f>
        <v>0</v>
      </c>
      <c r="AL284">
        <f>IF(OR(AL202="",AND(AL202=AL201,AL202=AL203)),NA(), AL202)</f>
        <v>0</v>
      </c>
      <c r="AM284">
        <f>IF(ISNA(AN284),NA(),AM202)</f>
        <v>0</v>
      </c>
      <c r="AN284">
        <f>IF(OR(AN202="",AND(AN202=AN201,AN202=AN203)),NA(), AN202)</f>
        <v>0</v>
      </c>
      <c r="AO284">
        <f>IF(ISNA(AP284),NA(),AO202)</f>
        <v>0</v>
      </c>
      <c r="AP284">
        <f>IF(OR(AP202="",AND(AP202=AP201,AP202=AP203)),NA(), AP202)</f>
        <v>0</v>
      </c>
      <c r="AQ284">
        <f>IF(ISNA(AR284),NA(),AQ202)</f>
        <v>0</v>
      </c>
      <c r="AR284">
        <f>IF(OR(AR202="",AND(AR202=AR201,AR202=AR203)),NA(), AR202)</f>
        <v>0</v>
      </c>
      <c r="AS284">
        <f>IF(ISNA(AT284),NA(),AS202)</f>
        <v>0</v>
      </c>
      <c r="AT284">
        <f>IF(OR(AT202="",AND(AT202=AT201,AT202=AT203)),NA(), AT202)</f>
        <v>0</v>
      </c>
      <c r="AU284">
        <f>IF(ISNA(AV284),NA(),AU202)</f>
        <v>0</v>
      </c>
      <c r="AV284">
        <f>IF(OR(AV202="",AND(AV202=AV201,AV202=AV203)),NA(), AV202)</f>
        <v>0</v>
      </c>
      <c r="AW284">
        <f>IF(ISNA(AX284),NA(),AW202)</f>
        <v>0</v>
      </c>
      <c r="AX284">
        <f>IF(OR(AX202="",AND(AX202=AX201,AX202=AX203)),NA(), AX202)</f>
        <v>0</v>
      </c>
      <c r="AY284">
        <f>IF(ISNA(AZ284),NA(),AY202)</f>
        <v>0</v>
      </c>
      <c r="AZ284">
        <f>IF(OR(AZ202="",AND(AZ202=AZ201,AZ202=AZ203)),NA(), AZ202)</f>
        <v>0</v>
      </c>
      <c r="BA284">
        <f>IF(ISNA(BB284),NA(),BA202)</f>
        <v>0</v>
      </c>
      <c r="BB284">
        <f>IF(OR(BB202="",AND(BB202=BB201,BB202=BB203)),NA(), BB202)</f>
        <v>0</v>
      </c>
      <c r="BC284">
        <f>IF(ISNA(BD284),NA(),BC202)</f>
        <v>0</v>
      </c>
      <c r="BD284">
        <f>IF(OR(BD202="",AND(BD202=BD201,BD202=BD203)),NA(), BD202)</f>
        <v>0</v>
      </c>
      <c r="BE284">
        <f>IF(ISNA(BF284),NA(),BE202)</f>
        <v>0</v>
      </c>
      <c r="BF284">
        <f>IF(OR(BF202="",AND(BF202=BF201,BF202=BF203)),NA(), BF202)</f>
        <v>0</v>
      </c>
      <c r="BG284">
        <f>IF(ISNA(BH284),NA(),BG202)</f>
        <v>0</v>
      </c>
      <c r="BH284">
        <f>IF(OR(BH202="",AND(BH202=BH201,BH202=BH203)),NA(), BH202)</f>
        <v>0</v>
      </c>
      <c r="BI284">
        <f>IF(ISNA(BJ284),NA(),BI202)</f>
        <v>0</v>
      </c>
      <c r="BJ284">
        <f>IF(OR(BJ202="",AND(BJ202=BJ201,BJ202=BJ203)),NA(), BJ202)</f>
        <v>0</v>
      </c>
      <c r="BK284">
        <f>IF(ISNA(BL284),NA(),BK202)</f>
        <v>0</v>
      </c>
      <c r="BL284">
        <f>IF(OR(BL202="",AND(BL202=BL201,BL202=BL203)),NA(), BL202)</f>
        <v>0</v>
      </c>
      <c r="BM284">
        <f>IF(ISNA(BN284),NA(),BM202)</f>
        <v>0</v>
      </c>
      <c r="BN284">
        <f>IF(OR(BN202="",AND(BN202=BN201,BN202=BN203)),NA(), BN202)</f>
        <v>0</v>
      </c>
      <c r="BO284">
        <f>IF(ISNA(BP284),NA(),BO202)</f>
        <v>0</v>
      </c>
      <c r="BP284">
        <f>IF(OR(BP202="",AND(BP202=BP201,BP202=BP203)),NA(), BP202)</f>
        <v>0</v>
      </c>
      <c r="BS284">
        <f>IF(ISNA(BT284),NA(),BS202)</f>
        <v>0</v>
      </c>
      <c r="BT284">
        <f>IF(OR(BT202="",AND(BT202=BT201,BT202=BT203)),NA(), BT202)</f>
        <v>0</v>
      </c>
      <c r="BU284">
        <f>IF(ISNA(BV284),NA(),BU202)</f>
        <v>0</v>
      </c>
      <c r="BV284">
        <f>IF(OR(BV202="",AND(BV202=BV201,BV202=BV203)),NA(), BV202)</f>
        <v>0</v>
      </c>
      <c r="BW284">
        <f>IF(ISNA(BX284),NA(),BW202)</f>
        <v>0</v>
      </c>
      <c r="BX284">
        <f>IF(OR(BX202="",AND(BX202=BX201,BX202=BX203)),NA(), BX202)</f>
        <v>0</v>
      </c>
      <c r="BY284">
        <f>IF(ISNA(BZ284),NA(),BY202)</f>
        <v>0</v>
      </c>
      <c r="BZ284">
        <f>IF(OR(BZ202="",AND(BZ202=BZ201,BZ202=BZ203)),NA(), BZ202)</f>
        <v>0</v>
      </c>
      <c r="CA284">
        <f>IF(ISNA(CB284),NA(),CA202)</f>
        <v>0</v>
      </c>
      <c r="CB284">
        <f>IF(OR(CB202="",AND(CB202=CB201,CB202=CB203)),NA(), CB202)</f>
        <v>0</v>
      </c>
      <c r="CC284">
        <f>IF(ISNA(CD284),NA(),CC202)</f>
        <v>0</v>
      </c>
      <c r="CD284">
        <f>IF(OR(CD202="",AND(CD202=CD201,CD202=CD203)),NA(), CD202)</f>
        <v>0</v>
      </c>
      <c r="CE284">
        <f>IF(ISNA(CF284),NA(),CE202)</f>
        <v>0</v>
      </c>
      <c r="CF284">
        <f>IF(OR(CF202="",AND(CF202=CF201,CF202=CF203)),NA(), CF202)</f>
        <v>0</v>
      </c>
      <c r="CG284">
        <f>IF(ISNA(CH284),NA(),CG202)</f>
        <v>0</v>
      </c>
      <c r="CH284">
        <f>IF(OR(CH202="",AND(CH202=CH201,CH202=CH203)),NA(), CH202)</f>
        <v>0</v>
      </c>
      <c r="CI284">
        <f>IF(ISNA(CJ284),NA(),CI202)</f>
        <v>0</v>
      </c>
      <c r="CJ284">
        <f>IF(OR(CJ202="",AND(CJ202=CJ201,CJ202=CJ203)),NA(), CJ202)</f>
        <v>0</v>
      </c>
      <c r="CK284">
        <f>IF(ISNA(CL284),NA(),CK202)</f>
        <v>0</v>
      </c>
      <c r="CL284">
        <f>IF(OR(CL202="",AND(CL202=CL201,CL202=CL203)),NA(), CL202)</f>
        <v>0</v>
      </c>
      <c r="CM284">
        <f>IF(ISNA(CN284),NA(),CM202)</f>
        <v>0</v>
      </c>
      <c r="CN284">
        <f>IF(OR(CN202="",AND(CN202=CN201,CN202=CN203)),NA(), CN202)</f>
        <v>0</v>
      </c>
      <c r="CO284">
        <f>IF(ISNA(CP284),NA(),CO202)</f>
        <v>0</v>
      </c>
      <c r="CP284">
        <f>IF(OR(CP202="",AND(CP202=CP201,CP202=CP203)),NA(), CP202)</f>
        <v>0</v>
      </c>
      <c r="CQ284">
        <f>IF(ISNA(CR284),NA(),CQ202)</f>
        <v>0</v>
      </c>
      <c r="CR284">
        <f>IF(OR(CR202="",AND(CR202=CR201,CR202=CR203)),NA(), CR202)</f>
        <v>0</v>
      </c>
      <c r="CS284">
        <f>IF(ISNA(CT284),NA(),CS202)</f>
        <v>0</v>
      </c>
      <c r="CT284">
        <f>IF(OR(CT202="",AND(CT202=CT201,CT202=CT203)),NA(), CT202)</f>
        <v>0</v>
      </c>
      <c r="CU284">
        <f>IF(ISNA(CV284),NA(),CU202)</f>
        <v>0</v>
      </c>
      <c r="CV284">
        <f>IF(OR(CV202="",AND(CV202=CV201,CV202=CV203)),NA(), CV202)</f>
        <v>0</v>
      </c>
      <c r="CW284">
        <f>IF(ISNA(CX284),NA(),CW202)</f>
        <v>0</v>
      </c>
      <c r="CX284">
        <f>IF(OR(CX202="",AND(CX202=CX201,CX202=CX203)),NA(), CX202)</f>
        <v>0</v>
      </c>
      <c r="CY284">
        <f>IF(ISNA(CZ284),NA(),CY202)</f>
        <v>0</v>
      </c>
      <c r="CZ284">
        <f>IF(OR(CZ202="",AND(CZ202=CZ201,CZ202=CZ203)),NA(), CZ202)</f>
        <v>0</v>
      </c>
      <c r="DA284">
        <f>IF(ISNA(DB284),NA(),DA202)</f>
        <v>0</v>
      </c>
      <c r="DB284">
        <f>IF(OR(DB202="",AND(DB202=DB201,DB202=DB203)),NA(), DB202)</f>
        <v>0</v>
      </c>
      <c r="DC284">
        <f>IF(ISNA(DD284),NA(),DC202)</f>
        <v>0</v>
      </c>
      <c r="DD284">
        <f>IF(OR(DD202="",AND(DD202=DD201,DD202=DD203)),NA(), DD202)</f>
        <v>0</v>
      </c>
      <c r="DE284">
        <f>IF(ISNA(DF284),NA(),DE202)</f>
        <v>0</v>
      </c>
      <c r="DF284">
        <f>IF(OR(DF202="",AND(DF202=DF201,DF202=DF203)),NA(), DF202)</f>
        <v>0</v>
      </c>
      <c r="DG284">
        <f>IF(ISNA(DH284),NA(),DG202)</f>
        <v>0</v>
      </c>
      <c r="DH284">
        <f>IF(OR(DH202="",AND(DH202=DH201,DH202=DH203)),NA(), DH202)</f>
        <v>0</v>
      </c>
      <c r="DI284">
        <f>IF(ISNA(DJ284),NA(),DI202)</f>
        <v>0</v>
      </c>
      <c r="DJ284">
        <f>IF(OR(DJ202="",AND(DJ202=DJ201,DJ202=DJ203)),NA(), DJ202)</f>
        <v>0</v>
      </c>
      <c r="DK284">
        <f>IF(ISNA(DL284),NA(),DK202)</f>
        <v>0</v>
      </c>
      <c r="DL284">
        <f>IF(OR(DL202="",AND(DL202=DL201,DL202=DL203)),NA(), DL202)</f>
        <v>0</v>
      </c>
      <c r="DM284">
        <f>IF(ISNA(DN284),NA(),DM202)</f>
        <v>0</v>
      </c>
      <c r="DN284">
        <f>IF(OR(DN202="",AND(DN202=DN201,DN202=DN203)),NA(), DN202)</f>
        <v>0</v>
      </c>
      <c r="DO284">
        <f>IF(ISNA(DP284),NA(),DO202)</f>
        <v>0</v>
      </c>
      <c r="DP284">
        <f>IF(OR(DP202="",AND(DP202=DP201,DP202=DP203)),NA(), DP202)</f>
        <v>0</v>
      </c>
      <c r="DQ284">
        <f>IF(ISNA(DR284),NA(),DQ202)</f>
        <v>0</v>
      </c>
      <c r="DR284">
        <f>IF(OR(DR202="",AND(DR202=DR201,DR202=DR203)),NA(), DR202)</f>
        <v>0</v>
      </c>
      <c r="DS284">
        <f>IF(ISNA(DT284),NA(),DS202)</f>
        <v>0</v>
      </c>
      <c r="DT284">
        <f>IF(OR(DT202="",AND(DT202=DT201,DT202=DT203)),NA(), DT202)</f>
        <v>0</v>
      </c>
      <c r="DU284">
        <f>IF(ISNA(DV284),NA(),DU202)</f>
        <v>0</v>
      </c>
      <c r="DV284">
        <f>IF(OR(DV202="",AND(DV202=DV201,DV202=DV203)),NA(), DV202)</f>
        <v>0</v>
      </c>
      <c r="DW284">
        <f>IF(ISNA(DX284),NA(),DW202)</f>
        <v>0</v>
      </c>
      <c r="DX284">
        <f>IF(OR(DX202="",AND(DX202=DX201,DX202=DX203)),NA(), DX202)</f>
        <v>0</v>
      </c>
      <c r="DY284">
        <f>IF(ISNA(DZ284),NA(),DY202)</f>
        <v>0</v>
      </c>
      <c r="DZ284">
        <f>IF(OR(DZ202="",AND(DZ202=DZ201,DZ202=DZ203)),NA(), DZ202)</f>
        <v>0</v>
      </c>
      <c r="EA284">
        <f>IF(ISNA(EB284),NA(),EA202)</f>
        <v>0</v>
      </c>
      <c r="EB284">
        <f>IF(OR(EB202="",AND(EB202=EB201,EB202=EB203)),NA(), EB202)</f>
        <v>0</v>
      </c>
      <c r="EC284">
        <f>IF(ISNA(ED284),NA(),EC202)</f>
        <v>0</v>
      </c>
      <c r="ED284">
        <f>IF(OR(ED202="",AND(ED202=ED201,ED202=ED203)),NA(), ED202)</f>
        <v>0</v>
      </c>
    </row>
    <row r="285" spans="5:134">
      <c r="E285">
        <f>IF(ISNA(F285),NA(),E203)</f>
        <v>0</v>
      </c>
      <c r="F285">
        <f>IF(OR(F203="",AND(F203=F202,F203=F204)),NA(), F203)</f>
        <v>0</v>
      </c>
      <c r="G285">
        <f>IF(ISNA(H285),NA(),G203)</f>
        <v>0</v>
      </c>
      <c r="H285">
        <f>IF(OR(H203="",AND(H203=H202,H203=H204)),NA(), H203)</f>
        <v>0</v>
      </c>
      <c r="I285">
        <f>IF(ISNA(J285),NA(),I203)</f>
        <v>0</v>
      </c>
      <c r="J285">
        <f>IF(OR(J203="",AND(J203=J202,J203=J204)),NA(), J203)</f>
        <v>0</v>
      </c>
      <c r="K285">
        <f>IF(ISNA(L285),NA(),K203)</f>
        <v>0</v>
      </c>
      <c r="L285">
        <f>IF(OR(L203="",AND(L203=L202,L203=L204)),NA(), L203)</f>
        <v>0</v>
      </c>
      <c r="M285">
        <f>IF(ISNA(N285),NA(),M203)</f>
        <v>0</v>
      </c>
      <c r="N285">
        <f>IF(OR(N203="",AND(N203=N202,N203=N204)),NA(), N203)</f>
        <v>0</v>
      </c>
      <c r="O285">
        <f>IF(ISNA(P285),NA(),O203)</f>
        <v>0</v>
      </c>
      <c r="P285">
        <f>IF(OR(P203="",AND(P203=P202,P203=P204)),NA(), P203)</f>
        <v>0</v>
      </c>
      <c r="Q285">
        <f>IF(ISNA(R285),NA(),Q203)</f>
        <v>0</v>
      </c>
      <c r="R285">
        <f>IF(OR(R203="",AND(R203=R202,R203=R204)),NA(), R203)</f>
        <v>0</v>
      </c>
      <c r="S285">
        <f>IF(ISNA(T285),NA(),S203)</f>
        <v>0</v>
      </c>
      <c r="T285">
        <f>IF(OR(T203="",AND(T203=T202,T203=T204)),NA(), T203)</f>
        <v>0</v>
      </c>
      <c r="U285">
        <f>IF(ISNA(V285),NA(),U203)</f>
        <v>0</v>
      </c>
      <c r="V285">
        <f>IF(OR(V203="",AND(V203=V202,V203=V204)),NA(), V203)</f>
        <v>0</v>
      </c>
      <c r="W285">
        <f>IF(ISNA(X285),NA(),W203)</f>
        <v>0</v>
      </c>
      <c r="X285">
        <f>IF(OR(X203="",AND(X203=X202,X203=X204)),NA(), X203)</f>
        <v>0</v>
      </c>
      <c r="Y285">
        <f>IF(ISNA(Z285),NA(),Y203)</f>
        <v>0</v>
      </c>
      <c r="Z285">
        <f>IF(OR(Z203="",AND(Z203=Z202,Z203=Z204)),NA(), Z203)</f>
        <v>0</v>
      </c>
      <c r="AA285">
        <f>IF(ISNA(AB285),NA(),AA203)</f>
        <v>0</v>
      </c>
      <c r="AB285">
        <f>IF(OR(AB203="",AND(AB203=AB202,AB203=AB204)),NA(), AB203)</f>
        <v>0</v>
      </c>
      <c r="AC285">
        <f>IF(ISNA(AD285),NA(),AC203)</f>
        <v>0</v>
      </c>
      <c r="AD285">
        <f>IF(OR(AD203="",AND(AD203=AD202,AD203=AD204)),NA(), AD203)</f>
        <v>0</v>
      </c>
      <c r="AE285">
        <f>IF(ISNA(AF285),NA(),AE203)</f>
        <v>0</v>
      </c>
      <c r="AF285">
        <f>IF(OR(AF203="",AND(AF203=AF202,AF203=AF204)),NA(), AF203)</f>
        <v>0</v>
      </c>
      <c r="AG285">
        <f>IF(ISNA(AH285),NA(),AG203)</f>
        <v>0</v>
      </c>
      <c r="AH285">
        <f>IF(OR(AH203="",AND(AH203=AH202,AH203=AH204)),NA(), AH203)</f>
        <v>0</v>
      </c>
      <c r="AI285">
        <f>IF(ISNA(AJ285),NA(),AI203)</f>
        <v>0</v>
      </c>
      <c r="AJ285">
        <f>IF(OR(AJ203="",AND(AJ203=AJ202,AJ203=AJ204)),NA(), AJ203)</f>
        <v>0</v>
      </c>
      <c r="AK285">
        <f>IF(ISNA(AL285),NA(),AK203)</f>
        <v>0</v>
      </c>
      <c r="AL285">
        <f>IF(OR(AL203="",AND(AL203=AL202,AL203=AL204)),NA(), AL203)</f>
        <v>0</v>
      </c>
      <c r="AM285">
        <f>IF(ISNA(AN285),NA(),AM203)</f>
        <v>0</v>
      </c>
      <c r="AN285">
        <f>IF(OR(AN203="",AND(AN203=AN202,AN203=AN204)),NA(), AN203)</f>
        <v>0</v>
      </c>
      <c r="AO285">
        <f>IF(ISNA(AP285),NA(),AO203)</f>
        <v>0</v>
      </c>
      <c r="AP285">
        <f>IF(OR(AP203="",AND(AP203=AP202,AP203=AP204)),NA(), AP203)</f>
        <v>0</v>
      </c>
      <c r="AQ285">
        <f>IF(ISNA(AR285),NA(),AQ203)</f>
        <v>0</v>
      </c>
      <c r="AR285">
        <f>IF(OR(AR203="",AND(AR203=AR202,AR203=AR204)),NA(), AR203)</f>
        <v>0</v>
      </c>
      <c r="AS285">
        <f>IF(ISNA(AT285),NA(),AS203)</f>
        <v>0</v>
      </c>
      <c r="AT285">
        <f>IF(OR(AT203="",AND(AT203=AT202,AT203=AT204)),NA(), AT203)</f>
        <v>0</v>
      </c>
      <c r="AU285">
        <f>IF(ISNA(AV285),NA(),AU203)</f>
        <v>0</v>
      </c>
      <c r="AV285">
        <f>IF(OR(AV203="",AND(AV203=AV202,AV203=AV204)),NA(), AV203)</f>
        <v>0</v>
      </c>
      <c r="AW285">
        <f>IF(ISNA(AX285),NA(),AW203)</f>
        <v>0</v>
      </c>
      <c r="AX285">
        <f>IF(OR(AX203="",AND(AX203=AX202,AX203=AX204)),NA(), AX203)</f>
        <v>0</v>
      </c>
      <c r="AY285">
        <f>IF(ISNA(AZ285),NA(),AY203)</f>
        <v>0</v>
      </c>
      <c r="AZ285">
        <f>IF(OR(AZ203="",AND(AZ203=AZ202,AZ203=AZ204)),NA(), AZ203)</f>
        <v>0</v>
      </c>
      <c r="BA285">
        <f>IF(ISNA(BB285),NA(),BA203)</f>
        <v>0</v>
      </c>
      <c r="BB285">
        <f>IF(OR(BB203="",AND(BB203=BB202,BB203=BB204)),NA(), BB203)</f>
        <v>0</v>
      </c>
      <c r="BC285">
        <f>IF(ISNA(BD285),NA(),BC203)</f>
        <v>0</v>
      </c>
      <c r="BD285">
        <f>IF(OR(BD203="",AND(BD203=BD202,BD203=BD204)),NA(), BD203)</f>
        <v>0</v>
      </c>
      <c r="BE285">
        <f>IF(ISNA(BF285),NA(),BE203)</f>
        <v>0</v>
      </c>
      <c r="BF285">
        <f>IF(OR(BF203="",AND(BF203=BF202,BF203=BF204)),NA(), BF203)</f>
        <v>0</v>
      </c>
      <c r="BG285">
        <f>IF(ISNA(BH285),NA(),BG203)</f>
        <v>0</v>
      </c>
      <c r="BH285">
        <f>IF(OR(BH203="",AND(BH203=BH202,BH203=BH204)),NA(), BH203)</f>
        <v>0</v>
      </c>
      <c r="BI285">
        <f>IF(ISNA(BJ285),NA(),BI203)</f>
        <v>0</v>
      </c>
      <c r="BJ285">
        <f>IF(OR(BJ203="",AND(BJ203=BJ202,BJ203=BJ204)),NA(), BJ203)</f>
        <v>0</v>
      </c>
      <c r="BK285">
        <f>IF(ISNA(BL285),NA(),BK203)</f>
        <v>0</v>
      </c>
      <c r="BL285">
        <f>IF(OR(BL203="",AND(BL203=BL202,BL203=BL204)),NA(), BL203)</f>
        <v>0</v>
      </c>
      <c r="BM285">
        <f>IF(ISNA(BN285),NA(),BM203)</f>
        <v>0</v>
      </c>
      <c r="BN285">
        <f>IF(OR(BN203="",AND(BN203=BN202,BN203=BN204)),NA(), BN203)</f>
        <v>0</v>
      </c>
      <c r="BO285">
        <f>IF(ISNA(BP285),NA(),BO203)</f>
        <v>0</v>
      </c>
      <c r="BP285">
        <f>IF(OR(BP203="",AND(BP203=BP202,BP203=BP204)),NA(), BP203)</f>
        <v>0</v>
      </c>
      <c r="BS285">
        <f>IF(ISNA(BT285),NA(),BS203)</f>
        <v>0</v>
      </c>
      <c r="BT285">
        <f>IF(OR(BT203="",AND(BT203=BT202,BT203=BT204)),NA(), BT203)</f>
        <v>0</v>
      </c>
      <c r="BU285">
        <f>IF(ISNA(BV285),NA(),BU203)</f>
        <v>0</v>
      </c>
      <c r="BV285">
        <f>IF(OR(BV203="",AND(BV203=BV202,BV203=BV204)),NA(), BV203)</f>
        <v>0</v>
      </c>
      <c r="BW285">
        <f>IF(ISNA(BX285),NA(),BW203)</f>
        <v>0</v>
      </c>
      <c r="BX285">
        <f>IF(OR(BX203="",AND(BX203=BX202,BX203=BX204)),NA(), BX203)</f>
        <v>0</v>
      </c>
      <c r="BY285">
        <f>IF(ISNA(BZ285),NA(),BY203)</f>
        <v>0</v>
      </c>
      <c r="BZ285">
        <f>IF(OR(BZ203="",AND(BZ203=BZ202,BZ203=BZ204)),NA(), BZ203)</f>
        <v>0</v>
      </c>
      <c r="CA285">
        <f>IF(ISNA(CB285),NA(),CA203)</f>
        <v>0</v>
      </c>
      <c r="CB285">
        <f>IF(OR(CB203="",AND(CB203=CB202,CB203=CB204)),NA(), CB203)</f>
        <v>0</v>
      </c>
      <c r="CC285">
        <f>IF(ISNA(CD285),NA(),CC203)</f>
        <v>0</v>
      </c>
      <c r="CD285">
        <f>IF(OR(CD203="",AND(CD203=CD202,CD203=CD204)),NA(), CD203)</f>
        <v>0</v>
      </c>
      <c r="CE285">
        <f>IF(ISNA(CF285),NA(),CE203)</f>
        <v>0</v>
      </c>
      <c r="CF285">
        <f>IF(OR(CF203="",AND(CF203=CF202,CF203=CF204)),NA(), CF203)</f>
        <v>0</v>
      </c>
      <c r="CG285">
        <f>IF(ISNA(CH285),NA(),CG203)</f>
        <v>0</v>
      </c>
      <c r="CH285">
        <f>IF(OR(CH203="",AND(CH203=CH202,CH203=CH204)),NA(), CH203)</f>
        <v>0</v>
      </c>
      <c r="CI285">
        <f>IF(ISNA(CJ285),NA(),CI203)</f>
        <v>0</v>
      </c>
      <c r="CJ285">
        <f>IF(OR(CJ203="",AND(CJ203=CJ202,CJ203=CJ204)),NA(), CJ203)</f>
        <v>0</v>
      </c>
      <c r="CK285">
        <f>IF(ISNA(CL285),NA(),CK203)</f>
        <v>0</v>
      </c>
      <c r="CL285">
        <f>IF(OR(CL203="",AND(CL203=CL202,CL203=CL204)),NA(), CL203)</f>
        <v>0</v>
      </c>
      <c r="CM285">
        <f>IF(ISNA(CN285),NA(),CM203)</f>
        <v>0</v>
      </c>
      <c r="CN285">
        <f>IF(OR(CN203="",AND(CN203=CN202,CN203=CN204)),NA(), CN203)</f>
        <v>0</v>
      </c>
      <c r="CO285">
        <f>IF(ISNA(CP285),NA(),CO203)</f>
        <v>0</v>
      </c>
      <c r="CP285">
        <f>IF(OR(CP203="",AND(CP203=CP202,CP203=CP204)),NA(), CP203)</f>
        <v>0</v>
      </c>
      <c r="CQ285">
        <f>IF(ISNA(CR285),NA(),CQ203)</f>
        <v>0</v>
      </c>
      <c r="CR285">
        <f>IF(OR(CR203="",AND(CR203=CR202,CR203=CR204)),NA(), CR203)</f>
        <v>0</v>
      </c>
      <c r="CS285">
        <f>IF(ISNA(CT285),NA(),CS203)</f>
        <v>0</v>
      </c>
      <c r="CT285">
        <f>IF(OR(CT203="",AND(CT203=CT202,CT203=CT204)),NA(), CT203)</f>
        <v>0</v>
      </c>
      <c r="CU285">
        <f>IF(ISNA(CV285),NA(),CU203)</f>
        <v>0</v>
      </c>
      <c r="CV285">
        <f>IF(OR(CV203="",AND(CV203=CV202,CV203=CV204)),NA(), CV203)</f>
        <v>0</v>
      </c>
      <c r="CW285">
        <f>IF(ISNA(CX285),NA(),CW203)</f>
        <v>0</v>
      </c>
      <c r="CX285">
        <f>IF(OR(CX203="",AND(CX203=CX202,CX203=CX204)),NA(), CX203)</f>
        <v>0</v>
      </c>
      <c r="CY285">
        <f>IF(ISNA(CZ285),NA(),CY203)</f>
        <v>0</v>
      </c>
      <c r="CZ285">
        <f>IF(OR(CZ203="",AND(CZ203=CZ202,CZ203=CZ204)),NA(), CZ203)</f>
        <v>0</v>
      </c>
      <c r="DA285">
        <f>IF(ISNA(DB285),NA(),DA203)</f>
        <v>0</v>
      </c>
      <c r="DB285">
        <f>IF(OR(DB203="",AND(DB203=DB202,DB203=DB204)),NA(), DB203)</f>
        <v>0</v>
      </c>
      <c r="DC285">
        <f>IF(ISNA(DD285),NA(),DC203)</f>
        <v>0</v>
      </c>
      <c r="DD285">
        <f>IF(OR(DD203="",AND(DD203=DD202,DD203=DD204)),NA(), DD203)</f>
        <v>0</v>
      </c>
      <c r="DE285">
        <f>IF(ISNA(DF285),NA(),DE203)</f>
        <v>0</v>
      </c>
      <c r="DF285">
        <f>IF(OR(DF203="",AND(DF203=DF202,DF203=DF204)),NA(), DF203)</f>
        <v>0</v>
      </c>
      <c r="DG285">
        <f>IF(ISNA(DH285),NA(),DG203)</f>
        <v>0</v>
      </c>
      <c r="DH285">
        <f>IF(OR(DH203="",AND(DH203=DH202,DH203=DH204)),NA(), DH203)</f>
        <v>0</v>
      </c>
      <c r="DI285">
        <f>IF(ISNA(DJ285),NA(),DI203)</f>
        <v>0</v>
      </c>
      <c r="DJ285">
        <f>IF(OR(DJ203="",AND(DJ203=DJ202,DJ203=DJ204)),NA(), DJ203)</f>
        <v>0</v>
      </c>
      <c r="DK285">
        <f>IF(ISNA(DL285),NA(),DK203)</f>
        <v>0</v>
      </c>
      <c r="DL285">
        <f>IF(OR(DL203="",AND(DL203=DL202,DL203=DL204)),NA(), DL203)</f>
        <v>0</v>
      </c>
      <c r="DM285">
        <f>IF(ISNA(DN285),NA(),DM203)</f>
        <v>0</v>
      </c>
      <c r="DN285">
        <f>IF(OR(DN203="",AND(DN203=DN202,DN203=DN204)),NA(), DN203)</f>
        <v>0</v>
      </c>
      <c r="DO285">
        <f>IF(ISNA(DP285),NA(),DO203)</f>
        <v>0</v>
      </c>
      <c r="DP285">
        <f>IF(OR(DP203="",AND(DP203=DP202,DP203=DP204)),NA(), DP203)</f>
        <v>0</v>
      </c>
      <c r="DQ285">
        <f>IF(ISNA(DR285),NA(),DQ203)</f>
        <v>0</v>
      </c>
      <c r="DR285">
        <f>IF(OR(DR203="",AND(DR203=DR202,DR203=DR204)),NA(), DR203)</f>
        <v>0</v>
      </c>
      <c r="DS285">
        <f>IF(ISNA(DT285),NA(),DS203)</f>
        <v>0</v>
      </c>
      <c r="DT285">
        <f>IF(OR(DT203="",AND(DT203=DT202,DT203=DT204)),NA(), DT203)</f>
        <v>0</v>
      </c>
      <c r="DU285">
        <f>IF(ISNA(DV285),NA(),DU203)</f>
        <v>0</v>
      </c>
      <c r="DV285">
        <f>IF(OR(DV203="",AND(DV203=DV202,DV203=DV204)),NA(), DV203)</f>
        <v>0</v>
      </c>
      <c r="DW285">
        <f>IF(ISNA(DX285),NA(),DW203)</f>
        <v>0</v>
      </c>
      <c r="DX285">
        <f>IF(OR(DX203="",AND(DX203=DX202,DX203=DX204)),NA(), DX203)</f>
        <v>0</v>
      </c>
      <c r="DY285">
        <f>IF(ISNA(DZ285),NA(),DY203)</f>
        <v>0</v>
      </c>
      <c r="DZ285">
        <f>IF(OR(DZ203="",AND(DZ203=DZ202,DZ203=DZ204)),NA(), DZ203)</f>
        <v>0</v>
      </c>
      <c r="EA285">
        <f>IF(ISNA(EB285),NA(),EA203)</f>
        <v>0</v>
      </c>
      <c r="EB285">
        <f>IF(OR(EB203="",AND(EB203=EB202,EB203=EB204)),NA(), EB203)</f>
        <v>0</v>
      </c>
      <c r="EC285">
        <f>IF(ISNA(ED285),NA(),EC203)</f>
        <v>0</v>
      </c>
      <c r="ED285">
        <f>IF(OR(ED203="",AND(ED203=ED202,ED203=ED204)),NA(), ED203)</f>
        <v>0</v>
      </c>
    </row>
    <row r="286" spans="5:134">
      <c r="E286">
        <f>IF(ISNA(F286),NA(),E204)</f>
        <v>0</v>
      </c>
      <c r="F286">
        <f>IF(OR(F204="",AND(F204=F203,F204=F205)),NA(), F204)</f>
        <v>0</v>
      </c>
      <c r="G286">
        <f>IF(ISNA(H286),NA(),G204)</f>
        <v>0</v>
      </c>
      <c r="H286">
        <f>IF(OR(H204="",AND(H204=H203,H204=H205)),NA(), H204)</f>
        <v>0</v>
      </c>
      <c r="I286">
        <f>IF(ISNA(J286),NA(),I204)</f>
        <v>0</v>
      </c>
      <c r="J286">
        <f>IF(OR(J204="",AND(J204=J203,J204=J205)),NA(), J204)</f>
        <v>0</v>
      </c>
      <c r="K286">
        <f>IF(ISNA(L286),NA(),K204)</f>
        <v>0</v>
      </c>
      <c r="L286">
        <f>IF(OR(L204="",AND(L204=L203,L204=L205)),NA(), L204)</f>
        <v>0</v>
      </c>
      <c r="M286">
        <f>IF(ISNA(N286),NA(),M204)</f>
        <v>0</v>
      </c>
      <c r="N286">
        <f>IF(OR(N204="",AND(N204=N203,N204=N205)),NA(), N204)</f>
        <v>0</v>
      </c>
      <c r="O286">
        <f>IF(ISNA(P286),NA(),O204)</f>
        <v>0</v>
      </c>
      <c r="P286">
        <f>IF(OR(P204="",AND(P204=P203,P204=P205)),NA(), P204)</f>
        <v>0</v>
      </c>
      <c r="Q286">
        <f>IF(ISNA(R286),NA(),Q204)</f>
        <v>0</v>
      </c>
      <c r="R286">
        <f>IF(OR(R204="",AND(R204=R203,R204=R205)),NA(), R204)</f>
        <v>0</v>
      </c>
      <c r="S286">
        <f>IF(ISNA(T286),NA(),S204)</f>
        <v>0</v>
      </c>
      <c r="T286">
        <f>IF(OR(T204="",AND(T204=T203,T204=T205)),NA(), T204)</f>
        <v>0</v>
      </c>
      <c r="U286">
        <f>IF(ISNA(V286),NA(),U204)</f>
        <v>0</v>
      </c>
      <c r="V286">
        <f>IF(OR(V204="",AND(V204=V203,V204=V205)),NA(), V204)</f>
        <v>0</v>
      </c>
      <c r="W286">
        <f>IF(ISNA(X286),NA(),W204)</f>
        <v>0</v>
      </c>
      <c r="X286">
        <f>IF(OR(X204="",AND(X204=X203,X204=X205)),NA(), X204)</f>
        <v>0</v>
      </c>
      <c r="Y286">
        <f>IF(ISNA(Z286),NA(),Y204)</f>
        <v>0</v>
      </c>
      <c r="Z286">
        <f>IF(OR(Z204="",AND(Z204=Z203,Z204=Z205)),NA(), Z204)</f>
        <v>0</v>
      </c>
      <c r="AA286">
        <f>IF(ISNA(AB286),NA(),AA204)</f>
        <v>0</v>
      </c>
      <c r="AB286">
        <f>IF(OR(AB204="",AND(AB204=AB203,AB204=AB205)),NA(), AB204)</f>
        <v>0</v>
      </c>
      <c r="AC286">
        <f>IF(ISNA(AD286),NA(),AC204)</f>
        <v>0</v>
      </c>
      <c r="AD286">
        <f>IF(OR(AD204="",AND(AD204=AD203,AD204=AD205)),NA(), AD204)</f>
        <v>0</v>
      </c>
      <c r="AE286">
        <f>IF(ISNA(AF286),NA(),AE204)</f>
        <v>0</v>
      </c>
      <c r="AF286">
        <f>IF(OR(AF204="",AND(AF204=AF203,AF204=AF205)),NA(), AF204)</f>
        <v>0</v>
      </c>
      <c r="AG286">
        <f>IF(ISNA(AH286),NA(),AG204)</f>
        <v>0</v>
      </c>
      <c r="AH286">
        <f>IF(OR(AH204="",AND(AH204=AH203,AH204=AH205)),NA(), AH204)</f>
        <v>0</v>
      </c>
      <c r="AI286">
        <f>IF(ISNA(AJ286),NA(),AI204)</f>
        <v>0</v>
      </c>
      <c r="AJ286">
        <f>IF(OR(AJ204="",AND(AJ204=AJ203,AJ204=AJ205)),NA(), AJ204)</f>
        <v>0</v>
      </c>
      <c r="AK286">
        <f>IF(ISNA(AL286),NA(),AK204)</f>
        <v>0</v>
      </c>
      <c r="AL286">
        <f>IF(OR(AL204="",AND(AL204=AL203,AL204=AL205)),NA(), AL204)</f>
        <v>0</v>
      </c>
      <c r="AM286">
        <f>IF(ISNA(AN286),NA(),AM204)</f>
        <v>0</v>
      </c>
      <c r="AN286">
        <f>IF(OR(AN204="",AND(AN204=AN203,AN204=AN205)),NA(), AN204)</f>
        <v>0</v>
      </c>
      <c r="AO286">
        <f>IF(ISNA(AP286),NA(),AO204)</f>
        <v>0</v>
      </c>
      <c r="AP286">
        <f>IF(OR(AP204="",AND(AP204=AP203,AP204=AP205)),NA(), AP204)</f>
        <v>0</v>
      </c>
      <c r="AQ286">
        <f>IF(ISNA(AR286),NA(),AQ204)</f>
        <v>0</v>
      </c>
      <c r="AR286">
        <f>IF(OR(AR204="",AND(AR204=AR203,AR204=AR205)),NA(), AR204)</f>
        <v>0</v>
      </c>
      <c r="AS286">
        <f>IF(ISNA(AT286),NA(),AS204)</f>
        <v>0</v>
      </c>
      <c r="AT286">
        <f>IF(OR(AT204="",AND(AT204=AT203,AT204=AT205)),NA(), AT204)</f>
        <v>0</v>
      </c>
      <c r="AU286">
        <f>IF(ISNA(AV286),NA(),AU204)</f>
        <v>0</v>
      </c>
      <c r="AV286">
        <f>IF(OR(AV204="",AND(AV204=AV203,AV204=AV205)),NA(), AV204)</f>
        <v>0</v>
      </c>
      <c r="AW286">
        <f>IF(ISNA(AX286),NA(),AW204)</f>
        <v>0</v>
      </c>
      <c r="AX286">
        <f>IF(OR(AX204="",AND(AX204=AX203,AX204=AX205)),NA(), AX204)</f>
        <v>0</v>
      </c>
      <c r="AY286">
        <f>IF(ISNA(AZ286),NA(),AY204)</f>
        <v>0</v>
      </c>
      <c r="AZ286">
        <f>IF(OR(AZ204="",AND(AZ204=AZ203,AZ204=AZ205)),NA(), AZ204)</f>
        <v>0</v>
      </c>
      <c r="BA286">
        <f>IF(ISNA(BB286),NA(),BA204)</f>
        <v>0</v>
      </c>
      <c r="BB286">
        <f>IF(OR(BB204="",AND(BB204=BB203,BB204=BB205)),NA(), BB204)</f>
        <v>0</v>
      </c>
      <c r="BC286">
        <f>IF(ISNA(BD286),NA(),BC204)</f>
        <v>0</v>
      </c>
      <c r="BD286">
        <f>IF(OR(BD204="",AND(BD204=BD203,BD204=BD205)),NA(), BD204)</f>
        <v>0</v>
      </c>
      <c r="BE286">
        <f>IF(ISNA(BF286),NA(),BE204)</f>
        <v>0</v>
      </c>
      <c r="BF286">
        <f>IF(OR(BF204="",AND(BF204=BF203,BF204=BF205)),NA(), BF204)</f>
        <v>0</v>
      </c>
      <c r="BG286">
        <f>IF(ISNA(BH286),NA(),BG204)</f>
        <v>0</v>
      </c>
      <c r="BH286">
        <f>IF(OR(BH204="",AND(BH204=BH203,BH204=BH205)),NA(), BH204)</f>
        <v>0</v>
      </c>
      <c r="BI286">
        <f>IF(ISNA(BJ286),NA(),BI204)</f>
        <v>0</v>
      </c>
      <c r="BJ286">
        <f>IF(OR(BJ204="",AND(BJ204=BJ203,BJ204=BJ205)),NA(), BJ204)</f>
        <v>0</v>
      </c>
      <c r="BK286">
        <f>IF(ISNA(BL286),NA(),BK204)</f>
        <v>0</v>
      </c>
      <c r="BL286">
        <f>IF(OR(BL204="",AND(BL204=BL203,BL204=BL205)),NA(), BL204)</f>
        <v>0</v>
      </c>
      <c r="BM286">
        <f>IF(ISNA(BN286),NA(),BM204)</f>
        <v>0</v>
      </c>
      <c r="BN286">
        <f>IF(OR(BN204="",AND(BN204=BN203,BN204=BN205)),NA(), BN204)</f>
        <v>0</v>
      </c>
      <c r="BO286">
        <f>IF(ISNA(BP286),NA(),BO204)</f>
        <v>0</v>
      </c>
      <c r="BP286">
        <f>IF(OR(BP204="",AND(BP204=BP203,BP204=BP205)),NA(), BP204)</f>
        <v>0</v>
      </c>
      <c r="BS286">
        <f>IF(ISNA(BT286),NA(),BS204)</f>
        <v>0</v>
      </c>
      <c r="BT286">
        <f>IF(OR(BT204="",AND(BT204=BT203,BT204=BT205)),NA(), BT204)</f>
        <v>0</v>
      </c>
      <c r="BU286">
        <f>IF(ISNA(BV286),NA(),BU204)</f>
        <v>0</v>
      </c>
      <c r="BV286">
        <f>IF(OR(BV204="",AND(BV204=BV203,BV204=BV205)),NA(), BV204)</f>
        <v>0</v>
      </c>
      <c r="BW286">
        <f>IF(ISNA(BX286),NA(),BW204)</f>
        <v>0</v>
      </c>
      <c r="BX286">
        <f>IF(OR(BX204="",AND(BX204=BX203,BX204=BX205)),NA(), BX204)</f>
        <v>0</v>
      </c>
      <c r="BY286">
        <f>IF(ISNA(BZ286),NA(),BY204)</f>
        <v>0</v>
      </c>
      <c r="BZ286">
        <f>IF(OR(BZ204="",AND(BZ204=BZ203,BZ204=BZ205)),NA(), BZ204)</f>
        <v>0</v>
      </c>
      <c r="CA286">
        <f>IF(ISNA(CB286),NA(),CA204)</f>
        <v>0</v>
      </c>
      <c r="CB286">
        <f>IF(OR(CB204="",AND(CB204=CB203,CB204=CB205)),NA(), CB204)</f>
        <v>0</v>
      </c>
      <c r="CC286">
        <f>IF(ISNA(CD286),NA(),CC204)</f>
        <v>0</v>
      </c>
      <c r="CD286">
        <f>IF(OR(CD204="",AND(CD204=CD203,CD204=CD205)),NA(), CD204)</f>
        <v>0</v>
      </c>
      <c r="CE286">
        <f>IF(ISNA(CF286),NA(),CE204)</f>
        <v>0</v>
      </c>
      <c r="CF286">
        <f>IF(OR(CF204="",AND(CF204=CF203,CF204=CF205)),NA(), CF204)</f>
        <v>0</v>
      </c>
      <c r="CG286">
        <f>IF(ISNA(CH286),NA(),CG204)</f>
        <v>0</v>
      </c>
      <c r="CH286">
        <f>IF(OR(CH204="",AND(CH204=CH203,CH204=CH205)),NA(), CH204)</f>
        <v>0</v>
      </c>
      <c r="CI286">
        <f>IF(ISNA(CJ286),NA(),CI204)</f>
        <v>0</v>
      </c>
      <c r="CJ286">
        <f>IF(OR(CJ204="",AND(CJ204=CJ203,CJ204=CJ205)),NA(), CJ204)</f>
        <v>0</v>
      </c>
      <c r="CK286">
        <f>IF(ISNA(CL286),NA(),CK204)</f>
        <v>0</v>
      </c>
      <c r="CL286">
        <f>IF(OR(CL204="",AND(CL204=CL203,CL204=CL205)),NA(), CL204)</f>
        <v>0</v>
      </c>
      <c r="CM286">
        <f>IF(ISNA(CN286),NA(),CM204)</f>
        <v>0</v>
      </c>
      <c r="CN286">
        <f>IF(OR(CN204="",AND(CN204=CN203,CN204=CN205)),NA(), CN204)</f>
        <v>0</v>
      </c>
      <c r="CO286">
        <f>IF(ISNA(CP286),NA(),CO204)</f>
        <v>0</v>
      </c>
      <c r="CP286">
        <f>IF(OR(CP204="",AND(CP204=CP203,CP204=CP205)),NA(), CP204)</f>
        <v>0</v>
      </c>
      <c r="CQ286">
        <f>IF(ISNA(CR286),NA(),CQ204)</f>
        <v>0</v>
      </c>
      <c r="CR286">
        <f>IF(OR(CR204="",AND(CR204=CR203,CR204=CR205)),NA(), CR204)</f>
        <v>0</v>
      </c>
      <c r="CS286">
        <f>IF(ISNA(CT286),NA(),CS204)</f>
        <v>0</v>
      </c>
      <c r="CT286">
        <f>IF(OR(CT204="",AND(CT204=CT203,CT204=CT205)),NA(), CT204)</f>
        <v>0</v>
      </c>
      <c r="CU286">
        <f>IF(ISNA(CV286),NA(),CU204)</f>
        <v>0</v>
      </c>
      <c r="CV286">
        <f>IF(OR(CV204="",AND(CV204=CV203,CV204=CV205)),NA(), CV204)</f>
        <v>0</v>
      </c>
      <c r="CW286">
        <f>IF(ISNA(CX286),NA(),CW204)</f>
        <v>0</v>
      </c>
      <c r="CX286">
        <f>IF(OR(CX204="",AND(CX204=CX203,CX204=CX205)),NA(), CX204)</f>
        <v>0</v>
      </c>
      <c r="CY286">
        <f>IF(ISNA(CZ286),NA(),CY204)</f>
        <v>0</v>
      </c>
      <c r="CZ286">
        <f>IF(OR(CZ204="",AND(CZ204=CZ203,CZ204=CZ205)),NA(), CZ204)</f>
        <v>0</v>
      </c>
      <c r="DA286">
        <f>IF(ISNA(DB286),NA(),DA204)</f>
        <v>0</v>
      </c>
      <c r="DB286">
        <f>IF(OR(DB204="",AND(DB204=DB203,DB204=DB205)),NA(), DB204)</f>
        <v>0</v>
      </c>
      <c r="DC286">
        <f>IF(ISNA(DD286),NA(),DC204)</f>
        <v>0</v>
      </c>
      <c r="DD286">
        <f>IF(OR(DD204="",AND(DD204=DD203,DD204=DD205)),NA(), DD204)</f>
        <v>0</v>
      </c>
      <c r="DE286">
        <f>IF(ISNA(DF286),NA(),DE204)</f>
        <v>0</v>
      </c>
      <c r="DF286">
        <f>IF(OR(DF204="",AND(DF204=DF203,DF204=DF205)),NA(), DF204)</f>
        <v>0</v>
      </c>
      <c r="DG286">
        <f>IF(ISNA(DH286),NA(),DG204)</f>
        <v>0</v>
      </c>
      <c r="DH286">
        <f>IF(OR(DH204="",AND(DH204=DH203,DH204=DH205)),NA(), DH204)</f>
        <v>0</v>
      </c>
      <c r="DI286">
        <f>IF(ISNA(DJ286),NA(),DI204)</f>
        <v>0</v>
      </c>
      <c r="DJ286">
        <f>IF(OR(DJ204="",AND(DJ204=DJ203,DJ204=DJ205)),NA(), DJ204)</f>
        <v>0</v>
      </c>
      <c r="DK286">
        <f>IF(ISNA(DL286),NA(),DK204)</f>
        <v>0</v>
      </c>
      <c r="DL286">
        <f>IF(OR(DL204="",AND(DL204=DL203,DL204=DL205)),NA(), DL204)</f>
        <v>0</v>
      </c>
      <c r="DM286">
        <f>IF(ISNA(DN286),NA(),DM204)</f>
        <v>0</v>
      </c>
      <c r="DN286">
        <f>IF(OR(DN204="",AND(DN204=DN203,DN204=DN205)),NA(), DN204)</f>
        <v>0</v>
      </c>
      <c r="DO286">
        <f>IF(ISNA(DP286),NA(),DO204)</f>
        <v>0</v>
      </c>
      <c r="DP286">
        <f>IF(OR(DP204="",AND(DP204=DP203,DP204=DP205)),NA(), DP204)</f>
        <v>0</v>
      </c>
      <c r="DQ286">
        <f>IF(ISNA(DR286),NA(),DQ204)</f>
        <v>0</v>
      </c>
      <c r="DR286">
        <f>IF(OR(DR204="",AND(DR204=DR203,DR204=DR205)),NA(), DR204)</f>
        <v>0</v>
      </c>
      <c r="DS286">
        <f>IF(ISNA(DT286),NA(),DS204)</f>
        <v>0</v>
      </c>
      <c r="DT286">
        <f>IF(OR(DT204="",AND(DT204=DT203,DT204=DT205)),NA(), DT204)</f>
        <v>0</v>
      </c>
      <c r="DU286">
        <f>IF(ISNA(DV286),NA(),DU204)</f>
        <v>0</v>
      </c>
      <c r="DV286">
        <f>IF(OR(DV204="",AND(DV204=DV203,DV204=DV205)),NA(), DV204)</f>
        <v>0</v>
      </c>
      <c r="DW286">
        <f>IF(ISNA(DX286),NA(),DW204)</f>
        <v>0</v>
      </c>
      <c r="DX286">
        <f>IF(OR(DX204="",AND(DX204=DX203,DX204=DX205)),NA(), DX204)</f>
        <v>0</v>
      </c>
      <c r="DY286">
        <f>IF(ISNA(DZ286),NA(),DY204)</f>
        <v>0</v>
      </c>
      <c r="DZ286">
        <f>IF(OR(DZ204="",AND(DZ204=DZ203,DZ204=DZ205)),NA(), DZ204)</f>
        <v>0</v>
      </c>
      <c r="EA286">
        <f>IF(ISNA(EB286),NA(),EA204)</f>
        <v>0</v>
      </c>
      <c r="EB286">
        <f>IF(OR(EB204="",AND(EB204=EB203,EB204=EB205)),NA(), EB204)</f>
        <v>0</v>
      </c>
      <c r="EC286">
        <f>IF(ISNA(ED286),NA(),EC204)</f>
        <v>0</v>
      </c>
      <c r="ED286">
        <f>IF(OR(ED204="",AND(ED204=ED203,ED204=ED205)),NA(), ED204)</f>
        <v>0</v>
      </c>
    </row>
    <row r="287" spans="5:134">
      <c r="E287">
        <f>IF(ISNA(F287),NA(),E205)</f>
        <v>0</v>
      </c>
      <c r="F287">
        <f>IF(OR(F205="",AND(F205=F204,F205=F206)),NA(), F205)</f>
        <v>0</v>
      </c>
      <c r="G287">
        <f>IF(ISNA(H287),NA(),G205)</f>
        <v>0</v>
      </c>
      <c r="H287">
        <f>IF(OR(H205="",AND(H205=H204,H205=H206)),NA(), H205)</f>
        <v>0</v>
      </c>
      <c r="I287">
        <f>IF(ISNA(J287),NA(),I205)</f>
        <v>0</v>
      </c>
      <c r="J287">
        <f>IF(OR(J205="",AND(J205=J204,J205=J206)),NA(), J205)</f>
        <v>0</v>
      </c>
      <c r="K287">
        <f>IF(ISNA(L287),NA(),K205)</f>
        <v>0</v>
      </c>
      <c r="L287">
        <f>IF(OR(L205="",AND(L205=L204,L205=L206)),NA(), L205)</f>
        <v>0</v>
      </c>
      <c r="M287">
        <f>IF(ISNA(N287),NA(),M205)</f>
        <v>0</v>
      </c>
      <c r="N287">
        <f>IF(OR(N205="",AND(N205=N204,N205=N206)),NA(), N205)</f>
        <v>0</v>
      </c>
      <c r="O287">
        <f>IF(ISNA(P287),NA(),O205)</f>
        <v>0</v>
      </c>
      <c r="P287">
        <f>IF(OR(P205="",AND(P205=P204,P205=P206)),NA(), P205)</f>
        <v>0</v>
      </c>
      <c r="Q287">
        <f>IF(ISNA(R287),NA(),Q205)</f>
        <v>0</v>
      </c>
      <c r="R287">
        <f>IF(OR(R205="",AND(R205=R204,R205=R206)),NA(), R205)</f>
        <v>0</v>
      </c>
      <c r="S287">
        <f>IF(ISNA(T287),NA(),S205)</f>
        <v>0</v>
      </c>
      <c r="T287">
        <f>IF(OR(T205="",AND(T205=T204,T205=T206)),NA(), T205)</f>
        <v>0</v>
      </c>
      <c r="U287">
        <f>IF(ISNA(V287),NA(),U205)</f>
        <v>0</v>
      </c>
      <c r="V287">
        <f>IF(OR(V205="",AND(V205=V204,V205=V206)),NA(), V205)</f>
        <v>0</v>
      </c>
      <c r="W287">
        <f>IF(ISNA(X287),NA(),W205)</f>
        <v>0</v>
      </c>
      <c r="X287">
        <f>IF(OR(X205="",AND(X205=X204,X205=X206)),NA(), X205)</f>
        <v>0</v>
      </c>
      <c r="Y287">
        <f>IF(ISNA(Z287),NA(),Y205)</f>
        <v>0</v>
      </c>
      <c r="Z287">
        <f>IF(OR(Z205="",AND(Z205=Z204,Z205=Z206)),NA(), Z205)</f>
        <v>0</v>
      </c>
      <c r="AA287">
        <f>IF(ISNA(AB287),NA(),AA205)</f>
        <v>0</v>
      </c>
      <c r="AB287">
        <f>IF(OR(AB205="",AND(AB205=AB204,AB205=AB206)),NA(), AB205)</f>
        <v>0</v>
      </c>
      <c r="AC287">
        <f>IF(ISNA(AD287),NA(),AC205)</f>
        <v>0</v>
      </c>
      <c r="AD287">
        <f>IF(OR(AD205="",AND(AD205=AD204,AD205=AD206)),NA(), AD205)</f>
        <v>0</v>
      </c>
      <c r="AE287">
        <f>IF(ISNA(AF287),NA(),AE205)</f>
        <v>0</v>
      </c>
      <c r="AF287">
        <f>IF(OR(AF205="",AND(AF205=AF204,AF205=AF206)),NA(), AF205)</f>
        <v>0</v>
      </c>
      <c r="AG287">
        <f>IF(ISNA(AH287),NA(),AG205)</f>
        <v>0</v>
      </c>
      <c r="AH287">
        <f>IF(OR(AH205="",AND(AH205=AH204,AH205=AH206)),NA(), AH205)</f>
        <v>0</v>
      </c>
      <c r="AI287">
        <f>IF(ISNA(AJ287),NA(),AI205)</f>
        <v>0</v>
      </c>
      <c r="AJ287">
        <f>IF(OR(AJ205="",AND(AJ205=AJ204,AJ205=AJ206)),NA(), AJ205)</f>
        <v>0</v>
      </c>
      <c r="AK287">
        <f>IF(ISNA(AL287),NA(),AK205)</f>
        <v>0</v>
      </c>
      <c r="AL287">
        <f>IF(OR(AL205="",AND(AL205=AL204,AL205=AL206)),NA(), AL205)</f>
        <v>0</v>
      </c>
      <c r="AM287">
        <f>IF(ISNA(AN287),NA(),AM205)</f>
        <v>0</v>
      </c>
      <c r="AN287">
        <f>IF(OR(AN205="",AND(AN205=AN204,AN205=AN206)),NA(), AN205)</f>
        <v>0</v>
      </c>
      <c r="AO287">
        <f>IF(ISNA(AP287),NA(),AO205)</f>
        <v>0</v>
      </c>
      <c r="AP287">
        <f>IF(OR(AP205="",AND(AP205=AP204,AP205=AP206)),NA(), AP205)</f>
        <v>0</v>
      </c>
      <c r="AQ287">
        <f>IF(ISNA(AR287),NA(),AQ205)</f>
        <v>0</v>
      </c>
      <c r="AR287">
        <f>IF(OR(AR205="",AND(AR205=AR204,AR205=AR206)),NA(), AR205)</f>
        <v>0</v>
      </c>
      <c r="AS287">
        <f>IF(ISNA(AT287),NA(),AS205)</f>
        <v>0</v>
      </c>
      <c r="AT287">
        <f>IF(OR(AT205="",AND(AT205=AT204,AT205=AT206)),NA(), AT205)</f>
        <v>0</v>
      </c>
      <c r="AU287">
        <f>IF(ISNA(AV287),NA(),AU205)</f>
        <v>0</v>
      </c>
      <c r="AV287">
        <f>IF(OR(AV205="",AND(AV205=AV204,AV205=AV206)),NA(), AV205)</f>
        <v>0</v>
      </c>
      <c r="AW287">
        <f>IF(ISNA(AX287),NA(),AW205)</f>
        <v>0</v>
      </c>
      <c r="AX287">
        <f>IF(OR(AX205="",AND(AX205=AX204,AX205=AX206)),NA(), AX205)</f>
        <v>0</v>
      </c>
      <c r="AY287">
        <f>IF(ISNA(AZ287),NA(),AY205)</f>
        <v>0</v>
      </c>
      <c r="AZ287">
        <f>IF(OR(AZ205="",AND(AZ205=AZ204,AZ205=AZ206)),NA(), AZ205)</f>
        <v>0</v>
      </c>
      <c r="BA287">
        <f>IF(ISNA(BB287),NA(),BA205)</f>
        <v>0</v>
      </c>
      <c r="BB287">
        <f>IF(OR(BB205="",AND(BB205=BB204,BB205=BB206)),NA(), BB205)</f>
        <v>0</v>
      </c>
      <c r="BC287">
        <f>IF(ISNA(BD287),NA(),BC205)</f>
        <v>0</v>
      </c>
      <c r="BD287">
        <f>IF(OR(BD205="",AND(BD205=BD204,BD205=BD206)),NA(), BD205)</f>
        <v>0</v>
      </c>
      <c r="BE287">
        <f>IF(ISNA(BF287),NA(),BE205)</f>
        <v>0</v>
      </c>
      <c r="BF287">
        <f>IF(OR(BF205="",AND(BF205=BF204,BF205=BF206)),NA(), BF205)</f>
        <v>0</v>
      </c>
      <c r="BG287">
        <f>IF(ISNA(BH287),NA(),BG205)</f>
        <v>0</v>
      </c>
      <c r="BH287">
        <f>IF(OR(BH205="",AND(BH205=BH204,BH205=BH206)),NA(), BH205)</f>
        <v>0</v>
      </c>
      <c r="BI287">
        <f>IF(ISNA(BJ287),NA(),BI205)</f>
        <v>0</v>
      </c>
      <c r="BJ287">
        <f>IF(OR(BJ205="",AND(BJ205=BJ204,BJ205=BJ206)),NA(), BJ205)</f>
        <v>0</v>
      </c>
      <c r="BK287">
        <f>IF(ISNA(BL287),NA(),BK205)</f>
        <v>0</v>
      </c>
      <c r="BL287">
        <f>IF(OR(BL205="",AND(BL205=BL204,BL205=BL206)),NA(), BL205)</f>
        <v>0</v>
      </c>
      <c r="BM287">
        <f>IF(ISNA(BN287),NA(),BM205)</f>
        <v>0</v>
      </c>
      <c r="BN287">
        <f>IF(OR(BN205="",AND(BN205=BN204,BN205=BN206)),NA(), BN205)</f>
        <v>0</v>
      </c>
      <c r="BO287">
        <f>IF(ISNA(BP287),NA(),BO205)</f>
        <v>0</v>
      </c>
      <c r="BP287">
        <f>IF(OR(BP205="",AND(BP205=BP204,BP205=BP206)),NA(), BP205)</f>
        <v>0</v>
      </c>
      <c r="BS287">
        <f>IF(ISNA(BT287),NA(),BS205)</f>
        <v>0</v>
      </c>
      <c r="BT287">
        <f>IF(OR(BT205="",AND(BT205=BT204,BT205=BT206)),NA(), BT205)</f>
        <v>0</v>
      </c>
      <c r="BU287">
        <f>IF(ISNA(BV287),NA(),BU205)</f>
        <v>0</v>
      </c>
      <c r="BV287">
        <f>IF(OR(BV205="",AND(BV205=BV204,BV205=BV206)),NA(), BV205)</f>
        <v>0</v>
      </c>
      <c r="BW287">
        <f>IF(ISNA(BX287),NA(),BW205)</f>
        <v>0</v>
      </c>
      <c r="BX287">
        <f>IF(OR(BX205="",AND(BX205=BX204,BX205=BX206)),NA(), BX205)</f>
        <v>0</v>
      </c>
      <c r="BY287">
        <f>IF(ISNA(BZ287),NA(),BY205)</f>
        <v>0</v>
      </c>
      <c r="BZ287">
        <f>IF(OR(BZ205="",AND(BZ205=BZ204,BZ205=BZ206)),NA(), BZ205)</f>
        <v>0</v>
      </c>
      <c r="CA287">
        <f>IF(ISNA(CB287),NA(),CA205)</f>
        <v>0</v>
      </c>
      <c r="CB287">
        <f>IF(OR(CB205="",AND(CB205=CB204,CB205=CB206)),NA(), CB205)</f>
        <v>0</v>
      </c>
      <c r="CC287">
        <f>IF(ISNA(CD287),NA(),CC205)</f>
        <v>0</v>
      </c>
      <c r="CD287">
        <f>IF(OR(CD205="",AND(CD205=CD204,CD205=CD206)),NA(), CD205)</f>
        <v>0</v>
      </c>
      <c r="CE287">
        <f>IF(ISNA(CF287),NA(),CE205)</f>
        <v>0</v>
      </c>
      <c r="CF287">
        <f>IF(OR(CF205="",AND(CF205=CF204,CF205=CF206)),NA(), CF205)</f>
        <v>0</v>
      </c>
      <c r="CG287">
        <f>IF(ISNA(CH287),NA(),CG205)</f>
        <v>0</v>
      </c>
      <c r="CH287">
        <f>IF(OR(CH205="",AND(CH205=CH204,CH205=CH206)),NA(), CH205)</f>
        <v>0</v>
      </c>
      <c r="CI287">
        <f>IF(ISNA(CJ287),NA(),CI205)</f>
        <v>0</v>
      </c>
      <c r="CJ287">
        <f>IF(OR(CJ205="",AND(CJ205=CJ204,CJ205=CJ206)),NA(), CJ205)</f>
        <v>0</v>
      </c>
      <c r="CK287">
        <f>IF(ISNA(CL287),NA(),CK205)</f>
        <v>0</v>
      </c>
      <c r="CL287">
        <f>IF(OR(CL205="",AND(CL205=CL204,CL205=CL206)),NA(), CL205)</f>
        <v>0</v>
      </c>
      <c r="CM287">
        <f>IF(ISNA(CN287),NA(),CM205)</f>
        <v>0</v>
      </c>
      <c r="CN287">
        <f>IF(OR(CN205="",AND(CN205=CN204,CN205=CN206)),NA(), CN205)</f>
        <v>0</v>
      </c>
      <c r="CO287">
        <f>IF(ISNA(CP287),NA(),CO205)</f>
        <v>0</v>
      </c>
      <c r="CP287">
        <f>IF(OR(CP205="",AND(CP205=CP204,CP205=CP206)),NA(), CP205)</f>
        <v>0</v>
      </c>
      <c r="CQ287">
        <f>IF(ISNA(CR287),NA(),CQ205)</f>
        <v>0</v>
      </c>
      <c r="CR287">
        <f>IF(OR(CR205="",AND(CR205=CR204,CR205=CR206)),NA(), CR205)</f>
        <v>0</v>
      </c>
      <c r="CS287">
        <f>IF(ISNA(CT287),NA(),CS205)</f>
        <v>0</v>
      </c>
      <c r="CT287">
        <f>IF(OR(CT205="",AND(CT205=CT204,CT205=CT206)),NA(), CT205)</f>
        <v>0</v>
      </c>
      <c r="CU287">
        <f>IF(ISNA(CV287),NA(),CU205)</f>
        <v>0</v>
      </c>
      <c r="CV287">
        <f>IF(OR(CV205="",AND(CV205=CV204,CV205=CV206)),NA(), CV205)</f>
        <v>0</v>
      </c>
      <c r="CW287">
        <f>IF(ISNA(CX287),NA(),CW205)</f>
        <v>0</v>
      </c>
      <c r="CX287">
        <f>IF(OR(CX205="",AND(CX205=CX204,CX205=CX206)),NA(), CX205)</f>
        <v>0</v>
      </c>
      <c r="CY287">
        <f>IF(ISNA(CZ287),NA(),CY205)</f>
        <v>0</v>
      </c>
      <c r="CZ287">
        <f>IF(OR(CZ205="",AND(CZ205=CZ204,CZ205=CZ206)),NA(), CZ205)</f>
        <v>0</v>
      </c>
      <c r="DA287">
        <f>IF(ISNA(DB287),NA(),DA205)</f>
        <v>0</v>
      </c>
      <c r="DB287">
        <f>IF(OR(DB205="",AND(DB205=DB204,DB205=DB206)),NA(), DB205)</f>
        <v>0</v>
      </c>
      <c r="DC287">
        <f>IF(ISNA(DD287),NA(),DC205)</f>
        <v>0</v>
      </c>
      <c r="DD287">
        <f>IF(OR(DD205="",AND(DD205=DD204,DD205=DD206)),NA(), DD205)</f>
        <v>0</v>
      </c>
      <c r="DE287">
        <f>IF(ISNA(DF287),NA(),DE205)</f>
        <v>0</v>
      </c>
      <c r="DF287">
        <f>IF(OR(DF205="",AND(DF205=DF204,DF205=DF206)),NA(), DF205)</f>
        <v>0</v>
      </c>
      <c r="DG287">
        <f>IF(ISNA(DH287),NA(),DG205)</f>
        <v>0</v>
      </c>
      <c r="DH287">
        <f>IF(OR(DH205="",AND(DH205=DH204,DH205=DH206)),NA(), DH205)</f>
        <v>0</v>
      </c>
      <c r="DI287">
        <f>IF(ISNA(DJ287),NA(),DI205)</f>
        <v>0</v>
      </c>
      <c r="DJ287">
        <f>IF(OR(DJ205="",AND(DJ205=DJ204,DJ205=DJ206)),NA(), DJ205)</f>
        <v>0</v>
      </c>
      <c r="DK287">
        <f>IF(ISNA(DL287),NA(),DK205)</f>
        <v>0</v>
      </c>
      <c r="DL287">
        <f>IF(OR(DL205="",AND(DL205=DL204,DL205=DL206)),NA(), DL205)</f>
        <v>0</v>
      </c>
      <c r="DM287">
        <f>IF(ISNA(DN287),NA(),DM205)</f>
        <v>0</v>
      </c>
      <c r="DN287">
        <f>IF(OR(DN205="",AND(DN205=DN204,DN205=DN206)),NA(), DN205)</f>
        <v>0</v>
      </c>
      <c r="DO287">
        <f>IF(ISNA(DP287),NA(),DO205)</f>
        <v>0</v>
      </c>
      <c r="DP287">
        <f>IF(OR(DP205="",AND(DP205=DP204,DP205=DP206)),NA(), DP205)</f>
        <v>0</v>
      </c>
      <c r="DQ287">
        <f>IF(ISNA(DR287),NA(),DQ205)</f>
        <v>0</v>
      </c>
      <c r="DR287">
        <f>IF(OR(DR205="",AND(DR205=DR204,DR205=DR206)),NA(), DR205)</f>
        <v>0</v>
      </c>
      <c r="DS287">
        <f>IF(ISNA(DT287),NA(),DS205)</f>
        <v>0</v>
      </c>
      <c r="DT287">
        <f>IF(OR(DT205="",AND(DT205=DT204,DT205=DT206)),NA(), DT205)</f>
        <v>0</v>
      </c>
      <c r="DU287">
        <f>IF(ISNA(DV287),NA(),DU205)</f>
        <v>0</v>
      </c>
      <c r="DV287">
        <f>IF(OR(DV205="",AND(DV205=DV204,DV205=DV206)),NA(), DV205)</f>
        <v>0</v>
      </c>
      <c r="DW287">
        <f>IF(ISNA(DX287),NA(),DW205)</f>
        <v>0</v>
      </c>
      <c r="DX287">
        <f>IF(OR(DX205="",AND(DX205=DX204,DX205=DX206)),NA(), DX205)</f>
        <v>0</v>
      </c>
      <c r="DY287">
        <f>IF(ISNA(DZ287),NA(),DY205)</f>
        <v>0</v>
      </c>
      <c r="DZ287">
        <f>IF(OR(DZ205="",AND(DZ205=DZ204,DZ205=DZ206)),NA(), DZ205)</f>
        <v>0</v>
      </c>
      <c r="EA287">
        <f>IF(ISNA(EB287),NA(),EA205)</f>
        <v>0</v>
      </c>
      <c r="EB287">
        <f>IF(OR(EB205="",AND(EB205=EB204,EB205=EB206)),NA(), EB205)</f>
        <v>0</v>
      </c>
      <c r="EC287">
        <f>IF(ISNA(ED287),NA(),EC205)</f>
        <v>0</v>
      </c>
      <c r="ED287">
        <f>IF(OR(ED205="",AND(ED205=ED204,ED205=ED206)),NA(), ED205)</f>
        <v>0</v>
      </c>
    </row>
    <row r="288" spans="5:134">
      <c r="E288">
        <f>IF(ISNA(F288),NA(),E206)</f>
        <v>0</v>
      </c>
      <c r="F288">
        <f>IF(OR(F206="",AND(F206=F205,F206=F207)),NA(), F206)</f>
        <v>0</v>
      </c>
      <c r="G288">
        <f>IF(ISNA(H288),NA(),G206)</f>
        <v>0</v>
      </c>
      <c r="H288">
        <f>IF(OR(H206="",AND(H206=H205,H206=H207)),NA(), H206)</f>
        <v>0</v>
      </c>
      <c r="I288">
        <f>IF(ISNA(J288),NA(),I206)</f>
        <v>0</v>
      </c>
      <c r="J288">
        <f>IF(OR(J206="",AND(J206=J205,J206=J207)),NA(), J206)</f>
        <v>0</v>
      </c>
      <c r="K288">
        <f>IF(ISNA(L288),NA(),K206)</f>
        <v>0</v>
      </c>
      <c r="L288">
        <f>IF(OR(L206="",AND(L206=L205,L206=L207)),NA(), L206)</f>
        <v>0</v>
      </c>
      <c r="M288">
        <f>IF(ISNA(N288),NA(),M206)</f>
        <v>0</v>
      </c>
      <c r="N288">
        <f>IF(OR(N206="",AND(N206=N205,N206=N207)),NA(), N206)</f>
        <v>0</v>
      </c>
      <c r="O288">
        <f>IF(ISNA(P288),NA(),O206)</f>
        <v>0</v>
      </c>
      <c r="P288">
        <f>IF(OR(P206="",AND(P206=P205,P206=P207)),NA(), P206)</f>
        <v>0</v>
      </c>
      <c r="Q288">
        <f>IF(ISNA(R288),NA(),Q206)</f>
        <v>0</v>
      </c>
      <c r="R288">
        <f>IF(OR(R206="",AND(R206=R205,R206=R207)),NA(), R206)</f>
        <v>0</v>
      </c>
      <c r="S288">
        <f>IF(ISNA(T288),NA(),S206)</f>
        <v>0</v>
      </c>
      <c r="T288">
        <f>IF(OR(T206="",AND(T206=T205,T206=T207)),NA(), T206)</f>
        <v>0</v>
      </c>
      <c r="U288">
        <f>IF(ISNA(V288),NA(),U206)</f>
        <v>0</v>
      </c>
      <c r="V288">
        <f>IF(OR(V206="",AND(V206=V205,V206=V207)),NA(), V206)</f>
        <v>0</v>
      </c>
      <c r="W288">
        <f>IF(ISNA(X288),NA(),W206)</f>
        <v>0</v>
      </c>
      <c r="X288">
        <f>IF(OR(X206="",AND(X206=X205,X206=X207)),NA(), X206)</f>
        <v>0</v>
      </c>
      <c r="Y288">
        <f>IF(ISNA(Z288),NA(),Y206)</f>
        <v>0</v>
      </c>
      <c r="Z288">
        <f>IF(OR(Z206="",AND(Z206=Z205,Z206=Z207)),NA(), Z206)</f>
        <v>0</v>
      </c>
      <c r="AA288">
        <f>IF(ISNA(AB288),NA(),AA206)</f>
        <v>0</v>
      </c>
      <c r="AB288">
        <f>IF(OR(AB206="",AND(AB206=AB205,AB206=AB207)),NA(), AB206)</f>
        <v>0</v>
      </c>
      <c r="AC288">
        <f>IF(ISNA(AD288),NA(),AC206)</f>
        <v>0</v>
      </c>
      <c r="AD288">
        <f>IF(OR(AD206="",AND(AD206=AD205,AD206=AD207)),NA(), AD206)</f>
        <v>0</v>
      </c>
      <c r="AE288">
        <f>IF(ISNA(AF288),NA(),AE206)</f>
        <v>0</v>
      </c>
      <c r="AF288">
        <f>IF(OR(AF206="",AND(AF206=AF205,AF206=AF207)),NA(), AF206)</f>
        <v>0</v>
      </c>
      <c r="AG288">
        <f>IF(ISNA(AH288),NA(),AG206)</f>
        <v>0</v>
      </c>
      <c r="AH288">
        <f>IF(OR(AH206="",AND(AH206=AH205,AH206=AH207)),NA(), AH206)</f>
        <v>0</v>
      </c>
      <c r="AI288">
        <f>IF(ISNA(AJ288),NA(),AI206)</f>
        <v>0</v>
      </c>
      <c r="AJ288">
        <f>IF(OR(AJ206="",AND(AJ206=AJ205,AJ206=AJ207)),NA(), AJ206)</f>
        <v>0</v>
      </c>
      <c r="AK288">
        <f>IF(ISNA(AL288),NA(),AK206)</f>
        <v>0</v>
      </c>
      <c r="AL288">
        <f>IF(OR(AL206="",AND(AL206=AL205,AL206=AL207)),NA(), AL206)</f>
        <v>0</v>
      </c>
      <c r="AM288">
        <f>IF(ISNA(AN288),NA(),AM206)</f>
        <v>0</v>
      </c>
      <c r="AN288">
        <f>IF(OR(AN206="",AND(AN206=AN205,AN206=AN207)),NA(), AN206)</f>
        <v>0</v>
      </c>
      <c r="AO288">
        <f>IF(ISNA(AP288),NA(),AO206)</f>
        <v>0</v>
      </c>
      <c r="AP288">
        <f>IF(OR(AP206="",AND(AP206=AP205,AP206=AP207)),NA(), AP206)</f>
        <v>0</v>
      </c>
      <c r="AQ288">
        <f>IF(ISNA(AR288),NA(),AQ206)</f>
        <v>0</v>
      </c>
      <c r="AR288">
        <f>IF(OR(AR206="",AND(AR206=AR205,AR206=AR207)),NA(), AR206)</f>
        <v>0</v>
      </c>
      <c r="AS288">
        <f>IF(ISNA(AT288),NA(),AS206)</f>
        <v>0</v>
      </c>
      <c r="AT288">
        <f>IF(OR(AT206="",AND(AT206=AT205,AT206=AT207)),NA(), AT206)</f>
        <v>0</v>
      </c>
      <c r="AU288">
        <f>IF(ISNA(AV288),NA(),AU206)</f>
        <v>0</v>
      </c>
      <c r="AV288">
        <f>IF(OR(AV206="",AND(AV206=AV205,AV206=AV207)),NA(), AV206)</f>
        <v>0</v>
      </c>
      <c r="AW288">
        <f>IF(ISNA(AX288),NA(),AW206)</f>
        <v>0</v>
      </c>
      <c r="AX288">
        <f>IF(OR(AX206="",AND(AX206=AX205,AX206=AX207)),NA(), AX206)</f>
        <v>0</v>
      </c>
      <c r="AY288">
        <f>IF(ISNA(AZ288),NA(),AY206)</f>
        <v>0</v>
      </c>
      <c r="AZ288">
        <f>IF(OR(AZ206="",AND(AZ206=AZ205,AZ206=AZ207)),NA(), AZ206)</f>
        <v>0</v>
      </c>
      <c r="BA288">
        <f>IF(ISNA(BB288),NA(),BA206)</f>
        <v>0</v>
      </c>
      <c r="BB288">
        <f>IF(OR(BB206="",AND(BB206=BB205,BB206=BB207)),NA(), BB206)</f>
        <v>0</v>
      </c>
      <c r="BC288">
        <f>IF(ISNA(BD288),NA(),BC206)</f>
        <v>0</v>
      </c>
      <c r="BD288">
        <f>IF(OR(BD206="",AND(BD206=BD205,BD206=BD207)),NA(), BD206)</f>
        <v>0</v>
      </c>
      <c r="BE288">
        <f>IF(ISNA(BF288),NA(),BE206)</f>
        <v>0</v>
      </c>
      <c r="BF288">
        <f>IF(OR(BF206="",AND(BF206=BF205,BF206=BF207)),NA(), BF206)</f>
        <v>0</v>
      </c>
      <c r="BG288">
        <f>IF(ISNA(BH288),NA(),BG206)</f>
        <v>0</v>
      </c>
      <c r="BH288">
        <f>IF(OR(BH206="",AND(BH206=BH205,BH206=BH207)),NA(), BH206)</f>
        <v>0</v>
      </c>
      <c r="BI288">
        <f>IF(ISNA(BJ288),NA(),BI206)</f>
        <v>0</v>
      </c>
      <c r="BJ288">
        <f>IF(OR(BJ206="",AND(BJ206=BJ205,BJ206=BJ207)),NA(), BJ206)</f>
        <v>0</v>
      </c>
      <c r="BK288">
        <f>IF(ISNA(BL288),NA(),BK206)</f>
        <v>0</v>
      </c>
      <c r="BL288">
        <f>IF(OR(BL206="",AND(BL206=BL205,BL206=BL207)),NA(), BL206)</f>
        <v>0</v>
      </c>
      <c r="BM288">
        <f>IF(ISNA(BN288),NA(),BM206)</f>
        <v>0</v>
      </c>
      <c r="BN288">
        <f>IF(OR(BN206="",AND(BN206=BN205,BN206=BN207)),NA(), BN206)</f>
        <v>0</v>
      </c>
      <c r="BO288">
        <f>IF(ISNA(BP288),NA(),BO206)</f>
        <v>0</v>
      </c>
      <c r="BP288">
        <f>IF(OR(BP206="",AND(BP206=BP205,BP206=BP207)),NA(), BP206)</f>
        <v>0</v>
      </c>
      <c r="BS288">
        <f>IF(ISNA(BT288),NA(),BS206)</f>
        <v>0</v>
      </c>
      <c r="BT288">
        <f>IF(OR(BT206="",AND(BT206=BT205,BT206=BT207)),NA(), BT206)</f>
        <v>0</v>
      </c>
      <c r="BU288">
        <f>IF(ISNA(BV288),NA(),BU206)</f>
        <v>0</v>
      </c>
      <c r="BV288">
        <f>IF(OR(BV206="",AND(BV206=BV205,BV206=BV207)),NA(), BV206)</f>
        <v>0</v>
      </c>
      <c r="BW288">
        <f>IF(ISNA(BX288),NA(),BW206)</f>
        <v>0</v>
      </c>
      <c r="BX288">
        <f>IF(OR(BX206="",AND(BX206=BX205,BX206=BX207)),NA(), BX206)</f>
        <v>0</v>
      </c>
      <c r="BY288">
        <f>IF(ISNA(BZ288),NA(),BY206)</f>
        <v>0</v>
      </c>
      <c r="BZ288">
        <f>IF(OR(BZ206="",AND(BZ206=BZ205,BZ206=BZ207)),NA(), BZ206)</f>
        <v>0</v>
      </c>
      <c r="CA288">
        <f>IF(ISNA(CB288),NA(),CA206)</f>
        <v>0</v>
      </c>
      <c r="CB288">
        <f>IF(OR(CB206="",AND(CB206=CB205,CB206=CB207)),NA(), CB206)</f>
        <v>0</v>
      </c>
      <c r="CC288">
        <f>IF(ISNA(CD288),NA(),CC206)</f>
        <v>0</v>
      </c>
      <c r="CD288">
        <f>IF(OR(CD206="",AND(CD206=CD205,CD206=CD207)),NA(), CD206)</f>
        <v>0</v>
      </c>
      <c r="CE288">
        <f>IF(ISNA(CF288),NA(),CE206)</f>
        <v>0</v>
      </c>
      <c r="CF288">
        <f>IF(OR(CF206="",AND(CF206=CF205,CF206=CF207)),NA(), CF206)</f>
        <v>0</v>
      </c>
      <c r="CG288">
        <f>IF(ISNA(CH288),NA(),CG206)</f>
        <v>0</v>
      </c>
      <c r="CH288">
        <f>IF(OR(CH206="",AND(CH206=CH205,CH206=CH207)),NA(), CH206)</f>
        <v>0</v>
      </c>
      <c r="CI288">
        <f>IF(ISNA(CJ288),NA(),CI206)</f>
        <v>0</v>
      </c>
      <c r="CJ288">
        <f>IF(OR(CJ206="",AND(CJ206=CJ205,CJ206=CJ207)),NA(), CJ206)</f>
        <v>0</v>
      </c>
      <c r="CK288">
        <f>IF(ISNA(CL288),NA(),CK206)</f>
        <v>0</v>
      </c>
      <c r="CL288">
        <f>IF(OR(CL206="",AND(CL206=CL205,CL206=CL207)),NA(), CL206)</f>
        <v>0</v>
      </c>
      <c r="CM288">
        <f>IF(ISNA(CN288),NA(),CM206)</f>
        <v>0</v>
      </c>
      <c r="CN288">
        <f>IF(OR(CN206="",AND(CN206=CN205,CN206=CN207)),NA(), CN206)</f>
        <v>0</v>
      </c>
      <c r="CO288">
        <f>IF(ISNA(CP288),NA(),CO206)</f>
        <v>0</v>
      </c>
      <c r="CP288">
        <f>IF(OR(CP206="",AND(CP206=CP205,CP206=CP207)),NA(), CP206)</f>
        <v>0</v>
      </c>
      <c r="CQ288">
        <f>IF(ISNA(CR288),NA(),CQ206)</f>
        <v>0</v>
      </c>
      <c r="CR288">
        <f>IF(OR(CR206="",AND(CR206=CR205,CR206=CR207)),NA(), CR206)</f>
        <v>0</v>
      </c>
      <c r="CS288">
        <f>IF(ISNA(CT288),NA(),CS206)</f>
        <v>0</v>
      </c>
      <c r="CT288">
        <f>IF(OR(CT206="",AND(CT206=CT205,CT206=CT207)),NA(), CT206)</f>
        <v>0</v>
      </c>
      <c r="CU288">
        <f>IF(ISNA(CV288),NA(),CU206)</f>
        <v>0</v>
      </c>
      <c r="CV288">
        <f>IF(OR(CV206="",AND(CV206=CV205,CV206=CV207)),NA(), CV206)</f>
        <v>0</v>
      </c>
      <c r="CW288">
        <f>IF(ISNA(CX288),NA(),CW206)</f>
        <v>0</v>
      </c>
      <c r="CX288">
        <f>IF(OR(CX206="",AND(CX206=CX205,CX206=CX207)),NA(), CX206)</f>
        <v>0</v>
      </c>
      <c r="CY288">
        <f>IF(ISNA(CZ288),NA(),CY206)</f>
        <v>0</v>
      </c>
      <c r="CZ288">
        <f>IF(OR(CZ206="",AND(CZ206=CZ205,CZ206=CZ207)),NA(), CZ206)</f>
        <v>0</v>
      </c>
      <c r="DA288">
        <f>IF(ISNA(DB288),NA(),DA206)</f>
        <v>0</v>
      </c>
      <c r="DB288">
        <f>IF(OR(DB206="",AND(DB206=DB205,DB206=DB207)),NA(), DB206)</f>
        <v>0</v>
      </c>
      <c r="DC288">
        <f>IF(ISNA(DD288),NA(),DC206)</f>
        <v>0</v>
      </c>
      <c r="DD288">
        <f>IF(OR(DD206="",AND(DD206=DD205,DD206=DD207)),NA(), DD206)</f>
        <v>0</v>
      </c>
      <c r="DE288">
        <f>IF(ISNA(DF288),NA(),DE206)</f>
        <v>0</v>
      </c>
      <c r="DF288">
        <f>IF(OR(DF206="",AND(DF206=DF205,DF206=DF207)),NA(), DF206)</f>
        <v>0</v>
      </c>
      <c r="DG288">
        <f>IF(ISNA(DH288),NA(),DG206)</f>
        <v>0</v>
      </c>
      <c r="DH288">
        <f>IF(OR(DH206="",AND(DH206=DH205,DH206=DH207)),NA(), DH206)</f>
        <v>0</v>
      </c>
      <c r="DI288">
        <f>IF(ISNA(DJ288),NA(),DI206)</f>
        <v>0</v>
      </c>
      <c r="DJ288">
        <f>IF(OR(DJ206="",AND(DJ206=DJ205,DJ206=DJ207)),NA(), DJ206)</f>
        <v>0</v>
      </c>
      <c r="DK288">
        <f>IF(ISNA(DL288),NA(),DK206)</f>
        <v>0</v>
      </c>
      <c r="DL288">
        <f>IF(OR(DL206="",AND(DL206=DL205,DL206=DL207)),NA(), DL206)</f>
        <v>0</v>
      </c>
      <c r="DM288">
        <f>IF(ISNA(DN288),NA(),DM206)</f>
        <v>0</v>
      </c>
      <c r="DN288">
        <f>IF(OR(DN206="",AND(DN206=DN205,DN206=DN207)),NA(), DN206)</f>
        <v>0</v>
      </c>
      <c r="DO288">
        <f>IF(ISNA(DP288),NA(),DO206)</f>
        <v>0</v>
      </c>
      <c r="DP288">
        <f>IF(OR(DP206="",AND(DP206=DP205,DP206=DP207)),NA(), DP206)</f>
        <v>0</v>
      </c>
      <c r="DQ288">
        <f>IF(ISNA(DR288),NA(),DQ206)</f>
        <v>0</v>
      </c>
      <c r="DR288">
        <f>IF(OR(DR206="",AND(DR206=DR205,DR206=DR207)),NA(), DR206)</f>
        <v>0</v>
      </c>
      <c r="DS288">
        <f>IF(ISNA(DT288),NA(),DS206)</f>
        <v>0</v>
      </c>
      <c r="DT288">
        <f>IF(OR(DT206="",AND(DT206=DT205,DT206=DT207)),NA(), DT206)</f>
        <v>0</v>
      </c>
      <c r="DU288">
        <f>IF(ISNA(DV288),NA(),DU206)</f>
        <v>0</v>
      </c>
      <c r="DV288">
        <f>IF(OR(DV206="",AND(DV206=DV205,DV206=DV207)),NA(), DV206)</f>
        <v>0</v>
      </c>
      <c r="DW288">
        <f>IF(ISNA(DX288),NA(),DW206)</f>
        <v>0</v>
      </c>
      <c r="DX288">
        <f>IF(OR(DX206="",AND(DX206=DX205,DX206=DX207)),NA(), DX206)</f>
        <v>0</v>
      </c>
      <c r="DY288">
        <f>IF(ISNA(DZ288),NA(),DY206)</f>
        <v>0</v>
      </c>
      <c r="DZ288">
        <f>IF(OR(DZ206="",AND(DZ206=DZ205,DZ206=DZ207)),NA(), DZ206)</f>
        <v>0</v>
      </c>
      <c r="EA288">
        <f>IF(ISNA(EB288),NA(),EA206)</f>
        <v>0</v>
      </c>
      <c r="EB288">
        <f>IF(OR(EB206="",AND(EB206=EB205,EB206=EB207)),NA(), EB206)</f>
        <v>0</v>
      </c>
      <c r="EC288">
        <f>IF(ISNA(ED288),NA(),EC206)</f>
        <v>0</v>
      </c>
      <c r="ED288">
        <f>IF(OR(ED206="",AND(ED206=ED205,ED206=ED207)),NA(), ED206)</f>
        <v>0</v>
      </c>
    </row>
    <row r="289" spans="5:134">
      <c r="E289">
        <f>IF(ISNA(F289),NA(),E207)</f>
        <v>0</v>
      </c>
      <c r="F289">
        <f>IF(OR(F207="",AND(F207=F206,F207=F208)),NA(), F207)</f>
        <v>0</v>
      </c>
      <c r="G289">
        <f>IF(ISNA(H289),NA(),G207)</f>
        <v>0</v>
      </c>
      <c r="H289">
        <f>IF(OR(H207="",AND(H207=H206,H207=H208)),NA(), H207)</f>
        <v>0</v>
      </c>
      <c r="I289">
        <f>IF(ISNA(J289),NA(),I207)</f>
        <v>0</v>
      </c>
      <c r="J289">
        <f>IF(OR(J207="",AND(J207=J206,J207=J208)),NA(), J207)</f>
        <v>0</v>
      </c>
      <c r="K289">
        <f>IF(ISNA(L289),NA(),K207)</f>
        <v>0</v>
      </c>
      <c r="L289">
        <f>IF(OR(L207="",AND(L207=L206,L207=L208)),NA(), L207)</f>
        <v>0</v>
      </c>
      <c r="M289">
        <f>IF(ISNA(N289),NA(),M207)</f>
        <v>0</v>
      </c>
      <c r="N289">
        <f>IF(OR(N207="",AND(N207=N206,N207=N208)),NA(), N207)</f>
        <v>0</v>
      </c>
      <c r="O289">
        <f>IF(ISNA(P289),NA(),O207)</f>
        <v>0</v>
      </c>
      <c r="P289">
        <f>IF(OR(P207="",AND(P207=P206,P207=P208)),NA(), P207)</f>
        <v>0</v>
      </c>
      <c r="Q289">
        <f>IF(ISNA(R289),NA(),Q207)</f>
        <v>0</v>
      </c>
      <c r="R289">
        <f>IF(OR(R207="",AND(R207=R206,R207=R208)),NA(), R207)</f>
        <v>0</v>
      </c>
      <c r="S289">
        <f>IF(ISNA(T289),NA(),S207)</f>
        <v>0</v>
      </c>
      <c r="T289">
        <f>IF(OR(T207="",AND(T207=T206,T207=T208)),NA(), T207)</f>
        <v>0</v>
      </c>
      <c r="U289">
        <f>IF(ISNA(V289),NA(),U207)</f>
        <v>0</v>
      </c>
      <c r="V289">
        <f>IF(OR(V207="",AND(V207=V206,V207=V208)),NA(), V207)</f>
        <v>0</v>
      </c>
      <c r="W289">
        <f>IF(ISNA(X289),NA(),W207)</f>
        <v>0</v>
      </c>
      <c r="X289">
        <f>IF(OR(X207="",AND(X207=X206,X207=X208)),NA(), X207)</f>
        <v>0</v>
      </c>
      <c r="Y289">
        <f>IF(ISNA(Z289),NA(),Y207)</f>
        <v>0</v>
      </c>
      <c r="Z289">
        <f>IF(OR(Z207="",AND(Z207=Z206,Z207=Z208)),NA(), Z207)</f>
        <v>0</v>
      </c>
      <c r="AA289">
        <f>IF(ISNA(AB289),NA(),AA207)</f>
        <v>0</v>
      </c>
      <c r="AB289">
        <f>IF(OR(AB207="",AND(AB207=AB206,AB207=AB208)),NA(), AB207)</f>
        <v>0</v>
      </c>
      <c r="AC289">
        <f>IF(ISNA(AD289),NA(),AC207)</f>
        <v>0</v>
      </c>
      <c r="AD289">
        <f>IF(OR(AD207="",AND(AD207=AD206,AD207=AD208)),NA(), AD207)</f>
        <v>0</v>
      </c>
      <c r="AE289">
        <f>IF(ISNA(AF289),NA(),AE207)</f>
        <v>0</v>
      </c>
      <c r="AF289">
        <f>IF(OR(AF207="",AND(AF207=AF206,AF207=AF208)),NA(), AF207)</f>
        <v>0</v>
      </c>
      <c r="AG289">
        <f>IF(ISNA(AH289),NA(),AG207)</f>
        <v>0</v>
      </c>
      <c r="AH289">
        <f>IF(OR(AH207="",AND(AH207=AH206,AH207=AH208)),NA(), AH207)</f>
        <v>0</v>
      </c>
      <c r="AI289">
        <f>IF(ISNA(AJ289),NA(),AI207)</f>
        <v>0</v>
      </c>
      <c r="AJ289">
        <f>IF(OR(AJ207="",AND(AJ207=AJ206,AJ207=AJ208)),NA(), AJ207)</f>
        <v>0</v>
      </c>
      <c r="AK289">
        <f>IF(ISNA(AL289),NA(),AK207)</f>
        <v>0</v>
      </c>
      <c r="AL289">
        <f>IF(OR(AL207="",AND(AL207=AL206,AL207=AL208)),NA(), AL207)</f>
        <v>0</v>
      </c>
      <c r="AM289">
        <f>IF(ISNA(AN289),NA(),AM207)</f>
        <v>0</v>
      </c>
      <c r="AN289">
        <f>IF(OR(AN207="",AND(AN207=AN206,AN207=AN208)),NA(), AN207)</f>
        <v>0</v>
      </c>
      <c r="AO289">
        <f>IF(ISNA(AP289),NA(),AO207)</f>
        <v>0</v>
      </c>
      <c r="AP289">
        <f>IF(OR(AP207="",AND(AP207=AP206,AP207=AP208)),NA(), AP207)</f>
        <v>0</v>
      </c>
      <c r="AQ289">
        <f>IF(ISNA(AR289),NA(),AQ207)</f>
        <v>0</v>
      </c>
      <c r="AR289">
        <f>IF(OR(AR207="",AND(AR207=AR206,AR207=AR208)),NA(), AR207)</f>
        <v>0</v>
      </c>
      <c r="AS289">
        <f>IF(ISNA(AT289),NA(),AS207)</f>
        <v>0</v>
      </c>
      <c r="AT289">
        <f>IF(OR(AT207="",AND(AT207=AT206,AT207=AT208)),NA(), AT207)</f>
        <v>0</v>
      </c>
      <c r="AU289">
        <f>IF(ISNA(AV289),NA(),AU207)</f>
        <v>0</v>
      </c>
      <c r="AV289">
        <f>IF(OR(AV207="",AND(AV207=AV206,AV207=AV208)),NA(), AV207)</f>
        <v>0</v>
      </c>
      <c r="AW289">
        <f>IF(ISNA(AX289),NA(),AW207)</f>
        <v>0</v>
      </c>
      <c r="AX289">
        <f>IF(OR(AX207="",AND(AX207=AX206,AX207=AX208)),NA(), AX207)</f>
        <v>0</v>
      </c>
      <c r="AY289">
        <f>IF(ISNA(AZ289),NA(),AY207)</f>
        <v>0</v>
      </c>
      <c r="AZ289">
        <f>IF(OR(AZ207="",AND(AZ207=AZ206,AZ207=AZ208)),NA(), AZ207)</f>
        <v>0</v>
      </c>
      <c r="BA289">
        <f>IF(ISNA(BB289),NA(),BA207)</f>
        <v>0</v>
      </c>
      <c r="BB289">
        <f>IF(OR(BB207="",AND(BB207=BB206,BB207=BB208)),NA(), BB207)</f>
        <v>0</v>
      </c>
      <c r="BC289">
        <f>IF(ISNA(BD289),NA(),BC207)</f>
        <v>0</v>
      </c>
      <c r="BD289">
        <f>IF(OR(BD207="",AND(BD207=BD206,BD207=BD208)),NA(), BD207)</f>
        <v>0</v>
      </c>
      <c r="BE289">
        <f>IF(ISNA(BF289),NA(),BE207)</f>
        <v>0</v>
      </c>
      <c r="BF289">
        <f>IF(OR(BF207="",AND(BF207=BF206,BF207=BF208)),NA(), BF207)</f>
        <v>0</v>
      </c>
      <c r="BG289">
        <f>IF(ISNA(BH289),NA(),BG207)</f>
        <v>0</v>
      </c>
      <c r="BH289">
        <f>IF(OR(BH207="",AND(BH207=BH206,BH207=BH208)),NA(), BH207)</f>
        <v>0</v>
      </c>
      <c r="BI289">
        <f>IF(ISNA(BJ289),NA(),BI207)</f>
        <v>0</v>
      </c>
      <c r="BJ289">
        <f>IF(OR(BJ207="",AND(BJ207=BJ206,BJ207=BJ208)),NA(), BJ207)</f>
        <v>0</v>
      </c>
      <c r="BK289">
        <f>IF(ISNA(BL289),NA(),BK207)</f>
        <v>0</v>
      </c>
      <c r="BL289">
        <f>IF(OR(BL207="",AND(BL207=BL206,BL207=BL208)),NA(), BL207)</f>
        <v>0</v>
      </c>
      <c r="BM289">
        <f>IF(ISNA(BN289),NA(),BM207)</f>
        <v>0</v>
      </c>
      <c r="BN289">
        <f>IF(OR(BN207="",AND(BN207=BN206,BN207=BN208)),NA(), BN207)</f>
        <v>0</v>
      </c>
      <c r="BO289">
        <f>IF(ISNA(BP289),NA(),BO207)</f>
        <v>0</v>
      </c>
      <c r="BP289">
        <f>IF(OR(BP207="",AND(BP207=BP206,BP207=BP208)),NA(), BP207)</f>
        <v>0</v>
      </c>
      <c r="BS289">
        <f>IF(ISNA(BT289),NA(),BS207)</f>
        <v>0</v>
      </c>
      <c r="BT289">
        <f>IF(OR(BT207="",AND(BT207=BT206,BT207=BT208)),NA(), BT207)</f>
        <v>0</v>
      </c>
      <c r="BU289">
        <f>IF(ISNA(BV289),NA(),BU207)</f>
        <v>0</v>
      </c>
      <c r="BV289">
        <f>IF(OR(BV207="",AND(BV207=BV206,BV207=BV208)),NA(), BV207)</f>
        <v>0</v>
      </c>
      <c r="BW289">
        <f>IF(ISNA(BX289),NA(),BW207)</f>
        <v>0</v>
      </c>
      <c r="BX289">
        <f>IF(OR(BX207="",AND(BX207=BX206,BX207=BX208)),NA(), BX207)</f>
        <v>0</v>
      </c>
      <c r="BY289">
        <f>IF(ISNA(BZ289),NA(),BY207)</f>
        <v>0</v>
      </c>
      <c r="BZ289">
        <f>IF(OR(BZ207="",AND(BZ207=BZ206,BZ207=BZ208)),NA(), BZ207)</f>
        <v>0</v>
      </c>
      <c r="CA289">
        <f>IF(ISNA(CB289),NA(),CA207)</f>
        <v>0</v>
      </c>
      <c r="CB289">
        <f>IF(OR(CB207="",AND(CB207=CB206,CB207=CB208)),NA(), CB207)</f>
        <v>0</v>
      </c>
      <c r="CC289">
        <f>IF(ISNA(CD289),NA(),CC207)</f>
        <v>0</v>
      </c>
      <c r="CD289">
        <f>IF(OR(CD207="",AND(CD207=CD206,CD207=CD208)),NA(), CD207)</f>
        <v>0</v>
      </c>
      <c r="CE289">
        <f>IF(ISNA(CF289),NA(),CE207)</f>
        <v>0</v>
      </c>
      <c r="CF289">
        <f>IF(OR(CF207="",AND(CF207=CF206,CF207=CF208)),NA(), CF207)</f>
        <v>0</v>
      </c>
      <c r="CG289">
        <f>IF(ISNA(CH289),NA(),CG207)</f>
        <v>0</v>
      </c>
      <c r="CH289">
        <f>IF(OR(CH207="",AND(CH207=CH206,CH207=CH208)),NA(), CH207)</f>
        <v>0</v>
      </c>
      <c r="CI289">
        <f>IF(ISNA(CJ289),NA(),CI207)</f>
        <v>0</v>
      </c>
      <c r="CJ289">
        <f>IF(OR(CJ207="",AND(CJ207=CJ206,CJ207=CJ208)),NA(), CJ207)</f>
        <v>0</v>
      </c>
      <c r="CK289">
        <f>IF(ISNA(CL289),NA(),CK207)</f>
        <v>0</v>
      </c>
      <c r="CL289">
        <f>IF(OR(CL207="",AND(CL207=CL206,CL207=CL208)),NA(), CL207)</f>
        <v>0</v>
      </c>
      <c r="CM289">
        <f>IF(ISNA(CN289),NA(),CM207)</f>
        <v>0</v>
      </c>
      <c r="CN289">
        <f>IF(OR(CN207="",AND(CN207=CN206,CN207=CN208)),NA(), CN207)</f>
        <v>0</v>
      </c>
      <c r="CO289">
        <f>IF(ISNA(CP289),NA(),CO207)</f>
        <v>0</v>
      </c>
      <c r="CP289">
        <f>IF(OR(CP207="",AND(CP207=CP206,CP207=CP208)),NA(), CP207)</f>
        <v>0</v>
      </c>
      <c r="CQ289">
        <f>IF(ISNA(CR289),NA(),CQ207)</f>
        <v>0</v>
      </c>
      <c r="CR289">
        <f>IF(OR(CR207="",AND(CR207=CR206,CR207=CR208)),NA(), CR207)</f>
        <v>0</v>
      </c>
      <c r="CS289">
        <f>IF(ISNA(CT289),NA(),CS207)</f>
        <v>0</v>
      </c>
      <c r="CT289">
        <f>IF(OR(CT207="",AND(CT207=CT206,CT207=CT208)),NA(), CT207)</f>
        <v>0</v>
      </c>
      <c r="CU289">
        <f>IF(ISNA(CV289),NA(),CU207)</f>
        <v>0</v>
      </c>
      <c r="CV289">
        <f>IF(OR(CV207="",AND(CV207=CV206,CV207=CV208)),NA(), CV207)</f>
        <v>0</v>
      </c>
      <c r="CW289">
        <f>IF(ISNA(CX289),NA(),CW207)</f>
        <v>0</v>
      </c>
      <c r="CX289">
        <f>IF(OR(CX207="",AND(CX207=CX206,CX207=CX208)),NA(), CX207)</f>
        <v>0</v>
      </c>
      <c r="CY289">
        <f>IF(ISNA(CZ289),NA(),CY207)</f>
        <v>0</v>
      </c>
      <c r="CZ289">
        <f>IF(OR(CZ207="",AND(CZ207=CZ206,CZ207=CZ208)),NA(), CZ207)</f>
        <v>0</v>
      </c>
      <c r="DA289">
        <f>IF(ISNA(DB289),NA(),DA207)</f>
        <v>0</v>
      </c>
      <c r="DB289">
        <f>IF(OR(DB207="",AND(DB207=DB206,DB207=DB208)),NA(), DB207)</f>
        <v>0</v>
      </c>
      <c r="DC289">
        <f>IF(ISNA(DD289),NA(),DC207)</f>
        <v>0</v>
      </c>
      <c r="DD289">
        <f>IF(OR(DD207="",AND(DD207=DD206,DD207=DD208)),NA(), DD207)</f>
        <v>0</v>
      </c>
      <c r="DE289">
        <f>IF(ISNA(DF289),NA(),DE207)</f>
        <v>0</v>
      </c>
      <c r="DF289">
        <f>IF(OR(DF207="",AND(DF207=DF206,DF207=DF208)),NA(), DF207)</f>
        <v>0</v>
      </c>
      <c r="DG289">
        <f>IF(ISNA(DH289),NA(),DG207)</f>
        <v>0</v>
      </c>
      <c r="DH289">
        <f>IF(OR(DH207="",AND(DH207=DH206,DH207=DH208)),NA(), DH207)</f>
        <v>0</v>
      </c>
      <c r="DI289">
        <f>IF(ISNA(DJ289),NA(),DI207)</f>
        <v>0</v>
      </c>
      <c r="DJ289">
        <f>IF(OR(DJ207="",AND(DJ207=DJ206,DJ207=DJ208)),NA(), DJ207)</f>
        <v>0</v>
      </c>
      <c r="DK289">
        <f>IF(ISNA(DL289),NA(),DK207)</f>
        <v>0</v>
      </c>
      <c r="DL289">
        <f>IF(OR(DL207="",AND(DL207=DL206,DL207=DL208)),NA(), DL207)</f>
        <v>0</v>
      </c>
      <c r="DM289">
        <f>IF(ISNA(DN289),NA(),DM207)</f>
        <v>0</v>
      </c>
      <c r="DN289">
        <f>IF(OR(DN207="",AND(DN207=DN206,DN207=DN208)),NA(), DN207)</f>
        <v>0</v>
      </c>
      <c r="DO289">
        <f>IF(ISNA(DP289),NA(),DO207)</f>
        <v>0</v>
      </c>
      <c r="DP289">
        <f>IF(OR(DP207="",AND(DP207=DP206,DP207=DP208)),NA(), DP207)</f>
        <v>0</v>
      </c>
      <c r="DQ289">
        <f>IF(ISNA(DR289),NA(),DQ207)</f>
        <v>0</v>
      </c>
      <c r="DR289">
        <f>IF(OR(DR207="",AND(DR207=DR206,DR207=DR208)),NA(), DR207)</f>
        <v>0</v>
      </c>
      <c r="DS289">
        <f>IF(ISNA(DT289),NA(),DS207)</f>
        <v>0</v>
      </c>
      <c r="DT289">
        <f>IF(OR(DT207="",AND(DT207=DT206,DT207=DT208)),NA(), DT207)</f>
        <v>0</v>
      </c>
      <c r="DU289">
        <f>IF(ISNA(DV289),NA(),DU207)</f>
        <v>0</v>
      </c>
      <c r="DV289">
        <f>IF(OR(DV207="",AND(DV207=DV206,DV207=DV208)),NA(), DV207)</f>
        <v>0</v>
      </c>
      <c r="DW289">
        <f>IF(ISNA(DX289),NA(),DW207)</f>
        <v>0</v>
      </c>
      <c r="DX289">
        <f>IF(OR(DX207="",AND(DX207=DX206,DX207=DX208)),NA(), DX207)</f>
        <v>0</v>
      </c>
      <c r="DY289">
        <f>IF(ISNA(DZ289),NA(),DY207)</f>
        <v>0</v>
      </c>
      <c r="DZ289">
        <f>IF(OR(DZ207="",AND(DZ207=DZ206,DZ207=DZ208)),NA(), DZ207)</f>
        <v>0</v>
      </c>
      <c r="EA289">
        <f>IF(ISNA(EB289),NA(),EA207)</f>
        <v>0</v>
      </c>
      <c r="EB289">
        <f>IF(OR(EB207="",AND(EB207=EB206,EB207=EB208)),NA(), EB207)</f>
        <v>0</v>
      </c>
      <c r="EC289">
        <f>IF(ISNA(ED289),NA(),EC207)</f>
        <v>0</v>
      </c>
      <c r="ED289">
        <f>IF(OR(ED207="",AND(ED207=ED206,ED207=ED208)),NA(), ED207)</f>
        <v>0</v>
      </c>
    </row>
    <row r="290" spans="5:134">
      <c r="E290">
        <f>IF(ISNA(F290),NA(),E208)</f>
        <v>0</v>
      </c>
      <c r="F290">
        <f>IF(OR(F208="",AND(F208=F207,F208=F209)),NA(), F208)</f>
        <v>0</v>
      </c>
      <c r="G290">
        <f>IF(ISNA(H290),NA(),G208)</f>
        <v>0</v>
      </c>
      <c r="H290">
        <f>IF(OR(H208="",AND(H208=H207,H208=H209)),NA(), H208)</f>
        <v>0</v>
      </c>
      <c r="I290">
        <f>IF(ISNA(J290),NA(),I208)</f>
        <v>0</v>
      </c>
      <c r="J290">
        <f>IF(OR(J208="",AND(J208=J207,J208=J209)),NA(), J208)</f>
        <v>0</v>
      </c>
      <c r="K290">
        <f>IF(ISNA(L290),NA(),K208)</f>
        <v>0</v>
      </c>
      <c r="L290">
        <f>IF(OR(L208="",AND(L208=L207,L208=L209)),NA(), L208)</f>
        <v>0</v>
      </c>
      <c r="M290">
        <f>IF(ISNA(N290),NA(),M208)</f>
        <v>0</v>
      </c>
      <c r="N290">
        <f>IF(OR(N208="",AND(N208=N207,N208=N209)),NA(), N208)</f>
        <v>0</v>
      </c>
      <c r="O290">
        <f>IF(ISNA(P290),NA(),O208)</f>
        <v>0</v>
      </c>
      <c r="P290">
        <f>IF(OR(P208="",AND(P208=P207,P208=P209)),NA(), P208)</f>
        <v>0</v>
      </c>
      <c r="Q290">
        <f>IF(ISNA(R290),NA(),Q208)</f>
        <v>0</v>
      </c>
      <c r="R290">
        <f>IF(OR(R208="",AND(R208=R207,R208=R209)),NA(), R208)</f>
        <v>0</v>
      </c>
      <c r="S290">
        <f>IF(ISNA(T290),NA(),S208)</f>
        <v>0</v>
      </c>
      <c r="T290">
        <f>IF(OR(T208="",AND(T208=T207,T208=T209)),NA(), T208)</f>
        <v>0</v>
      </c>
      <c r="U290">
        <f>IF(ISNA(V290),NA(),U208)</f>
        <v>0</v>
      </c>
      <c r="V290">
        <f>IF(OR(V208="",AND(V208=V207,V208=V209)),NA(), V208)</f>
        <v>0</v>
      </c>
      <c r="W290">
        <f>IF(ISNA(X290),NA(),W208)</f>
        <v>0</v>
      </c>
      <c r="X290">
        <f>IF(OR(X208="",AND(X208=X207,X208=X209)),NA(), X208)</f>
        <v>0</v>
      </c>
      <c r="Y290">
        <f>IF(ISNA(Z290),NA(),Y208)</f>
        <v>0</v>
      </c>
      <c r="Z290">
        <f>IF(OR(Z208="",AND(Z208=Z207,Z208=Z209)),NA(), Z208)</f>
        <v>0</v>
      </c>
      <c r="AA290">
        <f>IF(ISNA(AB290),NA(),AA208)</f>
        <v>0</v>
      </c>
      <c r="AB290">
        <f>IF(OR(AB208="",AND(AB208=AB207,AB208=AB209)),NA(), AB208)</f>
        <v>0</v>
      </c>
      <c r="AC290">
        <f>IF(ISNA(AD290),NA(),AC208)</f>
        <v>0</v>
      </c>
      <c r="AD290">
        <f>IF(OR(AD208="",AND(AD208=AD207,AD208=AD209)),NA(), AD208)</f>
        <v>0</v>
      </c>
      <c r="AE290">
        <f>IF(ISNA(AF290),NA(),AE208)</f>
        <v>0</v>
      </c>
      <c r="AF290">
        <f>IF(OR(AF208="",AND(AF208=AF207,AF208=AF209)),NA(), AF208)</f>
        <v>0</v>
      </c>
      <c r="AG290">
        <f>IF(ISNA(AH290),NA(),AG208)</f>
        <v>0</v>
      </c>
      <c r="AH290">
        <f>IF(OR(AH208="",AND(AH208=AH207,AH208=AH209)),NA(), AH208)</f>
        <v>0</v>
      </c>
      <c r="AI290">
        <f>IF(ISNA(AJ290),NA(),AI208)</f>
        <v>0</v>
      </c>
      <c r="AJ290">
        <f>IF(OR(AJ208="",AND(AJ208=AJ207,AJ208=AJ209)),NA(), AJ208)</f>
        <v>0</v>
      </c>
      <c r="AK290">
        <f>IF(ISNA(AL290),NA(),AK208)</f>
        <v>0</v>
      </c>
      <c r="AL290">
        <f>IF(OR(AL208="",AND(AL208=AL207,AL208=AL209)),NA(), AL208)</f>
        <v>0</v>
      </c>
      <c r="AM290">
        <f>IF(ISNA(AN290),NA(),AM208)</f>
        <v>0</v>
      </c>
      <c r="AN290">
        <f>IF(OR(AN208="",AND(AN208=AN207,AN208=AN209)),NA(), AN208)</f>
        <v>0</v>
      </c>
      <c r="AO290">
        <f>IF(ISNA(AP290),NA(),AO208)</f>
        <v>0</v>
      </c>
      <c r="AP290">
        <f>IF(OR(AP208="",AND(AP208=AP207,AP208=AP209)),NA(), AP208)</f>
        <v>0</v>
      </c>
      <c r="AQ290">
        <f>IF(ISNA(AR290),NA(),AQ208)</f>
        <v>0</v>
      </c>
      <c r="AR290">
        <f>IF(OR(AR208="",AND(AR208=AR207,AR208=AR209)),NA(), AR208)</f>
        <v>0</v>
      </c>
      <c r="AS290">
        <f>IF(ISNA(AT290),NA(),AS208)</f>
        <v>0</v>
      </c>
      <c r="AT290">
        <f>IF(OR(AT208="",AND(AT208=AT207,AT208=AT209)),NA(), AT208)</f>
        <v>0</v>
      </c>
      <c r="AU290">
        <f>IF(ISNA(AV290),NA(),AU208)</f>
        <v>0</v>
      </c>
      <c r="AV290">
        <f>IF(OR(AV208="",AND(AV208=AV207,AV208=AV209)),NA(), AV208)</f>
        <v>0</v>
      </c>
      <c r="AW290">
        <f>IF(ISNA(AX290),NA(),AW208)</f>
        <v>0</v>
      </c>
      <c r="AX290">
        <f>IF(OR(AX208="",AND(AX208=AX207,AX208=AX209)),NA(), AX208)</f>
        <v>0</v>
      </c>
      <c r="AY290">
        <f>IF(ISNA(AZ290),NA(),AY208)</f>
        <v>0</v>
      </c>
      <c r="AZ290">
        <f>IF(OR(AZ208="",AND(AZ208=AZ207,AZ208=AZ209)),NA(), AZ208)</f>
        <v>0</v>
      </c>
      <c r="BA290">
        <f>IF(ISNA(BB290),NA(),BA208)</f>
        <v>0</v>
      </c>
      <c r="BB290">
        <f>IF(OR(BB208="",AND(BB208=BB207,BB208=BB209)),NA(), BB208)</f>
        <v>0</v>
      </c>
      <c r="BC290">
        <f>IF(ISNA(BD290),NA(),BC208)</f>
        <v>0</v>
      </c>
      <c r="BD290">
        <f>IF(OR(BD208="",AND(BD208=BD207,BD208=BD209)),NA(), BD208)</f>
        <v>0</v>
      </c>
      <c r="BE290">
        <f>IF(ISNA(BF290),NA(),BE208)</f>
        <v>0</v>
      </c>
      <c r="BF290">
        <f>IF(OR(BF208="",AND(BF208=BF207,BF208=BF209)),NA(), BF208)</f>
        <v>0</v>
      </c>
      <c r="BG290">
        <f>IF(ISNA(BH290),NA(),BG208)</f>
        <v>0</v>
      </c>
      <c r="BH290">
        <f>IF(OR(BH208="",AND(BH208=BH207,BH208=BH209)),NA(), BH208)</f>
        <v>0</v>
      </c>
      <c r="BI290">
        <f>IF(ISNA(BJ290),NA(),BI208)</f>
        <v>0</v>
      </c>
      <c r="BJ290">
        <f>IF(OR(BJ208="",AND(BJ208=BJ207,BJ208=BJ209)),NA(), BJ208)</f>
        <v>0</v>
      </c>
      <c r="BK290">
        <f>IF(ISNA(BL290),NA(),BK208)</f>
        <v>0</v>
      </c>
      <c r="BL290">
        <f>IF(OR(BL208="",AND(BL208=BL207,BL208=BL209)),NA(), BL208)</f>
        <v>0</v>
      </c>
      <c r="BM290">
        <f>IF(ISNA(BN290),NA(),BM208)</f>
        <v>0</v>
      </c>
      <c r="BN290">
        <f>IF(OR(BN208="",AND(BN208=BN207,BN208=BN209)),NA(), BN208)</f>
        <v>0</v>
      </c>
      <c r="BO290">
        <f>IF(ISNA(BP290),NA(),BO208)</f>
        <v>0</v>
      </c>
      <c r="BP290">
        <f>IF(OR(BP208="",AND(BP208=BP207,BP208=BP209)),NA(), BP208)</f>
        <v>0</v>
      </c>
      <c r="BS290">
        <f>IF(ISNA(BT290),NA(),BS208)</f>
        <v>0</v>
      </c>
      <c r="BT290">
        <f>IF(OR(BT208="",AND(BT208=BT207,BT208=BT209)),NA(), BT208)</f>
        <v>0</v>
      </c>
      <c r="BU290">
        <f>IF(ISNA(BV290),NA(),BU208)</f>
        <v>0</v>
      </c>
      <c r="BV290">
        <f>IF(OR(BV208="",AND(BV208=BV207,BV208=BV209)),NA(), BV208)</f>
        <v>0</v>
      </c>
      <c r="BW290">
        <f>IF(ISNA(BX290),NA(),BW208)</f>
        <v>0</v>
      </c>
      <c r="BX290">
        <f>IF(OR(BX208="",AND(BX208=BX207,BX208=BX209)),NA(), BX208)</f>
        <v>0</v>
      </c>
      <c r="BY290">
        <f>IF(ISNA(BZ290),NA(),BY208)</f>
        <v>0</v>
      </c>
      <c r="BZ290">
        <f>IF(OR(BZ208="",AND(BZ208=BZ207,BZ208=BZ209)),NA(), BZ208)</f>
        <v>0</v>
      </c>
      <c r="CA290">
        <f>IF(ISNA(CB290),NA(),CA208)</f>
        <v>0</v>
      </c>
      <c r="CB290">
        <f>IF(OR(CB208="",AND(CB208=CB207,CB208=CB209)),NA(), CB208)</f>
        <v>0</v>
      </c>
      <c r="CC290">
        <f>IF(ISNA(CD290),NA(),CC208)</f>
        <v>0</v>
      </c>
      <c r="CD290">
        <f>IF(OR(CD208="",AND(CD208=CD207,CD208=CD209)),NA(), CD208)</f>
        <v>0</v>
      </c>
      <c r="CE290">
        <f>IF(ISNA(CF290),NA(),CE208)</f>
        <v>0</v>
      </c>
      <c r="CF290">
        <f>IF(OR(CF208="",AND(CF208=CF207,CF208=CF209)),NA(), CF208)</f>
        <v>0</v>
      </c>
      <c r="CG290">
        <f>IF(ISNA(CH290),NA(),CG208)</f>
        <v>0</v>
      </c>
      <c r="CH290">
        <f>IF(OR(CH208="",AND(CH208=CH207,CH208=CH209)),NA(), CH208)</f>
        <v>0</v>
      </c>
      <c r="CI290">
        <f>IF(ISNA(CJ290),NA(),CI208)</f>
        <v>0</v>
      </c>
      <c r="CJ290">
        <f>IF(OR(CJ208="",AND(CJ208=CJ207,CJ208=CJ209)),NA(), CJ208)</f>
        <v>0</v>
      </c>
      <c r="CK290">
        <f>IF(ISNA(CL290),NA(),CK208)</f>
        <v>0</v>
      </c>
      <c r="CL290">
        <f>IF(OR(CL208="",AND(CL208=CL207,CL208=CL209)),NA(), CL208)</f>
        <v>0</v>
      </c>
      <c r="CM290">
        <f>IF(ISNA(CN290),NA(),CM208)</f>
        <v>0</v>
      </c>
      <c r="CN290">
        <f>IF(OR(CN208="",AND(CN208=CN207,CN208=CN209)),NA(), CN208)</f>
        <v>0</v>
      </c>
      <c r="CO290">
        <f>IF(ISNA(CP290),NA(),CO208)</f>
        <v>0</v>
      </c>
      <c r="CP290">
        <f>IF(OR(CP208="",AND(CP208=CP207,CP208=CP209)),NA(), CP208)</f>
        <v>0</v>
      </c>
      <c r="CQ290">
        <f>IF(ISNA(CR290),NA(),CQ208)</f>
        <v>0</v>
      </c>
      <c r="CR290">
        <f>IF(OR(CR208="",AND(CR208=CR207,CR208=CR209)),NA(), CR208)</f>
        <v>0</v>
      </c>
      <c r="CS290">
        <f>IF(ISNA(CT290),NA(),CS208)</f>
        <v>0</v>
      </c>
      <c r="CT290">
        <f>IF(OR(CT208="",AND(CT208=CT207,CT208=CT209)),NA(), CT208)</f>
        <v>0</v>
      </c>
      <c r="CU290">
        <f>IF(ISNA(CV290),NA(),CU208)</f>
        <v>0</v>
      </c>
      <c r="CV290">
        <f>IF(OR(CV208="",AND(CV208=CV207,CV208=CV209)),NA(), CV208)</f>
        <v>0</v>
      </c>
      <c r="CW290">
        <f>IF(ISNA(CX290),NA(),CW208)</f>
        <v>0</v>
      </c>
      <c r="CX290">
        <f>IF(OR(CX208="",AND(CX208=CX207,CX208=CX209)),NA(), CX208)</f>
        <v>0</v>
      </c>
      <c r="CY290">
        <f>IF(ISNA(CZ290),NA(),CY208)</f>
        <v>0</v>
      </c>
      <c r="CZ290">
        <f>IF(OR(CZ208="",AND(CZ208=CZ207,CZ208=CZ209)),NA(), CZ208)</f>
        <v>0</v>
      </c>
      <c r="DA290">
        <f>IF(ISNA(DB290),NA(),DA208)</f>
        <v>0</v>
      </c>
      <c r="DB290">
        <f>IF(OR(DB208="",AND(DB208=DB207,DB208=DB209)),NA(), DB208)</f>
        <v>0</v>
      </c>
      <c r="DC290">
        <f>IF(ISNA(DD290),NA(),DC208)</f>
        <v>0</v>
      </c>
      <c r="DD290">
        <f>IF(OR(DD208="",AND(DD208=DD207,DD208=DD209)),NA(), DD208)</f>
        <v>0</v>
      </c>
      <c r="DE290">
        <f>IF(ISNA(DF290),NA(),DE208)</f>
        <v>0</v>
      </c>
      <c r="DF290">
        <f>IF(OR(DF208="",AND(DF208=DF207,DF208=DF209)),NA(), DF208)</f>
        <v>0</v>
      </c>
      <c r="DG290">
        <f>IF(ISNA(DH290),NA(),DG208)</f>
        <v>0</v>
      </c>
      <c r="DH290">
        <f>IF(OR(DH208="",AND(DH208=DH207,DH208=DH209)),NA(), DH208)</f>
        <v>0</v>
      </c>
      <c r="DI290">
        <f>IF(ISNA(DJ290),NA(),DI208)</f>
        <v>0</v>
      </c>
      <c r="DJ290">
        <f>IF(OR(DJ208="",AND(DJ208=DJ207,DJ208=DJ209)),NA(), DJ208)</f>
        <v>0</v>
      </c>
      <c r="DK290">
        <f>IF(ISNA(DL290),NA(),DK208)</f>
        <v>0</v>
      </c>
      <c r="DL290">
        <f>IF(OR(DL208="",AND(DL208=DL207,DL208=DL209)),NA(), DL208)</f>
        <v>0</v>
      </c>
      <c r="DM290">
        <f>IF(ISNA(DN290),NA(),DM208)</f>
        <v>0</v>
      </c>
      <c r="DN290">
        <f>IF(OR(DN208="",AND(DN208=DN207,DN208=DN209)),NA(), DN208)</f>
        <v>0</v>
      </c>
      <c r="DO290">
        <f>IF(ISNA(DP290),NA(),DO208)</f>
        <v>0</v>
      </c>
      <c r="DP290">
        <f>IF(OR(DP208="",AND(DP208=DP207,DP208=DP209)),NA(), DP208)</f>
        <v>0</v>
      </c>
      <c r="DQ290">
        <f>IF(ISNA(DR290),NA(),DQ208)</f>
        <v>0</v>
      </c>
      <c r="DR290">
        <f>IF(OR(DR208="",AND(DR208=DR207,DR208=DR209)),NA(), DR208)</f>
        <v>0</v>
      </c>
      <c r="DS290">
        <f>IF(ISNA(DT290),NA(),DS208)</f>
        <v>0</v>
      </c>
      <c r="DT290">
        <f>IF(OR(DT208="",AND(DT208=DT207,DT208=DT209)),NA(), DT208)</f>
        <v>0</v>
      </c>
      <c r="DU290">
        <f>IF(ISNA(DV290),NA(),DU208)</f>
        <v>0</v>
      </c>
      <c r="DV290">
        <f>IF(OR(DV208="",AND(DV208=DV207,DV208=DV209)),NA(), DV208)</f>
        <v>0</v>
      </c>
      <c r="DW290">
        <f>IF(ISNA(DX290),NA(),DW208)</f>
        <v>0</v>
      </c>
      <c r="DX290">
        <f>IF(OR(DX208="",AND(DX208=DX207,DX208=DX209)),NA(), DX208)</f>
        <v>0</v>
      </c>
      <c r="DY290">
        <f>IF(ISNA(DZ290),NA(),DY208)</f>
        <v>0</v>
      </c>
      <c r="DZ290">
        <f>IF(OR(DZ208="",AND(DZ208=DZ207,DZ208=DZ209)),NA(), DZ208)</f>
        <v>0</v>
      </c>
      <c r="EA290">
        <f>IF(ISNA(EB290),NA(),EA208)</f>
        <v>0</v>
      </c>
      <c r="EB290">
        <f>IF(OR(EB208="",AND(EB208=EB207,EB208=EB209)),NA(), EB208)</f>
        <v>0</v>
      </c>
      <c r="EC290">
        <f>IF(ISNA(ED290),NA(),EC208)</f>
        <v>0</v>
      </c>
      <c r="ED290">
        <f>IF(OR(ED208="",AND(ED208=ED207,ED208=ED209)),NA(), ED208)</f>
        <v>0</v>
      </c>
    </row>
    <row r="291" spans="5:134">
      <c r="E291">
        <f>IF(ISNA(F291),NA(),E209)</f>
        <v>0</v>
      </c>
      <c r="F291">
        <f>IF(F209="",NA(),F209)</f>
        <v>0</v>
      </c>
      <c r="G291">
        <f>IF(ISNA(H291),NA(),G209)</f>
        <v>0</v>
      </c>
      <c r="H291">
        <f>IF(H209="",NA(),H209)</f>
        <v>0</v>
      </c>
      <c r="I291">
        <f>IF(ISNA(J291),NA(),I209)</f>
        <v>0</v>
      </c>
      <c r="J291">
        <f>IF(J209="",NA(),J209)</f>
        <v>0</v>
      </c>
      <c r="K291">
        <f>IF(ISNA(L291),NA(),K209)</f>
        <v>0</v>
      </c>
      <c r="L291">
        <f>IF(L209="",NA(),L209)</f>
        <v>0</v>
      </c>
      <c r="M291">
        <f>IF(ISNA(N291),NA(),M209)</f>
        <v>0</v>
      </c>
      <c r="N291">
        <f>IF(N209="",NA(),N209)</f>
        <v>0</v>
      </c>
      <c r="O291">
        <f>IF(ISNA(P291),NA(),O209)</f>
        <v>0</v>
      </c>
      <c r="P291">
        <f>IF(P209="",NA(),P209)</f>
        <v>0</v>
      </c>
      <c r="Q291">
        <f>IF(ISNA(R291),NA(),Q209)</f>
        <v>0</v>
      </c>
      <c r="R291">
        <f>IF(R209="",NA(),R209)</f>
        <v>0</v>
      </c>
      <c r="S291">
        <f>IF(ISNA(T291),NA(),S209)</f>
        <v>0</v>
      </c>
      <c r="T291">
        <f>IF(T209="",NA(),T209)</f>
        <v>0</v>
      </c>
      <c r="U291">
        <f>IF(ISNA(V291),NA(),U209)</f>
        <v>0</v>
      </c>
      <c r="V291">
        <f>IF(V209="",NA(),V209)</f>
        <v>0</v>
      </c>
      <c r="W291">
        <f>IF(ISNA(X291),NA(),W209)</f>
        <v>0</v>
      </c>
      <c r="X291">
        <f>IF(X209="",NA(),X209)</f>
        <v>0</v>
      </c>
      <c r="Y291">
        <f>IF(ISNA(Z291),NA(),Y209)</f>
        <v>0</v>
      </c>
      <c r="Z291">
        <f>IF(Z209="",NA(),Z209)</f>
        <v>0</v>
      </c>
      <c r="AA291">
        <f>IF(ISNA(AB291),NA(),AA209)</f>
        <v>0</v>
      </c>
      <c r="AB291">
        <f>IF(AB209="",NA(),AB209)</f>
        <v>0</v>
      </c>
      <c r="AC291">
        <f>IF(ISNA(AD291),NA(),AC209)</f>
        <v>0</v>
      </c>
      <c r="AD291">
        <f>IF(AD209="",NA(),AD209)</f>
        <v>0</v>
      </c>
      <c r="AE291">
        <f>IF(ISNA(AF291),NA(),AE209)</f>
        <v>0</v>
      </c>
      <c r="AF291">
        <f>IF(AF209="",NA(),AF209)</f>
        <v>0</v>
      </c>
      <c r="AG291">
        <f>IF(ISNA(AH291),NA(),AG209)</f>
        <v>0</v>
      </c>
      <c r="AH291">
        <f>IF(AH209="",NA(),AH209)</f>
        <v>0</v>
      </c>
      <c r="AI291">
        <f>IF(ISNA(AJ291),NA(),AI209)</f>
        <v>0</v>
      </c>
      <c r="AJ291">
        <f>IF(AJ209="",NA(),AJ209)</f>
        <v>0</v>
      </c>
      <c r="AK291">
        <f>IF(ISNA(AL291),NA(),AK209)</f>
        <v>0</v>
      </c>
      <c r="AL291">
        <f>IF(AL209="",NA(),AL209)</f>
        <v>0</v>
      </c>
      <c r="AM291">
        <f>IF(ISNA(AN291),NA(),AM209)</f>
        <v>0</v>
      </c>
      <c r="AN291">
        <f>IF(AN209="",NA(),AN209)</f>
        <v>0</v>
      </c>
      <c r="AO291">
        <f>IF(ISNA(AP291),NA(),AO209)</f>
        <v>0</v>
      </c>
      <c r="AP291">
        <f>IF(AP209="",NA(),AP209)</f>
        <v>0</v>
      </c>
      <c r="AQ291">
        <f>IF(ISNA(AR291),NA(),AQ209)</f>
        <v>0</v>
      </c>
      <c r="AR291">
        <f>IF(AR209="",NA(),AR209)</f>
        <v>0</v>
      </c>
      <c r="AS291">
        <f>IF(ISNA(AT291),NA(),AS209)</f>
        <v>0</v>
      </c>
      <c r="AT291">
        <f>IF(AT209="",NA(),AT209)</f>
        <v>0</v>
      </c>
      <c r="AU291">
        <f>IF(ISNA(AV291),NA(),AU209)</f>
        <v>0</v>
      </c>
      <c r="AV291">
        <f>IF(AV209="",NA(),AV209)</f>
        <v>0</v>
      </c>
      <c r="AW291">
        <f>IF(ISNA(AX291),NA(),AW209)</f>
        <v>0</v>
      </c>
      <c r="AX291">
        <f>IF(AX209="",NA(),AX209)</f>
        <v>0</v>
      </c>
      <c r="AY291">
        <f>IF(ISNA(AZ291),NA(),AY209)</f>
        <v>0</v>
      </c>
      <c r="AZ291">
        <f>IF(AZ209="",NA(),AZ209)</f>
        <v>0</v>
      </c>
      <c r="BA291">
        <f>IF(ISNA(BB291),NA(),BA209)</f>
        <v>0</v>
      </c>
      <c r="BB291">
        <f>IF(BB209="",NA(),BB209)</f>
        <v>0</v>
      </c>
      <c r="BC291">
        <f>IF(ISNA(BD291),NA(),BC209)</f>
        <v>0</v>
      </c>
      <c r="BD291">
        <f>IF(BD209="",NA(),BD209)</f>
        <v>0</v>
      </c>
      <c r="BE291">
        <f>IF(ISNA(BF291),NA(),BE209)</f>
        <v>0</v>
      </c>
      <c r="BF291">
        <f>IF(BF209="",NA(),BF209)</f>
        <v>0</v>
      </c>
      <c r="BG291">
        <f>IF(ISNA(BH291),NA(),BG209)</f>
        <v>0</v>
      </c>
      <c r="BH291">
        <f>IF(BH209="",NA(),BH209)</f>
        <v>0</v>
      </c>
      <c r="BI291">
        <f>IF(ISNA(BJ291),NA(),BI209)</f>
        <v>0</v>
      </c>
      <c r="BJ291">
        <f>IF(BJ209="",NA(),BJ209)</f>
        <v>0</v>
      </c>
      <c r="BK291">
        <f>IF(ISNA(BL291),NA(),BK209)</f>
        <v>0</v>
      </c>
      <c r="BL291">
        <f>IF(BL209="",NA(),BL209)</f>
        <v>0</v>
      </c>
      <c r="BM291">
        <f>IF(ISNA(BN291),NA(),BM209)</f>
        <v>0</v>
      </c>
      <c r="BN291">
        <f>IF(BN209="",NA(),BN209)</f>
        <v>0</v>
      </c>
      <c r="BO291">
        <f>IF(ISNA(BP291),NA(),BO209)</f>
        <v>0</v>
      </c>
      <c r="BP291">
        <f>IF(BP209="",NA(),BP209)</f>
        <v>0</v>
      </c>
      <c r="BS291">
        <f>IF(ISNA(BT291),NA(),BS209)</f>
        <v>0</v>
      </c>
      <c r="BT291">
        <f>IF(BT209="",NA(),BT209)</f>
        <v>0</v>
      </c>
      <c r="BU291">
        <f>IF(ISNA(BV291),NA(),BU209)</f>
        <v>0</v>
      </c>
      <c r="BV291">
        <f>IF(BV209="",NA(),BV209)</f>
        <v>0</v>
      </c>
      <c r="BW291">
        <f>IF(ISNA(BX291),NA(),BW209)</f>
        <v>0</v>
      </c>
      <c r="BX291">
        <f>IF(BX209="",NA(),BX209)</f>
        <v>0</v>
      </c>
      <c r="BY291">
        <f>IF(ISNA(BZ291),NA(),BY209)</f>
        <v>0</v>
      </c>
      <c r="BZ291">
        <f>IF(BZ209="",NA(),BZ209)</f>
        <v>0</v>
      </c>
      <c r="CA291">
        <f>IF(ISNA(CB291),NA(),CA209)</f>
        <v>0</v>
      </c>
      <c r="CB291">
        <f>IF(CB209="",NA(),CB209)</f>
        <v>0</v>
      </c>
      <c r="CC291">
        <f>IF(ISNA(CD291),NA(),CC209)</f>
        <v>0</v>
      </c>
      <c r="CD291">
        <f>IF(CD209="",NA(),CD209)</f>
        <v>0</v>
      </c>
      <c r="CE291">
        <f>IF(ISNA(CF291),NA(),CE209)</f>
        <v>0</v>
      </c>
      <c r="CF291">
        <f>IF(CF209="",NA(),CF209)</f>
        <v>0</v>
      </c>
      <c r="CG291">
        <f>IF(ISNA(CH291),NA(),CG209)</f>
        <v>0</v>
      </c>
      <c r="CH291">
        <f>IF(CH209="",NA(),CH209)</f>
        <v>0</v>
      </c>
      <c r="CI291">
        <f>IF(ISNA(CJ291),NA(),CI209)</f>
        <v>0</v>
      </c>
      <c r="CJ291">
        <f>IF(CJ209="",NA(),CJ209)</f>
        <v>0</v>
      </c>
      <c r="CK291">
        <f>IF(ISNA(CL291),NA(),CK209)</f>
        <v>0</v>
      </c>
      <c r="CL291">
        <f>IF(CL209="",NA(),CL209)</f>
        <v>0</v>
      </c>
      <c r="CM291">
        <f>IF(ISNA(CN291),NA(),CM209)</f>
        <v>0</v>
      </c>
      <c r="CN291">
        <f>IF(CN209="",NA(),CN209)</f>
        <v>0</v>
      </c>
      <c r="CO291">
        <f>IF(ISNA(CP291),NA(),CO209)</f>
        <v>0</v>
      </c>
      <c r="CP291">
        <f>IF(CP209="",NA(),CP209)</f>
        <v>0</v>
      </c>
      <c r="CQ291">
        <f>IF(ISNA(CR291),NA(),CQ209)</f>
        <v>0</v>
      </c>
      <c r="CR291">
        <f>IF(CR209="",NA(),CR209)</f>
        <v>0</v>
      </c>
      <c r="CS291">
        <f>IF(ISNA(CT291),NA(),CS209)</f>
        <v>0</v>
      </c>
      <c r="CT291">
        <f>IF(CT209="",NA(),CT209)</f>
        <v>0</v>
      </c>
      <c r="CU291">
        <f>IF(ISNA(CV291),NA(),CU209)</f>
        <v>0</v>
      </c>
      <c r="CV291">
        <f>IF(CV209="",NA(),CV209)</f>
        <v>0</v>
      </c>
      <c r="CW291">
        <f>IF(ISNA(CX291),NA(),CW209)</f>
        <v>0</v>
      </c>
      <c r="CX291">
        <f>IF(CX209="",NA(),CX209)</f>
        <v>0</v>
      </c>
      <c r="CY291">
        <f>IF(ISNA(CZ291),NA(),CY209)</f>
        <v>0</v>
      </c>
      <c r="CZ291">
        <f>IF(CZ209="",NA(),CZ209)</f>
        <v>0</v>
      </c>
      <c r="DA291">
        <f>IF(ISNA(DB291),NA(),DA209)</f>
        <v>0</v>
      </c>
      <c r="DB291">
        <f>IF(DB209="",NA(),DB209)</f>
        <v>0</v>
      </c>
      <c r="DC291">
        <f>IF(ISNA(DD291),NA(),DC209)</f>
        <v>0</v>
      </c>
      <c r="DD291">
        <f>IF(DD209="",NA(),DD209)</f>
        <v>0</v>
      </c>
      <c r="DE291">
        <f>IF(ISNA(DF291),NA(),DE209)</f>
        <v>0</v>
      </c>
      <c r="DF291">
        <f>IF(DF209="",NA(),DF209)</f>
        <v>0</v>
      </c>
      <c r="DG291">
        <f>IF(ISNA(DH291),NA(),DG209)</f>
        <v>0</v>
      </c>
      <c r="DH291">
        <f>IF(DH209="",NA(),DH209)</f>
        <v>0</v>
      </c>
      <c r="DI291">
        <f>IF(ISNA(DJ291),NA(),DI209)</f>
        <v>0</v>
      </c>
      <c r="DJ291">
        <f>IF(DJ209="",NA(),DJ209)</f>
        <v>0</v>
      </c>
      <c r="DK291">
        <f>IF(ISNA(DL291),NA(),DK209)</f>
        <v>0</v>
      </c>
      <c r="DL291">
        <f>IF(DL209="",NA(),DL209)</f>
        <v>0</v>
      </c>
      <c r="DM291">
        <f>IF(ISNA(DN291),NA(),DM209)</f>
        <v>0</v>
      </c>
      <c r="DN291">
        <f>IF(DN209="",NA(),DN209)</f>
        <v>0</v>
      </c>
      <c r="DO291">
        <f>IF(ISNA(DP291),NA(),DO209)</f>
        <v>0</v>
      </c>
      <c r="DP291">
        <f>IF(DP209="",NA(),DP209)</f>
        <v>0</v>
      </c>
      <c r="DQ291">
        <f>IF(ISNA(DR291),NA(),DQ209)</f>
        <v>0</v>
      </c>
      <c r="DR291">
        <f>IF(DR209="",NA(),DR209)</f>
        <v>0</v>
      </c>
      <c r="DS291">
        <f>IF(ISNA(DT291),NA(),DS209)</f>
        <v>0</v>
      </c>
      <c r="DT291">
        <f>IF(DT209="",NA(),DT209)</f>
        <v>0</v>
      </c>
      <c r="DU291">
        <f>IF(ISNA(DV291),NA(),DU209)</f>
        <v>0</v>
      </c>
      <c r="DV291">
        <f>IF(DV209="",NA(),DV209)</f>
        <v>0</v>
      </c>
      <c r="DW291">
        <f>IF(ISNA(DX291),NA(),DW209)</f>
        <v>0</v>
      </c>
      <c r="DX291">
        <f>IF(DX209="",NA(),DX209)</f>
        <v>0</v>
      </c>
      <c r="DY291">
        <f>IF(ISNA(DZ291),NA(),DY209)</f>
        <v>0</v>
      </c>
      <c r="DZ291">
        <f>IF(DZ209="",NA(),DZ209)</f>
        <v>0</v>
      </c>
      <c r="EA291">
        <f>IF(ISNA(EB291),NA(),EA209)</f>
        <v>0</v>
      </c>
      <c r="EB291">
        <f>IF(EB209="",NA(),EB209)</f>
        <v>0</v>
      </c>
      <c r="EC291">
        <f>IF(ISNA(ED291),NA(),EC209)</f>
        <v>0</v>
      </c>
      <c r="ED291">
        <f>IF(ED209="",NA(),ED209)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98</v>
      </c>
      <c r="F2" t="s">
        <v>100</v>
      </c>
    </row>
    <row r="3" spans="2:6">
      <c r="B3" s="2" t="s">
        <v>99</v>
      </c>
      <c r="F3" s="2" t="s">
        <v>49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2026-07-28T12:30:46Z</dcterms:created>
  <dcterms:modified xsi:type="dcterms:W3CDTF">2026-07-28T12:30:46Z</dcterms:modified>
</cp:coreProperties>
</file>